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Colline de France\04. Custo\03.0 Custo - Orçamento Paramétrico\4. Apresentação\"/>
    </mc:Choice>
  </mc:AlternateContent>
  <xr:revisionPtr revIDLastSave="0" documentId="13_ncr:1_{D032A067-7112-47ED-947F-74DF49963BFA}" xr6:coauthVersionLast="47" xr6:coauthVersionMax="47" xr10:uidLastSave="{00000000-0000-0000-0000-000000000000}"/>
  <bookViews>
    <workbookView xWindow="1980" yWindow="1785" windowWidth="23010" windowHeight="12210" xr2:uid="{00000000-000D-0000-FFFF-FFFF00000000}"/>
  </bookViews>
  <sheets>
    <sheet name="OBRA" sheetId="3" r:id="rId1"/>
    <sheet name="RESUMOS" sheetId="6" r:id="rId2"/>
    <sheet name="CUB" sheetId="7" r:id="rId3"/>
    <sheet name="INDIRETOS" sheetId="5" r:id="rId4"/>
    <sheet name="HOTEL" sheetId="2" r:id="rId5"/>
    <sheet name="RESIDENCIAL" sheetId="4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\0" localSheetId="2">#REF!</definedName>
    <definedName name="\0" localSheetId="0">#REF!</definedName>
    <definedName name="\0">#REF!</definedName>
    <definedName name="\1" localSheetId="2">#REF!</definedName>
    <definedName name="\1">#REF!</definedName>
    <definedName name="\a" localSheetId="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i">#REF!</definedName>
    <definedName name="\J">#REF!</definedName>
    <definedName name="\k">#REF!</definedName>
    <definedName name="\l">#N/A</definedName>
    <definedName name="\m" localSheetId="0">#REF!</definedName>
    <definedName name="\m">#REF!</definedName>
    <definedName name="\o">#REF!</definedName>
    <definedName name="\p">#REF!</definedName>
    <definedName name="\r">#REF!</definedName>
    <definedName name="\T">#REF!</definedName>
    <definedName name="\xasd" localSheetId="2" hidden="1">{#N/A,#N/A,FALSE,"Plan1";#N/A,#N/A,FALSE,"Plan2"}</definedName>
    <definedName name="\xasd" localSheetId="0" hidden="1">{#N/A,#N/A,FALSE,"Plan1";#N/A,#N/A,FALSE,"Plan2"}</definedName>
    <definedName name="\xasd" hidden="1">{#N/A,#N/A,FALSE,"Plan1";#N/A,#N/A,FALSE,"Plan2"}</definedName>
    <definedName name="\z">#REF!</definedName>
    <definedName name="_" localSheetId="0" hidden="1">#REF!</definedName>
    <definedName name="_" hidden="1">#REF!</definedName>
    <definedName name="__" localSheetId="0" hidden="1">#REF!</definedName>
    <definedName name="__" hidden="1">#REF!</definedName>
    <definedName name="_________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>#REF!</definedName>
    <definedName name="______ACR15">#REF!</definedName>
    <definedName name="______acr20">#REF!</definedName>
    <definedName name="______acr5">#REF!</definedName>
    <definedName name="______ARQ1">#REF!</definedName>
    <definedName name="______QT100">#REF!</definedName>
    <definedName name="______QT2">#REF!</definedName>
    <definedName name="______QT3">#REF!</definedName>
    <definedName name="______QT4">#REF!</definedName>
    <definedName name="______QT50">#REF!</definedName>
    <definedName name="______QT75">#REF!</definedName>
    <definedName name="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>#REF!</definedName>
    <definedName name="_____ACR15">#REF!</definedName>
    <definedName name="_____acr20">#REF!</definedName>
    <definedName name="_____acr5">#REF!</definedName>
    <definedName name="_____ARQ1">#REF!</definedName>
    <definedName name="_____key2" localSheetId="0" hidden="1">#REF!</definedName>
    <definedName name="_____key2" hidden="1">#REF!</definedName>
    <definedName name="_____QT100">#REF!</definedName>
    <definedName name="_____QT2">#REF!</definedName>
    <definedName name="_____QT3">#REF!</definedName>
    <definedName name="_____QT4">#REF!</definedName>
    <definedName name="_____QT50">#REF!</definedName>
    <definedName name="_____QT75">#REF!</definedName>
    <definedName name="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 hidden="1">#REF!</definedName>
    <definedName name="____la29" hidden="1">#REF!</definedName>
    <definedName name="____la3" hidden="1">#REF!</definedName>
    <definedName name="____la31" hidden="1">#REF!</definedName>
    <definedName name="____la32" hidden="1">#REF!</definedName>
    <definedName name="____la4" hidden="1">#REF!</definedName>
    <definedName name="____la5" hidden="1">#REF!</definedName>
    <definedName name="____la6" hidden="1">#REF!</definedName>
    <definedName name="____la7" hidden="1">#REF!</definedName>
    <definedName name="____la8" hidden="1">#REF!</definedName>
    <definedName name="____la9" hidden="1">#REF!</definedName>
    <definedName name="____lb1" hidden="1">#REF!</definedName>
    <definedName name="____lb10" hidden="1">#REF!</definedName>
    <definedName name="____lb11" hidden="1">#REF!</definedName>
    <definedName name="____lb12" hidden="1">#REF!</definedName>
    <definedName name="____lb13" hidden="1">#REF!</definedName>
    <definedName name="____lb14" hidden="1">#REF!</definedName>
    <definedName name="____lb15" hidden="1">#REF!</definedName>
    <definedName name="____lb16" hidden="1">#REF!</definedName>
    <definedName name="____lb17" hidden="1">#REF!</definedName>
    <definedName name="____lb18" hidden="1">#REF!</definedName>
    <definedName name="____lb19" hidden="1">#REF!</definedName>
    <definedName name="____lb2" hidden="1">#REF!</definedName>
    <definedName name="____lb20" hidden="1">#REF!</definedName>
    <definedName name="____lb21" hidden="1">#REF!</definedName>
    <definedName name="____lb22" hidden="1">#REF!</definedName>
    <definedName name="____lb23" hidden="1">#REF!</definedName>
    <definedName name="____lb24" hidden="1">#REF!</definedName>
    <definedName name="____lb25" hidden="1">#REF!</definedName>
    <definedName name="____lb27" hidden="1">#REF!</definedName>
    <definedName name="____lb28" hidden="1">#REF!</definedName>
    <definedName name="____lb29" hidden="1">#REF!</definedName>
    <definedName name="____lb3" hidden="1">#REF!</definedName>
    <definedName name="____lb30" hidden="1">#REF!</definedName>
    <definedName name="____lb31" hidden="1">#REF!</definedName>
    <definedName name="____lb32" hidden="1">#REF!</definedName>
    <definedName name="____lb4" hidden="1">#REF!</definedName>
    <definedName name="____lb5" hidden="1">#REF!</definedName>
    <definedName name="____lb6" hidden="1">#REF!</definedName>
    <definedName name="____lb7" hidden="1">#REF!</definedName>
    <definedName name="____lb8" hidden="1">#REF!</definedName>
    <definedName name="____lb9" hidden="1">#REF!</definedName>
    <definedName name="____lbc1" hidden="1">#REF!</definedName>
    <definedName name="____lbc10" hidden="1">#REF!</definedName>
    <definedName name="____lbc11" hidden="1">#REF!</definedName>
    <definedName name="____lbc12" hidden="1">#REF!</definedName>
    <definedName name="____lbc13" hidden="1">#REF!</definedName>
    <definedName name="____lbc14" hidden="1">#REF!</definedName>
    <definedName name="____lbc15" hidden="1">#REF!</definedName>
    <definedName name="____lbc16" hidden="1">#REF!</definedName>
    <definedName name="____lbc17" hidden="1">#REF!</definedName>
    <definedName name="____lbc18" hidden="1">#REF!</definedName>
    <definedName name="____lbc19" hidden="1">#REF!</definedName>
    <definedName name="____lbc2" hidden="1">#REF!</definedName>
    <definedName name="____lbc20" hidden="1">#REF!</definedName>
    <definedName name="____lbc21" hidden="1">#REF!</definedName>
    <definedName name="____lbc22" hidden="1">#REF!</definedName>
    <definedName name="____lbc23" hidden="1">#REF!</definedName>
    <definedName name="____lbc24" hidden="1">#REF!</definedName>
    <definedName name="____lbc25" hidden="1">#REF!</definedName>
    <definedName name="____lbc26" hidden="1">#REF!</definedName>
    <definedName name="____lbc27" hidden="1">#REF!</definedName>
    <definedName name="____lbc28" hidden="1">#REF!</definedName>
    <definedName name="____lbc29" hidden="1">#REF!</definedName>
    <definedName name="____lbc3" hidden="1">#REF!</definedName>
    <definedName name="____lbc31" hidden="1">#REF!</definedName>
    <definedName name="____lbc32" hidden="1">#REF!</definedName>
    <definedName name="____lbc4" hidden="1">#REF!</definedName>
    <definedName name="____lbc5" hidden="1">#REF!</definedName>
    <definedName name="____lbc6" hidden="1">#REF!</definedName>
    <definedName name="____lbc7" hidden="1">#REF!</definedName>
    <definedName name="____lbc8" hidden="1">#REF!</definedName>
    <definedName name="____lbc9" hidden="1">#REF!</definedName>
    <definedName name="____ld26" hidden="1">#REF!</definedName>
    <definedName name="____ld31" hidden="1">#REF!</definedName>
    <definedName name="____le31" hidden="1">#REF!</definedName>
    <definedName name="____lf31" hidden="1">#REF!</definedName>
    <definedName name="____PK2" localSheetId="2" hidden="1">{"'장비'!$A$3:$M$12"}</definedName>
    <definedName name="____PK2" localSheetId="0" hidden="1">{"'장비'!$A$3:$M$12"}</definedName>
    <definedName name="____PK2" hidden="1">{"'장비'!$A$3:$M$12"}</definedName>
    <definedName name="____PKG3" localSheetId="2" hidden="1">{"'장비'!$A$3:$M$12"}</definedName>
    <definedName name="____PKG3" localSheetId="0" hidden="1">{"'장비'!$A$3:$M$12"}</definedName>
    <definedName name="____PKG3" hidden="1">{"'장비'!$A$3:$M$12"}</definedName>
    <definedName name="____qqq222" localSheetId="2" hidden="1">{"'장비'!$A$3:$M$12"}</definedName>
    <definedName name="____qqq222" localSheetId="0" hidden="1">{"'장비'!$A$3:$M$12"}</definedName>
    <definedName name="____qqq222" hidden="1">{"'장비'!$A$3:$M$12"}</definedName>
    <definedName name="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 hidden="1">#REF!</definedName>
    <definedName name="____x11" hidden="1">#REF!</definedName>
    <definedName name="____x12" hidden="1">#REF!</definedName>
    <definedName name="____x13" hidden="1">#REF!</definedName>
    <definedName name="____x14" hidden="1">#REF!</definedName>
    <definedName name="____x15" hidden="1">#REF!</definedName>
    <definedName name="____x16" hidden="1">#REF!</definedName>
    <definedName name="____x17" hidden="1">#REF!</definedName>
    <definedName name="____x18" hidden="1">#REF!</definedName>
    <definedName name="____x19" hidden="1">#REF!</definedName>
    <definedName name="____x20" hidden="1">#REF!</definedName>
    <definedName name="____x21" hidden="1">#REF!</definedName>
    <definedName name="____x22" hidden="1">#REF!</definedName>
    <definedName name="____x23" hidden="1">#REF!</definedName>
    <definedName name="____x24" hidden="1">#REF!</definedName>
    <definedName name="____x25" hidden="1">#REF!</definedName>
    <definedName name="____x28" hidden="1">#REF!</definedName>
    <definedName name="____x29" hidden="1">#REF!</definedName>
    <definedName name="____x32" hidden="1">#REF!</definedName>
    <definedName name="____x4" hidden="1">#REF!</definedName>
    <definedName name="____x5" hidden="1">#REF!</definedName>
    <definedName name="____x6" hidden="1">#REF!</definedName>
    <definedName name="____x7" hidden="1">#REF!</definedName>
    <definedName name="____x8" hidden="1">#REF!</definedName>
    <definedName name="____x9" hidden="1">#REF!</definedName>
    <definedName name="___ACR10">#REF!</definedName>
    <definedName name="___ACR15">#REF!</definedName>
    <definedName name="___acr20">#REF!</definedName>
    <definedName name="___acr5">#REF!</definedName>
    <definedName name="___ARQ1">#REF!</definedName>
    <definedName name="___CO2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hidden="1">#REF!</definedName>
    <definedName name="___la29" hidden="1">#REF!</definedName>
    <definedName name="___la3" hidden="1">#REF!</definedName>
    <definedName name="___la31" hidden="1">#REF!</definedName>
    <definedName name="___la32" hidden="1">#REF!</definedName>
    <definedName name="___la4" hidden="1">#REF!</definedName>
    <definedName name="___la5" hidden="1">#REF!</definedName>
    <definedName name="___la6" hidden="1">#REF!</definedName>
    <definedName name="___la7" hidden="1">#REF!</definedName>
    <definedName name="___la8" hidden="1">#REF!</definedName>
    <definedName name="___la9" hidden="1">#REF!</definedName>
    <definedName name="___lb1" hidden="1">#REF!</definedName>
    <definedName name="___lb10" hidden="1">#REF!</definedName>
    <definedName name="___lb11" hidden="1">#REF!</definedName>
    <definedName name="___lb12" hidden="1">#REF!</definedName>
    <definedName name="___lb13" hidden="1">#REF!</definedName>
    <definedName name="___lb14" hidden="1">#REF!</definedName>
    <definedName name="___lb15" hidden="1">#REF!</definedName>
    <definedName name="___lb16" hidden="1">#REF!</definedName>
    <definedName name="___lb17" hidden="1">#REF!</definedName>
    <definedName name="___lb18" hidden="1">#REF!</definedName>
    <definedName name="___lb19" hidden="1">#REF!</definedName>
    <definedName name="___lb2" hidden="1">#REF!</definedName>
    <definedName name="___lb20" hidden="1">#REF!</definedName>
    <definedName name="___lb21" hidden="1">#REF!</definedName>
    <definedName name="___lb22" hidden="1">#REF!</definedName>
    <definedName name="___lb23" hidden="1">#REF!</definedName>
    <definedName name="___lb24" hidden="1">#REF!</definedName>
    <definedName name="___lb25" hidden="1">#REF!</definedName>
    <definedName name="___lb27" hidden="1">#REF!</definedName>
    <definedName name="___lb28" hidden="1">#REF!</definedName>
    <definedName name="___lb29" hidden="1">#REF!</definedName>
    <definedName name="___lb3" hidden="1">#REF!</definedName>
    <definedName name="___lb30" hidden="1">#REF!</definedName>
    <definedName name="___lb31" hidden="1">#REF!</definedName>
    <definedName name="___lb32" hidden="1">#REF!</definedName>
    <definedName name="___lb4" hidden="1">#REF!</definedName>
    <definedName name="___lb5" hidden="1">#REF!</definedName>
    <definedName name="___lb6" hidden="1">#REF!</definedName>
    <definedName name="___lb7" hidden="1">#REF!</definedName>
    <definedName name="___lb8" hidden="1">#REF!</definedName>
    <definedName name="___lb9" hidden="1">#REF!</definedName>
    <definedName name="___lbc1" hidden="1">#REF!</definedName>
    <definedName name="___lbc10" hidden="1">#REF!</definedName>
    <definedName name="___lbc11" hidden="1">#REF!</definedName>
    <definedName name="___lbc12" hidden="1">#REF!</definedName>
    <definedName name="___lbc13" hidden="1">#REF!</definedName>
    <definedName name="___lbc14" hidden="1">#REF!</definedName>
    <definedName name="___lbc15" hidden="1">#REF!</definedName>
    <definedName name="___lbc16" hidden="1">#REF!</definedName>
    <definedName name="___lbc17" hidden="1">#REF!</definedName>
    <definedName name="___lbc18" hidden="1">#REF!</definedName>
    <definedName name="___lbc19" hidden="1">#REF!</definedName>
    <definedName name="___lbc2" hidden="1">#REF!</definedName>
    <definedName name="___lbc20" hidden="1">#REF!</definedName>
    <definedName name="___lbc21" hidden="1">#REF!</definedName>
    <definedName name="___lbc22" hidden="1">#REF!</definedName>
    <definedName name="___lbc23" hidden="1">#REF!</definedName>
    <definedName name="___lbc24" hidden="1">#REF!</definedName>
    <definedName name="___lbc25" hidden="1">#REF!</definedName>
    <definedName name="___lbc26" hidden="1">#REF!</definedName>
    <definedName name="___lbc27" hidden="1">#REF!</definedName>
    <definedName name="___lbc28" hidden="1">#REF!</definedName>
    <definedName name="___lbc29" hidden="1">#REF!</definedName>
    <definedName name="___lbc3" hidden="1">#REF!</definedName>
    <definedName name="___lbc31" hidden="1">#REF!</definedName>
    <definedName name="___lbc32" hidden="1">#REF!</definedName>
    <definedName name="___lbc4" hidden="1">#REF!</definedName>
    <definedName name="___lbc5" hidden="1">#REF!</definedName>
    <definedName name="___lbc6" hidden="1">#REF!</definedName>
    <definedName name="___lbc7" hidden="1">#REF!</definedName>
    <definedName name="___lbc8" hidden="1">#REF!</definedName>
    <definedName name="___lbc9" hidden="1">#REF!</definedName>
    <definedName name="___ld26" hidden="1">#REF!</definedName>
    <definedName name="___ld31" hidden="1">#REF!</definedName>
    <definedName name="___le31" hidden="1">#REF!</definedName>
    <definedName name="___lf31" hidden="1">#REF!</definedName>
    <definedName name="___PK2" localSheetId="2" hidden="1">{"'장비'!$A$3:$M$12"}</definedName>
    <definedName name="___PK2" localSheetId="0" hidden="1">{"'장비'!$A$3:$M$12"}</definedName>
    <definedName name="___PK2" hidden="1">{"'장비'!$A$3:$M$12"}</definedName>
    <definedName name="___PKG3" localSheetId="2" hidden="1">{"'장비'!$A$3:$M$12"}</definedName>
    <definedName name="___PKG3" localSheetId="0" hidden="1">{"'장비'!$A$3:$M$12"}</definedName>
    <definedName name="___PKG3" hidden="1">{"'장비'!$A$3:$M$12"}</definedName>
    <definedName name="___qqq222" localSheetId="2" hidden="1">{"'장비'!$A$3:$M$12"}</definedName>
    <definedName name="___qqq222" localSheetId="0" hidden="1">{"'장비'!$A$3:$M$12"}</definedName>
    <definedName name="___qqq222" hidden="1">{"'장비'!$A$3:$M$12"}</definedName>
    <definedName name="___QT100">#REF!</definedName>
    <definedName name="___QT2">#REF!</definedName>
    <definedName name="___QT3">#REF!</definedName>
    <definedName name="___QT4">#REF!</definedName>
    <definedName name="___QT50">#REF!</definedName>
    <definedName name="___QT75">#REF!</definedName>
    <definedName name="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 hidden="1">#REF!</definedName>
    <definedName name="___x11" hidden="1">#REF!</definedName>
    <definedName name="___x12" hidden="1">#REF!</definedName>
    <definedName name="___x13" hidden="1">#REF!</definedName>
    <definedName name="___x14" hidden="1">#REF!</definedName>
    <definedName name="___x15" hidden="1">#REF!</definedName>
    <definedName name="___x16" hidden="1">#REF!</definedName>
    <definedName name="___x17" hidden="1">#REF!</definedName>
    <definedName name="___x18" hidden="1">#REF!</definedName>
    <definedName name="___x19" hidden="1">#REF!</definedName>
    <definedName name="___x20" hidden="1">#REF!</definedName>
    <definedName name="___x21" hidden="1">#REF!</definedName>
    <definedName name="___x22" hidden="1">#REF!</definedName>
    <definedName name="___x23" hidden="1">#REF!</definedName>
    <definedName name="___x24" hidden="1">#REF!</definedName>
    <definedName name="___x25" hidden="1">#REF!</definedName>
    <definedName name="___x28" hidden="1">#REF!</definedName>
    <definedName name="___x29" hidden="1">#REF!</definedName>
    <definedName name="___x32" hidden="1">#REF!</definedName>
    <definedName name="___x4" hidden="1">#REF!</definedName>
    <definedName name="___x5" hidden="1">#REF!</definedName>
    <definedName name="___x6" hidden="1">#REF!</definedName>
    <definedName name="___x7" hidden="1">#REF!</definedName>
    <definedName name="___x8" hidden="1">#REF!</definedName>
    <definedName name="___x9" hidden="1">#REF!</definedName>
    <definedName name="__123Graph_A" hidden="1">#REF!</definedName>
    <definedName name="__123Graph_AChart1" hidden="1">#REF!</definedName>
    <definedName name="__123Graph_ACurrent" hidden="1">#REF!</definedName>
    <definedName name="__123Graph_ACUSTO" hidden="1">#REF!</definedName>
    <definedName name="__123Graph_AFAT" hidden="1">#REF!</definedName>
    <definedName name="__123Graph_AGRA1" hidden="1">#REF!</definedName>
    <definedName name="__123Graph_ARES" hidden="1">#REF!</definedName>
    <definedName name="__123Graph_B" hidden="1">#REF!</definedName>
    <definedName name="__123Graph_BChart1" hidden="1">#REF!</definedName>
    <definedName name="__123Graph_BCurrent" hidden="1">#REF!</definedName>
    <definedName name="__123Graph_BCUSTO" hidden="1">#REF!</definedName>
    <definedName name="__123Graph_BFAT" hidden="1">#REF!</definedName>
    <definedName name="__123Graph_BPERFORMANCE" hidden="1">#REF!</definedName>
    <definedName name="__123Graph_BRES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Chart1" hidden="1">#REF!</definedName>
    <definedName name="__123Graph_XCurrent" hidden="1">#REF!</definedName>
    <definedName name="__123Graph_XCUSTO" hidden="1">#REF!</definedName>
    <definedName name="__123Graph_XFAT" hidden="1">#REF!</definedName>
    <definedName name="__123Graph_XGRA1" hidden="1">#REF!</definedName>
    <definedName name="__123Graph_XRES" hidden="1">#REF!</definedName>
    <definedName name="__ACR10">#REF!</definedName>
    <definedName name="__ACR15">#REF!</definedName>
    <definedName name="__acr20">#REF!</definedName>
    <definedName name="__acr5">#REF!</definedName>
    <definedName name="__ARQ1">#REF!</definedName>
    <definedName name="__Axe3">#REF!</definedName>
    <definedName name="__Axe4">#REF!</definedName>
    <definedName name="__CO2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>#REF!</definedName>
    <definedName name="__htn2">#REF!</definedName>
    <definedName name="__iss2">#REF!</definedName>
    <definedName name="__key2" localSheetId="0" hidden="1">#REF!</definedName>
    <definedName name="__key2" hidden="1">#REF!</definedName>
    <definedName name="__la29" localSheetId="0" hidden="1">#REF!</definedName>
    <definedName name="__la29" hidden="1">#REF!</definedName>
    <definedName name="__la3" localSheetId="0" hidden="1">#REF!</definedName>
    <definedName name="__la3" hidden="1">#REF!</definedName>
    <definedName name="__la31" hidden="1">#REF!</definedName>
    <definedName name="__la32" hidden="1">#REF!</definedName>
    <definedName name="__la4" hidden="1">#REF!</definedName>
    <definedName name="__la5" hidden="1">#REF!</definedName>
    <definedName name="__la6" hidden="1">#REF!</definedName>
    <definedName name="__la7" hidden="1">#REF!</definedName>
    <definedName name="__la8" hidden="1">#REF!</definedName>
    <definedName name="__la9" hidden="1">#REF!</definedName>
    <definedName name="__lb1" hidden="1">#REF!</definedName>
    <definedName name="__lb10" hidden="1">#REF!</definedName>
    <definedName name="__lb11" hidden="1">#REF!</definedName>
    <definedName name="__lb12" hidden="1">#REF!</definedName>
    <definedName name="__lb13" hidden="1">#REF!</definedName>
    <definedName name="__lb14" hidden="1">#REF!</definedName>
    <definedName name="__lb15" hidden="1">#REF!</definedName>
    <definedName name="__lb16" hidden="1">#REF!</definedName>
    <definedName name="__lb17" hidden="1">#REF!</definedName>
    <definedName name="__lb18" hidden="1">#REF!</definedName>
    <definedName name="__lb19" hidden="1">#REF!</definedName>
    <definedName name="__lb2" hidden="1">#REF!</definedName>
    <definedName name="__lb20" hidden="1">#REF!</definedName>
    <definedName name="__lb21" hidden="1">#REF!</definedName>
    <definedName name="__lb22" hidden="1">#REF!</definedName>
    <definedName name="__lb23" hidden="1">#REF!</definedName>
    <definedName name="__lb24" hidden="1">#REF!</definedName>
    <definedName name="__lb25" hidden="1">#REF!</definedName>
    <definedName name="__lb27" hidden="1">#REF!</definedName>
    <definedName name="__lb28" hidden="1">#REF!</definedName>
    <definedName name="__lb29" hidden="1">#REF!</definedName>
    <definedName name="__lb3" hidden="1">#REF!</definedName>
    <definedName name="__lb30" hidden="1">#REF!</definedName>
    <definedName name="__lb31" hidden="1">#REF!</definedName>
    <definedName name="__lb32" hidden="1">#REF!</definedName>
    <definedName name="__lb4" hidden="1">#REF!</definedName>
    <definedName name="__lb5" hidden="1">#REF!</definedName>
    <definedName name="__lb6" hidden="1">#REF!</definedName>
    <definedName name="__lb7" hidden="1">#REF!</definedName>
    <definedName name="__lb8" hidden="1">#REF!</definedName>
    <definedName name="__lb9" hidden="1">#REF!</definedName>
    <definedName name="__lbc1" hidden="1">#REF!</definedName>
    <definedName name="__lbc10" hidden="1">#REF!</definedName>
    <definedName name="__lbc11" hidden="1">#REF!</definedName>
    <definedName name="__lbc12" hidden="1">#REF!</definedName>
    <definedName name="__lbc13" hidden="1">#REF!</definedName>
    <definedName name="__lbc14" hidden="1">#REF!</definedName>
    <definedName name="__lbc15" hidden="1">#REF!</definedName>
    <definedName name="__lbc16" hidden="1">#REF!</definedName>
    <definedName name="__lbc17" hidden="1">#REF!</definedName>
    <definedName name="__lbc18" hidden="1">#REF!</definedName>
    <definedName name="__lbc19" hidden="1">#REF!</definedName>
    <definedName name="__lbc2" hidden="1">#REF!</definedName>
    <definedName name="__lbc20" hidden="1">#REF!</definedName>
    <definedName name="__lbc21" hidden="1">#REF!</definedName>
    <definedName name="__lbc22" hidden="1">#REF!</definedName>
    <definedName name="__lbc23" hidden="1">#REF!</definedName>
    <definedName name="__lbc24" hidden="1">#REF!</definedName>
    <definedName name="__lbc25" hidden="1">#REF!</definedName>
    <definedName name="__lbc26" hidden="1">#REF!</definedName>
    <definedName name="__lbc27" hidden="1">#REF!</definedName>
    <definedName name="__lbc28" hidden="1">#REF!</definedName>
    <definedName name="__lbc29" hidden="1">#REF!</definedName>
    <definedName name="__lbc3" hidden="1">#REF!</definedName>
    <definedName name="__lbc31" hidden="1">#REF!</definedName>
    <definedName name="__lbc32" hidden="1">#REF!</definedName>
    <definedName name="__lbc4" hidden="1">#REF!</definedName>
    <definedName name="__lbc5" hidden="1">#REF!</definedName>
    <definedName name="__lbc6" hidden="1">#REF!</definedName>
    <definedName name="__lbc7" hidden="1">#REF!</definedName>
    <definedName name="__lbc8" hidden="1">#REF!</definedName>
    <definedName name="__lbc9" hidden="1">#REF!</definedName>
    <definedName name="__ld26" hidden="1">#REF!</definedName>
    <definedName name="__ld31" hidden="1">#REF!</definedName>
    <definedName name="__le31" hidden="1">#REF!</definedName>
    <definedName name="__lf31" hidden="1">#REF!</definedName>
    <definedName name="__PK2" localSheetId="2" hidden="1">{"'장비'!$A$3:$M$12"}</definedName>
    <definedName name="__PK2" localSheetId="0" hidden="1">{"'장비'!$A$3:$M$12"}</definedName>
    <definedName name="__PK2" hidden="1">{"'장비'!$A$3:$M$12"}</definedName>
    <definedName name="__PKG3" localSheetId="2" hidden="1">{"'장비'!$A$3:$M$12"}</definedName>
    <definedName name="__PKG3" localSheetId="0" hidden="1">{"'장비'!$A$3:$M$12"}</definedName>
    <definedName name="__PKG3" hidden="1">{"'장비'!$A$3:$M$12"}</definedName>
    <definedName name="__qqq222" localSheetId="2" hidden="1">{"'장비'!$A$3:$M$12"}</definedName>
    <definedName name="__qqq222" localSheetId="0" hidden="1">{"'장비'!$A$3:$M$12"}</definedName>
    <definedName name="__qqq222" hidden="1">{"'장비'!$A$3:$M$12"}</definedName>
    <definedName name="__QT100">#REF!</definedName>
    <definedName name="__QT2">#REF!</definedName>
    <definedName name="__QT3">#REF!</definedName>
    <definedName name="__QT4">#REF!</definedName>
    <definedName name="__QT50">#REF!</definedName>
    <definedName name="__QT75">#REF!</definedName>
    <definedName name="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 hidden="1">#REF!</definedName>
    <definedName name="__x11" hidden="1">#REF!</definedName>
    <definedName name="__x12" hidden="1">#REF!</definedName>
    <definedName name="__x13" hidden="1">#REF!</definedName>
    <definedName name="__x14" hidden="1">#REF!</definedName>
    <definedName name="__x15" hidden="1">#REF!</definedName>
    <definedName name="__x16" hidden="1">#REF!</definedName>
    <definedName name="__x17" hidden="1">#REF!</definedName>
    <definedName name="__x18" hidden="1">#REF!</definedName>
    <definedName name="__x19" hidden="1">#REF!</definedName>
    <definedName name="__x20" hidden="1">#REF!</definedName>
    <definedName name="__x21" hidden="1">#REF!</definedName>
    <definedName name="__x22" hidden="1">#REF!</definedName>
    <definedName name="__x23" hidden="1">#REF!</definedName>
    <definedName name="__x24" hidden="1">#REF!</definedName>
    <definedName name="__x25" hidden="1">#REF!</definedName>
    <definedName name="__x28" hidden="1">#REF!</definedName>
    <definedName name="__x29" hidden="1">#REF!</definedName>
    <definedName name="__x32" hidden="1">#REF!</definedName>
    <definedName name="__x4" hidden="1">#REF!</definedName>
    <definedName name="__x5" hidden="1">#REF!</definedName>
    <definedName name="__x6" hidden="1">#REF!</definedName>
    <definedName name="__x7" hidden="1">#REF!</definedName>
    <definedName name="__x8" hidden="1">#REF!</definedName>
    <definedName name="__x9" hidden="1">#REF!</definedName>
    <definedName name="_0.CURVA_OBRA">#REF!</definedName>
    <definedName name="_00.VAR._GASTO">#REF!</definedName>
    <definedName name="_000.CURVA_FINA">#REF!</definedName>
    <definedName name="_1">#REF!</definedName>
    <definedName name="_1__123Graph_ACHART_1" hidden="1">#REF!</definedName>
    <definedName name="_10__123Graph_CCHART_1" hidden="1">#REF!</definedName>
    <definedName name="_11.SERV.TECNIC">#REF!</definedName>
    <definedName name="_11__123Graph_DCHART_1" hidden="1">#REF!</definedName>
    <definedName name="_12.GAST_GERAIS">#REF!</definedName>
    <definedName name="_12__123Graph_XChart_1A" hidden="1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1Dist_Val" hidden="1">#REF!</definedName>
    <definedName name="_2">#REF!</definedName>
    <definedName name="_2__123Graph_BCHART_1" hidden="1">#REF!</definedName>
    <definedName name="_25.PREP.TERREN">#REF!</definedName>
    <definedName name="_27.FUND._ESCOR">#REF!</definedName>
    <definedName name="_2F" hidden="1">#REF!</definedName>
    <definedName name="_3__123Graph_XCHART_1" hidden="1">#REF!</definedName>
    <definedName name="_31_32_33.C_A">#REF!</definedName>
    <definedName name="_41.ALVENARIA">#REF!</definedName>
    <definedName name="_47.IMP._ISOLA.">#REF!</definedName>
    <definedName name="_5__123Graph_ACHART_1" hidden="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6__123Graph_AChart_1A" hidden="1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7__123Graph_ACHART_2" hidden="1">#REF!</definedName>
    <definedName name="_71_73.I.ELET_H">#REF!</definedName>
    <definedName name="_77.OUTRAS_INST.">#REF!</definedName>
    <definedName name="_78.ELEVADORES">#REF!</definedName>
    <definedName name="_8__123Graph_BChart_1A" hidden="1">#REF!</definedName>
    <definedName name="_81.APAR._SANIT">#REF!</definedName>
    <definedName name="_83_85.PINT_LIM">#REF!</definedName>
    <definedName name="_9__123Graph_BCHART_2" hidden="1">#REF!</definedName>
    <definedName name="_ACR10">#REF!</definedName>
    <definedName name="_ACR15">#REF!</definedName>
    <definedName name="_acr20">#REF!</definedName>
    <definedName name="_acr5">#REF!</definedName>
    <definedName name="_AMO_UniqueIdentifier" hidden="1">"'54256040-62ff-475a-9348-dbdfce08df30'"</definedName>
    <definedName name="_ARQ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e3">#REF!</definedName>
    <definedName name="_Axe4">#REF!</definedName>
    <definedName name="_Builtin13" hidden="1">#REF!</definedName>
    <definedName name="_CAB1">#REF!</definedName>
    <definedName name="_CAB2">#REF!</definedName>
    <definedName name="_CO2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 hidden="1">#REF!</definedName>
    <definedName name="_Dist_Values" hidden="1">#REF!</definedName>
    <definedName name="_ECS1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 hidden="1">#REF!</definedName>
    <definedName name="_fill1" hidden="1">#REF!</definedName>
    <definedName name="_FiltrarBancoDados2" hidden="1">#REF!</definedName>
    <definedName name="_xlnm._FilterDatabase" localSheetId="4" hidden="1">HOTEL!$G$3:$I$449</definedName>
    <definedName name="_xlnm._FilterDatabase" localSheetId="3" hidden="1">INDIRETOS!$G$3:$I$89</definedName>
    <definedName name="_xlnm._FilterDatabase" localSheetId="0" hidden="1">#REF!</definedName>
    <definedName name="_xlnm._FilterDatabase" localSheetId="5" hidden="1">RESIDENCIAL!$G$3:$I$467</definedName>
    <definedName name="_xlnm._FilterDatabase" hidden="1">#REF!</definedName>
    <definedName name="_htm2">#REF!</definedName>
    <definedName name="_htn2">#REF!</definedName>
    <definedName name="_IA0542" localSheetId="2" hidden="1">{#N/A,#N/A,FALSE,"Plan1";#N/A,#N/A,FALSE,"Plan2"}</definedName>
    <definedName name="_IA0542" localSheetId="0" hidden="1">{#N/A,#N/A,FALSE,"Plan1";#N/A,#N/A,FALSE,"Plan2"}</definedName>
    <definedName name="_IA0542" hidden="1">{#N/A,#N/A,FALSE,"Plan1";#N/A,#N/A,FALSE,"Plan2"}</definedName>
    <definedName name="_iss2">#REF!</definedName>
    <definedName name="_IV65617">#REF!</definedName>
    <definedName name="_IV65999">#REF!</definedName>
    <definedName name="_IV66000">#REF!</definedName>
    <definedName name="_IV67021">#REF!</definedName>
    <definedName name="_IV67022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EY3" localSheetId="0" hidden="1">#REF!</definedName>
    <definedName name="_KEY3" hidden="1">#REF!</definedName>
    <definedName name="_key4" hidden="1">#REF!</definedName>
    <definedName name="_l">#REF!</definedName>
    <definedName name="_la29" hidden="1">#REF!</definedName>
    <definedName name="_la3" hidden="1">#REF!</definedName>
    <definedName name="_la31" hidden="1">#REF!</definedName>
    <definedName name="_la32" hidden="1">#REF!</definedName>
    <definedName name="_la4" hidden="1">#REF!</definedName>
    <definedName name="_la5" hidden="1">#REF!</definedName>
    <definedName name="_la6" hidden="1">#REF!</definedName>
    <definedName name="_la7" hidden="1">#REF!</definedName>
    <definedName name="_la8" hidden="1">#REF!</definedName>
    <definedName name="_la9" hidden="1">#REF!</definedName>
    <definedName name="_lb1" hidden="1">#REF!</definedName>
    <definedName name="_lb10" hidden="1">#REF!</definedName>
    <definedName name="_lb11" hidden="1">#REF!</definedName>
    <definedName name="_lb12" hidden="1">#REF!</definedName>
    <definedName name="_lb13" hidden="1">#REF!</definedName>
    <definedName name="_lb14" hidden="1">#REF!</definedName>
    <definedName name="_lb15" hidden="1">#REF!</definedName>
    <definedName name="_lb16" hidden="1">#REF!</definedName>
    <definedName name="_lb17" hidden="1">#REF!</definedName>
    <definedName name="_lb18" hidden="1">#REF!</definedName>
    <definedName name="_lb19" hidden="1">#REF!</definedName>
    <definedName name="_lb2" hidden="1">#REF!</definedName>
    <definedName name="_lb20" hidden="1">#REF!</definedName>
    <definedName name="_lb21" hidden="1">#REF!</definedName>
    <definedName name="_lb22" hidden="1">#REF!</definedName>
    <definedName name="_lb23" hidden="1">#REF!</definedName>
    <definedName name="_lb24" hidden="1">#REF!</definedName>
    <definedName name="_lb25" hidden="1">#REF!</definedName>
    <definedName name="_lb27" hidden="1">#REF!</definedName>
    <definedName name="_lb28" hidden="1">#REF!</definedName>
    <definedName name="_lb29" hidden="1">#REF!</definedName>
    <definedName name="_lb3" hidden="1">#REF!</definedName>
    <definedName name="_lb30" hidden="1">#REF!</definedName>
    <definedName name="_lb31" hidden="1">#REF!</definedName>
    <definedName name="_lb32" hidden="1">#REF!</definedName>
    <definedName name="_lb4" hidden="1">#REF!</definedName>
    <definedName name="_lb5" hidden="1">#REF!</definedName>
    <definedName name="_lb6" hidden="1">#REF!</definedName>
    <definedName name="_lb7" hidden="1">#REF!</definedName>
    <definedName name="_lb8" hidden="1">#REF!</definedName>
    <definedName name="_lb9" hidden="1">#REF!</definedName>
    <definedName name="_lbc1" hidden="1">#REF!</definedName>
    <definedName name="_lbc10" hidden="1">#REF!</definedName>
    <definedName name="_lbc11" hidden="1">#REF!</definedName>
    <definedName name="_lbc12" hidden="1">#REF!</definedName>
    <definedName name="_lbc13" hidden="1">#REF!</definedName>
    <definedName name="_lbc14" hidden="1">#REF!</definedName>
    <definedName name="_lbc15" hidden="1">#REF!</definedName>
    <definedName name="_lbc16" hidden="1">#REF!</definedName>
    <definedName name="_lbc17" hidden="1">#REF!</definedName>
    <definedName name="_lbc18" hidden="1">#REF!</definedName>
    <definedName name="_lbc19" hidden="1">#REF!</definedName>
    <definedName name="_lbc2" hidden="1">#REF!</definedName>
    <definedName name="_lbc20" hidden="1">#REF!</definedName>
    <definedName name="_lbc21" hidden="1">#REF!</definedName>
    <definedName name="_lbc22" hidden="1">#REF!</definedName>
    <definedName name="_lbc23" hidden="1">#REF!</definedName>
    <definedName name="_lbc24" hidden="1">#REF!</definedName>
    <definedName name="_lbc25" hidden="1">#REF!</definedName>
    <definedName name="_lbc26" hidden="1">#REF!</definedName>
    <definedName name="_lbc27" hidden="1">#REF!</definedName>
    <definedName name="_lbc28" hidden="1">#REF!</definedName>
    <definedName name="_lbc29" hidden="1">#REF!</definedName>
    <definedName name="_lbc3" hidden="1">#REF!</definedName>
    <definedName name="_lbc31" hidden="1">#REF!</definedName>
    <definedName name="_lbc32" hidden="1">#REF!</definedName>
    <definedName name="_lbc4" hidden="1">#REF!</definedName>
    <definedName name="_lbc5" hidden="1">#REF!</definedName>
    <definedName name="_lbc6" hidden="1">#REF!</definedName>
    <definedName name="_lbc7" hidden="1">#REF!</definedName>
    <definedName name="_lbc8" hidden="1">#REF!</definedName>
    <definedName name="_lbc9" hidden="1">#REF!</definedName>
    <definedName name="_ld26" hidden="1">#REF!</definedName>
    <definedName name="_ld31" hidden="1">#REF!</definedName>
    <definedName name="_le31" hidden="1">#REF!</definedName>
    <definedName name="_lf31" hidden="1">#REF!</definedName>
    <definedName name="_MatInverse_In" hidden="1">#REF!</definedName>
    <definedName name="_MatMult_A" hidden="1">#REF!</definedName>
    <definedName name="_MatMult_AxB" hidden="1">#REF!</definedName>
    <definedName name="_MatMult_B" hidden="1">#REF!</definedName>
    <definedName name="_new11" localSheetId="2" hidden="1">{#N/A,#N/A,FALSE,"Global by BU";#N/A,#N/A,FALSE,"U.S. by BU";#N/A,#N/A,FALSE,"Canada by BU";#N/A,#N/A,FALSE,"Europe by BU";#N/A,#N/A,FALSE,"Asia by BU";#N/A,#N/A,FALSE,"Cala by BU"}</definedName>
    <definedName name="_new11" localSheetId="0" hidden="1">{#N/A,#N/A,FALSE,"Global by BU";#N/A,#N/A,FALSE,"U.S. by BU";#N/A,#N/A,FALSE,"Canada by BU";#N/A,#N/A,FALSE,"Europe by BU";#N/A,#N/A,FALSE,"Asia by BU";#N/A,#N/A,FALSE,"Cala by BU"}</definedName>
    <definedName name="_new11" hidden="1">{#N/A,#N/A,FALSE,"Global by BU";#N/A,#N/A,FALSE,"U.S. by BU";#N/A,#N/A,FALSE,"Canada by BU";#N/A,#N/A,FALSE,"Europe by BU";#N/A,#N/A,FALSE,"Asia by BU";#N/A,#N/A,FALSE,"Cala by BU"}</definedName>
    <definedName name="_Order1" hidden="1">0</definedName>
    <definedName name="_Order2" localSheetId="0" hidden="1">255</definedName>
    <definedName name="_Order2" hidden="1">0</definedName>
    <definedName name="_Parse_Out" localSheetId="0" hidden="1">#REF!</definedName>
    <definedName name="_Parse_Out" hidden="1">#REF!</definedName>
    <definedName name="_PAV01">#REF!</definedName>
    <definedName name="_PAV02">#REF!</definedName>
    <definedName name="_PAV03">#REF!</definedName>
    <definedName name="_PAV04">#REF!</definedName>
    <definedName name="_PAV05">#REF!</definedName>
    <definedName name="_PAV06">#REF!</definedName>
    <definedName name="_PAV07">#REF!</definedName>
    <definedName name="_PAV08">#REF!</definedName>
    <definedName name="_PAV09">#REF!</definedName>
    <definedName name="_PAV10">#REF!</definedName>
    <definedName name="_PAV11">#REF!</definedName>
    <definedName name="_PK2" localSheetId="2" hidden="1">{"'장비'!$A$3:$M$12"}</definedName>
    <definedName name="_PK2" localSheetId="0" hidden="1">{"'장비'!$A$3:$M$12"}</definedName>
    <definedName name="_PK2" hidden="1">{"'장비'!$A$3:$M$12"}</definedName>
    <definedName name="_PKG3" localSheetId="2" hidden="1">{"'장비'!$A$3:$M$12"}</definedName>
    <definedName name="_PKG3" localSheetId="0" hidden="1">{"'장비'!$A$3:$M$12"}</definedName>
    <definedName name="_PKG3" hidden="1">{"'장비'!$A$3:$M$12"}</definedName>
    <definedName name="_qqq222" localSheetId="2" hidden="1">{"'장비'!$A$3:$M$12"}</definedName>
    <definedName name="_qqq222" localSheetId="0" hidden="1">{"'장비'!$A$3:$M$12"}</definedName>
    <definedName name="_qqq222" hidden="1">{"'장비'!$A$3:$M$12"}</definedName>
    <definedName name="_QT100">#REF!</definedName>
    <definedName name="_QT2">#REF!</definedName>
    <definedName name="_QT3">#REF!</definedName>
    <definedName name="_QT4">#REF!</definedName>
    <definedName name="_QT50">#REF!</definedName>
    <definedName name="_QT75">#REF!</definedName>
    <definedName name="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fe5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 hidden="1">#REF!</definedName>
    <definedName name="_T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_wer3" localSheetId="2" hidden="1">{#N/A,#N/A,FALSE,"Plan1";#N/A,#N/A,FALSE,"Plan2"}</definedName>
    <definedName name="_wer3" localSheetId="0" hidden="1">{#N/A,#N/A,FALSE,"Plan1";#N/A,#N/A,FALSE,"Plan2"}</definedName>
    <definedName name="_wer3" hidden="1">{#N/A,#N/A,FALSE,"Plan1";#N/A,#N/A,FALSE,"Plan2"}</definedName>
    <definedName name="_wrn.pendenci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hidden="1">#REF!</definedName>
    <definedName name="_x11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18" hidden="1">#REF!</definedName>
    <definedName name="_x19" hidden="1">#REF!</definedName>
    <definedName name="_x20" hidden="1">#REF!</definedName>
    <definedName name="_x21" hidden="1">#REF!</definedName>
    <definedName name="_x22" hidden="1">#REF!</definedName>
    <definedName name="_x23" hidden="1">#REF!</definedName>
    <definedName name="_x24" hidden="1">#REF!</definedName>
    <definedName name="_x25" hidden="1">#REF!</definedName>
    <definedName name="_x28" hidden="1">#REF!</definedName>
    <definedName name="_x29" hidden="1">#REF!</definedName>
    <definedName name="_x32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_xlcn.WorksheetConnection_2018_03ResumoRGOObrasRJ.xlsbTabela1" hidden="1">#REF!</definedName>
    <definedName name="_xlcn.WorksheetConnection_ProjetocontrolefisicoefinanceiroRJ.xlsxTabela31" hidden="1">#REF!</definedName>
    <definedName name="´cAE°eE¹" hidden="1">#REF!</definedName>
    <definedName name="￠￥cAE¡ÆeEⓒo" hidden="1">#REF!</definedName>
    <definedName name="a" hidden="1">#REF!</definedName>
    <definedName name="a\sgt" localSheetId="2" hidden="1">{#N/A,#N/A,FALSE,"Plan1";#N/A,#N/A,FALSE,"Plan2"}</definedName>
    <definedName name="a\sgt" localSheetId="0" hidden="1">{#N/A,#N/A,FALSE,"Plan1";#N/A,#N/A,FALSE,"Plan2"}</definedName>
    <definedName name="a\sgt" hidden="1">{#N/A,#N/A,FALSE,"Plan1";#N/A,#N/A,FALSE,"Plan2"}</definedName>
    <definedName name="aa" localSheetId="0">#REF!</definedName>
    <definedName name="aa">#REF!</definedName>
    <definedName name="aaa">#REF!</definedName>
    <definedName name="aaaa" localSheetId="0">'[1]M.O.'!#REF!</definedName>
    <definedName name="aaaa">#REF!</definedName>
    <definedName name="aaaaaaaaa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>#REF!</definedName>
    <definedName name="aaacccc" localSheetId="2" hidden="1">{#N/A,#N/A,FALSE,"Plan1";#N/A,#N/A,FALSE,"Plan2"}</definedName>
    <definedName name="aaacccc" localSheetId="0" hidden="1">{#N/A,#N/A,FALSE,"Plan1";#N/A,#N/A,FALSE,"Plan2"}</definedName>
    <definedName name="aaacccc" hidden="1">{#N/A,#N/A,FALSE,"Plan1";#N/A,#N/A,FALSE,"Plan2"}</definedName>
    <definedName name="aaas">#REF!</definedName>
    <definedName name="AB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 localSheetId="0">#REF!</definedName>
    <definedName name="AB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at_ISS">#REF!</definedName>
    <definedName name="abc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 hidden="1">#REF!</definedName>
    <definedName name="abebqt">#REF!</definedName>
    <definedName name="abr17RJ">#REF!</definedName>
    <definedName name="ABRIL">#REF!</definedName>
    <definedName name="ABRIL2001">#REF!</definedName>
    <definedName name="ac" localSheetId="0" hidden="1">#REF!</definedName>
    <definedName name="ac" hidden="1">#REF!</definedName>
    <definedName name="Acabam.">#REF!</definedName>
    <definedName name="ACADUC">#REF!</definedName>
    <definedName name="ACBEB">#REF!</definedName>
    <definedName name="ACBOMB">#REF!</definedName>
    <definedName name="AccessDatabase" hidden="1">"C:\posec\DATABASE\vlv_list\vlvlist1.mdb"</definedName>
    <definedName name="ACCHAF">#REF!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db" hidden="1">#REF!</definedName>
    <definedName name="ACDER">#REF!</definedName>
    <definedName name="ACDIV">#REF!</definedName>
    <definedName name="ACDS" localSheetId="0" hidden="1">#REF!</definedName>
    <definedName name="ACDS" hidden="1">#REF!</definedName>
    <definedName name="ACEQP">#REF!</definedName>
    <definedName name="ACHAFQT">#REF!</definedName>
    <definedName name="achar18" localSheetId="0" hidden="1">#REF!</definedName>
    <definedName name="achar18" hidden="1">#REF!</definedName>
    <definedName name="achar19" hidden="1">#REF!</definedName>
    <definedName name="achart1" hidden="1">#REF!</definedName>
    <definedName name="achart10" hidden="1">#REF!</definedName>
    <definedName name="achart11" hidden="1">#REF!</definedName>
    <definedName name="achart12" hidden="1">#REF!</definedName>
    <definedName name="achart13" hidden="1">#REF!</definedName>
    <definedName name="achart14" hidden="1">#REF!</definedName>
    <definedName name="achart15" hidden="1">#REF!</definedName>
    <definedName name="achart16" hidden="1">#REF!</definedName>
    <definedName name="achart17" hidden="1">#REF!</definedName>
    <definedName name="achart2" hidden="1">#REF!</definedName>
    <definedName name="achart20" hidden="1">#REF!</definedName>
    <definedName name="achart21" hidden="1">#REF!</definedName>
    <definedName name="achart22" hidden="1">#REF!</definedName>
    <definedName name="achart23" hidden="1">#REF!</definedName>
    <definedName name="achart24" hidden="1">#REF!</definedName>
    <definedName name="achart25" hidden="1">#REF!</definedName>
    <definedName name="achart26" hidden="1">#REF!</definedName>
    <definedName name="achart27" hidden="1">#REF!</definedName>
    <definedName name="achart28" hidden="1">#REF!</definedName>
    <definedName name="achart29" hidden="1">#REF!</definedName>
    <definedName name="achart3" hidden="1">#REF!</definedName>
    <definedName name="achart30" hidden="1">#REF!</definedName>
    <definedName name="achart31" hidden="1">#REF!</definedName>
    <definedName name="achart32" hidden="1">#REF!</definedName>
    <definedName name="achart4" hidden="1">#REF!</definedName>
    <definedName name="achart5" hidden="1">#REF!</definedName>
    <definedName name="achart6" hidden="1">#REF!</definedName>
    <definedName name="achart7" hidden="1">#REF!</definedName>
    <definedName name="achart8" hidden="1">#REF!</definedName>
    <definedName name="achart9" hidden="1">#REF!</definedName>
    <definedName name="ACMUR">#REF!</definedName>
    <definedName name="açoeeer" localSheetId="2" hidden="1">{#N/A,#N/A,FALSE,"Plan1";#N/A,#N/A,FALSE,"Plan2"}</definedName>
    <definedName name="açoeeer" localSheetId="0" hidden="1">{#N/A,#N/A,FALSE,"Plan1";#N/A,#N/A,FALSE,"Plan2"}</definedName>
    <definedName name="açoeeer" hidden="1">{#N/A,#N/A,FALSE,"Plan1";#N/A,#N/A,FALSE,"Plan2"}</definedName>
    <definedName name="ACOMP">#REF!</definedName>
    <definedName name="ACONT2">#REF!</definedName>
    <definedName name="ACPIPA">#REF!</definedName>
    <definedName name="ACTRANSP">#REF!</definedName>
    <definedName name="ACwvu.Características." localSheetId="0" hidden="1">#REF!</definedName>
    <definedName name="ACwvu.Características." hidden="1">#REF!</definedName>
    <definedName name="ACwvu.Ciclos." localSheetId="0" hidden="1">#REF!</definedName>
    <definedName name="ACwvu.Ciclos." hidden="1">#REF!</definedName>
    <definedName name="ACwvu.Custos." localSheetId="0" hidden="1">#REF!</definedName>
    <definedName name="ACwvu.Custos." hidden="1">#REF!</definedName>
    <definedName name="ACwvu.PLANILHA2." hidden="1">#REF!</definedName>
    <definedName name="ACwvu.Recursos." hidden="1">#REF!</definedName>
    <definedName name="ad" localSheetId="2" hidden="1">{#N/A,#N/A,FALSE,"Plan1";#N/A,#N/A,FALSE,"Plan2"}</definedName>
    <definedName name="ad" localSheetId="0" hidden="1">{#N/A,#N/A,FALSE,"Plan1";#N/A,#N/A,FALSE,"Plan2"}</definedName>
    <definedName name="ad" hidden="1">{#N/A,#N/A,FALSE,"Plan1";#N/A,#N/A,FALSE,"Plan2"}</definedName>
    <definedName name="adads" localSheetId="2" hidden="1">{#N/A,#N/A,FALSE,"Plan1";#N/A,#N/A,FALSE,"Plan2"}</definedName>
    <definedName name="adads" localSheetId="0" hidden="1">{#N/A,#N/A,FALSE,"Plan1";#N/A,#N/A,FALSE,"Plan2"}</definedName>
    <definedName name="adads" hidden="1">{#N/A,#N/A,FALSE,"Plan1";#N/A,#N/A,FALSE,"Plan2"}</definedName>
    <definedName name="adads2" localSheetId="2" hidden="1">{#N/A,#N/A,FALSE,"Plan1";#N/A,#N/A,FALSE,"Plan2"}</definedName>
    <definedName name="adads2" localSheetId="0" hidden="1">{#N/A,#N/A,FALSE,"Plan1";#N/A,#N/A,FALSE,"Plan2"}</definedName>
    <definedName name="adads2" hidden="1">{#N/A,#N/A,FALSE,"Plan1";#N/A,#N/A,FALSE,"Plan2"}</definedName>
    <definedName name="adced" localSheetId="2" hidden="1">{#N/A,#N/A,FALSE,"Plan1";#N/A,#N/A,FALSE,"Plan2"}</definedName>
    <definedName name="adced" localSheetId="0" hidden="1">{#N/A,#N/A,FALSE,"Plan1";#N/A,#N/A,FALSE,"Plan2"}</definedName>
    <definedName name="adced" hidden="1">{#N/A,#N/A,FALSE,"Plan1";#N/A,#N/A,FALSE,"Plan2"}</definedName>
    <definedName name="adced2" localSheetId="2" hidden="1">{#N/A,#N/A,FALSE,"Plan1";#N/A,#N/A,FALSE,"Plan2"}</definedName>
    <definedName name="adced2" localSheetId="0" hidden="1">{#N/A,#N/A,FALSE,"Plan1";#N/A,#N/A,FALSE,"Plan2"}</definedName>
    <definedName name="adced2" hidden="1">{#N/A,#N/A,FALSE,"Plan1";#N/A,#N/A,FALSE,"Plan2"}</definedName>
    <definedName name="ader" localSheetId="2" hidden="1">{#N/A,#N/A,FALSE,"Plan1";#N/A,#N/A,FALSE,"Plan2"}</definedName>
    <definedName name="ader" localSheetId="0" hidden="1">{#N/A,#N/A,FALSE,"Plan1";#N/A,#N/A,FALSE,"Plan2"}</definedName>
    <definedName name="ader" hidden="1">{#N/A,#N/A,FALSE,"Plan1";#N/A,#N/A,FALSE,"Plan2"}</definedName>
    <definedName name="ader2" localSheetId="2" hidden="1">{#N/A,#N/A,FALSE,"Plan1";#N/A,#N/A,FALSE,"Plan2"}</definedName>
    <definedName name="ader2" localSheetId="0" hidden="1">{#N/A,#N/A,FALSE,"Plan1";#N/A,#N/A,FALSE,"Plan2"}</definedName>
    <definedName name="ader2" hidden="1">{#N/A,#N/A,FALSE,"Plan1";#N/A,#N/A,FALSE,"Plan2"}</definedName>
    <definedName name="adesr" localSheetId="2" hidden="1">{#N/A,#N/A,FALSE,"Plan1";#N/A,#N/A,FALSE,"Plan2"}</definedName>
    <definedName name="adesr" localSheetId="0" hidden="1">{#N/A,#N/A,FALSE,"Plan1";#N/A,#N/A,FALSE,"Plan2"}</definedName>
    <definedName name="adesr" hidden="1">{#N/A,#N/A,FALSE,"Plan1";#N/A,#N/A,FALSE,"Plan2"}</definedName>
    <definedName name="adew" hidden="1">"3ORZTPXRHBU97C8AJ5UM8CAVA"</definedName>
    <definedName name="adewr" localSheetId="2" hidden="1">{#N/A,#N/A,FALSE,"Plan1";#N/A,#N/A,FALSE,"Plan2"}</definedName>
    <definedName name="adewr" localSheetId="0" hidden="1">{#N/A,#N/A,FALSE,"Plan1";#N/A,#N/A,FALSE,"Plan2"}</definedName>
    <definedName name="adewr" hidden="1">{#N/A,#N/A,FALSE,"Plan1";#N/A,#N/A,FALSE,"Plan2"}</definedName>
    <definedName name="adf" localSheetId="2" hidden="1">{#N/A,#N/A,FALSE,"Plan1";#N/A,#N/A,FALSE,"Plan2"}</definedName>
    <definedName name="adf" localSheetId="0" hidden="1">{#N/A,#N/A,FALSE,"Plan1";#N/A,#N/A,FALSE,"Plan2"}</definedName>
    <definedName name="adf" hidden="1">{#N/A,#N/A,FALSE,"Plan1";#N/A,#N/A,FALSE,"Plan2"}</definedName>
    <definedName name="ADITIVO_BRUTO">#REF!</definedName>
    <definedName name="ADITIVO_LIQUIDO">#REF!</definedName>
    <definedName name="ADM.EXTERNA">#REF!</definedName>
    <definedName name="adsfr" localSheetId="2" hidden="1">{#N/A,#N/A,FALSE,"Plan1";#N/A,#N/A,FALSE,"Plan2"}</definedName>
    <definedName name="adsfr" localSheetId="0" hidden="1">{#N/A,#N/A,FALSE,"Plan1";#N/A,#N/A,FALSE,"Plan2"}</definedName>
    <definedName name="adsfr" hidden="1">{#N/A,#N/A,FALSE,"Plan1";#N/A,#N/A,FALSE,"Plan2"}</definedName>
    <definedName name="adssrgtg" localSheetId="2" hidden="1">{#N/A,#N/A,FALSE,"Plan1";#N/A,#N/A,FALSE,"Plan2"}</definedName>
    <definedName name="adssrgtg" localSheetId="0" hidden="1">{#N/A,#N/A,FALSE,"Plan1";#N/A,#N/A,FALSE,"Plan2"}</definedName>
    <definedName name="adssrgtg" hidden="1">{#N/A,#N/A,FALSE,"Plan1";#N/A,#N/A,FALSE,"Plan2"}</definedName>
    <definedName name="adtsetrr6t" localSheetId="2" hidden="1">{#N/A,#N/A,FALSE,"Plan1";#N/A,#N/A,FALSE,"Plan2"}</definedName>
    <definedName name="adtsetrr6t" localSheetId="0" hidden="1">{#N/A,#N/A,FALSE,"Plan1";#N/A,#N/A,FALSE,"Plan2"}</definedName>
    <definedName name="adtsetrr6t" hidden="1">{#N/A,#N/A,FALSE,"Plan1";#N/A,#N/A,FALSE,"Plan2"}</definedName>
    <definedName name="ADUCQT">#REF!</definedName>
    <definedName name="adwr" localSheetId="2" hidden="1">{#N/A,#N/A,FALSE,"Plan1";#N/A,#N/A,FALSE,"Plan2"}</definedName>
    <definedName name="adwr" localSheetId="0" hidden="1">{#N/A,#N/A,FALSE,"Plan1";#N/A,#N/A,FALSE,"Plan2"}</definedName>
    <definedName name="adwr" hidden="1">{#N/A,#N/A,FALSE,"Plan1";#N/A,#N/A,FALSE,"Plan2"}</definedName>
    <definedName name="aeiresft" localSheetId="2" hidden="1">{#N/A,#N/A,FALSE,"Plan1";#N/A,#N/A,FALSE,"Plan2"}</definedName>
    <definedName name="aeiresft" localSheetId="0" hidden="1">{#N/A,#N/A,FALSE,"Plan1";#N/A,#N/A,FALSE,"Plan2"}</definedName>
    <definedName name="aeiresft" hidden="1">{#N/A,#N/A,FALSE,"Plan1";#N/A,#N/A,FALSE,"Plan2"}</definedName>
    <definedName name="aEL3QE" localSheetId="2" hidden="1">{#N/A,#N/A,FALSE,"Plan1";#N/A,#N/A,FALSE,"Plan2"}</definedName>
    <definedName name="aEL3QE" localSheetId="0" hidden="1">{#N/A,#N/A,FALSE,"Plan1";#N/A,#N/A,FALSE,"Plan2"}</definedName>
    <definedName name="aEL3QE" hidden="1">{#N/A,#N/A,FALSE,"Plan1";#N/A,#N/A,FALSE,"Plan2"}</definedName>
    <definedName name="afeasfre" localSheetId="2" hidden="1">{#N/A,#N/A,FALSE,"Plan1";#N/A,#N/A,FALSE,"Plan2"}</definedName>
    <definedName name="afeasfre" localSheetId="0" hidden="1">{#N/A,#N/A,FALSE,"Plan1";#N/A,#N/A,FALSE,"Plan2"}</definedName>
    <definedName name="afeasfre" hidden="1">{#N/A,#N/A,FALSE,"Plan1";#N/A,#N/A,FALSE,"Plan2"}</definedName>
    <definedName name="agdsf" hidden="1">#REF!</definedName>
    <definedName name="ago17RJ">#REF!</definedName>
    <definedName name="AGOSTO">#REF!</definedName>
    <definedName name="agu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localSheetId="2" hidden="1">{#N/A,#N/A,FALSE,"CCTV"}</definedName>
    <definedName name="AH" localSheetId="0" hidden="1">{#N/A,#N/A,FALSE,"CCTV"}</definedName>
    <definedName name="AH" hidden="1">{#N/A,#N/A,FALSE,"CCTV"}</definedName>
    <definedName name="AITEM">#REF!</definedName>
    <definedName name="Ajudante_Geral">#REF!</definedName>
    <definedName name="ajudante_mes">#REF!</definedName>
    <definedName name="AL">#REF!</definedName>
    <definedName name="ALTADUC">#REF!</definedName>
    <definedName name="ALTBOMB">#REF!</definedName>
    <definedName name="ALTCAP">#REF!</definedName>
    <definedName name="ALTDER">#REF!</definedName>
    <definedName name="ALTEQUIP">#REF!</definedName>
    <definedName name="ALTIEQP">#REF!</definedName>
    <definedName name="ALTMUR">#REF!</definedName>
    <definedName name="ALTRES10">#REF!</definedName>
    <definedName name="ALTRES15">#REF!</definedName>
    <definedName name="ALTRES20">#REF!</definedName>
    <definedName name="ALTTRANS">#REF!</definedName>
    <definedName name="ALUMÍNIO_2">#REF!</definedName>
    <definedName name="angelo" localSheetId="0">[2]Geral!#REF!</definedName>
    <definedName name="angelo">#REF!</definedName>
    <definedName name="anscount" localSheetId="0" hidden="1">3</definedName>
    <definedName name="anscount" hidden="1">1</definedName>
    <definedName name="AQE" localSheetId="2" hidden="1">{"'장비'!$A$3:$M$12"}</definedName>
    <definedName name="AQE" localSheetId="0" hidden="1">{"'장비'!$A$3:$M$12"}</definedName>
    <definedName name="AQE" hidden="1">{"'장비'!$A$3:$M$12"}</definedName>
    <definedName name="AQTEMP1">#REF!</definedName>
    <definedName name="AQTEMP2">#REF!</definedName>
    <definedName name="ArComprimido" localSheetId="2" hidden="1">{"'Estimativa de Lançamento-JAN'!$A$1:$AI$85"}</definedName>
    <definedName name="ArComprimido" localSheetId="0" hidden="1">{"'Estimativa de Lançamento-JAN'!$A$1:$AI$85"}</definedName>
    <definedName name="ArComprimido" hidden="1">{"'Estimativa de Lançamento-JAN'!$A$1:$AI$85"}</definedName>
    <definedName name="area" localSheetId="2" hidden="1">{#N/A,#N/A,FALSE,"Plan1";#N/A,#N/A,FALSE,"Plan2"}</definedName>
    <definedName name="area" localSheetId="0">#REF!</definedName>
    <definedName name="area" hidden="1">{#N/A,#N/A,FALSE,"Plan1";#N/A,#N/A,FALSE,"Plan2"}</definedName>
    <definedName name="área">#REF!</definedName>
    <definedName name="_xlnm.Print_Area" localSheetId="0">#REF!</definedName>
    <definedName name="_xlnm.Print_Area">#REF!</definedName>
    <definedName name="Área_impressão_IM">#REF!</definedName>
    <definedName name="area1">#REF!</definedName>
    <definedName name="Areaimpresso" localSheetId="0">#REF!</definedName>
    <definedName name="Areaimpresso">#REF!</definedName>
    <definedName name="ARM">#REF!</definedName>
    <definedName name="ARMABLOCOS">#REF!</definedName>
    <definedName name="ARMAÇÃO">#REF!</definedName>
    <definedName name="ARQ">#REF!</definedName>
    <definedName name="ARQERR">#REF!</definedName>
    <definedName name="ARQPLAN">#REF!</definedName>
    <definedName name="ARQT">#REF!</definedName>
    <definedName name="ARQTEMP">#REF!</definedName>
    <definedName name="ARQTXT">#REF!</definedName>
    <definedName name="ARTEMP">#REF!</definedName>
    <definedName name="AS">#REF!</definedName>
    <definedName name="AS2DocOpenMode" hidden="1">"AS2DocumentBrowse"</definedName>
    <definedName name="asawe3" localSheetId="2" hidden="1">{#N/A,#N/A,FALSE,"Plan1";#N/A,#N/A,FALSE,"Plan2"}</definedName>
    <definedName name="asawe3" localSheetId="0" hidden="1">{#N/A,#N/A,FALSE,"Plan1";#N/A,#N/A,FALSE,"Plan2"}</definedName>
    <definedName name="asawe3" hidden="1">{#N/A,#N/A,FALSE,"Plan1";#N/A,#N/A,FALSE,"Plan2"}</definedName>
    <definedName name="asd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" localSheetId="0" hidden="1">17</definedName>
    <definedName name="as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A" localSheetId="2" hidden="1">{#N/A,#N/A,FALSE,"Plan1";#N/A,#N/A,FALSE,"Plan2"}</definedName>
    <definedName name="ASDA" localSheetId="0" hidden="1">{#N/A,#N/A,FALSE,"Plan1";#N/A,#N/A,FALSE,"Plan2"}</definedName>
    <definedName name="ASDA" hidden="1">{#N/A,#N/A,FALSE,"Plan1";#N/A,#N/A,FALSE,"Plan2"}</definedName>
    <definedName name="asdade" localSheetId="2" hidden="1">{#N/A,#N/A,FALSE,"Plan1";#N/A,#N/A,FALSE,"Plan2"}</definedName>
    <definedName name="asdade" localSheetId="0" hidden="1">{#N/A,#N/A,FALSE,"Plan1";#N/A,#N/A,FALSE,"Plan2"}</definedName>
    <definedName name="asdade" hidden="1">{#N/A,#N/A,FALSE,"Plan1";#N/A,#N/A,FALSE,"Plan2"}</definedName>
    <definedName name="asdas" localSheetId="2" hidden="1">{#N/A,#N/A,FALSE,"Plan1";#N/A,#N/A,FALSE,"Plan2"}</definedName>
    <definedName name="asdas" localSheetId="0" hidden="1">{#N/A,#N/A,FALSE,"Plan1";#N/A,#N/A,FALSE,"Plan2"}</definedName>
    <definedName name="asdas" hidden="1">{#N/A,#N/A,FALSE,"Plan1";#N/A,#N/A,FALSE,"Plan2"}</definedName>
    <definedName name="asdawed" localSheetId="2" hidden="1">{#N/A,#N/A,FALSE,"Plan1";#N/A,#N/A,FALSE,"Plan2"}</definedName>
    <definedName name="asdawed" localSheetId="0" hidden="1">{#N/A,#N/A,FALSE,"Plan1";#N/A,#N/A,FALSE,"Plan2"}</definedName>
    <definedName name="asdawed" hidden="1">{#N/A,#N/A,FALSE,"Plan1";#N/A,#N/A,FALSE,"Plan2"}</definedName>
    <definedName name="ASDER" localSheetId="2" hidden="1">{#N/A,#N/A,FALSE,"Plan1";#N/A,#N/A,FALSE,"Plan2"}</definedName>
    <definedName name="ASDER" localSheetId="0" hidden="1">{#N/A,#N/A,FALSE,"Plan1";#N/A,#N/A,FALSE,"Plan2"}</definedName>
    <definedName name="ASDER" hidden="1">{#N/A,#N/A,FALSE,"Plan1";#N/A,#N/A,FALSE,"Plan2"}</definedName>
    <definedName name="asderr" localSheetId="2" hidden="1">{#N/A,#N/A,FALSE,"Plan1";#N/A,#N/A,FALSE,"Plan2"}</definedName>
    <definedName name="asderr" localSheetId="0" hidden="1">{#N/A,#N/A,FALSE,"Plan1";#N/A,#N/A,FALSE,"Plan2"}</definedName>
    <definedName name="asderr" hidden="1">{#N/A,#N/A,FALSE,"Plan1";#N/A,#N/A,FALSE,"Plan2"}</definedName>
    <definedName name="asdesre" localSheetId="2" hidden="1">{#N/A,#N/A,FALSE,"Plan1";#N/A,#N/A,FALSE,"Plan2"}</definedName>
    <definedName name="asdesre" localSheetId="0" hidden="1">{#N/A,#N/A,FALSE,"Plan1";#N/A,#N/A,FALSE,"Plan2"}</definedName>
    <definedName name="asdesre" hidden="1">{#N/A,#N/A,FALSE,"Plan1";#N/A,#N/A,FALSE,"Plan2"}</definedName>
    <definedName name="asdewr" localSheetId="2" hidden="1">{#N/A,#N/A,FALSE,"Plan1";#N/A,#N/A,FALSE,"Plan2"}</definedName>
    <definedName name="asdewr" localSheetId="0" hidden="1">{#N/A,#N/A,FALSE,"Plan1";#N/A,#N/A,FALSE,"Plan2"}</definedName>
    <definedName name="asdewr" hidden="1">{#N/A,#N/A,FALSE,"Plan1";#N/A,#N/A,FALSE,"Plan2"}</definedName>
    <definedName name="ASDFASDFA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localSheetId="2" hidden="1">{#N/A,#N/A,FALSE,"Plan1";#N/A,#N/A,FALSE,"Plan2"}</definedName>
    <definedName name="asdfs" localSheetId="0" hidden="1">{#N/A,#N/A,FALSE,"Plan1";#N/A,#N/A,FALSE,"Plan2"}</definedName>
    <definedName name="asdfs" hidden="1">{#N/A,#N/A,FALSE,"Plan1";#N/A,#N/A,FALSE,"Plan2"}</definedName>
    <definedName name="asdg" localSheetId="2" hidden="1">{#N/A,#N/A,FALSE,"Plan1";#N/A,#N/A,FALSE,"Plan2"}</definedName>
    <definedName name="asdg" localSheetId="0" hidden="1">{#N/A,#N/A,FALSE,"Plan1";#N/A,#N/A,FALSE,"Plan2"}</definedName>
    <definedName name="asdg" hidden="1">{#N/A,#N/A,FALSE,"Plan1";#N/A,#N/A,FALSE,"Plan2"}</definedName>
    <definedName name="asdjksej" hidden="1">#REF!</definedName>
    <definedName name="asdke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localSheetId="2" hidden="1">{#N/A,#N/A,FALSE,"Plan1";#N/A,#N/A,FALSE,"Plan2"}</definedName>
    <definedName name="asdlas" localSheetId="0" hidden="1">{#N/A,#N/A,FALSE,"Plan1";#N/A,#N/A,FALSE,"Plan2"}</definedName>
    <definedName name="asdlas" hidden="1">{#N/A,#N/A,FALSE,"Plan1";#N/A,#N/A,FALSE,"Plan2"}</definedName>
    <definedName name="asdqwe" localSheetId="2" hidden="1">{#N/A,#N/A,FALSE,"Plan1";#N/A,#N/A,FALSE,"Plan2"}</definedName>
    <definedName name="asdqwe" localSheetId="0" hidden="1">{#N/A,#N/A,FALSE,"Plan1";#N/A,#N/A,FALSE,"Plan2"}</definedName>
    <definedName name="asdqwe" hidden="1">{#N/A,#N/A,FALSE,"Plan1";#N/A,#N/A,FALSE,"Plan2"}</definedName>
    <definedName name="asdsa" localSheetId="2" hidden="1">{#N/A,#N/A,FALSE,"Plan1";#N/A,#N/A,FALSE,"Plan2"}</definedName>
    <definedName name="asdsa" localSheetId="0" hidden="1">{#N/A,#N/A,FALSE,"Plan1";#N/A,#N/A,FALSE,"Plan2"}</definedName>
    <definedName name="asdsa" hidden="1">{#N/A,#N/A,FALSE,"Plan1";#N/A,#N/A,FALSE,"Plan2"}</definedName>
    <definedName name="asdser" localSheetId="2" hidden="1">{#N/A,#N/A,FALSE,"Plan1";#N/A,#N/A,FALSE,"Plan2"}</definedName>
    <definedName name="asdser" localSheetId="0" hidden="1">{#N/A,#N/A,FALSE,"Plan1";#N/A,#N/A,FALSE,"Plan2"}</definedName>
    <definedName name="asdser" hidden="1">{#N/A,#N/A,FALSE,"Plan1";#N/A,#N/A,FALSE,"Plan2"}</definedName>
    <definedName name="asdwef" localSheetId="2" hidden="1">{#N/A,#N/A,FALSE,"Plan1";#N/A,#N/A,FALSE,"Plan2"}</definedName>
    <definedName name="asdwef" localSheetId="0" hidden="1">{#N/A,#N/A,FALSE,"Plan1";#N/A,#N/A,FALSE,"Plan2"}</definedName>
    <definedName name="asdwef" hidden="1">{#N/A,#N/A,FALSE,"Plan1";#N/A,#N/A,FALSE,"Plan2"}</definedName>
    <definedName name="aseiuw" hidden="1">#REF!</definedName>
    <definedName name="ASET" localSheetId="2" hidden="1">{#N/A,#N/A,FALSE,"Plan1";#N/A,#N/A,FALSE,"Plan2"}</definedName>
    <definedName name="ASET" localSheetId="0" hidden="1">{#N/A,#N/A,FALSE,"Plan1";#N/A,#N/A,FALSE,"Plan2"}</definedName>
    <definedName name="ASET" hidden="1">{#N/A,#N/A,FALSE,"Plan1";#N/A,#N/A,FALSE,"Plan2"}</definedName>
    <definedName name="asfDSF" localSheetId="2" hidden="1">{#N/A,#N/A,FALSE,"Plan1";#N/A,#N/A,FALSE,"Plan2"}</definedName>
    <definedName name="asfDSF" localSheetId="0" hidden="1">{#N/A,#N/A,FALSE,"Plan1";#N/A,#N/A,FALSE,"Plan2"}</definedName>
    <definedName name="asfDSF" hidden="1">{#N/A,#N/A,FALSE,"Plan1";#N/A,#N/A,FALSE,"Plan2"}</definedName>
    <definedName name="ASFERTE" localSheetId="2" hidden="1">{#N/A,#N/A,FALSE,"Plan1";#N/A,#N/A,FALSE,"Plan2"}</definedName>
    <definedName name="ASFERTE" localSheetId="0" hidden="1">{#N/A,#N/A,FALSE,"Plan1";#N/A,#N/A,FALSE,"Plan2"}</definedName>
    <definedName name="ASFERTE" hidden="1">{#N/A,#N/A,FALSE,"Plan1";#N/A,#N/A,FALSE,"Plan2"}</definedName>
    <definedName name="asfl" localSheetId="2" hidden="1">{#N/A,#N/A,FALSE,"Plan1";#N/A,#N/A,FALSE,"Plan2"}</definedName>
    <definedName name="asfl" localSheetId="0" hidden="1">{#N/A,#N/A,FALSE,"Plan1";#N/A,#N/A,FALSE,"Plan2"}</definedName>
    <definedName name="asfl" hidden="1">{#N/A,#N/A,FALSE,"Plan1";#N/A,#N/A,FALSE,"Plan2"}</definedName>
    <definedName name="asfsz" localSheetId="2" hidden="1">{#N/A,#N/A,FALSE,"Plan1";#N/A,#N/A,FALSE,"Plan2"}</definedName>
    <definedName name="asfsz" localSheetId="0" hidden="1">{#N/A,#N/A,FALSE,"Plan1";#N/A,#N/A,FALSE,"Plan2"}</definedName>
    <definedName name="asfsz" hidden="1">{#N/A,#N/A,FALSE,"Plan1";#N/A,#N/A,FALSE,"Plan2"}</definedName>
    <definedName name="askserf" localSheetId="2" hidden="1">{#N/A,#N/A,FALSE,"Plan1";#N/A,#N/A,FALSE,"Plan2"}</definedName>
    <definedName name="askserf" localSheetId="0" hidden="1">{#N/A,#N/A,FALSE,"Plan1";#N/A,#N/A,FALSE,"Plan2"}</definedName>
    <definedName name="askserf" hidden="1">{#N/A,#N/A,FALSE,"Plan1";#N/A,#N/A,FALSE,"Plan2"}</definedName>
    <definedName name="ASSFSDF" localSheetId="2" hidden="1">{#N/A,#N/A,FALSE,"Plan1";#N/A,#N/A,FALSE,"Plan2"}</definedName>
    <definedName name="ASSFSDF" localSheetId="0" hidden="1">{#N/A,#N/A,FALSE,"Plan1";#N/A,#N/A,FALSE,"Plan2"}</definedName>
    <definedName name="ASSFSDF" hidden="1">{#N/A,#N/A,FALSE,"Plan1";#N/A,#N/A,FALSE,"Plan2"}</definedName>
    <definedName name="asw" localSheetId="2" hidden="1">{#N/A,#N/A,FALSE,"Plan1";#N/A,#N/A,FALSE,"Plan2"}</definedName>
    <definedName name="asw" localSheetId="0" hidden="1">{#N/A,#N/A,FALSE,"Plan1";#N/A,#N/A,FALSE,"Plan2"}</definedName>
    <definedName name="asw" hidden="1">{#N/A,#N/A,FALSE,"Plan1";#N/A,#N/A,FALSE,"Plan2"}</definedName>
    <definedName name="Até_Chaves">#REF!</definedName>
    <definedName name="ATIVOS" localSheetId="2" hidden="1">{#N/A,#N/A,FALSE,"F-01"}</definedName>
    <definedName name="ATIVOS" localSheetId="0" hidden="1">{#N/A,#N/A,FALSE,"F-01"}</definedName>
    <definedName name="ATIVOS" hidden="1">{#N/A,#N/A,FALSE,"F-01"}</definedName>
    <definedName name="Ato">#REF!</definedName>
    <definedName name="ATUAL">#REF!</definedName>
    <definedName name="aux" localSheetId="0">#REF!</definedName>
    <definedName name="aux">#REF!</definedName>
    <definedName name="AUXILIO">#REF!</definedName>
    <definedName name="avulsos">#REF!</definedName>
    <definedName name="awdjw" localSheetId="2" hidden="1">{#N/A,#N/A,FALSE,"Plan1";#N/A,#N/A,FALSE,"Plan2"}</definedName>
    <definedName name="awdjw" localSheetId="0" hidden="1">{#N/A,#N/A,FALSE,"Plan1";#N/A,#N/A,FALSE,"Plan2"}</definedName>
    <definedName name="awdjw" hidden="1">{#N/A,#N/A,FALSE,"Plan1";#N/A,#N/A,FALSE,"Plan2"}</definedName>
    <definedName name="aweqw4" localSheetId="2" hidden="1">{#N/A,#N/A,FALSE,"Plan1";#N/A,#N/A,FALSE,"Plan2"}</definedName>
    <definedName name="aweqw4" localSheetId="0" hidden="1">{#N/A,#N/A,FALSE,"Plan1";#N/A,#N/A,FALSE,"Plan2"}</definedName>
    <definedName name="aweqw4" hidden="1">{#N/A,#N/A,FALSE,"Plan1";#N/A,#N/A,FALSE,"Plan2"}</definedName>
    <definedName name="awssdwaer" localSheetId="2" hidden="1">{#N/A,#N/A,FALSE,"Plan1";#N/A,#N/A,FALSE,"Plan2"}</definedName>
    <definedName name="awssdwaer" localSheetId="0" hidden="1">{#N/A,#N/A,FALSE,"Plan1";#N/A,#N/A,FALSE,"Plan2"}</definedName>
    <definedName name="awssdwaer" hidden="1">{#N/A,#N/A,FALSE,"Plan1";#N/A,#N/A,FALSE,"Plan2"}</definedName>
    <definedName name="AZ" hidden="1">#REF!</definedName>
    <definedName name="b" localSheetId="2" hidden="1">{#N/A,#N/A,FALSE,"Plan1";#N/A,#N/A,FALSE,"Plan2"}</definedName>
    <definedName name="B" localSheetId="0">#REF!</definedName>
    <definedName name="b" hidden="1">{#N/A,#N/A,FALSE,"Plan1";#N/A,#N/A,FALSE,"Plan2"}</definedName>
    <definedName name="BA">#REF!</definedName>
    <definedName name="balão1">"AutoForma 17"</definedName>
    <definedName name="BANCO">#REF!</definedName>
    <definedName name="Banco_dados_IM">#REF!</definedName>
    <definedName name="_xlnm.Database">#REF!</definedName>
    <definedName name="BANCO1">#REF!</definedName>
    <definedName name="BANCO2">#REF!</definedName>
    <definedName name="BANCO3">#REF!</definedName>
    <definedName name="BANCO4">#REF!</definedName>
    <definedName name="BASE">OFFSET(#REF!,0,0,COUNTA(#REF!)+1,5)</definedName>
    <definedName name="BASE_DE_DADOS_FLUXO_DE_CAIXA">OFFSET(#REF!,0,0,COUNTA(#REF!),COUNTA(#REF!))</definedName>
    <definedName name="BASE_FL_CX_3S">OFFSET(#REF!,0,0,COUNTA(#REF!),COUNTA(#REF!))</definedName>
    <definedName name="BASE_FLUXO_CAIXA_2017">OFFSET(#REF!,0,0,COUNTA(#REF!),COUNTA(#REF!))</definedName>
    <definedName name="bb">#REF!</definedName>
    <definedName name="bbb">#REF!</definedName>
    <definedName name="bbbbbbbbbbbbbbb" localSheetId="2" hidden="1">{"'Edit'!$A$1:$V$2277"}</definedName>
    <definedName name="bbbbbbbbbbbbbbb" localSheetId="0" hidden="1">{"'Edit'!$A$1:$V$2277"}</definedName>
    <definedName name="bbbbbbbbbbbbbbb" hidden="1">{"'Edit'!$A$1:$V$2277"}</definedName>
    <definedName name="bchar10" hidden="1">#REF!</definedName>
    <definedName name="bchart1" hidden="1">#REF!</definedName>
    <definedName name="bchart11" hidden="1">#REF!</definedName>
    <definedName name="bchart12" hidden="1">#REF!</definedName>
    <definedName name="bchart13" hidden="1">#REF!</definedName>
    <definedName name="bchart14" hidden="1">#REF!</definedName>
    <definedName name="bchart15" hidden="1">#REF!</definedName>
    <definedName name="bchart16" hidden="1">#REF!</definedName>
    <definedName name="bchart17" hidden="1">#REF!</definedName>
    <definedName name="bchart18" hidden="1">#REF!</definedName>
    <definedName name="bchart19" hidden="1">#REF!</definedName>
    <definedName name="bchart2" hidden="1">#REF!</definedName>
    <definedName name="bchart20" hidden="1">#REF!</definedName>
    <definedName name="bchart21" hidden="1">#REF!</definedName>
    <definedName name="bchart22" hidden="1">#REF!</definedName>
    <definedName name="bchart23" hidden="1">#REF!</definedName>
    <definedName name="bchart24" hidden="1">#REF!</definedName>
    <definedName name="bchart25" hidden="1">#REF!</definedName>
    <definedName name="bchart26" hidden="1">#REF!</definedName>
    <definedName name="bchart27" hidden="1">#REF!</definedName>
    <definedName name="bchart28" hidden="1">#REF!</definedName>
    <definedName name="bchart29" hidden="1">#REF!</definedName>
    <definedName name="bchart3" hidden="1">#REF!</definedName>
    <definedName name="bchart30" hidden="1">#REF!</definedName>
    <definedName name="bchart31" hidden="1">#REF!</definedName>
    <definedName name="bchart32" hidden="1">#REF!</definedName>
    <definedName name="bchart4" hidden="1">#REF!</definedName>
    <definedName name="bchart5" hidden="1">#REF!</definedName>
    <definedName name="bchart6" hidden="1">#REF!</definedName>
    <definedName name="bchart7" hidden="1">#REF!</definedName>
    <definedName name="bchart8" hidden="1">#REF!</definedName>
    <definedName name="bchart9" hidden="1">#REF!</definedName>
    <definedName name="BD">#REF!</definedName>
    <definedName name="BDA" localSheetId="0">#REF!</definedName>
    <definedName name="BDA">#REF!</definedName>
    <definedName name="bdfjghf" localSheetId="2" hidden="1">{#N/A,#N/A,FALSE,"Plan1";#N/A,#N/A,FALSE,"Plan2"}</definedName>
    <definedName name="bdfjghf" localSheetId="0" hidden="1">{#N/A,#N/A,FALSE,"Plan1";#N/A,#N/A,FALSE,"Plan2"}</definedName>
    <definedName name="bdfjghf" hidden="1">{#N/A,#N/A,FALSE,"Plan1";#N/A,#N/A,FALSE,"Plan2"}</definedName>
    <definedName name="BDI" localSheetId="0">#REF!</definedName>
    <definedName name="BDI">#REF!</definedName>
    <definedName name="bdzbfbdr" localSheetId="2" hidden="1">{#N/A,#N/A,FALSE,"Plan1";#N/A,#N/A,FALSE,"Plan2"}</definedName>
    <definedName name="bdzbfbdr" localSheetId="0" hidden="1">{#N/A,#N/A,FALSE,"Plan1";#N/A,#N/A,FALSE,"Plan2"}</definedName>
    <definedName name="bdzbfbdr" hidden="1">{#N/A,#N/A,FALSE,"Plan1";#N/A,#N/A,FALSE,"Plan2"}</definedName>
    <definedName name="be">#REF!</definedName>
    <definedName name="bebqt">#REF!</definedName>
    <definedName name="bela_cdi">#REF!</definedName>
    <definedName name="bela_hist">#REF!</definedName>
    <definedName name="bela_uss">#REF!</definedName>
    <definedName name="bg" localSheetId="0" hidden="1">#REF!</definedName>
    <definedName name="bg" hidden="1">#REF!</definedName>
    <definedName name="BGG" localSheetId="2" hidden="1">{#N/A,#N/A,FALSE,"Plan1";#N/A,#N/A,FALSE,"Plan2"}</definedName>
    <definedName name="BGG" localSheetId="0" hidden="1">{#N/A,#N/A,FALSE,"Plan1";#N/A,#N/A,FALSE,"Plan2"}</definedName>
    <definedName name="BGG" hidden="1">{#N/A,#N/A,FALSE,"Plan1";#N/A,#N/A,FALSE,"Plan2"}</definedName>
    <definedName name="bhjgfhfh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localSheetId="2" hidden="1">{#N/A,#N/A,FALSE,"Plan1";#N/A,#N/A,FALSE,"Plan2"}</definedName>
    <definedName name="BJSDKHFE" localSheetId="0" hidden="1">{#N/A,#N/A,FALSE,"Plan1";#N/A,#N/A,FALSE,"Plan2"}</definedName>
    <definedName name="BJSDKHFE" hidden="1">{#N/A,#N/A,FALSE,"Plan1";#N/A,#N/A,FALSE,"Plan2"}</definedName>
    <definedName name="bloco">#REF!</definedName>
    <definedName name="BLPH1" localSheetId="0" hidden="1">#REF!</definedName>
    <definedName name="BLPH1" hidden="1">#REF!</definedName>
    <definedName name="BLPH100" localSheetId="0" hidden="1">#REF!</definedName>
    <definedName name="BLPH100" hidden="1">#REF!</definedName>
    <definedName name="BLPH101" localSheetId="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7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mdgghrtfde" localSheetId="2" hidden="1">{#N/A,#N/A,FALSE,"Plan1";#N/A,#N/A,FALSE,"Plan2"}</definedName>
    <definedName name="bmdgghrtfde" localSheetId="0" hidden="1">{#N/A,#N/A,FALSE,"Plan1";#N/A,#N/A,FALSE,"Plan2"}</definedName>
    <definedName name="bmdgghrtfde" hidden="1">{#N/A,#N/A,FALSE,"Plan1";#N/A,#N/A,FALSE,"Plan2"}</definedName>
    <definedName name="bnkjhjhdfxgt" localSheetId="2" hidden="1">{#N/A,#N/A,FALSE,"Plan1";#N/A,#N/A,FALSE,"Plan2"}</definedName>
    <definedName name="bnkjhjhdfxgt" localSheetId="0" hidden="1">{#N/A,#N/A,FALSE,"Plan1";#N/A,#N/A,FALSE,"Plan2"}</definedName>
    <definedName name="bnkjhjhdfxgt" hidden="1">{#N/A,#N/A,FALSE,"Plan1";#N/A,#N/A,FALSE,"Plan2"}</definedName>
    <definedName name="BORBA2">#REF!</definedName>
    <definedName name="BORDA1">#N/A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V" localSheetId="0" hidden="1">#REF!</definedName>
    <definedName name="BV" hidden="1">#REF!</definedName>
    <definedName name="bxnzfmkzxbhdf" localSheetId="2" hidden="1">{#N/A,#N/A,FALSE,"Plan1";#N/A,#N/A,FALSE,"Plan2"}</definedName>
    <definedName name="bxnzfmkzxbhdf" localSheetId="0" hidden="1">{#N/A,#N/A,FALSE,"Plan1";#N/A,#N/A,FALSE,"Plan2"}</definedName>
    <definedName name="bxnzfmkzxbhdf" hidden="1">{#N/A,#N/A,FALSE,"Plan1";#N/A,#N/A,FALSE,"Plan2"}</definedName>
    <definedName name="ca" localSheetId="0">#REF!</definedName>
    <definedName name="ca">#REF!</definedName>
    <definedName name="CAB">#N/A</definedName>
    <definedName name="CAFS">"Carlos Antonio Fernandes da Silva"</definedName>
    <definedName name="CAGR">#REF!</definedName>
    <definedName name="caixa">#REF!</definedName>
    <definedName name="caix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>#REF!</definedName>
    <definedName name="CAMP">#REF!</definedName>
    <definedName name="CAMPOS">#REF!</definedName>
    <definedName name="çaos\ewapo" localSheetId="2" hidden="1">{#N/A,#N/A,FALSE,"Plan1";#N/A,#N/A,FALSE,"Plan2"}</definedName>
    <definedName name="çaos\ewapo" localSheetId="0" hidden="1">{#N/A,#N/A,FALSE,"Plan1";#N/A,#N/A,FALSE,"Plan2"}</definedName>
    <definedName name="çaos\ewapo" hidden="1">{#N/A,#N/A,FALSE,"Plan1";#N/A,#N/A,FALSE,"Plan2"}</definedName>
    <definedName name="Capa" localSheetId="0">#REF!</definedName>
    <definedName name="Capa">#REF!</definedName>
    <definedName name="CAPA2">#REF!</definedName>
    <definedName name="CAPA55">#REF!</definedName>
    <definedName name="CAPA55A">#REF!</definedName>
    <definedName name="CAPELA">#REF!</definedName>
    <definedName name="CARLA" localSheetId="0" hidden="1">#REF!</definedName>
    <definedName name="CARLA" hidden="1">#REF!</definedName>
    <definedName name="CARLOS1">#REF!</definedName>
    <definedName name="CARTÃO4">#REF!</definedName>
    <definedName name="CAT6_IP" localSheetId="2" hidden="1">{#N/A,#N/A,FALSE,"F-01"}</definedName>
    <definedName name="CAT6_IP" localSheetId="0" hidden="1">{#N/A,#N/A,FALSE,"F-01"}</definedName>
    <definedName name="CAT6_IP" hidden="1">{#N/A,#N/A,FALSE,"F-01"}</definedName>
    <definedName name="categori45">#REF!</definedName>
    <definedName name="CATEGORIA1">#REF!</definedName>
    <definedName name="CATEGORIA10">#REF!</definedName>
    <definedName name="CATEGORIA11">#REF!</definedName>
    <definedName name="CATEGORIA12">#REF!</definedName>
    <definedName name="CATEGORIA13">#REF!</definedName>
    <definedName name="CATEGORIA14">#REF!</definedName>
    <definedName name="CATEGORIA15">#REF!</definedName>
    <definedName name="CATEGORIA16">#REF!</definedName>
    <definedName name="CATEGORIA17">#REF!</definedName>
    <definedName name="CATEGORIA18">#REF!</definedName>
    <definedName name="CATEGORIA19">#REF!</definedName>
    <definedName name="CATEGORIA2">#REF!</definedName>
    <definedName name="CATEGORIA20">#REF!</definedName>
    <definedName name="CATEGORIA21">#REF!</definedName>
    <definedName name="CATEGORIA22">#REF!</definedName>
    <definedName name="CATEGORIA3">#REF!</definedName>
    <definedName name="CATEGORIA4">#REF!</definedName>
    <definedName name="CATEGORIA5">#REF!</definedName>
    <definedName name="CATEGORIA6">#REF!</definedName>
    <definedName name="CATEGORIA7">#REF!</definedName>
    <definedName name="CATEGORIA8">#REF!</definedName>
    <definedName name="CATEGORIA9">#REF!</definedName>
    <definedName name="CATORZE">#REF!</definedName>
    <definedName name="CAUX2">OFFSET(#REF!,0,0,COUNTA(#REF!)+1,1)</definedName>
    <definedName name="CAUX3">OFFSET(#REF!,0,0,COUNTA(#REF!)+1,1)</definedName>
    <definedName name="CCC">#REF!</definedName>
    <definedName name="ççç" localSheetId="2" hidden="1">{#N/A,#N/A,FALSE,"Plan1";#N/A,#N/A,FALSE,"Plan2"}</definedName>
    <definedName name="ççç" localSheetId="0" hidden="1">{#N/A,#N/A,FALSE,"Plan1";#N/A,#N/A,FALSE,"Plan2"}</definedName>
    <definedName name="ççç" hidden="1">{#N/A,#N/A,FALSE,"Plan1";#N/A,#N/A,FALSE,"Plan2"}</definedName>
    <definedName name="cccc" localSheetId="2" hidden="1">{#N/A,#N/A,FALSE,"Plan1";#N/A,#N/A,FALSE,"Plan2"}</definedName>
    <definedName name="cccc" localSheetId="0" hidden="1">{#N/A,#N/A,FALSE,"Plan1";#N/A,#N/A,FALSE,"Plan2"}</definedName>
    <definedName name="cccc" hidden="1">{#N/A,#N/A,FALSE,"Plan1";#N/A,#N/A,FALSE,"Plan2"}</definedName>
    <definedName name="ççççççç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localSheetId="2" hidden="1">{"HW",#N/A,FALSE,"1998"}</definedName>
    <definedName name="cccccccccccccccc" localSheetId="0" hidden="1">{"HW",#N/A,FALSE,"1998"}</definedName>
    <definedName name="cccccccccccccccc" hidden="1">{"HW",#N/A,FALSE,"1998"}</definedName>
    <definedName name="cchart1" hidden="1">#REF!</definedName>
    <definedName name="cchart10" hidden="1">#REF!</definedName>
    <definedName name="cchart11" hidden="1">#REF!</definedName>
    <definedName name="cchart12" hidden="1">#REF!</definedName>
    <definedName name="cchart13" hidden="1">#REF!</definedName>
    <definedName name="cchart14" hidden="1">#REF!</definedName>
    <definedName name="cchart15" hidden="1">#REF!</definedName>
    <definedName name="cchart16" hidden="1">#REF!</definedName>
    <definedName name="cchart17" hidden="1">#REF!</definedName>
    <definedName name="cchart18" hidden="1">#REF!</definedName>
    <definedName name="cchart19" hidden="1">#REF!</definedName>
    <definedName name="cchart2" hidden="1">#REF!</definedName>
    <definedName name="cchart20" hidden="1">#REF!</definedName>
    <definedName name="cchart21" hidden="1">#REF!</definedName>
    <definedName name="cchart22" hidden="1">#REF!</definedName>
    <definedName name="cchart23" hidden="1">#REF!</definedName>
    <definedName name="cchart24" hidden="1">#REF!</definedName>
    <definedName name="cchart25" hidden="1">#REF!</definedName>
    <definedName name="cchart26" hidden="1">#REF!</definedName>
    <definedName name="cchart27" hidden="1">#REF!</definedName>
    <definedName name="cchart28" hidden="1">#REF!</definedName>
    <definedName name="cchart29" hidden="1">#REF!</definedName>
    <definedName name="cchart3" hidden="1">#REF!</definedName>
    <definedName name="cchart31" hidden="1">#REF!</definedName>
    <definedName name="cchart32" hidden="1">#REF!</definedName>
    <definedName name="cchart4" hidden="1">#REF!</definedName>
    <definedName name="cchart5" hidden="1">#REF!</definedName>
    <definedName name="cchart6" hidden="1">#REF!</definedName>
    <definedName name="cchart7" hidden="1">#REF!</definedName>
    <definedName name="cchart8" hidden="1">#REF!</definedName>
    <definedName name="cchart9" hidden="1">#REF!</definedName>
    <definedName name="çcklfjk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>#REF!</definedName>
    <definedName name="çdfmerf" localSheetId="2" hidden="1">{#N/A,#N/A,FALSE,"Plan1";#N/A,#N/A,FALSE,"Plan2"}</definedName>
    <definedName name="çdfmerf" localSheetId="0" hidden="1">{#N/A,#N/A,FALSE,"Plan1";#N/A,#N/A,FALSE,"Plan2"}</definedName>
    <definedName name="çdfmerf" hidden="1">{#N/A,#N/A,FALSE,"Plan1";#N/A,#N/A,FALSE,"Plan2"}</definedName>
    <definedName name="CDSGHE" localSheetId="2" hidden="1">{#N/A,#N/A,FALSE,"Plan1";#N/A,#N/A,FALSE,"Plan2"}</definedName>
    <definedName name="CDSGHE" localSheetId="0" hidden="1">{#N/A,#N/A,FALSE,"Plan1";#N/A,#N/A,FALSE,"Plan2"}</definedName>
    <definedName name="CDSGHE" hidden="1">{#N/A,#N/A,FALSE,"Plan1";#N/A,#N/A,FALSE,"Plan2"}</definedName>
    <definedName name="cdvthd">#REF!</definedName>
    <definedName name="Cel_Constr">#REF!</definedName>
    <definedName name="CestaExcel">#REF!</definedName>
    <definedName name="CevaG">#REF!</definedName>
    <definedName name="CevaGS">#REF!</definedName>
    <definedName name="çfhjglkjhkljyh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localSheetId="2" hidden="1">{#N/A,#N/A,FALSE,"Plan1";#N/A,#N/A,FALSE,"Plan2"}</definedName>
    <definedName name="çflçf" localSheetId="0" hidden="1">{#N/A,#N/A,FALSE,"Plan1";#N/A,#N/A,FALSE,"Plan2"}</definedName>
    <definedName name="çflçf" hidden="1">{#N/A,#N/A,FALSE,"Plan1";#N/A,#N/A,FALSE,"Plan2"}</definedName>
    <definedName name="CHAFQT">#REF!</definedName>
    <definedName name="Chaves">#REF!</definedName>
    <definedName name="chfch" localSheetId="2" hidden="1">{#N/A,#N/A,FALSE,"Plan1";#N/A,#N/A,FALSE,"Plan2"}</definedName>
    <definedName name="chfch" localSheetId="0" hidden="1">{#N/A,#N/A,FALSE,"Plan1";#N/A,#N/A,FALSE,"Plan2"}</definedName>
    <definedName name="chfch" hidden="1">{#N/A,#N/A,FALSE,"Plan1";#N/A,#N/A,FALSE,"Plan2"}</definedName>
    <definedName name="CI">#REF!</definedName>
    <definedName name="cidades">#REF!</definedName>
    <definedName name="CIFIXA">#REF!</definedName>
    <definedName name="CINCO">#REF!</definedName>
    <definedName name="CITOTAL">#REF!</definedName>
    <definedName name="CIVAR">#REF!</definedName>
    <definedName name="ÇJKRÇLFS" localSheetId="2" hidden="1">{"Econ Consolidado",#N/A,FALSE,"Econ Consol";"Fluxo de Caixa",#N/A,FALSE,"Fluxo Caixa";"Investimentos",#N/A,FALSE,"Investimentos"}</definedName>
    <definedName name="ÇJKRÇLFS" localSheetId="0" hidden="1">{"Econ Consolidado",#N/A,FALSE,"Econ Consol";"Fluxo de Caixa",#N/A,FALSE,"Fluxo Caixa";"Investimentos",#N/A,FALSE,"Investimentos"}</definedName>
    <definedName name="ÇJKRÇLFS" hidden="1">{"Econ Consolidado",#N/A,FALSE,"Econ Consol";"Fluxo de Caixa",#N/A,FALSE,"Fluxo Caixa";"Investimentos",#N/A,FALSE,"Investimentos"}</definedName>
    <definedName name="ÇJsrejtçe" localSheetId="2" hidden="1">{#N/A,#N/A,FALSE,"Plan1";#N/A,#N/A,FALSE,"Plan2"}</definedName>
    <definedName name="ÇJsrejtçe" localSheetId="0" hidden="1">{#N/A,#N/A,FALSE,"Plan1";#N/A,#N/A,FALSE,"Plan2"}</definedName>
    <definedName name="ÇJsrejtçe" hidden="1">{#N/A,#N/A,FALSE,"Plan1";#N/A,#N/A,FALSE,"Plan2"}</definedName>
    <definedName name="çkaçekow" localSheetId="2" hidden="1">{#N/A,#N/A,FALSE,"Plan1";#N/A,#N/A,FALSE,"Plan2"}</definedName>
    <definedName name="çkaçekow" localSheetId="0" hidden="1">{#N/A,#N/A,FALSE,"Plan1";#N/A,#N/A,FALSE,"Plan2"}</definedName>
    <definedName name="çkaçekow" hidden="1">{#N/A,#N/A,FALSE,"Plan1";#N/A,#N/A,FALSE,"Plan2"}</definedName>
    <definedName name="ÇKSDOEKR" localSheetId="2" hidden="1">{#N/A,#N/A,FALSE,"Plan1";#N/A,#N/A,FALSE,"Plan2"}</definedName>
    <definedName name="ÇKSDOEKR" localSheetId="0" hidden="1">{#N/A,#N/A,FALSE,"Plan1";#N/A,#N/A,FALSE,"Plan2"}</definedName>
    <definedName name="ÇKSDOEKR" hidden="1">{#N/A,#N/A,FALSE,"Plan1";#N/A,#N/A,FALSE,"Plan2"}</definedName>
    <definedName name="çl" localSheetId="2" hidden="1">{#N/A,#N/A,FALSE,"Plan1";#N/A,#N/A,FALSE,"Plan2"}</definedName>
    <definedName name="çl" localSheetId="0" hidden="1">{#N/A,#N/A,FALSE,"Plan1";#N/A,#N/A,FALSE,"Plan2"}</definedName>
    <definedName name="çl" hidden="1">{#N/A,#N/A,FALSE,"Plan1";#N/A,#N/A,FALSE,"Plan2"}</definedName>
    <definedName name="çlassde" localSheetId="2" hidden="1">{#N/A,#N/A,FALSE,"Plan1";#N/A,#N/A,FALSE,"Plan2"}</definedName>
    <definedName name="çlassde" localSheetId="0" hidden="1">{#N/A,#N/A,FALSE,"Plan1";#N/A,#N/A,FALSE,"Plan2"}</definedName>
    <definedName name="çlassde" hidden="1">{#N/A,#N/A,FALSE,"Plan1";#N/A,#N/A,FALSE,"Plan2"}</definedName>
    <definedName name="Classificação">#REF!</definedName>
    <definedName name="çlçlç" localSheetId="2" hidden="1">{#N/A,#N/A,FALSE,"Plan1";#N/A,#N/A,FALSE,"Plan2"}</definedName>
    <definedName name="çlçlç" localSheetId="0" hidden="1">{#N/A,#N/A,FALSE,"Plan1";#N/A,#N/A,FALSE,"Plan2"}</definedName>
    <definedName name="çlçlç" hidden="1">{#N/A,#N/A,FALSE,"Plan1";#N/A,#N/A,FALSE,"Plan2"}</definedName>
    <definedName name="çld" localSheetId="2" hidden="1">{#N/A,#N/A,FALSE,"Plan1";#N/A,#N/A,FALSE,"Plan2"}</definedName>
    <definedName name="çld" localSheetId="0" hidden="1">{#N/A,#N/A,FALSE,"Plan1";#N/A,#N/A,FALSE,"Plan2"}</definedName>
    <definedName name="çld" hidden="1">{#N/A,#N/A,FALSE,"Plan1";#N/A,#N/A,FALSE,"Plan2"}</definedName>
    <definedName name="çlererr" localSheetId="2" hidden="1">{#N/A,#N/A,FALSE,"Plan1";#N/A,#N/A,FALSE,"Plan2"}</definedName>
    <definedName name="çlererr" localSheetId="0" hidden="1">{#N/A,#N/A,FALSE,"Plan1";#N/A,#N/A,FALSE,"Plan2"}</definedName>
    <definedName name="çlererr" hidden="1">{#N/A,#N/A,FALSE,"Plan1";#N/A,#N/A,FALSE,"Plan2"}</definedName>
    <definedName name="çlertert" localSheetId="2" hidden="1">{#N/A,#N/A,FALSE,"Plan1";#N/A,#N/A,FALSE,"Plan2"}</definedName>
    <definedName name="çlertert" localSheetId="0" hidden="1">{#N/A,#N/A,FALSE,"Plan1";#N/A,#N/A,FALSE,"Plan2"}</definedName>
    <definedName name="çlertert" hidden="1">{#N/A,#N/A,FALSE,"Plan1";#N/A,#N/A,FALSE,"Plan2"}</definedName>
    <definedName name="çlkdflçkrlr" hidden="1">#REF!</definedName>
    <definedName name="çll" localSheetId="2" hidden="1">{#N/A,#N/A,FALSE,"Plan1";#N/A,#N/A,FALSE,"Plan2"}</definedName>
    <definedName name="çll" localSheetId="0" hidden="1">{#N/A,#N/A,FALSE,"Plan1";#N/A,#N/A,FALSE,"Plan2"}</definedName>
    <definedName name="çll" hidden="1">{#N/A,#N/A,FALSE,"Plan1";#N/A,#N/A,FALSE,"Plan2"}</definedName>
    <definedName name="CM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>#REF!</definedName>
    <definedName name="Cod_Esquadrias">#REF!</definedName>
    <definedName name="CÓDG">OFFSET(#REF!,0,0,COUNTA(#REF!),1)</definedName>
    <definedName name="codigo2">#REF!</definedName>
    <definedName name="codigo3">#REF!</definedName>
    <definedName name="CÓDT">OFFSET(#REF!,0,0,COUNTA(#REF!)+1,1)</definedName>
    <definedName name="COFINS">#REF!</definedName>
    <definedName name="cofins2">#REF!</definedName>
    <definedName name="COGS">#REF!</definedName>
    <definedName name="COLSUB">#REF!</definedName>
    <definedName name="COMISSOES">#REF!</definedName>
    <definedName name="COMPOSICAO">#REF!</definedName>
    <definedName name="composição">#REF!</definedName>
    <definedName name="COMPR">#REF!</definedName>
    <definedName name="COMPRIMENTO">#REF!</definedName>
    <definedName name="COMPROMETIDO">#REF!</definedName>
    <definedName name="CONFIRMAR" localSheetId="2" hidden="1">{#N/A,#N/A,TRUE,"Quinzena 01 à 15-04-98 "}</definedName>
    <definedName name="CONFIRMAR" localSheetId="0" hidden="1">{#N/A,#N/A,TRUE,"Quinzena 01 à 15-04-98 "}</definedName>
    <definedName name="CONFIRMAR" hidden="1">{#N/A,#N/A,TRUE,"Quinzena 01 à 15-04-98 "}</definedName>
    <definedName name="cont" localSheetId="2" hidden="1">{#N/A,#N/A,FALSE,"Plan1";#N/A,#N/A,FALSE,"Plan2"}</definedName>
    <definedName name="cont" localSheetId="0" hidden="1">{#N/A,#N/A,FALSE,"Plan1";#N/A,#N/A,FALSE,"Plan2"}</definedName>
    <definedName name="cont" hidden="1">{#N/A,#N/A,FALSE,"Plan1";#N/A,#N/A,FALSE,"Plan2"}</definedName>
    <definedName name="CONT1">#REF!</definedName>
    <definedName name="CONT2">#REF!</definedName>
    <definedName name="CONT3">#REF!</definedName>
    <definedName name="CONTAIT">#REF!</definedName>
    <definedName name="CONTREC">#REF!</definedName>
    <definedName name="CONTRES">#REF!</definedName>
    <definedName name="CONTROLE">#REF!</definedName>
    <definedName name="CONVERSÃO">#REF!</definedName>
    <definedName name="cpmf">#REF!</definedName>
    <definedName name="Credor_Rel_Sienge">#REF!</definedName>
    <definedName name="_xlnm.Criteria">#REF!</definedName>
    <definedName name="CRONG">#REF!</definedName>
    <definedName name="cronograma" localSheetId="0">#REF!</definedName>
    <definedName name="cronograma">#REF!</definedName>
    <definedName name="CRONOGRAMA_FÍSICO_FINANCEIRO">#REF!</definedName>
    <definedName name="CS">#REF!</definedName>
    <definedName name="cs_diferida">#REF!</definedName>
    <definedName name="ÇSAÇDFW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hidden="1">#REF!</definedName>
    <definedName name="CSE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localSheetId="2" hidden="1">{#N/A,#N/A,FALSE,"Plan1";#N/A,#N/A,FALSE,"Plan2"}</definedName>
    <definedName name="ÇSLÇDLFKD" localSheetId="0" hidden="1">{#N/A,#N/A,FALSE,"Plan1";#N/A,#N/A,FALSE,"Plan2"}</definedName>
    <definedName name="ÇSLÇDLFKD" hidden="1">{#N/A,#N/A,FALSE,"Plan1";#N/A,#N/A,FALSE,"Plan2"}</definedName>
    <definedName name="CT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>#REF!</definedName>
    <definedName name="CUSTINDIRETO">#REF!</definedName>
    <definedName name="CUSTO_DIR_IND">#REF!</definedName>
    <definedName name="Custo_Direto_de_Obras_Civis_e_Instalações_...........................................">#REF!</definedName>
    <definedName name="Custo_Direto_em_geral">#REF!</definedName>
    <definedName name="custo_financing">#REF!</definedName>
    <definedName name="CUSTO_OUTROS">#REF!</definedName>
    <definedName name="Custo_Outros1">#REF!</definedName>
    <definedName name="CUSTODIRETO">#REF!</definedName>
    <definedName name="CUSTODIRETO_R">#REF!</definedName>
    <definedName name="CUSTODIRETO_U">#REF!</definedName>
    <definedName name="CUSTODIRETO1">#REF!</definedName>
    <definedName name="CUSTOFIN">#REF!</definedName>
    <definedName name="D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" localSheetId="0">#REF!</definedName>
    <definedName name="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a">#REF!</definedName>
    <definedName name="dalm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localSheetId="2" hidden="1">{#N/A,#N/A,FALSE,"Plan1";#N/A,#N/A,FALSE,"Plan2"}</definedName>
    <definedName name="dasfrt" localSheetId="0" hidden="1">{#N/A,#N/A,FALSE,"Plan1";#N/A,#N/A,FALSE,"Plan2"}</definedName>
    <definedName name="dasfrt" hidden="1">{#N/A,#N/A,FALSE,"Plan1";#N/A,#N/A,FALSE,"Plan2"}</definedName>
    <definedName name="DATA">#REF!</definedName>
    <definedName name="Data_base">#REF!</definedName>
    <definedName name="data_base_VL">#REF!</definedName>
    <definedName name="DATA_COTAÇÃO">#REF!</definedName>
    <definedName name="DATA_ENTREGA">#REF!</definedName>
    <definedName name="DATA_FECHA">#REF!</definedName>
    <definedName name="Data_Inicio">#REF!</definedName>
    <definedName name="Data_Lançado_Sienge">#REF!</definedName>
    <definedName name="Data_Pagamento_Sienge">#REF!</definedName>
    <definedName name="Data_Previsão_Medição_Fin_Medição">#REF!</definedName>
    <definedName name="Data_Tendência_Recebimento_Fin_Medições">#REF!</definedName>
    <definedName name="DATA1">#REF!</definedName>
    <definedName name="DATA3">#REF!</definedName>
    <definedName name="DATA4">#REF!</definedName>
    <definedName name="DATA6">#REF!</definedName>
    <definedName name="DataChaves_MAP">#REF!</definedName>
    <definedName name="DatasOut13AteDez20">#REF!</definedName>
    <definedName name="DÇDL" localSheetId="2" hidden="1">{#N/A,#N/A,FALSE,"Plan1";#N/A,#N/A,FALSE,"Plan2"}</definedName>
    <definedName name="DÇDL" localSheetId="0" hidden="1">{#N/A,#N/A,FALSE,"Plan1";#N/A,#N/A,FALSE,"Plan2"}</definedName>
    <definedName name="DÇDL" hidden="1">{#N/A,#N/A,FALSE,"Plan1";#N/A,#N/A,FALSE,"Plan2"}</definedName>
    <definedName name="dchart26" hidden="1">#REF!</definedName>
    <definedName name="dchart31" hidden="1">#REF!</definedName>
    <definedName name="dcnsfgdjkgb" localSheetId="2" hidden="1">{#N/A,#N/A,FALSE,"Plan1";#N/A,#N/A,FALSE,"Plan2"}</definedName>
    <definedName name="dcnsfgdjkgb" localSheetId="0" hidden="1">{#N/A,#N/A,FALSE,"Plan1";#N/A,#N/A,FALSE,"Plan2"}</definedName>
    <definedName name="dcnsfgdjkgb" hidden="1">{#N/A,#N/A,FALSE,"Plan1";#N/A,#N/A,FALSE,"Plan2"}</definedName>
    <definedName name="DÇWK" localSheetId="2" hidden="1">{#N/A,#N/A,FALSE,"Plan1";#N/A,#N/A,FALSE,"Plan2"}</definedName>
    <definedName name="DÇWK" localSheetId="0" hidden="1">{#N/A,#N/A,FALSE,"Plan1";#N/A,#N/A,FALSE,"Plan2"}</definedName>
    <definedName name="DÇWK" hidden="1">{#N/A,#N/A,FALSE,"Plan1";#N/A,#N/A,FALSE,"Plan2"}</definedName>
    <definedName name="DD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 localSheetId="2" hidden="1">{"'장비'!$A$3:$M$12"}</definedName>
    <definedName name="DDD" localSheetId="0">#REF!</definedName>
    <definedName name="ddd" hidden="1">{"'장비'!$A$3:$M$12"}</definedName>
    <definedName name="ddddd" localSheetId="2" hidden="1">{#N/A,#N/A,FALSE,"Plan1";#N/A,#N/A,FALSE,"Plan2"}</definedName>
    <definedName name="ddddd" localSheetId="0" hidden="1">{#N/A,#N/A,FALSE,"Plan1";#N/A,#N/A,FALSE,"Plan2"}</definedName>
    <definedName name="ddddd" hidden="1">{#N/A,#N/A,FALSE,"Plan1";#N/A,#N/A,FALSE,"Plan2"}</definedName>
    <definedName name="ddddddddddd">#REF!</definedName>
    <definedName name="dddddddddddddddddddddddddd">#REF!</definedName>
    <definedName name="dddddddddddddppppppppp">#REF!</definedName>
    <definedName name="dde" localSheetId="2" hidden="1">{#N/A,#N/A,FALSE,"Plan1";#N/A,#N/A,FALSE,"Plan2"}</definedName>
    <definedName name="dde" localSheetId="0" hidden="1">{#N/A,#N/A,FALSE,"Plan1";#N/A,#N/A,FALSE,"Plan2"}</definedName>
    <definedName name="dde" hidden="1">{#N/A,#N/A,FALSE,"Plan1";#N/A,#N/A,FALSE,"Plan2"}</definedName>
    <definedName name="ddfs" hidden="1">#REF!</definedName>
    <definedName name="ddgfdvgd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localSheetId="2" hidden="1">{#N/A,#N/A,FALSE,"Plan1";#N/A,#N/A,FALSE,"Plan2"}</definedName>
    <definedName name="DDGSFG" localSheetId="0" hidden="1">{#N/A,#N/A,FALSE,"Plan1";#N/A,#N/A,FALSE,"Plan2"}</definedName>
    <definedName name="DDGSFG" hidden="1">{#N/A,#N/A,FALSE,"Plan1";#N/A,#N/A,FALSE,"Plan2"}</definedName>
    <definedName name="dede" localSheetId="2" hidden="1">{#N/A,#N/A,FALSE,"Plan1";#N/A,#N/A,FALSE,"Plan2"}</definedName>
    <definedName name="dede" localSheetId="0" hidden="1">{#N/A,#N/A,FALSE,"Plan1";#N/A,#N/A,FALSE,"Plan2"}</definedName>
    <definedName name="dede" hidden="1">{#N/A,#N/A,FALSE,"Plan1";#N/A,#N/A,FALSE,"Plan2"}</definedName>
    <definedName name="defasagem" localSheetId="2">OFFSET(INDEX(#REF!,MATCH(#REF!,#REF!,0)),1,0,COUNTA(#REF!)-1)</definedName>
    <definedName name="defasagem">OFFSET(INDEX(#REF!,MATCH(#REF!,#REF!,0)),1,0,COUNTA(#REF!)-1)</definedName>
    <definedName name="depara">#REF!</definedName>
    <definedName name="DERIVQT">#REF!</definedName>
    <definedName name="des" localSheetId="2" hidden="1">{#N/A,#N/A,FALSE,"Plan1";#N/A,#N/A,FALSE,"Plan2"}</definedName>
    <definedName name="des" localSheetId="0" hidden="1">{#N/A,#N/A,FALSE,"Plan1";#N/A,#N/A,FALSE,"Plan2"}</definedName>
    <definedName name="des" hidden="1">{#N/A,#N/A,FALSE,"Plan1";#N/A,#N/A,FALSE,"Plan2"}</definedName>
    <definedName name="desc" localSheetId="2" hidden="1">{#N/A,#N/A,FALSE,"Plan1";#N/A,#N/A,FALSE,"Plan2"}</definedName>
    <definedName name="desc" localSheetId="0" hidden="1">{#N/A,#N/A,FALSE,"Plan1";#N/A,#N/A,FALSE,"Plan2"}</definedName>
    <definedName name="desc" hidden="1">{#N/A,#N/A,FALSE,"Plan1";#N/A,#N/A,FALSE,"Plan2"}</definedName>
    <definedName name="DESCONTO">#REF!</definedName>
    <definedName name="DESCRIÇÃO_OBRA">#REF!</definedName>
    <definedName name="DespFatur">#REF!</definedName>
    <definedName name="DEZ">#REF!</definedName>
    <definedName name="dez17RJ">#REF!</definedName>
    <definedName name="DEZEMBRO">#REF!</definedName>
    <definedName name="DEZENOVE">#REF!</definedName>
    <definedName name="DEZESSEIS">#REF!</definedName>
    <definedName name="DEZESSETE">#REF!</definedName>
    <definedName name="DEZOITO">#REF!</definedName>
    <definedName name="d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localSheetId="2" hidden="1">{#N/A,#N/A,FALSE,"명세표"}</definedName>
    <definedName name="DFD" localSheetId="0" hidden="1">{#N/A,#N/A,FALSE,"명세표"}</definedName>
    <definedName name="DFD" hidden="1">{#N/A,#N/A,FALSE,"명세표"}</definedName>
    <definedName name="dfdfty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localSheetId="2" hidden="1">{#N/A,#N/A,FALSE,"Plan1";#N/A,#N/A,FALSE,"Plan2"}</definedName>
    <definedName name="dfdjgfdfgdf" localSheetId="0" hidden="1">{#N/A,#N/A,FALSE,"Plan1";#N/A,#N/A,FALSE,"Plan2"}</definedName>
    <definedName name="dfdjgfdfgdf" hidden="1">{#N/A,#N/A,FALSE,"Plan1";#N/A,#N/A,FALSE,"Plan2"}</definedName>
    <definedName name="dfdrtrr" localSheetId="2" hidden="1">{#N/A,#N/A,FALSE,"Plan1";#N/A,#N/A,FALSE,"Plan2"}</definedName>
    <definedName name="dfdrtrr" localSheetId="0" hidden="1">{#N/A,#N/A,FALSE,"Plan1";#N/A,#N/A,FALSE,"Plan2"}</definedName>
    <definedName name="dfdrtrr" hidden="1">{#N/A,#N/A,FALSE,"Plan1";#N/A,#N/A,FALSE,"Plan2"}</definedName>
    <definedName name="DFDSG" localSheetId="2" hidden="1">{#N/A,#N/A,FALSE,"Plan1";#N/A,#N/A,FALSE,"Plan2"}</definedName>
    <definedName name="DFDSG" localSheetId="0" hidden="1">{#N/A,#N/A,FALSE,"Plan1";#N/A,#N/A,FALSE,"Plan2"}</definedName>
    <definedName name="DFDSG" hidden="1">{#N/A,#N/A,FALSE,"Plan1";#N/A,#N/A,FALSE,"Plan2"}</definedName>
    <definedName name="dfer" localSheetId="2" hidden="1">{#N/A,#N/A,FALSE,"Plan1";#N/A,#N/A,FALSE,"Plan2"}</definedName>
    <definedName name="dfer" localSheetId="0" hidden="1">{#N/A,#N/A,FALSE,"Plan1";#N/A,#N/A,FALSE,"Plan2"}</definedName>
    <definedName name="dfer" hidden="1">{#N/A,#N/A,FALSE,"Plan1";#N/A,#N/A,FALSE,"Plan2"}</definedName>
    <definedName name="dffbty" localSheetId="2" hidden="1">{#N/A,#N/A,FALSE,"Plan1";#N/A,#N/A,FALSE,"Plan2"}</definedName>
    <definedName name="dffbty" localSheetId="0" hidden="1">{#N/A,#N/A,FALSE,"Plan1";#N/A,#N/A,FALSE,"Plan2"}</definedName>
    <definedName name="dffbty" hidden="1">{#N/A,#N/A,FALSE,"Plan1";#N/A,#N/A,FALSE,"Plan2"}</definedName>
    <definedName name="dffgk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localSheetId="2" hidden="1">{#N/A,#N/A,FALSE,"Plan1";#N/A,#N/A,FALSE,"Plan2"}</definedName>
    <definedName name="dffhg" localSheetId="0" hidden="1">{#N/A,#N/A,FALSE,"Plan1";#N/A,#N/A,FALSE,"Plan2"}</definedName>
    <definedName name="dffhg" hidden="1">{#N/A,#N/A,FALSE,"Plan1";#N/A,#N/A,FALSE,"Plan2"}</definedName>
    <definedName name="dfg" localSheetId="2" hidden="1">{#N/A,#N/A,FALSE,"Plan1";#N/A,#N/A,FALSE,"Plan2"}</definedName>
    <definedName name="dfg" localSheetId="0" hidden="1">{#N/A,#N/A,FALSE,"Plan1";#N/A,#N/A,FALSE,"Plan2"}</definedName>
    <definedName name="dfg" hidden="1">{#N/A,#N/A,FALSE,"Plan1";#N/A,#N/A,FALSE,"Plan2"}</definedName>
    <definedName name="dfgdf" localSheetId="2" hidden="1">{#N/A,#N/A,FALSE,"Plan1";#N/A,#N/A,FALSE,"Plan2"}</definedName>
    <definedName name="dfgdf" localSheetId="0" hidden="1">{#N/A,#N/A,FALSE,"Plan1";#N/A,#N/A,FALSE,"Plan2"}</definedName>
    <definedName name="dfgdf" hidden="1">{#N/A,#N/A,FALSE,"Plan1";#N/A,#N/A,FALSE,"Plan2"}</definedName>
    <definedName name="dfgdytygr" localSheetId="2" hidden="1">{#N/A,#N/A,FALSE,"Plan1";#N/A,#N/A,FALSE,"Plan2"}</definedName>
    <definedName name="dfgdytygr" localSheetId="0" hidden="1">{#N/A,#N/A,FALSE,"Plan1";#N/A,#N/A,FALSE,"Plan2"}</definedName>
    <definedName name="dfgdytygr" hidden="1">{#N/A,#N/A,FALSE,"Plan1";#N/A,#N/A,FALSE,"Plan2"}</definedName>
    <definedName name="dfgftrrdt5" localSheetId="2" hidden="1">{#N/A,#N/A,FALSE,"Plan1";#N/A,#N/A,FALSE,"Plan2"}</definedName>
    <definedName name="dfgftrrdt5" localSheetId="0" hidden="1">{#N/A,#N/A,FALSE,"Plan1";#N/A,#N/A,FALSE,"Plan2"}</definedName>
    <definedName name="dfgftrrdt5" hidden="1">{#N/A,#N/A,FALSE,"Plan1";#N/A,#N/A,FALSE,"Plan2"}</definedName>
    <definedName name="dfgh">#REF!</definedName>
    <definedName name="dfghjfhsg" localSheetId="2" hidden="1">{#N/A,#N/A,FALSE,"Plan1";#N/A,#N/A,FALSE,"Plan2"}</definedName>
    <definedName name="dfghjfhsg" localSheetId="0" hidden="1">{#N/A,#N/A,FALSE,"Plan1";#N/A,#N/A,FALSE,"Plan2"}</definedName>
    <definedName name="dfghjfhsg" hidden="1">{#N/A,#N/A,FALSE,"Plan1";#N/A,#N/A,FALSE,"Plan2"}</definedName>
    <definedName name="dfgj" localSheetId="2" hidden="1">{#N/A,#N/A,FALSE,"Plan1";#N/A,#N/A,FALSE,"Plan2"}</definedName>
    <definedName name="dfgj" localSheetId="0" hidden="1">{#N/A,#N/A,FALSE,"Plan1";#N/A,#N/A,FALSE,"Plan2"}</definedName>
    <definedName name="dfgj" hidden="1">{#N/A,#N/A,FALSE,"Plan1";#N/A,#N/A,FALSE,"Plan2"}</definedName>
    <definedName name="dfgjfttyd" localSheetId="2" hidden="1">{#N/A,#N/A,FALSE,"Plan1";#N/A,#N/A,FALSE,"Plan2"}</definedName>
    <definedName name="dfgjfttyd" localSheetId="0" hidden="1">{#N/A,#N/A,FALSE,"Plan1";#N/A,#N/A,FALSE,"Plan2"}</definedName>
    <definedName name="dfgjfttyd" hidden="1">{#N/A,#N/A,FALSE,"Plan1";#N/A,#N/A,FALSE,"Plan2"}</definedName>
    <definedName name="dfgjjtdrtg" localSheetId="2" hidden="1">{#N/A,#N/A,FALSE,"Plan1";#N/A,#N/A,FALSE,"Plan2"}</definedName>
    <definedName name="dfgjjtdrtg" localSheetId="0" hidden="1">{#N/A,#N/A,FALSE,"Plan1";#N/A,#N/A,FALSE,"Plan2"}</definedName>
    <definedName name="dfgjjtdrtg" hidden="1">{#N/A,#N/A,FALSE,"Plan1";#N/A,#N/A,FALSE,"Plan2"}</definedName>
    <definedName name="dfgt" localSheetId="2" hidden="1">{#N/A,#N/A,FALSE,"Plan1";#N/A,#N/A,FALSE,"Plan2"}</definedName>
    <definedName name="dfgt" localSheetId="0" hidden="1">{#N/A,#N/A,FALSE,"Plan1";#N/A,#N/A,FALSE,"Plan2"}</definedName>
    <definedName name="dfgt" hidden="1">{#N/A,#N/A,FALSE,"Plan1";#N/A,#N/A,FALSE,"Plan2"}</definedName>
    <definedName name="dfgtrkjhk" localSheetId="2" hidden="1">{#N/A,#N/A,FALSE,"Plan1";#N/A,#N/A,FALSE,"Plan2"}</definedName>
    <definedName name="dfgtrkjhk" localSheetId="0" hidden="1">{#N/A,#N/A,FALSE,"Plan1";#N/A,#N/A,FALSE,"Plan2"}</definedName>
    <definedName name="dfgtrkjhk" hidden="1">{#N/A,#N/A,FALSE,"Plan1";#N/A,#N/A,FALSE,"Plan2"}</definedName>
    <definedName name="dfgty" localSheetId="2" hidden="1">{#N/A,#N/A,FALSE,"Plan1";#N/A,#N/A,FALSE,"Plan2"}</definedName>
    <definedName name="dfgty" localSheetId="0" hidden="1">{#N/A,#N/A,FALSE,"Plan1";#N/A,#N/A,FALSE,"Plan2"}</definedName>
    <definedName name="dfgty" hidden="1">{#N/A,#N/A,FALSE,"Plan1";#N/A,#N/A,FALSE,"Plan2"}</definedName>
    <definedName name="dfhdgfdgf" localSheetId="2" hidden="1">{#N/A,#N/A,FALSE,"Plan1";#N/A,#N/A,FALSE,"Plan2"}</definedName>
    <definedName name="dfhdgfdgf" localSheetId="0" hidden="1">{#N/A,#N/A,FALSE,"Plan1";#N/A,#N/A,FALSE,"Plan2"}</definedName>
    <definedName name="dfhdgfdgf" hidden="1">{#N/A,#N/A,FALSE,"Plan1";#N/A,#N/A,FALSE,"Plan2"}</definedName>
    <definedName name="DFHDJGJFHJGF" localSheetId="2" hidden="1">{#N/A,#N/A,FALSE,"Plan1";#N/A,#N/A,FALSE,"Plan2"}</definedName>
    <definedName name="DFHDJGJFHJGF" localSheetId="0" hidden="1">{#N/A,#N/A,FALSE,"Plan1";#N/A,#N/A,FALSE,"Plan2"}</definedName>
    <definedName name="DFHDJGJFHJGF" hidden="1">{#N/A,#N/A,FALSE,"Plan1";#N/A,#N/A,FALSE,"Plan2"}</definedName>
    <definedName name="dfhdyg" localSheetId="2" hidden="1">{#N/A,#N/A,FALSE,"Plan1";#N/A,#N/A,FALSE,"Plan2"}</definedName>
    <definedName name="dfhdyg" localSheetId="0" hidden="1">{#N/A,#N/A,FALSE,"Plan1";#N/A,#N/A,FALSE,"Plan2"}</definedName>
    <definedName name="dfhdyg" hidden="1">{#N/A,#N/A,FALSE,"Plan1";#N/A,#N/A,FALSE,"Plan2"}</definedName>
    <definedName name="DFHGDHUR" localSheetId="2" hidden="1">{#N/A,#N/A,FALSE,"Plan1";#N/A,#N/A,FALSE,"Plan2"}</definedName>
    <definedName name="DFHGDHUR" localSheetId="0" hidden="1">{#N/A,#N/A,FALSE,"Plan1";#N/A,#N/A,FALSE,"Plan2"}</definedName>
    <definedName name="DFHGDHUR" hidden="1">{#N/A,#N/A,FALSE,"Plan1";#N/A,#N/A,FALSE,"Plan2"}</definedName>
    <definedName name="dfhgjfgdhfjdrf" localSheetId="2" hidden="1">{#N/A,#N/A,FALSE,"Plan1";#N/A,#N/A,FALSE,"Plan2"}</definedName>
    <definedName name="dfhgjfgdhfjdrf" localSheetId="0" hidden="1">{#N/A,#N/A,FALSE,"Plan1";#N/A,#N/A,FALSE,"Plan2"}</definedName>
    <definedName name="dfhgjfgdhfjdrf" hidden="1">{#N/A,#N/A,FALSE,"Plan1";#N/A,#N/A,FALSE,"Plan2"}</definedName>
    <definedName name="dfhgkhfut" localSheetId="2" hidden="1">{#N/A,#N/A,FALSE,"Plan1";#N/A,#N/A,FALSE,"Plan2"}</definedName>
    <definedName name="dfhgkhfut" localSheetId="0" hidden="1">{#N/A,#N/A,FALSE,"Plan1";#N/A,#N/A,FALSE,"Plan2"}</definedName>
    <definedName name="dfhgkhfut" hidden="1">{#N/A,#N/A,FALSE,"Plan1";#N/A,#N/A,FALSE,"Plan2"}</definedName>
    <definedName name="dfhgkjdhkjghjd" hidden="1">#REF!</definedName>
    <definedName name="dfhguitrhfg" localSheetId="2" hidden="1">{#N/A,#N/A,FALSE,"Plan1";#N/A,#N/A,FALSE,"Plan2"}</definedName>
    <definedName name="dfhguitrhfg" localSheetId="0" hidden="1">{#N/A,#N/A,FALSE,"Plan1";#N/A,#N/A,FALSE,"Plan2"}</definedName>
    <definedName name="dfhguitrhfg" hidden="1">{#N/A,#N/A,FALSE,"Plan1";#N/A,#N/A,FALSE,"Plan2"}</definedName>
    <definedName name="DFHKHDGKJHDKS" localSheetId="2" hidden="1">{#N/A,#N/A,FALSE,"Plan1";#N/A,#N/A,FALSE,"Plan2"}</definedName>
    <definedName name="DFHKHDGKJHDKS" localSheetId="0" hidden="1">{#N/A,#N/A,FALSE,"Plan1";#N/A,#N/A,FALSE,"Plan2"}</definedName>
    <definedName name="DFHKHDGKJHDKS" hidden="1">{#N/A,#N/A,FALSE,"Plan1";#N/A,#N/A,FALSE,"Plan2"}</definedName>
    <definedName name="dfijvnqienvvnjv">#REF!</definedName>
    <definedName name="dfjgjfhykj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localSheetId="2" hidden="1">{#N/A,#N/A,FALSE,"Plan1";#N/A,#N/A,FALSE,"Plan2"}</definedName>
    <definedName name="dfjkgtdftr" localSheetId="0" hidden="1">{#N/A,#N/A,FALSE,"Plan1";#N/A,#N/A,FALSE,"Plan2"}</definedName>
    <definedName name="dfjkgtdftr" hidden="1">{#N/A,#N/A,FALSE,"Plan1";#N/A,#N/A,FALSE,"Plan2"}</definedName>
    <definedName name="dfkhgfg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localSheetId="2" hidden="1">{#N/A,#N/A,FALSE,"Plan1";#N/A,#N/A,FALSE,"Plan2"}</definedName>
    <definedName name="dfknfhkdrj" localSheetId="0" hidden="1">{#N/A,#N/A,FALSE,"Plan1";#N/A,#N/A,FALSE,"Plan2"}</definedName>
    <definedName name="dfknfhkdrj" hidden="1">{#N/A,#N/A,FALSE,"Plan1";#N/A,#N/A,FALSE,"Plan2"}</definedName>
    <definedName name="dfnert" localSheetId="2" hidden="1">{#N/A,#N/A,FALSE,"Plan1";#N/A,#N/A,FALSE,"Plan2"}</definedName>
    <definedName name="dfnert" localSheetId="0" hidden="1">{#N/A,#N/A,FALSE,"Plan1";#N/A,#N/A,FALSE,"Plan2"}</definedName>
    <definedName name="dfnert" hidden="1">{#N/A,#N/A,FALSE,"Plan1";#N/A,#N/A,FALSE,"Plan2"}</definedName>
    <definedName name="dfrt" localSheetId="2" hidden="1">{#N/A,#N/A,FALSE,"Plan1";#N/A,#N/A,FALSE,"Plan2"}</definedName>
    <definedName name="dfrt" localSheetId="0" hidden="1">{#N/A,#N/A,FALSE,"Plan1";#N/A,#N/A,FALSE,"Plan2"}</definedName>
    <definedName name="dfrt" hidden="1">{#N/A,#N/A,FALSE,"Plan1";#N/A,#N/A,FALSE,"Plan2"}</definedName>
    <definedName name="dfsdr5tt" localSheetId="2" hidden="1">{#N/A,#N/A,FALSE,"Plan1";#N/A,#N/A,FALSE,"Plan2"}</definedName>
    <definedName name="dfsdr5tt" localSheetId="0" hidden="1">{#N/A,#N/A,FALSE,"Plan1";#N/A,#N/A,FALSE,"Plan2"}</definedName>
    <definedName name="dfsdr5tt" hidden="1">{#N/A,#N/A,FALSE,"Plan1";#N/A,#N/A,FALSE,"Plan2"}</definedName>
    <definedName name="dfsds" hidden="1">#REF!</definedName>
    <definedName name="dfsd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localSheetId="2" hidden="1">{#N/A,#N/A,FALSE,"Plan1";#N/A,#N/A,FALSE,"Plan2"}</definedName>
    <definedName name="dfsdtr" localSheetId="0" hidden="1">{#N/A,#N/A,FALSE,"Plan1";#N/A,#N/A,FALSE,"Plan2"}</definedName>
    <definedName name="dfsdtr" hidden="1">{#N/A,#N/A,FALSE,"Plan1";#N/A,#N/A,FALSE,"Plan2"}</definedName>
    <definedName name="dfsf" localSheetId="2" hidden="1">{#N/A,#N/A,FALSE,"Plan1";#N/A,#N/A,FALSE,"Plan2"}</definedName>
    <definedName name="dfsf" localSheetId="0" hidden="1">{#N/A,#N/A,FALSE,"Plan1";#N/A,#N/A,FALSE,"Plan2"}</definedName>
    <definedName name="dfsf" hidden="1">{#N/A,#N/A,FALSE,"Plan1";#N/A,#N/A,FALSE,"Plan2"}</definedName>
    <definedName name="DFT" localSheetId="2" hidden="1">{#N/A,#N/A,FALSE,"Plan1";#N/A,#N/A,FALSE,"Plan2"}</definedName>
    <definedName name="DFT" localSheetId="0" hidden="1">{#N/A,#N/A,FALSE,"Plan1";#N/A,#N/A,FALSE,"Plan2"}</definedName>
    <definedName name="DFT" hidden="1">{#N/A,#N/A,FALSE,"Plan1";#N/A,#N/A,FALSE,"Plan2"}</definedName>
    <definedName name="DFTRTTY" localSheetId="2" hidden="1">{#N/A,#N/A,FALSE,"Plan1";#N/A,#N/A,FALSE,"Plan2"}</definedName>
    <definedName name="DFTRTTY" localSheetId="0" hidden="1">{#N/A,#N/A,FALSE,"Plan1";#N/A,#N/A,FALSE,"Plan2"}</definedName>
    <definedName name="DFTRTTY" hidden="1">{#N/A,#N/A,FALSE,"Plan1";#N/A,#N/A,FALSE,"Plan2"}</definedName>
    <definedName name="dfurghifdjyhits" localSheetId="2" hidden="1">{#N/A,#N/A,FALSE,"Plan1";#N/A,#N/A,FALSE,"Plan2"}</definedName>
    <definedName name="dfurghifdjyhits" localSheetId="0" hidden="1">{#N/A,#N/A,FALSE,"Plan1";#N/A,#N/A,FALSE,"Plan2"}</definedName>
    <definedName name="dfurghifdjyhits" hidden="1">{#N/A,#N/A,FALSE,"Plan1";#N/A,#N/A,FALSE,"Plan2"}</definedName>
    <definedName name="dfxgdrged" localSheetId="2" hidden="1">{#N/A,#N/A,FALSE,"Plan1";#N/A,#N/A,FALSE,"Plan2"}</definedName>
    <definedName name="dfxgdrged" localSheetId="0" hidden="1">{#N/A,#N/A,FALSE,"Plan1";#N/A,#N/A,FALSE,"Plan2"}</definedName>
    <definedName name="dfxgdrged" hidden="1">{#N/A,#N/A,FALSE,"Plan1";#N/A,#N/A,FALSE,"Plan2"}</definedName>
    <definedName name="dgfrtyt" localSheetId="2" hidden="1">{#N/A,#N/A,FALSE,"Plan1";#N/A,#N/A,FALSE,"Plan2"}</definedName>
    <definedName name="dgfrtyt" localSheetId="0" hidden="1">{#N/A,#N/A,FALSE,"Plan1";#N/A,#N/A,FALSE,"Plan2"}</definedName>
    <definedName name="dgfrtyt" hidden="1">{#N/A,#N/A,FALSE,"Plan1";#N/A,#N/A,FALSE,"Plan2"}</definedName>
    <definedName name="dggfdg" localSheetId="2" hidden="1">{#N/A,#N/A,FALSE,"Plan1";#N/A,#N/A,FALSE,"Plan2"}</definedName>
    <definedName name="dggfdg" localSheetId="0" hidden="1">{#N/A,#N/A,FALSE,"Plan1";#N/A,#N/A,FALSE,"Plan2"}</definedName>
    <definedName name="dggfdg" hidden="1">{#N/A,#N/A,FALSE,"Plan1";#N/A,#N/A,FALSE,"Plan2"}</definedName>
    <definedName name="dgldfhgkljslh" localSheetId="2" hidden="1">{#N/A,#N/A,FALSE,"Plan1";#N/A,#N/A,FALSE,"Plan2"}</definedName>
    <definedName name="dgldfhgkljslh" localSheetId="0" hidden="1">{#N/A,#N/A,FALSE,"Plan1";#N/A,#N/A,FALSE,"Plan2"}</definedName>
    <definedName name="dgldfhgkljslh" hidden="1">{#N/A,#N/A,FALSE,"Plan1";#N/A,#N/A,FALSE,"Plan2"}</definedName>
    <definedName name="dhfgdhrehrwe" localSheetId="2" hidden="1">{#N/A,#N/A,FALSE,"Plan1";#N/A,#N/A,FALSE,"Plan2"}</definedName>
    <definedName name="dhfgdhrehrwe" localSheetId="0" hidden="1">{#N/A,#N/A,FALSE,"Plan1";#N/A,#N/A,FALSE,"Plan2"}</definedName>
    <definedName name="dhfgdhrehrwe" hidden="1">{#N/A,#N/A,FALSE,"Plan1";#N/A,#N/A,FALSE,"Plan2"}</definedName>
    <definedName name="dhgfdgrfgdfgd" localSheetId="2" hidden="1">{#N/A,#N/A,FALSE,"Plan1";#N/A,#N/A,FALSE,"Plan2"}</definedName>
    <definedName name="dhgfdgrfgdfgd" localSheetId="0" hidden="1">{#N/A,#N/A,FALSE,"Plan1";#N/A,#N/A,FALSE,"Plan2"}</definedName>
    <definedName name="dhgfdgrfgdfgd" hidden="1">{#N/A,#N/A,FALSE,"Plan1";#N/A,#N/A,FALSE,"Plan2"}</definedName>
    <definedName name="dhkjfhdhfjdh" localSheetId="2" hidden="1">{#N/A,#N/A,FALSE,"Plan1";#N/A,#N/A,FALSE,"Plan2"}</definedName>
    <definedName name="dhkjfhdhfjdh" localSheetId="0" hidden="1">{#N/A,#N/A,FALSE,"Plan1";#N/A,#N/A,FALSE,"Plan2"}</definedName>
    <definedName name="dhkjfhdhfjdh" hidden="1">{#N/A,#N/A,FALSE,"Plan1";#N/A,#N/A,FALSE,"Plan2"}</definedName>
    <definedName name="DHTJRT" localSheetId="2" hidden="1">{#N/A,#N/A,FALSE,"Plan1";#N/A,#N/A,FALSE,"Plan2"}</definedName>
    <definedName name="DHTJRT" localSheetId="0" hidden="1">{#N/A,#N/A,FALSE,"Plan1";#N/A,#N/A,FALSE,"Plan2"}</definedName>
    <definedName name="DHTJRT" hidden="1">{#N/A,#N/A,FALSE,"Plan1";#N/A,#N/A,FALSE,"Plan2"}</definedName>
    <definedName name="DI">#REF!</definedName>
    <definedName name="dia3estac">#REF!</definedName>
    <definedName name="diaestaca">#REF!</definedName>
    <definedName name="diambase">#REF!</definedName>
    <definedName name="DIFQT">#REF!</definedName>
    <definedName name="dijghdhks" localSheetId="2" hidden="1">{#N/A,#N/A,FALSE,"Plan1";#N/A,#N/A,FALSE,"Plan2"}</definedName>
    <definedName name="dijghdhks" localSheetId="0" hidden="1">{#N/A,#N/A,FALSE,"Plan1";#N/A,#N/A,FALSE,"Plan2"}</definedName>
    <definedName name="dijghdhks" hidden="1">{#N/A,#N/A,FALSE,"Plan1";#N/A,#N/A,FALSE,"Plan2"}</definedName>
    <definedName name="DIMENSÕES">#REF!</definedName>
    <definedName name="DIR_OPER">#REF!</definedName>
    <definedName name="DIR_TECNICO">#REF!</definedName>
    <definedName name="direto" localSheetId="0">#REF!</definedName>
    <definedName name="direto">#REF!</definedName>
    <definedName name="DIRETORIA">#REF!</definedName>
    <definedName name="diretorias">#REF!</definedName>
    <definedName name="Discrim">#REF!</definedName>
    <definedName name="DISCRIMINAÇÃO">#REF!</definedName>
    <definedName name="Discriminação_Controladoria">#REF!</definedName>
    <definedName name="DistCidade">#REF!</definedName>
    <definedName name="distratos">#REF!</definedName>
    <definedName name="div">#REF!</definedName>
    <definedName name="djasdrjas" localSheetId="2" hidden="1">{#N/A,#N/A,FALSE,"Plan1";#N/A,#N/A,FALSE,"Plan2"}</definedName>
    <definedName name="djasdrjas" localSheetId="0" hidden="1">{#N/A,#N/A,FALSE,"Plan1";#N/A,#N/A,FALSE,"Plan2"}</definedName>
    <definedName name="djasdrjas" hidden="1">{#N/A,#N/A,FALSE,"Plan1";#N/A,#N/A,FALSE,"Plan2"}</definedName>
    <definedName name="dj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localSheetId="2" hidden="1">{#N/A,#N/A,FALSE,"Plan1";#N/A,#N/A,FALSE,"Plan2"}</definedName>
    <definedName name="djfkhjhfgrgdfh" localSheetId="0" hidden="1">{#N/A,#N/A,FALSE,"Plan1";#N/A,#N/A,FALSE,"Plan2"}</definedName>
    <definedName name="djfkhjhfgrgdfh" hidden="1">{#N/A,#N/A,FALSE,"Plan1";#N/A,#N/A,FALSE,"Plan2"}</definedName>
    <definedName name="djfkhsdkjhf" localSheetId="2" hidden="1">{#N/A,#N/A,FALSE,"Plan1";#N/A,#N/A,FALSE,"Plan2"}</definedName>
    <definedName name="djfkhsdkjhf" localSheetId="0" hidden="1">{#N/A,#N/A,FALSE,"Plan1";#N/A,#N/A,FALSE,"Plan2"}</definedName>
    <definedName name="djfkhsdkjhf" hidden="1">{#N/A,#N/A,FALSE,"Plan1";#N/A,#N/A,FALSE,"Plan2"}</definedName>
    <definedName name="djfldjsgljslkjtg" localSheetId="2" hidden="1">{#N/A,#N/A,FALSE,"Plan1";#N/A,#N/A,FALSE,"Plan2"}</definedName>
    <definedName name="djfldjsgljslkjtg" localSheetId="0" hidden="1">{#N/A,#N/A,FALSE,"Plan1";#N/A,#N/A,FALSE,"Plan2"}</definedName>
    <definedName name="djfldjsgljslkjtg" hidden="1">{#N/A,#N/A,FALSE,"Plan1";#N/A,#N/A,FALSE,"Plan2"}</definedName>
    <definedName name="djflkdjgdth" localSheetId="2" hidden="1">{#N/A,#N/A,FALSE,"Plan1";#N/A,#N/A,FALSE,"Plan2"}</definedName>
    <definedName name="djflkdjgdth" localSheetId="0" hidden="1">{#N/A,#N/A,FALSE,"Plan1";#N/A,#N/A,FALSE,"Plan2"}</definedName>
    <definedName name="djflkdjgdth" hidden="1">{#N/A,#N/A,FALSE,"Plan1";#N/A,#N/A,FALSE,"Plan2"}</definedName>
    <definedName name="DJFLKDJGKTJYJT" localSheetId="2" hidden="1">{#N/A,#N/A,FALSE,"Plan1";#N/A,#N/A,FALSE,"Plan2"}</definedName>
    <definedName name="DJFLKDJGKTJYJT" localSheetId="0" hidden="1">{#N/A,#N/A,FALSE,"Plan1";#N/A,#N/A,FALSE,"Plan2"}</definedName>
    <definedName name="DJFLKDJGKTJYJT" hidden="1">{#N/A,#N/A,FALSE,"Plan1";#N/A,#N/A,FALSE,"Plan2"}</definedName>
    <definedName name="djgkfjgtiyty" localSheetId="2" hidden="1">{#N/A,#N/A,FALSE,"Plan1";#N/A,#N/A,FALSE,"Plan2"}</definedName>
    <definedName name="djgkfjgtiyty" localSheetId="0" hidden="1">{#N/A,#N/A,FALSE,"Plan1";#N/A,#N/A,FALSE,"Plan2"}</definedName>
    <definedName name="djgkfjgtiyty" hidden="1">{#N/A,#N/A,FALSE,"Plan1";#N/A,#N/A,FALSE,"Plan2"}</definedName>
    <definedName name="djrkehrjfhng" localSheetId="2" hidden="1">{#N/A,#N/A,FALSE,"Plan1";#N/A,#N/A,FALSE,"Plan2"}</definedName>
    <definedName name="djrkehrjfhng" localSheetId="0" hidden="1">{#N/A,#N/A,FALSE,"Plan1";#N/A,#N/A,FALSE,"Plan2"}</definedName>
    <definedName name="djrkehrjfhng" hidden="1">{#N/A,#N/A,FALSE,"Plan1";#N/A,#N/A,FALSE,"Plan2"}</definedName>
    <definedName name="djswfr" hidden="1">#REF!</definedName>
    <definedName name="djtkjldfr" localSheetId="2" hidden="1">{#N/A,#N/A,FALSE,"Plan1";#N/A,#N/A,FALSE,"Plan2"}</definedName>
    <definedName name="djtkjldfr" localSheetId="0" hidden="1">{#N/A,#N/A,FALSE,"Plan1";#N/A,#N/A,FALSE,"Plan2"}</definedName>
    <definedName name="djtkjldfr" hidden="1">{#N/A,#N/A,FALSE,"Plan1";#N/A,#N/A,FALSE,"Plan2"}</definedName>
    <definedName name="DJXDLFGDFG" localSheetId="2" hidden="1">{#N/A,#N/A,FALSE,"Plan1";#N/A,#N/A,FALSE,"Plan2"}</definedName>
    <definedName name="DJXDLFGDFG" localSheetId="0" hidden="1">{#N/A,#N/A,FALSE,"Plan1";#N/A,#N/A,FALSE,"Plan2"}</definedName>
    <definedName name="DJXDLFGDFG" hidden="1">{#N/A,#N/A,FALSE,"Plan1";#N/A,#N/A,FALSE,"Plan2"}</definedName>
    <definedName name="dkdkdkdkd" localSheetId="2" hidden="1">{#N/A,#N/A,FALSE,"명세표"}</definedName>
    <definedName name="dkdkdkdkd" localSheetId="0" hidden="1">{#N/A,#N/A,FALSE,"명세표"}</definedName>
    <definedName name="dkdkdkdkd" hidden="1">{#N/A,#N/A,FALSE,"명세표"}</definedName>
    <definedName name="dkfhskgf" localSheetId="2" hidden="1">{#N/A,#N/A,FALSE,"Plan1";#N/A,#N/A,FALSE,"Plan2"}</definedName>
    <definedName name="dkfhskgf" localSheetId="0" hidden="1">{#N/A,#N/A,FALSE,"Plan1";#N/A,#N/A,FALSE,"Plan2"}</definedName>
    <definedName name="dkfhskgf" hidden="1">{#N/A,#N/A,FALSE,"Plan1";#N/A,#N/A,FALSE,"Plan2"}</definedName>
    <definedName name="dkjfk" localSheetId="2" hidden="1">{#N/A,#N/A,FALSE,"Plan1";#N/A,#N/A,FALSE,"Plan2"}</definedName>
    <definedName name="dkjfk" localSheetId="0" hidden="1">{#N/A,#N/A,FALSE,"Plan1";#N/A,#N/A,FALSE,"Plan2"}</definedName>
    <definedName name="dkjfk" hidden="1">{#N/A,#N/A,FALSE,"Plan1";#N/A,#N/A,FALSE,"Plan2"}</definedName>
    <definedName name="DKLD" localSheetId="2" hidden="1">{#N/A,#N/A,FALSE,"Plan1";#N/A,#N/A,FALSE,"Plan2"}</definedName>
    <definedName name="DKLD" localSheetId="0" hidden="1">{#N/A,#N/A,FALSE,"Plan1";#N/A,#N/A,FALSE,"Plan2"}</definedName>
    <definedName name="DKLD" hidden="1">{#N/A,#N/A,FALSE,"Plan1";#N/A,#N/A,FALSE,"Plan2"}</definedName>
    <definedName name="DKLFJDKFD" localSheetId="2" hidden="1">{#N/A,#N/A,FALSE,"Plan1";#N/A,#N/A,FALSE,"Plan2"}</definedName>
    <definedName name="DKLFJDKFD" localSheetId="0" hidden="1">{#N/A,#N/A,FALSE,"Plan1";#N/A,#N/A,FALSE,"Plan2"}</definedName>
    <definedName name="DKLFJDKFD" hidden="1">{#N/A,#N/A,FALSE,"Plan1";#N/A,#N/A,FALSE,"Plan2"}</definedName>
    <definedName name="dklfjgirtgid" localSheetId="2" hidden="1">{#N/A,#N/A,FALSE,"Plan1";#N/A,#N/A,FALSE,"Plan2"}</definedName>
    <definedName name="dklfjgirtgid" localSheetId="0" hidden="1">{#N/A,#N/A,FALSE,"Plan1";#N/A,#N/A,FALSE,"Plan2"}</definedName>
    <definedName name="dklfjgirtgid" hidden="1">{#N/A,#N/A,FALSE,"Plan1";#N/A,#N/A,FALSE,"Plan2"}</definedName>
    <definedName name="dklfm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localSheetId="2" hidden="1">{#N/A,#N/A,FALSE,"Plan1";#N/A,#N/A,FALSE,"Plan2"}</definedName>
    <definedName name="dmbfmndbmtrhed" localSheetId="0" hidden="1">{#N/A,#N/A,FALSE,"Plan1";#N/A,#N/A,FALSE,"Plan2"}</definedName>
    <definedName name="dmbfmndbmtrhed" hidden="1">{#N/A,#N/A,FALSE,"Plan1";#N/A,#N/A,FALSE,"Plan2"}</definedName>
    <definedName name="DNFJKDHTKRE" localSheetId="2" hidden="1">{#N/A,#N/A,FALSE,"Plan1";#N/A,#N/A,FALSE,"Plan2"}</definedName>
    <definedName name="DNFJKDHTKRE" localSheetId="0" hidden="1">{#N/A,#N/A,FALSE,"Plan1";#N/A,#N/A,FALSE,"Plan2"}</definedName>
    <definedName name="DNFJKDHTKRE" hidden="1">{#N/A,#N/A,FALSE,"Plan1";#N/A,#N/A,FALSE,"Plan2"}</definedName>
    <definedName name="dng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>#REF!</definedName>
    <definedName name="DOIS">#REF!</definedName>
    <definedName name="dolar">#REF!</definedName>
    <definedName name="dolar_dez">#REF!</definedName>
    <definedName name="dolar_nov">#REF!</definedName>
    <definedName name="dolar_out">#REF!</definedName>
    <definedName name="dolar2">#REF!</definedName>
    <definedName name="dolarabr">#REF!</definedName>
    <definedName name="dolarabr02">#REF!</definedName>
    <definedName name="DolarAgo">#REF!</definedName>
    <definedName name="dolarago02">#REF!</definedName>
    <definedName name="dolardez">#REF!</definedName>
    <definedName name="dolarfev">#REF!</definedName>
    <definedName name="dolarfev02">#REF!</definedName>
    <definedName name="dolarfimdez">#REF!</definedName>
    <definedName name="dolarFimJun">#REF!</definedName>
    <definedName name="dolarfindez">#REF!</definedName>
    <definedName name="dolarfinmar">#REF!</definedName>
    <definedName name="DolarFinSet">#REF!</definedName>
    <definedName name="dolarjan">#REF!</definedName>
    <definedName name="dolarjan02">#REF!</definedName>
    <definedName name="DolarJul">#REF!</definedName>
    <definedName name="dolarjul02">#REF!</definedName>
    <definedName name="dolarjun">#REF!</definedName>
    <definedName name="dolarjun02">#REF!</definedName>
    <definedName name="dolarmai">#REF!</definedName>
    <definedName name="dolarmai02">#REF!</definedName>
    <definedName name="dolarmar">#REF!</definedName>
    <definedName name="dolarmar02">#REF!</definedName>
    <definedName name="dolarnov">#REF!</definedName>
    <definedName name="dolarout">#REF!</definedName>
    <definedName name="DolarSet">#REF!</definedName>
    <definedName name="dolarset02">#REF!</definedName>
    <definedName name="DOZE">#REF!</definedName>
    <definedName name="DRE" localSheetId="0">#REF!</definedName>
    <definedName name="DRE">#REF!</definedName>
    <definedName name="drewr" localSheetId="2" hidden="1">{#N/A,#N/A,FALSE,"Plan1";#N/A,#N/A,FALSE,"Plan2"}</definedName>
    <definedName name="drewr" localSheetId="0" hidden="1">{#N/A,#N/A,FALSE,"Plan1";#N/A,#N/A,FALSE,"Plan2"}</definedName>
    <definedName name="drewr" hidden="1">{#N/A,#N/A,FALSE,"Plan1";#N/A,#N/A,FALSE,"Plan2"}</definedName>
    <definedName name="DRRJR" localSheetId="2" hidden="1">{#N/A,#N/A,FALSE,"Plan1";#N/A,#N/A,FALSE,"Plan2"}</definedName>
    <definedName name="DRRJR" localSheetId="0" hidden="1">{#N/A,#N/A,FALSE,"Plan1";#N/A,#N/A,FALSE,"Plan2"}</definedName>
    <definedName name="DRRJR" hidden="1">{#N/A,#N/A,FALSE,"Plan1";#N/A,#N/A,FALSE,"Plan2"}</definedName>
    <definedName name="drtr" hidden="1">#REF!</definedName>
    <definedName name="drtrt" localSheetId="2" hidden="1">{"'Estimativa de Lançamento-JAN'!$A$1:$AI$85"}</definedName>
    <definedName name="drtrt" localSheetId="0" hidden="1">{"'Estimativa de Lançamento-JAN'!$A$1:$AI$85"}</definedName>
    <definedName name="drtrt" hidden="1">{"'Estimativa de Lançamento-JAN'!$A$1:$AI$85"}</definedName>
    <definedName name="dsdrf" localSheetId="2" hidden="1">{#N/A,#N/A,FALSE,"Plan1";#N/A,#N/A,FALSE,"Plan2"}</definedName>
    <definedName name="dsdrf" localSheetId="0" hidden="1">{#N/A,#N/A,FALSE,"Plan1";#N/A,#N/A,FALSE,"Plan2"}</definedName>
    <definedName name="dsdrf" hidden="1">{#N/A,#N/A,FALSE,"Plan1";#N/A,#N/A,FALSE,"Plan2"}</definedName>
    <definedName name="dsfdf" localSheetId="2" hidden="1">{#N/A,#N/A,FALSE,"Plan1";#N/A,#N/A,FALSE,"Plan2"}</definedName>
    <definedName name="dsfdf" localSheetId="0" hidden="1">{#N/A,#N/A,FALSE,"Plan1";#N/A,#N/A,FALSE,"Plan2"}</definedName>
    <definedName name="dsfdf" hidden="1">{#N/A,#N/A,FALSE,"Plan1";#N/A,#N/A,FALSE,"Plan2"}</definedName>
    <definedName name="dsfg" localSheetId="2" hidden="1">{#N/A,#N/A,FALSE,"Plan1";#N/A,#N/A,FALSE,"Plan2"}</definedName>
    <definedName name="dsfg" localSheetId="0" hidden="1">{#N/A,#N/A,FALSE,"Plan1";#N/A,#N/A,FALSE,"Plan2"}</definedName>
    <definedName name="dsfg" hidden="1">{#N/A,#N/A,FALSE,"Plan1";#N/A,#N/A,FALSE,"Plan2"}</definedName>
    <definedName name="DSFKDSKH" localSheetId="2" hidden="1">{#N/A,#N/A,FALSE,"Plan1";#N/A,#N/A,FALSE,"Plan2"}</definedName>
    <definedName name="DSFKDSKH" localSheetId="0" hidden="1">{#N/A,#N/A,FALSE,"Plan1";#N/A,#N/A,FALSE,"Plan2"}</definedName>
    <definedName name="DSFKDSKH" hidden="1">{#N/A,#N/A,FALSE,"Plan1";#N/A,#N/A,FALSE,"Plan2"}</definedName>
    <definedName name="DSFR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localSheetId="2" hidden="1">{#N/A,#N/A,FALSE,"Plan1";#N/A,#N/A,FALSE,"Plan2"}</definedName>
    <definedName name="dsfrtyy" localSheetId="0" hidden="1">{#N/A,#N/A,FALSE,"Plan1";#N/A,#N/A,FALSE,"Plan2"}</definedName>
    <definedName name="dsfrtyy" hidden="1">{#N/A,#N/A,FALSE,"Plan1";#N/A,#N/A,FALSE,"Plan2"}</definedName>
    <definedName name="DSFSAD" localSheetId="2" hidden="1">{#N/A,#N/A,FALSE,"Plan1";#N/A,#N/A,FALSE,"Plan2"}</definedName>
    <definedName name="DSFSAD" localSheetId="0" hidden="1">{#N/A,#N/A,FALSE,"Plan1";#N/A,#N/A,FALSE,"Plan2"}</definedName>
    <definedName name="DSFSAD" hidden="1">{#N/A,#N/A,FALSE,"Plan1";#N/A,#N/A,FALSE,"Plan2"}</definedName>
    <definedName name="dsfsdf" localSheetId="2" hidden="1">{#N/A,#N/A,FALSE,"Plan1";#N/A,#N/A,FALSE,"Plan2"}</definedName>
    <definedName name="dsfsdf" localSheetId="0" hidden="1">{#N/A,#N/A,FALSE,"Plan1";#N/A,#N/A,FALSE,"Plan2"}</definedName>
    <definedName name="dsfsdf" hidden="1">{#N/A,#N/A,FALSE,"Plan1";#N/A,#N/A,FALSE,"Plan2"}</definedName>
    <definedName name="dsfsdgfb" localSheetId="2" hidden="1">{#N/A,#N/A,FALSE,"Plan1";#N/A,#N/A,FALSE,"Plan2"}</definedName>
    <definedName name="dsfsdgfb" localSheetId="0" hidden="1">{#N/A,#N/A,FALSE,"Plan1";#N/A,#N/A,FALSE,"Plan2"}</definedName>
    <definedName name="dsfsdgfb" hidden="1">{#N/A,#N/A,FALSE,"Plan1";#N/A,#N/A,FALSE,"Plan2"}</definedName>
    <definedName name="dsgfr" localSheetId="2" hidden="1">{#N/A,#N/A,FALSE,"Plan1";#N/A,#N/A,FALSE,"Plan2"}</definedName>
    <definedName name="dsgfr" localSheetId="0" hidden="1">{#N/A,#N/A,FALSE,"Plan1";#N/A,#N/A,FALSE,"Plan2"}</definedName>
    <definedName name="dsgfr" hidden="1">{#N/A,#N/A,FALSE,"Plan1";#N/A,#N/A,FALSE,"Plan2"}</definedName>
    <definedName name="dshfkhkrhesru" localSheetId="2" hidden="1">{#N/A,#N/A,FALSE,"Plan1";#N/A,#N/A,FALSE,"Plan2"}</definedName>
    <definedName name="dshfkhkrhesru" localSheetId="0" hidden="1">{#N/A,#N/A,FALSE,"Plan1";#N/A,#N/A,FALSE,"Plan2"}</definedName>
    <definedName name="dshfkhkrhesru" hidden="1">{#N/A,#N/A,FALSE,"Plan1";#N/A,#N/A,FALSE,"Plan2"}</definedName>
    <definedName name="dsjkthkr" localSheetId="2" hidden="1">{#N/A,#N/A,FALSE,"Plan1";#N/A,#N/A,FALSE,"Plan2"}</definedName>
    <definedName name="dsjkthkr" localSheetId="0" hidden="1">{#N/A,#N/A,FALSE,"Plan1";#N/A,#N/A,FALSE,"Plan2"}</definedName>
    <definedName name="dsjkthkr" hidden="1">{#N/A,#N/A,FALSE,"Plan1";#N/A,#N/A,FALSE,"Plan2"}</definedName>
    <definedName name="dskfdhksdfh" hidden="1">4</definedName>
    <definedName name="DSLFJSLFJ" localSheetId="2" hidden="1">{#N/A,#N/A,FALSE,"Plan1";#N/A,#N/A,FALSE,"Plan2"}</definedName>
    <definedName name="DSLFJSLFJ" localSheetId="0" hidden="1">{#N/A,#N/A,FALSE,"Plan1";#N/A,#N/A,FALSE,"Plan2"}</definedName>
    <definedName name="DSLFJSLFJ" hidden="1">{#N/A,#N/A,FALSE,"Plan1";#N/A,#N/A,FALSE,"Plan2"}</definedName>
    <definedName name="dslfkf" hidden="1">4</definedName>
    <definedName name="dsrff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localSheetId="2" hidden="1">{#N/A,#N/A,FALSE,"Plan1";#N/A,#N/A,FALSE,"Plan2"}</definedName>
    <definedName name="dss" localSheetId="0" hidden="1">{#N/A,#N/A,FALSE,"Plan1";#N/A,#N/A,FALSE,"Plan2"}</definedName>
    <definedName name="dss" hidden="1">{#N/A,#N/A,FALSE,"Plan1";#N/A,#N/A,FALSE,"Plan2"}</definedName>
    <definedName name="dtgsrytt" localSheetId="2" hidden="1">{#N/A,#N/A,FALSE,"Plan1";#N/A,#N/A,FALSE,"Plan2"}</definedName>
    <definedName name="dtgsrytt" localSheetId="0" hidden="1">{#N/A,#N/A,FALSE,"Plan1";#N/A,#N/A,FALSE,"Plan2"}</definedName>
    <definedName name="dtgsrytt" hidden="1">{#N/A,#N/A,FALSE,"Plan1";#N/A,#N/A,FALSE,"Plan2"}</definedName>
    <definedName name="dtrjkhtrgkfh" localSheetId="2" hidden="1">{#N/A,#N/A,FALSE,"Plan1";#N/A,#N/A,FALSE,"Plan2"}</definedName>
    <definedName name="dtrjkhtrgkfh" localSheetId="0" hidden="1">{#N/A,#N/A,FALSE,"Plan1";#N/A,#N/A,FALSE,"Plan2"}</definedName>
    <definedName name="dtrjkhtrgkfh" hidden="1">{#N/A,#N/A,FALSE,"Plan1";#N/A,#N/A,FALSE,"Plan2"}</definedName>
    <definedName name="dttjuk" localSheetId="2" hidden="1">{#N/A,#N/A,FALSE,"Plan1";#N/A,#N/A,FALSE,"Plan2"}</definedName>
    <definedName name="dttjuk" localSheetId="0" hidden="1">{#N/A,#N/A,FALSE,"Plan1";#N/A,#N/A,FALSE,"Plan2"}</definedName>
    <definedName name="dttjuk" hidden="1">{#N/A,#N/A,FALSE,"Plan1";#N/A,#N/A,FALSE,"Plan2"}</definedName>
    <definedName name="dvtry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localSheetId="2" hidden="1">{#N/A,#N/A,FALSE,"Plan1";#N/A,#N/A,FALSE,"Plan2"}</definedName>
    <definedName name="dwetrt" localSheetId="0" hidden="1">{#N/A,#N/A,FALSE,"Plan1";#N/A,#N/A,FALSE,"Plan2"}</definedName>
    <definedName name="dwetrt" hidden="1">{#N/A,#N/A,FALSE,"Plan1";#N/A,#N/A,FALSE,"Plan2"}</definedName>
    <definedName name="dwqhdjwqgdwq">#REF!</definedName>
    <definedName name="DY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localSheetId="2" hidden="1">{#N/A,#N/A,FALSE,"Plan1";#N/A,#N/A,FALSE,"Plan2"}</definedName>
    <definedName name="DYHYGJDHZKGF" localSheetId="0" hidden="1">{#N/A,#N/A,FALSE,"Plan1";#N/A,#N/A,FALSE,"Plan2"}</definedName>
    <definedName name="DYHYGJDHZKGF" hidden="1">{#N/A,#N/A,FALSE,"Plan1";#N/A,#N/A,FALSE,"Plan2"}</definedName>
    <definedName name="dzdfr" localSheetId="2" hidden="1">{#N/A,#N/A,FALSE,"Plan1";#N/A,#N/A,FALSE,"Plan2"}</definedName>
    <definedName name="dzdfr" localSheetId="0" hidden="1">{#N/A,#N/A,FALSE,"Plan1";#N/A,#N/A,FALSE,"Plan2"}</definedName>
    <definedName name="dzdfr" hidden="1">{#N/A,#N/A,FALSE,"Plan1";#N/A,#N/A,FALSE,"Plan2"}</definedName>
    <definedName name="e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 localSheetId="0">#REF!</definedName>
    <definedName name="ea">#REF!</definedName>
    <definedName name="EC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localSheetId="2" hidden="1">{#N/A,#N/A,FALSE,"F-01"}</definedName>
    <definedName name="ECEW" localSheetId="0" hidden="1">{#N/A,#N/A,FALSE,"F-01"}</definedName>
    <definedName name="ECEW" hidden="1">{#N/A,#N/A,FALSE,"F-01"}</definedName>
    <definedName name="ECEW_1" localSheetId="2" hidden="1">{#N/A,#N/A,FALSE,"F-01"}</definedName>
    <definedName name="ECEW_1" localSheetId="0" hidden="1">{#N/A,#N/A,FALSE,"F-01"}</definedName>
    <definedName name="ECEW_1" hidden="1">{#N/A,#N/A,FALSE,"F-01"}</definedName>
    <definedName name="echart31" hidden="1">#REF!</definedName>
    <definedName name="EcoPark">#REF!</definedName>
    <definedName name="ECS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localSheetId="2" hidden="1">{#N/A,#N/A,FALSE,"Plan1";#N/A,#N/A,FALSE,"Plan2"}</definedName>
    <definedName name="EDE" localSheetId="0" hidden="1">{#N/A,#N/A,FALSE,"Plan1";#N/A,#N/A,FALSE,"Plan2"}</definedName>
    <definedName name="EDE" hidden="1">{#N/A,#N/A,FALSE,"Plan1";#N/A,#N/A,FALSE,"Plan2"}</definedName>
    <definedName name="ee">#REF!</definedName>
    <definedName name="eee" localSheetId="2" hidden="1">{#N/A,#N/A,FALSE,"ET-CAPA";#N/A,#N/A,FALSE,"ET-PAG1";#N/A,#N/A,FALSE,"ET-PAG2";#N/A,#N/A,FALSE,"ET-PAG3";#N/A,#N/A,FALSE,"ET-PAG4";#N/A,#N/A,FALSE,"ET-PAG5"}</definedName>
    <definedName name="eee" localSheetId="0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EF">#REF!</definedName>
    <definedName name="efestfr" localSheetId="2" hidden="1">{#N/A,#N/A,FALSE,"Plan1";#N/A,#N/A,FALSE,"Plan2"}</definedName>
    <definedName name="efestfr" localSheetId="0" hidden="1">{#N/A,#N/A,FALSE,"Plan1";#N/A,#N/A,FALSE,"Plan2"}</definedName>
    <definedName name="efestfr" hidden="1">{#N/A,#N/A,FALSE,"Plan1";#N/A,#N/A,FALSE,"Plan2"}</definedName>
    <definedName name="EFICIÊNCIA">#REF!</definedName>
    <definedName name="Eficiência1">#REF!</definedName>
    <definedName name="efrdrt" localSheetId="2" hidden="1">{#N/A,#N/A,FALSE,"Plan1";#N/A,#N/A,FALSE,"Plan2"}</definedName>
    <definedName name="efrdrt" localSheetId="0" hidden="1">{#N/A,#N/A,FALSE,"Plan1";#N/A,#N/A,FALSE,"Plan2"}</definedName>
    <definedName name="efrdrt" hidden="1">{#N/A,#N/A,FALSE,"Plan1";#N/A,#N/A,FALSE,"Plan2"}</definedName>
    <definedName name="efrg" localSheetId="2" hidden="1">{#N/A,#N/A,FALSE,"Plan1";#N/A,#N/A,FALSE,"Plan2"}</definedName>
    <definedName name="efrg" localSheetId="0" hidden="1">{#N/A,#N/A,FALSE,"Plan1";#N/A,#N/A,FALSE,"Plan2"}</definedName>
    <definedName name="efrg" hidden="1">{#N/A,#N/A,FALSE,"Plan1";#N/A,#N/A,FALSE,"Plan2"}</definedName>
    <definedName name="efsgfr" localSheetId="2" hidden="1">{#N/A,#N/A,FALSE,"Plan1";#N/A,#N/A,FALSE,"Plan2"}</definedName>
    <definedName name="efsgfr" localSheetId="0" hidden="1">{#N/A,#N/A,FALSE,"Plan1";#N/A,#N/A,FALSE,"Plan2"}</definedName>
    <definedName name="efsgfr" hidden="1">{#N/A,#N/A,FALSE,"Plan1";#N/A,#N/A,FALSE,"Plan2"}</definedName>
    <definedName name="eixo_x_fluxo_graf1" localSheetId="2">IFERROR(OFFSET(INDEX(#REF!,MATCH((INDEX(#REF!,MATCH(1,#REF!,0))),#REF!,0)),0,0,1,COUNTIF(#REF!,"&gt;=0")+COUNTIF(#REF!,"&lt;0")),0)</definedName>
    <definedName name="eixo_x_fluxo_graf1">IFERROR(OFFSET(INDEX(#REF!,MATCH((INDEX(#REF!,MATCH(1,#REF!,0))),#REF!,0)),0,0,1,COUNTIF(#REF!,"&gt;=0")+COUNTIF(#REF!,"&lt;0")),0)</definedName>
    <definedName name="eixo_x_graf2" localSheetId="2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>#REF!</definedName>
    <definedName name="eixo_x_graf3_vendas">#REF!</definedName>
    <definedName name="eixo_y_cury_graf2" localSheetId="2">IFERROR(OFFSET(INDEX(#REF!,MATCH((INDEX(#REF!,MATCH(1,#REF!,0))),#REF!,0)),0,0,1,COUNTIF(#REF!,"&gt;=0")+COUNTIF(#REF!,"&lt;0")),0)</definedName>
    <definedName name="eixo_y_cury_graf2">IFERROR(OFFSET(INDEX(#REF!,MATCH((INDEX(#REF!,MATCH(1,#REF!,0))),#REF!,0)),0,0,1,COUNTIF(#REF!,"&gt;=0")+COUNTIF(#REF!,"&lt;0")),0)</definedName>
    <definedName name="eixo_y_fluxo_graf1" localSheetId="2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2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2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>#REF!</definedName>
    <definedName name="eixo_y_socio_graf2">IFERROR(OFFSET(INDEX(#REF!,MATCH((INDEX(#REF!,MATCH(1,#REF!,0))),#REF!,0)),0,0,1,COUNTIF(#REF!,"&gt;=0")+COUNTIF(#REF!,"&lt;0")),0)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>#REF!</definedName>
    <definedName name="Empreend">#REF!</definedName>
    <definedName name="Empreendimentos">#REF!</definedName>
    <definedName name="empresas">#REF!</definedName>
    <definedName name="encanador">#REF!</definedName>
    <definedName name="EPI">#REF!</definedName>
    <definedName name="EQUIP">#REF!</definedName>
    <definedName name="equipamento">#REF!</definedName>
    <definedName name="E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localSheetId="2" hidden="1">{#N/A,#N/A,FALSE,"Plan1";#N/A,#N/A,FALSE,"Plan2"}</definedName>
    <definedName name="ergfhyu" localSheetId="0" hidden="1">{#N/A,#N/A,FALSE,"Plan1";#N/A,#N/A,FALSE,"Plan2"}</definedName>
    <definedName name="ergfhyu" hidden="1">{#N/A,#N/A,FALSE,"Plan1";#N/A,#N/A,FALSE,"Plan2"}</definedName>
    <definedName name="erne_cdi">#REF!</definedName>
    <definedName name="erne_hist">#REF!</definedName>
    <definedName name="erne_uss">#REF!</definedName>
    <definedName name="erte" localSheetId="0" hidden="1">#REF!</definedName>
    <definedName name="erte" hidden="1">#REF!</definedName>
    <definedName name="ESGFDSFD" localSheetId="2" hidden="1">{#N/A,#N/A,FALSE,"Plan1";#N/A,#N/A,FALSE,"Plan2"}</definedName>
    <definedName name="ESGFDSFD" localSheetId="0" hidden="1">{#N/A,#N/A,FALSE,"Plan1";#N/A,#N/A,FALSE,"Plan2"}</definedName>
    <definedName name="ESGFDSFD" hidden="1">{#N/A,#N/A,FALSE,"Plan1";#N/A,#N/A,FALSE,"Plan2"}</definedName>
    <definedName name="esp">#REF!</definedName>
    <definedName name="ESPESSURA">#REF!</definedName>
    <definedName name="estaca">#REF!</definedName>
    <definedName name="estaca3">#REF!</definedName>
    <definedName name="ESTADO">#REF!</definedName>
    <definedName name="estados">#REF!</definedName>
    <definedName name="estagiário">#REF!</definedName>
    <definedName name="ESTOQUE">#REF!</definedName>
    <definedName name="Etq_final">#REF!</definedName>
    <definedName name="EU" localSheetId="2" hidden="1">{#N/A,#N/A,FALSE,"Plan1";#N/A,#N/A,FALSE,"Plan2"}</definedName>
    <definedName name="EU" localSheetId="0" hidden="1">{#N/A,#N/A,FALSE,"Plan1";#N/A,#N/A,FALSE,"Plan2"}</definedName>
    <definedName name="EU" hidden="1">{#N/A,#N/A,FALSE,"Plan1";#N/A,#N/A,FALSE,"Plan2"}</definedName>
    <definedName name="EV__LASTREFTIME__" hidden="1">39965.7223611111</definedName>
    <definedName name="EVL" localSheetId="2" hidden="1">{"Econ Consolidado",#N/A,FALSE,"Econ Consol";"Fluxo de Caixa",#N/A,FALSE,"Fluxo Caixa";"Investimentos",#N/A,FALSE,"Investimentos"}</definedName>
    <definedName name="EVL" localSheetId="0" hidden="1">{"Econ Consolidado",#N/A,FALSE,"Econ Consol";"Fluxo de Caixa",#N/A,FALSE,"Fluxo Caixa";"Investimentos",#N/A,FALSE,"Investimentos"}</definedName>
    <definedName name="EVL" hidden="1">{"Econ Consolidado",#N/A,FALSE,"Econ Consol";"Fluxo de Caixa",#N/A,FALSE,"Fluxo Caixa";"Investimentos",#N/A,FALSE,"Investimentos"}</definedName>
    <definedName name="Evol." localSheetId="2" hidden="1">{"Econ Consolidado",#N/A,FALSE,"Econ Consol";"Fluxo de Caixa",#N/A,FALSE,"Fluxo Caixa";"Investimentos",#N/A,FALSE,"Investimentos"}</definedName>
    <definedName name="Evol." localSheetId="0" hidden="1">{"Econ Consolidado",#N/A,FALSE,"Econ Consol";"Fluxo de Caixa",#N/A,FALSE,"Fluxo Caixa";"Investimentos",#N/A,FALSE,"Investimentos"}</definedName>
    <definedName name="Evol." hidden="1">{"Econ Consolidado",#N/A,FALSE,"Econ Consol";"Fluxo de Caixa",#N/A,FALSE,"Fluxo Caixa";"Investimentos",#N/A,FALSE,"Investimentos"}</definedName>
    <definedName name="ewfr" localSheetId="2" hidden="1">{#N/A,#N/A,FALSE,"Plan1";#N/A,#N/A,FALSE,"Plan2"}</definedName>
    <definedName name="ewfr" localSheetId="0" hidden="1">{#N/A,#N/A,FALSE,"Plan1";#N/A,#N/A,FALSE,"Plan2"}</definedName>
    <definedName name="ewfr" hidden="1">{#N/A,#N/A,FALSE,"Plan1";#N/A,#N/A,FALSE,"Plan2"}</definedName>
    <definedName name="exce_cdi">#REF!</definedName>
    <definedName name="exce_hist">#REF!</definedName>
    <definedName name="exce_uss">#REF!</definedName>
    <definedName name="Excel_BuiltIn__FilterDatabase_1">#REF!</definedName>
    <definedName name="Excel_BuiltIn__FilterDatabase_1_1">#REF!</definedName>
    <definedName name="Excel_BuiltIn__FilterDatabase_6">#REF!</definedName>
    <definedName name="Excel_BuiltIn_Print_Area_0">#REF!</definedName>
    <definedName name="Excel_BuiltIn_Print_Area_1_1">#REF!</definedName>
    <definedName name="Excel_BuiltIn_Print_Titles_1_1_1">#REF!</definedName>
    <definedName name="Excel_BuiltIn_Print_Titles_1_1_4">#REF!</definedName>
    <definedName name="Excel_BuiltIn_Print_Titles_1_1_5">#REF!</definedName>
    <definedName name="Exrate">#REF!</definedName>
    <definedName name="eyruieyteta" localSheetId="2" hidden="1">{#N/A,#N/A,FALSE,"Plan1";#N/A,#N/A,FALSE,"Plan2"}</definedName>
    <definedName name="eyruieyteta" localSheetId="0" hidden="1">{#N/A,#N/A,FALSE,"Plan1";#N/A,#N/A,FALSE,"Plan2"}</definedName>
    <definedName name="eyruieyteta" hidden="1">{#N/A,#N/A,FALSE,"Plan1";#N/A,#N/A,FALSE,"Plan2"}</definedName>
    <definedName name="f" localSheetId="2" hidden="1">{#N/A,#N/A,FALSE,"Plan1";#N/A,#N/A,FALSE,"Plan2"}</definedName>
    <definedName name="f" localSheetId="0">#REF!</definedName>
    <definedName name="f" hidden="1">{#N/A,#N/A,FALSE,"Plan1";#N/A,#N/A,FALSE,"Plan2"}</definedName>
    <definedName name="FACULDADE">#REF!</definedName>
    <definedName name="FAL">#REF!</definedName>
    <definedName name="farialima">#REF!</definedName>
    <definedName name="FAS" localSheetId="2" hidden="1">{"'Total'!$A$1","'Total'!$A$3"}</definedName>
    <definedName name="FAS" localSheetId="0" hidden="1">{"'Total'!$A$1","'Total'!$A$3"}</definedName>
    <definedName name="FAS" hidden="1">{"'Total'!$A$1","'Total'!$A$3"}</definedName>
    <definedName name="fasfasf" localSheetId="2" hidden="1">{#N/A,#N/A,TRUE,"Quinzena 01 à 15-04-98 "}</definedName>
    <definedName name="fasfasf" localSheetId="0" hidden="1">{#N/A,#N/A,TRUE,"Quinzena 01 à 15-04-98 "}</definedName>
    <definedName name="fasfasf" hidden="1">{#N/A,#N/A,TRUE,"Quinzena 01 à 15-04-98 "}</definedName>
    <definedName name="FATOR_K">#REF!</definedName>
    <definedName name="FATORK">#REF!</definedName>
    <definedName name="FBancaria">#REF!</definedName>
    <definedName name="fchart31" localSheetId="0" hidden="1">#REF!</definedName>
    <definedName name="fchart31" hidden="1">#REF!</definedName>
    <definedName name="fddhght" localSheetId="2" hidden="1">{#N/A,#N/A,FALSE,"Plan1";#N/A,#N/A,FALSE,"Plan2"}</definedName>
    <definedName name="fddhght" localSheetId="0" hidden="1">{#N/A,#N/A,FALSE,"Plan1";#N/A,#N/A,FALSE,"Plan2"}</definedName>
    <definedName name="fddhght" hidden="1">{#N/A,#N/A,FALSE,"Plan1";#N/A,#N/A,FALSE,"Plan2"}</definedName>
    <definedName name="fdfgd" localSheetId="2" hidden="1">{#N/A,#N/A,FALSE,"Plan1";#N/A,#N/A,FALSE,"Plan2"}</definedName>
    <definedName name="fdfgd" localSheetId="0" hidden="1">{#N/A,#N/A,FALSE,"Plan1";#N/A,#N/A,FALSE,"Plan2"}</definedName>
    <definedName name="fdfgd" hidden="1">{#N/A,#N/A,FALSE,"Plan1";#N/A,#N/A,FALSE,"Plan2"}</definedName>
    <definedName name="fdfng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2" hidden="1">{#N/A,#N/A,FALSE,"Plan1";#N/A,#N/A,FALSE,"Plan2"}</definedName>
    <definedName name="fdgaf" localSheetId="0" hidden="1">{#N/A,#N/A,FALSE,"Plan1";#N/A,#N/A,FALSE,"Plan2"}</definedName>
    <definedName name="fdgaf" hidden="1">{#N/A,#N/A,FALSE,"Plan1";#N/A,#N/A,FALSE,"Plan2"}</definedName>
    <definedName name="fdgdf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localSheetId="2" hidden="1">{#N/A,#N/A,FALSE,"Plan1";#N/A,#N/A,FALSE,"Plan2"}</definedName>
    <definedName name="FDGFDJHGZEDR" localSheetId="0" hidden="1">{#N/A,#N/A,FALSE,"Plan1";#N/A,#N/A,FALSE,"Plan2"}</definedName>
    <definedName name="FDGFDJHGZEDR" hidden="1">{#N/A,#N/A,FALSE,"Plan1";#N/A,#N/A,FALSE,"Plan2"}</definedName>
    <definedName name="fdgfyhygfuj" localSheetId="2" hidden="1">{#N/A,#N/A,FALSE,"Plan1";#N/A,#N/A,FALSE,"Plan2"}</definedName>
    <definedName name="fdgfyhygfuj" localSheetId="0" hidden="1">{#N/A,#N/A,FALSE,"Plan1";#N/A,#N/A,FALSE,"Plan2"}</definedName>
    <definedName name="fdgfyhygfuj" hidden="1">{#N/A,#N/A,FALSE,"Plan1";#N/A,#N/A,FALSE,"Plan2"}</definedName>
    <definedName name="fdhgfdf" localSheetId="2" hidden="1">{#N/A,#N/A,FALSE,"Plan1";#N/A,#N/A,FALSE,"Plan2"}</definedName>
    <definedName name="fdhgfdf" localSheetId="0" hidden="1">{#N/A,#N/A,FALSE,"Plan1";#N/A,#N/A,FALSE,"Plan2"}</definedName>
    <definedName name="fdhgfdf" hidden="1">{#N/A,#N/A,FALSE,"Plan1";#N/A,#N/A,FALSE,"Plan2"}</definedName>
    <definedName name="fdjfgdfjg" localSheetId="2" hidden="1">{#N/A,#N/A,FALSE,"Plan1";#N/A,#N/A,FALSE,"Plan2"}</definedName>
    <definedName name="fdjfgdfjg" localSheetId="0" hidden="1">{#N/A,#N/A,FALSE,"Plan1";#N/A,#N/A,FALSE,"Plan2"}</definedName>
    <definedName name="fdjfgdfjg" hidden="1">{#N/A,#N/A,FALSE,"Plan1";#N/A,#N/A,FALSE,"Plan2"}</definedName>
    <definedName name="fdjghkshtygt" localSheetId="2" hidden="1">{#N/A,#N/A,FALSE,"Plan1";#N/A,#N/A,FALSE,"Plan2"}</definedName>
    <definedName name="fdjghkshtygt" localSheetId="0" hidden="1">{#N/A,#N/A,FALSE,"Plan1";#N/A,#N/A,FALSE,"Plan2"}</definedName>
    <definedName name="fdjghkshtygt" hidden="1">{#N/A,#N/A,FALSE,"Plan1";#N/A,#N/A,FALSE,"Plan2"}</definedName>
    <definedName name="fdnhgf" localSheetId="2" hidden="1">{"'Estimativa de Lançamento-JAN'!$A$1:$AI$85"}</definedName>
    <definedName name="fdnhgf" localSheetId="0" hidden="1">{"'Estimativa de Lançamento-JAN'!$A$1:$AI$85"}</definedName>
    <definedName name="fdnhgf" hidden="1">{"'Estimativa de Lançamento-JAN'!$A$1:$AI$85"}</definedName>
    <definedName name="fdsf" localSheetId="2" hidden="1">{#N/A,#N/A,FALSE,"Plan1";#N/A,#N/A,FALSE,"Plan2"}</definedName>
    <definedName name="fdsf" localSheetId="0" hidden="1">{#N/A,#N/A,FALSE,"Plan1";#N/A,#N/A,FALSE,"Plan2"}</definedName>
    <definedName name="fdsf" hidden="1">{#N/A,#N/A,FALSE,"Plan1";#N/A,#N/A,FALSE,"Plan2"}</definedName>
    <definedName name="FE">#REF!</definedName>
    <definedName name="fefefefe">#REF!</definedName>
    <definedName name="FER" localSheetId="0" hidden="1">#REF!</definedName>
    <definedName name="FER" hidden="1">#REF!</definedName>
    <definedName name="fev17RJ">#REF!</definedName>
    <definedName name="FEVEREIRO2001">#REF!</definedName>
    <definedName name="ff">#REF!</definedName>
    <definedName name="fffefes">#REF!</definedName>
    <definedName name="fffff" localSheetId="2" hidden="1">{#N/A,#N/A,FALSE,"Plan1";#N/A,#N/A,FALSE,"Plan2"}</definedName>
    <definedName name="fffff" localSheetId="0" hidden="1">{#N/A,#N/A,FALSE,"Plan1";#N/A,#N/A,FALSE,"Plan2"}</definedName>
    <definedName name="fffff" hidden="1">{#N/A,#N/A,FALSE,"Plan1";#N/A,#N/A,FALSE,"Plan2"}</definedName>
    <definedName name="FFFFFFF" localSheetId="0">#REF!</definedName>
    <definedName name="FFFFFFF">#REF!</definedName>
    <definedName name="FFTY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localSheetId="2" hidden="1">{#N/A,#N/A,FALSE,"Plan1";#N/A,#N/A,FALSE,"Plan2"}</definedName>
    <definedName name="fg" localSheetId="0" hidden="1">{#N/A,#N/A,FALSE,"Plan1";#N/A,#N/A,FALSE,"Plan2"}</definedName>
    <definedName name="fg" hidden="1">{#N/A,#N/A,FALSE,"Plan1";#N/A,#N/A,FALSE,"Plan2"}</definedName>
    <definedName name="fgg" localSheetId="2" hidden="1">{"'장비'!$A$3:$M$12"}</definedName>
    <definedName name="fgg" localSheetId="0" hidden="1">{"'장비'!$A$3:$M$12"}</definedName>
    <definedName name="fgg" hidden="1">{"'장비'!$A$3:$M$12"}</definedName>
    <definedName name="fghfh" localSheetId="2" hidden="1">{"'Estimativa de Lançamento-JAN'!$A$1:$AI$85"}</definedName>
    <definedName name="fghfh" localSheetId="0" hidden="1">{"'Estimativa de Lançamento-JAN'!$A$1:$AI$85"}</definedName>
    <definedName name="fghfh" hidden="1">{"'Estimativa de Lançamento-JAN'!$A$1:$AI$85"}</definedName>
    <definedName name="fghgfh" localSheetId="2" hidden="1">{#N/A,#N/A,FALSE,"Plan1";#N/A,#N/A,FALSE,"Plan2"}</definedName>
    <definedName name="fghgfh" localSheetId="0" hidden="1">{#N/A,#N/A,FALSE,"Plan1";#N/A,#N/A,FALSE,"Plan2"}</definedName>
    <definedName name="fghgfh" hidden="1">{#N/A,#N/A,FALSE,"Plan1";#N/A,#N/A,FALSE,"Plan2"}</definedName>
    <definedName name="FGJHFGK" localSheetId="2" hidden="1">{#N/A,#N/A,FALSE,"Plan1";#N/A,#N/A,FALSE,"Plan2"}</definedName>
    <definedName name="FGJHFGK" localSheetId="0" hidden="1">{#N/A,#N/A,FALSE,"Plan1";#N/A,#N/A,FALSE,"Plan2"}</definedName>
    <definedName name="FGJHFGK" hidden="1">{#N/A,#N/A,FALSE,"Plan1";#N/A,#N/A,FALSE,"Plan2"}</definedName>
    <definedName name="fgktyhdf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localSheetId="2" hidden="1">{#N/A,#N/A,FALSE,"Plan1";#N/A,#N/A,FALSE,"Plan2"}</definedName>
    <definedName name="fgtrgty" localSheetId="0" hidden="1">{#N/A,#N/A,FALSE,"Plan1";#N/A,#N/A,FALSE,"Plan2"}</definedName>
    <definedName name="fgtrgty" hidden="1">{#N/A,#N/A,FALSE,"Plan1";#N/A,#N/A,FALSE,"Plan2"}</definedName>
    <definedName name="fgty" hidden="1">#REF!</definedName>
    <definedName name="fhgjfgyt" localSheetId="2" hidden="1">{#N/A,#N/A,FALSE,"Plan1";#N/A,#N/A,FALSE,"Plan2"}</definedName>
    <definedName name="fhgjfgyt" localSheetId="0" hidden="1">{#N/A,#N/A,FALSE,"Plan1";#N/A,#N/A,FALSE,"Plan2"}</definedName>
    <definedName name="fhgjfgyt" hidden="1">{#N/A,#N/A,FALSE,"Plan1";#N/A,#N/A,FALSE,"Plan2"}</definedName>
    <definedName name="fhgjkhtrfg" localSheetId="2" hidden="1">{#N/A,#N/A,FALSE,"Plan1";#N/A,#N/A,FALSE,"Plan2"}</definedName>
    <definedName name="fhgjkhtrfg" localSheetId="0" hidden="1">{#N/A,#N/A,FALSE,"Plan1";#N/A,#N/A,FALSE,"Plan2"}</definedName>
    <definedName name="fhgjkhtrfg" hidden="1">{#N/A,#N/A,FALSE,"Plan1";#N/A,#N/A,FALSE,"Plan2"}</definedName>
    <definedName name="FHGTGSRSG" localSheetId="2" hidden="1">{#N/A,#N/A,FALSE,"Plan1";#N/A,#N/A,FALSE,"Plan2"}</definedName>
    <definedName name="FHGTGSRSG" localSheetId="0" hidden="1">{#N/A,#N/A,FALSE,"Plan1";#N/A,#N/A,FALSE,"Plan2"}</definedName>
    <definedName name="FHGTGSRSG" hidden="1">{#N/A,#N/A,FALSE,"Plan1";#N/A,#N/A,FALSE,"Plan2"}</definedName>
    <definedName name="FIELD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localSheetId="2" hidden="1">{#N/A,#N/A,TRUE,"Quinzena 01 à 15-04-98 "}</definedName>
    <definedName name="FILTRO" localSheetId="0" hidden="1">{#N/A,#N/A,TRUE,"Quinzena 01 à 15-04-98 "}</definedName>
    <definedName name="FILTRO" hidden="1">{#N/A,#N/A,TRUE,"Quinzena 01 à 15-04-98 "}</definedName>
    <definedName name="Filtro_Rel_Sienge">#REF!</definedName>
    <definedName name="Firs_hist">#REF!</definedName>
    <definedName name="First_cdi">#REF!</definedName>
    <definedName name="First_uss">#REF!</definedName>
    <definedName name="fjdhfgjdhtgu" localSheetId="2" hidden="1">{#N/A,#N/A,FALSE,"Plan1";#N/A,#N/A,FALSE,"Plan2"}</definedName>
    <definedName name="fjdhfgjdhtgu" localSheetId="0" hidden="1">{#N/A,#N/A,FALSE,"Plan1";#N/A,#N/A,FALSE,"Plan2"}</definedName>
    <definedName name="fjdhfgjdhtgu" hidden="1">{#N/A,#N/A,FALSE,"Plan1";#N/A,#N/A,FALSE,"Plan2"}</definedName>
    <definedName name="fjfjg" localSheetId="2" hidden="1">{#N/A,#N/A,FALSE,"명세표"}</definedName>
    <definedName name="fjfjg" localSheetId="0" hidden="1">{#N/A,#N/A,FALSE,"명세표"}</definedName>
    <definedName name="fjfjg" hidden="1">{#N/A,#N/A,FALSE,"명세표"}</definedName>
    <definedName name="FJGH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2" hidden="1">{#N/A,#N/A,FALSE,"Plan1";#N/A,#N/A,FALSE,"Plan2"}</definedName>
    <definedName name="FJHJHG" localSheetId="0" hidden="1">{#N/A,#N/A,FALSE,"Plan1";#N/A,#N/A,FALSE,"Plan2"}</definedName>
    <definedName name="FJHJHG" hidden="1">{#N/A,#N/A,FALSE,"Plan1";#N/A,#N/A,FALSE,"Plan2"}</definedName>
    <definedName name="fjtgfh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localSheetId="2" hidden="1">{#N/A,#N/A,FALSE,"Plan1";#N/A,#N/A,FALSE,"Plan2"}</definedName>
    <definedName name="fkfw" localSheetId="0" hidden="1">{#N/A,#N/A,FALSE,"Plan1";#N/A,#N/A,FALSE,"Plan2"}</definedName>
    <definedName name="fkfw" hidden="1">{#N/A,#N/A,FALSE,"Plan1";#N/A,#N/A,FALSE,"Plan2"}</definedName>
    <definedName name="fl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0">#REF!</definedName>
    <definedName name="f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_1">#REF!</definedName>
    <definedName name="FL_2">#REF!</definedName>
    <definedName name="FL_3">#REF!</definedName>
    <definedName name="Fluxo_captação">#REF!</definedName>
    <definedName name="FOLHA2">#REF!</definedName>
    <definedName name="Format">#REF!</definedName>
    <definedName name="Formato_da_Loja">#REF!</definedName>
    <definedName name="FORMULA">#REF!</definedName>
    <definedName name="FORNECEDOR">OFFSET(#REF!,6,0,COUNTA(#REF!))</definedName>
    <definedName name="FORNECEDOR_2">OFFSET(#REF!,6,0,COUNTA(#REF!))</definedName>
    <definedName name="FORNECEDOR_3">OFFSET(#REF!,6,0,COUNTA(#REF!))</definedName>
    <definedName name="FORNECEDOR_4">OFFSET(#REF!,6,0,COUNTA(#REF!))</definedName>
    <definedName name="FORNECEDOR_5">OFFSET(#REF!,6,0,COUNTA(#REF!))</definedName>
    <definedName name="FORNECEDOR_7">OFFSET(#REF!,6,0,COUNTA(#REF!))</definedName>
    <definedName name="FORNECEDOR_8">OFFSET(#REF!,6,0,COUNTA(#REF!))</definedName>
    <definedName name="frçt4r" localSheetId="2" hidden="1">{#N/A,#N/A,FALSE,"Plan1";#N/A,#N/A,FALSE,"Plan2"}</definedName>
    <definedName name="frçt4r" localSheetId="0" hidden="1">{#N/A,#N/A,FALSE,"Plan1";#N/A,#N/A,FALSE,"Plan2"}</definedName>
    <definedName name="frçt4r" hidden="1">{#N/A,#N/A,FALSE,"Plan1";#N/A,#N/A,FALSE,"Plan2"}</definedName>
    <definedName name="frdtty" localSheetId="2" hidden="1">{#N/A,#N/A,FALSE,"Plan1";#N/A,#N/A,FALSE,"Plan2"}</definedName>
    <definedName name="frdtty" localSheetId="0" hidden="1">{#N/A,#N/A,FALSE,"Plan1";#N/A,#N/A,FALSE,"Plan2"}</definedName>
    <definedName name="frdtty" hidden="1">{#N/A,#N/A,FALSE,"Plan1";#N/A,#N/A,FALSE,"Plan2"}</definedName>
    <definedName name="fsdfs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localSheetId="2" hidden="1">{#N/A,#N/A,FALSE,"Plan1";#N/A,#N/A,FALSE,"Plan2"}</definedName>
    <definedName name="fuihgjk" localSheetId="0" hidden="1">{#N/A,#N/A,FALSE,"Plan1";#N/A,#N/A,FALSE,"Plan2"}</definedName>
    <definedName name="fuihgjk" hidden="1">{#N/A,#N/A,FALSE,"Plan1";#N/A,#N/A,FALSE,"Plan2"}</definedName>
    <definedName name="fuste">#REF!</definedName>
    <definedName name="fxjghkfg" localSheetId="2" hidden="1">{#N/A,#N/A,FALSE,"Plan1";#N/A,#N/A,FALSE,"Plan2"}</definedName>
    <definedName name="fxjghkfg" localSheetId="0" hidden="1">{#N/A,#N/A,FALSE,"Plan1";#N/A,#N/A,FALSE,"Plan2"}</definedName>
    <definedName name="fxjghkfg" hidden="1">{#N/A,#N/A,FALSE,"Plan1";#N/A,#N/A,FALSE,"Plan2"}</definedName>
    <definedName name="g_10">#REF!</definedName>
    <definedName name="g_11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#REF!</definedName>
    <definedName name="g_27">#REF!</definedName>
    <definedName name="g_31">#REF!</definedName>
    <definedName name="g_32">#REF!</definedName>
    <definedName name="g_33">#REF!</definedName>
    <definedName name="g_34">#REF!</definedName>
    <definedName name="G_35">#REF!</definedName>
    <definedName name="g_37">#REF!</definedName>
    <definedName name="g_41">#REF!</definedName>
    <definedName name="g_42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#REF!</definedName>
    <definedName name="G_91">#REF!</definedName>
    <definedName name="G_92">#REF!</definedName>
    <definedName name="G_94">#REF!</definedName>
    <definedName name="G_95">#REF!</definedName>
    <definedName name="G_96">#REF!</definedName>
    <definedName name="gal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>#REF!</definedName>
    <definedName name="garcia">#REF!</definedName>
    <definedName name="GASTOS_JULHO">#REF!</definedName>
    <definedName name="gbdjkvhgd" localSheetId="2" hidden="1">{#N/A,#N/A,FALSE,"Plan1";#N/A,#N/A,FALSE,"Plan2"}</definedName>
    <definedName name="gbdjkvhgd" localSheetId="0" hidden="1">{#N/A,#N/A,FALSE,"Plan1";#N/A,#N/A,FALSE,"Plan2"}</definedName>
    <definedName name="gbdjkvhgd" hidden="1">{#N/A,#N/A,FALSE,"Plan1";#N/A,#N/A,FALSE,"Plan2"}</definedName>
    <definedName name="gbdsjgsjfdgj" localSheetId="2" hidden="1">{#N/A,#N/A,FALSE,"Plan1";#N/A,#N/A,FALSE,"Plan2"}</definedName>
    <definedName name="gbdsjgsjfdgj" localSheetId="0" hidden="1">{#N/A,#N/A,FALSE,"Plan1";#N/A,#N/A,FALSE,"Plan2"}</definedName>
    <definedName name="gbdsjgsjfdgj" hidden="1">{#N/A,#N/A,FALSE,"Plan1";#N/A,#N/A,FALSE,"Plan2"}</definedName>
    <definedName name="gdfdhgfjgj" localSheetId="2" hidden="1">{#N/A,#N/A,FALSE,"Plan1";#N/A,#N/A,FALSE,"Plan2"}</definedName>
    <definedName name="gdfdhgfjgj" localSheetId="0" hidden="1">{#N/A,#N/A,FALSE,"Plan1";#N/A,#N/A,FALSE,"Plan2"}</definedName>
    <definedName name="gdfdhgfjgj" hidden="1">{#N/A,#N/A,FALSE,"Plan1";#N/A,#N/A,FALSE,"Plan2"}</definedName>
    <definedName name="gdfgdstggt" localSheetId="2" hidden="1">{#N/A,#N/A,FALSE,"Plan1";#N/A,#N/A,FALSE,"Plan2"}</definedName>
    <definedName name="gdfgdstggt" localSheetId="0" hidden="1">{#N/A,#N/A,FALSE,"Plan1";#N/A,#N/A,FALSE,"Plan2"}</definedName>
    <definedName name="gdfgdstggt" hidden="1">{#N/A,#N/A,FALSE,"Plan1";#N/A,#N/A,FALSE,"Plan2"}</definedName>
    <definedName name="GDFHGRJGFJDRF" localSheetId="2" hidden="1">{"Econ Consolidado",#N/A,FALSE,"Econ Consol";"Fluxo de Caixa",#N/A,FALSE,"Fluxo Caixa";"Investimentos",#N/A,FALSE,"Investimentos"}</definedName>
    <definedName name="GDFHGRJGFJDRF" localSheetId="0" hidden="1">{"Econ Consolidado",#N/A,FALSE,"Econ Consol";"Fluxo de Caixa",#N/A,FALSE,"Fluxo Caixa";"Investimentos",#N/A,FALSE,"Investimentos"}</definedName>
    <definedName name="GDFHGRJGFJDRF" hidden="1">{"Econ Consolidado",#N/A,FALSE,"Econ Consol";"Fluxo de Caixa",#N/A,FALSE,"Fluxo Caixa";"Investimentos",#N/A,FALSE,"Investimentos"}</definedName>
    <definedName name="gdfigfhuyuy" localSheetId="2" hidden="1">{#N/A,#N/A,FALSE,"Plan1";#N/A,#N/A,FALSE,"Plan2"}</definedName>
    <definedName name="gdfigfhuyuy" localSheetId="0" hidden="1">{#N/A,#N/A,FALSE,"Plan1";#N/A,#N/A,FALSE,"Plan2"}</definedName>
    <definedName name="gdfigfhuyuy" hidden="1">{#N/A,#N/A,FALSE,"Plan1";#N/A,#N/A,FALSE,"Plan2"}</definedName>
    <definedName name="gdfsgfew" localSheetId="2" hidden="1">{#N/A,#N/A,FALSE,"Plan1";#N/A,#N/A,FALSE,"Plan2"}</definedName>
    <definedName name="gdfsgfew" localSheetId="0" hidden="1">{#N/A,#N/A,FALSE,"Plan1";#N/A,#N/A,FALSE,"Plan2"}</definedName>
    <definedName name="gdfsgfew" hidden="1">{#N/A,#N/A,FALSE,"Plan1";#N/A,#N/A,FALSE,"Plan2"}</definedName>
    <definedName name="gdhfgdhfgf" localSheetId="2" hidden="1">{#N/A,#N/A,FALSE,"Plan1";#N/A,#N/A,FALSE,"Plan2"}</definedName>
    <definedName name="gdhfgdhfgf" localSheetId="0" hidden="1">{#N/A,#N/A,FALSE,"Plan1";#N/A,#N/A,FALSE,"Plan2"}</definedName>
    <definedName name="gdhfgdhfgf" hidden="1">{#N/A,#N/A,FALSE,"Plan1";#N/A,#N/A,FALSE,"Plan2"}</definedName>
    <definedName name="gdsfhefrwrw" localSheetId="2" hidden="1">{#N/A,#N/A,FALSE,"Plan1";#N/A,#N/A,FALSE,"Plan2"}</definedName>
    <definedName name="gdsfhefrwrw" localSheetId="0" hidden="1">{#N/A,#N/A,FALSE,"Plan1";#N/A,#N/A,FALSE,"Plan2"}</definedName>
    <definedName name="gdsfhefrwrw" hidden="1">{#N/A,#N/A,FALSE,"Plan1";#N/A,#N/A,FALSE,"Plan2"}</definedName>
    <definedName name="GER_TECNICO">#REF!</definedName>
    <definedName name="Gerentes">#REF!</definedName>
    <definedName name="geshrjhed" localSheetId="2" hidden="1">{#N/A,#N/A,FALSE,"Plan1";#N/A,#N/A,FALSE,"Plan2"}</definedName>
    <definedName name="geshrjhed" localSheetId="0" hidden="1">{#N/A,#N/A,FALSE,"Plan1";#N/A,#N/A,FALSE,"Plan2"}</definedName>
    <definedName name="geshrjhed" hidden="1">{#N/A,#N/A,FALSE,"Plan1";#N/A,#N/A,FALSE,"Plan2"}</definedName>
    <definedName name="gestao" localSheetId="2" hidden="1">OFFSET(INDEX(#REF!,MATCH(#REF!,#REF!,0)),1,0,COUNTA(#REF!)-1)</definedName>
    <definedName name="gestao" localSheetId="0" hidden="1">OFFSET(INDEX(#REF!,MATCH(#REF!,#REF!,0)),1,0,COUNTA(#REF!)-1)</definedName>
    <definedName name="gestao" hidden="1">OFFSET(INDEX(#REF!,MATCH(#REF!,#REF!,0)),1,0,COUNTA(#REF!)-1)</definedName>
    <definedName name="gfdcgnkf" localSheetId="2" hidden="1">{#N/A,#N/A,FALSE,"Plan1";#N/A,#N/A,FALSE,"Plan2"}</definedName>
    <definedName name="gfdcgnkf" localSheetId="0" hidden="1">{#N/A,#N/A,FALSE,"Plan1";#N/A,#N/A,FALSE,"Plan2"}</definedName>
    <definedName name="gfdcgnkf" hidden="1">{#N/A,#N/A,FALSE,"Plan1";#N/A,#N/A,FALSE,"Plan2"}</definedName>
    <definedName name="gfdjtgur" localSheetId="2" hidden="1">{#N/A,#N/A,FALSE,"Plan1";#N/A,#N/A,FALSE,"Plan2"}</definedName>
    <definedName name="gfdjtgur" localSheetId="0" hidden="1">{#N/A,#N/A,FALSE,"Plan1";#N/A,#N/A,FALSE,"Plan2"}</definedName>
    <definedName name="gfdjtgur" hidden="1">{#N/A,#N/A,FALSE,"Plan1";#N/A,#N/A,FALSE,"Plan2"}</definedName>
    <definedName name="gfdrtg" hidden="1">#REF!</definedName>
    <definedName name="gfgdhxgfdhf" localSheetId="2" hidden="1">{#N/A,#N/A,FALSE,"Plan1";#N/A,#N/A,FALSE,"Plan2"}</definedName>
    <definedName name="gfgdhxgfdhf" localSheetId="0" hidden="1">{#N/A,#N/A,FALSE,"Plan1";#N/A,#N/A,FALSE,"Plan2"}</definedName>
    <definedName name="gfgdhxgfdhf" hidden="1">{#N/A,#N/A,FALSE,"Plan1";#N/A,#N/A,FALSE,"Plan2"}</definedName>
    <definedName name="gfhfdtgjb" localSheetId="2" hidden="1">{#N/A,#N/A,FALSE,"Plan1";#N/A,#N/A,FALSE,"Plan2"}</definedName>
    <definedName name="gfhfdtgjb" localSheetId="0" hidden="1">{#N/A,#N/A,FALSE,"Plan1";#N/A,#N/A,FALSE,"Plan2"}</definedName>
    <definedName name="gfhfdtgjb" hidden="1">{#N/A,#N/A,FALSE,"Plan1";#N/A,#N/A,FALSE,"Plan2"}</definedName>
    <definedName name="gfjdshrtjhtged" localSheetId="2" hidden="1">{#N/A,#N/A,FALSE,"Plan1";#N/A,#N/A,FALSE,"Plan2"}</definedName>
    <definedName name="gfjdshrtjhtged" localSheetId="0" hidden="1">{#N/A,#N/A,FALSE,"Plan1";#N/A,#N/A,FALSE,"Plan2"}</definedName>
    <definedName name="gfjdshrtjhtged" hidden="1">{#N/A,#N/A,FALSE,"Plan1";#N/A,#N/A,FALSE,"Plan2"}</definedName>
    <definedName name="gfjgkddgfd" localSheetId="2" hidden="1">{#N/A,#N/A,FALSE,"Plan1";#N/A,#N/A,FALSE,"Plan2"}</definedName>
    <definedName name="gfjgkddgfd" localSheetId="0" hidden="1">{#N/A,#N/A,FALSE,"Plan1";#N/A,#N/A,FALSE,"Plan2"}</definedName>
    <definedName name="gfjgkddgfd" hidden="1">{#N/A,#N/A,FALSE,"Plan1";#N/A,#N/A,FALSE,"Plan2"}</definedName>
    <definedName name="gfsghjdgygr" localSheetId="2" hidden="1">{#N/A,#N/A,FALSE,"Plan1";#N/A,#N/A,FALSE,"Plan2"}</definedName>
    <definedName name="gfsghjdgygr" localSheetId="0" hidden="1">{#N/A,#N/A,FALSE,"Plan1";#N/A,#N/A,FALSE,"Plan2"}</definedName>
    <definedName name="gfsghjdgygr" hidden="1">{#N/A,#N/A,FALSE,"Plan1";#N/A,#N/A,FALSE,"Plan2"}</definedName>
    <definedName name="gftfy" localSheetId="2" hidden="1">{#N/A,#N/A,FALSE,"Plan1";#N/A,#N/A,FALSE,"Plan2"}</definedName>
    <definedName name="gftfy" localSheetId="0" hidden="1">{#N/A,#N/A,FALSE,"Plan1";#N/A,#N/A,FALSE,"Plan2"}</definedName>
    <definedName name="gftfy" hidden="1">{#N/A,#N/A,FALSE,"Plan1";#N/A,#N/A,FALSE,"Plan2"}</definedName>
    <definedName name="gfty" localSheetId="2" hidden="1">{#N/A,#N/A,FALSE,"Plan1";#N/A,#N/A,FALSE,"Plan2"}</definedName>
    <definedName name="gfty" localSheetId="0" hidden="1">{#N/A,#N/A,FALSE,"Plan1";#N/A,#N/A,FALSE,"Plan2"}</definedName>
    <definedName name="gfty" hidden="1">{#N/A,#N/A,FALSE,"Plan1";#N/A,#N/A,FALSE,"Plan2"}</definedName>
    <definedName name="GFUJU9" localSheetId="2" hidden="1">{#N/A,#N/A,FALSE,"Plan1";#N/A,#N/A,FALSE,"Plan2"}</definedName>
    <definedName name="GFUJU9" localSheetId="0" hidden="1">{#N/A,#N/A,FALSE,"Plan1";#N/A,#N/A,FALSE,"Plan2"}</definedName>
    <definedName name="GFUJU9" hidden="1">{#N/A,#N/A,FALSE,"Plan1";#N/A,#N/A,FALSE,"Plan2"}</definedName>
    <definedName name="ggg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2" hidden="1">{"'장비'!$A$3:$M$12"}</definedName>
    <definedName name="GGGG" localSheetId="0" hidden="1">{#N/A,#N/A,FALSE,"Plan1";#N/A,#N/A,FALSE,"Plan2"}</definedName>
    <definedName name="gggg" hidden="1">{"'장비'!$A$3:$M$12"}</definedName>
    <definedName name="ggggggggg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localSheetId="2" hidden="1">{"'장비'!$A$3:$M$12"}</definedName>
    <definedName name="gh" localSheetId="0" hidden="1">{"'장비'!$A$3:$M$12"}</definedName>
    <definedName name="gh" hidden="1">{"'장비'!$A$3:$M$12"}</definedName>
    <definedName name="ghfgdfrtert" localSheetId="2" hidden="1">{#N/A,#N/A,FALSE,"Plan1";#N/A,#N/A,FALSE,"Plan2"}</definedName>
    <definedName name="ghfgdfrtert" localSheetId="0" hidden="1">{#N/A,#N/A,FALSE,"Plan1";#N/A,#N/A,FALSE,"Plan2"}</definedName>
    <definedName name="ghfgdfrtert" hidden="1">{#N/A,#N/A,FALSE,"Plan1";#N/A,#N/A,FALSE,"Plan2"}</definedName>
    <definedName name="ghfhghft" localSheetId="2" hidden="1">{#N/A,#N/A,FALSE,"Plan1";#N/A,#N/A,FALSE,"Plan2"}</definedName>
    <definedName name="ghfhghft" localSheetId="0" hidden="1">{#N/A,#N/A,FALSE,"Plan1";#N/A,#N/A,FALSE,"Plan2"}</definedName>
    <definedName name="ghfhghft" hidden="1">{#N/A,#N/A,FALSE,"Plan1";#N/A,#N/A,FALSE,"Plan2"}</definedName>
    <definedName name="ghjg" localSheetId="2" hidden="1">{"'Estimativa de Lançamento-JAN'!$A$1:$AI$85"}</definedName>
    <definedName name="ghjg" localSheetId="0" hidden="1">{"'Estimativa de Lançamento-JAN'!$A$1:$AI$85"}</definedName>
    <definedName name="ghjg" hidden="1">{"'Estimativa de Lançamento-JAN'!$A$1:$AI$85"}</definedName>
    <definedName name="ghkfhgh" localSheetId="2" hidden="1">{#N/A,#N/A,FALSE,"Plan1";#N/A,#N/A,FALSE,"Plan2"}</definedName>
    <definedName name="ghkfhgh" localSheetId="0" hidden="1">{#N/A,#N/A,FALSE,"Plan1";#N/A,#N/A,FALSE,"Plan2"}</definedName>
    <definedName name="ghkfhgh" hidden="1">{#N/A,#N/A,FALSE,"Plan1";#N/A,#N/A,FALSE,"Plan2"}</definedName>
    <definedName name="ghkjh" localSheetId="2" hidden="1">{#N/A,#N/A,FALSE,"ENG'G(보호계전기)"}</definedName>
    <definedName name="ghkjh" localSheetId="0" hidden="1">{#N/A,#N/A,FALSE,"ENG'G(보호계전기)"}</definedName>
    <definedName name="ghkjh" hidden="1">{#N/A,#N/A,FALSE,"ENG'G(보호계전기)"}</definedName>
    <definedName name="GJ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localSheetId="2" hidden="1">{#N/A,#N/A,FALSE,"Plan1";#N/A,#N/A,FALSE,"Plan2"}</definedName>
    <definedName name="gjfhjktgcf" localSheetId="0" hidden="1">{#N/A,#N/A,FALSE,"Plan1";#N/A,#N/A,FALSE,"Plan2"}</definedName>
    <definedName name="gjfhjktgcf" hidden="1">{#N/A,#N/A,FALSE,"Plan1";#N/A,#N/A,FALSE,"Plan2"}</definedName>
    <definedName name="GJ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localSheetId="2" hidden="1">{#N/A,#N/A,FALSE,"Plan1";#N/A,#N/A,FALSE,"Plan2"}</definedName>
    <definedName name="gjkhgjhjfggfjhfg" localSheetId="0" hidden="1">{#N/A,#N/A,FALSE,"Plan1";#N/A,#N/A,FALSE,"Plan2"}</definedName>
    <definedName name="gjkhgjhjfggfjhfg" hidden="1">{#N/A,#N/A,FALSE,"Plan1";#N/A,#N/A,FALSE,"Plan2"}</definedName>
    <definedName name="glgl" localSheetId="2" hidden="1">{#N/A,#N/A,FALSE,"Plan1";#N/A,#N/A,FALSE,"Plan2"}</definedName>
    <definedName name="glgl" localSheetId="0" hidden="1">{#N/A,#N/A,FALSE,"Plan1";#N/A,#N/A,FALSE,"Plan2"}</definedName>
    <definedName name="glgl" hidden="1">{#N/A,#N/A,FALSE,"Plan1";#N/A,#N/A,FALSE,"Plan2"}</definedName>
    <definedName name="global" localSheetId="2" hidden="1">{"'Estimativa de Lançamento-JAN'!$A$1:$AI$85"}</definedName>
    <definedName name="GLOBAL" localSheetId="0">#REF!</definedName>
    <definedName name="global" hidden="1">{"'Estimativa de Lançamento-JAN'!$A$1:$AI$85"}</definedName>
    <definedName name="gnfrth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>#REF!</definedName>
    <definedName name="grec_hist">#REF!</definedName>
    <definedName name="grec_uss">#REF!</definedName>
    <definedName name="grua">#REF!</definedName>
    <definedName name="GSDWJSTGE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localSheetId="2" hidden="1">{#N/A,#N/A,FALSE,"Plan1";#N/A,#N/A,FALSE,"Plan2"}</definedName>
    <definedName name="gtuigsdyugsdf" localSheetId="0" hidden="1">{#N/A,#N/A,FALSE,"Plan1";#N/A,#N/A,FALSE,"Plan2"}</definedName>
    <definedName name="gtuigsdyugsdf" hidden="1">{#N/A,#N/A,FALSE,"Plan1";#N/A,#N/A,FALSE,"Plan2"}</definedName>
    <definedName name="GU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localSheetId="2" hidden="1">{#N/A,#N/A,FALSE,"CCTV"}</definedName>
    <definedName name="GV" localSheetId="0" hidden="1">{#N/A,#N/A,FALSE,"CCTV"}</definedName>
    <definedName name="GV" hidden="1">{#N/A,#N/A,FALSE,"CCTV"}</definedName>
    <definedName name="h">#REF!</definedName>
    <definedName name="hbjgjuae">#REF!</definedName>
    <definedName name="hcjfkhdghfktg" localSheetId="2" hidden="1">{#N/A,#N/A,FALSE,"Plan1";#N/A,#N/A,FALSE,"Plan2"}</definedName>
    <definedName name="hcjfkhdghfktg" localSheetId="0" hidden="1">{#N/A,#N/A,FALSE,"Plan1";#N/A,#N/A,FALSE,"Plan2"}</definedName>
    <definedName name="hcjfkhdghfktg" hidden="1">{#N/A,#N/A,FALSE,"Plan1";#N/A,#N/A,FALSE,"Plan2"}</definedName>
    <definedName name="hckhjfdkgfdg" hidden="1">#REF!</definedName>
    <definedName name="hddfndgdfg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localSheetId="2" hidden="1">{#N/A,#N/A,FALSE,"Plan1";#N/A,#N/A,FALSE,"Plan2"}</definedName>
    <definedName name="HDFGHGST" localSheetId="0" hidden="1">{#N/A,#N/A,FALSE,"Plan1";#N/A,#N/A,FALSE,"Plan2"}</definedName>
    <definedName name="HDFGHGST" hidden="1">{#N/A,#N/A,FALSE,"Plan1";#N/A,#N/A,FALSE,"Plan2"}</definedName>
    <definedName name="HDFGJKHKFDHTY" localSheetId="2" hidden="1">{#N/A,#N/A,FALSE,"Plan1";#N/A,#N/A,FALSE,"Plan2"}</definedName>
    <definedName name="HDFGJKHKFDHTY" localSheetId="0" hidden="1">{#N/A,#N/A,FALSE,"Plan1";#N/A,#N/A,FALSE,"Plan2"}</definedName>
    <definedName name="HDFGJKHKFDHTY" hidden="1">{#N/A,#N/A,FALSE,"Plan1";#N/A,#N/A,FALSE,"Plan2"}</definedName>
    <definedName name="hdfhdhrtgd" localSheetId="2" hidden="1">{#N/A,#N/A,FALSE,"Plan1";#N/A,#N/A,FALSE,"Plan2"}</definedName>
    <definedName name="hdfhdhrtgd" localSheetId="0" hidden="1">{#N/A,#N/A,FALSE,"Plan1";#N/A,#N/A,FALSE,"Plan2"}</definedName>
    <definedName name="hdfhdhrtgd" hidden="1">{#N/A,#N/A,FALSE,"Plan1";#N/A,#N/A,FALSE,"Plan2"}</definedName>
    <definedName name="hdfhftde" localSheetId="2" hidden="1">{#N/A,#N/A,FALSE,"Plan1";#N/A,#N/A,FALSE,"Plan2"}</definedName>
    <definedName name="hdfhftde" localSheetId="0" hidden="1">{#N/A,#N/A,FALSE,"Plan1";#N/A,#N/A,FALSE,"Plan2"}</definedName>
    <definedName name="hdfhftde" hidden="1">{#N/A,#N/A,FALSE,"Plan1";#N/A,#N/A,FALSE,"Plan2"}</definedName>
    <definedName name="hdfhgkdhgtrf" localSheetId="2" hidden="1">{#N/A,#N/A,FALSE,"Plan1";#N/A,#N/A,FALSE,"Plan2"}</definedName>
    <definedName name="hdfhgkdhgtrf" localSheetId="0" hidden="1">{#N/A,#N/A,FALSE,"Plan1";#N/A,#N/A,FALSE,"Plan2"}</definedName>
    <definedName name="hdfhgkdhgtrf" hidden="1">{#N/A,#N/A,FALSE,"Plan1";#N/A,#N/A,FALSE,"Plan2"}</definedName>
    <definedName name="hdfjhdkzhgdr" localSheetId="2" hidden="1">{#N/A,#N/A,FALSE,"Plan1";#N/A,#N/A,FALSE,"Plan2"}</definedName>
    <definedName name="hdfjhdkzhgdr" localSheetId="0" hidden="1">{#N/A,#N/A,FALSE,"Plan1";#N/A,#N/A,FALSE,"Plan2"}</definedName>
    <definedName name="hdfjhdkzhgdr" hidden="1">{#N/A,#N/A,FALSE,"Plan1";#N/A,#N/A,FALSE,"Plan2"}</definedName>
    <definedName name="hdfjkgvjgtd" localSheetId="2" hidden="1">{#N/A,#N/A,FALSE,"Plan1";#N/A,#N/A,FALSE,"Plan2"}</definedName>
    <definedName name="hdfjkgvjgtd" localSheetId="0" hidden="1">{#N/A,#N/A,FALSE,"Plan1";#N/A,#N/A,FALSE,"Plan2"}</definedName>
    <definedName name="hdfjkgvjgtd" hidden="1">{#N/A,#N/A,FALSE,"Plan1";#N/A,#N/A,FALSE,"Plan2"}</definedName>
    <definedName name="hdfjkhdhrute" localSheetId="2" hidden="1">{#N/A,#N/A,FALSE,"Plan1";#N/A,#N/A,FALSE,"Plan2"}</definedName>
    <definedName name="hdfjkhdhrute" localSheetId="0" hidden="1">{#N/A,#N/A,FALSE,"Plan1";#N/A,#N/A,FALSE,"Plan2"}</definedName>
    <definedName name="hdfjkhdhrute" hidden="1">{#N/A,#N/A,FALSE,"Plan1";#N/A,#N/A,FALSE,"Plan2"}</definedName>
    <definedName name="HDFKGVF" localSheetId="2" hidden="1">{#N/A,#N/A,FALSE,"Plan1";#N/A,#N/A,FALSE,"Plan2"}</definedName>
    <definedName name="HDFKGVF" localSheetId="0" hidden="1">{#N/A,#N/A,FALSE,"Plan1";#N/A,#N/A,FALSE,"Plan2"}</definedName>
    <definedName name="HDFKGVF" hidden="1">{#N/A,#N/A,FALSE,"Plan1";#N/A,#N/A,FALSE,"Plan2"}</definedName>
    <definedName name="hdgfhdgtdrt" localSheetId="2" hidden="1">{#N/A,#N/A,FALSE,"Plan1";#N/A,#N/A,FALSE,"Plan2"}</definedName>
    <definedName name="hdgfhdgtdrt" localSheetId="0" hidden="1">{#N/A,#N/A,FALSE,"Plan1";#N/A,#N/A,FALSE,"Plan2"}</definedName>
    <definedName name="hdgfhdgtdrt" hidden="1">{#N/A,#N/A,FALSE,"Plan1";#N/A,#N/A,FALSE,"Plan2"}</definedName>
    <definedName name="hdghgtgtrgd" localSheetId="2" hidden="1">{#N/A,#N/A,FALSE,"Plan1";#N/A,#N/A,FALSE,"Plan2"}</definedName>
    <definedName name="hdghgtgtrgd" localSheetId="0" hidden="1">{#N/A,#N/A,FALSE,"Plan1";#N/A,#N/A,FALSE,"Plan2"}</definedName>
    <definedName name="hdghgtgtrgd" hidden="1">{#N/A,#N/A,FALSE,"Plan1";#N/A,#N/A,FALSE,"Plan2"}</definedName>
    <definedName name="HDHDGHTUHDTG" localSheetId="2" hidden="1">{#N/A,#N/A,FALSE,"Plan1";#N/A,#N/A,FALSE,"Plan2"}</definedName>
    <definedName name="HDHDGHTUHDTG" localSheetId="0" hidden="1">{#N/A,#N/A,FALSE,"Plan1";#N/A,#N/A,FALSE,"Plan2"}</definedName>
    <definedName name="HDHDGHTUHDTG" hidden="1">{#N/A,#N/A,FALSE,"Plan1";#N/A,#N/A,FALSE,"Plan2"}</definedName>
    <definedName name="hdhghfthrrhy" localSheetId="2" hidden="1">{#N/A,#N/A,FALSE,"Plan1";#N/A,#N/A,FALSE,"Plan2"}</definedName>
    <definedName name="hdhghfthrrhy" localSheetId="0" hidden="1">{#N/A,#N/A,FALSE,"Plan1";#N/A,#N/A,FALSE,"Plan2"}</definedName>
    <definedName name="hdhghfthrrhy" hidden="1">{#N/A,#N/A,FALSE,"Plan1";#N/A,#N/A,FALSE,"Plan2"}</definedName>
    <definedName name="hdkfjhydjh" localSheetId="2" hidden="1">{#N/A,#N/A,FALSE,"Plan1";#N/A,#N/A,FALSE,"Plan2"}</definedName>
    <definedName name="hdkfjhydjh" localSheetId="0" hidden="1">{#N/A,#N/A,FALSE,"Plan1";#N/A,#N/A,FALSE,"Plan2"}</definedName>
    <definedName name="hdkfjhydjh" hidden="1">{#N/A,#N/A,FALSE,"Plan1";#N/A,#N/A,FALSE,"Plan2"}</definedName>
    <definedName name="hdsgfgrrdgr" localSheetId="2" hidden="1">{#N/A,#N/A,FALSE,"Plan1";#N/A,#N/A,FALSE,"Plan2"}</definedName>
    <definedName name="hdsgfgrrdgr" localSheetId="0" hidden="1">{#N/A,#N/A,FALSE,"Plan1";#N/A,#N/A,FALSE,"Plan2"}</definedName>
    <definedName name="hdsgfgrrdgr" hidden="1">{#N/A,#N/A,FALSE,"Plan1";#N/A,#N/A,FALSE,"Plan2"}</definedName>
    <definedName name="hdtertkkdsa" localSheetId="2" hidden="1">{#N/A,#N/A,FALSE,"Plan1";#N/A,#N/A,FALSE,"Plan2"}</definedName>
    <definedName name="hdtertkkdsa" localSheetId="0" hidden="1">{#N/A,#N/A,FALSE,"Plan1";#N/A,#N/A,FALSE,"Plan2"}</definedName>
    <definedName name="hdtertkkdsa" hidden="1">{#N/A,#N/A,FALSE,"Plan1";#N/A,#N/A,FALSE,"Plan2"}</definedName>
    <definedName name="Header">#REF!</definedName>
    <definedName name="HEDHA" localSheetId="2" hidden="1">{#N/A,#N/A,FALSE,"Plan1";#N/A,#N/A,FALSE,"Plan2"}</definedName>
    <definedName name="HEDHA" localSheetId="0" hidden="1">{#N/A,#N/A,FALSE,"Plan1";#N/A,#N/A,FALSE,"Plan2"}</definedName>
    <definedName name="HEDHA" hidden="1">{#N/A,#N/A,FALSE,"Plan1";#N/A,#N/A,FALSE,"Plan2"}</definedName>
    <definedName name="heife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>#REF!</definedName>
    <definedName name="herkfdshfker" localSheetId="2" hidden="1">{#N/A,#N/A,FALSE,"Plan1";#N/A,#N/A,FALSE,"Plan2"}</definedName>
    <definedName name="herkfdshfker" localSheetId="0" hidden="1">{#N/A,#N/A,FALSE,"Plan1";#N/A,#N/A,FALSE,"Plan2"}</definedName>
    <definedName name="herkfdshfker" hidden="1">{#N/A,#N/A,FALSE,"Plan1";#N/A,#N/A,FALSE,"Plan2"}</definedName>
    <definedName name="hersdtretyt" localSheetId="2" hidden="1">{#N/A,#N/A,FALSE,"Plan1";#N/A,#N/A,FALSE,"Plan2"}</definedName>
    <definedName name="hersdtretyt" localSheetId="0" hidden="1">{#N/A,#N/A,FALSE,"Plan1";#N/A,#N/A,FALSE,"Plan2"}</definedName>
    <definedName name="hersdtretyt" hidden="1">{#N/A,#N/A,FALSE,"Plan1";#N/A,#N/A,FALSE,"Plan2"}</definedName>
    <definedName name="HFDJTHTRS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localSheetId="2" hidden="1">{#N/A,#N/A,FALSE,"Plan1";#N/A,#N/A,FALSE,"Plan2"}</definedName>
    <definedName name="HFDKHGFR" localSheetId="0" hidden="1">{#N/A,#N/A,FALSE,"Plan1";#N/A,#N/A,FALSE,"Plan2"}</definedName>
    <definedName name="HFDKHGFR" hidden="1">{#N/A,#N/A,FALSE,"Plan1";#N/A,#N/A,FALSE,"Plan2"}</definedName>
    <definedName name="hfdkhgkfdhtj" localSheetId="2" hidden="1">{#N/A,#N/A,FALSE,"Plan1";#N/A,#N/A,FALSE,"Plan2"}</definedName>
    <definedName name="hfdkhgkfdhtj" localSheetId="0" hidden="1">{#N/A,#N/A,FALSE,"Plan1";#N/A,#N/A,FALSE,"Plan2"}</definedName>
    <definedName name="hfdkhgkfdhtj" hidden="1">{#N/A,#N/A,FALSE,"Plan1";#N/A,#N/A,FALSE,"Plan2"}</definedName>
    <definedName name="hfgfktgkhyt" localSheetId="2" hidden="1">{#N/A,#N/A,FALSE,"Plan1";#N/A,#N/A,FALSE,"Plan2"}</definedName>
    <definedName name="hfgfktgkhyt" localSheetId="0" hidden="1">{#N/A,#N/A,FALSE,"Plan1";#N/A,#N/A,FALSE,"Plan2"}</definedName>
    <definedName name="hfgfktgkhyt" hidden="1">{#N/A,#N/A,FALSE,"Plan1";#N/A,#N/A,FALSE,"Plan2"}</definedName>
    <definedName name="hfghdkhrgkjg" localSheetId="2" hidden="1">{#N/A,#N/A,FALSE,"Plan1";#N/A,#N/A,FALSE,"Plan2"}</definedName>
    <definedName name="hfghdkhrgkjg" localSheetId="0" hidden="1">{#N/A,#N/A,FALSE,"Plan1";#N/A,#N/A,FALSE,"Plan2"}</definedName>
    <definedName name="hfghdkhrgkjg" hidden="1">{#N/A,#N/A,FALSE,"Plan1";#N/A,#N/A,FALSE,"Plan2"}</definedName>
    <definedName name="hfighfth" localSheetId="2" hidden="1">{#N/A,#N/A,FALSE,"Plan1";#N/A,#N/A,FALSE,"Plan2"}</definedName>
    <definedName name="hfighfth" localSheetId="0" hidden="1">{#N/A,#N/A,FALSE,"Plan1";#N/A,#N/A,FALSE,"Plan2"}</definedName>
    <definedName name="hfighfth" hidden="1">{#N/A,#N/A,FALSE,"Plan1";#N/A,#N/A,FALSE,"Plan2"}</definedName>
    <definedName name="hfjghtfuyrf" localSheetId="2" hidden="1">{#N/A,#N/A,FALSE,"Plan1";#N/A,#N/A,FALSE,"Plan2"}</definedName>
    <definedName name="hfjghtfuyrf" localSheetId="0" hidden="1">{#N/A,#N/A,FALSE,"Plan1";#N/A,#N/A,FALSE,"Plan2"}</definedName>
    <definedName name="hfjghtfuyrf" hidden="1">{#N/A,#N/A,FALSE,"Plan1";#N/A,#N/A,FALSE,"Plan2"}</definedName>
    <definedName name="HFKJHDJGHFJ" localSheetId="2" hidden="1">{#N/A,#N/A,FALSE,"Plan1";#N/A,#N/A,FALSE,"Plan2"}</definedName>
    <definedName name="HFKJHDJGHFJ" localSheetId="0" hidden="1">{#N/A,#N/A,FALSE,"Plan1";#N/A,#N/A,FALSE,"Plan2"}</definedName>
    <definedName name="HFKJHDJGHFJ" hidden="1">{#N/A,#N/A,FALSE,"Plan1";#N/A,#N/A,FALSE,"Plan2"}</definedName>
    <definedName name="hgdesgfgsj" localSheetId="2" hidden="1">{#N/A,#N/A,FALSE,"Plan1";#N/A,#N/A,FALSE,"Plan2"}</definedName>
    <definedName name="hgdesgfgsj" localSheetId="0" hidden="1">{#N/A,#N/A,FALSE,"Plan1";#N/A,#N/A,FALSE,"Plan2"}</definedName>
    <definedName name="hgdesgfgsj" hidden="1">{#N/A,#N/A,FALSE,"Plan1";#N/A,#N/A,FALSE,"Plan2"}</definedName>
    <definedName name="hgdgfd" localSheetId="2" hidden="1">{#N/A,#N/A,FALSE,"Plan1";#N/A,#N/A,FALSE,"Plan2"}</definedName>
    <definedName name="hgdgfd" localSheetId="0" hidden="1">{#N/A,#N/A,FALSE,"Plan1";#N/A,#N/A,FALSE,"Plan2"}</definedName>
    <definedName name="hgdgfd" hidden="1">{#N/A,#N/A,FALSE,"Plan1";#N/A,#N/A,FALSE,"Plan2"}</definedName>
    <definedName name="hgfhjkdfhj" localSheetId="2" hidden="1">{#N/A,#N/A,FALSE,"Plan1";#N/A,#N/A,FALSE,"Plan2"}</definedName>
    <definedName name="hgfhjkdfhj" localSheetId="0" hidden="1">{#N/A,#N/A,FALSE,"Plan1";#N/A,#N/A,FALSE,"Plan2"}</definedName>
    <definedName name="hgfhjkdfhj" hidden="1">{#N/A,#N/A,FALSE,"Plan1";#N/A,#N/A,FALSE,"Plan2"}</definedName>
    <definedName name="hgg" localSheetId="2" hidden="1">{#N/A,#N/A,FALSE,"Plan1";#N/A,#N/A,FALSE,"Plan2"}</definedName>
    <definedName name="hgg" localSheetId="0" hidden="1">{#N/A,#N/A,FALSE,"Plan1";#N/A,#N/A,FALSE,"Plan2"}</definedName>
    <definedName name="hgg" hidden="1">{#N/A,#N/A,FALSE,"Plan1";#N/A,#N/A,FALSE,"Plan2"}</definedName>
    <definedName name="hgjdfgghg" localSheetId="2" hidden="1">{#N/A,#N/A,FALSE,"Plan1";#N/A,#N/A,FALSE,"Plan2"}</definedName>
    <definedName name="hgjdfgghg" localSheetId="0" hidden="1">{#N/A,#N/A,FALSE,"Plan1";#N/A,#N/A,FALSE,"Plan2"}</definedName>
    <definedName name="hgjdfgghg" hidden="1">{#N/A,#N/A,FALSE,"Plan1";#N/A,#N/A,FALSE,"Plan2"}</definedName>
    <definedName name="hgjkfdhg" localSheetId="2" hidden="1">{#N/A,#N/A,FALSE,"Plan1";#N/A,#N/A,FALSE,"Plan2"}</definedName>
    <definedName name="hgjkfdhg" localSheetId="0" hidden="1">{#N/A,#N/A,FALSE,"Plan1";#N/A,#N/A,FALSE,"Plan2"}</definedName>
    <definedName name="hgjkfdhg" hidden="1">{#N/A,#N/A,FALSE,"Plan1";#N/A,#N/A,FALSE,"Plan2"}</definedName>
    <definedName name="hgkdfhkfk" localSheetId="2" hidden="1">{#N/A,#N/A,FALSE,"Plan1";#N/A,#N/A,FALSE,"Plan2"}</definedName>
    <definedName name="hgkdfhkfk" localSheetId="0" hidden="1">{#N/A,#N/A,FALSE,"Plan1";#N/A,#N/A,FALSE,"Plan2"}</definedName>
    <definedName name="hgkdfhkfk" hidden="1">{#N/A,#N/A,FALSE,"Plan1";#N/A,#N/A,FALSE,"Plan2"}</definedName>
    <definedName name="hgkjhdfhtrdyt" localSheetId="2" hidden="1">{#N/A,#N/A,FALSE,"Plan1";#N/A,#N/A,FALSE,"Plan2"}</definedName>
    <definedName name="hgkjhdfhtrdyt" localSheetId="0" hidden="1">{#N/A,#N/A,FALSE,"Plan1";#N/A,#N/A,FALSE,"Plan2"}</definedName>
    <definedName name="hgkjhdfhtrdyt" hidden="1">{#N/A,#N/A,FALSE,"Plan1";#N/A,#N/A,FALSE,"Plan2"}</definedName>
    <definedName name="hgkjhdfkhgtfhg" localSheetId="2" hidden="1">{#N/A,#N/A,FALSE,"Plan1";#N/A,#N/A,FALSE,"Plan2"}</definedName>
    <definedName name="hgkjhdfkhgtfhg" localSheetId="0" hidden="1">{#N/A,#N/A,FALSE,"Plan1";#N/A,#N/A,FALSE,"Plan2"}</definedName>
    <definedName name="hgkjhdfkhgtfhg" hidden="1">{#N/A,#N/A,FALSE,"Plan1";#N/A,#N/A,FALSE,"Plan2"}</definedName>
    <definedName name="hgkjhkfhsdkdhgk" localSheetId="2" hidden="1">{#N/A,#N/A,FALSE,"Plan1";#N/A,#N/A,FALSE,"Plan2"}</definedName>
    <definedName name="hgkjhkfhsdkdhgk" localSheetId="0" hidden="1">{#N/A,#N/A,FALSE,"Plan1";#N/A,#N/A,FALSE,"Plan2"}</definedName>
    <definedName name="hgkjhkfhsdkdhgk" hidden="1">{#N/A,#N/A,FALSE,"Plan1";#N/A,#N/A,FALSE,"Plan2"}</definedName>
    <definedName name="hgsufgdhghd" localSheetId="2" hidden="1">{#N/A,#N/A,FALSE,"Plan1";#N/A,#N/A,FALSE,"Plan2"}</definedName>
    <definedName name="hgsufgdhghd" localSheetId="0" hidden="1">{#N/A,#N/A,FALSE,"Plan1";#N/A,#N/A,FALSE,"Plan2"}</definedName>
    <definedName name="hgsufgdhghd" hidden="1">{#N/A,#N/A,FALSE,"Plan1";#N/A,#N/A,FALSE,"Plan2"}</definedName>
    <definedName name="HHGFHTYUT" localSheetId="2" hidden="1">{#N/A,#N/A,FALSE,"Plan1";#N/A,#N/A,FALSE,"Plan2"}</definedName>
    <definedName name="HHGFHTYUT" localSheetId="0" hidden="1">{#N/A,#N/A,FALSE,"Plan1";#N/A,#N/A,FALSE,"Plan2"}</definedName>
    <definedName name="HHGFHTYUT" hidden="1">{#N/A,#N/A,FALSE,"Plan1";#N/A,#N/A,FALSE,"Plan2"}</definedName>
    <definedName name="hhh" localSheetId="2" hidden="1">{"'Total'!$A$1","'Total'!$A$3"}</definedName>
    <definedName name="hhh" localSheetId="0" hidden="1">{"'Total'!$A$1","'Total'!$A$3"}</definedName>
    <definedName name="hhh" hidden="1">{"'Total'!$A$1","'Total'!$A$3"}</definedName>
    <definedName name="HHIHLK" hidden="1">#REF!</definedName>
    <definedName name="hik" localSheetId="2" hidden="1">{#N/A,#N/A,FALSE,"TABLE"}</definedName>
    <definedName name="hik" localSheetId="0" hidden="1">{#N/A,#N/A,FALSE,"TABLE"}</definedName>
    <definedName name="hik" hidden="1">{#N/A,#N/A,FALSE,"TABLE"}</definedName>
    <definedName name="hist">#REF!</definedName>
    <definedName name="HIST1">#REF!</definedName>
    <definedName name="HISTEQ">#REF!</definedName>
    <definedName name="HISTOGRAMA">#REF!</definedName>
    <definedName name="hjdgtjdjxrfg" localSheetId="2" hidden="1">{#N/A,#N/A,FALSE,"Plan1";#N/A,#N/A,FALSE,"Plan2"}</definedName>
    <definedName name="hjdgtjdjxrfg" localSheetId="0" hidden="1">{#N/A,#N/A,FALSE,"Plan1";#N/A,#N/A,FALSE,"Plan2"}</definedName>
    <definedName name="hjdgtjdjxrfg" hidden="1">{#N/A,#N/A,FALSE,"Plan1";#N/A,#N/A,FALSE,"Plan2"}</definedName>
    <definedName name="HJFDGD" localSheetId="2" hidden="1">{#N/A,#N/A,FALSE,"Plan1";#N/A,#N/A,FALSE,"Plan2"}</definedName>
    <definedName name="HJFDGD" localSheetId="0" hidden="1">{#N/A,#N/A,FALSE,"Plan1";#N/A,#N/A,FALSE,"Plan2"}</definedName>
    <definedName name="HJFDGD" hidden="1">{#N/A,#N/A,FALSE,"Plan1";#N/A,#N/A,FALSE,"Plan2"}</definedName>
    <definedName name="HJGASD" localSheetId="2" hidden="1">{#N/A,#N/A,FALSE,"Plan1";#N/A,#N/A,FALSE,"Plan2"}</definedName>
    <definedName name="HJGASD" localSheetId="0" hidden="1">{#N/A,#N/A,FALSE,"Plan1";#N/A,#N/A,FALSE,"Plan2"}</definedName>
    <definedName name="HJGASD" hidden="1">{#N/A,#N/A,FALSE,"Plan1";#N/A,#N/A,FALSE,"Plan2"}</definedName>
    <definedName name="HJGFGTFDG" localSheetId="2" hidden="1">{#N/A,#N/A,FALSE,"Plan1";#N/A,#N/A,FALSE,"Plan2"}</definedName>
    <definedName name="HJGFGTFDG" localSheetId="0" hidden="1">{#N/A,#N/A,FALSE,"Plan1";#N/A,#N/A,FALSE,"Plan2"}</definedName>
    <definedName name="HJGFGTFDG" hidden="1">{#N/A,#N/A,FALSE,"Plan1";#N/A,#N/A,FALSE,"Plan2"}</definedName>
    <definedName name="hjgfhdsgfhsd" localSheetId="2" hidden="1">{#N/A,#N/A,FALSE,"Plan1";#N/A,#N/A,FALSE,"Plan2"}</definedName>
    <definedName name="hjgfhdsgfhsd" localSheetId="0" hidden="1">{#N/A,#N/A,FALSE,"Plan1";#N/A,#N/A,FALSE,"Plan2"}</definedName>
    <definedName name="hjgfhdsgfhsd" hidden="1">{#N/A,#N/A,FALSE,"Plan1";#N/A,#N/A,FALSE,"Plan2"}</definedName>
    <definedName name="hjgxfjgdjyftr" localSheetId="2" hidden="1">{#N/A,#N/A,FALSE,"Plan1";#N/A,#N/A,FALSE,"Plan2"}</definedName>
    <definedName name="hjgxfjgdjyftr" localSheetId="0" hidden="1">{#N/A,#N/A,FALSE,"Plan1";#N/A,#N/A,FALSE,"Plan2"}</definedName>
    <definedName name="hjgxfjgdjyftr" hidden="1">{#N/A,#N/A,FALSE,"Plan1";#N/A,#N/A,FALSE,"Plan2"}</definedName>
    <definedName name="hjgyugasd" localSheetId="2" hidden="1">{#N/A,#N/A,FALSE,"Plan1";#N/A,#N/A,FALSE,"Plan2"}</definedName>
    <definedName name="hjgyugasd" localSheetId="0" hidden="1">{#N/A,#N/A,FALSE,"Plan1";#N/A,#N/A,FALSE,"Plan2"}</definedName>
    <definedName name="hjgyugasd" hidden="1">{#N/A,#N/A,FALSE,"Plan1";#N/A,#N/A,FALSE,"Plan2"}</definedName>
    <definedName name="hjjfyfy" localSheetId="2" hidden="1">{#N/A,#N/A,FALSE,"Plan1";#N/A,#N/A,FALSE,"Plan2"}</definedName>
    <definedName name="hjjfyfy" localSheetId="0" hidden="1">{#N/A,#N/A,FALSE,"Plan1";#N/A,#N/A,FALSE,"Plan2"}</definedName>
    <definedName name="hjjfyfy" hidden="1">{#N/A,#N/A,FALSE,"Plan1";#N/A,#N/A,FALSE,"Plan2"}</definedName>
    <definedName name="hjkchkvjhdjkgh" localSheetId="2" hidden="1">{#N/A,#N/A,FALSE,"Plan1";#N/A,#N/A,FALSE,"Plan2"}</definedName>
    <definedName name="hjkchkvjhdjkgh" localSheetId="0" hidden="1">{#N/A,#N/A,FALSE,"Plan1";#N/A,#N/A,FALSE,"Plan2"}</definedName>
    <definedName name="hjkchkvjhdjkgh" hidden="1">{#N/A,#N/A,FALSE,"Plan1";#N/A,#N/A,FALSE,"Plan2"}</definedName>
    <definedName name="hjkfjdyht" localSheetId="2" hidden="1">{#N/A,#N/A,FALSE,"Plan1";#N/A,#N/A,FALSE,"Plan2"}</definedName>
    <definedName name="hjkfjdyht" localSheetId="0" hidden="1">{#N/A,#N/A,FALSE,"Plan1";#N/A,#N/A,FALSE,"Plan2"}</definedName>
    <definedName name="hjkfjdyht" hidden="1">{#N/A,#N/A,FALSE,"Plan1";#N/A,#N/A,FALSE,"Plan2"}</definedName>
    <definedName name="hjsdffe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localSheetId="2" hidden="1">{#N/A,#N/A,FALSE,"Plan1";#N/A,#N/A,FALSE,"Plan2"}</definedName>
    <definedName name="hjsdkhk" localSheetId="0" hidden="1">{#N/A,#N/A,FALSE,"Plan1";#N/A,#N/A,FALSE,"Plan2"}</definedName>
    <definedName name="hjsdkhk" hidden="1">{#N/A,#N/A,FALSE,"Plan1";#N/A,#N/A,FALSE,"Plan2"}</definedName>
    <definedName name="hjsdsdrjfrh" hidden="1">2</definedName>
    <definedName name="hjsrdfre" localSheetId="2" hidden="1">{"Econ Consolidado",#N/A,FALSE,"Econ Consol";"Fluxo de Caixa",#N/A,FALSE,"Fluxo Caixa";"Investimentos",#N/A,FALSE,"Investimentos"}</definedName>
    <definedName name="hjsrdfre" localSheetId="0" hidden="1">{"Econ Consolidado",#N/A,FALSE,"Econ Consol";"Fluxo de Caixa",#N/A,FALSE,"Fluxo Caixa";"Investimentos",#N/A,FALSE,"Investimentos"}</definedName>
    <definedName name="hjsrdfre" hidden="1">{"Econ Consolidado",#N/A,FALSE,"Econ Consol";"Fluxo de Caixa",#N/A,FALSE,"Fluxo Caixa";"Investimentos",#N/A,FALSE,"Investimentos"}</definedName>
    <definedName name="HKewewsr" localSheetId="2" hidden="1">{#N/A,#N/A,FALSE,"Plan1";#N/A,#N/A,FALSE,"Plan2"}</definedName>
    <definedName name="HKewewsr" localSheetId="0" hidden="1">{#N/A,#N/A,FALSE,"Plan1";#N/A,#N/A,FALSE,"Plan2"}</definedName>
    <definedName name="HKewewsr" hidden="1">{#N/A,#N/A,FALSE,"Plan1";#N/A,#N/A,FALSE,"Plan2"}</definedName>
    <definedName name="hkhdskacd" localSheetId="2" hidden="1">{#N/A,#N/A,FALSE,"Plan1";#N/A,#N/A,FALSE,"Plan2"}</definedName>
    <definedName name="hkhdskacd" localSheetId="0" hidden="1">{#N/A,#N/A,FALSE,"Plan1";#N/A,#N/A,FALSE,"Plan2"}</definedName>
    <definedName name="hkhdskacd" hidden="1">{#N/A,#N/A,FALSE,"Plan1";#N/A,#N/A,FALSE,"Plan2"}</definedName>
    <definedName name="hkjfgfhgfh" localSheetId="2" hidden="1">{#N/A,#N/A,FALSE,"Plan1";#N/A,#N/A,FALSE,"Plan2"}</definedName>
    <definedName name="hkjfgfhgfh" localSheetId="0" hidden="1">{#N/A,#N/A,FALSE,"Plan1";#N/A,#N/A,FALSE,"Plan2"}</definedName>
    <definedName name="hkjfgfhgfh" hidden="1">{#N/A,#N/A,FALSE,"Plan1";#N/A,#N/A,FALSE,"Plan2"}</definedName>
    <definedName name="hkjfhgjkfhghfg" localSheetId="2" hidden="1">{#N/A,#N/A,FALSE,"Plan1";#N/A,#N/A,FALSE,"Plan2"}</definedName>
    <definedName name="hkjfhgjkfhghfg" localSheetId="0" hidden="1">{#N/A,#N/A,FALSE,"Plan1";#N/A,#N/A,FALSE,"Plan2"}</definedName>
    <definedName name="hkjfhgjkfhghfg" hidden="1">{#N/A,#N/A,FALSE,"Plan1";#N/A,#N/A,FALSE,"Plan2"}</definedName>
    <definedName name="HKLZHFRH" localSheetId="2" hidden="1">{#N/A,#N/A,FALSE,"Plan1";#N/A,#N/A,FALSE,"Plan2"}</definedName>
    <definedName name="HKLZHFRH" localSheetId="0" hidden="1">{#N/A,#N/A,FALSE,"Plan1";#N/A,#N/A,FALSE,"Plan2"}</definedName>
    <definedName name="HKLZHFRH" hidden="1">{#N/A,#N/A,FALSE,"Plan1";#N/A,#N/A,FALSE,"Plan2"}</definedName>
    <definedName name="ho" localSheetId="2" hidden="1">{#N/A,#N/A,FALSE,"TABLE"}</definedName>
    <definedName name="ho" localSheetId="0" hidden="1">{#N/A,#N/A,FALSE,"TABLE"}</definedName>
    <definedName name="ho" hidden="1">{#N/A,#N/A,FALSE,"TABLE"}</definedName>
    <definedName name="HOJE">#REF!</definedName>
    <definedName name="HONORARIOS">#REF!</definedName>
    <definedName name="HOSPEDES">#REF!</definedName>
    <definedName name="HOTEL">#REF!</definedName>
    <definedName name="hrterte" localSheetId="2" hidden="1">{#N/A,#N/A,FALSE,"Plan1";#N/A,#N/A,FALSE,"Plan2"}</definedName>
    <definedName name="hrterte" localSheetId="0" hidden="1">{#N/A,#N/A,FALSE,"Plan1";#N/A,#N/A,FALSE,"Plan2"}</definedName>
    <definedName name="hrterte" hidden="1">{#N/A,#N/A,FALSE,"Plan1";#N/A,#N/A,FALSE,"Plan2"}</definedName>
    <definedName name="hsdf" localSheetId="2" hidden="1">{#N/A,#N/A,FALSE,"Plan1";#N/A,#N/A,FALSE,"Plan2"}</definedName>
    <definedName name="hsdf" localSheetId="0" hidden="1">{#N/A,#N/A,FALSE,"Plan1";#N/A,#N/A,FALSE,"Plan2"}</definedName>
    <definedName name="hsdf" hidden="1">{#N/A,#N/A,FALSE,"Plan1";#N/A,#N/A,FALSE,"Plan2"}</definedName>
    <definedName name="hsdfgdgudrt" localSheetId="2" hidden="1">{#N/A,#N/A,FALSE,"Plan1";#N/A,#N/A,FALSE,"Plan2"}</definedName>
    <definedName name="hsdfgdgudrt" localSheetId="0" hidden="1">{#N/A,#N/A,FALSE,"Plan1";#N/A,#N/A,FALSE,"Plan2"}</definedName>
    <definedName name="hsdfgdgudrt" hidden="1">{#N/A,#N/A,FALSE,"Plan1";#N/A,#N/A,FALSE,"Plan2"}</definedName>
    <definedName name="hsdfjkdhur" localSheetId="2" hidden="1">{#N/A,#N/A,FALSE,"Plan1";#N/A,#N/A,FALSE,"Plan2"}</definedName>
    <definedName name="hsdfjkdhur" localSheetId="0" hidden="1">{#N/A,#N/A,FALSE,"Plan1";#N/A,#N/A,FALSE,"Plan2"}</definedName>
    <definedName name="hsdfjkdhur" hidden="1">{#N/A,#N/A,FALSE,"Plan1";#N/A,#N/A,FALSE,"Plan2"}</definedName>
    <definedName name="hsdgftdht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localSheetId="2" hidden="1">{#N/A,#N/A,FALSE,"Plan1";#N/A,#N/A,FALSE,"Plan2"}</definedName>
    <definedName name="hsdjffd" localSheetId="0" hidden="1">{#N/A,#N/A,FALSE,"Plan1";#N/A,#N/A,FALSE,"Plan2"}</definedName>
    <definedName name="hsdjffd" hidden="1">{#N/A,#N/A,FALSE,"Plan1";#N/A,#N/A,FALSE,"Plan2"}</definedName>
    <definedName name="hsdjffe" localSheetId="2" hidden="1">{#N/A,#N/A,FALSE,"Plan1";#N/A,#N/A,FALSE,"Plan2"}</definedName>
    <definedName name="hsdjffe" localSheetId="0" hidden="1">{#N/A,#N/A,FALSE,"Plan1";#N/A,#N/A,FALSE,"Plan2"}</definedName>
    <definedName name="hsdjffe" hidden="1">{#N/A,#N/A,FALSE,"Plan1";#N/A,#N/A,FALSE,"Plan2"}</definedName>
    <definedName name="HSFIHDTR" localSheetId="2" hidden="1">{"Econ Consolidado",#N/A,FALSE,"Econ Consol";"Fluxo de Caixa",#N/A,FALSE,"Fluxo Caixa";"Investimentos",#N/A,FALSE,"Investimentos"}</definedName>
    <definedName name="HSFIHDTR" localSheetId="0" hidden="1">{"Econ Consolidado",#N/A,FALSE,"Econ Consol";"Fluxo de Caixa",#N/A,FALSE,"Fluxo Caixa";"Investimentos",#N/A,FALSE,"Investimentos"}</definedName>
    <definedName name="HSFIHDTR" hidden="1">{"Econ Consolidado",#N/A,FALSE,"Econ Consol";"Fluxo de Caixa",#N/A,FALSE,"Fluxo Caixa";"Investimentos",#N/A,FALSE,"Investimentos"}</definedName>
    <definedName name="hsfjkdshrgf" localSheetId="2" hidden="1">{#N/A,#N/A,FALSE,"Plan1";#N/A,#N/A,FALSE,"Plan2"}</definedName>
    <definedName name="hsfjkdshrgf" localSheetId="0" hidden="1">{#N/A,#N/A,FALSE,"Plan1";#N/A,#N/A,FALSE,"Plan2"}</definedName>
    <definedName name="hsfjkdshrgf" hidden="1">{#N/A,#N/A,FALSE,"Plan1";#N/A,#N/A,FALSE,"Plan2"}</definedName>
    <definedName name="hthhrtetdre" localSheetId="2" hidden="1">{#N/A,#N/A,FALSE,"Plan1";#N/A,#N/A,FALSE,"Plan2"}</definedName>
    <definedName name="hthhrtetdre" localSheetId="0" hidden="1">{#N/A,#N/A,FALSE,"Plan1";#N/A,#N/A,FALSE,"Plan2"}</definedName>
    <definedName name="hthhrtetdre" hidden="1">{#N/A,#N/A,FALSE,"Plan1";#N/A,#N/A,FALSE,"Plan2"}</definedName>
    <definedName name="HTM">#REF!</definedName>
    <definedName name="HTML_CodePage" hidden="1">949</definedName>
    <definedName name="HTML_Control" localSheetId="2" hidden="1">{"'장비'!$A$3:$M$12"}</definedName>
    <definedName name="HTML_Control" localSheetId="0" hidden="1">{"'장비'!$A$3:$M$12"}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HTML2_CONTROL" localSheetId="2" hidden="1">{"'Estimativa de Lançamento-JAN'!$A$1:$AI$85"}</definedName>
    <definedName name="HTML2_CONTROL" localSheetId="0" hidden="1">{"'Estimativa de Lançamento-JAN'!$A$1:$AI$85"}</definedName>
    <definedName name="HTML2_CONTROL" hidden="1">{"'Estimativa de Lançamento-JAN'!$A$1:$AI$85"}</definedName>
    <definedName name="HTML3_CONTROL" localSheetId="2" hidden="1">{"'Estimativa de Lançamento-JAN'!$A$1:$AI$85"}</definedName>
    <definedName name="HTML3_CONTROL" localSheetId="0" hidden="1">{"'Estimativa de Lançamento-JAN'!$A$1:$AI$85"}</definedName>
    <definedName name="HTML3_CONTROL" hidden="1">{"'Estimativa de Lançamento-JAN'!$A$1:$AI$85"}</definedName>
    <definedName name="HTMLControl" localSheetId="2" hidden="1">{"'Edit'!$A$1:$V$2277"}</definedName>
    <definedName name="HTMLControl" localSheetId="0" hidden="1">{"'Edit'!$A$1:$V$2277"}</definedName>
    <definedName name="HTMLControl" hidden="1">{"'Edit'!$A$1:$V$2277"}</definedName>
    <definedName name="HTN">#REF!</definedName>
    <definedName name="HVJKHGKFXHFD" localSheetId="2" hidden="1">{#N/A,#N/A,FALSE,"Plan1";#N/A,#N/A,FALSE,"Plan2"}</definedName>
    <definedName name="HVJKHGKFXHFD" localSheetId="0" hidden="1">{#N/A,#N/A,FALSE,"Plan1";#N/A,#N/A,FALSE,"Plan2"}</definedName>
    <definedName name="HVJKHGKFXHFD" hidden="1">{#N/A,#N/A,FALSE,"Plan1";#N/A,#N/A,FALSE,"Plan2"}</definedName>
    <definedName name="hwekjhekhf" localSheetId="2" hidden="1">{#N/A,#N/A,FALSE,"Plan1";#N/A,#N/A,FALSE,"Plan2"}</definedName>
    <definedName name="hwekjhekhf" localSheetId="0" hidden="1">{#N/A,#N/A,FALSE,"Plan1";#N/A,#N/A,FALSE,"Plan2"}</definedName>
    <definedName name="hwekjhekhf" hidden="1">{#N/A,#N/A,FALSE,"Plan1";#N/A,#N/A,FALSE,"Plan2"}</definedName>
    <definedName name="HXFRE" localSheetId="2" hidden="1">{#N/A,#N/A,FALSE,"Plan1";#N/A,#N/A,FALSE,"Plan2"}</definedName>
    <definedName name="HXFRE" localSheetId="0" hidden="1">{#N/A,#N/A,FALSE,"Plan1";#N/A,#N/A,FALSE,"Plan2"}</definedName>
    <definedName name="HXFRE" hidden="1">{#N/A,#N/A,FALSE,"Plan1";#N/A,#N/A,FALSE,"Plan2"}</definedName>
    <definedName name="HXKJFGDKHG" localSheetId="2" hidden="1">{#N/A,#N/A,FALSE,"Plan1";#N/A,#N/A,FALSE,"Plan2"}</definedName>
    <definedName name="HXKJFGDKHG" localSheetId="0" hidden="1">{#N/A,#N/A,FALSE,"Plan1";#N/A,#N/A,FALSE,"Plan2"}</definedName>
    <definedName name="HXKJFGDKHG" hidden="1">{#N/A,#N/A,FALSE,"Plan1";#N/A,#N/A,FALSE,"Plan2"}</definedName>
    <definedName name="I">#REF!</definedName>
    <definedName name="ibir_cdi">#REF!</definedName>
    <definedName name="ibir_hist">#REF!</definedName>
    <definedName name="ibir_uss">#REF!</definedName>
    <definedName name="IC" localSheetId="0" hidden="1">#REF!</definedName>
    <definedName name="IC" hidden="1">#REF!</definedName>
    <definedName name="icoa_cdi">#REF!</definedName>
    <definedName name="icoa_hist">#REF!</definedName>
    <definedName name="icoa_uss">#REF!</definedName>
    <definedName name="Identificação">#REF!</definedName>
    <definedName name="idfhgkjhfkthy" localSheetId="2" hidden="1">{#N/A,#N/A,FALSE,"Plan1";#N/A,#N/A,FALSE,"Plan2"}</definedName>
    <definedName name="idfhgkjhfkthy" localSheetId="0" hidden="1">{#N/A,#N/A,FALSE,"Plan1";#N/A,#N/A,FALSE,"Plan2"}</definedName>
    <definedName name="idfhgkjhfkthy" hidden="1">{#N/A,#N/A,FALSE,"Plan1";#N/A,#N/A,FALSE,"Plan2"}</definedName>
    <definedName name="ieroweft" localSheetId="2" hidden="1">{#N/A,#N/A,FALSE,"Plan1";#N/A,#N/A,FALSE,"Plan2"}</definedName>
    <definedName name="ieroweft" localSheetId="0" hidden="1">{#N/A,#N/A,FALSE,"Plan1";#N/A,#N/A,FALSE,"Plan2"}</definedName>
    <definedName name="ieroweft" hidden="1">{#N/A,#N/A,FALSE,"Plan1";#N/A,#N/A,FALSE,"Plan2"}</definedName>
    <definedName name="iewpotqi5poejy" localSheetId="2" hidden="1">{#N/A,#N/A,FALSE,"Plan1";#N/A,#N/A,FALSE,"Plan2"}</definedName>
    <definedName name="iewpotqi5poejy" localSheetId="0" hidden="1">{#N/A,#N/A,FALSE,"Plan1";#N/A,#N/A,FALSE,"Plan2"}</definedName>
    <definedName name="iewpotqi5poejy" hidden="1">{#N/A,#N/A,FALSE,"Plan1";#N/A,#N/A,FALSE,"Plan2"}</definedName>
    <definedName name="ihdfifguhgfuiyh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hidden="1">#REF!</definedName>
    <definedName name="ihfdkjhktgrd" localSheetId="2" hidden="1">{#N/A,#N/A,FALSE,"Plan1";#N/A,#N/A,FALSE,"Plan2"}</definedName>
    <definedName name="ihfdkjhktgrd" localSheetId="0" hidden="1">{#N/A,#N/A,FALSE,"Plan1";#N/A,#N/A,FALSE,"Plan2"}</definedName>
    <definedName name="ihfdkjhktgrd" hidden="1">{#N/A,#N/A,FALSE,"Plan1";#N/A,#N/A,FALSE,"Plan2"}</definedName>
    <definedName name="ihrtetw4r" localSheetId="2" hidden="1">{#N/A,#N/A,FALSE,"Plan1";#N/A,#N/A,FALSE,"Plan2"}</definedName>
    <definedName name="ihrtetw4r" localSheetId="0" hidden="1">{#N/A,#N/A,FALSE,"Plan1";#N/A,#N/A,FALSE,"Plan2"}</definedName>
    <definedName name="ihrtetw4r" hidden="1">{#N/A,#N/A,FALSE,"Plan1";#N/A,#N/A,FALSE,"Plan2"}</definedName>
    <definedName name="II">#REF!</definedName>
    <definedName name="IIASDSAWE" localSheetId="2" hidden="1">{"Econ Consolidado",#N/A,FALSE,"Econ Consol";"Fluxo de Caixa",#N/A,FALSE,"Fluxo Caixa";"Investimentos",#N/A,FALSE,"Investimentos"}</definedName>
    <definedName name="IIASDSAWE" localSheetId="0" hidden="1">{"Econ Consolidado",#N/A,FALSE,"Econ Consol";"Fluxo de Caixa",#N/A,FALSE,"Fluxo Caixa";"Investimentos",#N/A,FALSE,"Investimentos"}</definedName>
    <definedName name="IIASDSAWE" hidden="1">{"Econ Consolidado",#N/A,FALSE,"Econ Consol";"Fluxo de Caixa",#N/A,FALSE,"Fluxo Caixa";"Investimentos",#N/A,FALSE,"Investimentos"}</definedName>
    <definedName name="III">#REF!</definedName>
    <definedName name="iinstalaçõ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localSheetId="2" hidden="1">{#N/A,#N/A,FALSE,"Plan1";#N/A,#N/A,FALSE,"Plan2"}</definedName>
    <definedName name="ilhweilrji4e" localSheetId="0" hidden="1">{#N/A,#N/A,FALSE,"Plan1";#N/A,#N/A,FALSE,"Plan2"}</definedName>
    <definedName name="ilhweilrji4e" hidden="1">{#N/A,#N/A,FALSE,"Plan1";#N/A,#N/A,FALSE,"Plan2"}</definedName>
    <definedName name="ilsdr4wf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>#REF!</definedName>
    <definedName name="IMP" localSheetId="0" hidden="1">#REF!</definedName>
    <definedName name="IMP" hidden="1">#REF!</definedName>
    <definedName name="IMPERMEABILIZ.">#REF!</definedName>
    <definedName name="IMPF">#REF!</definedName>
    <definedName name="IMPI">#REF!</definedName>
    <definedName name="IMPOSTO">#REF!</definedName>
    <definedName name="INCC">#REF!</definedName>
    <definedName name="Incorido_Aplicado_X_Físico">#REF!</definedName>
    <definedName name="INCORPORAÇÃO">#REF!</definedName>
    <definedName name="Index" localSheetId="0" hidden="1">#REF!</definedName>
    <definedName name="Index" hidden="1">#REF!</definedName>
    <definedName name="Indice">#REF!</definedName>
    <definedName name="indice_correcao_proj">#REF!</definedName>
    <definedName name="infra">#REF!</definedName>
    <definedName name="Infra_OBra_Sienge">#REF!</definedName>
    <definedName name="Infra_Projetos_Sienge">#REF!</definedName>
    <definedName name="INFRA2">#REF!</definedName>
    <definedName name="Insatalaçõ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>#REF!</definedName>
    <definedName name="Inss_Bloqueado_Previsão_Fin_Medições">#REF!</definedName>
    <definedName name="instalaçoe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>OFFSET(#REF!,0,0,COUNTA(#REF!),1)</definedName>
    <definedName name="INSUMOS">#REF!</definedName>
    <definedName name="INT.FILTRO.NBASE">#REF!</definedName>
    <definedName name="INTEGRA" localSheetId="2" hidden="1">{"'Edit'!$A$1:$V$2277"}</definedName>
    <definedName name="INTEGRA" localSheetId="0" hidden="1">{"'Edit'!$A$1:$V$2277"}</definedName>
    <definedName name="INTEGRA" hidden="1">{"'Edit'!$A$1:$V$2277"}</definedName>
    <definedName name="IO">196.003</definedName>
    <definedName name="ioeriotyt" localSheetId="2" hidden="1">{#N/A,#N/A,FALSE,"Plan1";#N/A,#N/A,FALSE,"Plan2"}</definedName>
    <definedName name="ioeriotyt" localSheetId="0" hidden="1">{#N/A,#N/A,FALSE,"Plan1";#N/A,#N/A,FALSE,"Plan2"}</definedName>
    <definedName name="ioeriotyt" hidden="1">{#N/A,#N/A,FALSE,"Plan1";#N/A,#N/A,FALSE,"Plan2"}</definedName>
    <definedName name="iohudtorh" localSheetId="2" hidden="1">{#N/A,#N/A,FALSE,"Plan1";#N/A,#N/A,FALSE,"Plan2"}</definedName>
    <definedName name="iohudtorh" localSheetId="0" hidden="1">{#N/A,#N/A,FALSE,"Plan1";#N/A,#N/A,FALSE,"Plan2"}</definedName>
    <definedName name="iohudtorh" hidden="1">{#N/A,#N/A,FALSE,"Plan1";#N/A,#N/A,FALSE,"Plan2"}</definedName>
    <definedName name="iojtkheayed" localSheetId="2" hidden="1">{#N/A,#N/A,FALSE,"Plan1";#N/A,#N/A,FALSE,"Plan2"}</definedName>
    <definedName name="iojtkheayed" localSheetId="0" hidden="1">{#N/A,#N/A,FALSE,"Plan1";#N/A,#N/A,FALSE,"Plan2"}</definedName>
    <definedName name="iojtkheayed" hidden="1">{#N/A,#N/A,FALSE,"Plan1";#N/A,#N/A,FALSE,"Plan2"}</definedName>
    <definedName name="iouweroieuw4" localSheetId="2" hidden="1">{#N/A,#N/A,FALSE,"Plan1";#N/A,#N/A,FALSE,"Plan2"}</definedName>
    <definedName name="iouweroieuw4" localSheetId="0" hidden="1">{#N/A,#N/A,FALSE,"Plan1";#N/A,#N/A,FALSE,"Plan2"}</definedName>
    <definedName name="iouweroieuw4" hidden="1">{#N/A,#N/A,FALSE,"Plan1";#N/A,#N/A,FALSE,"Plan2"}</definedName>
    <definedName name="iphifpgh" localSheetId="2" hidden="1">{#N/A,#N/A,FALSE,"Plan1";#N/A,#N/A,FALSE,"Plan2"}</definedName>
    <definedName name="iphifpgh" localSheetId="0" hidden="1">{#N/A,#N/A,FALSE,"Plan1";#N/A,#N/A,FALSE,"Plan2"}</definedName>
    <definedName name="iphifpgh" hidden="1">{#N/A,#N/A,FALSE,"Plan1";#N/A,#N/A,FALSE,"Plan2"}</definedName>
    <definedName name="IPMF">#REF!</definedName>
    <definedName name="ipodsifgpds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localSheetId="2" hidden="1">{#N/A,#N/A,FALSE,"Plan1";#N/A,#N/A,FALSE,"Plan2"}</definedName>
    <definedName name="ipotjrjketjr" localSheetId="0" hidden="1">{#N/A,#N/A,FALSE,"Plan1";#N/A,#N/A,FALSE,"Plan2"}</definedName>
    <definedName name="ipotjrjketjr" hidden="1">{#N/A,#N/A,FALSE,"Plan1";#N/A,#N/A,FALSE,"Plan2"}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40730.4399768518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_diferido">#REF!</definedName>
    <definedName name="ISOPOR">#REF!</definedName>
    <definedName name="ISS">#REF!</definedName>
    <definedName name="ItalieNS">#REF!</definedName>
    <definedName name="ItalieNT">#REF!</definedName>
    <definedName name="itc_cdi">#REF!</definedName>
    <definedName name="itc_hist">#REF!</definedName>
    <definedName name="itc_uss">#REF!</definedName>
    <definedName name="item_1" localSheetId="0">#REF!</definedName>
    <definedName name="item_1">#REF!</definedName>
    <definedName name="ITEMCONT">#REF!</definedName>
    <definedName name="ITEMDER">#REF!</definedName>
    <definedName name="ITEMIZAÇÃO">#REF!</definedName>
    <definedName name="ITEMIZAÇÃO_2">#REF!</definedName>
    <definedName name="ITEMIZAÇÃO_3">#REF!</definedName>
    <definedName name="ITEMIZAÇÃO_4">#REF!</definedName>
    <definedName name="ITEMIZAÇÃO_5">#REF!</definedName>
    <definedName name="ITEMIZAÇÃO_7">#REF!</definedName>
    <definedName name="ITEMIZAÇÃO_8">#REF!</definedName>
    <definedName name="ITEMR20">#REF!</definedName>
    <definedName name="ITEM별상세업무분장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>#REF!</definedName>
    <definedName name="ITENS0">#REF!</definedName>
    <definedName name="ITENS1">#REF!</definedName>
    <definedName name="ITENSP">#REF!</definedName>
    <definedName name="ITENSPMED">#REF!</definedName>
    <definedName name="IUGFGDFUY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>#REF!</definedName>
    <definedName name="iyguygiyt" localSheetId="2" hidden="1">{#N/A,#N/A,FALSE,"Plan1";#N/A,#N/A,FALSE,"Plan2"}</definedName>
    <definedName name="iyguygiyt" localSheetId="0" hidden="1">{#N/A,#N/A,FALSE,"Plan1";#N/A,#N/A,FALSE,"Plan2"}</definedName>
    <definedName name="iyguygiyt" hidden="1">{#N/A,#N/A,FALSE,"Plan1";#N/A,#N/A,FALSE,"Plan2"}</definedName>
    <definedName name="iyuyheturtd" localSheetId="2" hidden="1">{#N/A,#N/A,FALSE,"Plan1";#N/A,#N/A,FALSE,"Plan2"}</definedName>
    <definedName name="iyuyheturtd" localSheetId="0" hidden="1">{#N/A,#N/A,FALSE,"Plan1";#N/A,#N/A,FALSE,"Plan2"}</definedName>
    <definedName name="iyuyheturtd" hidden="1">{#N/A,#N/A,FALSE,"Plan1";#N/A,#N/A,FALSE,"Plan2"}</definedName>
    <definedName name="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localSheetId="2" hidden="1">{#N/A,#N/A,FALSE,"Plan1";#N/A,#N/A,FALSE,"Plan2"}</definedName>
    <definedName name="jalejdasjf" localSheetId="0" hidden="1">{#N/A,#N/A,FALSE,"Plan1";#N/A,#N/A,FALSE,"Plan2"}</definedName>
    <definedName name="jalejdasjf" hidden="1">{#N/A,#N/A,FALSE,"Plan1";#N/A,#N/A,FALSE,"Plan2"}</definedName>
    <definedName name="jan_05">#REF!</definedName>
    <definedName name="jan17RJ">#REF!</definedName>
    <definedName name="JANEIRO2001">#REF!</definedName>
    <definedName name="JASDJS" localSheetId="2" hidden="1">{#N/A,#N/A,FALSE,"Plan1";#N/A,#N/A,FALSE,"Plan2"}</definedName>
    <definedName name="JASDJS" localSheetId="0" hidden="1">{#N/A,#N/A,FALSE,"Plan1";#N/A,#N/A,FALSE,"Plan2"}</definedName>
    <definedName name="JASDJS" hidden="1">{#N/A,#N/A,FALSE,"Plan1";#N/A,#N/A,FALSE,"Plan2"}</definedName>
    <definedName name="jaskldjlse" localSheetId="2" hidden="1">{#N/A,#N/A,FALSE,"Plan1";#N/A,#N/A,FALSE,"Plan2"}</definedName>
    <definedName name="jaskldjlse" localSheetId="0" hidden="1">{#N/A,#N/A,FALSE,"Plan1";#N/A,#N/A,FALSE,"Plan2"}</definedName>
    <definedName name="jaskldjlse" hidden="1">{#N/A,#N/A,FALSE,"Plan1";#N/A,#N/A,FALSE,"Plan2"}</definedName>
    <definedName name="JASLDKLD" localSheetId="2" hidden="1">{#N/A,#N/A,FALSE,"Plan1";#N/A,#N/A,FALSE,"Plan2"}</definedName>
    <definedName name="JASLDKLD" localSheetId="0" hidden="1">{#N/A,#N/A,FALSE,"Plan1";#N/A,#N/A,FALSE,"Plan2"}</definedName>
    <definedName name="JASLDKLD" hidden="1">{#N/A,#N/A,FALSE,"Plan1";#N/A,#N/A,FALSE,"Plan2"}</definedName>
    <definedName name="jasoe" hidden="1">#REF!</definedName>
    <definedName name="jbzxffcbgdhgft" hidden="1">#REF!</definedName>
    <definedName name="JÇDFHDF" localSheetId="2" hidden="1">{"Econ Consolidado",#N/A,FALSE,"Econ Consol";"Fluxo de Caixa",#N/A,FALSE,"Fluxo Caixa";"Investimentos",#N/A,FALSE,"Investimentos"}</definedName>
    <definedName name="JÇDFHDF" localSheetId="0" hidden="1">{"Econ Consolidado",#N/A,FALSE,"Econ Consol";"Fluxo de Caixa",#N/A,FALSE,"Fluxo Caixa";"Investimentos",#N/A,FALSE,"Investimentos"}</definedName>
    <definedName name="JÇDFHDF" hidden="1">{"Econ Consolidado",#N/A,FALSE,"Econ Consol";"Fluxo de Caixa",#N/A,FALSE,"Fluxo Caixa";"Investimentos",#N/A,FALSE,"Investimentos"}</definedName>
    <definedName name="jdbgftbhr" localSheetId="2" hidden="1">{#N/A,#N/A,FALSE,"Plan1";#N/A,#N/A,FALSE,"Plan2"}</definedName>
    <definedName name="jdbgftbhr" localSheetId="0" hidden="1">{#N/A,#N/A,FALSE,"Plan1";#N/A,#N/A,FALSE,"Plan2"}</definedName>
    <definedName name="jdbgftbhr" hidden="1">{#N/A,#N/A,FALSE,"Plan1";#N/A,#N/A,FALSE,"Plan2"}</definedName>
    <definedName name="jdfgkrhgft" hidden="1">#REF!</definedName>
    <definedName name="jdfgldfjgklh" localSheetId="2" hidden="1">{#N/A,#N/A,FALSE,"Plan1";#N/A,#N/A,FALSE,"Plan2"}</definedName>
    <definedName name="jdfgldfjgklh" localSheetId="0" hidden="1">{#N/A,#N/A,FALSE,"Plan1";#N/A,#N/A,FALSE,"Plan2"}</definedName>
    <definedName name="jdfgldfjgklh" hidden="1">{#N/A,#N/A,FALSE,"Plan1";#N/A,#N/A,FALSE,"Plan2"}</definedName>
    <definedName name="jdfhjkdrhjtkg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localSheetId="2" hidden="1">{#N/A,#N/A,FALSE,"Plan1";#N/A,#N/A,FALSE,"Plan2"}</definedName>
    <definedName name="jdfjdtrgt" localSheetId="0" hidden="1">{#N/A,#N/A,FALSE,"Plan1";#N/A,#N/A,FALSE,"Plan2"}</definedName>
    <definedName name="jdfjdtrgt" hidden="1">{#N/A,#N/A,FALSE,"Plan1";#N/A,#N/A,FALSE,"Plan2"}</definedName>
    <definedName name="JDFJLDJR" localSheetId="2" hidden="1">{#N/A,#N/A,FALSE,"Plan1";#N/A,#N/A,FALSE,"Plan2"}</definedName>
    <definedName name="JDFJLDJR" localSheetId="0" hidden="1">{#N/A,#N/A,FALSE,"Plan1";#N/A,#N/A,FALSE,"Plan2"}</definedName>
    <definedName name="JDFJLDJR" hidden="1">{#N/A,#N/A,FALSE,"Plan1";#N/A,#N/A,FALSE,"Plan2"}</definedName>
    <definedName name="jdfkgitfgdrtt" localSheetId="2" hidden="1">{#N/A,#N/A,FALSE,"Plan1";#N/A,#N/A,FALSE,"Plan2"}</definedName>
    <definedName name="jdfkgitfgdrtt" localSheetId="0" hidden="1">{#N/A,#N/A,FALSE,"Plan1";#N/A,#N/A,FALSE,"Plan2"}</definedName>
    <definedName name="jdfkgitfgdrtt" hidden="1">{#N/A,#N/A,FALSE,"Plan1";#N/A,#N/A,FALSE,"Plan2"}</definedName>
    <definedName name="JDFKHFKJ" localSheetId="2" hidden="1">{#N/A,#N/A,FALSE,"Plan1";#N/A,#N/A,FALSE,"Plan2"}</definedName>
    <definedName name="JDFKHFKJ" localSheetId="0" hidden="1">{#N/A,#N/A,FALSE,"Plan1";#N/A,#N/A,FALSE,"Plan2"}</definedName>
    <definedName name="JDFKHFKJ" hidden="1">{#N/A,#N/A,FALSE,"Plan1";#N/A,#N/A,FALSE,"Plan2"}</definedName>
    <definedName name="jdfklgtdtr" localSheetId="2" hidden="1">{#N/A,#N/A,FALSE,"Plan1";#N/A,#N/A,FALSE,"Plan2"}</definedName>
    <definedName name="jdfklgtdtr" localSheetId="0" hidden="1">{#N/A,#N/A,FALSE,"Plan1";#N/A,#N/A,FALSE,"Plan2"}</definedName>
    <definedName name="jdfklgtdtr" hidden="1">{#N/A,#N/A,FALSE,"Plan1";#N/A,#N/A,FALSE,"Plan2"}</definedName>
    <definedName name="JDFKTHRT" localSheetId="2" hidden="1">{#N/A,#N/A,FALSE,"Plan1";#N/A,#N/A,FALSE,"Plan2"}</definedName>
    <definedName name="JDFKTHRT" localSheetId="0" hidden="1">{#N/A,#N/A,FALSE,"Plan1";#N/A,#N/A,FALSE,"Plan2"}</definedName>
    <definedName name="JDFKTHRT" hidden="1">{#N/A,#N/A,FALSE,"Plan1";#N/A,#N/A,FALSE,"Plan2"}</definedName>
    <definedName name="JDFLKJDRF" localSheetId="2" hidden="1">{#N/A,#N/A,FALSE,"Plan1";#N/A,#N/A,FALSE,"Plan2"}</definedName>
    <definedName name="JDFLKJDRF" localSheetId="0" hidden="1">{#N/A,#N/A,FALSE,"Plan1";#N/A,#N/A,FALSE,"Plan2"}</definedName>
    <definedName name="JDFLKJDRF" hidden="1">{#N/A,#N/A,FALSE,"Plan1";#N/A,#N/A,FALSE,"Plan2"}</definedName>
    <definedName name="jdfzlkjgfdht" localSheetId="2" hidden="1">{#N/A,#N/A,FALSE,"Plan1";#N/A,#N/A,FALSE,"Plan2"}</definedName>
    <definedName name="jdfzlkjgfdht" localSheetId="0" hidden="1">{#N/A,#N/A,FALSE,"Plan1";#N/A,#N/A,FALSE,"Plan2"}</definedName>
    <definedName name="jdfzlkjgfdht" hidden="1">{#N/A,#N/A,FALSE,"Plan1";#N/A,#N/A,FALSE,"Plan2"}</definedName>
    <definedName name="jdglhfghkt" localSheetId="2" hidden="1">{#N/A,#N/A,FALSE,"Plan1";#N/A,#N/A,FALSE,"Plan2"}</definedName>
    <definedName name="jdglhfghkt" localSheetId="0" hidden="1">{#N/A,#N/A,FALSE,"Plan1";#N/A,#N/A,FALSE,"Plan2"}</definedName>
    <definedName name="jdglhfghkt" hidden="1">{#N/A,#N/A,FALSE,"Plan1";#N/A,#N/A,FALSE,"Plan2"}</definedName>
    <definedName name="jdhfjdhgfd" localSheetId="2" hidden="1">{#N/A,#N/A,FALSE,"Plan1";#N/A,#N/A,FALSE,"Plan2"}</definedName>
    <definedName name="jdhfjdhgfd" localSheetId="0" hidden="1">{#N/A,#N/A,FALSE,"Plan1";#N/A,#N/A,FALSE,"Plan2"}</definedName>
    <definedName name="jdhfjdhgfd" hidden="1">{#N/A,#N/A,FALSE,"Plan1";#N/A,#N/A,FALSE,"Plan2"}</definedName>
    <definedName name="jdjdjdjd" localSheetId="2" hidden="1">{#N/A,#N/A,FALSE,"명세표"}</definedName>
    <definedName name="jdjdjdjd" localSheetId="0" hidden="1">{#N/A,#N/A,FALSE,"명세표"}</definedName>
    <definedName name="jdjdjdjd" hidden="1">{#N/A,#N/A,FALSE,"명세표"}</definedName>
    <definedName name="jdkfhgjhf" localSheetId="2" hidden="1">{#N/A,#N/A,FALSE,"Plan1";#N/A,#N/A,FALSE,"Plan2"}</definedName>
    <definedName name="jdkfhgjhf" localSheetId="0" hidden="1">{#N/A,#N/A,FALSE,"Plan1";#N/A,#N/A,FALSE,"Plan2"}</definedName>
    <definedName name="jdkfhgjhf" hidden="1">{#N/A,#N/A,FALSE,"Plan1";#N/A,#N/A,FALSE,"Plan2"}</definedName>
    <definedName name="jdkfjdtr" localSheetId="2" hidden="1">{#N/A,#N/A,FALSE,"Plan1";#N/A,#N/A,FALSE,"Plan2"}</definedName>
    <definedName name="jdkfjdtr" localSheetId="0" hidden="1">{#N/A,#N/A,FALSE,"Plan1";#N/A,#N/A,FALSE,"Plan2"}</definedName>
    <definedName name="jdkfjdtr" hidden="1">{#N/A,#N/A,FALSE,"Plan1";#N/A,#N/A,FALSE,"Plan2"}</definedName>
    <definedName name="jdljgftldjti5r" localSheetId="2" hidden="1">{#N/A,#N/A,FALSE,"Plan1";#N/A,#N/A,FALSE,"Plan2"}</definedName>
    <definedName name="jdljgftldjti5r" localSheetId="0" hidden="1">{#N/A,#N/A,FALSE,"Plan1";#N/A,#N/A,FALSE,"Plan2"}</definedName>
    <definedName name="jdljgftldjti5r" hidden="1">{#N/A,#N/A,FALSE,"Plan1";#N/A,#N/A,FALSE,"Plan2"}</definedName>
    <definedName name="JDLKJDASGF" localSheetId="2" hidden="1">{#N/A,#N/A,FALSE,"Plan1";#N/A,#N/A,FALSE,"Plan2"}</definedName>
    <definedName name="JDLKJDASGF" localSheetId="0" hidden="1">{#N/A,#N/A,FALSE,"Plan1";#N/A,#N/A,FALSE,"Plan2"}</definedName>
    <definedName name="JDLKJDASGF" hidden="1">{#N/A,#N/A,FALSE,"Plan1";#N/A,#N/A,FALSE,"Plan2"}</definedName>
    <definedName name="jdrfkdjfghrtfjg" localSheetId="2" hidden="1">{#N/A,#N/A,FALSE,"Plan1";#N/A,#N/A,FALSE,"Plan2"}</definedName>
    <definedName name="jdrfkdjfghrtfjg" localSheetId="0" hidden="1">{#N/A,#N/A,FALSE,"Plan1";#N/A,#N/A,FALSE,"Plan2"}</definedName>
    <definedName name="jdrfkdjfghrtfjg" hidden="1">{#N/A,#N/A,FALSE,"Plan1";#N/A,#N/A,FALSE,"Plan2"}</definedName>
    <definedName name="jdskfhdk" localSheetId="2" hidden="1">{#N/A,#N/A,FALSE,"Plan1";#N/A,#N/A,FALSE,"Plan2"}</definedName>
    <definedName name="jdskfhdk" localSheetId="0" hidden="1">{#N/A,#N/A,FALSE,"Plan1";#N/A,#N/A,FALSE,"Plan2"}</definedName>
    <definedName name="jdskfhdk" hidden="1">{#N/A,#N/A,FALSE,"Plan1";#N/A,#N/A,FALSE,"Plan2"}</definedName>
    <definedName name="JDSKLGKDRHGGF" localSheetId="2" hidden="1">{#N/A,#N/A,FALSE,"Plan1";#N/A,#N/A,FALSE,"Plan2"}</definedName>
    <definedName name="JDSKLGKDRHGGF" localSheetId="0" hidden="1">{#N/A,#N/A,FALSE,"Plan1";#N/A,#N/A,FALSE,"Plan2"}</definedName>
    <definedName name="JDSKLGKDRHGGF" hidden="1">{#N/A,#N/A,FALSE,"Plan1";#N/A,#N/A,FALSE,"Plan2"}</definedName>
    <definedName name="jefsgfr" localSheetId="2" hidden="1">{#N/A,#N/A,FALSE,"Plan1";#N/A,#N/A,FALSE,"Plan2"}</definedName>
    <definedName name="jefsgfr" localSheetId="0" hidden="1">{#N/A,#N/A,FALSE,"Plan1";#N/A,#N/A,FALSE,"Plan2"}</definedName>
    <definedName name="jefsgfr" hidden="1">{#N/A,#N/A,FALSE,"Plan1";#N/A,#N/A,FALSE,"Plan2"}</definedName>
    <definedName name="JERHIEHYURE" localSheetId="2" hidden="1">{#N/A,#N/A,FALSE,"Plan1";#N/A,#N/A,FALSE,"Plan2"}</definedName>
    <definedName name="JERHIEHYURE" localSheetId="0" hidden="1">{#N/A,#N/A,FALSE,"Plan1";#N/A,#N/A,FALSE,"Plan2"}</definedName>
    <definedName name="JERHIEHYURE" hidden="1">{#N/A,#N/A,FALSE,"Plan1";#N/A,#N/A,FALSE,"Plan2"}</definedName>
    <definedName name="jfddlsrtyty" localSheetId="2" hidden="1">{#N/A,#N/A,FALSE,"Plan1";#N/A,#N/A,FALSE,"Plan2"}</definedName>
    <definedName name="jfddlsrtyty" localSheetId="0" hidden="1">{#N/A,#N/A,FALSE,"Plan1";#N/A,#N/A,FALSE,"Plan2"}</definedName>
    <definedName name="jfddlsrtyty" hidden="1">{#N/A,#N/A,FALSE,"Plan1";#N/A,#N/A,FALSE,"Plan2"}</definedName>
    <definedName name="jfdjtgdjghitfyh" localSheetId="2" hidden="1">{#N/A,#N/A,FALSE,"Plan1";#N/A,#N/A,FALSE,"Plan2"}</definedName>
    <definedName name="jfdjtgdjghitfyh" localSheetId="0" hidden="1">{#N/A,#N/A,FALSE,"Plan1";#N/A,#N/A,FALSE,"Plan2"}</definedName>
    <definedName name="jfdjtgdjghitfyh" hidden="1">{#N/A,#N/A,FALSE,"Plan1";#N/A,#N/A,FALSE,"Plan2"}</definedName>
    <definedName name="jfdkgkftftg" localSheetId="2" hidden="1">{#N/A,#N/A,FALSE,"Plan1";#N/A,#N/A,FALSE,"Plan2"}</definedName>
    <definedName name="jfdkgkftftg" localSheetId="0" hidden="1">{#N/A,#N/A,FALSE,"Plan1";#N/A,#N/A,FALSE,"Plan2"}</definedName>
    <definedName name="jfdkgkftftg" hidden="1">{#N/A,#N/A,FALSE,"Plan1";#N/A,#N/A,FALSE,"Plan2"}</definedName>
    <definedName name="jfghjkfdhtkyru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localSheetId="2" hidden="1">{#N/A,#N/A,FALSE,"Plan1";#N/A,#N/A,FALSE,"Plan2"}</definedName>
    <definedName name="JFGJYHTY" localSheetId="0" hidden="1">{#N/A,#N/A,FALSE,"Plan1";#N/A,#N/A,FALSE,"Plan2"}</definedName>
    <definedName name="JFGJYHTY" hidden="1">{#N/A,#N/A,FALSE,"Plan1";#N/A,#N/A,FALSE,"Plan2"}</definedName>
    <definedName name="jfgkflcnjkglc" localSheetId="2" hidden="1">{#N/A,#N/A,FALSE,"Plan1";#N/A,#N/A,FALSE,"Plan2"}</definedName>
    <definedName name="jfgkflcnjkglc" localSheetId="0" hidden="1">{#N/A,#N/A,FALSE,"Plan1";#N/A,#N/A,FALSE,"Plan2"}</definedName>
    <definedName name="jfgkflcnjkglc" hidden="1">{#N/A,#N/A,FALSE,"Plan1";#N/A,#N/A,FALSE,"Plan2"}</definedName>
    <definedName name="JFHRE" localSheetId="2" hidden="1">{#N/A,#N/A,FALSE,"Plan1";#N/A,#N/A,FALSE,"Plan2"}</definedName>
    <definedName name="JFHRE" localSheetId="0" hidden="1">{#N/A,#N/A,FALSE,"Plan1";#N/A,#N/A,FALSE,"Plan2"}</definedName>
    <definedName name="JFHRE" hidden="1">{#N/A,#N/A,FALSE,"Plan1";#N/A,#N/A,FALSE,"Plan2"}</definedName>
    <definedName name="jfkdls5jtirjd" localSheetId="2" hidden="1">{#N/A,#N/A,FALSE,"Plan1";#N/A,#N/A,FALSE,"Plan2"}</definedName>
    <definedName name="jfkdls5jtirjd" localSheetId="0" hidden="1">{#N/A,#N/A,FALSE,"Plan1";#N/A,#N/A,FALSE,"Plan2"}</definedName>
    <definedName name="jfkdls5jtirjd" hidden="1">{#N/A,#N/A,FALSE,"Plan1";#N/A,#N/A,FALSE,"Plan2"}</definedName>
    <definedName name="jfkljdkfcj" localSheetId="2" hidden="1">{#N/A,#N/A,FALSE,"Plan1";#N/A,#N/A,FALSE,"Plan2"}</definedName>
    <definedName name="jfkljdkfcj" localSheetId="0" hidden="1">{#N/A,#N/A,FALSE,"Plan1";#N/A,#N/A,FALSE,"Plan2"}</definedName>
    <definedName name="jfkljdkfcj" hidden="1">{#N/A,#N/A,FALSE,"Plan1";#N/A,#N/A,FALSE,"Plan2"}</definedName>
    <definedName name="jfkrhdtghdut" localSheetId="2" hidden="1">{#N/A,#N/A,FALSE,"Plan1";#N/A,#N/A,FALSE,"Plan2"}</definedName>
    <definedName name="jfkrhdtghdut" localSheetId="0" hidden="1">{#N/A,#N/A,FALSE,"Plan1";#N/A,#N/A,FALSE,"Plan2"}</definedName>
    <definedName name="jfkrhdtghdut" hidden="1">{#N/A,#N/A,FALSE,"Plan1";#N/A,#N/A,FALSE,"Plan2"}</definedName>
    <definedName name="JFRESR" localSheetId="2" hidden="1">{#N/A,#N/A,FALSE,"Plan1";#N/A,#N/A,FALSE,"Plan2"}</definedName>
    <definedName name="JFRESR" localSheetId="0" hidden="1">{#N/A,#N/A,FALSE,"Plan1";#N/A,#N/A,FALSE,"Plan2"}</definedName>
    <definedName name="JFRESR" hidden="1">{#N/A,#N/A,FALSE,"Plan1";#N/A,#N/A,FALSE,"Plan2"}</definedName>
    <definedName name="jgdfdgfjgdj" localSheetId="2" hidden="1">{#N/A,#N/A,FALSE,"Plan1";#N/A,#N/A,FALSE,"Plan2"}</definedName>
    <definedName name="jgdfdgfjgdj" localSheetId="0" hidden="1">{#N/A,#N/A,FALSE,"Plan1";#N/A,#N/A,FALSE,"Plan2"}</definedName>
    <definedName name="jgdfdgfjgdj" hidden="1">{#N/A,#N/A,FALSE,"Plan1";#N/A,#N/A,FALSE,"Plan2"}</definedName>
    <definedName name="jgdfght" localSheetId="2" hidden="1">{#N/A,#N/A,FALSE,"Plan1";#N/A,#N/A,FALSE,"Plan2"}</definedName>
    <definedName name="jgdfght" localSheetId="0" hidden="1">{#N/A,#N/A,FALSE,"Plan1";#N/A,#N/A,FALSE,"Plan2"}</definedName>
    <definedName name="jgdfght" hidden="1">{#N/A,#N/A,FALSE,"Plan1";#N/A,#N/A,FALSE,"Plan2"}</definedName>
    <definedName name="jgfgdsgfdhrf" localSheetId="2" hidden="1">{#N/A,#N/A,FALSE,"Plan1";#N/A,#N/A,FALSE,"Plan2"}</definedName>
    <definedName name="jgfgdsgfdhrf" localSheetId="0" hidden="1">{#N/A,#N/A,FALSE,"Plan1";#N/A,#N/A,FALSE,"Plan2"}</definedName>
    <definedName name="jgfgdsgfdhrf" hidden="1">{#N/A,#N/A,FALSE,"Plan1";#N/A,#N/A,FALSE,"Plan2"}</definedName>
    <definedName name="JGFJGTFT" localSheetId="2" hidden="1">{#N/A,#N/A,FALSE,"Plan1";#N/A,#N/A,FALSE,"Plan2"}</definedName>
    <definedName name="JGFJGTFT" localSheetId="0" hidden="1">{#N/A,#N/A,FALSE,"Plan1";#N/A,#N/A,FALSE,"Plan2"}</definedName>
    <definedName name="JGFJGTFT" hidden="1">{#N/A,#N/A,FALSE,"Plan1";#N/A,#N/A,FALSE,"Plan2"}</definedName>
    <definedName name="JGJSFJKSDGB" hidden="1">17</definedName>
    <definedName name="jgkjkhjuftgi" localSheetId="2" hidden="1">{#N/A,#N/A,FALSE,"Plan1";#N/A,#N/A,FALSE,"Plan2"}</definedName>
    <definedName name="jgkjkhjuftgi" localSheetId="0" hidden="1">{#N/A,#N/A,FALSE,"Plan1";#N/A,#N/A,FALSE,"Plan2"}</definedName>
    <definedName name="jgkjkhjuftgi" hidden="1">{#N/A,#N/A,FALSE,"Plan1";#N/A,#N/A,FALSE,"Plan2"}</definedName>
    <definedName name="jh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localSheetId="2" hidden="1">{#N/A,#N/A,FALSE,"Plan1";#N/A,#N/A,FALSE,"Plan2"}</definedName>
    <definedName name="jhdfjjhirft" localSheetId="0" hidden="1">{#N/A,#N/A,FALSE,"Plan1";#N/A,#N/A,FALSE,"Plan2"}</definedName>
    <definedName name="jhdfjjhirft" hidden="1">{#N/A,#N/A,FALSE,"Plan1";#N/A,#N/A,FALSE,"Plan2"}</definedName>
    <definedName name="jhdfjkhtrdhf" localSheetId="2" hidden="1">{#N/A,#N/A,FALSE,"Plan1";#N/A,#N/A,FALSE,"Plan2"}</definedName>
    <definedName name="jhdfjkhtrdhf" localSheetId="0" hidden="1">{#N/A,#N/A,FALSE,"Plan1";#N/A,#N/A,FALSE,"Plan2"}</definedName>
    <definedName name="jhdfjkhtrdhf" hidden="1">{#N/A,#N/A,FALSE,"Plan1";#N/A,#N/A,FALSE,"Plan2"}</definedName>
    <definedName name="jhdfuthr" localSheetId="2" hidden="1">{#N/A,#N/A,FALSE,"Plan1";#N/A,#N/A,FALSE,"Plan2"}</definedName>
    <definedName name="jhdfuthr" localSheetId="0" hidden="1">{#N/A,#N/A,FALSE,"Plan1";#N/A,#N/A,FALSE,"Plan2"}</definedName>
    <definedName name="jhdfuthr" hidden="1">{#N/A,#N/A,FALSE,"Plan1";#N/A,#N/A,FALSE,"Plan2"}</definedName>
    <definedName name="JHDFZGRDHF" localSheetId="2" hidden="1">{"Econ Consolidado",#N/A,FALSE,"Econ Consol";"Fluxo de Caixa",#N/A,FALSE,"Fluxo Caixa";"Investimentos",#N/A,FALSE,"Investimentos"}</definedName>
    <definedName name="JHDFZGRDHF" localSheetId="0" hidden="1">{"Econ Consolidado",#N/A,FALSE,"Econ Consol";"Fluxo de Caixa",#N/A,FALSE,"Fluxo Caixa";"Investimentos",#N/A,FALSE,"Investimentos"}</definedName>
    <definedName name="JHDFZGRDHF" hidden="1">{"Econ Consolidado",#N/A,FALSE,"Econ Consol";"Fluxo de Caixa",#N/A,FALSE,"Fluxo Caixa";"Investimentos",#N/A,FALSE,"Investimentos"}</definedName>
    <definedName name="JHERKHKFGH" localSheetId="2" hidden="1">{#N/A,#N/A,FALSE,"Plan1";#N/A,#N/A,FALSE,"Plan2"}</definedName>
    <definedName name="JHERKHKFGH" localSheetId="0" hidden="1">{#N/A,#N/A,FALSE,"Plan1";#N/A,#N/A,FALSE,"Plan2"}</definedName>
    <definedName name="JHERKHKFGH" hidden="1">{#N/A,#N/A,FALSE,"Plan1";#N/A,#N/A,FALSE,"Plan2"}</definedName>
    <definedName name="jhfhhztfhe" hidden="1">#REF!</definedName>
    <definedName name="JHGKJFJFJGL" localSheetId="2" hidden="1">{#N/A,#N/A,FALSE,"Plan1";#N/A,#N/A,FALSE,"Plan2"}</definedName>
    <definedName name="JHGKJFJFJGL" localSheetId="0" hidden="1">{#N/A,#N/A,FALSE,"Plan1";#N/A,#N/A,FALSE,"Plan2"}</definedName>
    <definedName name="JHGKJFJFJGL" hidden="1">{#N/A,#N/A,FALSE,"Plan1";#N/A,#N/A,FALSE,"Plan2"}</definedName>
    <definedName name="jhsdjkhfuks" localSheetId="2" hidden="1">{#N/A,#N/A,FALSE,"Plan1";#N/A,#N/A,FALSE,"Plan2"}</definedName>
    <definedName name="jhsdjkhfuks" localSheetId="0" hidden="1">{#N/A,#N/A,FALSE,"Plan1";#N/A,#N/A,FALSE,"Plan2"}</definedName>
    <definedName name="jhsdjkhfuks" hidden="1">{#N/A,#N/A,FALSE,"Plan1";#N/A,#N/A,FALSE,"Plan2"}</definedName>
    <definedName name="jisdrkje" localSheetId="2" hidden="1">{#N/A,#N/A,FALSE,"Plan1";#N/A,#N/A,FALSE,"Plan2"}</definedName>
    <definedName name="jisdrkje" localSheetId="0" hidden="1">{#N/A,#N/A,FALSE,"Plan1";#N/A,#N/A,FALSE,"Plan2"}</definedName>
    <definedName name="jisdrkje" hidden="1">{#N/A,#N/A,FALSE,"Plan1";#N/A,#N/A,FALSE,"Plan2"}</definedName>
    <definedName name="jishfrieyhtau" localSheetId="2" hidden="1">{#N/A,#N/A,FALSE,"Plan1";#N/A,#N/A,FALSE,"Plan2"}</definedName>
    <definedName name="jishfrieyhtau" localSheetId="0" hidden="1">{#N/A,#N/A,FALSE,"Plan1";#N/A,#N/A,FALSE,"Plan2"}</definedName>
    <definedName name="jishfrieyhtau" hidden="1">{#N/A,#N/A,FALSE,"Plan1";#N/A,#N/A,FALSE,"Plan2"}</definedName>
    <definedName name="jiu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localSheetId="2" hidden="1">{"'Apr-00'!$B$4:$AD$44"}</definedName>
    <definedName name="jj" localSheetId="0" hidden="1">{"'Apr-00'!$B$4:$AD$44"}</definedName>
    <definedName name="jj" hidden="1">{"'Apr-00'!$B$4:$AD$44"}</definedName>
    <definedName name="jjfdsktyhhy" localSheetId="2" hidden="1">{#N/A,#N/A,FALSE,"Plan1";#N/A,#N/A,FALSE,"Plan2"}</definedName>
    <definedName name="jjfdsktyhhy" localSheetId="0" hidden="1">{#N/A,#N/A,FALSE,"Plan1";#N/A,#N/A,FALSE,"Plan2"}</definedName>
    <definedName name="jjfdsktyhhy" hidden="1">{#N/A,#N/A,FALSE,"Plan1";#N/A,#N/A,FALSE,"Plan2"}</definedName>
    <definedName name="jjjjjjjjjjjjjjjjjjjj">#REF!</definedName>
    <definedName name="jjkjkjk" localSheetId="2" hidden="1">{#N/A,#N/A,FALSE,"Plan1";#N/A,#N/A,FALSE,"Plan2"}</definedName>
    <definedName name="jjkjkjk" localSheetId="0" hidden="1">{#N/A,#N/A,FALSE,"Plan1";#N/A,#N/A,FALSE,"Plan2"}</definedName>
    <definedName name="jjkjkjk" hidden="1">{#N/A,#N/A,FALSE,"Plan1";#N/A,#N/A,FALSE,"Plan2"}</definedName>
    <definedName name="JKDCK" localSheetId="2" hidden="1">{#N/A,#N/A,FALSE,"Plan1";#N/A,#N/A,FALSE,"Plan2"}</definedName>
    <definedName name="JKDCK" localSheetId="0" hidden="1">{#N/A,#N/A,FALSE,"Plan1";#N/A,#N/A,FALSE,"Plan2"}</definedName>
    <definedName name="JKDCK" hidden="1">{#N/A,#N/A,FALSE,"Plan1";#N/A,#N/A,FALSE,"Plan2"}</definedName>
    <definedName name="JKDFHKHFR" localSheetId="2" hidden="1">{#N/A,#N/A,FALSE,"Plan1";#N/A,#N/A,FALSE,"Plan2"}</definedName>
    <definedName name="JKDFHKHFR" localSheetId="0" hidden="1">{#N/A,#N/A,FALSE,"Plan1";#N/A,#N/A,FALSE,"Plan2"}</definedName>
    <definedName name="JKDFHKHFR" hidden="1">{#N/A,#N/A,FALSE,"Plan1";#N/A,#N/A,FALSE,"Plan2"}</definedName>
    <definedName name="JKDFTRDRJ" localSheetId="2" hidden="1">{#N/A,#N/A,FALSE,"Plan1";#N/A,#N/A,FALSE,"Plan2"}</definedName>
    <definedName name="JKDFTRDRJ" localSheetId="0" hidden="1">{#N/A,#N/A,FALSE,"Plan1";#N/A,#N/A,FALSE,"Plan2"}</definedName>
    <definedName name="JKDFTRDRJ" hidden="1">{#N/A,#N/A,FALSE,"Plan1";#N/A,#N/A,FALSE,"Plan2"}</definedName>
    <definedName name="jkdhfukhddf" localSheetId="2" hidden="1">{#N/A,#N/A,FALSE,"Plan1";#N/A,#N/A,FALSE,"Plan2"}</definedName>
    <definedName name="jkdhfukhddf" localSheetId="0" hidden="1">{#N/A,#N/A,FALSE,"Plan1";#N/A,#N/A,FALSE,"Plan2"}</definedName>
    <definedName name="jkdhfukhddf" hidden="1">{#N/A,#N/A,FALSE,"Plan1";#N/A,#N/A,FALSE,"Plan2"}</definedName>
    <definedName name="JKDRKGJHTDR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localSheetId="2" hidden="1">{#N/A,#N/A,FALSE,"Plan1";#N/A,#N/A,FALSE,"Plan2"}</definedName>
    <definedName name="jkelsjreja" localSheetId="0" hidden="1">{#N/A,#N/A,FALSE,"Plan1";#N/A,#N/A,FALSE,"Plan2"}</definedName>
    <definedName name="jkelsjreja" hidden="1">{#N/A,#N/A,FALSE,"Plan1";#N/A,#N/A,FALSE,"Plan2"}</definedName>
    <definedName name="jkfhjgkfhghh" localSheetId="2" hidden="1">{#N/A,#N/A,FALSE,"Plan1";#N/A,#N/A,FALSE,"Plan2"}</definedName>
    <definedName name="jkfhjgkfhghh" localSheetId="0" hidden="1">{#N/A,#N/A,FALSE,"Plan1";#N/A,#N/A,FALSE,"Plan2"}</definedName>
    <definedName name="jkfhjgkfhghh" hidden="1">{#N/A,#N/A,FALSE,"Plan1";#N/A,#N/A,FALSE,"Plan2"}</definedName>
    <definedName name="jkhderjkhes" localSheetId="2" hidden="1">{#N/A,#N/A,FALSE,"Plan1";#N/A,#N/A,FALSE,"Plan2"}</definedName>
    <definedName name="jkhderjkhes" localSheetId="0" hidden="1">{#N/A,#N/A,FALSE,"Plan1";#N/A,#N/A,FALSE,"Plan2"}</definedName>
    <definedName name="jkhderjkhes" hidden="1">{#N/A,#N/A,FALSE,"Plan1";#N/A,#N/A,FALSE,"Plan2"}</definedName>
    <definedName name="jkhdfhfd" localSheetId="2" hidden="1">{#N/A,#N/A,FALSE,"Plan1";#N/A,#N/A,FALSE,"Plan2"}</definedName>
    <definedName name="jkhdfhfd" localSheetId="0" hidden="1">{#N/A,#N/A,FALSE,"Plan1";#N/A,#N/A,FALSE,"Plan2"}</definedName>
    <definedName name="jkhdfhfd" hidden="1">{#N/A,#N/A,FALSE,"Plan1";#N/A,#N/A,FALSE,"Plan2"}</definedName>
    <definedName name="jkhfhest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localSheetId="2" hidden="1">{#N/A,#N/A,FALSE,"Plan1";#N/A,#N/A,FALSE,"Plan2"}</definedName>
    <definedName name="JKHFKJHGKFTHUDET" localSheetId="0" hidden="1">{#N/A,#N/A,FALSE,"Plan1";#N/A,#N/A,FALSE,"Plan2"}</definedName>
    <definedName name="JKHFKJHGKFTHUDET" hidden="1">{#N/A,#N/A,FALSE,"Plan1";#N/A,#N/A,FALSE,"Plan2"}</definedName>
    <definedName name="JKHGDHFUHTG" localSheetId="2" hidden="1">{#N/A,#N/A,FALSE,"Plan1";#N/A,#N/A,FALSE,"Plan2"}</definedName>
    <definedName name="JKHGDHFUHTG" localSheetId="0" hidden="1">{#N/A,#N/A,FALSE,"Plan1";#N/A,#N/A,FALSE,"Plan2"}</definedName>
    <definedName name="JKHGDHFUHTG" hidden="1">{#N/A,#N/A,FALSE,"Plan1";#N/A,#N/A,FALSE,"Plan2"}</definedName>
    <definedName name="jkhsdzjkfyiu" localSheetId="2" hidden="1">{#N/A,#N/A,FALSE,"Plan1";#N/A,#N/A,FALSE,"Plan2"}</definedName>
    <definedName name="jkhsdzjkfyiu" localSheetId="0" hidden="1">{#N/A,#N/A,FALSE,"Plan1";#N/A,#N/A,FALSE,"Plan2"}</definedName>
    <definedName name="jkhsdzjkfyiu" hidden="1">{#N/A,#N/A,FALSE,"Plan1";#N/A,#N/A,FALSE,"Plan2"}</definedName>
    <definedName name="jkjsdkhfdhrf" localSheetId="2" hidden="1">{#N/A,#N/A,FALSE,"Plan1";#N/A,#N/A,FALSE,"Plan2"}</definedName>
    <definedName name="jkjsdkhfdhrf" localSheetId="0" hidden="1">{#N/A,#N/A,FALSE,"Plan1";#N/A,#N/A,FALSE,"Plan2"}</definedName>
    <definedName name="jkjsdkhfdhrf" hidden="1">{#N/A,#N/A,FALSE,"Plan1";#N/A,#N/A,FALSE,"Plan2"}</definedName>
    <definedName name="jklgfsjgtjtg" localSheetId="2" hidden="1">{#N/A,#N/A,FALSE,"Plan1";#N/A,#N/A,FALSE,"Plan2"}</definedName>
    <definedName name="jklgfsjgtjtg" localSheetId="0" hidden="1">{#N/A,#N/A,FALSE,"Plan1";#N/A,#N/A,FALSE,"Plan2"}</definedName>
    <definedName name="jklgfsjgtjtg" hidden="1">{#N/A,#N/A,FALSE,"Plan1";#N/A,#N/A,FALSE,"Plan2"}</definedName>
    <definedName name="jksldfjsdhf" localSheetId="2" hidden="1">{#N/A,#N/A,FALSE,"Plan1";#N/A,#N/A,FALSE,"Plan2"}</definedName>
    <definedName name="jksldfjsdhf" localSheetId="0" hidden="1">{#N/A,#N/A,FALSE,"Plan1";#N/A,#N/A,FALSE,"Plan2"}</definedName>
    <definedName name="jksldfjsdhf" hidden="1">{#N/A,#N/A,FALSE,"Plan1";#N/A,#N/A,FALSE,"Plan2"}</definedName>
    <definedName name="jkxhcjkhfr" localSheetId="2" hidden="1">{#N/A,#N/A,FALSE,"Plan1";#N/A,#N/A,FALSE,"Plan2"}</definedName>
    <definedName name="jkxhcjkhfr" localSheetId="0" hidden="1">{#N/A,#N/A,FALSE,"Plan1";#N/A,#N/A,FALSE,"Plan2"}</definedName>
    <definedName name="jkxhcjkhfr" hidden="1">{#N/A,#N/A,FALSE,"Plan1";#N/A,#N/A,FALSE,"Plan2"}</definedName>
    <definedName name="JNGCKFKJFGH" localSheetId="2" hidden="1">{#N/A,#N/A,FALSE,"Plan1";#N/A,#N/A,FALSE,"Plan2"}</definedName>
    <definedName name="JNGCKFKJFGH" localSheetId="0" hidden="1">{#N/A,#N/A,FALSE,"Plan1";#N/A,#N/A,FALSE,"Plan2"}</definedName>
    <definedName name="JNGCKFKJFGH" hidden="1">{#N/A,#N/A,FALSE,"Plan1";#N/A,#N/A,FALSE,"Plan2"}</definedName>
    <definedName name="JOALDO">#REF!</definedName>
    <definedName name="joao_cdi">#REF!</definedName>
    <definedName name="joao_hist">#REF!</definedName>
    <definedName name="joao_uss">#REF!</definedName>
    <definedName name="JREJRW" localSheetId="2" hidden="1">{#N/A,#N/A,FALSE,"Plan1";#N/A,#N/A,FALSE,"Plan2"}</definedName>
    <definedName name="JREJRW" localSheetId="0" hidden="1">{#N/A,#N/A,FALSE,"Plan1";#N/A,#N/A,FALSE,"Plan2"}</definedName>
    <definedName name="JREJRW" hidden="1">{#N/A,#N/A,FALSE,"Plan1";#N/A,#N/A,FALSE,"Plan2"}</definedName>
    <definedName name="JSADKAH" localSheetId="2" hidden="1">{"Econ Consolidado",#N/A,FALSE,"Econ Consol";"Fluxo de Caixa",#N/A,FALSE,"Fluxo Caixa";"Investimentos",#N/A,FALSE,"Investimentos"}</definedName>
    <definedName name="JSADKAH" localSheetId="0" hidden="1">{"Econ Consolidado",#N/A,FALSE,"Econ Consol";"Fluxo de Caixa",#N/A,FALSE,"Fluxo Caixa";"Investimentos",#N/A,FALSE,"Investimentos"}</definedName>
    <definedName name="JSADKAH" hidden="1">{"Econ Consolidado",#N/A,FALSE,"Econ Consol";"Fluxo de Caixa",#N/A,FALSE,"Fluxo Caixa";"Investimentos",#N/A,FALSE,"Investimentos"}</definedName>
    <definedName name="JSDAJRE" localSheetId="2" hidden="1">{#N/A,#N/A,FALSE,"Plan1";#N/A,#N/A,FALSE,"Plan2"}</definedName>
    <definedName name="JSDAJRE" localSheetId="0" hidden="1">{#N/A,#N/A,FALSE,"Plan1";#N/A,#N/A,FALSE,"Plan2"}</definedName>
    <definedName name="JSDAJRE" hidden="1">{#N/A,#N/A,FALSE,"Plan1";#N/A,#N/A,FALSE,"Plan2"}</definedName>
    <definedName name="jsdffse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localSheetId="2" hidden="1">{#N/A,#N/A,FALSE,"Plan1";#N/A,#N/A,FALSE,"Plan2"}</definedName>
    <definedName name="jsdfjgx" localSheetId="0" hidden="1">{#N/A,#N/A,FALSE,"Plan1";#N/A,#N/A,FALSE,"Plan2"}</definedName>
    <definedName name="jsdfjgx" hidden="1">{#N/A,#N/A,FALSE,"Plan1";#N/A,#N/A,FALSE,"Plan2"}</definedName>
    <definedName name="jsdfkgnfr" hidden="1">#REF!</definedName>
    <definedName name="jsdfsdfd" localSheetId="2" hidden="1">{#N/A,#N/A,FALSE,"Plan1";#N/A,#N/A,FALSE,"Plan2"}</definedName>
    <definedName name="jsdfsdfd" localSheetId="0" hidden="1">{#N/A,#N/A,FALSE,"Plan1";#N/A,#N/A,FALSE,"Plan2"}</definedName>
    <definedName name="jsdfsdfd" hidden="1">{#N/A,#N/A,FALSE,"Plan1";#N/A,#N/A,FALSE,"Plan2"}</definedName>
    <definedName name="jsdljficd" localSheetId="2" hidden="1">{#N/A,#N/A,FALSE,"Plan1";#N/A,#N/A,FALSE,"Plan2"}</definedName>
    <definedName name="jsdljficd" localSheetId="0" hidden="1">{#N/A,#N/A,FALSE,"Plan1";#N/A,#N/A,FALSE,"Plan2"}</definedName>
    <definedName name="jsdljficd" hidden="1">{#N/A,#N/A,FALSE,"Plan1";#N/A,#N/A,FALSE,"Plan2"}</definedName>
    <definedName name="JSDTLFJDRG" localSheetId="2" hidden="1">{#N/A,#N/A,FALSE,"Plan1";#N/A,#N/A,FALSE,"Plan2"}</definedName>
    <definedName name="JSDTLFJDRG" localSheetId="0" hidden="1">{#N/A,#N/A,FALSE,"Plan1";#N/A,#N/A,FALSE,"Plan2"}</definedName>
    <definedName name="JSDTLFJDRG" hidden="1">{#N/A,#N/A,FALSE,"Plan1";#N/A,#N/A,FALSE,"Plan2"}</definedName>
    <definedName name="jsfjsjferwea" localSheetId="2" hidden="1">{#N/A,#N/A,FALSE,"Plan1";#N/A,#N/A,FALSE,"Plan2"}</definedName>
    <definedName name="jsfjsjferwea" localSheetId="0" hidden="1">{#N/A,#N/A,FALSE,"Plan1";#N/A,#N/A,FALSE,"Plan2"}</definedName>
    <definedName name="jsfjsjferwea" hidden="1">{#N/A,#N/A,FALSE,"Plan1";#N/A,#N/A,FALSE,"Plan2"}</definedName>
    <definedName name="jslrjer" localSheetId="2" hidden="1">{#N/A,#N/A,FALSE,"Plan1";#N/A,#N/A,FALSE,"Plan2"}</definedName>
    <definedName name="jslrjer" localSheetId="0" hidden="1">{#N/A,#N/A,FALSE,"Plan1";#N/A,#N/A,FALSE,"Plan2"}</definedName>
    <definedName name="jslrjer" hidden="1">{#N/A,#N/A,FALSE,"Plan1";#N/A,#N/A,FALSE,"Plan2"}</definedName>
    <definedName name="juklhkhdf" localSheetId="2" hidden="1">{#N/A,#N/A,FALSE,"Plan1";#N/A,#N/A,FALSE,"Plan2"}</definedName>
    <definedName name="juklhkhdf" localSheetId="0" hidden="1">{#N/A,#N/A,FALSE,"Plan1";#N/A,#N/A,FALSE,"Plan2"}</definedName>
    <definedName name="juklhkhdf" hidden="1">{#N/A,#N/A,FALSE,"Plan1";#N/A,#N/A,FALSE,"Plan2"}</definedName>
    <definedName name="jul17RJ">#REF!</definedName>
    <definedName name="JULHO">#REF!</definedName>
    <definedName name="JULHO2001">#REF!</definedName>
    <definedName name="JULHO99" localSheetId="2" hidden="1">{#N/A,#N/A,TRUE,"Quinzena 01 à 15-04-98 "}</definedName>
    <definedName name="JULHO99" localSheetId="0" hidden="1">{#N/A,#N/A,TRUE,"Quinzena 01 à 15-04-98 "}</definedName>
    <definedName name="JULHO99" hidden="1">{#N/A,#N/A,TRUE,"Quinzena 01 à 15-04-98 "}</definedName>
    <definedName name="jun17RJ">#REF!</definedName>
    <definedName name="JUNHO">#REF!</definedName>
    <definedName name="JUNHO2001">#REF!</definedName>
    <definedName name="JurosTpMes">#REF!</definedName>
    <definedName name="jwekljd" localSheetId="2" hidden="1">{#N/A,#N/A,FALSE,"Plan1";#N/A,#N/A,FALSE,"Plan2"}</definedName>
    <definedName name="jwekljd" localSheetId="0" hidden="1">{#N/A,#N/A,FALSE,"Plan1";#N/A,#N/A,FALSE,"Plan2"}</definedName>
    <definedName name="jwekljd" hidden="1">{#N/A,#N/A,FALSE,"Plan1";#N/A,#N/A,FALSE,"Plan2"}</definedName>
    <definedName name="JWEOITORU5Y" localSheetId="2" hidden="1">{#N/A,#N/A,FALSE,"Plan1";#N/A,#N/A,FALSE,"Plan2"}</definedName>
    <definedName name="JWEOITORU5Y" localSheetId="0" hidden="1">{#N/A,#N/A,FALSE,"Plan1";#N/A,#N/A,FALSE,"Plan2"}</definedName>
    <definedName name="JWEOITORU5Y" hidden="1">{#N/A,#N/A,FALSE,"Plan1";#N/A,#N/A,FALSE,"Plan2"}</definedName>
    <definedName name="jxdfjsrf" localSheetId="2" hidden="1">{#N/A,#N/A,FALSE,"Plan1";#N/A,#N/A,FALSE,"Plan2"}</definedName>
    <definedName name="jxdfjsrf" localSheetId="0" hidden="1">{#N/A,#N/A,FALSE,"Plan1";#N/A,#N/A,FALSE,"Plan2"}</definedName>
    <definedName name="jxdfjsrf" hidden="1">{#N/A,#N/A,FALSE,"Plan1";#N/A,#N/A,FALSE,"Plan2"}</definedName>
    <definedName name="jxdklfjv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hidden="1">#REF!</definedName>
    <definedName name="jzsdjkszl" localSheetId="2" hidden="1">{#N/A,#N/A,FALSE,"Plan1";#N/A,#N/A,FALSE,"Plan2"}</definedName>
    <definedName name="jzsdjkszl" localSheetId="0" hidden="1">{#N/A,#N/A,FALSE,"Plan1";#N/A,#N/A,FALSE,"Plan2"}</definedName>
    <definedName name="jzsdjkszl" hidden="1">{#N/A,#N/A,FALSE,"Plan1";#N/A,#N/A,FALSE,"Plan2"}</definedName>
    <definedName name="JZXFKLJLDJF" localSheetId="2" hidden="1">{#N/A,#N/A,FALSE,"Plan1";#N/A,#N/A,FALSE,"Plan2"}</definedName>
    <definedName name="JZXFKLJLDJF" localSheetId="0" hidden="1">{#N/A,#N/A,FALSE,"Plan1";#N/A,#N/A,FALSE,"Plan2"}</definedName>
    <definedName name="JZXFKLJLDJF" hidden="1">{#N/A,#N/A,FALSE,"Plan1";#N/A,#N/A,FALSE,"Plan2"}</definedName>
    <definedName name="jzxklfdlvgfg" localSheetId="2" hidden="1">{#N/A,#N/A,FALSE,"Plan1";#N/A,#N/A,FALSE,"Plan2"}</definedName>
    <definedName name="jzxklfdlvgfg" localSheetId="0" hidden="1">{#N/A,#N/A,FALSE,"Plan1";#N/A,#N/A,FALSE,"Plan2"}</definedName>
    <definedName name="jzxklfdlvgfg" hidden="1">{#N/A,#N/A,FALSE,"Plan1";#N/A,#N/A,FALSE,"Plan2"}</definedName>
    <definedName name="k" localSheetId="2" hidden="1">{#N/A,#N/A,FALSE,"Plan1";#N/A,#N/A,FALSE,"Plan2"}</definedName>
    <definedName name="k" hidden="1">{#N/A,#N/A,FALSE,"Plan1";#N/A,#N/A,FALSE,"Plan2"}</definedName>
    <definedName name="K_1">#REF!</definedName>
    <definedName name="kaedkroswr" localSheetId="2" hidden="1">{"Econ Consolidado",#N/A,FALSE,"Econ Consol";"Fluxo de Caixa",#N/A,FALSE,"Fluxo Caixa";"Investimentos",#N/A,FALSE,"Investimentos"}</definedName>
    <definedName name="kaedkroswr" localSheetId="0" hidden="1">{"Econ Consolidado",#N/A,FALSE,"Econ Consol";"Fluxo de Caixa",#N/A,FALSE,"Fluxo Caixa";"Investimentos",#N/A,FALSE,"Investimentos"}</definedName>
    <definedName name="kaedkroswr" hidden="1">{"Econ Consolidado",#N/A,FALSE,"Econ Consol";"Fluxo de Caixa",#N/A,FALSE,"Fluxo Caixa";"Investimentos",#N/A,FALSE,"Investimentos"}</definedName>
    <definedName name="kapa">#REF!</definedName>
    <definedName name="kç\lKçaksdçaqew" localSheetId="2" hidden="1">{#N/A,#N/A,FALSE,"Plan1";#N/A,#N/A,FALSE,"Plan2"}</definedName>
    <definedName name="kç\lKçaksdçaqew" localSheetId="0" hidden="1">{#N/A,#N/A,FALSE,"Plan1";#N/A,#N/A,FALSE,"Plan2"}</definedName>
    <definedName name="kç\lKçaksdçaqew" hidden="1">{#N/A,#N/A,FALSE,"Plan1";#N/A,#N/A,FALSE,"Plan2"}</definedName>
    <definedName name="kçdasekr" localSheetId="2" hidden="1">{#N/A,#N/A,FALSE,"Plan1";#N/A,#N/A,FALSE,"Plan2"}</definedName>
    <definedName name="kçdasekr" localSheetId="0" hidden="1">{#N/A,#N/A,FALSE,"Plan1";#N/A,#N/A,FALSE,"Plan2"}</definedName>
    <definedName name="kçdasekr" hidden="1">{#N/A,#N/A,FALSE,"Plan1";#N/A,#N/A,FALSE,"Plan2"}</definedName>
    <definedName name="kçfdljtredr" localSheetId="2" hidden="1">{#N/A,#N/A,FALSE,"Plan1";#N/A,#N/A,FALSE,"Plan2"}</definedName>
    <definedName name="kçfdljtredr" localSheetId="0" hidden="1">{#N/A,#N/A,FALSE,"Plan1";#N/A,#N/A,FALSE,"Plan2"}</definedName>
    <definedName name="kçfdljtredr" hidden="1">{#N/A,#N/A,FALSE,"Plan1";#N/A,#N/A,FALSE,"Plan2"}</definedName>
    <definedName name="KCIVIL">#REF!</definedName>
    <definedName name="kclçkglf" localSheetId="2" hidden="1">{#N/A,#N/A,FALSE,"Plan1";#N/A,#N/A,FALSE,"Plan2"}</definedName>
    <definedName name="kclçkglf" localSheetId="0" hidden="1">{#N/A,#N/A,FALSE,"Plan1";#N/A,#N/A,FALSE,"Plan2"}</definedName>
    <definedName name="kclçkglf" hidden="1">{#N/A,#N/A,FALSE,"Plan1";#N/A,#N/A,FALSE,"Plan2"}</definedName>
    <definedName name="kçlkasçkere" localSheetId="2" hidden="1">{#N/A,#N/A,FALSE,"Plan1";#N/A,#N/A,FALSE,"Plan2"}</definedName>
    <definedName name="kçlkasçkere" localSheetId="0" hidden="1">{#N/A,#N/A,FALSE,"Plan1";#N/A,#N/A,FALSE,"Plan2"}</definedName>
    <definedName name="kçlkasçkere" hidden="1">{#N/A,#N/A,FALSE,"Plan1";#N/A,#N/A,FALSE,"Plan2"}</definedName>
    <definedName name="kdfbngtjkbf" localSheetId="2" hidden="1">{#N/A,#N/A,FALSE,"Plan1";#N/A,#N/A,FALSE,"Plan2"}</definedName>
    <definedName name="kdfbngtjkbf" localSheetId="0" hidden="1">{#N/A,#N/A,FALSE,"Plan1";#N/A,#N/A,FALSE,"Plan2"}</definedName>
    <definedName name="kdfbngtjkbf" hidden="1">{#N/A,#N/A,FALSE,"Plan1";#N/A,#N/A,FALSE,"Plan2"}</definedName>
    <definedName name="kdfhkghkrh" localSheetId="2" hidden="1">{#N/A,#N/A,FALSE,"Plan1";#N/A,#N/A,FALSE,"Plan2"}</definedName>
    <definedName name="kdfhkghkrh" localSheetId="0" hidden="1">{#N/A,#N/A,FALSE,"Plan1";#N/A,#N/A,FALSE,"Plan2"}</definedName>
    <definedName name="kdfhkghkrh" hidden="1">{#N/A,#N/A,FALSE,"Plan1";#N/A,#N/A,FALSE,"Plan2"}</definedName>
    <definedName name="kdfiere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localSheetId="2" hidden="1">{#N/A,#N/A,FALSE,"Plan1";#N/A,#N/A,FALSE,"Plan2"}</definedName>
    <definedName name="kdfkçrkf" localSheetId="0" hidden="1">{#N/A,#N/A,FALSE,"Plan1";#N/A,#N/A,FALSE,"Plan2"}</definedName>
    <definedName name="kdfkçrkf" hidden="1">{#N/A,#N/A,FALSE,"Plan1";#N/A,#N/A,FALSE,"Plan2"}</definedName>
    <definedName name="kdfljlfr" localSheetId="2" hidden="1">{#N/A,#N/A,FALSE,"Plan1";#N/A,#N/A,FALSE,"Plan2"}</definedName>
    <definedName name="kdfljlfr" localSheetId="0" hidden="1">{#N/A,#N/A,FALSE,"Plan1";#N/A,#N/A,FALSE,"Plan2"}</definedName>
    <definedName name="kdfljlfr" hidden="1">{#N/A,#N/A,FALSE,"Plan1";#N/A,#N/A,FALSE,"Plan2"}</definedName>
    <definedName name="kdhfgkdfhytgu" localSheetId="2" hidden="1">{#N/A,#N/A,FALSE,"Plan1";#N/A,#N/A,FALSE,"Plan2"}</definedName>
    <definedName name="kdhfgkdfhytgu" localSheetId="0" hidden="1">{#N/A,#N/A,FALSE,"Plan1";#N/A,#N/A,FALSE,"Plan2"}</definedName>
    <definedName name="kdhfgkdfhytgu" hidden="1">{#N/A,#N/A,FALSE,"Plan1";#N/A,#N/A,FALSE,"Plan2"}</definedName>
    <definedName name="kdhgftfg" localSheetId="2" hidden="1">{#N/A,#N/A,FALSE,"Plan1";#N/A,#N/A,FALSE,"Plan2"}</definedName>
    <definedName name="kdhgftfg" localSheetId="0" hidden="1">{#N/A,#N/A,FALSE,"Plan1";#N/A,#N/A,FALSE,"Plan2"}</definedName>
    <definedName name="kdhgftfg" hidden="1">{#N/A,#N/A,FALSE,"Plan1";#N/A,#N/A,FALSE,"Plan2"}</definedName>
    <definedName name="KDHKFGKKHGF" localSheetId="2" hidden="1">{#N/A,#N/A,FALSE,"Plan1";#N/A,#N/A,FALSE,"Plan2"}</definedName>
    <definedName name="KDHKFGKKHGF" localSheetId="0" hidden="1">{#N/A,#N/A,FALSE,"Plan1";#N/A,#N/A,FALSE,"Plan2"}</definedName>
    <definedName name="KDHKFGKKHGF" hidden="1">{#N/A,#N/A,FALSE,"Plan1";#N/A,#N/A,FALSE,"Plan2"}</definedName>
    <definedName name="kdjfdr" hidden="1">#REF!</definedName>
    <definedName name="kdjgkfjgd" localSheetId="2" hidden="1">{#N/A,#N/A,FALSE,"Plan1";#N/A,#N/A,FALSE,"Plan2"}</definedName>
    <definedName name="kdjgkfjgd" localSheetId="0" hidden="1">{#N/A,#N/A,FALSE,"Plan1";#N/A,#N/A,FALSE,"Plan2"}</definedName>
    <definedName name="kdjgkfjgd" hidden="1">{#N/A,#N/A,FALSE,"Plan1";#N/A,#N/A,FALSE,"Plan2"}</definedName>
    <definedName name="kdjglkdlgjd" localSheetId="2" hidden="1">{#N/A,#N/A,FALSE,"Plan1";#N/A,#N/A,FALSE,"Plan2"}</definedName>
    <definedName name="kdjglkdlgjd" localSheetId="0" hidden="1">{#N/A,#N/A,FALSE,"Plan1";#N/A,#N/A,FALSE,"Plan2"}</definedName>
    <definedName name="kdjglkdlgjd" hidden="1">{#N/A,#N/A,FALSE,"Plan1";#N/A,#N/A,FALSE,"Plan2"}</definedName>
    <definedName name="kdjsfkldjgkty" localSheetId="2" hidden="1">{#N/A,#N/A,FALSE,"Plan1";#N/A,#N/A,FALSE,"Plan2"}</definedName>
    <definedName name="kdjsfkldjgkty" localSheetId="0" hidden="1">{#N/A,#N/A,FALSE,"Plan1";#N/A,#N/A,FALSE,"Plan2"}</definedName>
    <definedName name="kdjsfkldjgkty" hidden="1">{#N/A,#N/A,FALSE,"Plan1";#N/A,#N/A,FALSE,"Plan2"}</definedName>
    <definedName name="KDJU" localSheetId="2" hidden="1">{"'장비'!$A$3:$M$12"}</definedName>
    <definedName name="KDJU" localSheetId="0" hidden="1">{"'장비'!$A$3:$M$12"}</definedName>
    <definedName name="KDJU" hidden="1">{"'장비'!$A$3:$M$12"}</definedName>
    <definedName name="kdkjhgdkfhjk" localSheetId="2" hidden="1">{#N/A,#N/A,FALSE,"Plan1";#N/A,#N/A,FALSE,"Plan2"}</definedName>
    <definedName name="kdkjhgdkfhjk" localSheetId="0" hidden="1">{#N/A,#N/A,FALSE,"Plan1";#N/A,#N/A,FALSE,"Plan2"}</definedName>
    <definedName name="kdkjhgdkfhjk" hidden="1">{#N/A,#N/A,FALSE,"Plan1";#N/A,#N/A,FALSE,"Plan2"}</definedName>
    <definedName name="kdsf" localSheetId="2" hidden="1">{#N/A,#N/A,FALSE,"Plan1";#N/A,#N/A,FALSE,"Plan2"}</definedName>
    <definedName name="kdsf" localSheetId="0" hidden="1">{#N/A,#N/A,FALSE,"Plan1";#N/A,#N/A,FALSE,"Plan2"}</definedName>
    <definedName name="kdsf" hidden="1">{#N/A,#N/A,FALSE,"Plan1";#N/A,#N/A,FALSE,"Plan2"}</definedName>
    <definedName name="kdsr" localSheetId="2" hidden="1">{#N/A,#N/A,FALSE,"Plan1";#N/A,#N/A,FALSE,"Plan2"}</definedName>
    <definedName name="kdsr" localSheetId="0" hidden="1">{#N/A,#N/A,FALSE,"Plan1";#N/A,#N/A,FALSE,"Plan2"}</definedName>
    <definedName name="kdsr" hidden="1">{#N/A,#N/A,FALSE,"Plan1";#N/A,#N/A,FALSE,"Plan2"}</definedName>
    <definedName name="kergtfdstr" localSheetId="2" hidden="1">{#N/A,#N/A,FALSE,"Plan1";#N/A,#N/A,FALSE,"Plan2"}</definedName>
    <definedName name="kergtfdstr" localSheetId="0" hidden="1">{#N/A,#N/A,FALSE,"Plan1";#N/A,#N/A,FALSE,"Plan2"}</definedName>
    <definedName name="kergtfdstr" hidden="1">{#N/A,#N/A,FALSE,"Plan1";#N/A,#N/A,FALSE,"Plan2"}</definedName>
    <definedName name="kesp">#REF!</definedName>
    <definedName name="KFDKTHGT" localSheetId="2" hidden="1">{#N/A,#N/A,FALSE,"Plan1";#N/A,#N/A,FALSE,"Plan2"}</definedName>
    <definedName name="KFDKTHGT" localSheetId="0" hidden="1">{#N/A,#N/A,FALSE,"Plan1";#N/A,#N/A,FALSE,"Plan2"}</definedName>
    <definedName name="KFDKTHGT" hidden="1">{#N/A,#N/A,FALSE,"Plan1";#N/A,#N/A,FALSE,"Plan2"}</definedName>
    <definedName name="kfdxlfdzs" localSheetId="2" hidden="1">{"Econ Consolidado",#N/A,FALSE,"Econ Consol";"Fluxo de Caixa",#N/A,FALSE,"Fluxo Caixa";"Investimentos",#N/A,FALSE,"Investimentos"}</definedName>
    <definedName name="kfdxlfdzs" localSheetId="0" hidden="1">{"Econ Consolidado",#N/A,FALSE,"Econ Consol";"Fluxo de Caixa",#N/A,FALSE,"Fluxo Caixa";"Investimentos",#N/A,FALSE,"Investimentos"}</definedName>
    <definedName name="kfdxlfdzs" hidden="1">{"Econ Consolidado",#N/A,FALSE,"Econ Consol";"Fluxo de Caixa",#N/A,FALSE,"Fluxo Caixa";"Investimentos",#N/A,FALSE,"Investimentos"}</definedName>
    <definedName name="kfgkhjkjhy" localSheetId="2" hidden="1">{#N/A,#N/A,FALSE,"Plan1";#N/A,#N/A,FALSE,"Plan2"}</definedName>
    <definedName name="kfgkhjkjhy" localSheetId="0" hidden="1">{#N/A,#N/A,FALSE,"Plan1";#N/A,#N/A,FALSE,"Plan2"}</definedName>
    <definedName name="kfgkhjkjhy" hidden="1">{#N/A,#N/A,FALSE,"Plan1";#N/A,#N/A,FALSE,"Plan2"}</definedName>
    <definedName name="KFJFDSDF" localSheetId="2" hidden="1">{#N/A,#N/A,FALSE,"Plan1";#N/A,#N/A,FALSE,"Plan2"}</definedName>
    <definedName name="KFJFDSDF" localSheetId="0" hidden="1">{#N/A,#N/A,FALSE,"Plan1";#N/A,#N/A,FALSE,"Plan2"}</definedName>
    <definedName name="KFJFDSDF" hidden="1">{#N/A,#N/A,FALSE,"Plan1";#N/A,#N/A,FALSE,"Plan2"}</definedName>
    <definedName name="kfnkeasd" localSheetId="2" hidden="1">{#N/A,#N/A,FALSE,"Plan1";#N/A,#N/A,FALSE,"Plan2"}</definedName>
    <definedName name="kfnkeasd" localSheetId="0" hidden="1">{#N/A,#N/A,FALSE,"Plan1";#N/A,#N/A,FALSE,"Plan2"}</definedName>
    <definedName name="kfnkeasd" hidden="1">{#N/A,#N/A,FALSE,"Plan1";#N/A,#N/A,FALSE,"Plan2"}</definedName>
    <definedName name="khdjkfkjhtg" localSheetId="2" hidden="1">{#N/A,#N/A,FALSE,"Plan1";#N/A,#N/A,FALSE,"Plan2"}</definedName>
    <definedName name="khdjkfkjhtg" localSheetId="0" hidden="1">{#N/A,#N/A,FALSE,"Plan1";#N/A,#N/A,FALSE,"Plan2"}</definedName>
    <definedName name="khdjkfkjhtg" hidden="1">{#N/A,#N/A,FALSE,"Plan1";#N/A,#N/A,FALSE,"Plan2"}</definedName>
    <definedName name="khdkfjhhfsdg" localSheetId="2" hidden="1">{#N/A,#N/A,FALSE,"Plan1";#N/A,#N/A,FALSE,"Plan2"}</definedName>
    <definedName name="khdkfjhhfsdg" localSheetId="0" hidden="1">{#N/A,#N/A,FALSE,"Plan1";#N/A,#N/A,FALSE,"Plan2"}</definedName>
    <definedName name="khdkfjhhfsdg" hidden="1">{#N/A,#N/A,FALSE,"Plan1";#N/A,#N/A,FALSE,"Plan2"}</definedName>
    <definedName name="khdkjfhgudytu" localSheetId="2" hidden="1">{#N/A,#N/A,FALSE,"Plan1";#N/A,#N/A,FALSE,"Plan2"}</definedName>
    <definedName name="khdkjfhgudytu" localSheetId="0" hidden="1">{#N/A,#N/A,FALSE,"Plan1";#N/A,#N/A,FALSE,"Plan2"}</definedName>
    <definedName name="khdkjfhgudytu" hidden="1">{#N/A,#N/A,FALSE,"Plan1";#N/A,#N/A,FALSE,"Plan2"}</definedName>
    <definedName name="khfdghhhgd" localSheetId="2" hidden="1">{#N/A,#N/A,FALSE,"Plan1";#N/A,#N/A,FALSE,"Plan2"}</definedName>
    <definedName name="khfdghhhgd" localSheetId="0" hidden="1">{#N/A,#N/A,FALSE,"Plan1";#N/A,#N/A,FALSE,"Plan2"}</definedName>
    <definedName name="khfdghhhgd" hidden="1">{#N/A,#N/A,FALSE,"Plan1";#N/A,#N/A,FALSE,"Plan2"}</definedName>
    <definedName name="khfdkjhsdjf" localSheetId="2" hidden="1">{#N/A,#N/A,FALSE,"Plan1";#N/A,#N/A,FALSE,"Plan2"}</definedName>
    <definedName name="khfdkjhsdjf" localSheetId="0" hidden="1">{#N/A,#N/A,FALSE,"Plan1";#N/A,#N/A,FALSE,"Plan2"}</definedName>
    <definedName name="khfdkjhsdjf" hidden="1">{#N/A,#N/A,FALSE,"Plan1";#N/A,#N/A,FALSE,"Plan2"}</definedName>
    <definedName name="khgdkftfy" localSheetId="2" hidden="1">{#N/A,#N/A,FALSE,"Plan1";#N/A,#N/A,FALSE,"Plan2"}</definedName>
    <definedName name="khgdkftfy" localSheetId="0" hidden="1">{#N/A,#N/A,FALSE,"Plan1";#N/A,#N/A,FALSE,"Plan2"}</definedName>
    <definedName name="khgdkftfy" hidden="1">{#N/A,#N/A,FALSE,"Plan1";#N/A,#N/A,FALSE,"Plan2"}</definedName>
    <definedName name="khgfhhtuhf" localSheetId="2" hidden="1">{#N/A,#N/A,FALSE,"Plan1";#N/A,#N/A,FALSE,"Plan2"}</definedName>
    <definedName name="khgfhhtuhf" localSheetId="0" hidden="1">{#N/A,#N/A,FALSE,"Plan1";#N/A,#N/A,FALSE,"Plan2"}</definedName>
    <definedName name="khgfhhtuhf" hidden="1">{#N/A,#N/A,FALSE,"Plan1";#N/A,#N/A,FALSE,"Plan2"}</definedName>
    <definedName name="khjkh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localSheetId="2" hidden="1">{#N/A,#N/A,FALSE,"Plan1";#N/A,#N/A,FALSE,"Plan2"}</definedName>
    <definedName name="KHJKLSDF" localSheetId="0" hidden="1">{#N/A,#N/A,FALSE,"Plan1";#N/A,#N/A,FALSE,"Plan2"}</definedName>
    <definedName name="KHJKLSDF" hidden="1">{#N/A,#N/A,FALSE,"Plan1";#N/A,#N/A,FALSE,"Plan2"}</definedName>
    <definedName name="kieret" localSheetId="2" hidden="1">{#N/A,#N/A,FALSE,"Plan1";#N/A,#N/A,FALSE,"Plan2"}</definedName>
    <definedName name="kieret" localSheetId="0" hidden="1">{#N/A,#N/A,FALSE,"Plan1";#N/A,#N/A,FALSE,"Plan2"}</definedName>
    <definedName name="kieret" hidden="1">{#N/A,#N/A,FALSE,"Plan1";#N/A,#N/A,FALSE,"Plan2"}</definedName>
    <definedName name="kiweokwr" hidden="1">#REF!</definedName>
    <definedName name="kjchkfhsezk" localSheetId="2" hidden="1">{#N/A,#N/A,FALSE,"Plan1";#N/A,#N/A,FALSE,"Plan2"}</definedName>
    <definedName name="kjchkfhsezk" localSheetId="0" hidden="1">{#N/A,#N/A,FALSE,"Plan1";#N/A,#N/A,FALSE,"Plan2"}</definedName>
    <definedName name="kjchkfhsezk" hidden="1">{#N/A,#N/A,FALSE,"Plan1";#N/A,#N/A,FALSE,"Plan2"}</definedName>
    <definedName name="kjdghksef" localSheetId="2" hidden="1">{#N/A,#N/A,FALSE,"Plan1";#N/A,#N/A,FALSE,"Plan2"}</definedName>
    <definedName name="kjdghksef" localSheetId="0" hidden="1">{#N/A,#N/A,FALSE,"Plan1";#N/A,#N/A,FALSE,"Plan2"}</definedName>
    <definedName name="kjdghksef" hidden="1">{#N/A,#N/A,FALSE,"Plan1";#N/A,#N/A,FALSE,"Plan2"}</definedName>
    <definedName name="kjdkftyhtert" localSheetId="2" hidden="1">{#N/A,#N/A,FALSE,"Plan1";#N/A,#N/A,FALSE,"Plan2"}</definedName>
    <definedName name="kjdkftyhtert" localSheetId="0" hidden="1">{#N/A,#N/A,FALSE,"Plan1";#N/A,#N/A,FALSE,"Plan2"}</definedName>
    <definedName name="kjdkftyhtert" hidden="1">{#N/A,#N/A,FALSE,"Plan1";#N/A,#N/A,FALSE,"Plan2"}</definedName>
    <definedName name="kjdlfkjds" localSheetId="2" hidden="1">{#N/A,#N/A,FALSE,"Plan1";#N/A,#N/A,FALSE,"Plan2"}</definedName>
    <definedName name="kjdlfkjds" localSheetId="0" hidden="1">{#N/A,#N/A,FALSE,"Plan1";#N/A,#N/A,FALSE,"Plan2"}</definedName>
    <definedName name="kjdlfkjds" hidden="1">{#N/A,#N/A,FALSE,"Plan1";#N/A,#N/A,FALSE,"Plan2"}</definedName>
    <definedName name="kjdzhfytrfy" localSheetId="2" hidden="1">{#N/A,#N/A,FALSE,"Plan1";#N/A,#N/A,FALSE,"Plan2"}</definedName>
    <definedName name="kjdzhfytrfy" localSheetId="0" hidden="1">{#N/A,#N/A,FALSE,"Plan1";#N/A,#N/A,FALSE,"Plan2"}</definedName>
    <definedName name="kjdzhfytrfy" hidden="1">{#N/A,#N/A,FALSE,"Plan1";#N/A,#N/A,FALSE,"Plan2"}</definedName>
    <definedName name="kjhdfgjthdft" localSheetId="2" hidden="1">{#N/A,#N/A,FALSE,"Plan1";#N/A,#N/A,FALSE,"Plan2"}</definedName>
    <definedName name="kjhdfgjthdft" localSheetId="0" hidden="1">{#N/A,#N/A,FALSE,"Plan1";#N/A,#N/A,FALSE,"Plan2"}</definedName>
    <definedName name="kjhdfgjthdft" hidden="1">{#N/A,#N/A,FALSE,"Plan1";#N/A,#N/A,FALSE,"Plan2"}</definedName>
    <definedName name="kjhsdfk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localSheetId="2" hidden="1">{#N/A,#N/A,FALSE,"Plan1";#N/A,#N/A,FALSE,"Plan2"}</definedName>
    <definedName name="kjhsiorf" localSheetId="0" hidden="1">{#N/A,#N/A,FALSE,"Plan1";#N/A,#N/A,FALSE,"Plan2"}</definedName>
    <definedName name="kjhsiorf" hidden="1">{#N/A,#N/A,FALSE,"Plan1";#N/A,#N/A,FALSE,"Plan2"}</definedName>
    <definedName name="KJ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localSheetId="2" hidden="1">{#N/A,#N/A,FALSE,"Plan1";#N/A,#N/A,FALSE,"Plan2"}</definedName>
    <definedName name="kjjwww" localSheetId="0" hidden="1">{#N/A,#N/A,FALSE,"Plan1";#N/A,#N/A,FALSE,"Plan2"}</definedName>
    <definedName name="kjjwww" hidden="1">{#N/A,#N/A,FALSE,"Plan1";#N/A,#N/A,FALSE,"Plan2"}</definedName>
    <definedName name="kjl" localSheetId="2" hidden="1">{#N/A,#N/A,FALSE,"ENG'G(보호계전기)"}</definedName>
    <definedName name="kjl" localSheetId="0" hidden="1">{#N/A,#N/A,FALSE,"ENG'G(보호계전기)"}</definedName>
    <definedName name="kjl" hidden="1">{#N/A,#N/A,FALSE,"ENG'G(보호계전기)"}</definedName>
    <definedName name="KJOI" localSheetId="2" hidden="1">{#N/A,#N/A,FALSE,"Plan1";#N/A,#N/A,FALSE,"Plan2"}</definedName>
    <definedName name="KJOI" localSheetId="0" hidden="1">{#N/A,#N/A,FALSE,"Plan1";#N/A,#N/A,FALSE,"Plan2"}</definedName>
    <definedName name="KJOI" hidden="1">{#N/A,#N/A,FALSE,"Plan1";#N/A,#N/A,FALSE,"Plan2"}</definedName>
    <definedName name="kjqwerw" localSheetId="2" hidden="1">{#N/A,#N/A,FALSE,"Plan1";#N/A,#N/A,FALSE,"Plan2"}</definedName>
    <definedName name="kjqwerw" localSheetId="0" hidden="1">{#N/A,#N/A,FALSE,"Plan1";#N/A,#N/A,FALSE,"Plan2"}</definedName>
    <definedName name="kjqwerw" hidden="1">{#N/A,#N/A,FALSE,"Plan1";#N/A,#N/A,FALSE,"Plan2"}</definedName>
    <definedName name="kjsfert" localSheetId="2" hidden="1">{#N/A,#N/A,FALSE,"Plan1";#N/A,#N/A,FALSE,"Plan2"}</definedName>
    <definedName name="kjsfert" localSheetId="0" hidden="1">{#N/A,#N/A,FALSE,"Plan1";#N/A,#N/A,FALSE,"Plan2"}</definedName>
    <definedName name="kjsfert" hidden="1">{#N/A,#N/A,FALSE,"Plan1";#N/A,#N/A,FALSE,"Plan2"}</definedName>
    <definedName name="KJXCFKR" localSheetId="2" hidden="1">{#N/A,#N/A,FALSE,"Plan1";#N/A,#N/A,FALSE,"Plan2"}</definedName>
    <definedName name="KJXCFKR" localSheetId="0" hidden="1">{#N/A,#N/A,FALSE,"Plan1";#N/A,#N/A,FALSE,"Plan2"}</definedName>
    <definedName name="KJXCFKR" hidden="1">{#N/A,#N/A,FALSE,"Plan1";#N/A,#N/A,FALSE,"Plan2"}</definedName>
    <definedName name="KJXDFD" localSheetId="2" hidden="1">{#N/A,#N/A,FALSE,"Plan1";#N/A,#N/A,FALSE,"Plan2"}</definedName>
    <definedName name="KJXDFD" localSheetId="0" hidden="1">{#N/A,#N/A,FALSE,"Plan1";#N/A,#N/A,FALSE,"Plan2"}</definedName>
    <definedName name="KJXDFD" hidden="1">{#N/A,#N/A,FALSE,"Plan1";#N/A,#N/A,FALSE,"Plan2"}</definedName>
    <definedName name="kjydhfkjghkjfh" hidden="1">#REF!</definedName>
    <definedName name="kk">#REF!</definedName>
    <definedName name="kk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localSheetId="2" hidden="1">{#N/A,#N/A,FALSE,"Plan1";#N/A,#N/A,FALSE,"Plan2"}</definedName>
    <definedName name="kkk" localSheetId="0" hidden="1">{#N/A,#N/A,FALSE,"Plan1";#N/A,#N/A,FALSE,"Plan2"}</definedName>
    <definedName name="kkk" hidden="1">{#N/A,#N/A,FALSE,"Plan1";#N/A,#N/A,FALSE,"Plan2"}</definedName>
    <definedName name="kkkkk" localSheetId="2" hidden="1">{#N/A,#N/A,FALSE,"Plan1";#N/A,#N/A,FALSE,"Plan2"}</definedName>
    <definedName name="kkkkk" localSheetId="0" hidden="1">{#N/A,#N/A,FALSE,"Plan1";#N/A,#N/A,FALSE,"Plan2"}</definedName>
    <definedName name="kkkkk" hidden="1">{#N/A,#N/A,FALSE,"Plan1";#N/A,#N/A,FALSE,"Plan2"}</definedName>
    <definedName name="kkkkkk" localSheetId="2" hidden="1">{#N/A,#N/A,FALSE,"Plan1";#N/A,#N/A,FALSE,"Plan2"}</definedName>
    <definedName name="kkkkkk" localSheetId="0" hidden="1">{#N/A,#N/A,FALSE,"Plan1";#N/A,#N/A,FALSE,"Plan2"}</definedName>
    <definedName name="kkkkkk" hidden="1">{#N/A,#N/A,FALSE,"Plan1";#N/A,#N/A,FALSE,"Plan2"}</definedName>
    <definedName name="kko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localSheetId="2" hidden="1">{#N/A,#N/A,FALSE,"Plan1";#N/A,#N/A,FALSE,"Plan2"}</definedName>
    <definedName name="kksaklçer" localSheetId="0" hidden="1">{#N/A,#N/A,FALSE,"Plan1";#N/A,#N/A,FALSE,"Plan2"}</definedName>
    <definedName name="kksaklçer" hidden="1">{#N/A,#N/A,FALSE,"Plan1";#N/A,#N/A,FALSE,"Plan2"}</definedName>
    <definedName name="kksarde" localSheetId="2" hidden="1">{#N/A,#N/A,FALSE,"Plan1";#N/A,#N/A,FALSE,"Plan2"}</definedName>
    <definedName name="kksarde" localSheetId="0" hidden="1">{#N/A,#N/A,FALSE,"Plan1";#N/A,#N/A,FALSE,"Plan2"}</definedName>
    <definedName name="kksarde" hidden="1">{#N/A,#N/A,FALSE,"Plan1";#N/A,#N/A,FALSE,"Plan2"}</definedName>
    <definedName name="klaskldjsw" localSheetId="2" hidden="1">{#N/A,#N/A,FALSE,"Plan1";#N/A,#N/A,FALSE,"Plan2"}</definedName>
    <definedName name="klaskldjsw" localSheetId="0" hidden="1">{#N/A,#N/A,FALSE,"Plan1";#N/A,#N/A,FALSE,"Plan2"}</definedName>
    <definedName name="klaskldjsw" hidden="1">{#N/A,#N/A,FALSE,"Plan1";#N/A,#N/A,FALSE,"Plan2"}</definedName>
    <definedName name="klçkop" localSheetId="2" hidden="1">{#N/A,#N/A,FALSE,"Plan1";#N/A,#N/A,FALSE,"Plan2"}</definedName>
    <definedName name="klçkop" localSheetId="0" hidden="1">{#N/A,#N/A,FALSE,"Plan1";#N/A,#N/A,FALSE,"Plan2"}</definedName>
    <definedName name="klçkop" hidden="1">{#N/A,#N/A,FALSE,"Plan1";#N/A,#N/A,FALSE,"Plan2"}</definedName>
    <definedName name="KLDFNTRDT" localSheetId="2" hidden="1">{#N/A,#N/A,FALSE,"Plan1";#N/A,#N/A,FALSE,"Plan2"}</definedName>
    <definedName name="KLDFNTRDT" localSheetId="0" hidden="1">{#N/A,#N/A,FALSE,"Plan1";#N/A,#N/A,FALSE,"Plan2"}</definedName>
    <definedName name="KLDFNTRDT" hidden="1">{#N/A,#N/A,FALSE,"Plan1";#N/A,#N/A,FALSE,"Plan2"}</definedName>
    <definedName name="klhjsdklhdf" localSheetId="2" hidden="1">{#N/A,#N/A,FALSE,"Plan1";#N/A,#N/A,FALSE,"Plan2"}</definedName>
    <definedName name="klhjsdklhdf" localSheetId="0" hidden="1">{#N/A,#N/A,FALSE,"Plan1";#N/A,#N/A,FALSE,"Plan2"}</definedName>
    <definedName name="klhjsdklhdf" hidden="1">{#N/A,#N/A,FALSE,"Plan1";#N/A,#N/A,FALSE,"Plan2"}</definedName>
    <definedName name="KLHSKLRHWE" localSheetId="2" hidden="1">{#N/A,#N/A,FALSE,"Plan1";#N/A,#N/A,FALSE,"Plan2"}</definedName>
    <definedName name="KLHSKLRHWE" localSheetId="0" hidden="1">{#N/A,#N/A,FALSE,"Plan1";#N/A,#N/A,FALSE,"Plan2"}</definedName>
    <definedName name="KLHSKLRHWE" hidden="1">{#N/A,#N/A,FALSE,"Plan1";#N/A,#N/A,FALSE,"Plan2"}</definedName>
    <definedName name="KLJASKJD" localSheetId="2" hidden="1">{#N/A,#N/A,FALSE,"Plan1";#N/A,#N/A,FALSE,"Plan2"}</definedName>
    <definedName name="KLJASKJD" localSheetId="0" hidden="1">{#N/A,#N/A,FALSE,"Plan1";#N/A,#N/A,FALSE,"Plan2"}</definedName>
    <definedName name="KLJASKJD" hidden="1">{#N/A,#N/A,FALSE,"Plan1";#N/A,#N/A,FALSE,"Plan2"}</definedName>
    <definedName name="KLJDXL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localSheetId="2" hidden="1">{#N/A,#N/A,FALSE,"Plan1";#N/A,#N/A,FALSE,"Plan2"}</definedName>
    <definedName name="kljeflwr" localSheetId="0" hidden="1">{#N/A,#N/A,FALSE,"Plan1";#N/A,#N/A,FALSE,"Plan2"}</definedName>
    <definedName name="kljeflwr" hidden="1">{#N/A,#N/A,FALSE,"Plan1";#N/A,#N/A,FALSE,"Plan2"}</definedName>
    <definedName name="kljflgjrf" localSheetId="2" hidden="1">{#N/A,#N/A,FALSE,"Plan1";#N/A,#N/A,FALSE,"Plan2"}</definedName>
    <definedName name="kljflgjrf" localSheetId="0" hidden="1">{#N/A,#N/A,FALSE,"Plan1";#N/A,#N/A,FALSE,"Plan2"}</definedName>
    <definedName name="kljflgjrf" hidden="1">{#N/A,#N/A,FALSE,"Plan1";#N/A,#N/A,FALSE,"Plan2"}</definedName>
    <definedName name="kljgfdfr" localSheetId="2" hidden="1">{#N/A,#N/A,FALSE,"Plan1";#N/A,#N/A,FALSE,"Plan2"}</definedName>
    <definedName name="kljgfdfr" localSheetId="0" hidden="1">{#N/A,#N/A,FALSE,"Plan1";#N/A,#N/A,FALSE,"Plan2"}</definedName>
    <definedName name="kljgfdfr" hidden="1">{#N/A,#N/A,FALSE,"Plan1";#N/A,#N/A,FALSE,"Plan2"}</definedName>
    <definedName name="kljgfjrt" localSheetId="2" hidden="1">{#N/A,#N/A,FALSE,"Plan1";#N/A,#N/A,FALSE,"Plan2"}</definedName>
    <definedName name="kljgfjrt" localSheetId="0" hidden="1">{#N/A,#N/A,FALSE,"Plan1";#N/A,#N/A,FALSE,"Plan2"}</definedName>
    <definedName name="kljgfjrt" hidden="1">{#N/A,#N/A,FALSE,"Plan1";#N/A,#N/A,FALSE,"Plan2"}</definedName>
    <definedName name="kljlkdfj" localSheetId="2" hidden="1">{#N/A,#N/A,FALSE,"Plan1";#N/A,#N/A,FALSE,"Plan2"}</definedName>
    <definedName name="kljlkdfj" localSheetId="0" hidden="1">{#N/A,#N/A,FALSE,"Plan1";#N/A,#N/A,FALSE,"Plan2"}</definedName>
    <definedName name="kljlkdfj" hidden="1">{#N/A,#N/A,FALSE,"Plan1";#N/A,#N/A,FALSE,"Plan2"}</definedName>
    <definedName name="kljsakjfr" localSheetId="2" hidden="1">{#N/A,#N/A,FALSE,"Plan1";#N/A,#N/A,FALSE,"Plan2"}</definedName>
    <definedName name="kljsakjfr" localSheetId="0" hidden="1">{#N/A,#N/A,FALSE,"Plan1";#N/A,#N/A,FALSE,"Plan2"}</definedName>
    <definedName name="kljsakjfr" hidden="1">{#N/A,#N/A,FALSE,"Plan1";#N/A,#N/A,FALSE,"Plan2"}</definedName>
    <definedName name="kljsdje" localSheetId="2" hidden="1">{#N/A,#N/A,FALSE,"Plan1";#N/A,#N/A,FALSE,"Plan2"}</definedName>
    <definedName name="kljsdje" localSheetId="0" hidden="1">{#N/A,#N/A,FALSE,"Plan1";#N/A,#N/A,FALSE,"Plan2"}</definedName>
    <definedName name="kljsdje" hidden="1">{#N/A,#N/A,FALSE,"Plan1";#N/A,#N/A,FALSE,"Plan2"}</definedName>
    <definedName name="kljsfwe" localSheetId="2" hidden="1">{#N/A,#N/A,FALSE,"Plan1";#N/A,#N/A,FALSE,"Plan2"}</definedName>
    <definedName name="kljsfwe" localSheetId="0" hidden="1">{#N/A,#N/A,FALSE,"Plan1";#N/A,#N/A,FALSE,"Plan2"}</definedName>
    <definedName name="kljsfwe" hidden="1">{#N/A,#N/A,FALSE,"Plan1";#N/A,#N/A,FALSE,"Plan2"}</definedName>
    <definedName name="klk" localSheetId="2" hidden="1">{#N/A,#N/A,FALSE,"Plan1";#N/A,#N/A,FALSE,"Plan2"}</definedName>
    <definedName name="klk" localSheetId="0" hidden="1">{#N/A,#N/A,FALSE,"Plan1";#N/A,#N/A,FALSE,"Plan2"}</definedName>
    <definedName name="klk" hidden="1">{#N/A,#N/A,FALSE,"Plan1";#N/A,#N/A,FALSE,"Plan2"}</definedName>
    <definedName name="KLKKLKÇJÇ" localSheetId="2" hidden="1">{#N/A,#N/A,FALSE,"Plan1";#N/A,#N/A,FALSE,"Plan2"}</definedName>
    <definedName name="KLKKLKÇJÇ" localSheetId="0" hidden="1">{#N/A,#N/A,FALSE,"Plan1";#N/A,#N/A,FALSE,"Plan2"}</definedName>
    <definedName name="KLKKLKÇJÇ" hidden="1">{#N/A,#N/A,FALSE,"Plan1";#N/A,#N/A,FALSE,"Plan2"}</definedName>
    <definedName name="KLSDFT" localSheetId="2" hidden="1">{#N/A,#N/A,FALSE,"Plan1";#N/A,#N/A,FALSE,"Plan2"}</definedName>
    <definedName name="KLSDFT" localSheetId="0" hidden="1">{#N/A,#N/A,FALSE,"Plan1";#N/A,#N/A,FALSE,"Plan2"}</definedName>
    <definedName name="KLSDFT" hidden="1">{#N/A,#N/A,FALSE,"Plan1";#N/A,#N/A,FALSE,"Plan2"}</definedName>
    <definedName name="KLSDHSJKHF" localSheetId="2" hidden="1">{#N/A,#N/A,FALSE,"Plan1";#N/A,#N/A,FALSE,"Plan2"}</definedName>
    <definedName name="KLSDHSJKHF" localSheetId="0" hidden="1">{#N/A,#N/A,FALSE,"Plan1";#N/A,#N/A,FALSE,"Plan2"}</definedName>
    <definedName name="KLSDHSJKHF" hidden="1">{#N/A,#N/A,FALSE,"Plan1";#N/A,#N/A,FALSE,"Plan2"}</definedName>
    <definedName name="klsdkre" localSheetId="2" hidden="1">{#N/A,#N/A,FALSE,"Plan1";#N/A,#N/A,FALSE,"Plan2"}</definedName>
    <definedName name="klsdkre" localSheetId="0" hidden="1">{#N/A,#N/A,FALSE,"Plan1";#N/A,#N/A,FALSE,"Plan2"}</definedName>
    <definedName name="klsdkre" hidden="1">{#N/A,#N/A,FALSE,"Plan1";#N/A,#N/A,FALSE,"Plan2"}</definedName>
    <definedName name="KLSIDJE" localSheetId="2" hidden="1">{#N/A,#N/A,FALSE,"Plan1";#N/A,#N/A,FALSE,"Plan2"}</definedName>
    <definedName name="KLSIDJE" localSheetId="0" hidden="1">{#N/A,#N/A,FALSE,"Plan1";#N/A,#N/A,FALSE,"Plan2"}</definedName>
    <definedName name="KLSIDJE" hidden="1">{#N/A,#N/A,FALSE,"Plan1";#N/A,#N/A,FALSE,"Plan2"}</definedName>
    <definedName name="klsjarsf" localSheetId="2" hidden="1">{#N/A,#N/A,FALSE,"Plan1";#N/A,#N/A,FALSE,"Plan2"}</definedName>
    <definedName name="klsjarsf" localSheetId="0" hidden="1">{#N/A,#N/A,FALSE,"Plan1";#N/A,#N/A,FALSE,"Plan2"}</definedName>
    <definedName name="klsjarsf" hidden="1">{#N/A,#N/A,FALSE,"Plan1";#N/A,#N/A,FALSE,"Plan2"}</definedName>
    <definedName name="klsjdwe" hidden="1">#REF!</definedName>
    <definedName name="klxhjfdkhser" localSheetId="2" hidden="1">{#N/A,#N/A,FALSE,"Plan1";#N/A,#N/A,FALSE,"Plan2"}</definedName>
    <definedName name="klxhjfdkhser" localSheetId="0" hidden="1">{#N/A,#N/A,FALSE,"Plan1";#N/A,#N/A,FALSE,"Plan2"}</definedName>
    <definedName name="klxhjfdkhser" hidden="1">{#N/A,#N/A,FALSE,"Plan1";#N/A,#N/A,FALSE,"Plan2"}</definedName>
    <definedName name="kopipnsdfne" localSheetId="2" hidden="1">{#N/A,#N/A,FALSE,"Plan1";#N/A,#N/A,FALSE,"Plan2"}</definedName>
    <definedName name="kopipnsdfne" localSheetId="0" hidden="1">{#N/A,#N/A,FALSE,"Plan1";#N/A,#N/A,FALSE,"Plan2"}</definedName>
    <definedName name="kopipnsdfne" hidden="1">{#N/A,#N/A,FALSE,"Plan1";#N/A,#N/A,FALSE,"Plan2"}</definedName>
    <definedName name="kp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localSheetId="2" hidden="1">{#N/A,#N/A,FALSE,"Plan1";#N/A,#N/A,FALSE,"Plan2"}</definedName>
    <definedName name="KSDLDF" localSheetId="0" hidden="1">{#N/A,#N/A,FALSE,"Plan1";#N/A,#N/A,FALSE,"Plan2"}</definedName>
    <definedName name="KSDLDF" hidden="1">{#N/A,#N/A,FALSE,"Plan1";#N/A,#N/A,FALSE,"Plan2"}</definedName>
    <definedName name="ksdlkfsçzd" localSheetId="2" hidden="1">{#N/A,#N/A,FALSE,"Plan1";#N/A,#N/A,FALSE,"Plan2"}</definedName>
    <definedName name="ksdlkfsçzd" localSheetId="0" hidden="1">{#N/A,#N/A,FALSE,"Plan1";#N/A,#N/A,FALSE,"Plan2"}</definedName>
    <definedName name="ksdlkfsçzd" hidden="1">{#N/A,#N/A,FALSE,"Plan1";#N/A,#N/A,FALSE,"Plan2"}</definedName>
    <definedName name="KSDNFK">#REF!</definedName>
    <definedName name="ksdoçierfe" localSheetId="2" hidden="1">{#N/A,#N/A,FALSE,"Plan1";#N/A,#N/A,FALSE,"Plan2"}</definedName>
    <definedName name="ksdoçierfe" localSheetId="0" hidden="1">{#N/A,#N/A,FALSE,"Plan1";#N/A,#N/A,FALSE,"Plan2"}</definedName>
    <definedName name="ksdoçierfe" hidden="1">{#N/A,#N/A,FALSE,"Plan1";#N/A,#N/A,FALSE,"Plan2"}</definedName>
    <definedName name="ksdtrdrkf" localSheetId="2" hidden="1">{#N/A,#N/A,FALSE,"Plan1";#N/A,#N/A,FALSE,"Plan2"}</definedName>
    <definedName name="ksdtrdrkf" localSheetId="0" hidden="1">{#N/A,#N/A,FALSE,"Plan1";#N/A,#N/A,FALSE,"Plan2"}</definedName>
    <definedName name="ksdtrdrkf" hidden="1">{#N/A,#N/A,FALSE,"Plan1";#N/A,#N/A,FALSE,"Plan2"}</definedName>
    <definedName name="KSFÇJDFJL" localSheetId="2" hidden="1">{#N/A,#N/A,FALSE,"Plan1";#N/A,#N/A,FALSE,"Plan2"}</definedName>
    <definedName name="KSFÇJDFJL" localSheetId="0" hidden="1">{#N/A,#N/A,FALSE,"Plan1";#N/A,#N/A,FALSE,"Plan2"}</definedName>
    <definedName name="KSFÇJDFJL" hidden="1">{#N/A,#N/A,FALSE,"Plan1";#N/A,#N/A,FALSE,"Plan2"}</definedName>
    <definedName name="ksfhse" localSheetId="2" hidden="1">{#N/A,#N/A,FALSE,"Plan1";#N/A,#N/A,FALSE,"Plan2"}</definedName>
    <definedName name="ksfhse" localSheetId="0" hidden="1">{#N/A,#N/A,FALSE,"Plan1";#N/A,#N/A,FALSE,"Plan2"}</definedName>
    <definedName name="ksfhse" hidden="1">{#N/A,#N/A,FALSE,"Plan1";#N/A,#N/A,FALSE,"Plan2"}</definedName>
    <definedName name="KSRKOE" localSheetId="2" hidden="1">{#N/A,#N/A,FALSE,"Plan1";#N/A,#N/A,FALSE,"Plan2"}</definedName>
    <definedName name="KSRKOE" localSheetId="0" hidden="1">{#N/A,#N/A,FALSE,"Plan1";#N/A,#N/A,FALSE,"Plan2"}</definedName>
    <definedName name="KSRKOE" hidden="1">{#N/A,#N/A,FALSE,"Plan1";#N/A,#N/A,FALSE,"Plan2"}</definedName>
    <definedName name="KSWKE" localSheetId="2" hidden="1">{#N/A,#N/A,FALSE,"Plan1";#N/A,#N/A,FALSE,"Plan2"}</definedName>
    <definedName name="KSWKE" localSheetId="0" hidden="1">{#N/A,#N/A,FALSE,"Plan1";#N/A,#N/A,FALSE,"Plan2"}</definedName>
    <definedName name="KSWKE" hidden="1">{#N/A,#N/A,FALSE,"Plan1";#N/A,#N/A,FALSE,"Plan2"}</definedName>
    <definedName name="kubus">#REF!</definedName>
    <definedName name="kubus1">#REF!</definedName>
    <definedName name="kysdusf" localSheetId="2" hidden="1">{#N/A,#N/A,FALSE,"Plan1";#N/A,#N/A,FALSE,"Plan2"}</definedName>
    <definedName name="kysdusf" localSheetId="0" hidden="1">{#N/A,#N/A,FALSE,"Plan1";#N/A,#N/A,FALSE,"Plan2"}</definedName>
    <definedName name="kysdusf" hidden="1">{#N/A,#N/A,FALSE,"Plan1";#N/A,#N/A,FALSE,"Plan2"}</definedName>
    <definedName name="kzslçdkçle" localSheetId="2" hidden="1">{#N/A,#N/A,FALSE,"Plan1";#N/A,#N/A,FALSE,"Plan2"}</definedName>
    <definedName name="kzslçdkçle" localSheetId="0" hidden="1">{#N/A,#N/A,FALSE,"Plan1";#N/A,#N/A,FALSE,"Plan2"}</definedName>
    <definedName name="kzslçdkçle" hidden="1">{#N/A,#N/A,FALSE,"Plan1";#N/A,#N/A,FALSE,"Plan2"}</definedName>
    <definedName name="L_">#REF!</definedName>
    <definedName name="LAEKWRK" localSheetId="2" hidden="1">{#N/A,#N/A,FALSE,"Plan1";#N/A,#N/A,FALSE,"Plan2"}</definedName>
    <definedName name="LAEKWRK" localSheetId="0" hidden="1">{#N/A,#N/A,FALSE,"Plan1";#N/A,#N/A,FALSE,"Plan2"}</definedName>
    <definedName name="LAEKWRK" hidden="1">{#N/A,#N/A,FALSE,"Plan1";#N/A,#N/A,FALSE,"Plan2"}</definedName>
    <definedName name="laeqwep" hidden="1">#REF!</definedName>
    <definedName name="LAKDEWRF" localSheetId="2" hidden="1">{#N/A,#N/A,FALSE,"Plan1";#N/A,#N/A,FALSE,"Plan2"}</definedName>
    <definedName name="LAKDEWRF" localSheetId="0" hidden="1">{#N/A,#N/A,FALSE,"Plan1";#N/A,#N/A,FALSE,"Plan2"}</definedName>
    <definedName name="LAKDEWRF" hidden="1">{#N/A,#N/A,FALSE,"Plan1";#N/A,#N/A,FALSE,"Plan2"}</definedName>
    <definedName name="Lancamentos">#REF!</definedName>
    <definedName name="LARGURA">#REF!</definedName>
    <definedName name="LASÇDSRLF" localSheetId="2" hidden="1">{#N/A,#N/A,FALSE,"Plan1";#N/A,#N/A,FALSE,"Plan2"}</definedName>
    <definedName name="LASÇDSRLF" localSheetId="0" hidden="1">{#N/A,#N/A,FALSE,"Plan1";#N/A,#N/A,FALSE,"Plan2"}</definedName>
    <definedName name="LASÇDSRLF" hidden="1">{#N/A,#N/A,FALSE,"Plan1";#N/A,#N/A,FALSE,"Plan2"}</definedName>
    <definedName name="LASDAKWE" hidden="1">25</definedName>
    <definedName name="lasrlswer" localSheetId="2" hidden="1">{#N/A,#N/A,FALSE,"Plan1";#N/A,#N/A,FALSE,"Plan2"}</definedName>
    <definedName name="lasrlswer" localSheetId="0" hidden="1">{#N/A,#N/A,FALSE,"Plan1";#N/A,#N/A,FALSE,"Plan2"}</definedName>
    <definedName name="lasrlswer" hidden="1">{#N/A,#N/A,FALSE,"Plan1";#N/A,#N/A,FALSE,"Plan2"}</definedName>
    <definedName name="LAZER">#REF!</definedName>
    <definedName name="lbla1" localSheetId="0" hidden="1">#REF!</definedName>
    <definedName name="lbla1" hidden="1">#REF!</definedName>
    <definedName name="lbla10" localSheetId="0" hidden="1">#REF!</definedName>
    <definedName name="lbla10" hidden="1">#REF!</definedName>
    <definedName name="lbla11" localSheetId="0" hidden="1">#REF!</definedName>
    <definedName name="lbla11" hidden="1">#REF!</definedName>
    <definedName name="lbla12" hidden="1">#REF!</definedName>
    <definedName name="lbla13" hidden="1">#REF!</definedName>
    <definedName name="lbla14" hidden="1">#REF!</definedName>
    <definedName name="lbla15" hidden="1">#REF!</definedName>
    <definedName name="lbla16" hidden="1">#REF!</definedName>
    <definedName name="lbla17" hidden="1">#REF!</definedName>
    <definedName name="lbla18" hidden="1">#REF!</definedName>
    <definedName name="lbla19" hidden="1">#REF!</definedName>
    <definedName name="lbla2" hidden="1">#REF!</definedName>
    <definedName name="lbla20" hidden="1">#REF!</definedName>
    <definedName name="lbla21" hidden="1">#REF!</definedName>
    <definedName name="lbla22" hidden="1">#REF!</definedName>
    <definedName name="lbla23" hidden="1">#REF!</definedName>
    <definedName name="lbla24" hidden="1">#REF!</definedName>
    <definedName name="lbla25" hidden="1">#REF!</definedName>
    <definedName name="lbla27" hidden="1">#REF!</definedName>
    <definedName name="lbla28" hidden="1">#REF!</definedName>
    <definedName name="lçadple4r" localSheetId="2" hidden="1">{#N/A,#N/A,FALSE,"Plan1";#N/A,#N/A,FALSE,"Plan2"}</definedName>
    <definedName name="lçadple4r" localSheetId="0" hidden="1">{#N/A,#N/A,FALSE,"Plan1";#N/A,#N/A,FALSE,"Plan2"}</definedName>
    <definedName name="lçadple4r" hidden="1">{#N/A,#N/A,FALSE,"Plan1";#N/A,#N/A,FALSE,"Plan2"}</definedName>
    <definedName name="lçasser" localSheetId="2" hidden="1">{#N/A,#N/A,FALSE,"Plan1";#N/A,#N/A,FALSE,"Plan2"}</definedName>
    <definedName name="lçasser" localSheetId="0" hidden="1">{#N/A,#N/A,FALSE,"Plan1";#N/A,#N/A,FALSE,"Plan2"}</definedName>
    <definedName name="lçasser" hidden="1">{#N/A,#N/A,FALSE,"Plan1";#N/A,#N/A,FALSE,"Plan2"}</definedName>
    <definedName name="lcdgjtklfrn" localSheetId="2" hidden="1">{#N/A,#N/A,FALSE,"Plan1";#N/A,#N/A,FALSE,"Plan2"}</definedName>
    <definedName name="lcdgjtklfrn" localSheetId="0" hidden="1">{#N/A,#N/A,FALSE,"Plan1";#N/A,#N/A,FALSE,"Plan2"}</definedName>
    <definedName name="lcdgjtklfrn" hidden="1">{#N/A,#N/A,FALSE,"Plan1";#N/A,#N/A,FALSE,"Plan2"}</definedName>
    <definedName name="lçfklsdkçaer" localSheetId="2" hidden="1">{#N/A,#N/A,FALSE,"Plan1";#N/A,#N/A,FALSE,"Plan2"}</definedName>
    <definedName name="lçfklsdkçaer" localSheetId="0" hidden="1">{#N/A,#N/A,FALSE,"Plan1";#N/A,#N/A,FALSE,"Plan2"}</definedName>
    <definedName name="lçfklsdkçaer" hidden="1">{#N/A,#N/A,FALSE,"Plan1";#N/A,#N/A,FALSE,"Plan2"}</definedName>
    <definedName name="lçjkgf" localSheetId="2" hidden="1">{#N/A,#N/A,FALSE,"Plan1";#N/A,#N/A,FALSE,"Plan2"}</definedName>
    <definedName name="lçjkgf" localSheetId="0" hidden="1">{#N/A,#N/A,FALSE,"Plan1";#N/A,#N/A,FALSE,"Plan2"}</definedName>
    <definedName name="lçjkgf" hidden="1">{#N/A,#N/A,FALSE,"Plan1";#N/A,#N/A,FALSE,"Plan2"}</definedName>
    <definedName name="LÇJSLDFJ" localSheetId="2" hidden="1">{#N/A,#N/A,FALSE,"Plan1";#N/A,#N/A,FALSE,"Plan2"}</definedName>
    <definedName name="LÇJSLDFJ" localSheetId="0" hidden="1">{#N/A,#N/A,FALSE,"Plan1";#N/A,#N/A,FALSE,"Plan2"}</definedName>
    <definedName name="LÇJSLDFJ" hidden="1">{#N/A,#N/A,FALSE,"Plan1";#N/A,#N/A,FALSE,"Plan2"}</definedName>
    <definedName name="LÇKÇSDRLK" localSheetId="2" hidden="1">{#N/A,#N/A,FALSE,"Plan1";#N/A,#N/A,FALSE,"Plan2"}</definedName>
    <definedName name="LÇKÇSDRLK" localSheetId="0" hidden="1">{#N/A,#N/A,FALSE,"Plan1";#N/A,#N/A,FALSE,"Plan2"}</definedName>
    <definedName name="LÇKÇSDRLK" hidden="1">{#N/A,#N/A,FALSE,"Plan1";#N/A,#N/A,FALSE,"Plan2"}</definedName>
    <definedName name="lçkdfkdstkre" hidden="1">25</definedName>
    <definedName name="lçkl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localSheetId="2" hidden="1">{#N/A,#N/A,FALSE,"Plan1";#N/A,#N/A,FALSE,"Plan2"}</definedName>
    <definedName name="lçlfklçdglfdgt" localSheetId="0" hidden="1">{#N/A,#N/A,FALSE,"Plan1";#N/A,#N/A,FALSE,"Plan2"}</definedName>
    <definedName name="lçlfklçdglfdgt" hidden="1">{#N/A,#N/A,FALSE,"Plan1";#N/A,#N/A,FALSE,"Plan2"}</definedName>
    <definedName name="lçslrr4r" localSheetId="2" hidden="1">{#N/A,#N/A,FALSE,"Plan1";#N/A,#N/A,FALSE,"Plan2"}</definedName>
    <definedName name="lçslrr4r" localSheetId="0" hidden="1">{#N/A,#N/A,FALSE,"Plan1";#N/A,#N/A,FALSE,"Plan2"}</definedName>
    <definedName name="lçslrr4r" hidden="1">{#N/A,#N/A,FALSE,"Plan1";#N/A,#N/A,FALSE,"Plan2"}</definedName>
    <definedName name="ldfjgry" localSheetId="2" hidden="1">{#N/A,#N/A,FALSE,"Plan1";#N/A,#N/A,FALSE,"Plan2"}</definedName>
    <definedName name="ldfjgry" localSheetId="0" hidden="1">{#N/A,#N/A,FALSE,"Plan1";#N/A,#N/A,FALSE,"Plan2"}</definedName>
    <definedName name="ldfjgry" hidden="1">{#N/A,#N/A,FALSE,"Plan1";#N/A,#N/A,FALSE,"Plan2"}</definedName>
    <definedName name="ldfjgtilrf" localSheetId="2" hidden="1">{#N/A,#N/A,FALSE,"Plan1";#N/A,#N/A,FALSE,"Plan2"}</definedName>
    <definedName name="ldfjgtilrf" localSheetId="0" hidden="1">{#N/A,#N/A,FALSE,"Plan1";#N/A,#N/A,FALSE,"Plan2"}</definedName>
    <definedName name="ldfjgtilrf" hidden="1">{#N/A,#N/A,FALSE,"Plan1";#N/A,#N/A,FALSE,"Plan2"}</definedName>
    <definedName name="ldk" localSheetId="2" hidden="1">{#N/A,#N/A,FALSE,"Plan1";#N/A,#N/A,FALSE,"Plan2"}</definedName>
    <definedName name="ldk" localSheetId="0" hidden="1">{#N/A,#N/A,FALSE,"Plan1";#N/A,#N/A,FALSE,"Plan2"}</definedName>
    <definedName name="ldk" hidden="1">{#N/A,#N/A,FALSE,"Plan1";#N/A,#N/A,FALSE,"Plan2"}</definedName>
    <definedName name="ldkgkdfjgkh" localSheetId="2" hidden="1">{#N/A,#N/A,FALSE,"Plan1";#N/A,#N/A,FALSE,"Plan2"}</definedName>
    <definedName name="ldkgkdfjgkh" localSheetId="0" hidden="1">{#N/A,#N/A,FALSE,"Plan1";#N/A,#N/A,FALSE,"Plan2"}</definedName>
    <definedName name="ldkgkdfjgkh" hidden="1">{#N/A,#N/A,FALSE,"Plan1";#N/A,#N/A,FALSE,"Plan2"}</definedName>
    <definedName name="LDTJGR" localSheetId="2" hidden="1">{#N/A,#N/A,FALSE,"Plan1";#N/A,#N/A,FALSE,"Plan2"}</definedName>
    <definedName name="LDTJGR" localSheetId="0" hidden="1">{#N/A,#N/A,FALSE,"Plan1";#N/A,#N/A,FALSE,"Plan2"}</definedName>
    <definedName name="LDTJGR" hidden="1">{#N/A,#N/A,FALSE,"Plan1";#N/A,#N/A,FALSE,"Plan2"}</definedName>
    <definedName name="Leg" hidden="1">#REF!</definedName>
    <definedName name="legr_cdi">#REF!</definedName>
    <definedName name="legr_hist">#REF!</definedName>
    <definedName name="legr_uss">#REF!</definedName>
    <definedName name="LEKG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>#REF!</definedName>
    <definedName name="lfjdjrt" localSheetId="2" hidden="1">{#N/A,#N/A,FALSE,"Plan1";#N/A,#N/A,FALSE,"Plan2"}</definedName>
    <definedName name="lfjdjrt" localSheetId="0" hidden="1">{#N/A,#N/A,FALSE,"Plan1";#N/A,#N/A,FALSE,"Plan2"}</definedName>
    <definedName name="lfjdjrt" hidden="1">{#N/A,#N/A,FALSE,"Plan1";#N/A,#N/A,FALSE,"Plan2"}</definedName>
    <definedName name="LI">#REF!</definedName>
    <definedName name="LIDER_OPER">#REF!</definedName>
    <definedName name="lidfjgklruf" localSheetId="2" hidden="1">{#N/A,#N/A,FALSE,"Plan1";#N/A,#N/A,FALSE,"Plan2"}</definedName>
    <definedName name="lidfjgklruf" localSheetId="0" hidden="1">{#N/A,#N/A,FALSE,"Plan1";#N/A,#N/A,FALSE,"Plan2"}</definedName>
    <definedName name="lidfjgklruf" hidden="1">{#N/A,#N/A,FALSE,"Plan1";#N/A,#N/A,FALSE,"Plan2"}</definedName>
    <definedName name="LII">#REF!</definedName>
    <definedName name="LIII">#REF!</definedName>
    <definedName name="LIMBO">#REF!</definedName>
    <definedName name="limcount" hidden="1">3</definedName>
    <definedName name="LIN">#REF!</definedName>
    <definedName name="list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>#REF!</definedName>
    <definedName name="LISTA_CONTAS">#REF!</definedName>
    <definedName name="lista_empresa" localSheetId="2">OFFSET(INDEX(#REF!,MATCH(#REF!,#REF!,0)),1,0,COUNTA(#REF!)-1)</definedName>
    <definedName name="lista_empresa">OFFSET(INDEX(#REF!,MATCH(#REF!,#REF!,0)),1,0,COUNTA(#REF!)-1)</definedName>
    <definedName name="LISTA_FORNECEDORES">#REF!</definedName>
    <definedName name="LISTSEL">#REF!</definedName>
    <definedName name="listt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>#REF!</definedName>
    <definedName name="LIX">#REF!</definedName>
    <definedName name="ljdfkgyt" localSheetId="2" hidden="1">{#N/A,#N/A,FALSE,"Plan1";#N/A,#N/A,FALSE,"Plan2"}</definedName>
    <definedName name="ljdfkgyt" localSheetId="0" hidden="1">{#N/A,#N/A,FALSE,"Plan1";#N/A,#N/A,FALSE,"Plan2"}</definedName>
    <definedName name="ljdfkgyt" hidden="1">{#N/A,#N/A,FALSE,"Plan1";#N/A,#N/A,FALSE,"Plan2"}</definedName>
    <definedName name="LJDFLJRL" localSheetId="2" hidden="1">{#N/A,#N/A,FALSE,"Plan1";#N/A,#N/A,FALSE,"Plan2"}</definedName>
    <definedName name="LJDFLJRL" localSheetId="0" hidden="1">{#N/A,#N/A,FALSE,"Plan1";#N/A,#N/A,FALSE,"Plan2"}</definedName>
    <definedName name="LJDFLJRL" hidden="1">{#N/A,#N/A,FALSE,"Plan1";#N/A,#N/A,FALSE,"Plan2"}</definedName>
    <definedName name="ljsdfrd" localSheetId="2" hidden="1">{#N/A,#N/A,FALSE,"Plan1";#N/A,#N/A,FALSE,"Plan2"}</definedName>
    <definedName name="ljsdfrd" localSheetId="0" hidden="1">{#N/A,#N/A,FALSE,"Plan1";#N/A,#N/A,FALSE,"Plan2"}</definedName>
    <definedName name="ljsdfrd" hidden="1">{#N/A,#N/A,FALSE,"Plan1";#N/A,#N/A,FALSE,"Plan2"}</definedName>
    <definedName name="LJSFLDJDLKFJG" hidden="1">#REF!</definedName>
    <definedName name="LK" localSheetId="2" hidden="1">{#N/A,#N/A,TRUE,"Quinzena 01 à 15-04-98 "}</definedName>
    <definedName name="LK" localSheetId="0" hidden="1">{#N/A,#N/A,TRUE,"Quinzena 01 à 15-04-98 "}</definedName>
    <definedName name="LK" hidden="1">{#N/A,#N/A,TRUE,"Quinzena 01 à 15-04-98 "}</definedName>
    <definedName name="lkasdkeo" localSheetId="2" hidden="1">{#N/A,#N/A,FALSE,"Plan1";#N/A,#N/A,FALSE,"Plan2"}</definedName>
    <definedName name="lkasdkeo" localSheetId="0" hidden="1">{#N/A,#N/A,FALSE,"Plan1";#N/A,#N/A,FALSE,"Plan2"}</definedName>
    <definedName name="lkasdkeo" hidden="1">{#N/A,#N/A,FALSE,"Plan1";#N/A,#N/A,FALSE,"Plan2"}</definedName>
    <definedName name="lkdeas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localSheetId="2" hidden="1">{#N/A,#N/A,FALSE,"Plan1";#N/A,#N/A,FALSE,"Plan2"}</definedName>
    <definedName name="lkdzxfsdrf" localSheetId="0" hidden="1">{#N/A,#N/A,FALSE,"Plan1";#N/A,#N/A,FALSE,"Plan2"}</definedName>
    <definedName name="lkdzxfsdrf" hidden="1">{#N/A,#N/A,FALSE,"Plan1";#N/A,#N/A,FALSE,"Plan2"}</definedName>
    <definedName name="lkfdkçtktr" localSheetId="2" hidden="1">{#N/A,#N/A,FALSE,"Plan1";#N/A,#N/A,FALSE,"Plan2"}</definedName>
    <definedName name="lkfdkçtktr" localSheetId="0" hidden="1">{#N/A,#N/A,FALSE,"Plan1";#N/A,#N/A,FALSE,"Plan2"}</definedName>
    <definedName name="lkfdkçtktr" hidden="1">{#N/A,#N/A,FALSE,"Plan1";#N/A,#N/A,FALSE,"Plan2"}</definedName>
    <definedName name="lkjr4" hidden="1">17</definedName>
    <definedName name="LKSSDKÇ\E" localSheetId="2" hidden="1">{#N/A,#N/A,FALSE,"Plan1";#N/A,#N/A,FALSE,"Plan2"}</definedName>
    <definedName name="LKSSDKÇ\E" localSheetId="0" hidden="1">{#N/A,#N/A,FALSE,"Plan1";#N/A,#N/A,FALSE,"Plan2"}</definedName>
    <definedName name="LKSSDKÇ\E" hidden="1">{#N/A,#N/A,FALSE,"Plan1";#N/A,#N/A,FALSE,"Plan2"}</definedName>
    <definedName name="lkt" localSheetId="2" hidden="1">{#N/A,#N/A,FALSE,"Plan1";#N/A,#N/A,FALSE,"Plan2"}</definedName>
    <definedName name="lkt" localSheetId="0" hidden="1">{#N/A,#N/A,FALSE,"Plan1";#N/A,#N/A,FALSE,"Plan2"}</definedName>
    <definedName name="lkt" hidden="1">{#N/A,#N/A,FALSE,"Plan1";#N/A,#N/A,FALSE,"Plan2"}</definedName>
    <definedName name="lktlyklt" localSheetId="2" hidden="1">{#N/A,#N/A,FALSE,"Plan1";#N/A,#N/A,FALSE,"Plan2"}</definedName>
    <definedName name="lktlyklt" localSheetId="0" hidden="1">{#N/A,#N/A,FALSE,"Plan1";#N/A,#N/A,FALSE,"Plan2"}</definedName>
    <definedName name="lktlyklt" hidden="1">{#N/A,#N/A,FALSE,"Plan1";#N/A,#N/A,FALSE,"Plan2"}</definedName>
    <definedName name="LKTTYT" localSheetId="2" hidden="1">{#N/A,#N/A,FALSE,"Plan1";#N/A,#N/A,FALSE,"Plan2"}</definedName>
    <definedName name="LKTTYT" localSheetId="0" hidden="1">{#N/A,#N/A,FALSE,"Plan1";#N/A,#N/A,FALSE,"Plan2"}</definedName>
    <definedName name="LKTTYT" hidden="1">{#N/A,#N/A,FALSE,"Plan1";#N/A,#N/A,FALSE,"Plan2"}</definedName>
    <definedName name="llgg" localSheetId="2" hidden="1">{#N/A,#N/A,FALSE,"Plan1";#N/A,#N/A,FALSE,"Plan2"}</definedName>
    <definedName name="llgg" localSheetId="0" hidden="1">{#N/A,#N/A,FALSE,"Plan1";#N/A,#N/A,FALSE,"Plan2"}</definedName>
    <definedName name="llgg" hidden="1">{#N/A,#N/A,FALSE,"Plan1";#N/A,#N/A,FALSE,"Plan2"}</definedName>
    <definedName name="LLL" localSheetId="2" hidden="1">{#N/A,#N/A,FALSE,"Plan1";#N/A,#N/A,FALSE,"Plan2"}</definedName>
    <definedName name="LLL" localSheetId="0" hidden="1">{#N/A,#N/A,FALSE,"Plan1";#N/A,#N/A,FALSE,"Plan2"}</definedName>
    <definedName name="LLL" hidden="1">{#N/A,#N/A,FALSE,"Plan1";#N/A,#N/A,FALSE,"Plan2"}</definedName>
    <definedName name="LM_AR" localSheetId="2" hidden="1">{#N/A,#N/A,FALSE,"F-01"}</definedName>
    <definedName name="LM_AR" localSheetId="0" hidden="1">{#N/A,#N/A,FALSE,"F-01"}</definedName>
    <definedName name="LM_AR" hidden="1">{#N/A,#N/A,FALSE,"F-01"}</definedName>
    <definedName name="LM_AT" localSheetId="2" hidden="1">{#N/A,#N/A,FALSE,"F-01"}</definedName>
    <definedName name="LM_AT" localSheetId="0" hidden="1">{#N/A,#N/A,FALSE,"F-01"}</definedName>
    <definedName name="LM_AT" hidden="1">{#N/A,#N/A,FALSE,"F-01"}</definedName>
    <definedName name="LM_INC" localSheetId="2" hidden="1">{#N/A,#N/A,FALSE,"F-01"}</definedName>
    <definedName name="LM_INC" localSheetId="0" hidden="1">{#N/A,#N/A,FALSE,"F-01"}</definedName>
    <definedName name="LM_INC" hidden="1">{#N/A,#N/A,FALSE,"F-01"}</definedName>
    <definedName name="LMPAS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>#REF!</definedName>
    <definedName name="LOCALOBRA">#REF!</definedName>
    <definedName name="LS" localSheetId="0">'[1]M.O.'!#REF!</definedName>
    <definedName name="LS">#REF!</definedName>
    <definedName name="LSDFKLDKFTR" localSheetId="2" hidden="1">{#N/A,#N/A,FALSE,"Plan1";#N/A,#N/A,FALSE,"Plan2"}</definedName>
    <definedName name="LSDFKLDKFTR" localSheetId="0" hidden="1">{#N/A,#N/A,FALSE,"Plan1";#N/A,#N/A,FALSE,"Plan2"}</definedName>
    <definedName name="LSDFKLDKFTR" hidden="1">{#N/A,#N/A,FALSE,"Plan1";#N/A,#N/A,FALSE,"Plan2"}</definedName>
    <definedName name="lsdjse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localSheetId="2" hidden="1">{#N/A,#N/A,FALSE,"Plan1";#N/A,#N/A,FALSE,"Plan2"}</definedName>
    <definedName name="lsdkljfkg" localSheetId="0" hidden="1">{#N/A,#N/A,FALSE,"Plan1";#N/A,#N/A,FALSE,"Plan2"}</definedName>
    <definedName name="lsdkljfkg" hidden="1">{#N/A,#N/A,FALSE,"Plan1";#N/A,#N/A,FALSE,"Plan2"}</definedName>
    <definedName name="lsdsder" localSheetId="2" hidden="1">{#N/A,#N/A,FALSE,"Plan1";#N/A,#N/A,FALSE,"Plan2"}</definedName>
    <definedName name="lsdsder" localSheetId="0" hidden="1">{#N/A,#N/A,FALSE,"Plan1";#N/A,#N/A,FALSE,"Plan2"}</definedName>
    <definedName name="lsdsder" hidden="1">{#N/A,#N/A,FALSE,"Plan1";#N/A,#N/A,FALSE,"Plan2"}</definedName>
    <definedName name="ltj6ljyhdjhngças" localSheetId="2" hidden="1">{#N/A,#N/A,FALSE,"Plan1";#N/A,#N/A,FALSE,"Plan2"}</definedName>
    <definedName name="ltj6ljyhdjhngças" localSheetId="0" hidden="1">{#N/A,#N/A,FALSE,"Plan1";#N/A,#N/A,FALSE,"Plan2"}</definedName>
    <definedName name="ltj6ljyhdjhngças" hidden="1">{#N/A,#N/A,FALSE,"Plan1";#N/A,#N/A,FALSE,"Plan2"}</definedName>
    <definedName name="LUCRO">#REF!</definedName>
    <definedName name="luis_cdi">#REF!</definedName>
    <definedName name="luis_hist">#REF!</definedName>
    <definedName name="luis_uss">#REF!</definedName>
    <definedName name="LV">#REF!</definedName>
    <definedName name="LVI">#REF!</definedName>
    <definedName name="LVII">#REF!</definedName>
    <definedName name="LVIII">#REF!</definedName>
    <definedName name="lwaeddew" localSheetId="0" hidden="1">#REF!</definedName>
    <definedName name="lwaeddew" hidden="1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>#REF!</definedName>
    <definedName name="mai17RJ">#REF!</definedName>
    <definedName name="MAIO">#REF!</definedName>
    <definedName name="MAIO2001">#REF!</definedName>
    <definedName name="MAISAP" localSheetId="2" hidden="1">{#N/A,#N/A,FALSE,"Plan1";#N/A,#N/A,FALSE,"Plan2"}</definedName>
    <definedName name="MAISAP" localSheetId="0" hidden="1">{#N/A,#N/A,FALSE,"Plan1";#N/A,#N/A,FALSE,"Plan2"}</definedName>
    <definedName name="MAISAP" hidden="1">{#N/A,#N/A,FALSE,"Plan1";#N/A,#N/A,FALSE,"Plan2"}</definedName>
    <definedName name="MA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>#REF!</definedName>
    <definedName name="mar17RJ">#REF!</definedName>
    <definedName name="MARCAX">#REF!</definedName>
    <definedName name="MARÇO">#REF!</definedName>
    <definedName name="MARÇO2001">#REF!</definedName>
    <definedName name="martha">#REF!</definedName>
    <definedName name="MASTE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>#REF!</definedName>
    <definedName name="mattubcus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localSheetId="2" hidden="1">{#N/A,#N/A,FALSE,"Plan1";#N/A,#N/A,FALSE,"Plan2"}</definedName>
    <definedName name="MAURILIO" localSheetId="0" hidden="1">{#N/A,#N/A,FALSE,"Plan1";#N/A,#N/A,FALSE,"Plan2"}</definedName>
    <definedName name="MAURILIO" hidden="1">{#N/A,#N/A,FALSE,"Plan1";#N/A,#N/A,FALSE,"Plan2"}</definedName>
    <definedName name="M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>#REF!</definedName>
    <definedName name="mdfgtr" localSheetId="2" hidden="1">{#N/A,#N/A,FALSE,"Plan1";#N/A,#N/A,FALSE,"Plan2"}</definedName>
    <definedName name="mdfgtr" localSheetId="0" hidden="1">{#N/A,#N/A,FALSE,"Plan1";#N/A,#N/A,FALSE,"Plan2"}</definedName>
    <definedName name="mdfgtr" hidden="1">{#N/A,#N/A,FALSE,"Plan1";#N/A,#N/A,FALSE,"Plan2"}</definedName>
    <definedName name="MDSÇLFJKJSD" localSheetId="2" hidden="1">{#N/A,#N/A,FALSE,"Plan1";#N/A,#N/A,FALSE,"Plan2"}</definedName>
    <definedName name="MDSÇLFJKJSD" localSheetId="0" hidden="1">{#N/A,#N/A,FALSE,"Plan1";#N/A,#N/A,FALSE,"Plan2"}</definedName>
    <definedName name="MDSÇLFJKJSD" hidden="1">{#N/A,#N/A,FALSE,"Plan1";#N/A,#N/A,FALSE,"Plan2"}</definedName>
    <definedName name="ME" localSheetId="2" hidden="1">{"HW",#N/A,FALSE,"1998"}</definedName>
    <definedName name="ME" localSheetId="0" hidden="1">{"HW",#N/A,FALSE,"1998"}</definedName>
    <definedName name="ME" hidden="1">{"HW",#N/A,FALSE,"1998"}</definedName>
    <definedName name="Medido_Fin_Medições">#REF!</definedName>
    <definedName name="melo_cdi">#REF!</definedName>
    <definedName name="melo_hist">#REF!</definedName>
    <definedName name="melo_uss">#REF!</definedName>
    <definedName name="MEMÓRIA">#REF!</definedName>
    <definedName name="memória2">#REF!</definedName>
    <definedName name="mensal">#REF!</definedName>
    <definedName name="MENU" localSheetId="0">#REF!</definedName>
    <definedName name="MENU">#REF!</definedName>
    <definedName name="MENU1" localSheetId="0">#REF!</definedName>
    <definedName name="MENU1">#REF!</definedName>
    <definedName name="MENU2" localSheetId="0">#REF!</definedName>
    <definedName name="MENU2">#REF!</definedName>
    <definedName name="MENU3" localSheetId="0">#REF!</definedName>
    <definedName name="MENU3">#REF!</definedName>
    <definedName name="MENU4" localSheetId="0">#REF!</definedName>
    <definedName name="MENU4">#REF!</definedName>
    <definedName name="MENU5" localSheetId="0">#REF!</definedName>
    <definedName name="MENU5">#REF!</definedName>
    <definedName name="MENU6" localSheetId="0">#REF!</definedName>
    <definedName name="MENU6">#REF!</definedName>
    <definedName name="MENUBOM">#REF!</definedName>
    <definedName name="MENUEQP">#REF!</definedName>
    <definedName name="MENUFIM">#REF!</definedName>
    <definedName name="MENUMED">#REF!</definedName>
    <definedName name="MENUOBRA">#REF!</definedName>
    <definedName name="MENUOUT">#REF!</definedName>
    <definedName name="MENUOUTRO">#REF!</definedName>
    <definedName name="menures">#REF!</definedName>
    <definedName name="Mês_data_base">#REF!</definedName>
    <definedName name="Mês_Medição_Fin_Medições">#REF!</definedName>
    <definedName name="mes_relatorio">#REF!</definedName>
    <definedName name="Meses">#REF!</definedName>
    <definedName name="MESTR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>#REF!</definedName>
    <definedName name="MetaBP">#REF!</definedName>
    <definedName name="MILENA" localSheetId="0" hidden="1">#REF!</definedName>
    <definedName name="MILENA" hidden="1">#REF!</definedName>
    <definedName name="Minha_Casa_Minha_Vida">#REF!</definedName>
    <definedName name="MLMÇLKJKI" localSheetId="2" hidden="1">{#N/A,#N/A,FALSE,"Plan1";#N/A,#N/A,FALSE,"Plan2"}</definedName>
    <definedName name="MLMÇLKJKI" localSheetId="0" hidden="1">{#N/A,#N/A,FALSE,"Plan1";#N/A,#N/A,FALSE,"Plan2"}</definedName>
    <definedName name="MLMÇLKJKI" hidden="1">{#N/A,#N/A,FALSE,"Plan1";#N/A,#N/A,FALSE,"Plan2"}</definedName>
    <definedName name="MM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localSheetId="2" hidden="1">{"tabela",#N/A,FALSE,"Tabela";"decoração",#N/A,FALSE,"Decor.";"Informações",#N/A,FALSE,"Inform."}</definedName>
    <definedName name="mmmmm" localSheetId="0" hidden="1">{"tabela",#N/A,FALSE,"Tabela";"decoração",#N/A,FALSE,"Decor.";"Informações",#N/A,FALSE,"Inform."}</definedName>
    <definedName name="mmmmm" hidden="1">{"tabela",#N/A,FALSE,"Tabela";"decoração",#N/A,FALSE,"Decor.";"Informações",#N/A,FALSE,"Inform."}</definedName>
    <definedName name="mmmmmmm" localSheetId="2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mmmm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NBXFKGS" localSheetId="2" hidden="1">{#N/A,#N/A,FALSE,"Plan1";#N/A,#N/A,FALSE,"Plan2"}</definedName>
    <definedName name="MNBXFKGS" localSheetId="0" hidden="1">{#N/A,#N/A,FALSE,"Plan1";#N/A,#N/A,FALSE,"Plan2"}</definedName>
    <definedName name="MNBXFKGS" hidden="1">{#N/A,#N/A,FALSE,"Plan1";#N/A,#N/A,FALSE,"Plan2"}</definedName>
    <definedName name="mncvbgcvmc" localSheetId="2" hidden="1">{#N/A,#N/A,FALSE,"Plan1";#N/A,#N/A,FALSE,"Plan2"}</definedName>
    <definedName name="mncvbgcvmc" localSheetId="0" hidden="1">{#N/A,#N/A,FALSE,"Plan1";#N/A,#N/A,FALSE,"Plan2"}</definedName>
    <definedName name="mncvbgcvmc" hidden="1">{#N/A,#N/A,FALSE,"Plan1";#N/A,#N/A,FALSE,"Plan2"}</definedName>
    <definedName name="MNDKZSFNCEA" localSheetId="2" hidden="1">{#N/A,#N/A,FALSE,"Plan1";#N/A,#N/A,FALSE,"Plan2"}</definedName>
    <definedName name="MNDKZSFNCEA" localSheetId="0" hidden="1">{#N/A,#N/A,FALSE,"Plan1";#N/A,#N/A,FALSE,"Plan2"}</definedName>
    <definedName name="MNDKZSFNCEA" hidden="1">{#N/A,#N/A,FALSE,"Plan1";#N/A,#N/A,FALSE,"Plan2"}</definedName>
    <definedName name="mnhdshfgfhd" localSheetId="2" hidden="1">{#N/A,#N/A,FALSE,"Plan1";#N/A,#N/A,FALSE,"Plan2"}</definedName>
    <definedName name="mnhdshfgfhd" localSheetId="0" hidden="1">{#N/A,#N/A,FALSE,"Plan1";#N/A,#N/A,FALSE,"Plan2"}</definedName>
    <definedName name="mnhdshfgfhd" hidden="1">{#N/A,#N/A,FALSE,"Plan1";#N/A,#N/A,FALSE,"Plan2"}</definedName>
    <definedName name="mo" localSheetId="0">#REF!</definedName>
    <definedName name="mo">#REF!</definedName>
    <definedName name="mobr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localSheetId="2" hidden="1">{#N/A,#N/A,FALSE,"cdi";#N/A,#N/A,FALSE,"debent";#N/A,#N/A,FALSE,"fdos";#N/A,#N/A,FALSE,"resumo"}</definedName>
    <definedName name="Modelo1" localSheetId="0" hidden="1">{#N/A,#N/A,FALSE,"cdi";#N/A,#N/A,FALSE,"debent";#N/A,#N/A,FALSE,"fdos";#N/A,#N/A,FALSE,"resumo"}</definedName>
    <definedName name="Modelo1" hidden="1">{#N/A,#N/A,FALSE,"cdi";#N/A,#N/A,FALSE,"debent";#N/A,#N/A,FALSE,"fdos";#N/A,#N/A,FALSE,"resumo"}</definedName>
    <definedName name="Modelo1a" localSheetId="2" hidden="1">{#N/A,#N/A,FALSE,"cdi";#N/A,#N/A,FALSE,"debent";#N/A,#N/A,FALSE,"fdos";#N/A,#N/A,FALSE,"resumo"}</definedName>
    <definedName name="Modelo1a" localSheetId="0" hidden="1">{#N/A,#N/A,FALSE,"cdi";#N/A,#N/A,FALSE,"debent";#N/A,#N/A,FALSE,"fdos";#N/A,#N/A,FALSE,"resumo"}</definedName>
    <definedName name="Modelo1a" hidden="1">{#N/A,#N/A,FALSE,"cdi";#N/A,#N/A,FALSE,"debent";#N/A,#N/A,FALSE,"fdos";#N/A,#N/A,FALSE,"resumo"}</definedName>
    <definedName name="Modelo2" localSheetId="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>#REF!</definedName>
    <definedName name="mond_cdi">#REF!</definedName>
    <definedName name="mond_hist">#REF!</definedName>
    <definedName name="mond_uss">#REF!</definedName>
    <definedName name="MP" localSheetId="2" hidden="1">{#N/A,#N/A,FALSE,"CCTV"}</definedName>
    <definedName name="MP" localSheetId="0" hidden="1">{#N/A,#N/A,FALSE,"CCTV"}</definedName>
    <definedName name="MP" hidden="1">{#N/A,#N/A,FALSE,"CCTV"}</definedName>
    <definedName name="MSDFJKDT" hidden="1">25</definedName>
    <definedName name="MSDRFSWER" localSheetId="2" hidden="1">{"Econ Consolidado",#N/A,FALSE,"Econ Consol";"Fluxo de Caixa",#N/A,FALSE,"Fluxo Caixa";"Investimentos",#N/A,FALSE,"Investimentos"}</definedName>
    <definedName name="MSDRFSWER" localSheetId="0" hidden="1">{"Econ Consolidado",#N/A,FALSE,"Econ Consol";"Fluxo de Caixa",#N/A,FALSE,"Fluxo Caixa";"Investimentos",#N/A,FALSE,"Investimentos"}</definedName>
    <definedName name="MSDRFSWER" hidden="1">{"Econ Consolidado",#N/A,FALSE,"Econ Consol";"Fluxo de Caixa",#N/A,FALSE,"Fluxo Caixa";"Investimentos",#N/A,FALSE,"Investimentos"}</definedName>
    <definedName name="MURBOMB">#REF!</definedName>
    <definedName name="mzshdjshjs" localSheetId="2" hidden="1">{#N/A,#N/A,FALSE,"Plan1";#N/A,#N/A,FALSE,"Plan2"}</definedName>
    <definedName name="mzshdjshjs" localSheetId="0" hidden="1">{#N/A,#N/A,FALSE,"Plan1";#N/A,#N/A,FALSE,"Plan2"}</definedName>
    <definedName name="mzshdjshjs" hidden="1">{#N/A,#N/A,FALSE,"Plan1";#N/A,#N/A,FALSE,"Plan2"}</definedName>
    <definedName name="na" localSheetId="2" hidden="1">{#N/A,#N/A,FALSE,"$170M Cash";#N/A,#N/A,FALSE,"$250M Cash";#N/A,#N/A,FALSE,"$325M Cash"}</definedName>
    <definedName name="na" localSheetId="0" hidden="1">{#N/A,#N/A,FALSE,"$170M Cash";#N/A,#N/A,FALSE,"$250M Cash";#N/A,#N/A,FALSE,"$325M Cash"}</definedName>
    <definedName name="na" hidden="1">{#N/A,#N/A,FALSE,"$170M Cash";#N/A,#N/A,FALSE,"$250M Cash";#N/A,#N/A,FALSE,"$325M Cash"}</definedName>
    <definedName name="ncdgrdhrtg" localSheetId="2" hidden="1">{#N/A,#N/A,FALSE,"Plan1";#N/A,#N/A,FALSE,"Plan2"}</definedName>
    <definedName name="ncdgrdhrtg" localSheetId="0" hidden="1">{#N/A,#N/A,FALSE,"Plan1";#N/A,#N/A,FALSE,"Plan2"}</definedName>
    <definedName name="ncdgrdhrtg" hidden="1">{#N/A,#N/A,FALSE,"Plan1";#N/A,#N/A,FALSE,"Plan2"}</definedName>
    <definedName name="nchngdfhgdh" localSheetId="2" hidden="1">{#N/A,#N/A,FALSE,"Plan1";#N/A,#N/A,FALSE,"Plan2"}</definedName>
    <definedName name="nchngdfhgdh" localSheetId="0" hidden="1">{#N/A,#N/A,FALSE,"Plan1";#N/A,#N/A,FALSE,"Plan2"}</definedName>
    <definedName name="nchngdfhgdh" hidden="1">{#N/A,#N/A,FALSE,"Plan1";#N/A,#N/A,FALSE,"Plan2"}</definedName>
    <definedName name="NCJFKNGJHF" localSheetId="2" hidden="1">{#N/A,#N/A,FALSE,"Plan1";#N/A,#N/A,FALSE,"Plan2"}</definedName>
    <definedName name="NCJFKNGJHF" localSheetId="0" hidden="1">{#N/A,#N/A,FALSE,"Plan1";#N/A,#N/A,FALSE,"Plan2"}</definedName>
    <definedName name="NCJFKNGJHF" hidden="1">{#N/A,#N/A,FALSE,"Plan1";#N/A,#N/A,FALSE,"Plan2"}</definedName>
    <definedName name="NDATA">#REF!</definedName>
    <definedName name="ndcxhgdhf" localSheetId="2" hidden="1">{#N/A,#N/A,FALSE,"Plan1";#N/A,#N/A,FALSE,"Plan2"}</definedName>
    <definedName name="ndcxhgdhf" localSheetId="0" hidden="1">{#N/A,#N/A,FALSE,"Plan1";#N/A,#N/A,FALSE,"Plan2"}</definedName>
    <definedName name="ndcxhgdhf" hidden="1">{#N/A,#N/A,FALSE,"Plan1";#N/A,#N/A,FALSE,"Plan2"}</definedName>
    <definedName name="ndfjnjkrhdgt" localSheetId="2" hidden="1">{#N/A,#N/A,FALSE,"Plan1";#N/A,#N/A,FALSE,"Plan2"}</definedName>
    <definedName name="ndfjnjkrhdgt" localSheetId="0" hidden="1">{#N/A,#N/A,FALSE,"Plan1";#N/A,#N/A,FALSE,"Plan2"}</definedName>
    <definedName name="ndfjnjkrhdgt" hidden="1">{#N/A,#N/A,FALSE,"Plan1";#N/A,#N/A,FALSE,"Plan2"}</definedName>
    <definedName name="ndfkghkjthfyst" localSheetId="2" hidden="1">{#N/A,#N/A,FALSE,"Plan1";#N/A,#N/A,FALSE,"Plan2"}</definedName>
    <definedName name="ndfkghkjthfyst" localSheetId="0" hidden="1">{#N/A,#N/A,FALSE,"Plan1";#N/A,#N/A,FALSE,"Plan2"}</definedName>
    <definedName name="ndfkghkjthfyst" hidden="1">{#N/A,#N/A,FALSE,"Plan1";#N/A,#N/A,FALSE,"Plan2"}</definedName>
    <definedName name="ndfldslvjnvberugberqubquierbv">#REF!</definedName>
    <definedName name="NDJGKFKGHUFG" localSheetId="2" hidden="1">{#N/A,#N/A,FALSE,"Plan1";#N/A,#N/A,FALSE,"Plan2"}</definedName>
    <definedName name="NDJGKFKGHUFG" localSheetId="0" hidden="1">{#N/A,#N/A,FALSE,"Plan1";#N/A,#N/A,FALSE,"Plan2"}</definedName>
    <definedName name="NDJGKFKGHUFG" hidden="1">{#N/A,#N/A,FALSE,"Plan1";#N/A,#N/A,FALSE,"Plan2"}</definedName>
    <definedName name="ndrjkt" localSheetId="2" hidden="1">{#N/A,#N/A,FALSE,"Plan1";#N/A,#N/A,FALSE,"Plan2"}</definedName>
    <definedName name="ndrjkt" localSheetId="0" hidden="1">{#N/A,#N/A,FALSE,"Plan1";#N/A,#N/A,FALSE,"Plan2"}</definedName>
    <definedName name="ndrjkt" hidden="1">{#N/A,#N/A,FALSE,"Plan1";#N/A,#N/A,FALSE,"Plan2"}</definedName>
    <definedName name="new" localSheetId="2" hidden="1">{#N/A,#N/A,FALSE,"Global by BU";#N/A,#N/A,FALSE,"U.S. by BU";#N/A,#N/A,FALSE,"Canada by BU";#N/A,#N/A,FALSE,"Europe by BU";#N/A,#N/A,FALSE,"Asia by BU";#N/A,#N/A,FALSE,"Cala by BU"}</definedName>
    <definedName name="new" localSheetId="0" hidden="1">{#N/A,#N/A,FALSE,"Global by BU";#N/A,#N/A,FALSE,"U.S. by BU";#N/A,#N/A,FALSE,"Canada by BU";#N/A,#N/A,FALSE,"Europe by BU";#N/A,#N/A,FALSE,"Asia by BU";#N/A,#N/A,FALSE,"Cala by BU"}</definedName>
    <definedName name="new" hidden="1">{#N/A,#N/A,FALSE,"Global by BU";#N/A,#N/A,FALSE,"U.S. by BU";#N/A,#N/A,FALSE,"Canada by BU";#N/A,#N/A,FALSE,"Europe by BU";#N/A,#N/A,FALSE,"Asia by BU";#N/A,#N/A,FALSE,"Cala by BU"}</definedName>
    <definedName name="NEWNAME" localSheetId="2" hidden="1">{#N/A,#N/A,FALSE,"CCTV"}</definedName>
    <definedName name="NEWNAME" localSheetId="0" hidden="1">{#N/A,#N/A,FALSE,"CCTV"}</definedName>
    <definedName name="NEWNAME" hidden="1">{#N/A,#N/A,FALSE,"CCTV"}</definedName>
    <definedName name="nfgjkhvhfghn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localSheetId="2" hidden="1">{#N/A,#N/A,FALSE,"Plan1";#N/A,#N/A,FALSE,"Plan2"}</definedName>
    <definedName name="nfkhdjkthde" localSheetId="0" hidden="1">{#N/A,#N/A,FALSE,"Plan1";#N/A,#N/A,FALSE,"Plan2"}</definedName>
    <definedName name="nfkhdjkthde" hidden="1">{#N/A,#N/A,FALSE,"Plan1";#N/A,#N/A,FALSE,"Plan2"}</definedName>
    <definedName name="nh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localSheetId="2" hidden="1">{#N/A,#N/A,FALSE,"Plan1";#N/A,#N/A,FALSE,"Plan2"}</definedName>
    <definedName name="NHJHFDSHF" localSheetId="0" hidden="1">{#N/A,#N/A,FALSE,"Plan1";#N/A,#N/A,FALSE,"Plan2"}</definedName>
    <definedName name="NHJHFDSHF" hidden="1">{#N/A,#N/A,FALSE,"Plan1";#N/A,#N/A,FALSE,"Plan2"}</definedName>
    <definedName name="NJSDFHERTG" localSheetId="2" hidden="1">{#N/A,#N/A,FALSE,"Plan1";#N/A,#N/A,FALSE,"Plan2"}</definedName>
    <definedName name="NJSDFHERTG" localSheetId="0" hidden="1">{#N/A,#N/A,FALSE,"Plan1";#N/A,#N/A,FALSE,"Plan2"}</definedName>
    <definedName name="NJSDFHERTG" hidden="1">{#N/A,#N/A,FALSE,"Plan1";#N/A,#N/A,FALSE,"Plan2"}</definedName>
    <definedName name="nkfnsskdn" localSheetId="2" hidden="1">{#N/A,#N/A,FALSE,"Plan1";#N/A,#N/A,FALSE,"Plan2"}</definedName>
    <definedName name="nkfnsskdn" localSheetId="0" hidden="1">{#N/A,#N/A,FALSE,"Plan1";#N/A,#N/A,FALSE,"Plan2"}</definedName>
    <definedName name="nkfnsskdn" hidden="1">{#N/A,#N/A,FALSE,"Plan1";#N/A,#N/A,FALSE,"Plan2"}</definedName>
    <definedName name="NKJL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>#REF!</definedName>
    <definedName name="nlaksjdwe" localSheetId="2" hidden="1">{#N/A,#N/A,FALSE,"Plan1";#N/A,#N/A,FALSE,"Plan2"}</definedName>
    <definedName name="nlaksjdwe" localSheetId="0" hidden="1">{#N/A,#N/A,FALSE,"Plan1";#N/A,#N/A,FALSE,"Plan2"}</definedName>
    <definedName name="nlaksjdwe" hidden="1">{#N/A,#N/A,FALSE,"Plan1";#N/A,#N/A,FALSE,"Plan2"}</definedName>
    <definedName name="nljsdfljfdsfr" localSheetId="2" hidden="1">{#N/A,#N/A,FALSE,"Plan1";#N/A,#N/A,FALSE,"Plan2"}</definedName>
    <definedName name="nljsdfljfdsfr" localSheetId="0" hidden="1">{#N/A,#N/A,FALSE,"Plan1";#N/A,#N/A,FALSE,"Plan2"}</definedName>
    <definedName name="nljsdfljfdsfr" hidden="1">{#N/A,#N/A,FALSE,"Plan1";#N/A,#N/A,FALSE,"Plan2"}</definedName>
    <definedName name="nm_k1">#REF!</definedName>
    <definedName name="nm_k2">#REF!</definedName>
    <definedName name="nm_k3">#REF!</definedName>
    <definedName name="nmjdfhxj" localSheetId="2" hidden="1">{#N/A,#N/A,FALSE,"Plan1";#N/A,#N/A,FALSE,"Plan2"}</definedName>
    <definedName name="nmjdfhxj" localSheetId="0" hidden="1">{#N/A,#N/A,FALSE,"Plan1";#N/A,#N/A,FALSE,"Plan2"}</definedName>
    <definedName name="nmjdfhxj" hidden="1">{#N/A,#N/A,FALSE,"Plan1";#N/A,#N/A,FALSE,"Plan2"}</definedName>
    <definedName name="nnmn" localSheetId="2" hidden="1">{#N/A,#N/A,FALSE,"Plan1";#N/A,#N/A,FALSE,"Plan2"}</definedName>
    <definedName name="nnmn" localSheetId="0" hidden="1">{#N/A,#N/A,FALSE,"Plan1";#N/A,#N/A,FALSE,"Plan2"}</definedName>
    <definedName name="nnmn" hidden="1">{#N/A,#N/A,FALSE,"Plan1";#N/A,#N/A,FALSE,"Plan2"}</definedName>
    <definedName name="nnn" localSheetId="2" hidden="1">{#N/A,#N/A,FALSE,"$170M Cash";#N/A,#N/A,FALSE,"$250M Cash";#N/A,#N/A,FALSE,"$325M Cash"}</definedName>
    <definedName name="nnn" localSheetId="0" hidden="1">{#N/A,#N/A,FALSE,"Plan1";#N/A,#N/A,FALSE,"Plan2"}</definedName>
    <definedName name="nnn" hidden="1">{#N/A,#N/A,FALSE,"$170M Cash";#N/A,#N/A,FALSE,"$250M Cash";#N/A,#N/A,FALSE,"$325M Cash"}</definedName>
    <definedName name="nnnnnnnnnnn" localSheetId="2" hidden="1">{"HW",#N/A,FALSE,"1998"}</definedName>
    <definedName name="nnnnnnnnnnn" localSheetId="0" hidden="1">{"HW",#N/A,FALSE,"1998"}</definedName>
    <definedName name="nnnnnnnnnnn" hidden="1">{"HW",#N/A,FALSE,"1998"}</definedName>
    <definedName name="NNNNNNNNNNNNNNN" localSheetId="2" hidden="1">{#N/A,#N/A,FALSE,"Plan1";#N/A,#N/A,FALSE,"Plan2"}</definedName>
    <definedName name="NNNNNNNNNNNNNNN" localSheetId="0" hidden="1">{#N/A,#N/A,FALSE,"Plan1";#N/A,#N/A,FALSE,"Plan2"}</definedName>
    <definedName name="NNNNNNNNNNNNNNN" hidden="1">{#N/A,#N/A,FALSE,"Plan1";#N/A,#N/A,FALSE,"Plan2"}</definedName>
    <definedName name="nnnnnnnnnnnnnnnnnnnn" localSheetId="2" hidden="1">{#N/A,#N/A,FALSE,"Plan1";#N/A,#N/A,FALSE,"Plan2"}</definedName>
    <definedName name="nnnnnnnnnnnnnnnnnnnn" localSheetId="0" hidden="1">{#N/A,#N/A,FALSE,"Plan1";#N/A,#N/A,FALSE,"Plan2"}</definedName>
    <definedName name="nnnnnnnnnnnnnnnnnnnn" hidden="1">{#N/A,#N/A,FALSE,"Plan1";#N/A,#N/A,FALSE,"Plan2"}</definedName>
    <definedName name="NNXFT" localSheetId="2" hidden="1">{#N/A,#N/A,FALSE,"Plan1";#N/A,#N/A,FALSE,"Plan2"}</definedName>
    <definedName name="NNXFT" localSheetId="0" hidden="1">{#N/A,#N/A,FALSE,"Plan1";#N/A,#N/A,FALSE,"Plan2"}</definedName>
    <definedName name="NNXFT" hidden="1">{#N/A,#N/A,FALSE,"Plan1";#N/A,#N/A,FALSE,"Plan2"}</definedName>
    <definedName name="no">#REF!</definedName>
    <definedName name="NOME">#REF!</definedName>
    <definedName name="nome2">#REF!</definedName>
    <definedName name="NOMEITEM">#REF!</definedName>
    <definedName name="NOMEOBRA">#REF!</definedName>
    <definedName name="nov17RJ">#REF!</definedName>
    <definedName name="NOVE">#REF!</definedName>
    <definedName name="NOVEMBRO">#REF!</definedName>
    <definedName name="nsdkfndgfdnatf" localSheetId="2" hidden="1">{#N/A,#N/A,FALSE,"Plan1";#N/A,#N/A,FALSE,"Plan2"}</definedName>
    <definedName name="nsdkfndgfdnatf" localSheetId="0" hidden="1">{#N/A,#N/A,FALSE,"Plan1";#N/A,#N/A,FALSE,"Plan2"}</definedName>
    <definedName name="nsdkfndgfdnatf" hidden="1">{#N/A,#N/A,FALSE,"Plan1";#N/A,#N/A,FALSE,"Plan2"}</definedName>
    <definedName name="nsfljdiljrf" localSheetId="2" hidden="1">{#N/A,#N/A,FALSE,"Plan1";#N/A,#N/A,FALSE,"Plan2"}</definedName>
    <definedName name="nsfljdiljrf" localSheetId="0" hidden="1">{#N/A,#N/A,FALSE,"Plan1";#N/A,#N/A,FALSE,"Plan2"}</definedName>
    <definedName name="nsfljdiljrf" hidden="1">{#N/A,#N/A,FALSE,"Plan1";#N/A,#N/A,FALSE,"Plan2"}</definedName>
    <definedName name="NUCOPIAS">#REF!</definedName>
    <definedName name="NUMOBRA">#REF!</definedName>
    <definedName name="NutN">#REF!</definedName>
    <definedName name="nzxcnnjkd" localSheetId="2" hidden="1">{#N/A,#N/A,FALSE,"Plan1";#N/A,#N/A,FALSE,"Plan2"}</definedName>
    <definedName name="nzxcnnjkd" localSheetId="0" hidden="1">{#N/A,#N/A,FALSE,"Plan1";#N/A,#N/A,FALSE,"Plan2"}</definedName>
    <definedName name="nzxcnnjkd" hidden="1">{#N/A,#N/A,FALSE,"Plan1";#N/A,#N/A,FALSE,"Plan2"}</definedName>
    <definedName name="OAE" localSheetId="0">#REF!</definedName>
    <definedName name="OAE">#REF!</definedName>
    <definedName name="OBRA">#REF!</definedName>
    <definedName name="Obra_Fin_Medição">#REF!</definedName>
    <definedName name="OBRA_PROJETADO">#REF!</definedName>
    <definedName name="Obra_Rel_Controladoria">#REF!</definedName>
    <definedName name="Obra_Sienge">#REF!</definedName>
    <definedName name="Obra2_Fin_Medição">#REF!</definedName>
    <definedName name="OBRALOC">#REF!</definedName>
    <definedName name="OBRAS">#REF!</definedName>
    <definedName name="Obras_Apoio_Rel_Controladoria">#REF!</definedName>
    <definedName name="OBRAS_REALIZADO">#REF!</definedName>
    <definedName name="OBRASEL">#REF!</definedName>
    <definedName name="odflgj" hidden="1">25</definedName>
    <definedName name="odfuudor" localSheetId="2" hidden="1">{#N/A,#N/A,FALSE,"Plan1";#N/A,#N/A,FALSE,"Plan2"}</definedName>
    <definedName name="odfuudor" localSheetId="0" hidden="1">{#N/A,#N/A,FALSE,"Plan1";#N/A,#N/A,FALSE,"Plan2"}</definedName>
    <definedName name="odfuudor" hidden="1">{#N/A,#N/A,FALSE,"Plan1";#N/A,#N/A,FALSE,"Plan2"}</definedName>
    <definedName name="ODH" hidden="1">#REF!</definedName>
    <definedName name="oficial_mes">#REF!</definedName>
    <definedName name="oficial2_mes">#REF!</definedName>
    <definedName name="oiditrot" localSheetId="2" hidden="1">{#N/A,#N/A,FALSE,"Plan1";#N/A,#N/A,FALSE,"Plan2"}</definedName>
    <definedName name="oiditrot" localSheetId="0" hidden="1">{#N/A,#N/A,FALSE,"Plan1";#N/A,#N/A,FALSE,"Plan2"}</definedName>
    <definedName name="oiditrot" hidden="1">{#N/A,#N/A,FALSE,"Plan1";#N/A,#N/A,FALSE,"Plan2"}</definedName>
    <definedName name="oio" localSheetId="2" hidden="1">{#N/A,#N/A,FALSE,"Plan1";#N/A,#N/A,FALSE,"Plan2"}</definedName>
    <definedName name="oio" localSheetId="0" hidden="1">{#N/A,#N/A,FALSE,"Plan1";#N/A,#N/A,FALSE,"Plan2"}</definedName>
    <definedName name="oio" hidden="1">{#N/A,#N/A,FALSE,"Plan1";#N/A,#N/A,FALSE,"Plan2"}</definedName>
    <definedName name="OITO">#REF!</definedName>
    <definedName name="oiufioorif" localSheetId="0" hidden="1">#REF!</definedName>
    <definedName name="oiufioorif" hidden="1">#REF!</definedName>
    <definedName name="OJÇLJ" localSheetId="2" hidden="1">{#N/A,#N/A,FALSE,"Plan1";#N/A,#N/A,FALSE,"Plan2"}</definedName>
    <definedName name="OJÇLJ" localSheetId="0" hidden="1">{#N/A,#N/A,FALSE,"Plan1";#N/A,#N/A,FALSE,"Plan2"}</definedName>
    <definedName name="OJÇLJ" hidden="1">{#N/A,#N/A,FALSE,"Plan1";#N/A,#N/A,FALSE,"Plan2"}</definedName>
    <definedName name="ojkdfit" localSheetId="2" hidden="1">{#N/A,#N/A,FALSE,"Plan1";#N/A,#N/A,FALSE,"Plan2"}</definedName>
    <definedName name="ojkdfit" localSheetId="0" hidden="1">{#N/A,#N/A,FALSE,"Plan1";#N/A,#N/A,FALSE,"Plan2"}</definedName>
    <definedName name="ojkdfit" hidden="1">{#N/A,#N/A,FALSE,"Plan1";#N/A,#N/A,FALSE,"Plan2"}</definedName>
    <definedName name="oMISSOS" hidden="1">#REF!</definedName>
    <definedName name="ONZE">#REF!</definedName>
    <definedName name="ooo" localSheetId="2" hidden="1">{#N/A,#N/A,FALSE,"Plan1";#N/A,#N/A,FALSE,"Plan2"}</definedName>
    <definedName name="ooo" localSheetId="0" hidden="1">{#N/A,#N/A,FALSE,"Plan1";#N/A,#N/A,FALSE,"Plan2"}</definedName>
    <definedName name="ooo" hidden="1">{#N/A,#N/A,FALSE,"Plan1";#N/A,#N/A,FALSE,"Plan2"}</definedName>
    <definedName name="OPASEDWED" localSheetId="2" hidden="1">{"Econ Consolidado",#N/A,FALSE,"Econ Consol";"Fluxo de Caixa",#N/A,FALSE,"Fluxo Caixa";"Investimentos",#N/A,FALSE,"Investimentos"}</definedName>
    <definedName name="OPASEDWED" localSheetId="0" hidden="1">{"Econ Consolidado",#N/A,FALSE,"Econ Consol";"Fluxo de Caixa",#N/A,FALSE,"Fluxo Caixa";"Investimentos",#N/A,FALSE,"Investimentos"}</definedName>
    <definedName name="OPASEDWED" hidden="1">{"Econ Consolidado",#N/A,FALSE,"Econ Consol";"Fluxo de Caixa",#N/A,FALSE,"Fluxo Caixa";"Investimentos",#N/A,FALSE,"Investimentos"}</definedName>
    <definedName name="opcao_taxa_desconto">#REF!</definedName>
    <definedName name="opções">#REF!</definedName>
    <definedName name="opiwre" localSheetId="2" hidden="1">{#N/A,#N/A,FALSE,"Plan1";#N/A,#N/A,FALSE,"Plan2"}</definedName>
    <definedName name="opiwre" localSheetId="0" hidden="1">{#N/A,#N/A,FALSE,"Plan1";#N/A,#N/A,FALSE,"Plan2"}</definedName>
    <definedName name="opiwre" hidden="1">{#N/A,#N/A,FALSE,"Plan1";#N/A,#N/A,FALSE,"Plan2"}</definedName>
    <definedName name="ORCAMEN">#REF!</definedName>
    <definedName name="Orcamentistas">#REF!</definedName>
    <definedName name="origem_recebiveis">#REF!</definedName>
    <definedName name="origem_unidades">#REF!</definedName>
    <definedName name="Origem2_Recebimento_Fin_Medições">#REF!</definedName>
    <definedName name="os" localSheetId="2" hidden="1">{#N/A,#N/A,FALSE,"TABLE"}</definedName>
    <definedName name="os" localSheetId="0" hidden="1">{#N/A,#N/A,FALSE,"TABLE"}</definedName>
    <definedName name="os" hidden="1">{#N/A,#N/A,FALSE,"TABLE"}</definedName>
    <definedName name="osca_cdi">#REF!</definedName>
    <definedName name="osca_hist">#REF!</definedName>
    <definedName name="osca_uss">#REF!</definedName>
    <definedName name="otodgkrjglsrd" localSheetId="2" hidden="1">{#N/A,#N/A,FALSE,"Plan1";#N/A,#N/A,FALSE,"Plan2"}</definedName>
    <definedName name="otodgkrjglsrd" localSheetId="0" hidden="1">{#N/A,#N/A,FALSE,"Plan1";#N/A,#N/A,FALSE,"Plan2"}</definedName>
    <definedName name="otodgkrjglsrd" hidden="1">{#N/A,#N/A,FALSE,"Plan1";#N/A,#N/A,FALSE,"Plan2"}</definedName>
    <definedName name="OUERWRSR" localSheetId="2" hidden="1">{#N/A,#N/A,FALSE,"Plan1";#N/A,#N/A,FALSE,"Plan2"}</definedName>
    <definedName name="OUERWRSR" localSheetId="0" hidden="1">{#N/A,#N/A,FALSE,"Plan1";#N/A,#N/A,FALSE,"Plan2"}</definedName>
    <definedName name="OUERWRSR" hidden="1">{#N/A,#N/A,FALSE,"Plan1";#N/A,#N/A,FALSE,"Plan2"}</definedName>
    <definedName name="out17RJ">#REF!</definedName>
    <definedName name="outro" localSheetId="0" hidden="1">#REF!</definedName>
    <definedName name="outro" hidden="1">#REF!</definedName>
    <definedName name="OUTROS">#REF!</definedName>
    <definedName name="OUTROS_CCUSTO">#REF!</definedName>
    <definedName name="Outros_Pisos">#REF!</definedName>
    <definedName name="Outros1">#REF!</definedName>
    <definedName name="OUTUBRO">#REF!</definedName>
    <definedName name="overhaul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>#REF!</definedName>
    <definedName name="oxfo_hist">#REF!</definedName>
    <definedName name="oxfo_uss">#REF!</definedName>
    <definedName name="P">#REF!</definedName>
    <definedName name="PA">#REF!</definedName>
    <definedName name="Padrao_A">#REF!</definedName>
    <definedName name="Padrao_B">#REF!</definedName>
    <definedName name="Padrao_C">#REF!</definedName>
    <definedName name="Padrao_D">#REF!</definedName>
    <definedName name="Padrao_E">#REF!</definedName>
    <definedName name="Padrao_F">#REF!</definedName>
    <definedName name="Pagamento_Num" localSheetId="2">ROW()-Linha_Cabeçalho</definedName>
    <definedName name="Pagamento_Num" localSheetId="3">ROW()-Linha_Cabeçalho</definedName>
    <definedName name="Pagamento_Num" localSheetId="5">ROW()-Linha_Cabeçalho</definedName>
    <definedName name="Pagamento_Num">ROW()-Linha_Cabeçalho</definedName>
    <definedName name="Pago_Até_2015_Controladoria" localSheetId="2">#REF!</definedName>
    <definedName name="Pago_Até_2015_Controladoria">#REF!</definedName>
    <definedName name="Pal_Workbook_GUID" hidden="1">"3HURD34M2XKWJ5V6M4BWCR5Q"</definedName>
    <definedName name="PAP">#REF!</definedName>
    <definedName name="PARAM_FIS_1">#REF!</definedName>
    <definedName name="PARAM_FIS_2">#REF!</definedName>
    <definedName name="ParamValues1" localSheetId="0">[3]ParamValues!$A$1:$A$39</definedName>
    <definedName name="ParamValues1">#REF!</definedName>
    <definedName name="Parao_E">#REF!</definedName>
    <definedName name="Parede1">#REF!</definedName>
    <definedName name="Parede2">#REF!</definedName>
    <definedName name="PAREDES">#REF!</definedName>
    <definedName name="PAV" localSheetId="0">#REF!</definedName>
    <definedName name="PAV">#REF!</definedName>
    <definedName name="PAVILHAO">#REF!</definedName>
    <definedName name="PAVT">#REF!</definedName>
    <definedName name="pçgktr" localSheetId="0" hidden="1">#REF!</definedName>
    <definedName name="pçgktr" hidden="1">#REF!</definedName>
    <definedName name="PDER">#REF!</definedName>
    <definedName name="PDIVERS">#REF!</definedName>
    <definedName name="PE">#REF!</definedName>
    <definedName name="PEMD">#REF!</definedName>
    <definedName name="Pendenci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>#REF!</definedName>
    <definedName name="pessoal">#REF!</definedName>
    <definedName name="petro2" localSheetId="0" hidden="1">#REF!</definedName>
    <definedName name="petro2" hidden="1">#REF!</definedName>
    <definedName name="PhyG">#REF!</definedName>
    <definedName name="PhyGS">#REF!</definedName>
    <definedName name="PI">#REF!</definedName>
    <definedName name="piaz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>#REF!</definedName>
    <definedName name="PIS_COFINS">#REF!</definedName>
    <definedName name="PisCofins">#REF!</definedName>
    <definedName name="Piso1">#REF!</definedName>
    <definedName name="Piso2">#REF!</definedName>
    <definedName name="PISOS">#REF!</definedName>
    <definedName name="PL">#REF!</definedName>
    <definedName name="PLACAS" localSheetId="2" hidden="1">{#N/A,#N/A,TRUE,"Quinzena 01 à 15-04-98 "}</definedName>
    <definedName name="PLACAS" localSheetId="0" hidden="1">{#N/A,#N/A,TRUE,"Quinzena 01 à 15-04-98 "}</definedName>
    <definedName name="PLACAS" hidden="1">{#N/A,#N/A,TRUE,"Quinzena 01 à 15-04-98 "}</definedName>
    <definedName name="Placas_Areas" localSheetId="2" hidden="1">{#N/A,#N/A,TRUE,"Quinzena 01 à 15-04-98 "}</definedName>
    <definedName name="Placas_Areas" localSheetId="0" hidden="1">{#N/A,#N/A,TRUE,"Quinzena 01 à 15-04-98 "}</definedName>
    <definedName name="Placas_Areas" hidden="1">{#N/A,#N/A,TRUE,"Quinzena 01 à 15-04-98 "}</definedName>
    <definedName name="plan" hidden="1">#REF!</definedName>
    <definedName name="plan2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>#REF!</definedName>
    <definedName name="Planilha2">#REF!</definedName>
    <definedName name="plasçdeaw" localSheetId="2" hidden="1">{#N/A,#N/A,FALSE,"Plan1";#N/A,#N/A,FALSE,"Plan2"}</definedName>
    <definedName name="plasçdeaw" localSheetId="0" hidden="1">{#N/A,#N/A,FALSE,"Plan1";#N/A,#N/A,FALSE,"Plan2"}</definedName>
    <definedName name="plasçdeaw" hidden="1">{#N/A,#N/A,FALSE,"Plan1";#N/A,#N/A,FALSE,"Plan2"}</definedName>
    <definedName name="plaslrswe" localSheetId="2" hidden="1">{#N/A,#N/A,FALSE,"Plan1";#N/A,#N/A,FALSE,"Plan2"}</definedName>
    <definedName name="plaslrswe" localSheetId="0" hidden="1">{#N/A,#N/A,FALSE,"Plan1";#N/A,#N/A,FALSE,"Plan2"}</definedName>
    <definedName name="plaslrswe" hidden="1">{#N/A,#N/A,FALSE,"Plan1";#N/A,#N/A,FALSE,"Plan2"}</definedName>
    <definedName name="pls" hidden="1">#REF!</definedName>
    <definedName name="plsearpef" localSheetId="2" hidden="1">{#N/A,#N/A,FALSE,"Plan1";#N/A,#N/A,FALSE,"Plan2"}</definedName>
    <definedName name="plsearpef" localSheetId="0" hidden="1">{#N/A,#N/A,FALSE,"Plan1";#N/A,#N/A,FALSE,"Plan2"}</definedName>
    <definedName name="plsearpef" hidden="1">{#N/A,#N/A,FALSE,"Plan1";#N/A,#N/A,FALSE,"Plan2"}</definedName>
    <definedName name="plss" localSheetId="2" hidden="1">{#N/A,#N/A,FALSE,"Plan1";#N/A,#N/A,FALSE,"Plan2"}</definedName>
    <definedName name="plss" localSheetId="0" hidden="1">{#N/A,#N/A,FALSE,"Plan1";#N/A,#N/A,FALSE,"Plan2"}</definedName>
    <definedName name="plss" hidden="1">{#N/A,#N/A,FALSE,"Plan1";#N/A,#N/A,FALSE,"Plan2"}</definedName>
    <definedName name="PMUR">#REF!</definedName>
    <definedName name="PN2건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>#REF!</definedName>
    <definedName name="Pós_Chaves">#REF!</definedName>
    <definedName name="pr" localSheetId="0">#REF!</definedName>
    <definedName name="pr">#REF!</definedName>
    <definedName name="PRAZO">#REF!</definedName>
    <definedName name="PRAZO_EDITAL">#REF!</definedName>
    <definedName name="PRAZO_ORC">#REF!</definedName>
    <definedName name="prazo2">#REF!</definedName>
    <definedName name="PRE" localSheetId="0">#REF!</definedName>
    <definedName name="PRE">#REF!</definedName>
    <definedName name="PREÇ">OFFSET(#REF!,0,0,COUNTA(#REF!),1)</definedName>
    <definedName name="Previsão_Inicial_abr_16">#REF!</definedName>
    <definedName name="Previsão_Inicial_ago_16">#REF!</definedName>
    <definedName name="Previsão_Inicial_dez_16">#REF!</definedName>
    <definedName name="Previsão_Inicial_fev_16">#REF!</definedName>
    <definedName name="Previsão_Inicial_jan_16">#REF!</definedName>
    <definedName name="Previsão_Inicial_jul_16">#REF!</definedName>
    <definedName name="Previsão_Inicial_jun_16">#REF!</definedName>
    <definedName name="Previsão_Inicial_mai_16">#REF!</definedName>
    <definedName name="Previsão_Inicial_mar_16">#REF!</definedName>
    <definedName name="Previsão_Inicial_nov_16">#REF!</definedName>
    <definedName name="Previsão_Inicial_out_16">#REF!</definedName>
    <definedName name="Previsão_Inicial_set_16">#REF!</definedName>
    <definedName name="Previsão_Vento1">#REF!</definedName>
    <definedName name="Previsto_a_medir_Fin_Medições">#REF!</definedName>
    <definedName name="print" localSheetId="2" hidden="1">{#N/A,#N/A,FALSE,"$170M Cash";#N/A,#N/A,FALSE,"$250M Cash";#N/A,#N/A,FALSE,"$325M Cash"}</definedName>
    <definedName name="print" localSheetId="0" hidden="1">{#N/A,#N/A,FALSE,"$170M Cash";#N/A,#N/A,FALSE,"$250M Cash";#N/A,#N/A,FALSE,"$325M Cash"}</definedName>
    <definedName name="print" hidden="1">{#N/A,#N/A,FALSE,"$170M Cash";#N/A,#N/A,FALSE,"$250M Cash";#N/A,#N/A,FALSE,"$325M Cash"}</definedName>
    <definedName name="Print_Area">#REF!</definedName>
    <definedName name="Print_Area_MI" localSheetId="0">#REF!</definedName>
    <definedName name="Print_Area_MI">#REF!</definedName>
    <definedName name="Print_Titles">#REF!</definedName>
    <definedName name="PRINT_TITLES_MI">#REF!</definedName>
    <definedName name="programa">#REF!</definedName>
    <definedName name="Programaa">#REF!</definedName>
    <definedName name="projeto_nome_com">IF((COUNTA(#REF!)-2)&gt;1,"TERRENO "&amp;VLOOKUP(#REF!,#REF!,8,0),VLOOKUP(#REF!,#REF!,3,0))</definedName>
    <definedName name="PROPAGANDA">#REF!</definedName>
    <definedName name="ptirigyiotut" localSheetId="2" hidden="1">{#N/A,#N/A,FALSE,"Plan1";#N/A,#N/A,FALSE,"Plan2"}</definedName>
    <definedName name="ptirigyiotut" localSheetId="0" hidden="1">{#N/A,#N/A,FALSE,"Plan1";#N/A,#N/A,FALSE,"Plan2"}</definedName>
    <definedName name="ptirigyiotut" hidden="1">{#N/A,#N/A,FALSE,"Plan1";#N/A,#N/A,FALSE,"Plan2"}</definedName>
    <definedName name="PWER3" localSheetId="2" hidden="1">{#N/A,#N/A,FALSE,"Plan1";#N/A,#N/A,FALSE,"Plan2"}</definedName>
    <definedName name="PWER3" localSheetId="0" hidden="1">{#N/A,#N/A,FALSE,"Plan1";#N/A,#N/A,FALSE,"Plan2"}</definedName>
    <definedName name="PWER3" hidden="1">{#N/A,#N/A,FALSE,"Plan1";#N/A,#N/A,FALSE,"Plan2"}</definedName>
    <definedName name="q" hidden="1">#REF!</definedName>
    <definedName name="QCLIENTE_PCLIENTE">#REF!</definedName>
    <definedName name="QCliente_PCliente1">#REF!</definedName>
    <definedName name="qe" localSheetId="0">#REF!</definedName>
    <definedName name="qe">#REF!</definedName>
    <definedName name="qee" localSheetId="0">#REF!</definedName>
    <definedName name="qee">#REF!</definedName>
    <definedName name="qkqh1" localSheetId="2" hidden="1">{#N/A,#N/A,FALSE,"명세표"}</definedName>
    <definedName name="qkqh1" localSheetId="0" hidden="1">{#N/A,#N/A,FALSE,"명세표"}</definedName>
    <definedName name="qkqh1" hidden="1">{#N/A,#N/A,FALSE,"명세표"}</definedName>
    <definedName name="QOAS_POAS">#REF!</definedName>
    <definedName name="QQ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 localSheetId="2">#REF!:#REF!</definedName>
    <definedName name="QQQ">#REF!:#REF!</definedName>
    <definedName name="QQQQQQQQ" localSheetId="0" hidden="1">#REF!</definedName>
    <definedName name="QQQQQQQQ" hidden="1">#REF!</definedName>
    <definedName name="QREAL_PCLIENTE">#REF!</definedName>
    <definedName name="QReal_PCliente1">#REF!</definedName>
    <definedName name="QSQWSE" localSheetId="2" hidden="1">{#N/A,#N/A,FALSE,"Plan1";#N/A,#N/A,FALSE,"Plan2"}</definedName>
    <definedName name="QSQWSE" localSheetId="0" hidden="1">{#N/A,#N/A,FALSE,"Plan1";#N/A,#N/A,FALSE,"Plan2"}</definedName>
    <definedName name="QSQWSE" hidden="1">{#N/A,#N/A,FALSE,"Plan1";#N/A,#N/A,FALSE,"Plan2"}</definedName>
    <definedName name="qtd_mensal">#REF!</definedName>
    <definedName name="qtd3esta">#REF!</definedName>
    <definedName name="qtdbase">#REF!</definedName>
    <definedName name="qtdbltub">#REF!</definedName>
    <definedName name="qtdestac">#REF!</definedName>
    <definedName name="qtdsap">#REF!</definedName>
    <definedName name="qtdtub">#REF!</definedName>
    <definedName name="QTNULO">#REF!</definedName>
    <definedName name="QTPADRAO">#REF!</definedName>
    <definedName name="QTRES">#REF!</definedName>
    <definedName name="QuadraE">#REF!</definedName>
    <definedName name="quadrocompar.">#REF!</definedName>
    <definedName name="QUANT">#REF!</definedName>
    <definedName name="QUANTP">#REF!</definedName>
    <definedName name="QUATRO">#REF!</definedName>
    <definedName name="QUINZE">#REF!</definedName>
    <definedName name="qwdqw" localSheetId="2" hidden="1">{#N/A,#N/A,FALSE,"Plan1";#N/A,#N/A,FALSE,"Plan2"}</definedName>
    <definedName name="qwdqw" localSheetId="0" hidden="1">{#N/A,#N/A,FALSE,"Plan1";#N/A,#N/A,FALSE,"Plan2"}</definedName>
    <definedName name="qwdqw" hidden="1">{#N/A,#N/A,FALSE,"Plan1";#N/A,#N/A,FALSE,"Plan2"}</definedName>
    <definedName name="qweqwe" localSheetId="2" hidden="1">{#N/A,#N/A,FALSE,"Plan1";#N/A,#N/A,FALSE,"Plan2"}</definedName>
    <definedName name="qweqwe" localSheetId="0" hidden="1">{#N/A,#N/A,FALSE,"Plan1";#N/A,#N/A,FALSE,"Plan2"}</definedName>
    <definedName name="qweqwe" hidden="1">{#N/A,#N/A,FALSE,"Plan1";#N/A,#N/A,FALSE,"Plan2"}</definedName>
    <definedName name="qweqwe4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hidden="1">#REF!</definedName>
    <definedName name="qwqw" hidden="1">#REF!</definedName>
    <definedName name="R.imobAtualiz">#REF!</definedName>
    <definedName name="R_CorretAtualiz">#REF!</definedName>
    <definedName name="R_G.Cobr.Atualiz">#REF!</definedName>
    <definedName name="R_PmaisJAtualiz">#REF!</definedName>
    <definedName name="R_Prev.PerdaAtualiz">#REF!</definedName>
    <definedName name="RADIO" localSheetId="2" hidden="1">{"HW",#N/A,FALSE,"1998"}</definedName>
    <definedName name="RADIO" localSheetId="0" hidden="1">{"HW",#N/A,FALSE,"1998"}</definedName>
    <definedName name="RADIO" hidden="1">{"HW",#N/A,FALSE,"1998"}</definedName>
    <definedName name="RANGE">#REF!</definedName>
    <definedName name="RANGE1">#REF!</definedName>
    <definedName name="RANGE2">#REF!</definedName>
    <definedName name="RARQIMP">#REF!</definedName>
    <definedName name="RawData">#REF!</definedName>
    <definedName name="RE">#REF!</definedName>
    <definedName name="RECADUC">#REF!</definedName>
    <definedName name="Recebido_Acumulado_2015_Controladoria">#REF!</definedName>
    <definedName name="RE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 localSheetId="0">#REF!</definedName>
    <definedName name="reforsu">#REF!</definedName>
    <definedName name="REL_RJ">#REF!</definedName>
    <definedName name="REL_SP">#REF!</definedName>
    <definedName name="relat3">#REF!</definedName>
    <definedName name="ren" localSheetId="0">#REF!</definedName>
    <definedName name="ren">#REF!</definedName>
    <definedName name="REPETIÇÃO">#REF!</definedName>
    <definedName name="ReqC">#REF!</definedName>
    <definedName name="Responsável_Rel_Controladoria">#REF!</definedName>
    <definedName name="resum" localSheetId="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>#REF!</definedName>
    <definedName name="RESUMO2" localSheetId="2" hidden="1">{#N/A,#N/A,TRUE,"Quinzena 01 à 15-04-98 "}</definedName>
    <definedName name="RESUMO2" localSheetId="0" hidden="1">{#N/A,#N/A,TRUE,"Quinzena 01 à 15-04-98 "}</definedName>
    <definedName name="RESUMO2" hidden="1">{#N/A,#N/A,TRUE,"Quinzena 01 à 15-04-98 "}</definedName>
    <definedName name="REV" localSheetId="0">#REF!</definedName>
    <definedName name="REV">#REF!</definedName>
    <definedName name="RF" localSheetId="2" hidden="1">{#N/A,#N/A,FALSE,"CCTV"}</definedName>
    <definedName name="RF" localSheetId="0" hidden="1">{#N/A,#N/A,FALSE,"CCTV"}</definedName>
    <definedName name="RF" hidden="1">{#N/A,#N/A,FALSE,"CCTV"}</definedName>
    <definedName name="rgedrfrgfdg" localSheetId="2" hidden="1">{#N/A,#N/A,FALSE,"Plan1";#N/A,#N/A,FALSE,"Plan2"}</definedName>
    <definedName name="rgedrfrgfdg" localSheetId="0" hidden="1">{#N/A,#N/A,FALSE,"Plan1";#N/A,#N/A,FALSE,"Plan2"}</definedName>
    <definedName name="rgedrfrgfdg" hidden="1">{#N/A,#N/A,FALSE,"Plan1";#N/A,#N/A,FALSE,"Plan2"}</definedName>
    <definedName name="rhdrmq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>#REF!</definedName>
    <definedName name="ridbeb">#REF!</definedName>
    <definedName name="RIDCHAF">#REF!</definedName>
    <definedName name="ridres05">#REF!</definedName>
    <definedName name="RIDRES10">#REF!</definedName>
    <definedName name="RIDRES15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SwapState" hidden="1">"True"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O">#REF!</definedName>
    <definedName name="Rodapé">#REF!</definedName>
    <definedName name="RODAPÉS">#REF!</definedName>
    <definedName name="ROMANO">#REF!</definedName>
    <definedName name="ROTCOMP">#REF!</definedName>
    <definedName name="ROTIMP">#REF!</definedName>
    <definedName name="ROTRES">#REF!</definedName>
    <definedName name="RQTADUC">#REF!</definedName>
    <definedName name="rqtbeb">#REF!</definedName>
    <definedName name="RQTCHAF">#REF!</definedName>
    <definedName name="RQTDERV">#REF!</definedName>
    <definedName name="rres05">#REF!</definedName>
    <definedName name="RRES10">#REF!</definedName>
    <definedName name="RRES15">#REF!</definedName>
    <definedName name="RRES20">#REF!</definedName>
    <definedName name="RRR" localSheetId="0" hidden="1">#REF!</definedName>
    <definedName name="RRR" hidden="1">#REF!</definedName>
    <definedName name="rrrrr" localSheetId="2" hidden="1">{"'장비'!$A$3:$M$12"}</definedName>
    <definedName name="rrrrr" localSheetId="0" hidden="1">{"'장비'!$A$3:$M$12"}</definedName>
    <definedName name="rrrrr" hidden="1">{"'장비'!$A$3:$M$12"}</definedName>
    <definedName name="rrrrrrrr" localSheetId="2" hidden="1">{"'장비'!$A$3:$M$12"}</definedName>
    <definedName name="rrrrrrrr" localSheetId="0" hidden="1">{"'장비'!$A$3:$M$12"}</definedName>
    <definedName name="rrrrrrrr" hidden="1">{"'장비'!$A$3:$M$12"}</definedName>
    <definedName name="rrrrrrrrrrr" localSheetId="2" hidden="1">{#N/A,#N/A,TRUE,"Quinzena 01 à 15-04-98 "}</definedName>
    <definedName name="rrrrrrrrrrr" localSheetId="0" hidden="1">{#N/A,#N/A,TRUE,"Quinzena 01 à 15-04-98 "}</definedName>
    <definedName name="rrrrrrrrrrr" hidden="1">{#N/A,#N/A,TRUE,"Quinzena 01 à 15-04-98 "}</definedName>
    <definedName name="RSEQ">#REF!</definedName>
    <definedName name="RSUBTOT">#REF!</definedName>
    <definedName name="rtitbeb">#REF!</definedName>
    <definedName name="RTITCHAF">#REF!</definedName>
    <definedName name="rtubos">#REF!</definedName>
    <definedName name="RTYE" localSheetId="2" hidden="1">{"'장비'!$A$3:$M$12"}</definedName>
    <definedName name="RTYE" localSheetId="0" hidden="1">{"'장비'!$A$3:$M$12"}</definedName>
    <definedName name="RTYE" hidden="1">{"'장비'!$A$3:$M$12"}</definedName>
    <definedName name="s">#REF!</definedName>
    <definedName name="sa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0">#REF!</definedName>
    <definedName name="s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localSheetId="2" hidden="1">{#N/A,#N/A,FALSE,"Plan1";#N/A,#N/A,FALSE,"Plan2"}</definedName>
    <definedName name="sadasd" localSheetId="0" hidden="1">{#N/A,#N/A,FALSE,"Plan1";#N/A,#N/A,FALSE,"Plan2"}</definedName>
    <definedName name="sadasd" hidden="1">{#N/A,#N/A,FALSE,"Plan1";#N/A,#N/A,FALSE,"Plan2"}</definedName>
    <definedName name="sadke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localSheetId="2" hidden="1">{#N/A,#N/A,FALSE,"Plan1";#N/A,#N/A,FALSE,"Plan2"}</definedName>
    <definedName name="sadkrjkedft" localSheetId="0" hidden="1">{#N/A,#N/A,FALSE,"Plan1";#N/A,#N/A,FALSE,"Plan2"}</definedName>
    <definedName name="sadkrjkedft" hidden="1">{#N/A,#N/A,FALSE,"Plan1";#N/A,#N/A,FALSE,"Plan2"}</definedName>
    <definedName name="SADSRTR" localSheetId="2" hidden="1">{#N/A,#N/A,FALSE,"Plan1";#N/A,#N/A,FALSE,"Plan2"}</definedName>
    <definedName name="SADSRTR" localSheetId="0" hidden="1">{#N/A,#N/A,FALSE,"Plan1";#N/A,#N/A,FALSE,"Plan2"}</definedName>
    <definedName name="SADSRTR" hidden="1">{#N/A,#N/A,FALSE,"Plan1";#N/A,#N/A,FALSE,"Plan2"}</definedName>
    <definedName name="sadwde" localSheetId="2" hidden="1">{#N/A,#N/A,FALSE,"Plan1";#N/A,#N/A,FALSE,"Plan2"}</definedName>
    <definedName name="sadwde" localSheetId="0" hidden="1">{#N/A,#N/A,FALSE,"Plan1";#N/A,#N/A,FALSE,"Plan2"}</definedName>
    <definedName name="sadwde" hidden="1">{#N/A,#N/A,FALSE,"Plan1";#N/A,#N/A,FALSE,"Plan2"}</definedName>
    <definedName name="Salas">#REF!</definedName>
    <definedName name="sanjay" localSheetId="2" hidden="1">{#N/A,#N/A,FALSE,"TABLE"}</definedName>
    <definedName name="sanjay" localSheetId="0" hidden="1">{#N/A,#N/A,FALSE,"TABLE"}</definedName>
    <definedName name="sanjay" hidden="1">{#N/A,#N/A,FALSE,"TABLE"}</definedName>
    <definedName name="sapata">#REF!</definedName>
    <definedName name="SAPBEXrevision" hidden="1">14</definedName>
    <definedName name="SAPBEXsysID" hidden="1">"BW3"</definedName>
    <definedName name="SAPBEXwbID" hidden="1">"3SO04G3IWYENSZLK6QOKKYLB2"</definedName>
    <definedName name="SAS" localSheetId="2" hidden="1">{#N/A,#N/A,FALSE,"Plan1";#N/A,#N/A,FALSE,"Plan2"}</definedName>
    <definedName name="SAS" localSheetId="0" hidden="1">{#N/A,#N/A,FALSE,"Plan1";#N/A,#N/A,FALSE,"Plan2"}</definedName>
    <definedName name="SAS" hidden="1">{#N/A,#N/A,FALSE,"Plan1";#N/A,#N/A,FALSE,"Plan2"}</definedName>
    <definedName name="sasads" localSheetId="2" hidden="1">{#N/A,#N/A,FALSE,"Plan1";#N/A,#N/A,FALSE,"Plan2"}</definedName>
    <definedName name="sasads" localSheetId="0" hidden="1">{#N/A,#N/A,FALSE,"Plan1";#N/A,#N/A,FALSE,"Plan2"}</definedName>
    <definedName name="sasads" hidden="1">{#N/A,#N/A,FALSE,"Plan1";#N/A,#N/A,FALSE,"Plan2"}</definedName>
    <definedName name="SC" hidden="1">#REF!</definedName>
    <definedName name="sçadldfsfd" hidden="1">25</definedName>
    <definedName name="sda">#REF!</definedName>
    <definedName name="sdae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localSheetId="2" hidden="1">{#N/A,#N/A,FALSE,"Plan1";#N/A,#N/A,FALSE,"Plan2"}</definedName>
    <definedName name="SDAOTGFR" localSheetId="0" hidden="1">{#N/A,#N/A,FALSE,"Plan1";#N/A,#N/A,FALSE,"Plan2"}</definedName>
    <definedName name="SDAOTGFR" hidden="1">{#N/A,#N/A,FALSE,"Plan1";#N/A,#N/A,FALSE,"Plan2"}</definedName>
    <definedName name="sdckd" localSheetId="2" hidden="1">{#N/A,#N/A,FALSE,"Plan1";#N/A,#N/A,FALSE,"Plan2"}</definedName>
    <definedName name="sdckd" localSheetId="0" hidden="1">{#N/A,#N/A,FALSE,"Plan1";#N/A,#N/A,FALSE,"Plan2"}</definedName>
    <definedName name="sdckd" hidden="1">{#N/A,#N/A,FALSE,"Plan1";#N/A,#N/A,FALSE,"Plan2"}</definedName>
    <definedName name="SDDFKSEDE" localSheetId="2" hidden="1">{#N/A,#N/A,FALSE,"Plan1";#N/A,#N/A,FALSE,"Plan2"}</definedName>
    <definedName name="SDDFKSEDE" localSheetId="0" hidden="1">{#N/A,#N/A,FALSE,"Plan1";#N/A,#N/A,FALSE,"Plan2"}</definedName>
    <definedName name="SDDFKSEDE" hidden="1">{#N/A,#N/A,FALSE,"Plan1";#N/A,#N/A,FALSE,"Plan2"}</definedName>
    <definedName name="sddkslker" localSheetId="2" hidden="1">{#N/A,#N/A,FALSE,"Plan1";#N/A,#N/A,FALSE,"Plan2"}</definedName>
    <definedName name="sddkslker" localSheetId="0" hidden="1">{#N/A,#N/A,FALSE,"Plan1";#N/A,#N/A,FALSE,"Plan2"}</definedName>
    <definedName name="sddkslker" hidden="1">{#N/A,#N/A,FALSE,"Plan1";#N/A,#N/A,FALSE,"Plan2"}</definedName>
    <definedName name="sdefr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hidden="1">#REF!</definedName>
    <definedName name="sdf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localSheetId="2" hidden="1">{#N/A,#N/A,FALSE,"Plan1";#N/A,#N/A,FALSE,"Plan2"}</definedName>
    <definedName name="sdfdds" localSheetId="0" hidden="1">{#N/A,#N/A,FALSE,"Plan1";#N/A,#N/A,FALSE,"Plan2"}</definedName>
    <definedName name="sdfdds" hidden="1">{#N/A,#N/A,FALSE,"Plan1";#N/A,#N/A,FALSE,"Plan2"}</definedName>
    <definedName name="sdfdfc" localSheetId="2" hidden="1">{#N/A,#N/A,FALSE,"Plan1";#N/A,#N/A,FALSE,"Plan2"}</definedName>
    <definedName name="sdfdfc" localSheetId="0" hidden="1">{#N/A,#N/A,FALSE,"Plan1";#N/A,#N/A,FALSE,"Plan2"}</definedName>
    <definedName name="sdfdfc" hidden="1">{#N/A,#N/A,FALSE,"Plan1";#N/A,#N/A,FALSE,"Plan2"}</definedName>
    <definedName name="sdfdf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localSheetId="2" hidden="1">{#N/A,#N/A,FALSE,"Plan1";#N/A,#N/A,FALSE,"Plan2"}</definedName>
    <definedName name="sdfdgft" localSheetId="0" hidden="1">{#N/A,#N/A,FALSE,"Plan1";#N/A,#N/A,FALSE,"Plan2"}</definedName>
    <definedName name="sdfdgft" hidden="1">{#N/A,#N/A,FALSE,"Plan1";#N/A,#N/A,FALSE,"Plan2"}</definedName>
    <definedName name="sdfdsf" localSheetId="2" hidden="1">{#N/A,#N/A,FALSE,"Plan1";#N/A,#N/A,FALSE,"Plan2"}</definedName>
    <definedName name="sdfdsf" localSheetId="0" hidden="1">{#N/A,#N/A,FALSE,"Plan1";#N/A,#N/A,FALSE,"Plan2"}</definedName>
    <definedName name="sdfdsf" hidden="1">{#N/A,#N/A,FALSE,"Plan1";#N/A,#N/A,FALSE,"Plan2"}</definedName>
    <definedName name="sdfdsf\da" localSheetId="2" hidden="1">{#N/A,#N/A,FALSE,"Plan1";#N/A,#N/A,FALSE,"Plan2"}</definedName>
    <definedName name="sdfdsf\da" localSheetId="0" hidden="1">{#N/A,#N/A,FALSE,"Plan1";#N/A,#N/A,FALSE,"Plan2"}</definedName>
    <definedName name="sdfdsf\da" hidden="1">{#N/A,#N/A,FALSE,"Plan1";#N/A,#N/A,FALSE,"Plan2"}</definedName>
    <definedName name="SDFEDRT" localSheetId="2" hidden="1">{#N/A,#N/A,FALSE,"Plan1";#N/A,#N/A,FALSE,"Plan2"}</definedName>
    <definedName name="SDFEDRT" localSheetId="0" hidden="1">{#N/A,#N/A,FALSE,"Plan1";#N/A,#N/A,FALSE,"Plan2"}</definedName>
    <definedName name="SDFEDRT" hidden="1">{#N/A,#N/A,FALSE,"Plan1";#N/A,#N/A,FALSE,"Plan2"}</definedName>
    <definedName name="sdfer" localSheetId="2" hidden="1">{#N/A,#N/A,FALSE,"Plan1";#N/A,#N/A,FALSE,"Plan2"}</definedName>
    <definedName name="sdfer" localSheetId="0" hidden="1">{#N/A,#N/A,FALSE,"Plan1";#N/A,#N/A,FALSE,"Plan2"}</definedName>
    <definedName name="sdfer" hidden="1">{#N/A,#N/A,FALSE,"Plan1";#N/A,#N/A,FALSE,"Plan2"}</definedName>
    <definedName name="sdferr" localSheetId="2" hidden="1">{#N/A,#N/A,FALSE,"Plan1";#N/A,#N/A,FALSE,"Plan2"}</definedName>
    <definedName name="sdferr" localSheetId="0" hidden="1">{#N/A,#N/A,FALSE,"Plan1";#N/A,#N/A,FALSE,"Plan2"}</definedName>
    <definedName name="sdferr" hidden="1">{#N/A,#N/A,FALSE,"Plan1";#N/A,#N/A,FALSE,"Plan2"}</definedName>
    <definedName name="sdfe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localSheetId="2" hidden="1">{#N/A,#N/A,FALSE,"Plan1";#N/A,#N/A,FALSE,"Plan2"}</definedName>
    <definedName name="SDFGJFSRF" localSheetId="0" hidden="1">{#N/A,#N/A,FALSE,"Plan1";#N/A,#N/A,FALSE,"Plan2"}</definedName>
    <definedName name="SDFGJFSRF" hidden="1">{#N/A,#N/A,FALSE,"Plan1";#N/A,#N/A,FALSE,"Plan2"}</definedName>
    <definedName name="sdfgtr" localSheetId="2" hidden="1">{#N/A,#N/A,FALSE,"Plan1";#N/A,#N/A,FALSE,"Plan2"}</definedName>
    <definedName name="sdfgtr" localSheetId="0" hidden="1">{#N/A,#N/A,FALSE,"Plan1";#N/A,#N/A,FALSE,"Plan2"}</definedName>
    <definedName name="sdfgtr" hidden="1">{#N/A,#N/A,FALSE,"Plan1";#N/A,#N/A,FALSE,"Plan2"}</definedName>
    <definedName name="sdfjdetrt" localSheetId="2" hidden="1">{#N/A,#N/A,FALSE,"Plan1";#N/A,#N/A,FALSE,"Plan2"}</definedName>
    <definedName name="sdfjdetrt" localSheetId="0" hidden="1">{#N/A,#N/A,FALSE,"Plan1";#N/A,#N/A,FALSE,"Plan2"}</definedName>
    <definedName name="sdfjdetrt" hidden="1">{#N/A,#N/A,FALSE,"Plan1";#N/A,#N/A,FALSE,"Plan2"}</definedName>
    <definedName name="SDFJDRTJEIDR" localSheetId="2" hidden="1">{#N/A,#N/A,FALSE,"Plan1";#N/A,#N/A,FALSE,"Plan2"}</definedName>
    <definedName name="SDFJDRTJEIDR" localSheetId="0" hidden="1">{#N/A,#N/A,FALSE,"Plan1";#N/A,#N/A,FALSE,"Plan2"}</definedName>
    <definedName name="SDFJDRTJEIDR" hidden="1">{#N/A,#N/A,FALSE,"Plan1";#N/A,#N/A,FALSE,"Plan2"}</definedName>
    <definedName name="sdfjergtij" localSheetId="2" hidden="1">{#N/A,#N/A,FALSE,"Plan1";#N/A,#N/A,FALSE,"Plan2"}</definedName>
    <definedName name="sdfjergtij" localSheetId="0" hidden="1">{#N/A,#N/A,FALSE,"Plan1";#N/A,#N/A,FALSE,"Plan2"}</definedName>
    <definedName name="sdfjergtij" hidden="1">{#N/A,#N/A,FALSE,"Plan1";#N/A,#N/A,FALSE,"Plan2"}</definedName>
    <definedName name="SDFOPJKWE" localSheetId="2" hidden="1">{#N/A,#N/A,FALSE,"Plan1";#N/A,#N/A,FALSE,"Plan2"}</definedName>
    <definedName name="SDFOPJKWE" localSheetId="0" hidden="1">{#N/A,#N/A,FALSE,"Plan1";#N/A,#N/A,FALSE,"Plan2"}</definedName>
    <definedName name="SDFOPJKWE" hidden="1">{#N/A,#N/A,FALSE,"Plan1";#N/A,#N/A,FALSE,"Plan2"}</definedName>
    <definedName name="sdfrdt5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localSheetId="2" hidden="1">{#N/A,#N/A,FALSE,"Plan1";#N/A,#N/A,FALSE,"Plan2"}</definedName>
    <definedName name="sdfrt" localSheetId="0" hidden="1">{#N/A,#N/A,FALSE,"Plan1";#N/A,#N/A,FALSE,"Plan2"}</definedName>
    <definedName name="sdfrt" hidden="1">{#N/A,#N/A,FALSE,"Plan1";#N/A,#N/A,FALSE,"Plan2"}</definedName>
    <definedName name="SDFRTKK" localSheetId="2" hidden="1">{#N/A,#N/A,FALSE,"Plan1";#N/A,#N/A,FALSE,"Plan2"}</definedName>
    <definedName name="SDFRTKK" localSheetId="0" hidden="1">{#N/A,#N/A,FALSE,"Plan1";#N/A,#N/A,FALSE,"Plan2"}</definedName>
    <definedName name="SDFRTKK" hidden="1">{#N/A,#N/A,FALSE,"Plan1";#N/A,#N/A,FALSE,"Plan2"}</definedName>
    <definedName name="SDFRTR" localSheetId="2" hidden="1">{#N/A,#N/A,FALSE,"Plan1";#N/A,#N/A,FALSE,"Plan2"}</definedName>
    <definedName name="SDFRTR" localSheetId="0" hidden="1">{#N/A,#N/A,FALSE,"Plan1";#N/A,#N/A,FALSE,"Plan2"}</definedName>
    <definedName name="SDFRTR" hidden="1">{#N/A,#N/A,FALSE,"Plan1";#N/A,#N/A,FALSE,"Plan2"}</definedName>
    <definedName name="sdfry6" localSheetId="2" hidden="1">{#N/A,#N/A,FALSE,"Plan1";#N/A,#N/A,FALSE,"Plan2"}</definedName>
    <definedName name="sdfry6" localSheetId="0" hidden="1">{#N/A,#N/A,FALSE,"Plan1";#N/A,#N/A,FALSE,"Plan2"}</definedName>
    <definedName name="sdfry6" hidden="1">{#N/A,#N/A,FALSE,"Plan1";#N/A,#N/A,FALSE,"Plan2"}</definedName>
    <definedName name="sdfsaf" localSheetId="2" hidden="1">{#N/A,#N/A,FALSE,"Plan1";#N/A,#N/A,FALSE,"Plan2"}</definedName>
    <definedName name="sdfsaf" localSheetId="0" hidden="1">{#N/A,#N/A,FALSE,"Plan1";#N/A,#N/A,FALSE,"Plan2"}</definedName>
    <definedName name="sdfsaf" hidden="1">{#N/A,#N/A,FALSE,"Plan1";#N/A,#N/A,FALSE,"Plan2"}</definedName>
    <definedName name="sdfsd" localSheetId="2" hidden="1">{"'Estimativa de Lançamento-JAN'!$A$1:$AI$85"}</definedName>
    <definedName name="sdfsd" localSheetId="0" hidden="1">{"'Estimativa de Lançamento-JAN'!$A$1:$AI$85"}</definedName>
    <definedName name="sdfsd" hidden="1">{"'Estimativa de Lançamento-JAN'!$A$1:$AI$85"}</definedName>
    <definedName name="sdfsdfg" localSheetId="2" hidden="1">{#N/A,#N/A,FALSE,"Plan1";#N/A,#N/A,FALSE,"Plan2"}</definedName>
    <definedName name="sdfsdfg" localSheetId="0" hidden="1">{#N/A,#N/A,FALSE,"Plan1";#N/A,#N/A,FALSE,"Plan2"}</definedName>
    <definedName name="sdfsdfg" hidden="1">{#N/A,#N/A,FALSE,"Plan1";#N/A,#N/A,FALSE,"Plan2"}</definedName>
    <definedName name="SDFSDFK" localSheetId="2" hidden="1">{#N/A,#N/A,FALSE,"Plan1";#N/A,#N/A,FALSE,"Plan2"}</definedName>
    <definedName name="SDFSDFK" localSheetId="0" hidden="1">{#N/A,#N/A,FALSE,"Plan1";#N/A,#N/A,FALSE,"Plan2"}</definedName>
    <definedName name="SDFSDFK" hidden="1">{#N/A,#N/A,FALSE,"Plan1";#N/A,#N/A,FALSE,"Plan2"}</definedName>
    <definedName name="sdfsdgftret" localSheetId="2" hidden="1">{#N/A,#N/A,FALSE,"Plan1";#N/A,#N/A,FALSE,"Plan2"}</definedName>
    <definedName name="sdfsdgftret" localSheetId="0" hidden="1">{#N/A,#N/A,FALSE,"Plan1";#N/A,#N/A,FALSE,"Plan2"}</definedName>
    <definedName name="sdfsdgftret" hidden="1">{#N/A,#N/A,FALSE,"Plan1";#N/A,#N/A,FALSE,"Plan2"}</definedName>
    <definedName name="sdfsdr" hidden="1">1</definedName>
    <definedName name="SDFS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sf" localSheetId="0" hidden="1">{#N/A,#N/A,FALSE,"Plan1";#N/A,#N/A,FALSE,"Plan2"}</definedName>
    <definedName name="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SFRT" localSheetId="2" hidden="1">{"Econ Consolidado",#N/A,FALSE,"Econ Consol";"Fluxo de Caixa",#N/A,FALSE,"Fluxo Caixa";"Investimentos",#N/A,FALSE,"Investimentos"}</definedName>
    <definedName name="SDFSFRT" localSheetId="0" hidden="1">{"Econ Consolidado",#N/A,FALSE,"Econ Consol";"Fluxo de Caixa",#N/A,FALSE,"Fluxo Caixa";"Investimentos",#N/A,FALSE,"Investimentos"}</definedName>
    <definedName name="SDFSFRT" hidden="1">{"Econ Consolidado",#N/A,FALSE,"Econ Consol";"Fluxo de Caixa",#N/A,FALSE,"Fluxo Caixa";"Investimentos",#N/A,FALSE,"Investimentos"}</definedName>
    <definedName name="sdfsr" localSheetId="2" hidden="1">{#N/A,#N/A,FALSE,"Plan1";#N/A,#N/A,FALSE,"Plan2"}</definedName>
    <definedName name="sdfsr" localSheetId="0" hidden="1">{#N/A,#N/A,FALSE,"Plan1";#N/A,#N/A,FALSE,"Plan2"}</definedName>
    <definedName name="sdfsr" hidden="1">{#N/A,#N/A,FALSE,"Plan1";#N/A,#N/A,FALSE,"Plan2"}</definedName>
    <definedName name="sdfty" localSheetId="2" hidden="1">{#N/A,#N/A,FALSE,"Plan1";#N/A,#N/A,FALSE,"Plan2"}</definedName>
    <definedName name="sdfty" localSheetId="0" hidden="1">{#N/A,#N/A,FALSE,"Plan1";#N/A,#N/A,FALSE,"Plan2"}</definedName>
    <definedName name="sdfty" hidden="1">{#N/A,#N/A,FALSE,"Plan1";#N/A,#N/A,FALSE,"Plan2"}</definedName>
    <definedName name="sdgdf" localSheetId="2" hidden="1">{#N/A,#N/A,FALSE,"Plan1";#N/A,#N/A,FALSE,"Plan2"}</definedName>
    <definedName name="sdgdf" localSheetId="0" hidden="1">{#N/A,#N/A,FALSE,"Plan1";#N/A,#N/A,FALSE,"Plan2"}</definedName>
    <definedName name="sdgdf" hidden="1">{#N/A,#N/A,FALSE,"Plan1";#N/A,#N/A,FALSE,"Plan2"}</definedName>
    <definedName name="sdgfrt" localSheetId="2" hidden="1">{#N/A,#N/A,FALSE,"Plan1";#N/A,#N/A,FALSE,"Plan2"}</definedName>
    <definedName name="sdgfrt" localSheetId="0" hidden="1">{#N/A,#N/A,FALSE,"Plan1";#N/A,#N/A,FALSE,"Plan2"}</definedName>
    <definedName name="sdgfrt" hidden="1">{#N/A,#N/A,FALSE,"Plan1";#N/A,#N/A,FALSE,"Plan2"}</definedName>
    <definedName name="sdgft" localSheetId="2" hidden="1">{#N/A,#N/A,FALSE,"Plan1";#N/A,#N/A,FALSE,"Plan2"}</definedName>
    <definedName name="sdgft" localSheetId="0" hidden="1">{#N/A,#N/A,FALSE,"Plan1";#N/A,#N/A,FALSE,"Plan2"}</definedName>
    <definedName name="sdgft" hidden="1">{#N/A,#N/A,FALSE,"Plan1";#N/A,#N/A,FALSE,"Plan2"}</definedName>
    <definedName name="sdgt" localSheetId="2" hidden="1">{#N/A,#N/A,FALSE,"Plan1";#N/A,#N/A,FALSE,"Plan2"}</definedName>
    <definedName name="sdgt" localSheetId="0" hidden="1">{#N/A,#N/A,FALSE,"Plan1";#N/A,#N/A,FALSE,"Plan2"}</definedName>
    <definedName name="sdgt" hidden="1">{#N/A,#N/A,FALSE,"Plan1";#N/A,#N/A,FALSE,"Plan2"}</definedName>
    <definedName name="sdgtry" hidden="1">#REF!</definedName>
    <definedName name="sdhfghdsfg" localSheetId="2" hidden="1">{#N/A,#N/A,FALSE,"Plan1";#N/A,#N/A,FALSE,"Plan2"}</definedName>
    <definedName name="sdhfghdsfg" localSheetId="0" hidden="1">{#N/A,#N/A,FALSE,"Plan1";#N/A,#N/A,FALSE,"Plan2"}</definedName>
    <definedName name="sdhfghdsfg" hidden="1">{#N/A,#N/A,FALSE,"Plan1";#N/A,#N/A,FALSE,"Plan2"}</definedName>
    <definedName name="SDHFJKHDFJRE" localSheetId="2" hidden="1">{#N/A,#N/A,FALSE,"Plan1";#N/A,#N/A,FALSE,"Plan2"}</definedName>
    <definedName name="SDHFJKHDFJRE" localSheetId="0" hidden="1">{#N/A,#N/A,FALSE,"Plan1";#N/A,#N/A,FALSE,"Plan2"}</definedName>
    <definedName name="SDHFJKHDFJRE" hidden="1">{#N/A,#N/A,FALSE,"Plan1";#N/A,#N/A,FALSE,"Plan2"}</definedName>
    <definedName name="SDHKFDRKGTR" localSheetId="2" hidden="1">{#N/A,#N/A,FALSE,"Plan1";#N/A,#N/A,FALSE,"Plan2"}</definedName>
    <definedName name="SDHKFDRKGTR" localSheetId="0" hidden="1">{#N/A,#N/A,FALSE,"Plan1";#N/A,#N/A,FALSE,"Plan2"}</definedName>
    <definedName name="SDHKFDRKGTR" hidden="1">{#N/A,#N/A,FALSE,"Plan1";#N/A,#N/A,FALSE,"Plan2"}</definedName>
    <definedName name="sdjdswger" localSheetId="2" hidden="1">{#N/A,#N/A,FALSE,"Plan1";#N/A,#N/A,FALSE,"Plan2"}</definedName>
    <definedName name="sdjdswger" localSheetId="0" hidden="1">{#N/A,#N/A,FALSE,"Plan1";#N/A,#N/A,FALSE,"Plan2"}</definedName>
    <definedName name="sdjdswger" hidden="1">{#N/A,#N/A,FALSE,"Plan1";#N/A,#N/A,FALSE,"Plan2"}</definedName>
    <definedName name="sdjfdf" localSheetId="2" hidden="1">{#N/A,#N/A,FALSE,"Plan1";#N/A,#N/A,FALSE,"Plan2"}</definedName>
    <definedName name="sdjfdf" localSheetId="0" hidden="1">{#N/A,#N/A,FALSE,"Plan1";#N/A,#N/A,FALSE,"Plan2"}</definedName>
    <definedName name="sdjfdf" hidden="1">{#N/A,#N/A,FALSE,"Plan1";#N/A,#N/A,FALSE,"Plan2"}</definedName>
    <definedName name="sdjfhdjk" localSheetId="2" hidden="1">{#N/A,#N/A,FALSE,"Plan1";#N/A,#N/A,FALSE,"Plan2"}</definedName>
    <definedName name="sdjfhdjk" localSheetId="0" hidden="1">{#N/A,#N/A,FALSE,"Plan1";#N/A,#N/A,FALSE,"Plan2"}</definedName>
    <definedName name="sdjfhdjk" hidden="1">{#N/A,#N/A,FALSE,"Plan1";#N/A,#N/A,FALSE,"Plan2"}</definedName>
    <definedName name="SDJFJDER" localSheetId="2" hidden="1">{#N/A,#N/A,FALSE,"Plan1";#N/A,#N/A,FALSE,"Plan2"}</definedName>
    <definedName name="SDJFJDER" localSheetId="0" hidden="1">{#N/A,#N/A,FALSE,"Plan1";#N/A,#N/A,FALSE,"Plan2"}</definedName>
    <definedName name="SDJFJDER" hidden="1">{#N/A,#N/A,FALSE,"Plan1";#N/A,#N/A,FALSE,"Plan2"}</definedName>
    <definedName name="sdjflsdjfl" localSheetId="2" hidden="1">{#N/A,#N/A,FALSE,"Plan1";#N/A,#N/A,FALSE,"Plan2"}</definedName>
    <definedName name="sdjflsdjfl" localSheetId="0" hidden="1">{#N/A,#N/A,FALSE,"Plan1";#N/A,#N/A,FALSE,"Plan2"}</definedName>
    <definedName name="sdjflsdjfl" hidden="1">{#N/A,#N/A,FALSE,"Plan1";#N/A,#N/A,FALSE,"Plan2"}</definedName>
    <definedName name="SDJHF" localSheetId="2" hidden="1">{#N/A,#N/A,FALSE,"Plan1";#N/A,#N/A,FALSE,"Plan2"}</definedName>
    <definedName name="SDJHF" localSheetId="0" hidden="1">{#N/A,#N/A,FALSE,"Plan1";#N/A,#N/A,FALSE,"Plan2"}</definedName>
    <definedName name="SDJHF" hidden="1">{#N/A,#N/A,FALSE,"Plan1";#N/A,#N/A,FALSE,"Plan2"}</definedName>
    <definedName name="sdjrderertrr" localSheetId="2" hidden="1">{#N/A,#N/A,FALSE,"Plan1";#N/A,#N/A,FALSE,"Plan2"}</definedName>
    <definedName name="sdjrderertrr" localSheetId="0" hidden="1">{#N/A,#N/A,FALSE,"Plan1";#N/A,#N/A,FALSE,"Plan2"}</definedName>
    <definedName name="sdjrderertrr" hidden="1">{#N/A,#N/A,FALSE,"Plan1";#N/A,#N/A,FALSE,"Plan2"}</definedName>
    <definedName name="sdkdjk" localSheetId="2" hidden="1">{#N/A,#N/A,FALSE,"Plan1";#N/A,#N/A,FALSE,"Plan2"}</definedName>
    <definedName name="sdkdjk" localSheetId="0" hidden="1">{#N/A,#N/A,FALSE,"Plan1";#N/A,#N/A,FALSE,"Plan2"}</definedName>
    <definedName name="sdkdjk" hidden="1">{#N/A,#N/A,FALSE,"Plan1";#N/A,#N/A,FALSE,"Plan2"}</definedName>
    <definedName name="sdkfjhkdgfhk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localSheetId="2" hidden="1">{#N/A,#N/A,FALSE,"Plan1";#N/A,#N/A,FALSE,"Plan2"}</definedName>
    <definedName name="sdkfnjd" localSheetId="0" hidden="1">{#N/A,#N/A,FALSE,"Plan1";#N/A,#N/A,FALSE,"Plan2"}</definedName>
    <definedName name="sdkfnjd" hidden="1">{#N/A,#N/A,FALSE,"Plan1";#N/A,#N/A,FALSE,"Plan2"}</definedName>
    <definedName name="sdkk" localSheetId="2" hidden="1">{#N/A,#N/A,FALSE,"Plan1";#N/A,#N/A,FALSE,"Plan2"}</definedName>
    <definedName name="sdkk" localSheetId="0" hidden="1">{#N/A,#N/A,FALSE,"Plan1";#N/A,#N/A,FALSE,"Plan2"}</definedName>
    <definedName name="sdkk" hidden="1">{#N/A,#N/A,FALSE,"Plan1";#N/A,#N/A,FALSE,"Plan2"}</definedName>
    <definedName name="sdlfsdflj" localSheetId="2" hidden="1">{#N/A,#N/A,FALSE,"Plan1";#N/A,#N/A,FALSE,"Plan2"}</definedName>
    <definedName name="sdlfsdflj" localSheetId="0" hidden="1">{#N/A,#N/A,FALSE,"Plan1";#N/A,#N/A,FALSE,"Plan2"}</definedName>
    <definedName name="sdlfsdflj" hidden="1">{#N/A,#N/A,FALSE,"Plan1";#N/A,#N/A,FALSE,"Plan2"}</definedName>
    <definedName name="sdmfmdfsgfd" localSheetId="2" hidden="1">{#N/A,#N/A,FALSE,"Plan1";#N/A,#N/A,FALSE,"Plan2"}</definedName>
    <definedName name="sdmfmdfsgfd" localSheetId="0" hidden="1">{#N/A,#N/A,FALSE,"Plan1";#N/A,#N/A,FALSE,"Plan2"}</definedName>
    <definedName name="sdmfmdfsgfd" hidden="1">{#N/A,#N/A,FALSE,"Plan1";#N/A,#N/A,FALSE,"Plan2"}</definedName>
    <definedName name="sd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localSheetId="2" hidden="1">{#N/A,#N/A,FALSE,"Plan1";#N/A,#N/A,FALSE,"Plan2"}</definedName>
    <definedName name="sdrfgt" localSheetId="0" hidden="1">{#N/A,#N/A,FALSE,"Plan1";#N/A,#N/A,FALSE,"Plan2"}</definedName>
    <definedName name="sdrfgt" hidden="1">{#N/A,#N/A,FALSE,"Plan1";#N/A,#N/A,FALSE,"Plan2"}</definedName>
    <definedName name="sdsd" localSheetId="2" hidden="1">{#N/A,#N/A,FALSE,"Plan1";#N/A,#N/A,FALSE,"Plan2"}</definedName>
    <definedName name="sdsd" localSheetId="0" hidden="1">{#N/A,#N/A,FALSE,"Plan1";#N/A,#N/A,FALSE,"Plan2"}</definedName>
    <definedName name="sdsd" hidden="1">{#N/A,#N/A,FALSE,"Plan1";#N/A,#N/A,FALSE,"Plan2"}</definedName>
    <definedName name="sdser" localSheetId="2" hidden="1">{#N/A,#N/A,FALSE,"Plan1";#N/A,#N/A,FALSE,"Plan2"}</definedName>
    <definedName name="sdser" localSheetId="0" hidden="1">{#N/A,#N/A,FALSE,"Plan1";#N/A,#N/A,FALSE,"Plan2"}</definedName>
    <definedName name="sdser" hidden="1">{#N/A,#N/A,FALSE,"Plan1";#N/A,#N/A,FALSE,"Plan2"}</definedName>
    <definedName name="sdsre" localSheetId="2" hidden="1">{#N/A,#N/A,FALSE,"Plan1";#N/A,#N/A,FALSE,"Plan2"}</definedName>
    <definedName name="sdsre" localSheetId="0" hidden="1">{#N/A,#N/A,FALSE,"Plan1";#N/A,#N/A,FALSE,"Plan2"}</definedName>
    <definedName name="sdsre" hidden="1">{#N/A,#N/A,FALSE,"Plan1";#N/A,#N/A,FALSE,"Plan2"}</definedName>
    <definedName name="sdss" localSheetId="2" hidden="1">{#N/A,#N/A,FALSE,"Plan1";#N/A,#N/A,FALSE,"Plan2"}</definedName>
    <definedName name="sdss" localSheetId="0" hidden="1">{#N/A,#N/A,FALSE,"Plan1";#N/A,#N/A,FALSE,"Plan2"}</definedName>
    <definedName name="sdss" hidden="1">{#N/A,#N/A,FALSE,"Plan1";#N/A,#N/A,FALSE,"Plan2"}</definedName>
    <definedName name="sdtrtg" hidden="1">#REF!</definedName>
    <definedName name="sdusi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localSheetId="2" hidden="1">{"Econ Consolidado",#N/A,FALSE,"Econ Consol";"Fluxo de Caixa",#N/A,FALSE,"Fluxo Caixa";"Investimentos",#N/A,FALSE,"Investimentos"}</definedName>
    <definedName name="SDWER" localSheetId="0" hidden="1">{"Econ Consolidado",#N/A,FALSE,"Econ Consol";"Fluxo de Caixa",#N/A,FALSE,"Fluxo Caixa";"Investimentos",#N/A,FALSE,"Investimentos"}</definedName>
    <definedName name="SDWER" hidden="1">{"Econ Consolidado",#N/A,FALSE,"Econ Consol";"Fluxo de Caixa",#N/A,FALSE,"Fluxo Caixa";"Investimentos",#N/A,FALSE,"Investimentos"}</definedName>
    <definedName name="sdxfrt" localSheetId="2" hidden="1">{#N/A,#N/A,FALSE,"Plan1";#N/A,#N/A,FALSE,"Plan2"}</definedName>
    <definedName name="sdxfrt" localSheetId="0" hidden="1">{#N/A,#N/A,FALSE,"Plan1";#N/A,#N/A,FALSE,"Plan2"}</definedName>
    <definedName name="sdxfrt" hidden="1">{#N/A,#N/A,FALSE,"Plan1";#N/A,#N/A,FALSE,"Plan2"}</definedName>
    <definedName name="SDZFERF" localSheetId="2" hidden="1">{#N/A,#N/A,FALSE,"Plan1";#N/A,#N/A,FALSE,"Plan2"}</definedName>
    <definedName name="SDZFERF" localSheetId="0" hidden="1">{#N/A,#N/A,FALSE,"Plan1";#N/A,#N/A,FALSE,"Plan2"}</definedName>
    <definedName name="SDZFERF" hidden="1">{#N/A,#N/A,FALSE,"Plan1";#N/A,#N/A,FALSE,"Plan2"}</definedName>
    <definedName name="se">#REF!</definedName>
    <definedName name="SEDE">#REF!</definedName>
    <definedName name="sefret4r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 localSheetId="0">#REF!</definedName>
    <definedName name="SEG">#REF!</definedName>
    <definedName name="segftru" localSheetId="2" hidden="1">{#N/A,#N/A,FALSE,"Plan1";#N/A,#N/A,FALSE,"Plan2"}</definedName>
    <definedName name="segftru" localSheetId="0" hidden="1">{#N/A,#N/A,FALSE,"Plan1";#N/A,#N/A,FALSE,"Plan2"}</definedName>
    <definedName name="segftru" hidden="1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>#REF!</definedName>
    <definedName name="sencount" localSheetId="0" hidden="1">3</definedName>
    <definedName name="sencount" hidden="1">1</definedName>
    <definedName name="SEQUENCIA">#REF!</definedName>
    <definedName name="SEREWRSWE" localSheetId="2" hidden="1">{"tabela",#N/A,FALSE,"Tabela";"decoração",#N/A,FALSE,"Decor.";"Informações",#N/A,FALSE,"Inform."}</definedName>
    <definedName name="SEREWRSWE" localSheetId="0" hidden="1">{"tabela",#N/A,FALSE,"Tabela";"decoração",#N/A,FALSE,"Decor.";"Informações",#N/A,FALSE,"Inform."}</definedName>
    <definedName name="SEREWRSWE" hidden="1">{"tabela",#N/A,FALSE,"Tabela";"decoração",#N/A,FALSE,"Decor.";"Informações",#N/A,FALSE,"Inform."}</definedName>
    <definedName name="Set_17">#REF!</definedName>
    <definedName name="SETE">#REF!</definedName>
    <definedName name="SETEMBRO">#REF!</definedName>
    <definedName name="setRJ17">#REF!</definedName>
    <definedName name="severo">#REF!</definedName>
    <definedName name="sf" localSheetId="2" hidden="1">{#N/A,#N/A,FALSE,"Plan1";#N/A,#N/A,FALSE,"Plan2"}</definedName>
    <definedName name="sf" localSheetId="0" hidden="1">{#N/A,#N/A,FALSE,"Plan1";#N/A,#N/A,FALSE,"Plan2"}</definedName>
    <definedName name="sf" hidden="1">{#N/A,#N/A,FALSE,"Plan1";#N/A,#N/A,FALSE,"Plan2"}</definedName>
    <definedName name="sfcrer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localSheetId="2" hidden="1">{#N/A,#N/A,FALSE,"Plan1";#N/A,#N/A,FALSE,"Plan2"}</definedName>
    <definedName name="sfddfd" localSheetId="0" hidden="1">{#N/A,#N/A,FALSE,"Plan1";#N/A,#N/A,FALSE,"Plan2"}</definedName>
    <definedName name="sfddfd" hidden="1">{#N/A,#N/A,FALSE,"Plan1";#N/A,#N/A,FALSE,"Plan2"}</definedName>
    <definedName name="sfds" localSheetId="2" hidden="1">{#N/A,#N/A,FALSE,"Plan1";#N/A,#N/A,FALSE,"Plan2"}</definedName>
    <definedName name="sfds" localSheetId="0" hidden="1">{#N/A,#N/A,FALSE,"Plan1";#N/A,#N/A,FALSE,"Plan2"}</definedName>
    <definedName name="sfds" hidden="1">{#N/A,#N/A,FALSE,"Plan1";#N/A,#N/A,FALSE,"Plan2"}</definedName>
    <definedName name="sfdsd" localSheetId="2" hidden="1">{#N/A,#N/A,FALSE,"Plan1";#N/A,#N/A,FALSE,"Plan2"}</definedName>
    <definedName name="sfdsd" localSheetId="0" hidden="1">{#N/A,#N/A,FALSE,"Plan1";#N/A,#N/A,FALSE,"Plan2"}</definedName>
    <definedName name="sfdsd" hidden="1">{#N/A,#N/A,FALSE,"Plan1";#N/A,#N/A,FALSE,"Plan2"}</definedName>
    <definedName name="SFDSF" hidden="1">34</definedName>
    <definedName name="sfrsdrgt" localSheetId="2" hidden="1">{#N/A,#N/A,FALSE,"Plan1";#N/A,#N/A,FALSE,"Plan2"}</definedName>
    <definedName name="sfrsdrgt" localSheetId="0" hidden="1">{#N/A,#N/A,FALSE,"Plan1";#N/A,#N/A,FALSE,"Plan2"}</definedName>
    <definedName name="sfrsdrgt" hidden="1">{#N/A,#N/A,FALSE,"Plan1";#N/A,#N/A,FALSE,"Plan2"}</definedName>
    <definedName name="SFRT" localSheetId="2" hidden="1">{#N/A,#N/A,FALSE,"Plan1";#N/A,#N/A,FALSE,"Plan2"}</definedName>
    <definedName name="SFRT" localSheetId="0" hidden="1">{#N/A,#N/A,FALSE,"Plan1";#N/A,#N/A,FALSE,"Plan2"}</definedName>
    <definedName name="SFRT" hidden="1">{#N/A,#N/A,FALSE,"Plan1";#N/A,#N/A,FALSE,"Plan2"}</definedName>
    <definedName name="sfsdferf" localSheetId="2" hidden="1">{#N/A,#N/A,FALSE,"Plan1";#N/A,#N/A,FALSE,"Plan2"}</definedName>
    <definedName name="sfsdferf" localSheetId="0" hidden="1">{#N/A,#N/A,FALSE,"Plan1";#N/A,#N/A,FALSE,"Plan2"}</definedName>
    <definedName name="sfsdferf" hidden="1">{#N/A,#N/A,FALSE,"Plan1";#N/A,#N/A,FALSE,"Plan2"}</definedName>
    <definedName name="sfsdfs" hidden="1">34</definedName>
    <definedName name="SFSDS" localSheetId="2" hidden="1">{#N/A,#N/A,FALSE,"Plan1";#N/A,#N/A,FALSE,"Plan2"}</definedName>
    <definedName name="SFSDS" localSheetId="0" hidden="1">{#N/A,#N/A,FALSE,"Plan1";#N/A,#N/A,FALSE,"Plan2"}</definedName>
    <definedName name="SFSDS" hidden="1">{#N/A,#N/A,FALSE,"Plan1";#N/A,#N/A,FALSE,"Plan2"}</definedName>
    <definedName name="SGarantia">#REF!</definedName>
    <definedName name="sgtghty" localSheetId="2" hidden="1">{#N/A,#N/A,FALSE,"Plan1";#N/A,#N/A,FALSE,"Plan2"}</definedName>
    <definedName name="sgtghty" localSheetId="0" hidden="1">{#N/A,#N/A,FALSE,"Plan1";#N/A,#N/A,FALSE,"Plan2"}</definedName>
    <definedName name="sgtghty" hidden="1">{#N/A,#N/A,FALSE,"Plan1";#N/A,#N/A,FALSE,"Plan2"}</definedName>
    <definedName name="S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#N/A</definedName>
    <definedName name="SHARED_FORMULA_1">#N/A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7">#N/A</definedName>
    <definedName name="SHARED_FORMULA_8">#N/A</definedName>
    <definedName name="SHARED_FORMULA_9">#N/A</definedName>
    <definedName name="SIH" localSheetId="0">#REF!</definedName>
    <definedName name="SIH">#REF!</definedName>
    <definedName name="SISTEM1">#REF!</definedName>
    <definedName name="SISTEM2">#REF!</definedName>
    <definedName name="SIV" localSheetId="0">#REF!</definedName>
    <definedName name="SIV">#REF!</definedName>
    <definedName name="sjawe" localSheetId="2" hidden="1">{#N/A,#N/A,FALSE,"Plan1";#N/A,#N/A,FALSE,"Plan2"}</definedName>
    <definedName name="sjawe" localSheetId="0" hidden="1">{#N/A,#N/A,FALSE,"Plan1";#N/A,#N/A,FALSE,"Plan2"}</definedName>
    <definedName name="sjawe" hidden="1">{#N/A,#N/A,FALSE,"Plan1";#N/A,#N/A,FALSE,"Plan2"}</definedName>
    <definedName name="sjdffd" localSheetId="2" hidden="1">{#N/A,#N/A,FALSE,"Plan1";#N/A,#N/A,FALSE,"Plan2"}</definedName>
    <definedName name="sjdffd" localSheetId="0" hidden="1">{#N/A,#N/A,FALSE,"Plan1";#N/A,#N/A,FALSE,"Plan2"}</definedName>
    <definedName name="sjdffd" hidden="1">{#N/A,#N/A,FALSE,"Plan1";#N/A,#N/A,FALSE,"Plan2"}</definedName>
    <definedName name="SJDFHDJS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localSheetId="2" hidden="1">{#N/A,#N/A,FALSE,"Plan1";#N/A,#N/A,FALSE,"Plan2"}</definedName>
    <definedName name="SJDHFHRE" localSheetId="0" hidden="1">{#N/A,#N/A,FALSE,"Plan1";#N/A,#N/A,FALSE,"Plan2"}</definedName>
    <definedName name="SJDHFHRE" hidden="1">{#N/A,#N/A,FALSE,"Plan1";#N/A,#N/A,FALSE,"Plan2"}</definedName>
    <definedName name="SJDKJDE" localSheetId="2" hidden="1">{"Econ Consolidado",#N/A,FALSE,"Econ Consol";"Fluxo de Caixa",#N/A,FALSE,"Fluxo Caixa";"Investimentos",#N/A,FALSE,"Investimentos"}</definedName>
    <definedName name="SJDKJDE" localSheetId="0" hidden="1">{"Econ Consolidado",#N/A,FALSE,"Econ Consol";"Fluxo de Caixa",#N/A,FALSE,"Fluxo Caixa";"Investimentos",#N/A,FALSE,"Investimentos"}</definedName>
    <definedName name="SJDKJDE" hidden="1">{"Econ Consolidado",#N/A,FALSE,"Econ Consol";"Fluxo de Caixa",#N/A,FALSE,"Fluxo Caixa";"Investimentos",#N/A,FALSE,"Investimentos"}</definedName>
    <definedName name="sjekwjri" localSheetId="2" hidden="1">{#N/A,#N/A,FALSE,"Plan1";#N/A,#N/A,FALSE,"Plan2"}</definedName>
    <definedName name="sjekwjri" localSheetId="0" hidden="1">{#N/A,#N/A,FALSE,"Plan1";#N/A,#N/A,FALSE,"Plan2"}</definedName>
    <definedName name="sjekwjri" hidden="1">{#N/A,#N/A,FALSE,"Plan1";#N/A,#N/A,FALSE,"Plan2"}</definedName>
    <definedName name="sjfkdhsfds" localSheetId="2" hidden="1">{#N/A,#N/A,FALSE,"Plan1";#N/A,#N/A,FALSE,"Plan2"}</definedName>
    <definedName name="sjfkdhsfds" localSheetId="0" hidden="1">{#N/A,#N/A,FALSE,"Plan1";#N/A,#N/A,FALSE,"Plan2"}</definedName>
    <definedName name="sjfkdhsfds" hidden="1">{#N/A,#N/A,FALSE,"Plan1";#N/A,#N/A,FALSE,"Plan2"}</definedName>
    <definedName name="sjkdljslkrje" localSheetId="2" hidden="1">{#N/A,#N/A,FALSE,"Plan1";#N/A,#N/A,FALSE,"Plan2"}</definedName>
    <definedName name="sjkdljslkrje" localSheetId="0" hidden="1">{#N/A,#N/A,FALSE,"Plan1";#N/A,#N/A,FALSE,"Plan2"}</definedName>
    <definedName name="sjkdljslkrje" hidden="1">{#N/A,#N/A,FALSE,"Plan1";#N/A,#N/A,FALSE,"Plan2"}</definedName>
    <definedName name="skadadaszs" localSheetId="2" hidden="1">{#N/A,#N/A,FALSE,"Plan1";#N/A,#N/A,FALSE,"Plan2"}</definedName>
    <definedName name="skadadaszs" localSheetId="0" hidden="1">{#N/A,#N/A,FALSE,"Plan1";#N/A,#N/A,FALSE,"Plan2"}</definedName>
    <definedName name="skadadaszs" hidden="1">{#N/A,#N/A,FALSE,"Plan1";#N/A,#N/A,FALSE,"Plan2"}</definedName>
    <definedName name="SKASH" localSheetId="2" hidden="1">{#N/A,#N/A,FALSE,"Plan1";#N/A,#N/A,FALSE,"Plan2"}</definedName>
    <definedName name="SKASH" localSheetId="0" hidden="1">{#N/A,#N/A,FALSE,"Plan1";#N/A,#N/A,FALSE,"Plan2"}</definedName>
    <definedName name="SKASH" hidden="1">{#N/A,#N/A,FALSE,"Plan1";#N/A,#N/A,FALSE,"Plan2"}</definedName>
    <definedName name="skldfrde" localSheetId="2" hidden="1">{#N/A,#N/A,FALSE,"Plan1";#N/A,#N/A,FALSE,"Plan2"}</definedName>
    <definedName name="skldfrde" localSheetId="0" hidden="1">{#N/A,#N/A,FALSE,"Plan1";#N/A,#N/A,FALSE,"Plan2"}</definedName>
    <definedName name="skldfrde" hidden="1">{#N/A,#N/A,FALSE,"Plan1";#N/A,#N/A,FALSE,"Plan2"}</definedName>
    <definedName name="skosroer" localSheetId="2" hidden="1">{#N/A,#N/A,FALSE,"Plan1";#N/A,#N/A,FALSE,"Plan2"}</definedName>
    <definedName name="skosroer" localSheetId="0" hidden="1">{#N/A,#N/A,FALSE,"Plan1";#N/A,#N/A,FALSE,"Plan2"}</definedName>
    <definedName name="skosroer" hidden="1">{#N/A,#N/A,FALSE,"Plan1";#N/A,#N/A,FALSE,"Plan2"}</definedName>
    <definedName name="SO">#REF!</definedName>
    <definedName name="solver_lin" hidden="1">0</definedName>
    <definedName name="solver_num" hidden="1">0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oma">#REF!</definedName>
    <definedName name="sp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localSheetId="2" hidden="1">{#N/A,#N/A,FALSE,"Plan1";#N/A,#N/A,FALSE,"Plan2"}</definedName>
    <definedName name="sQEWWE" localSheetId="0" hidden="1">{#N/A,#N/A,FALSE,"Plan1";#N/A,#N/A,FALSE,"Plan2"}</definedName>
    <definedName name="sQEWWE" hidden="1">{#N/A,#N/A,FALSE,"Plan1";#N/A,#N/A,FALSE,"Plan2"}</definedName>
    <definedName name="SR" hidden="1">#REF!</definedName>
    <definedName name="SR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localSheetId="0">#REF!</definedName>
    <definedName name="SS" hidden="1">#REF!</definedName>
    <definedName name="sssss" localSheetId="0" hidden="1">#REF!</definedName>
    <definedName name="sssss" hidden="1">#REF!</definedName>
    <definedName name="stake_cury">#REF!</definedName>
    <definedName name="status_projeto" localSheetId="2" hidden="1">OFFSET(INDEX(#REF!,MATCH(#REF!,#REF!,0)),1,0,COUNTA(#REF!)-1)</definedName>
    <definedName name="status_projeto" localSheetId="0" hidden="1">OFFSET(INDEX(#REF!,MATCH(#REF!,#REF!,0)),1,0,COUNTA(#REF!)-1)</definedName>
    <definedName name="status_projeto" hidden="1">OFFSET(INDEX(#REF!,MATCH(#REF!,#REF!,0)),1,0,COUNTA(#REF!)-1)</definedName>
    <definedName name="SUB_TOTAL_1">#REF!</definedName>
    <definedName name="SUBDER">#REF!</definedName>
    <definedName name="SUBDIV">#REF!</definedName>
    <definedName name="SUBEQP">#REF!</definedName>
    <definedName name="SUBMUR">#REF!</definedName>
    <definedName name="summ" localSheetId="0" hidden="1">#REF!</definedName>
    <definedName name="summ" hidden="1">#REF!</definedName>
    <definedName name="susref" localSheetId="0">#REF!</definedName>
    <definedName name="susref">#REF!</definedName>
    <definedName name="Swvu.Características." localSheetId="0" hidden="1">#REF!</definedName>
    <definedName name="Swvu.Características." hidden="1">#REF!</definedName>
    <definedName name="Swvu.Ciclos." hidden="1">#REF!</definedName>
    <definedName name="Swvu.Custos." hidden="1">#REF!</definedName>
    <definedName name="Swvu.PLANILHA2." hidden="1">#REF!</definedName>
    <definedName name="Swvu.Recursos." hidden="1">#REF!</definedName>
    <definedName name="T_actual">#REF!</definedName>
    <definedName name="t_cc">#REF!</definedName>
    <definedName name="t_KSB1_Transport">#REF!</definedName>
    <definedName name="tab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>#REF!</definedName>
    <definedName name="TABACABAMENTOS">#REF!</definedName>
    <definedName name="tabela">#REF!</definedName>
    <definedName name="Tabela_Atribuição">#REF!</definedName>
    <definedName name="TABELA_DE_REVESTIMENTOS">#REF!</definedName>
    <definedName name="Tabela_Recursos">#REF!</definedName>
    <definedName name="Tabela_Tarefas">#REF!</definedName>
    <definedName name="Tabela1">#REF!</definedName>
    <definedName name="Tabela2">#REF!</definedName>
    <definedName name="tabela3">#REF!</definedName>
    <definedName name="TABREF">#REF!</definedName>
    <definedName name="tania" localSheetId="0">#REF!</definedName>
    <definedName name="tania">#REF!</definedName>
    <definedName name="TAUX2">OFFSET(#REF!,0,0,COUNTA(#REF!)+1,1)</definedName>
    <definedName name="TAUX3">OFFSET(#REF!,0,0,COUNTA(#REF!)+1,1)</definedName>
    <definedName name="TAXA_VENTO">#REF!</definedName>
    <definedName name="TAXAS">#REF!</definedName>
    <definedName name="TbDin">OFFSET(#REF!,0,0,COUNTA(#REF!),13)</definedName>
    <definedName name="tc" localSheetId="0">#REF!</definedName>
    <definedName name="tc">#REF!</definedName>
    <definedName name="TE">#REF!</definedName>
    <definedName name="TECLA">#REF!</definedName>
    <definedName name="Tendência_Obra_Controladoria">#REF!</definedName>
    <definedName name="TERRENO">#REF!</definedName>
    <definedName name="Test" localSheetId="2" hidden="1">{"'Edit'!$A$1:$V$2277"}</definedName>
    <definedName name="Test" localSheetId="0" hidden="1">{"'Edit'!$A$1:$V$2277"}</definedName>
    <definedName name="Test" hidden="1">{"'Edit'!$A$1:$V$2277"}</definedName>
    <definedName name="TESTANDO" localSheetId="2" hidden="1">{#N/A,#N/A,TRUE,"Quinzena 01 à 15-04-98 "}</definedName>
    <definedName name="TESTANDO" localSheetId="0" hidden="1">{#N/A,#N/A,TRUE,"Quinzena 01 à 15-04-98 "}</definedName>
    <definedName name="TESTANDO" hidden="1">{#N/A,#N/A,TRUE,"Quinzena 01 à 15-04-98 "}</definedName>
    <definedName name="teste">#REF!</definedName>
    <definedName name="teste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>#REF!</definedName>
    <definedName name="TESTHKEY">#REF!</definedName>
    <definedName name="teto1">#REF!</definedName>
    <definedName name="Teto2">#REF!</definedName>
    <definedName name="tetuytw">#REF!</definedName>
    <definedName name="TextRefCopyRangeCount" hidden="1">1</definedName>
    <definedName name="thjgsergsr" localSheetId="2" hidden="1">{#N/A,#N/A,FALSE,"Plan1";#N/A,#N/A,FALSE,"Plan2"}</definedName>
    <definedName name="thjgsergsr" localSheetId="0" hidden="1">{#N/A,#N/A,FALSE,"Plan1";#N/A,#N/A,FALSE,"Plan2"}</definedName>
    <definedName name="thjgsergsr" hidden="1">{#N/A,#N/A,FALSE,"Plan1";#N/A,#N/A,FALSE,"Plan2"}</definedName>
    <definedName name="THYJ" localSheetId="2" hidden="1">{#N/A,#N/A,FALSE,"Plan1";#N/A,#N/A,FALSE,"Plan2"}</definedName>
    <definedName name="THYJ" localSheetId="0" hidden="1">{#N/A,#N/A,FALSE,"Plan1";#N/A,#N/A,FALSE,"Plan2"}</definedName>
    <definedName name="THYJ" hidden="1">{#N/A,#N/A,FALSE,"Plan1";#N/A,#N/A,FALSE,"Plan2"}</definedName>
    <definedName name="tihjgih" localSheetId="2" hidden="1">{#N/A,#N/A,FALSE,"Plan1";#N/A,#N/A,FALSE,"Plan2"}</definedName>
    <definedName name="tihjgih" localSheetId="0" hidden="1">{#N/A,#N/A,FALSE,"Plan1";#N/A,#N/A,FALSE,"Plan2"}</definedName>
    <definedName name="tihjgih" hidden="1">{#N/A,#N/A,FALSE,"Plan1";#N/A,#N/A,FALSE,"Plan2"}</definedName>
    <definedName name="TIPO_CTT">#REF!</definedName>
    <definedName name="Tipo_de_Diretoria">#REF!</definedName>
    <definedName name="Tipo_de_Gestao">#REF!</definedName>
    <definedName name="Tipo_de_Padrao">#REF!</definedName>
    <definedName name="Tipo_de_Regiao">#REF!</definedName>
    <definedName name="Tipo_de_Segmento">#REF!</definedName>
    <definedName name="Tipo_de_Status">#REF!</definedName>
    <definedName name="Tipo_de_UF">#REF!</definedName>
    <definedName name="Tipo_de_Unidade_de_Negocio">#REF!</definedName>
    <definedName name="Tipo_do_cliente">#REF!</definedName>
    <definedName name="tipo_subtotal">#REF!</definedName>
    <definedName name="tipobloco">#REF!</definedName>
    <definedName name="titbeb">#REF!</definedName>
    <definedName name="TITCHAF">#REF!</definedName>
    <definedName name="TituloMkt">#REF!</definedName>
    <definedName name="titulos" localSheetId="0">#REF!</definedName>
    <definedName name="titulos">#REF!</definedName>
    <definedName name="_xlnm.Print_Titles" localSheetId="0">#REF!</definedName>
    <definedName name="_xlnm.Print_Titles">#REF!</definedName>
    <definedName name="Títulos_impressão_IM">#REF!</definedName>
    <definedName name="TMO">#REF!</definedName>
    <definedName name="TOLTAL2">#REF!</definedName>
    <definedName name="TOT" localSheetId="0">#REF!</definedName>
    <definedName name="TOT">#REF!</definedName>
    <definedName name="tot3estac">#REF!</definedName>
    <definedName name="TOTAIS">#REF!</definedName>
    <definedName name="Total" localSheetId="0">#REF!</definedName>
    <definedName name="Total">#REF!</definedName>
    <definedName name="Total_2016_Rel_Controladoria">#REF!</definedName>
    <definedName name="Total_Parcelas_MAP">#REF!</definedName>
    <definedName name="total_unid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ITEM">#REF!</definedName>
    <definedName name="totbase">#REF!</definedName>
    <definedName name="totestaca">#REF!</definedName>
    <definedName name="TOTG">OFFSET(#REF!,0,0,COUNTA(#REF!),1)</definedName>
    <definedName name="totperfura">#REF!</definedName>
    <definedName name="TOTQTS">#REF!</definedName>
    <definedName name="TOTT">OFFSET(#REF!,0,0,COUNTA(#REF!)+1,1)</definedName>
    <definedName name="TR">#REF!</definedName>
    <definedName name="Transferencia1">#REF!</definedName>
    <definedName name="TRES">#REF!</definedName>
    <definedName name="TREZE">#REF!</definedName>
    <definedName name="tri">#REF!</definedName>
    <definedName name="Trimestre_data_base">#REF!</definedName>
    <definedName name="trjyidih" localSheetId="2" hidden="1">{#N/A,#N/A,FALSE,"Plan1";#N/A,#N/A,FALSE,"Plan2"}</definedName>
    <definedName name="trjyidih" localSheetId="0" hidden="1">{#N/A,#N/A,FALSE,"Plan1";#N/A,#N/A,FALSE,"Plan2"}</definedName>
    <definedName name="trjyidih" hidden="1">{#N/A,#N/A,FALSE,"Plan1";#N/A,#N/A,FALSE,"Plan2"}</definedName>
    <definedName name="TRP" localSheetId="0">#REF!</definedName>
    <definedName name="TRP">#REF!</definedName>
    <definedName name="TTT">#REF!</definedName>
    <definedName name="TURNO">#REF!</definedName>
    <definedName name="tuyedjsksj" localSheetId="2" hidden="1">{#N/A,#N/A,FALSE,"Plan1";#N/A,#N/A,FALSE,"Plan2"}</definedName>
    <definedName name="tuyedjsksj" localSheetId="0" hidden="1">{#N/A,#N/A,FALSE,"Plan1";#N/A,#N/A,FALSE,"Plan2"}</definedName>
    <definedName name="tuyedjsksj" hidden="1">{#N/A,#N/A,FALSE,"Plan1";#N/A,#N/A,FALSE,"Plan2"}</definedName>
    <definedName name="TX_ADM">#REF!</definedName>
    <definedName name="tx_desconto_real">#REF!</definedName>
    <definedName name="TxAplicMes">#REF!</definedName>
    <definedName name="TxCdiMes">#REF!</definedName>
    <definedName name="TxDescMes">#REF!</definedName>
    <definedName name="TxSecuritizacaoMes">#REF!</definedName>
    <definedName name="TxSfhEco">#REF!</definedName>
    <definedName name="TxSfhMap">#REF!</definedName>
    <definedName name="TXTEQUIP">#REF!</definedName>
    <definedName name="TXTMARCA">#REF!</definedName>
    <definedName name="TXTMOD">#REF!</definedName>
    <definedName name="TXTPOT">#REF!</definedName>
    <definedName name="TYHGFHFHG" localSheetId="2" hidden="1">{#N/A,#N/A,FALSE,"Plan1";#N/A,#N/A,FALSE,"Plan2"}</definedName>
    <definedName name="TYHGFHFHG" localSheetId="0" hidden="1">{#N/A,#N/A,FALSE,"Plan1";#N/A,#N/A,FALSE,"Plan2"}</definedName>
    <definedName name="TYHGFHFHG" hidden="1">{#N/A,#N/A,FALSE,"Plan1";#N/A,#N/A,FALSE,"Plan2"}</definedName>
    <definedName name="u" localSheetId="2" hidden="1">{#N/A,#N/A,FALSE,"ET-CAPA";#N/A,#N/A,FALSE,"ET-PAG1";#N/A,#N/A,FALSE,"ET-PAG2";#N/A,#N/A,FALSE,"ET-PAG3";#N/A,#N/A,FALSE,"ET-PAG4";#N/A,#N/A,FALSE,"ET-PAG5"}</definedName>
    <definedName name="u" localSheetId="0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udhgfhfg" localSheetId="2" hidden="1">{#N/A,#N/A,FALSE,"Plan1";#N/A,#N/A,FALSE,"Plan2"}</definedName>
    <definedName name="udhgfhfg" localSheetId="0" hidden="1">{#N/A,#N/A,FALSE,"Plan1";#N/A,#N/A,FALSE,"Plan2"}</definedName>
    <definedName name="udhgfhfg" hidden="1">{#N/A,#N/A,FALSE,"Plan1";#N/A,#N/A,FALSE,"Plan2"}</definedName>
    <definedName name="ueiutriuef" localSheetId="2" hidden="1">{#N/A,#N/A,FALSE,"Plan1";#N/A,#N/A,FALSE,"Plan2"}</definedName>
    <definedName name="ueiutriuef" localSheetId="0" hidden="1">{#N/A,#N/A,FALSE,"Plan1";#N/A,#N/A,FALSE,"Plan2"}</definedName>
    <definedName name="ueiutriuef" hidden="1">{#N/A,#N/A,FALSE,"Plan1";#N/A,#N/A,FALSE,"Plan2"}</definedName>
    <definedName name="UENSIT">#REF!</definedName>
    <definedName name="UENSITS">#REF!</definedName>
    <definedName name="UHGSDUS" localSheetId="2" hidden="1">{#N/A,#N/A,FALSE,"Plan1";#N/A,#N/A,FALSE,"Plan2"}</definedName>
    <definedName name="UHGSDUS" localSheetId="0" hidden="1">{#N/A,#N/A,FALSE,"Plan1";#N/A,#N/A,FALSE,"Plan2"}</definedName>
    <definedName name="UHGSDUS" hidden="1">{#N/A,#N/A,FALSE,"Plan1";#N/A,#N/A,FALSE,"Plan2"}</definedName>
    <definedName name="UI" hidden="1">#REF!</definedName>
    <definedName name="UIHWER45R" localSheetId="2" hidden="1">{#N/A,#N/A,FALSE,"Plan1";#N/A,#N/A,FALSE,"Plan2"}</definedName>
    <definedName name="UIHWER45R" localSheetId="0" hidden="1">{#N/A,#N/A,FALSE,"Plan1";#N/A,#N/A,FALSE,"Plan2"}</definedName>
    <definedName name="UIHWER45R" hidden="1">{#N/A,#N/A,FALSE,"Plan1";#N/A,#N/A,FALSE,"Plan2"}</definedName>
    <definedName name="uiosderuiu" localSheetId="2" hidden="1">{#N/A,#N/A,FALSE,"Plan1";#N/A,#N/A,FALSE,"Plan2"}</definedName>
    <definedName name="uiosderuiu" localSheetId="0" hidden="1">{#N/A,#N/A,FALSE,"Plan1";#N/A,#N/A,FALSE,"Plan2"}</definedName>
    <definedName name="uiosderuiu" hidden="1">{#N/A,#N/A,FALSE,"Plan1";#N/A,#N/A,FALSE,"Plan2"}</definedName>
    <definedName name="UIOURET" localSheetId="2" hidden="1">{#N/A,#N/A,FALSE,"Plan1";#N/A,#N/A,FALSE,"Plan2"}</definedName>
    <definedName name="UIOURET" localSheetId="0" hidden="1">{#N/A,#N/A,FALSE,"Plan1";#N/A,#N/A,FALSE,"Plan2"}</definedName>
    <definedName name="UIOURET" hidden="1">{#N/A,#N/A,FALSE,"Plan1";#N/A,#N/A,FALSE,"Plan2"}</definedName>
    <definedName name="uiwuer" localSheetId="2" hidden="1">{#N/A,#N/A,FALSE,"Plan1";#N/A,#N/A,FALSE,"Plan2"}</definedName>
    <definedName name="uiwuer" localSheetId="0" hidden="1">{#N/A,#N/A,FALSE,"Plan1";#N/A,#N/A,FALSE,"Plan2"}</definedName>
    <definedName name="uiwuer" hidden="1">{#N/A,#N/A,FALSE,"Plan1";#N/A,#N/A,FALSE,"Plan2"}</definedName>
    <definedName name="UKHDFDSGUDFKD" localSheetId="2" hidden="1">{#N/A,#N/A,FALSE,"Plan1";#N/A,#N/A,FALSE,"Plan2"}</definedName>
    <definedName name="UKHDFDSGUDFKD" localSheetId="0" hidden="1">{#N/A,#N/A,FALSE,"Plan1";#N/A,#N/A,FALSE,"Plan2"}</definedName>
    <definedName name="UKHDFDSGUDFKD" hidden="1">{#N/A,#N/A,FALSE,"Plan1";#N/A,#N/A,FALSE,"Plan2"}</definedName>
    <definedName name="UM" localSheetId="0">#REF!</definedName>
    <definedName name="um" hidden="1">0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">OFFSET(#REF!,0,0,COUNTA(#REF!),1)</definedName>
    <definedName name="uni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>#REF!</definedName>
    <definedName name="univ_hist">#REF!</definedName>
    <definedName name="univ_uss">#REF!</definedName>
    <definedName name="UPS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localSheetId="2" hidden="1">{#N/A,#N/A,FALSE,"Plan1";#N/A,#N/A,FALSE,"Plan2"}</definedName>
    <definedName name="uryrtyt" localSheetId="0" hidden="1">{#N/A,#N/A,FALSE,"Plan1";#N/A,#N/A,FALSE,"Plan2"}</definedName>
    <definedName name="uryrtyt" hidden="1">{#N/A,#N/A,FALSE,"Plan1";#N/A,#N/A,FALSE,"Plan2"}</definedName>
    <definedName name="V">#REF!</definedName>
    <definedName name="VALIDADE_EXECUÇÃO">#REF!</definedName>
    <definedName name="Valor_PLS_Controladoria">#REF!</definedName>
    <definedName name="Valor_Previsto_Fin_Medições">#REF!</definedName>
    <definedName name="VALOR_REAIS">#REF!</definedName>
    <definedName name="Valor_Recebido_Fin_Medições">#REF!</definedName>
    <definedName name="Valor_Sienge">#REF!</definedName>
    <definedName name="VALOR_VENDA">#REF!</definedName>
    <definedName name="valores_diferidos">#REF!</definedName>
    <definedName name="valve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>#REF!</definedName>
    <definedName name="vdsgfrhgfr" localSheetId="2" hidden="1">{#N/A,#N/A,FALSE,"Plan1";#N/A,#N/A,FALSE,"Plan2"}</definedName>
    <definedName name="vdsgfrhgfr" localSheetId="0" hidden="1">{#N/A,#N/A,FALSE,"Plan1";#N/A,#N/A,FALSE,"Plan2"}</definedName>
    <definedName name="vdsgfrhgfr" hidden="1">{#N/A,#N/A,FALSE,"Plan1";#N/A,#N/A,FALSE,"Plan2"}</definedName>
    <definedName name="Veiculos">#REF!</definedName>
    <definedName name="VENDA_ADOTADA">#REF!</definedName>
    <definedName name="VENDAFINAL_R">#REF!</definedName>
    <definedName name="VENDAFINAL_U">#REF!</definedName>
    <definedName name="Vendas">#REF!</definedName>
    <definedName name="vendas_">#REF!</definedName>
    <definedName name="VERIFICAR" localSheetId="2" hidden="1">{#N/A,#N/A,TRUE,"Quinzena 01 à 15-04-98 "}</definedName>
    <definedName name="VERIFICAR" localSheetId="0" hidden="1">{#N/A,#N/A,TRUE,"Quinzena 01 à 15-04-98 "}</definedName>
    <definedName name="VERIFICAR" hidden="1">{#N/A,#N/A,TRUE,"Quinzena 01 à 15-04-98 "}</definedName>
    <definedName name="versao_estudo">#REF!</definedName>
    <definedName name="vfbg">#REF!</definedName>
    <definedName name="vfnijf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localSheetId="2" hidden="1">{#N/A,#N/A,FALSE,"Plan1";#N/A,#N/A,FALSE,"Plan2"}</definedName>
    <definedName name="VFV" localSheetId="0" hidden="1">{#N/A,#N/A,FALSE,"Plan1";#N/A,#N/A,FALSE,"Plan2"}</definedName>
    <definedName name="VFV" hidden="1">{#N/A,#N/A,FALSE,"Plan1";#N/A,#N/A,FALSE,"Plan2"}</definedName>
    <definedName name="VI">#REF!</definedName>
    <definedName name="VINTE">#REF!</definedName>
    <definedName name="visao_cashflow">#REF!</definedName>
    <definedName name="visao_VL">#REF!</definedName>
    <definedName name="vl_cd">#REF!</definedName>
    <definedName name="vl_k1">#REF!</definedName>
    <definedName name="vl_k2">#REF!</definedName>
    <definedName name="vl_k3">#REF!</definedName>
    <definedName name="vld_classificacao" localSheetId="2" hidden="1">IF(#REF!="Ativa",OFFSET(INDEX(rng_list_classificacao,MATCH(#REF!,rng_list_classificacao,0)),1,0,COUNTA(rng_list_classificacao)-1),#REF!)</definedName>
    <definedName name="vld_classificacao" localSheetId="4" hidden="1">IF(#REF!="Ativa",OFFSET(INDEX(rng_list_classificacao,MATCH(#REF!,rng_list_classificacao,0)),1,0,COUNTA(rng_list_classificacao)-1),#REF!)</definedName>
    <definedName name="vld_classificacao" localSheetId="3" hidden="1">IF(#REF!="Ativa",OFFSET(INDEX(rng_list_classificacao,MATCH(#REF!,rng_list_classificacao,0)),1,0,COUNTA(rng_list_classificacao)-1),#REF!)</definedName>
    <definedName name="vld_classificacao" localSheetId="0" hidden="1">IF(#REF!="Ativa",OFFSET(INDEX(rng_list_classificacao,MATCH(#REF!,rng_list_classificacao,0)),1,0,COUNTA(rng_list_classificacao)-1),#REF!)</definedName>
    <definedName name="vld_classificacao" localSheetId="5" hidden="1">IF(#REF!="Ativa",OFFSET(INDEX(rng_list_classificacao,MATCH(#REF!,rng_list_classificacao,0)),1,0,COUNTA(rng_list_classificacao)-1),#REF!)</definedName>
    <definedName name="vld_classificacao" hidden="1">IF(#REF!="Ativa",OFFSET(INDEX(rng_list_classificacao,MATCH(#REF!,rng_list_classificacao,0)),1,0,COUNTA(rng_list_classificacao)-1),#REF!)</definedName>
    <definedName name="vld_regional" localSheetId="2" hidden="1">OFFSET(INDEX(rng_list_regional,MATCH(#REF!,rng_list_regional,0)),1,0,COUNTA(rng_list_regional)-1)</definedName>
    <definedName name="vld_regional" localSheetId="4" hidden="1">OFFSET(INDEX(rng_list_regional,MATCH(#REF!,rng_list_regional,0)),1,0,COUNTA(rng_list_regional)-1)</definedName>
    <definedName name="vld_regional" localSheetId="3" hidden="1">OFFSET(INDEX(rng_list_regional,MATCH(#REF!,rng_list_regional,0)),1,0,COUNTA(rng_list_regional)-1)</definedName>
    <definedName name="vld_regional" localSheetId="0" hidden="1">OFFSET(INDEX(rng_list_regional,MATCH(#REF!,rng_list_regional,0)),1,0,COUNTA(rng_list_regional)-1)</definedName>
    <definedName name="vld_regional" localSheetId="5" hidden="1">OFFSET(INDEX(rng_list_regional,MATCH(#REF!,rng_list_regional,0)),1,0,COUNTA(rng_list_regional)-1)</definedName>
    <definedName name="vld_regional" hidden="1">OFFSET(INDEX(rng_list_regional,MATCH(#REF!,rng_list_regional,0)),1,0,COUNTA(rng_list_regional)-1)</definedName>
    <definedName name="vld_segmento" localSheetId="2" hidden="1">IF(#REF!="Ativa",OFFSET(INDEX(rng_list_segmento,MATCH(#REF!,rng_list_segmento,0)),1,0,COUNTA(rng_list_segmento)-1),#REF!)</definedName>
    <definedName name="vld_segmento" localSheetId="4" hidden="1">IF(#REF!="Ativa",OFFSET(INDEX(rng_list_segmento,MATCH(#REF!,rng_list_segmento,0)),1,0,COUNTA(rng_list_segmento)-1),#REF!)</definedName>
    <definedName name="vld_segmento" localSheetId="3" hidden="1">IF(#REF!="Ativa",OFFSET(INDEX(rng_list_segmento,MATCH(#REF!,rng_list_segmento,0)),1,0,COUNTA(rng_list_segmento)-1),#REF!)</definedName>
    <definedName name="vld_segmento" localSheetId="0" hidden="1">IF(#REF!="Ativa",OFFSET(INDEX(rng_list_segmento,MATCH(#REF!,rng_list_segmento,0)),1,0,COUNTA(rng_list_segmento)-1),#REF!)</definedName>
    <definedName name="vld_segmento" localSheetId="5" hidden="1">IF(#REF!="Ativa",OFFSET(INDEX(rng_list_segmento,MATCH(#REF!,rng_list_segmento,0)),1,0,COUNTA(rng_list_segmento)-1),#REF!)</definedName>
    <definedName name="vld_segmento" hidden="1">IF(#REF!="Ativa",OFFSET(INDEX(rng_list_segmento,MATCH(#REF!,rng_list_segmento,0)),1,0,COUNTA(rng_list_segmento)-1),#REF!)</definedName>
    <definedName name="vld_sociedade" localSheetId="2" hidden="1">OFFSET(INDEX(rng_list_sociedade,MATCH(#REF!,rng_list_sociedade,0)),1,0,COUNTA(rng_list_sociedade)-1)</definedName>
    <definedName name="vld_sociedade" localSheetId="4" hidden="1">OFFSET(INDEX(rng_list_sociedade,MATCH(#REF!,rng_list_sociedade,0)),1,0,COUNTA(rng_list_sociedade)-1)</definedName>
    <definedName name="vld_sociedade" localSheetId="3" hidden="1">OFFSET(INDEX(rng_list_sociedade,MATCH(#REF!,rng_list_sociedade,0)),1,0,COUNTA(rng_list_sociedade)-1)</definedName>
    <definedName name="vld_sociedade" localSheetId="0" hidden="1">OFFSET(INDEX(rng_list_sociedade,MATCH(#REF!,rng_list_sociedade,0)),1,0,COUNTA(rng_list_sociedade)-1)</definedName>
    <definedName name="vld_sociedade" localSheetId="5" hidden="1">OFFSET(INDEX(rng_list_sociedade,MATCH(#REF!,rng_list_sociedade,0)),1,0,COUNTA(rng_list_sociedade)-1)</definedName>
    <definedName name="vld_sociedade" hidden="1">OFFSET(INDEX(rng_list_sociedade,MATCH(#REF!,rng_list_sociedade,0)),1,0,COUNTA(rng_list_sociedade)-1)</definedName>
    <definedName name="vld_status_empresa" localSheetId="2" hidden="1">OFFSET(INDEX(rng_list_status_empresa,MATCH(#REF!,rng_list_status_empresa,0)),1,0,COUNTA(rng_list_status_empresa)-1)</definedName>
    <definedName name="vld_status_empresa" localSheetId="4" hidden="1">OFFSET(INDEX(rng_list_status_empresa,MATCH(#REF!,rng_list_status_empresa,0)),1,0,COUNTA(rng_list_status_empresa)-1)</definedName>
    <definedName name="vld_status_empresa" localSheetId="3" hidden="1">OFFSET(INDEX(rng_list_status_empresa,MATCH(#REF!,rng_list_status_empresa,0)),1,0,COUNTA(rng_list_status_empresa)-1)</definedName>
    <definedName name="vld_status_empresa" localSheetId="0" hidden="1">OFFSET(INDEX(rng_list_status_empresa,MATCH(#REF!,rng_list_status_empresa,0)),1,0,COUNTA(rng_list_status_empresa)-1)</definedName>
    <definedName name="vld_status_empresa" localSheetId="5" hidden="1">OFFSET(INDEX(rng_list_status_empresa,MATCH(#REF!,rng_list_status_empresa,0)),1,0,COUNTA(rng_list_status_empresa)-1)</definedName>
    <definedName name="vld_status_empresa" hidden="1">OFFSET(INDEX(rng_list_status_empresa,MATCH(#REF!,rng_list_status_empresa,0)),1,0,COUNTA(rng_list_status_empresa)-1)</definedName>
    <definedName name="vld_status_lancamento" localSheetId="2" hidden="1">IF(#REF!="Ativa",OFFSET(INDEX(rng_list_status_lancamento,MATCH(#REF!,rng_list_status_lancamento,0)),1,0,COUNTA(rng_list_status_lancamento)-1),#REF!)</definedName>
    <definedName name="vld_status_lancamento" localSheetId="4" hidden="1">IF(#REF!="Ativa",OFFSET(INDEX(rng_list_status_lancamento,MATCH(#REF!,rng_list_status_lancamento,0)),1,0,COUNTA(rng_list_status_lancamento)-1),#REF!)</definedName>
    <definedName name="vld_status_lancamento" localSheetId="3" hidden="1">IF(#REF!="Ativa",OFFSET(INDEX(rng_list_status_lancamento,MATCH(#REF!,rng_list_status_lancamento,0)),1,0,COUNTA(rng_list_status_lancamento)-1),#REF!)</definedName>
    <definedName name="vld_status_lancamento" localSheetId="0" hidden="1">IF(#REF!="Ativa",OFFSET(INDEX(rng_list_status_lancamento,MATCH(#REF!,rng_list_status_lancamento,0)),1,0,COUNTA(rng_list_status_lancamento)-1),#REF!)</definedName>
    <definedName name="vld_status_lancamento" localSheetId="5" hidden="1">IF(#REF!="Ativa",OFFSET(INDEX(rng_list_status_lancamento,MATCH(#REF!,rng_list_status_lancamento,0)),1,0,COUNTA(rng_list_status_lancamento)-1),#REF!)</definedName>
    <definedName name="vld_status_lancamento" hidden="1">IF(#REF!="Ativa",OFFSET(INDEX(rng_list_status_lancamento,MATCH(#REF!,rng_list_status_lancamento,0)),1,0,COUNTA(rng_list_status_lancamento)-1),#REF!)</definedName>
    <definedName name="vld_status_projeto" localSheetId="2" hidden="1">IF(#REF!="Ativa",OFFSET(INDEX(rng_list_status_projeto,MATCH(#REF!,rng_list_status_projeto,0)),1,0,COUNTA(rng_list_status_projeto)-1),#REF!)</definedName>
    <definedName name="vld_status_projeto" localSheetId="4" hidden="1">IF(#REF!="Ativa",OFFSET(INDEX(rng_list_status_projeto,MATCH(#REF!,rng_list_status_projeto,0)),1,0,COUNTA(rng_list_status_projeto)-1),#REF!)</definedName>
    <definedName name="vld_status_projeto" localSheetId="3" hidden="1">IF(#REF!="Ativa",OFFSET(INDEX(rng_list_status_projeto,MATCH(#REF!,rng_list_status_projeto,0)),1,0,COUNTA(rng_list_status_projeto)-1),#REF!)</definedName>
    <definedName name="vld_status_projeto" localSheetId="0" hidden="1">IF(#REF!="Ativa",OFFSET(INDEX(rng_list_status_projeto,MATCH(#REF!,rng_list_status_projeto,0)),1,0,COUNTA(rng_list_status_projeto)-1),#REF!)</definedName>
    <definedName name="vld_status_projeto" localSheetId="5" hidden="1">IF(#REF!="Ativa",OFFSET(INDEX(rng_list_status_projeto,MATCH(#REF!,rng_list_status_projeto,0)),1,0,COUNTA(rng_list_status_projeto)-1),#REF!)</definedName>
    <definedName name="vld_status_projeto" hidden="1">IF(#REF!="Ativa",OFFSET(INDEX(rng_list_status_projeto,MATCH(#REF!,rng_list_status_projeto,0)),1,0,COUNTA(rng_list_status_projeto)-1),#REF!)</definedName>
    <definedName name="vld_status_viabilidade" localSheetId="2" hidden="1">OFFSET(INDEX(rng_list_status_viabilidade,MATCH(#REF!,rng_list_status_viabilidade,0)),1,0,COUNTA(rng_list_status_viabilidade)-1)</definedName>
    <definedName name="vld_status_viabilidade" localSheetId="4" hidden="1">OFFSET(INDEX(rng_list_status_viabilidade,MATCH(#REF!,rng_list_status_viabilidade,0)),1,0,COUNTA(rng_list_status_viabilidade)-1)</definedName>
    <definedName name="vld_status_viabilidade" localSheetId="3" hidden="1">OFFSET(INDEX(rng_list_status_viabilidade,MATCH(#REF!,rng_list_status_viabilidade,0)),1,0,COUNTA(rng_list_status_viabilidade)-1)</definedName>
    <definedName name="vld_status_viabilidade" localSheetId="0" hidden="1">OFFSET(INDEX(rng_list_status_viabilidade,MATCH(#REF!,rng_list_status_viabilidade,0)),1,0,COUNTA(rng_list_status_viabilidade)-1)</definedName>
    <definedName name="vld_status_viabilidade" localSheetId="5" hidden="1">OFFSET(INDEX(rng_list_status_viabilidade,MATCH(#REF!,rng_list_status_viabilidade,0)),1,0,COUNTA(rng_list_status_viabilidade)-1)</definedName>
    <definedName name="vld_status_viabilidade" hidden="1">OFFSET(INDEX(rng_list_status_viabilidade,MATCH(#REF!,rng_list_status_viabilidade,0)),1,0,COUNTA(rng_list_status_viabilidade)-1)</definedName>
    <definedName name="VOLUME1" localSheetId="2">#REF!</definedName>
    <definedName name="VOLUME1">#REF!</definedName>
    <definedName name="VOLUME2">#REF!</definedName>
    <definedName name="VOLUME3">#REF!</definedName>
    <definedName name="VSDHFGDFGR" localSheetId="2" hidden="1">{#N/A,#N/A,FALSE,"Plan1";#N/A,#N/A,FALSE,"Plan2"}</definedName>
    <definedName name="VSDHFGDFGR" localSheetId="0" hidden="1">{#N/A,#N/A,FALSE,"Plan1";#N/A,#N/A,FALSE,"Plan2"}</definedName>
    <definedName name="VSDHFGDFGR" hidden="1">{#N/A,#N/A,FALSE,"Plan1";#N/A,#N/A,FALSE,"Plan2"}</definedName>
    <definedName name="vvbb" localSheetId="2" hidden="1">{"tabela",#N/A,FALSE,"Tabela";"decoração",#N/A,FALSE,"Decor.";"Informações",#N/A,FALSE,"Inform."}</definedName>
    <definedName name="vvbb" localSheetId="0" hidden="1">{"tabela",#N/A,FALSE,"Tabela";"decoração",#N/A,FALSE,"Decor.";"Informações",#N/A,FALSE,"Inform."}</definedName>
    <definedName name="vvbb" hidden="1">{"tabela",#N/A,FALSE,"Tabela";"decoração",#N/A,FALSE,"Decor.";"Informações",#N/A,FALSE,"Inform."}</definedName>
    <definedName name="vvcbnb" localSheetId="2" hidden="1">{#N/A,#N/A,FALSE,"Plan1";#N/A,#N/A,FALSE,"Plan2"}</definedName>
    <definedName name="vvcbnb" localSheetId="0" hidden="1">{#N/A,#N/A,FALSE,"Plan1";#N/A,#N/A,FALSE,"Plan2"}</definedName>
    <definedName name="vvcbnb" hidden="1">{#N/A,#N/A,FALSE,"Plan1";#N/A,#N/A,FALSE,"Plan2"}</definedName>
    <definedName name="vvvvv" localSheetId="2" hidden="1">{"Econ Consolidado",#N/A,FALSE,"Econ Consol";"Fluxo de Caixa",#N/A,FALSE,"Fluxo Caixa";"Investimentos",#N/A,FALSE,"Investimentos"}</definedName>
    <definedName name="vvvvv" localSheetId="0" hidden="1">{"Econ Consolidado",#N/A,FALSE,"Econ Consol";"Fluxo de Caixa",#N/A,FALSE,"Fluxo Caixa";"Investimentos",#N/A,FALSE,"Investimentos"}</definedName>
    <definedName name="vvvvv" hidden="1">{"Econ Consolidado",#N/A,FALSE,"Econ Consol";"Fluxo de Caixa",#N/A,FALSE,"Fluxo Caixa";"Investimentos",#N/A,FALSE,"Investimentos"}</definedName>
    <definedName name="vvvvvv" localSheetId="2" hidden="1">{#N/A,#N/A,FALSE,"Plan1";#N/A,#N/A,FALSE,"Plan2"}</definedName>
    <definedName name="vvvvvv" localSheetId="0" hidden="1">{#N/A,#N/A,FALSE,"Plan1";#N/A,#N/A,FALSE,"Plan2"}</definedName>
    <definedName name="vvvvvv" hidden="1">{#N/A,#N/A,FALSE,"Plan1";#N/A,#N/A,FALSE,"Plan2"}</definedName>
    <definedName name="vvvvvvvvvvvvvvvvv" localSheetId="2" hidden="1">{"HW",#N/A,FALSE,"1998"}</definedName>
    <definedName name="vvvvvvvvvvvvvvvvv" localSheetId="0" hidden="1">{"HW",#N/A,FALSE,"1998"}</definedName>
    <definedName name="vvvvvvvvvvvvvvvvv" hidden="1">{"HW",#N/A,FALSE,"1998"}</definedName>
    <definedName name="VX" hidden="1">#REF!</definedName>
    <definedName name="w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 localSheetId="0">#REF!</definedName>
    <definedName name="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cc">#REF!</definedName>
    <definedName name="wadalrdjlaev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 hidden="1">#REF!</definedName>
    <definedName name="WE" hidden="1">#REF!</definedName>
    <definedName name="weki_9701.xls" hidden="1">#REF!</definedName>
    <definedName name="wekir9701.xls" hidden="1">#REF!</definedName>
    <definedName name="werw4tr" localSheetId="2" hidden="1">{#N/A,#N/A,FALSE,"Plan1";#N/A,#N/A,FALSE,"Plan2"}</definedName>
    <definedName name="werw4tr" localSheetId="0" hidden="1">{#N/A,#N/A,FALSE,"Plan1";#N/A,#N/A,FALSE,"Plan2"}</definedName>
    <definedName name="werw4tr" hidden="1">{#N/A,#N/A,FALSE,"Plan1";#N/A,#N/A,FALSE,"Plan2"}</definedName>
    <definedName name="wetoedjtkdr" localSheetId="2" hidden="1">{#N/A,#N/A,FALSE,"Plan1";#N/A,#N/A,FALSE,"Plan2"}</definedName>
    <definedName name="wetoedjtkdr" localSheetId="0" hidden="1">{#N/A,#N/A,FALSE,"Plan1";#N/A,#N/A,FALSE,"Plan2"}</definedName>
    <definedName name="wetoedjtkdr" hidden="1">{#N/A,#N/A,FALSE,"Plan1";#N/A,#N/A,FALSE,"Plan2"}</definedName>
    <definedName name="WHATS" localSheetId="2" hidden="1">{"'Edit'!$A$1:$V$2277"}</definedName>
    <definedName name="WHATS" localSheetId="0" hidden="1">{"'Edit'!$A$1:$V$2277"}</definedName>
    <definedName name="WHATS" hidden="1">{"'Edit'!$A$1:$V$2277"}</definedName>
    <definedName name="win.VESSEL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>#REF!</definedName>
    <definedName name="WKJHIR" localSheetId="2" hidden="1">{#N/A,#N/A,FALSE,"Plan1";#N/A,#N/A,FALSE,"Plan2"}</definedName>
    <definedName name="WKJHIR" localSheetId="0" hidden="1">{#N/A,#N/A,FALSE,"Plan1";#N/A,#N/A,FALSE,"Plan2"}</definedName>
    <definedName name="WKJHIR" hidden="1">{#N/A,#N/A,FALSE,"Plan1";#N/A,#N/A,FALSE,"Plan2"}</definedName>
    <definedName name="WLQ" localSheetId="2" hidden="1">{#N/A,#N/A,FALSE,"명세표"}</definedName>
    <definedName name="WLQ" localSheetId="0" hidden="1">{#N/A,#N/A,FALSE,"명세표"}</definedName>
    <definedName name="WLQ" hidden="1">{#N/A,#N/A,FALSE,"명세표"}</definedName>
    <definedName name="WNMLOCAL">#REF!</definedName>
    <definedName name="WNMMUN">#REF!</definedName>
    <definedName name="WNMSERV">#REF!</definedName>
    <definedName name="worl_cdi">#REF!</definedName>
    <definedName name="worl_hist">#REF!</definedName>
    <definedName name="worl_uss">#REF!</definedName>
    <definedName name="WRITE" localSheetId="2" hidden="1">{#N/A,#N/A,FALSE,"CCTV"}</definedName>
    <definedName name="WRITE" localSheetId="0" hidden="1">{#N/A,#N/A,FALSE,"CCTV"}</definedName>
    <definedName name="WRITE" hidden="1">{#N/A,#N/A,FALSE,"CCTV"}</definedName>
    <definedName name="wrn.BM." localSheetId="2" hidden="1">{#N/A,#N/A,FALSE,"CCTV"}</definedName>
    <definedName name="wrn.BM." localSheetId="0" hidden="1">{#N/A,#N/A,FALSE,"CCTV"}</definedName>
    <definedName name="wrn.BM." hidden="1">{#N/A,#N/A,FALSE,"CCTV"}</definedName>
    <definedName name="wrn.Brita98.xls." localSheetId="2" hidden="1">{#N/A,#N/A,TRUE,"Quinzena 01 à 15-04-98 "}</definedName>
    <definedName name="wrn.Brita98.xls." localSheetId="0" hidden="1">{#N/A,#N/A,TRUE,"Quinzena 01 à 15-04-98 "}</definedName>
    <definedName name="wrn.Brita98.xls." hidden="1">{#N/A,#N/A,TRUE,"Quinzena 01 à 15-04-98 "}</definedName>
    <definedName name="wrn.Completo." localSheetId="2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0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localSheetId="2" hidden="1">{"EconCons",#N/A,TRUE,"Econômico - Consolidado";"CaixaCons",#N/A,TRUE,"Caixa - Consolidado";"InvestCons",#N/A,TRUE,"Invest Consolidado"}</definedName>
    <definedName name="wrn.Cons." localSheetId="0" hidden="1">{"EconCons",#N/A,TRUE,"Econômico - Consolidado";"CaixaCons",#N/A,TRUE,"Caixa - Consolidado";"InvestCons",#N/A,TRUE,"Invest Consolidado"}</definedName>
    <definedName name="wrn.Cons." hidden="1">{"EconCons",#N/A,TRUE,"Econômico - Consolidado";"CaixaCons",#N/A,TRUE,"Caixa - Consolidado";"InvestCons",#N/A,TRUE,"Invest Consolidado"}</definedName>
    <definedName name="wrn.Consolidado." localSheetId="2" hidden="1">{"Econ Consolidado",#N/A,FALSE,"Econ Consol";"Fluxo de Caixa",#N/A,FALSE,"Fluxo Caixa";"Investimentos",#N/A,FALSE,"Investimentos"}</definedName>
    <definedName name="wrn.Consolidado." localSheetId="0" hidden="1">{"Econ Consolidado",#N/A,FALSE,"Econ Consol";"Fluxo de Caixa",#N/A,FALSE,"Fluxo Caixa";"Investimentos",#N/A,FALSE,"Investimentos"}</definedName>
    <definedName name="wrn.Consolidado." hidden="1">{"Econ Consolidado",#N/A,FALSE,"Econ Consol";"Fluxo de Caixa",#N/A,FALSE,"Fluxo Caixa";"Investimentos",#N/A,FALSE,"Investimentos"}</definedName>
    <definedName name="wrn.GERAL." localSheetId="2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HAGE." localSheetId="2" hidden="1">{#N/A,#N/A,FALSE,"cdi";#N/A,#N/A,FALSE,"debent";#N/A,#N/A,FALSE,"fdos";#N/A,#N/A,FALSE,"resumo"}</definedName>
    <definedName name="wrn.HAGE." localSheetId="0" hidden="1">{#N/A,#N/A,FALSE,"cdi";#N/A,#N/A,FALSE,"debent";#N/A,#N/A,FALSE,"fdos";#N/A,#N/A,FALSE,"resumo"}</definedName>
    <definedName name="wrn.HAGE." hidden="1">{#N/A,#N/A,FALSE,"cdi";#N/A,#N/A,FALSE,"debent";#N/A,#N/A,FALSE,"fdos";#N/A,#N/A,FALSE,"resumo"}</definedName>
    <definedName name="wrn.HAGE01" localSheetId="2" hidden="1">{#N/A,#N/A,FALSE,"cdi";#N/A,#N/A,FALSE,"debent";#N/A,#N/A,FALSE,"fdos";#N/A,#N/A,FALSE,"resumo"}</definedName>
    <definedName name="wrn.HAGE01" localSheetId="0" hidden="1">{#N/A,#N/A,FALSE,"cdi";#N/A,#N/A,FALSE,"debent";#N/A,#N/A,FALSE,"fdos";#N/A,#N/A,FALSE,"resumo"}</definedName>
    <definedName name="wrn.HAGE01" hidden="1">{#N/A,#N/A,FALSE,"cdi";#N/A,#N/A,FALSE,"debent";#N/A,#N/A,FALSE,"fdos";#N/A,#N/A,FALSE,"resumo"}</definedName>
    <definedName name="wrn.HW." localSheetId="2" hidden="1">{"HW",#N/A,FALSE,"1998"}</definedName>
    <definedName name="wrn.HW." localSheetId="0" hidden="1">{"HW",#N/A,FALSE,"1998"}</definedName>
    <definedName name="wrn.HW." hidden="1">{"HW",#N/A,FALSE,"1998"}</definedName>
    <definedName name="wrn.imp_flx." localSheetId="2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0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localSheetId="2" hidden="1">{#N/A,#N/A,FALSE,"Plan1";#N/A,#N/A,FALSE,"Plan2"}</definedName>
    <definedName name="wrn.IMPRESSO." localSheetId="0" hidden="1">{#N/A,#N/A,FALSE,"Plan1";#N/A,#N/A,FALSE,"Plan2"}</definedName>
    <definedName name="wrn.IMPRESSO." hidden="1">{#N/A,#N/A,FALSE,"Plan1";#N/A,#N/A,FALSE,"Plan2"}</definedName>
    <definedName name="wrn.Imprimir." localSheetId="2" hidden="1">{"tabela",#N/A,FALSE,"Tabela";"decoração",#N/A,FALSE,"Decor.";"Informações",#N/A,FALSE,"Inform."}</definedName>
    <definedName name="wrn.Imprimir." localSheetId="0" hidden="1">{"tabela",#N/A,FALSE,"Tabela";"decoração",#N/A,FALSE,"Decor.";"Informações",#N/A,FALSE,"Inform."}</definedName>
    <definedName name="wrn.Imprimir." hidden="1">{"tabela",#N/A,FALSE,"Tabela";"decoração",#N/A,FALSE,"Decor.";"Informações",#N/A,FALSE,"Inform."}</definedName>
    <definedName name="wrn.LPU._.MG." localSheetId="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0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localSheetId="2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0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nth._.Report._.Package." localSheetId="2" hidden="1">{#N/A,#N/A,FALSE,"Global Wls Trend";#N/A,#N/A,FALSE,"Region Trend";#N/A,#N/A,FALSE,"PBU Trend"}</definedName>
    <definedName name="wrn.Month._.Report._.Package." localSheetId="0" hidden="1">{#N/A,#N/A,FALSE,"Global Wls Trend";#N/A,#N/A,FALSE,"Region Trend";#N/A,#N/A,FALSE,"PBU Trend"}</definedName>
    <definedName name="wrn.Month._.Report._.Package." hidden="1">{#N/A,#N/A,FALSE,"Global Wls Trend";#N/A,#N/A,FALSE,"Region Trend";#N/A,#N/A,FALSE,"PBU Trend"}</definedName>
    <definedName name="wrn.Monthly._.Report._.Package." localSheetId="2" hidden="1">{#N/A,#N/A,FALSE,"Global by BU";#N/A,#N/A,FALSE,"U.S. by BU";#N/A,#N/A,FALSE,"Canada by BU";#N/A,#N/A,FALSE,"Europe by BU";#N/A,#N/A,FALSE,"Asia by BU";#N/A,#N/A,FALSE,"Cala by BU"}</definedName>
    <definedName name="wrn.Monthly._.Report._.Package." localSheetId="0" hidden="1">{#N/A,#N/A,FALSE,"Global by BU";#N/A,#N/A,FALSE,"U.S. by BU";#N/A,#N/A,FALSE,"Canada by BU";#N/A,#N/A,FALSE,"Europe by BU";#N/A,#N/A,FALSE,"Asia by BU";#N/A,#N/A,FALSE,"Cala by BU"}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PENDENCIAS.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localSheetId="2" hidden="1">{#N/A,#N/A,FALSE,"F-01"}</definedName>
    <definedName name="wrn.Planiha._.de._.Medição._.F._.01." localSheetId="0" hidden="1">{#N/A,#N/A,FALSE,"F-01"}</definedName>
    <definedName name="wrn.Planiha._.de._.Medição._.F._.01." hidden="1">{#N/A,#N/A,FALSE,"F-01"}</definedName>
    <definedName name="wrn.Planiha._.de._.Medição._.F._.01._1" localSheetId="2" hidden="1">{#N/A,#N/A,FALSE,"F-01"}</definedName>
    <definedName name="wrn.Planiha._.de._.Medição._.F._.01._1" localSheetId="0" hidden="1">{#N/A,#N/A,FALSE,"F-01"}</definedName>
    <definedName name="wrn.Planiha._.de._.Medição._.F._.01._1" hidden="1">{#N/A,#N/A,FALSE,"F-01"}</definedName>
    <definedName name="wrn.Planilha_de_Medição_F_02" localSheetId="2" hidden="1">{#N/A,#N/A,FALSE,"F-01"}</definedName>
    <definedName name="wrn.Planilha_de_Medição_F_02" localSheetId="0" hidden="1">{#N/A,#N/A,FALSE,"F-01"}</definedName>
    <definedName name="wrn.Planilha_de_Medição_F_02" hidden="1">{#N/A,#N/A,FALSE,"F-01"}</definedName>
    <definedName name="wrn.print._.all." localSheetId="2" hidden="1">{#N/A,#N/A,FALSE,"$170M Cash";#N/A,#N/A,FALSE,"$250M Cash";#N/A,#N/A,FALSE,"$325M Cash"}</definedName>
    <definedName name="wrn.print._.all." localSheetId="0" hidden="1">{#N/A,#N/A,FALSE,"$170M Cash";#N/A,#N/A,FALSE,"$250M Cash";#N/A,#N/A,FALSE,"$325M Cash"}</definedName>
    <definedName name="wrn.print._.all." hidden="1">{#N/A,#N/A,FALSE,"$170M Cash";#N/A,#N/A,FALSE,"$250M Cash";#N/A,#N/A,FALSE,"$325M Cash"}</definedName>
    <definedName name="wrn.PrintAll." localSheetId="2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0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2" hidden="1">{#N/A,#N/A,FALSE,"Sheet1";#N/A,#N/A,FALSE,"Sheet2";#N/A,#N/A,FALSE,"Sheet3"}</definedName>
    <definedName name="wrn.PrintCurr." localSheetId="0" hidden="1">{#N/A,#N/A,FALSE,"Sheet1";#N/A,#N/A,FALSE,"Sheet2";#N/A,#N/A,FALSE,"Sheet3"}</definedName>
    <definedName name="wrn.PrintCurr." hidden="1">{#N/A,#N/A,FALSE,"Sheet1";#N/A,#N/A,FALSE,"Sheet2";#N/A,#N/A,FALSE,"Sheet3"}</definedName>
    <definedName name="wrn.PrintPrev1." localSheetId="2" hidden="1">{#N/A,#N/A,FALSE,"Sheet4";#N/A,#N/A,FALSE,"Sheet5";#N/A,#N/A,FALSE,"Sheet6"}</definedName>
    <definedName name="wrn.PrintPrev1." localSheetId="0" hidden="1">{#N/A,#N/A,FALSE,"Sheet4";#N/A,#N/A,FALSE,"Sheet5";#N/A,#N/A,FALSE,"Sheet6"}</definedName>
    <definedName name="wrn.PrintPrev1." hidden="1">{#N/A,#N/A,FALSE,"Sheet4";#N/A,#N/A,FALSE,"Sheet5";#N/A,#N/A,FALSE,"Sheet6"}</definedName>
    <definedName name="wrn.PrintPrev2." localSheetId="2" hidden="1">{#N/A,#N/A,FALSE,"Sheet7";#N/A,#N/A,FALSE,"Sheet8";#N/A,#N/A,FALSE,"Sheet9"}</definedName>
    <definedName name="wrn.PrintPrev2." localSheetId="0" hidden="1">{#N/A,#N/A,FALSE,"Sheet7";#N/A,#N/A,FALSE,"Sheet8";#N/A,#N/A,FALSE,"Sheet9"}</definedName>
    <definedName name="wrn.PrintPrev2." hidden="1">{#N/A,#N/A,FALSE,"Sheet7";#N/A,#N/A,FALSE,"Sheet8";#N/A,#N/A,FALSE,"Sheet9"}</definedName>
    <definedName name="wrn.Quadros._.relatório." localSheetId="2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localSheetId="2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0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localSheetId="2" hidden="1">{#N/A,#N/A,FALSE,"TABLE"}</definedName>
    <definedName name="wrn.STAFFS." localSheetId="0" hidden="1">{#N/A,#N/A,FALSE,"TABLE"}</definedName>
    <definedName name="wrn.STAFFS." hidden="1">{#N/A,#N/A,FALSE,"TABLE"}</definedName>
    <definedName name="wrn.TERCEIRO." localSheetId="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localSheetId="2" hidden="1">{#N/A,#N/A,FALSE,"명세표"}</definedName>
    <definedName name="wrn.test1." localSheetId="0" hidden="1">{#N/A,#N/A,FALSE,"명세표"}</definedName>
    <definedName name="wrn.test1." hidden="1">{#N/A,#N/A,FALSE,"명세표"}</definedName>
    <definedName name="wrn.Unidades." localSheetId="2" hidden="1">{"Rio Branco",#N/A,FALSE,"Rio Branco";"Itajaí",#N/A,FALSE,"Itajaí";"Pinheiro Machado",#N/A,FALSE,"PMachado";"Esteio",#N/A,FALSE,"Esteio"}</definedName>
    <definedName name="wrn.Unidades." localSheetId="0" hidden="1">{"Rio Branco",#N/A,FALSE,"Rio Branco";"Itajaí",#N/A,FALSE,"Itajaí";"Pinheiro Machado",#N/A,FALSE,"PMachado";"Esteio",#N/A,FALSE,"Esteio"}</definedName>
    <definedName name="wrn.Unidades." hidden="1">{"Rio Branco",#N/A,FALSE,"Rio Branco";"Itajaí",#N/A,FALSE,"Itajaí";"Pinheiro Machado",#N/A,FALSE,"PMachado";"Esteio",#N/A,FALSE,"Esteio"}</definedName>
    <definedName name="wrn.VESSEL및N2._.구입사양서.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localSheetId="2" hidden="1">{#N/A,#N/A,FALSE,"Sheet1";#N/A,#N/A,FALSE,"Sheet2";#N/A,#N/A,FALSE,"TAB96-1"}</definedName>
    <definedName name="wrn.견적." localSheetId="0" hidden="1">{#N/A,#N/A,FALSE,"Sheet1";#N/A,#N/A,FALSE,"Sheet2";#N/A,#N/A,FALSE,"TAB96-1"}</definedName>
    <definedName name="wrn.견적." hidden="1">{#N/A,#N/A,FALSE,"Sheet1";#N/A,#N/A,FALSE,"Sheet2";#N/A,#N/A,FALSE,"TAB96-1"}</definedName>
    <definedName name="wrn.보호계전기." localSheetId="2" hidden="1">{#N/A,#N/A,FALSE,"ENG'G(보호계전기)"}</definedName>
    <definedName name="wrn.보호계전기." localSheetId="0" hidden="1">{#N/A,#N/A,FALSE,"ENG'G(보호계전기)"}</definedName>
    <definedName name="wrn.보호계전기." hidden="1">{#N/A,#N/A,FALSE,"ENG'G(보호계전기)"}</definedName>
    <definedName name="wrn.현장._.NCR._.분석." localSheetId="2" hidden="1">{#N/A,#N/A,FALSE,"현장 NCR 분석";#N/A,#N/A,FALSE,"현장품질감사";#N/A,#N/A,FALSE,"현장품질감사"}</definedName>
    <definedName name="wrn.현장._.NCR._.분석." localSheetId="0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1.Cons." localSheetId="2" hidden="1">{"EconCons",#N/A,TRUE,"Econômico - Consolidado";"CaixaCons",#N/A,TRUE,"Caixa - Consolidado";"InvestCons",#N/A,TRUE,"Invest Consolidado"}</definedName>
    <definedName name="wrn1.Cons." localSheetId="0" hidden="1">{"EconCons",#N/A,TRUE,"Econômico - Consolidado";"CaixaCons",#N/A,TRUE,"Caixa - Consolidado";"InvestCons",#N/A,TRUE,"Invest Consolidado"}</definedName>
    <definedName name="wrn1.Cons." hidden="1">{"EconCons",#N/A,TRUE,"Econômico - Consolidado";"CaixaCons",#N/A,TRUE,"Caixa - Consolidado";"InvestCons",#N/A,TRUE,"Invest Consolidado"}</definedName>
    <definedName name="wrn1.print._.all." localSheetId="2" hidden="1">{#N/A,#N/A,FALSE,"$170M Cash";#N/A,#N/A,FALSE,"$250M Cash";#N/A,#N/A,FALSE,"$325M Cash"}</definedName>
    <definedName name="wrn1.print._.all." localSheetId="0" hidden="1">{#N/A,#N/A,FALSE,"$170M Cash";#N/A,#N/A,FALSE,"$250M Cash";#N/A,#N/A,FALSE,"$325M Cash"}</definedName>
    <definedName name="wrn1.print._.all." hidden="1">{#N/A,#N/A,FALSE,"$170M Cash";#N/A,#N/A,FALSE,"$250M Cash";#N/A,#N/A,FALSE,"$325M Cash"}</definedName>
    <definedName name="WRS" localSheetId="2" hidden="1">{"'장비'!$A$3:$M$12"}</definedName>
    <definedName name="WRS" localSheetId="0" hidden="1">{"'장비'!$A$3:$M$12"}</definedName>
    <definedName name="WRS" hidden="1">{"'장비'!$A$3:$M$12"}</definedName>
    <definedName name="wrt" localSheetId="2" hidden="1">{#N/A,#N/A,FALSE,"$170M Cash";#N/A,#N/A,FALSE,"$250M Cash";#N/A,#N/A,FALSE,"$325M Cash"}</definedName>
    <definedName name="wrt" localSheetId="0" hidden="1">{#N/A,#N/A,FALSE,"$170M Cash";#N/A,#N/A,FALSE,"$250M Cash";#N/A,#N/A,FALSE,"$325M Cash"}</definedName>
    <definedName name="wrt" hidden="1">{#N/A,#N/A,FALSE,"$170M Cash";#N/A,#N/A,FALSE,"$250M Cash";#N/A,#N/A,FALSE,"$325M Cash"}</definedName>
    <definedName name="wvu.PLANILHA2.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localSheetId="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>#REF!</definedName>
    <definedName name="XALFA">#REF!</definedName>
    <definedName name="XC">#REF!</definedName>
    <definedName name="xcfrt" localSheetId="2" hidden="1">{#N/A,#N/A,FALSE,"Plan1";#N/A,#N/A,FALSE,"Plan2"}</definedName>
    <definedName name="xcfrt" localSheetId="0" hidden="1">{#N/A,#N/A,FALSE,"Plan1";#N/A,#N/A,FALSE,"Plan2"}</definedName>
    <definedName name="xcfrt" hidden="1">{#N/A,#N/A,FALSE,"Plan1";#N/A,#N/A,FALSE,"Plan2"}</definedName>
    <definedName name="xcgjkfghf" localSheetId="2" hidden="1">{#N/A,#N/A,FALSE,"Plan1";#N/A,#N/A,FALSE,"Plan2"}</definedName>
    <definedName name="xcgjkfghf" localSheetId="0" hidden="1">{#N/A,#N/A,FALSE,"Plan1";#N/A,#N/A,FALSE,"Plan2"}</definedName>
    <definedName name="xcgjkfghf" hidden="1">{#N/A,#N/A,FALSE,"Plan1";#N/A,#N/A,FALSE,"Plan2"}</definedName>
    <definedName name="XCGJKVHFDG" localSheetId="2" hidden="1">{#N/A,#N/A,FALSE,"Plan1";#N/A,#N/A,FALSE,"Plan2"}</definedName>
    <definedName name="XCGJKVHFDG" localSheetId="0" hidden="1">{#N/A,#N/A,FALSE,"Plan1";#N/A,#N/A,FALSE,"Plan2"}</definedName>
    <definedName name="XCGJKVHFDG" hidden="1">{#N/A,#N/A,FALSE,"Plan1";#N/A,#N/A,FALSE,"Plan2"}</definedName>
    <definedName name="xcgtrty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>#REF!</definedName>
    <definedName name="XCII">#REF!</definedName>
    <definedName name="XCIII">#REF!</definedName>
    <definedName name="XCIV">#REF!</definedName>
    <definedName name="XCIX">#REF!</definedName>
    <definedName name="xçl" localSheetId="2" hidden="1">{#N/A,#N/A,FALSE,"Plan1";#N/A,#N/A,FALSE,"Plan2"}</definedName>
    <definedName name="xçl" localSheetId="0" hidden="1">{#N/A,#N/A,FALSE,"Plan1";#N/A,#N/A,FALSE,"Plan2"}</definedName>
    <definedName name="xçl" hidden="1">{#N/A,#N/A,FALSE,"Plan1";#N/A,#N/A,FALSE,"Plan2"}</definedName>
    <definedName name="xcndj" localSheetId="2" hidden="1">{#N/A,#N/A,FALSE,"Plan1";#N/A,#N/A,FALSE,"Plan2"}</definedName>
    <definedName name="xcndj" localSheetId="0" hidden="1">{#N/A,#N/A,FALSE,"Plan1";#N/A,#N/A,FALSE,"Plan2"}</definedName>
    <definedName name="xcndj" hidden="1">{#N/A,#N/A,FALSE,"Plan1";#N/A,#N/A,FALSE,"Plan2"}</definedName>
    <definedName name="XCV">#REF!</definedName>
    <definedName name="XCVGGT" localSheetId="2" hidden="1">{#N/A,#N/A,FALSE,"Plan1";#N/A,#N/A,FALSE,"Plan2"}</definedName>
    <definedName name="XCVGGT" localSheetId="0" hidden="1">{#N/A,#N/A,FALSE,"Plan1";#N/A,#N/A,FALSE,"Plan2"}</definedName>
    <definedName name="XCVGGT" hidden="1">{#N/A,#N/A,FALSE,"Plan1";#N/A,#N/A,FALSE,"Plan2"}</definedName>
    <definedName name="XCVI">#REF!</definedName>
    <definedName name="XCVII">#REF!</definedName>
    <definedName name="XCVIII">#REF!</definedName>
    <definedName name="xcvrg" localSheetId="2" hidden="1">{#N/A,#N/A,FALSE,"Plan1";#N/A,#N/A,FALSE,"Plan2"}</definedName>
    <definedName name="xcvrg" localSheetId="0" hidden="1">{#N/A,#N/A,FALSE,"Plan1";#N/A,#N/A,FALSE,"Plan2"}</definedName>
    <definedName name="xcvrg" hidden="1">{#N/A,#N/A,FALSE,"Plan1";#N/A,#N/A,FALSE,"Plan2"}</definedName>
    <definedName name="XDATA">#REF!</definedName>
    <definedName name="xdfef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localSheetId="2" hidden="1">{#N/A,#N/A,FALSE,"Plan1";#N/A,#N/A,FALSE,"Plan2"}</definedName>
    <definedName name="xdgtyhyt" localSheetId="0" hidden="1">{#N/A,#N/A,FALSE,"Plan1";#N/A,#N/A,FALSE,"Plan2"}</definedName>
    <definedName name="xdgtyhyt" hidden="1">{#N/A,#N/A,FALSE,"Plan1";#N/A,#N/A,FALSE,"Plan2"}</definedName>
    <definedName name="xfdlfj" localSheetId="2" hidden="1">{#N/A,#N/A,FALSE,"Plan1";#N/A,#N/A,FALSE,"Plan2"}</definedName>
    <definedName name="xfdlfj" localSheetId="0" hidden="1">{#N/A,#N/A,FALSE,"Plan1";#N/A,#N/A,FALSE,"Plan2"}</definedName>
    <definedName name="xfdlfj" hidden="1">{#N/A,#N/A,FALSE,"Plan1";#N/A,#N/A,FALSE,"Plan2"}</definedName>
    <definedName name="xfdxfdf" localSheetId="2" hidden="1">{#N/A,#N/A,FALSE,"Plan1";#N/A,#N/A,FALSE,"Plan2"}</definedName>
    <definedName name="xfdxfdf" localSheetId="0" hidden="1">{#N/A,#N/A,FALSE,"Plan1";#N/A,#N/A,FALSE,"Plan2"}</definedName>
    <definedName name="xfdxfdf" hidden="1">{#N/A,#N/A,FALSE,"Plan1";#N/A,#N/A,FALSE,"Plan2"}</definedName>
    <definedName name="XFJKLDJKLG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localSheetId="2" hidden="1">{#N/A,#N/A,FALSE,"Plan1";#N/A,#N/A,FALSE,"Plan2"}</definedName>
    <definedName name="xfrty" localSheetId="0" hidden="1">{#N/A,#N/A,FALSE,"Plan1";#N/A,#N/A,FALSE,"Plan2"}</definedName>
    <definedName name="xfrty" hidden="1">{#N/A,#N/A,FALSE,"Plan1";#N/A,#N/A,FALSE,"Plan2"}</definedName>
    <definedName name="XF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localSheetId="2" hidden="1">{"Econ Consolidado",#N/A,FALSE,"Econ Consol";"Fluxo de Caixa",#N/A,FALSE,"Fluxo Caixa";"Investimentos",#N/A,FALSE,"Investimentos"}</definedName>
    <definedName name="xfvchdhhd" localSheetId="0" hidden="1">{"Econ Consolidado",#N/A,FALSE,"Econ Consol";"Fluxo de Caixa",#N/A,FALSE,"Fluxo Caixa";"Investimentos",#N/A,FALSE,"Investimentos"}</definedName>
    <definedName name="xfvchdhhd" hidden="1">{"Econ Consolidado",#N/A,FALSE,"Econ Consol";"Fluxo de Caixa",#N/A,FALSE,"Fluxo Caixa";"Investimentos",#N/A,FALSE,"Investimentos"}</definedName>
    <definedName name="xfvgcfgt" localSheetId="2" hidden="1">{#N/A,#N/A,FALSE,"Plan1";#N/A,#N/A,FALSE,"Plan2"}</definedName>
    <definedName name="xfvgcfgt" localSheetId="0" hidden="1">{#N/A,#N/A,FALSE,"Plan1";#N/A,#N/A,FALSE,"Plan2"}</definedName>
    <definedName name="xfvgcfgt" hidden="1">{#N/A,#N/A,FALSE,"Plan1";#N/A,#N/A,FALSE,"Plan2"}</definedName>
    <definedName name="xgrg" localSheetId="2" hidden="1">{#N/A,#N/A,FALSE,"Plan1";#N/A,#N/A,FALSE,"Plan2"}</definedName>
    <definedName name="xgrg" localSheetId="0" hidden="1">{#N/A,#N/A,FALSE,"Plan1";#N/A,#N/A,FALSE,"Plan2"}</definedName>
    <definedName name="xgrg" hidden="1">{#N/A,#N/A,FALSE,"Plan1";#N/A,#N/A,FALSE,"Plan2"}</definedName>
    <definedName name="XI">#REF!</definedName>
    <definedName name="XII">#REF!</definedName>
    <definedName name="XIII">#REF!</definedName>
    <definedName name="XITEM">#REF!</definedName>
    <definedName name="XIV">#REF!</definedName>
    <definedName name="XLOC">#REF!</definedName>
    <definedName name="xmght" localSheetId="2" hidden="1">{#N/A,#N/A,FALSE,"Plan1";#N/A,#N/A,FALSE,"Plan2"}</definedName>
    <definedName name="xmght" localSheetId="0" hidden="1">{#N/A,#N/A,FALSE,"Plan1";#N/A,#N/A,FALSE,"Plan2"}</definedName>
    <definedName name="xmght" hidden="1">{#N/A,#N/A,FALSE,"Plan1";#N/A,#N/A,FALSE,"Plan2"}</definedName>
    <definedName name="xnInforme_quantos_bebedouros____bebqt__if_bebqt__0__xlQt.bebedouros_invalida___ENTER_p_reinformar__xresp__branch_rqtderv">#REF!</definedName>
    <definedName name="XNUCOPIAS">#REF!</definedName>
    <definedName name="xo" localSheetId="2" hidden="1">{#N/A,#N/A,FALSE,"Global by BU";#N/A,#N/A,FALSE,"U.S. by BU";#N/A,#N/A,FALSE,"Canada by BU";#N/A,#N/A,FALSE,"Europe by BU";#N/A,#N/A,FALSE,"Asia by BU";#N/A,#N/A,FALSE,"Cala by BU"}</definedName>
    <definedName name="xo" localSheetId="0" hidden="1">{#N/A,#N/A,FALSE,"Global by BU";#N/A,#N/A,FALSE,"U.S. by BU";#N/A,#N/A,FALSE,"Canada by BU";#N/A,#N/A,FALSE,"Europe by BU";#N/A,#N/A,FALSE,"Asia by BU";#N/A,#N/A,FALSE,"Cala by BU"}</definedName>
    <definedName name="xo" hidden="1">{#N/A,#N/A,FALSE,"Global by BU";#N/A,#N/A,FALSE,"U.S. by BU";#N/A,#N/A,FALSE,"Canada by BU";#N/A,#N/A,FALSE,"Europe by BU";#N/A,#N/A,FALSE,"Asia by BU";#N/A,#N/A,FALSE,"Cala by BU"}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ColumnsCount" hidden="1">1</definedName>
    <definedName name="XRefCopy2" hidden="1">#REF!</definedName>
    <definedName name="XRefCopy3Row" hidden="1">#REF!</definedName>
    <definedName name="XRefCopy4Row" hidden="1">#REF!</definedName>
    <definedName name="XRefCopy6" hidden="1">#REF!</definedName>
    <definedName name="XRefCopyRangeCount" hidden="1">1</definedName>
    <definedName name="XRefPaste2" hidden="1">#REF!</definedName>
    <definedName name="XRefPaste4" hidden="1">#REF!</definedName>
    <definedName name="XRefPaste5" hidden="1">#REF!</definedName>
    <definedName name="XRefPaste6" hidden="1">#REF!</definedName>
    <definedName name="XRefPaste7Row" hidden="1">#REF!</definedName>
    <definedName name="XRefPasteRangeCount" hidden="1">1</definedName>
    <definedName name="XRESP">#REF!</definedName>
    <definedName name="XTITRES">#REF!</definedName>
    <definedName name="XV">#REF!</definedName>
    <definedName name="XX" localSheetId="0">#REF!</definedName>
    <definedName name="xx" hidden="1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0">#REF!</definedName>
    <definedName name="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I">#REF!</definedName>
    <definedName name="XXXII">#REF!</definedName>
    <definedName name="XXXIII">#REF!</definedName>
    <definedName name="XXXIV">#REF!</definedName>
    <definedName name="XXXIX">#REF!</definedName>
    <definedName name="XXXV">#REF!</definedName>
    <definedName name="XXXVI">#REF!</definedName>
    <definedName name="XXXVII">#REF!</definedName>
    <definedName name="XXXVIII">#REF!</definedName>
    <definedName name="xxxx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0">#REF!</definedName>
    <definedName name="xxxx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 localSheetId="2" hidden="1">{"'Edit'!$A$1:$V$2277"}</definedName>
    <definedName name="xxxxxxxxxxxx" localSheetId="0">#REF!</definedName>
    <definedName name="xxxxxxxxxxxx" hidden="1">{"'Edit'!$A$1:$V$2277"}</definedName>
    <definedName name="xxxxxxxxxxxxxx" localSheetId="2" hidden="1">{#N/A,#N/A,FALSE,"Plan1";#N/A,#N/A,FALSE,"Plan2"}</definedName>
    <definedName name="xxxxxxxxxxxxxx" localSheetId="0" hidden="1">{#N/A,#N/A,FALSE,"Plan1";#N/A,#N/A,FALSE,"Plan2"}</definedName>
    <definedName name="xxxxxxxxxxxxxx" hidden="1">{#N/A,#N/A,FALSE,"Plan1";#N/A,#N/A,FALSE,"Plan2"}</definedName>
    <definedName name="xzfrt" localSheetId="2" hidden="1">{#N/A,#N/A,FALSE,"Plan1";#N/A,#N/A,FALSE,"Plan2"}</definedName>
    <definedName name="xzfrt" localSheetId="0" hidden="1">{#N/A,#N/A,FALSE,"Plan1";#N/A,#N/A,FALSE,"Plan2"}</definedName>
    <definedName name="xzfrt" hidden="1">{#N/A,#N/A,FALSE,"Plan1";#N/A,#N/A,FALSE,"Plan2"}</definedName>
    <definedName name="yeitrtged" localSheetId="2" hidden="1">{#N/A,#N/A,FALSE,"Plan1";#N/A,#N/A,FALSE,"Plan2"}</definedName>
    <definedName name="yeitrtged" localSheetId="0" hidden="1">{#N/A,#N/A,FALSE,"Plan1";#N/A,#N/A,FALSE,"Plan2"}</definedName>
    <definedName name="yeitrtged" hidden="1">{#N/A,#N/A,FALSE,"Plan1";#N/A,#N/A,FALSE,"Plan2"}</definedName>
    <definedName name="yhdfiuygrui" localSheetId="2" hidden="1">{#N/A,#N/A,FALSE,"Plan1";#N/A,#N/A,FALSE,"Plan2"}</definedName>
    <definedName name="yhdfiuygrui" localSheetId="0" hidden="1">{#N/A,#N/A,FALSE,"Plan1";#N/A,#N/A,FALSE,"Plan2"}</definedName>
    <definedName name="yhdfiuygrui" hidden="1">{#N/A,#N/A,FALSE,"Plan1";#N/A,#N/A,FALSE,"Plan2"}</definedName>
    <definedName name="YRGUYDRIY" localSheetId="2" hidden="1">{"Econ Consolidado",#N/A,FALSE,"Econ Consol";"Fluxo de Caixa",#N/A,FALSE,"Fluxo Caixa";"Investimentos",#N/A,FALSE,"Investimentos"}</definedName>
    <definedName name="YRGUYDRIY" localSheetId="0" hidden="1">{"Econ Consolidado",#N/A,FALSE,"Econ Consol";"Fluxo de Caixa",#N/A,FALSE,"Fluxo Caixa";"Investimentos",#N/A,FALSE,"Investimentos"}</definedName>
    <definedName name="YRGUYDRIY" hidden="1">{"Econ Consolidado",#N/A,FALSE,"Econ Consol";"Fluxo de Caixa",#N/A,FALSE,"Fluxo Caixa";"Investimentos",#N/A,FALSE,"Investimentos"}</definedName>
    <definedName name="ytdju">#REF!</definedName>
    <definedName name="yuegursdmksf" localSheetId="2" hidden="1">{#N/A,#N/A,FALSE,"Plan1";#N/A,#N/A,FALSE,"Plan2"}</definedName>
    <definedName name="yuegursdmksf" localSheetId="0" hidden="1">{#N/A,#N/A,FALSE,"Plan1";#N/A,#N/A,FALSE,"Plan2"}</definedName>
    <definedName name="yuegursdmksf" hidden="1">{#N/A,#N/A,FALSE,"Plan1";#N/A,#N/A,FALSE,"Plan2"}</definedName>
    <definedName name="yuekl4fr" localSheetId="2" hidden="1">{#N/A,#N/A,FALSE,"Plan1";#N/A,#N/A,FALSE,"Plan2"}</definedName>
    <definedName name="yuekl4fr" localSheetId="0" hidden="1">{#N/A,#N/A,FALSE,"Plan1";#N/A,#N/A,FALSE,"Plan2"}</definedName>
    <definedName name="yuekl4fr" hidden="1">{#N/A,#N/A,FALSE,"Plan1";#N/A,#N/A,FALSE,"Plan2"}</definedName>
    <definedName name="yureytuyrea" localSheetId="2" hidden="1">{#N/A,#N/A,FALSE,"Plan1";#N/A,#N/A,FALSE,"Plan2"}</definedName>
    <definedName name="yureytuyrea" localSheetId="0" hidden="1">{#N/A,#N/A,FALSE,"Plan1";#N/A,#N/A,FALSE,"Plan2"}</definedName>
    <definedName name="yureytuyrea" hidden="1">{#N/A,#N/A,FALSE,"Plan1";#N/A,#N/A,FALSE,"Plan2"}</definedName>
    <definedName name="z" localSheetId="2" hidden="1">{"'Estimativa de Lançamento-JAN'!$A$1:$AI$85"}</definedName>
    <definedName name="z" localSheetId="0" hidden="1">{"'Estimativa de Lançamento-JAN'!$A$1:$AI$85"}</definedName>
    <definedName name="z" hidden="1">{"'Estimativa de Lançamento-JAN'!$A$1:$AI$85"}</definedName>
    <definedName name="z\djs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 hidden="1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697660_066E_11D5_AF15_00010242ED40_.wvu.PrintArea" hidden="1">#REF!</definedName>
    <definedName name="Z_15697660_066E_11D5_AF15_00010242ED40_.wvu.PrintTitles" hidden="1">#REF!</definedName>
    <definedName name="Z_15697660_066E_11D5_AF15_00010242ED40_.wvu.Rows" hidden="1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 hidden="1">#REF!</definedName>
    <definedName name="Z_4CA4BF7C_65C1_4E25_8563_22DF58586D2C_.wvu.PrintTitles" hidden="1">#REF!</definedName>
    <definedName name="Z_4CA4BF7C_65C1_4E25_8563_22DF58586D2C_.wvu.Rows" hidden="1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 localSheetId="0" hidden="1">#REF!,#REF!</definedName>
    <definedName name="Z_60DF8B29_1C1F_4B50_BDA8_B8E0C7DD04C3_.wvu.Cols" hidden="1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 hidden="1">#REF!</definedName>
    <definedName name="Z_9066F505_4944_4582_AAF9_B40B49D59413_.wvu.PrintTitles" hidden="1">#REF!</definedName>
    <definedName name="Z_9066F505_4944_4582_AAF9_B40B49D59413_.wvu.Rows" hidden="1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 hidden="1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 hidden="1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 hidden="1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 hidden="1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 localSheetId="2" hidden="1">{#N/A,#N/A,FALSE,"Plan1";#N/A,#N/A,FALSE,"Plan2"}</definedName>
    <definedName name="zcdçskld" localSheetId="0" hidden="1">{#N/A,#N/A,FALSE,"Plan1";#N/A,#N/A,FALSE,"Plan2"}</definedName>
    <definedName name="zcdçskld" hidden="1">{#N/A,#N/A,FALSE,"Plan1";#N/A,#N/A,FALSE,"Plan2"}</definedName>
    <definedName name="zcsdrfrt" localSheetId="2" hidden="1">{#N/A,#N/A,FALSE,"Plan1";#N/A,#N/A,FALSE,"Plan2"}</definedName>
    <definedName name="zcsdrfrt" localSheetId="0" hidden="1">{#N/A,#N/A,FALSE,"Plan1";#N/A,#N/A,FALSE,"Plan2"}</definedName>
    <definedName name="zcsdrfrt" hidden="1">{#N/A,#N/A,FALSE,"Plan1";#N/A,#N/A,FALSE,"Plan2"}</definedName>
    <definedName name="ZDRE" localSheetId="2" hidden="1">{#N/A,#N/A,FALSE,"Plan1";#N/A,#N/A,FALSE,"Plan2"}</definedName>
    <definedName name="ZDRE" localSheetId="0" hidden="1">{#N/A,#N/A,FALSE,"Plan1";#N/A,#N/A,FALSE,"Plan2"}</definedName>
    <definedName name="ZDRE" hidden="1">{#N/A,#N/A,FALSE,"Plan1";#N/A,#N/A,FALSE,"Plan2"}</definedName>
    <definedName name="ZEZE">#REF!</definedName>
    <definedName name="ZIN">#REF!</definedName>
    <definedName name="ZINS">#REF!</definedName>
    <definedName name="ZSADF" localSheetId="2" hidden="1">{#N/A,#N/A,FALSE,"Plan1";#N/A,#N/A,FALSE,"Plan2"}</definedName>
    <definedName name="ZSADF" localSheetId="0" hidden="1">{#N/A,#N/A,FALSE,"Plan1";#N/A,#N/A,FALSE,"Plan2"}</definedName>
    <definedName name="ZSADF" hidden="1">{#N/A,#N/A,FALSE,"Plan1";#N/A,#N/A,FALSE,"Plan2"}</definedName>
    <definedName name="zsads" localSheetId="2" hidden="1">{#N/A,#N/A,FALSE,"Plan1";#N/A,#N/A,FALSE,"Plan2"}</definedName>
    <definedName name="zsads" localSheetId="0" hidden="1">{#N/A,#N/A,FALSE,"Plan1";#N/A,#N/A,FALSE,"Plan2"}</definedName>
    <definedName name="zsads" hidden="1">{#N/A,#N/A,FALSE,"Plan1";#N/A,#N/A,FALSE,"Plan2"}</definedName>
    <definedName name="ZSDFSETR" hidden="1">#REF!</definedName>
    <definedName name="zsds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localSheetId="2" hidden="1">{#N/A,#N/A,FALSE,"Plan1";#N/A,#N/A,FALSE,"Plan2"}</definedName>
    <definedName name="zxccdf" localSheetId="0" hidden="1">{#N/A,#N/A,FALSE,"Plan1";#N/A,#N/A,FALSE,"Plan2"}</definedName>
    <definedName name="zxccdf" hidden="1">{#N/A,#N/A,FALSE,"Plan1";#N/A,#N/A,FALSE,"Plan2"}</definedName>
    <definedName name="zxcdsf" hidden="1">#REF!</definedName>
    <definedName name="zxcfdstrrt" localSheetId="2" hidden="1">{#N/A,#N/A,FALSE,"Plan1";#N/A,#N/A,FALSE,"Plan2"}</definedName>
    <definedName name="zxcfdstrrt" localSheetId="0" hidden="1">{#N/A,#N/A,FALSE,"Plan1";#N/A,#N/A,FALSE,"Plan2"}</definedName>
    <definedName name="zxcfdstrrt" hidden="1">{#N/A,#N/A,FALSE,"Plan1";#N/A,#N/A,FALSE,"Plan2"}</definedName>
    <definedName name="zxcx" localSheetId="2" hidden="1">{#N/A,#N/A,FALSE,"Plan1";#N/A,#N/A,FALSE,"Plan2"}</definedName>
    <definedName name="zxcx" localSheetId="0" hidden="1">{#N/A,#N/A,FALSE,"Plan1";#N/A,#N/A,FALSE,"Plan2"}</definedName>
    <definedName name="zxcx" hidden="1">{#N/A,#N/A,FALSE,"Plan1";#N/A,#N/A,FALSE,"Plan2"}</definedName>
    <definedName name="ZXFCR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localSheetId="2" hidden="1">{#N/A,#N/A,FALSE,"Plan1";#N/A,#N/A,FALSE,"Plan2"}</definedName>
    <definedName name="ZXFHDFRHDF" localSheetId="0" hidden="1">{#N/A,#N/A,FALSE,"Plan1";#N/A,#N/A,FALSE,"Plan2"}</definedName>
    <definedName name="ZXFHDFRHDF" hidden="1">{#N/A,#N/A,FALSE,"Plan1";#N/A,#N/A,FALSE,"Plan2"}</definedName>
    <definedName name="ZZ">#REF!</definedName>
    <definedName name="zzdftr" localSheetId="2" hidden="1">{#N/A,#N/A,FALSE,"Plan1";#N/A,#N/A,FALSE,"Plan2"}</definedName>
    <definedName name="zzdftr" localSheetId="0" hidden="1">{#N/A,#N/A,FALSE,"Plan1";#N/A,#N/A,FALSE,"Plan2"}</definedName>
    <definedName name="zzdftr" hidden="1">{#N/A,#N/A,FALSE,"Plan1";#N/A,#N/A,FALSE,"Plan2"}</definedName>
    <definedName name="zzz" localSheetId="2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0">#REF!</definedName>
    <definedName name="zzz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ㄱ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2" hidden="1">{"'장비'!$A$3:$M$12"}</definedName>
    <definedName name="ㄱㄷㄱㄷㄱㄱㅎㄺㄷ" localSheetId="0" hidden="1">{"'장비'!$A$3:$M$12"}</definedName>
    <definedName name="ㄱㄷㄱㄷㄱㄱㅎㄺㄷ" hidden="1">{"'장비'!$A$3:$M$12"}</definedName>
    <definedName name="가나다" hidden="1">#REF!</definedName>
    <definedName name="검증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 hidden="1">#REF!</definedName>
    <definedName name="계약고햔황2" hidden="1">#REF!</definedName>
    <definedName name="계약고현황2" hidden="1">#REF!</definedName>
    <definedName name="고문" localSheetId="2" hidden="1">{#N/A,#N/A,FALSE,"현장 NCR 분석";#N/A,#N/A,FALSE,"현장품질감사";#N/A,#N/A,FALSE,"현장품질감사"}</definedName>
    <definedName name="고문" localSheetId="0" hidden="1">{#N/A,#N/A,FALSE,"현장 NCR 분석";#N/A,#N/A,FALSE,"현장품질감사";#N/A,#N/A,FALSE,"현장품질감사"}</definedName>
    <definedName name="고문" hidden="1">{#N/A,#N/A,FALSE,"현장 NCR 분석";#N/A,#N/A,FALSE,"현장품질감사";#N/A,#N/A,FALSE,"현장품질감사"}</definedName>
    <definedName name="고문2" localSheetId="2" hidden="1">{#N/A,#N/A,FALSE,"현장 NCR 분석";#N/A,#N/A,FALSE,"현장품질감사";#N/A,#N/A,FALSE,"현장품질감사"}</definedName>
    <definedName name="고문2" localSheetId="0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공공공표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2" hidden="1">{#N/A,#N/A,FALSE,"ENG'G(보호계전기)"}</definedName>
    <definedName name="공급구분표_수정" localSheetId="0" hidden="1">{#N/A,#N/A,FALSE,"ENG'G(보호계전기)"}</definedName>
    <definedName name="공급구분표_수정" hidden="1">{#N/A,#N/A,FALSE,"ENG'G(보호계전기)"}</definedName>
    <definedName name="공급표표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 hidden="1">#REF!</definedName>
    <definedName name="내역" localSheetId="2" hidden="1">{#N/A,#N/A,FALSE,"CCTV"}</definedName>
    <definedName name="내역" localSheetId="0" hidden="1">{#N/A,#N/A,FALSE,"CCTV"}</definedName>
    <definedName name="내역" hidden="1">{#N/A,#N/A,FALSE,"CCTV"}</definedName>
    <definedName name="ㄷㄳ" localSheetId="2" hidden="1">{"'장비'!$A$3:$M$12"}</definedName>
    <definedName name="ㄷㄳ" localSheetId="0" hidden="1">{"'장비'!$A$3:$M$12"}</definedName>
    <definedName name="ㄷㄳ" hidden="1">{"'장비'!$A$3:$M$12"}</definedName>
    <definedName name="ㄷㄷㄷㄷ" localSheetId="2" hidden="1">{"'장비'!$A$3:$M$12"}</definedName>
    <definedName name="ㄷㄷㄷㄷ" localSheetId="0" hidden="1">{"'장비'!$A$3:$M$12"}</definedName>
    <definedName name="ㄷㄷㄷㄷ" hidden="1">{"'장비'!$A$3:$M$12"}</definedName>
    <definedName name="ㄷㅈㅂㄷ" localSheetId="2" hidden="1">{"'장비'!$A$3:$M$12"}</definedName>
    <definedName name="ㄷㅈㅂㄷ" localSheetId="0" hidden="1">{"'장비'!$A$3:$M$12"}</definedName>
    <definedName name="ㄷㅈㅂㄷ" hidden="1">{"'장비'!$A$3:$M$12"}</definedName>
    <definedName name="당초계획" hidden="1">#REF!</definedName>
    <definedName name="도면외주" hidden="1">#REF!</definedName>
    <definedName name="도면용역비" hidden="1">#REF!</definedName>
    <definedName name="ㄹㄹ" localSheetId="2" hidden="1">{"'장비'!$A$3:$M$12"}</definedName>
    <definedName name="ㄹㄹ" localSheetId="0" hidden="1">{"'장비'!$A$3:$M$12"}</definedName>
    <definedName name="ㄹㄹ" hidden="1">{"'장비'!$A$3:$M$12"}</definedName>
    <definedName name="ㄹㄹㄹ" hidden="1">#REF!</definedName>
    <definedName name="랄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localSheetId="2" hidden="1">{#N/A,#N/A,FALSE,"현장 NCR 분석";#N/A,#N/A,FALSE,"현장품질감사";#N/A,#N/A,FALSE,"현장품질감사"}</definedName>
    <definedName name="러러러" localSheetId="0" hidden="1">{#N/A,#N/A,FALSE,"현장 NCR 분석";#N/A,#N/A,FALSE,"현장품질감사";#N/A,#N/A,FALSE,"현장품질감사"}</definedName>
    <definedName name="러러러" hidden="1">{#N/A,#N/A,FALSE,"현장 NCR 분석";#N/A,#N/A,FALSE,"현장품질감사";#N/A,#N/A,FALSE,"현장품질감사"}</definedName>
    <definedName name="ㅁ" localSheetId="2" hidden="1">{#N/A,#N/A,FALSE,"명세표"}</definedName>
    <definedName name="ㅁ" localSheetId="0" hidden="1">{#N/A,#N/A,FALSE,"명세표"}</definedName>
    <definedName name="ㅁ" hidden="1">{#N/A,#N/A,FALSE,"명세표"}</definedName>
    <definedName name="ㅁㄱ해ㅜ5" hidden="1">#REF!</definedName>
    <definedName name="ㅁ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localSheetId="2" hidden="1">{#N/A,#N/A,FALSE,"명세표"}</definedName>
    <definedName name="ㅁㅁ" localSheetId="0" hidden="1">{#N/A,#N/A,FALSE,"명세표"}</definedName>
    <definedName name="ㅁㅁ" hidden="1">{#N/A,#N/A,FALSE,"명세표"}</definedName>
    <definedName name="ㅁㅁㅁ" hidden="1">#REF!</definedName>
    <definedName name="ㅁㅁㅁㅁㅁㅁㅁㅁㅁㅁㅁㅁ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localSheetId="2" hidden="1">{#N/A,#N/A,FALSE,"명세표"}</definedName>
    <definedName name="머" localSheetId="0" hidden="1">{#N/A,#N/A,FALSE,"명세표"}</definedName>
    <definedName name="머" hidden="1">{#N/A,#N/A,FALSE,"명세표"}</definedName>
    <definedName name="ㅂㅂㅂㅂ" localSheetId="2" hidden="1">{#N/A,#N/A,FALSE,"명세표"}</definedName>
    <definedName name="ㅂㅂㅂㅂ" localSheetId="0" hidden="1">{#N/A,#N/A,FALSE,"명세표"}</definedName>
    <definedName name="ㅂㅂㅂㅂ" hidden="1">{#N/A,#N/A,FALSE,"명세표"}</definedName>
    <definedName name="ㅂㅂㅂㅂㅂㅂㅂ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2" hidden="1">{"'장비'!$A$3:$M$12"}</definedName>
    <definedName name="ㅂㅈㄱㅂㅈㄷㄱ" localSheetId="0" hidden="1">{"'장비'!$A$3:$M$12"}</definedName>
    <definedName name="ㅂㅈㄱㅂㅈㄷㄱ" hidden="1">{"'장비'!$A$3:$M$12"}</definedName>
    <definedName name="ㅂㅈㄷ" localSheetId="2" hidden="1">{"'장비'!$A$3:$M$12"}</definedName>
    <definedName name="ㅂㅈㄷ" localSheetId="0" hidden="1">{"'장비'!$A$3:$M$12"}</definedName>
    <definedName name="ㅂㅈㄷ" hidden="1">{"'장비'!$A$3:$M$12"}</definedName>
    <definedName name="ㅂㅈㄷㄷㅂㅈㅈㅂ" localSheetId="2" hidden="1">{"'장비'!$A$3:$M$12"}</definedName>
    <definedName name="ㅂㅈㄷㄷㅂㅈㅈㅂ" localSheetId="0" hidden="1">{"'장비'!$A$3:$M$12"}</definedName>
    <definedName name="ㅂㅈㄷㄷㅂㅈㅈㅂ" hidden="1">{"'장비'!$A$3:$M$12"}</definedName>
    <definedName name="ㅂㅈㄷㅂㅈ" localSheetId="2" hidden="1">{"'장비'!$A$3:$M$12"}</definedName>
    <definedName name="ㅂㅈㄷㅂㅈ" localSheetId="0" hidden="1">{"'장비'!$A$3:$M$12"}</definedName>
    <definedName name="ㅂㅈㄷㅂㅈ" hidden="1">{"'장비'!$A$3:$M$12"}</definedName>
    <definedName name="ㅂㅈㄷㅂㅈㅈㅂㄷ" localSheetId="2" hidden="1">{"'장비'!$A$3:$M$12"}</definedName>
    <definedName name="ㅂㅈㄷㅂㅈㅈㅂㄷ" localSheetId="0" hidden="1">{"'장비'!$A$3:$M$12"}</definedName>
    <definedName name="ㅂㅈㄷㅂㅈㅈㅂㄷ" hidden="1">{"'장비'!$A$3:$M$12"}</definedName>
    <definedName name="ㅂㅈㄷㅈㅂㄷ" localSheetId="2" hidden="1">{"'장비'!$A$3:$M$12"}</definedName>
    <definedName name="ㅂㅈㄷㅈㅂㄷ" localSheetId="0" hidden="1">{"'장비'!$A$3:$M$12"}</definedName>
    <definedName name="ㅂㅈㄷㅈㅂㄷ" hidden="1">{"'장비'!$A$3:$M$12"}</definedName>
    <definedName name="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hidden="1">#REF!</definedName>
    <definedName name="보호" localSheetId="2" hidden="1">{#N/A,#N/A,FALSE,"ENG'G(보호계전기)"}</definedName>
    <definedName name="보호" localSheetId="0" hidden="1">{#N/A,#N/A,FALSE,"ENG'G(보호계전기)"}</definedName>
    <definedName name="보호" hidden="1">{#N/A,#N/A,FALSE,"ENG'G(보호계전기)"}</definedName>
    <definedName name="본공사공정표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hidden="1">#REF!</definedName>
    <definedName name="부손익" localSheetId="2" hidden="1">{#N/A,#N/A,FALSE,"현장 NCR 분석";#N/A,#N/A,FALSE,"현장품질감사";#N/A,#N/A,FALSE,"현장품질감사"}</definedName>
    <definedName name="부손익" localSheetId="0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분야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localSheetId="2" hidden="1">{"'장비'!$A$3:$M$12"}</definedName>
    <definedName name="ㅅㄱㄱㄷ" localSheetId="0" hidden="1">{"'장비'!$A$3:$M$12"}</definedName>
    <definedName name="ㅅㄱㄱㄷ" hidden="1">{"'장비'!$A$3:$M$12"}</definedName>
    <definedName name="ㅅㅅㅅㅅㅅ" localSheetId="2" hidden="1">{"'장비'!$A$3:$M$12"}</definedName>
    <definedName name="ㅅㅅㅅㅅㅅ" localSheetId="0" hidden="1">{"'장비'!$A$3:$M$12"}</definedName>
    <definedName name="ㅅㅅㅅㅅㅅ" hidden="1">{"'장비'!$A$3:$M$12"}</definedName>
    <definedName name="사업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hidden="1">#REF!</definedName>
    <definedName name="사업관리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hidden="1">#REF!</definedName>
    <definedName name="산출" hidden="1">#REF!</definedName>
    <definedName name="새안" localSheetId="2" hidden="1">{#N/A,#N/A,FALSE,"TABLE"}</definedName>
    <definedName name="새안" localSheetId="0" hidden="1">{#N/A,#N/A,FALSE,"TABLE"}</definedName>
    <definedName name="새안" hidden="1">{#N/A,#N/A,FALSE,"TABLE"}</definedName>
    <definedName name="석항" localSheetId="2" hidden="1">{#N/A,#N/A,FALSE,"명세표"}</definedName>
    <definedName name="석항" localSheetId="0" hidden="1">{#N/A,#N/A,FALSE,"명세표"}</definedName>
    <definedName name="석항" hidden="1">{#N/A,#N/A,FALSE,"명세표"}</definedName>
    <definedName name="설계현황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hidden="1">#REF!</definedName>
    <definedName name="쇼ㅗㅎ로" localSheetId="2" hidden="1">{"'장비'!$A$3:$M$12"}</definedName>
    <definedName name="쇼ㅗㅎ로" localSheetId="0" hidden="1">{"'장비'!$A$3:$M$12"}</definedName>
    <definedName name="쇼ㅗㅎ로" hidden="1">{"'장비'!$A$3:$M$12"}</definedName>
    <definedName name="수" hidden="1">#REF!</definedName>
    <definedName name="수당" hidden="1">#N/A</definedName>
    <definedName name="신설" localSheetId="2" hidden="1">{#N/A,#N/A,FALSE,"명세표"}</definedName>
    <definedName name="신설" localSheetId="0" hidden="1">{#N/A,#N/A,FALSE,"명세표"}</definedName>
    <definedName name="신설" hidden="1">{#N/A,#N/A,FALSE,"명세표"}</definedName>
    <definedName name="실적총괄1" hidden="1">#REF!</definedName>
    <definedName name="실총" hidden="1">#REF!</definedName>
    <definedName name="ㅇㄹㄹ" hidden="1">#REF!</definedName>
    <definedName name="ㅇㅇ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 hidden="1">#REF!</definedName>
    <definedName name="양식변경123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 hidden="1">#REF!</definedName>
    <definedName name="이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localSheetId="2" hidden="1">{#N/A,#N/A,FALSE,"명세표"}</definedName>
    <definedName name="ㅈ" localSheetId="0" hidden="1">{#N/A,#N/A,FALSE,"명세표"}</definedName>
    <definedName name="ㅈ" hidden="1">{#N/A,#N/A,FALSE,"명세표"}</definedName>
    <definedName name="ㅈㅈㅈㅈ" localSheetId="2" hidden="1">{#N/A,#N/A,FALSE,"명세표"}</definedName>
    <definedName name="ㅈㅈㅈㅈ" localSheetId="0" hidden="1">{#N/A,#N/A,FALSE,"명세표"}</definedName>
    <definedName name="ㅈㅈㅈㅈ" hidden="1">{#N/A,#N/A,FALSE,"명세표"}</definedName>
    <definedName name="자미" localSheetId="2" hidden="1">{#N/A,#N/A,FALSE,"명세표"}</definedName>
    <definedName name="자미" localSheetId="0" hidden="1">{#N/A,#N/A,FALSE,"명세표"}</definedName>
    <definedName name="자미" hidden="1">{#N/A,#N/A,FALSE,"명세표"}</definedName>
    <definedName name="자운" hidden="1">#REF!</definedName>
    <definedName name="자재3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 hidden="1">#REF!</definedName>
    <definedName name="전기사양_SAMPLE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hidden="1">#REF!</definedName>
    <definedName name="조직표현장" hidden="1">#REF!</definedName>
    <definedName name="종합1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localSheetId="2" hidden="1">{#N/A,#N/A,FALSE,"ENG'G(보호계전기)"}</definedName>
    <definedName name="중량비교검토" localSheetId="0" hidden="1">{#N/A,#N/A,FALSE,"ENG'G(보호계전기)"}</definedName>
    <definedName name="중량비교검토" hidden="1">{#N/A,#N/A,FALSE,"ENG'G(보호계전기)"}</definedName>
    <definedName name="집계" localSheetId="2" hidden="1">{#N/A,#N/A,FALSE,"명세표"}</definedName>
    <definedName name="집계" localSheetId="0" hidden="1">{#N/A,#N/A,FALSE,"명세표"}</definedName>
    <definedName name="집계" hidden="1">{#N/A,#N/A,FALSE,"명세표"}</definedName>
    <definedName name="철골공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localSheetId="2" hidden="1">{#N/A,#N/A,FALSE,"명세표"}</definedName>
    <definedName name="ㅋㅁ" localSheetId="0" hidden="1">{#N/A,#N/A,FALSE,"명세표"}</definedName>
    <definedName name="ㅋㅁ" hidden="1">{#N/A,#N/A,FALSE,"명세표"}</definedName>
    <definedName name="ㅋㅋㅋ" localSheetId="2" hidden="1">{#N/A,#N/A,FALSE,"명세표"}</definedName>
    <definedName name="ㅋㅋㅋ" localSheetId="0" hidden="1">{#N/A,#N/A,FALSE,"명세표"}</definedName>
    <definedName name="ㅋㅋㅋ" hidden="1">{#N/A,#N/A,FALSE,"명세표"}</definedName>
    <definedName name="ㅌㅌ" localSheetId="2" hidden="1">{#N/A,#N/A,FALSE,"명세표"}</definedName>
    <definedName name="ㅌㅌ" localSheetId="0" hidden="1">{#N/A,#N/A,FALSE,"명세표"}</definedName>
    <definedName name="ㅌㅌ" hidden="1">{#N/A,#N/A,FALSE,"명세표"}</definedName>
    <definedName name="토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2" hidden="1">{"'장비'!$A$3:$M$12"}</definedName>
    <definedName name="ㅎㅎㅎㅎ" localSheetId="0" hidden="1">{"'장비'!$A$3:$M$12"}</definedName>
    <definedName name="ㅎㅎㅎㅎ" hidden="1">{"'장비'!$A$3:$M$12"}</definedName>
    <definedName name="하하하" localSheetId="2" hidden="1">{#N/A,#N/A,FALSE,"명세표"}</definedName>
    <definedName name="하하하" localSheetId="0" hidden="1">{#N/A,#N/A,FALSE,"명세표"}</definedName>
    <definedName name="하하하" hidden="1">{#N/A,#N/A,FALSE,"명세표"}</definedName>
    <definedName name="한국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localSheetId="2" hidden="1">{#N/A,#N/A,FALSE,"명세표"}</definedName>
    <definedName name="호호호" localSheetId="0" hidden="1">{#N/A,#N/A,FALSE,"명세표"}</definedName>
    <definedName name="호호호" hidden="1">{#N/A,#N/A,FALSE,"명세표"}</definedName>
    <definedName name="ㅏㅏㅏ" localSheetId="2" hidden="1">{#N/A,#N/A,FALSE,"명세표"}</definedName>
    <definedName name="ㅏㅏㅏ" localSheetId="0" hidden="1">{#N/A,#N/A,FALSE,"명세표"}</definedName>
    <definedName name="ㅏㅏㅏ" hidden="1">{#N/A,#N/A,FALSE,"명세표"}</definedName>
    <definedName name="ㅔㅔ" localSheetId="2" hidden="1">{#N/A,#N/A,FALSE,"명세표"}</definedName>
    <definedName name="ㅔㅔ" localSheetId="0" hidden="1">{#N/A,#N/A,FALSE,"명세표"}</definedName>
    <definedName name="ㅔㅔ" hidden="1">{#N/A,#N/A,FALSE,"명세표"}</definedName>
    <definedName name="ㅔㅔㅔㅔㅔ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localSheetId="2" hidden="1">{"'장비'!$A$3:$M$12"}</definedName>
    <definedName name="ㅗ홓ㅎ로" localSheetId="0" hidden="1">{"'장비'!$A$3:$M$12"}</definedName>
    <definedName name="ㅗ홓ㅎ로" hidden="1">{"'장비'!$A$3:$M$12"}</definedName>
    <definedName name="ㅗㅗ" localSheetId="2" hidden="1">{#N/A,#N/A,FALSE,"명세표"}</definedName>
    <definedName name="ㅗㅗ" localSheetId="0" hidden="1">{#N/A,#N/A,FALSE,"명세표"}</definedName>
    <definedName name="ㅗㅗ" hidden="1">{#N/A,#N/A,FALSE,"명세표"}</definedName>
    <definedName name="ㅗㅗㅗㅗㅗ" localSheetId="2" hidden="1">{"'장비'!$A$3:$M$12"}</definedName>
    <definedName name="ㅗㅗㅗㅗㅗ" localSheetId="0" hidden="1">{"'장비'!$A$3:$M$12"}</definedName>
    <definedName name="ㅗㅗㅗㅗㅗ" hidden="1">{"'장비'!$A$3:$M$12"}</definedName>
    <definedName name="ㅛ" localSheetId="2" hidden="1">{"'장비'!$A$3:$M$12"}</definedName>
    <definedName name="ㅛ" localSheetId="0" hidden="1">{"'장비'!$A$3:$M$12"}</definedName>
    <definedName name="ㅛ" hidden="1">{"'장비'!$A$3:$M$12"}</definedName>
    <definedName name="ㅛㅕㅛㅕㅛ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2" hidden="1">{"'장비'!$A$3:$M$12"}</definedName>
    <definedName name="ㅛㅛㅛ" localSheetId="0" hidden="1">{"'장비'!$A$3:$M$12"}</definedName>
    <definedName name="ㅛㅛㅛ" hidden="1">{"'장비'!$A$3:$M$12"}</definedName>
    <definedName name="ㅜ" localSheetId="2" hidden="1">{#N/A,#N/A,FALSE,"명세표"}</definedName>
    <definedName name="ㅜ" localSheetId="0" hidden="1">{#N/A,#N/A,FALSE,"명세표"}</definedName>
    <definedName name="ㅜ" hidden="1">{#N/A,#N/A,FALSE,"명세표"}</definedName>
    <definedName name="ㅠㅠ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localSheetId="2" hidden="1">{#N/A,#N/A,FALSE,"명세표"}</definedName>
    <definedName name="ㅡㅡ" localSheetId="0" hidden="1">{#N/A,#N/A,FALSE,"명세표"}</definedName>
    <definedName name="ㅡㅡ" hidden="1">{#N/A,#N/A,FALSE,"명세표"}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5" roundtripDataChecksum="eCO1r4Mb/bFGnCT+IkbeiMQVEazDN9n9BdTSmr+Updc="/>
    </ext>
  </extLst>
</workbook>
</file>

<file path=xl/calcChain.xml><?xml version="1.0" encoding="utf-8"?>
<calcChain xmlns="http://schemas.openxmlformats.org/spreadsheetml/2006/main">
  <c r="E19" i="7" l="1"/>
  <c r="F7" i="7" s="1"/>
  <c r="B19" i="7"/>
  <c r="C11" i="7" s="1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O5" i="7"/>
  <c r="G16" i="7" s="1"/>
  <c r="H5" i="7"/>
  <c r="O4" i="7"/>
  <c r="D14" i="7" s="1"/>
  <c r="H4" i="7"/>
  <c r="I43" i="6"/>
  <c r="J43" i="6"/>
  <c r="H43" i="6"/>
  <c r="G43" i="6"/>
  <c r="E43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44" i="6"/>
  <c r="D43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44" i="6"/>
  <c r="C43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24" i="6"/>
  <c r="C23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45" i="6"/>
  <c r="B44" i="6"/>
  <c r="B43" i="6"/>
  <c r="D23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D10" i="7" l="1"/>
  <c r="D11" i="7"/>
  <c r="F12" i="7"/>
  <c r="F11" i="7"/>
  <c r="C5" i="7"/>
  <c r="C17" i="7"/>
  <c r="C18" i="7"/>
  <c r="C6" i="7"/>
  <c r="C12" i="7"/>
  <c r="C7" i="7"/>
  <c r="G12" i="7"/>
  <c r="C8" i="7"/>
  <c r="C13" i="7"/>
  <c r="G13" i="7"/>
  <c r="C9" i="7"/>
  <c r="C14" i="7"/>
  <c r="C10" i="7"/>
  <c r="C15" i="7"/>
  <c r="C4" i="7"/>
  <c r="F10" i="7"/>
  <c r="C16" i="7"/>
  <c r="G11" i="7"/>
  <c r="F18" i="7"/>
  <c r="G9" i="7"/>
  <c r="G5" i="7"/>
  <c r="G7" i="7"/>
  <c r="F14" i="7"/>
  <c r="D18" i="7"/>
  <c r="D9" i="7"/>
  <c r="J13" i="7"/>
  <c r="D16" i="7"/>
  <c r="D5" i="7"/>
  <c r="F16" i="7"/>
  <c r="D12" i="7"/>
  <c r="G14" i="7"/>
  <c r="D17" i="7"/>
  <c r="D8" i="7"/>
  <c r="G10" i="7"/>
  <c r="F17" i="7"/>
  <c r="D4" i="7"/>
  <c r="D6" i="7"/>
  <c r="F8" i="7"/>
  <c r="D15" i="7"/>
  <c r="G17" i="7"/>
  <c r="F4" i="7"/>
  <c r="F6" i="7"/>
  <c r="G8" i="7"/>
  <c r="F15" i="7"/>
  <c r="H19" i="7"/>
  <c r="I17" i="7" s="1"/>
  <c r="G4" i="7"/>
  <c r="G6" i="7"/>
  <c r="D13" i="7"/>
  <c r="G15" i="7"/>
  <c r="F13" i="7"/>
  <c r="O6" i="7"/>
  <c r="J9" i="7" s="1"/>
  <c r="F9" i="7"/>
  <c r="G18" i="7"/>
  <c r="D7" i="7"/>
  <c r="F5" i="7"/>
  <c r="B38" i="6"/>
  <c r="I9" i="7" l="1"/>
  <c r="J12" i="7"/>
  <c r="C19" i="7"/>
  <c r="D19" i="7"/>
  <c r="D20" i="7" s="1"/>
  <c r="J11" i="7"/>
  <c r="J17" i="7"/>
  <c r="J14" i="7"/>
  <c r="G19" i="7"/>
  <c r="G20" i="7" s="1"/>
  <c r="I15" i="7"/>
  <c r="I4" i="7"/>
  <c r="I7" i="7"/>
  <c r="I5" i="7"/>
  <c r="I6" i="7"/>
  <c r="I12" i="7"/>
  <c r="F19" i="7"/>
  <c r="I8" i="7"/>
  <c r="I16" i="7"/>
  <c r="I14" i="7"/>
  <c r="I18" i="7"/>
  <c r="I10" i="7"/>
  <c r="I11" i="7"/>
  <c r="I13" i="7"/>
  <c r="J6" i="7"/>
  <c r="J7" i="7"/>
  <c r="J5" i="7"/>
  <c r="J15" i="7"/>
  <c r="J4" i="7"/>
  <c r="J8" i="7"/>
  <c r="J16" i="7"/>
  <c r="J18" i="7"/>
  <c r="J10" i="7"/>
  <c r="B3" i="6"/>
  <c r="J19" i="7" l="1"/>
  <c r="J20" i="7" s="1"/>
  <c r="I19" i="7"/>
  <c r="M4" i="6"/>
  <c r="M3" i="6"/>
  <c r="D12" i="6" l="1"/>
  <c r="D7" i="6"/>
  <c r="D14" i="6"/>
  <c r="D31" i="6"/>
  <c r="D32" i="6"/>
  <c r="D33" i="6"/>
  <c r="D34" i="6"/>
  <c r="D25" i="6"/>
  <c r="D26" i="6"/>
  <c r="D28" i="6"/>
  <c r="D35" i="6"/>
  <c r="D27" i="6"/>
  <c r="D36" i="6"/>
  <c r="D37" i="6"/>
  <c r="D24" i="6"/>
  <c r="D29" i="6"/>
  <c r="D30" i="6"/>
  <c r="D13" i="6"/>
  <c r="D10" i="6"/>
  <c r="D4" i="6"/>
  <c r="D3" i="6"/>
  <c r="D8" i="6"/>
  <c r="D9" i="6"/>
  <c r="D11" i="6"/>
  <c r="D5" i="6"/>
  <c r="B18" i="6"/>
  <c r="C7" i="6" s="1"/>
  <c r="D6" i="6"/>
  <c r="D15" i="6"/>
  <c r="D16" i="6"/>
  <c r="D17" i="6"/>
  <c r="M5" i="6"/>
  <c r="D38" i="6" l="1"/>
  <c r="D39" i="6" s="1"/>
  <c r="D18" i="6"/>
  <c r="D19" i="6" s="1"/>
  <c r="C9" i="6"/>
  <c r="C8" i="6"/>
  <c r="C6" i="6"/>
  <c r="C17" i="6"/>
  <c r="C3" i="6"/>
  <c r="C14" i="6"/>
  <c r="C13" i="6"/>
  <c r="C11" i="6"/>
  <c r="C10" i="6"/>
  <c r="C12" i="6"/>
  <c r="C15" i="6"/>
  <c r="C4" i="6"/>
  <c r="C16" i="6"/>
  <c r="C5" i="6"/>
  <c r="C38" i="6" l="1"/>
  <c r="C18" i="6"/>
  <c r="L11" i="5" l="1"/>
  <c r="L70" i="5"/>
  <c r="J273" i="4" l="1"/>
  <c r="L268" i="4"/>
  <c r="L271" i="4"/>
  <c r="L260" i="4"/>
  <c r="L209" i="4" l="1"/>
  <c r="L61" i="2" l="1"/>
  <c r="L360" i="2"/>
  <c r="L261" i="2"/>
  <c r="L251" i="2"/>
  <c r="G47" i="3"/>
  <c r="L463" i="4"/>
  <c r="L459" i="4"/>
  <c r="L461" i="4"/>
  <c r="L466" i="4"/>
  <c r="L454" i="4"/>
  <c r="L451" i="4"/>
  <c r="L449" i="4"/>
  <c r="L447" i="4"/>
  <c r="L422" i="4"/>
  <c r="J435" i="4"/>
  <c r="L418" i="4"/>
  <c r="L437" i="4"/>
  <c r="L413" i="4"/>
  <c r="L446" i="4" l="1"/>
  <c r="L453" i="4"/>
  <c r="L412" i="4"/>
  <c r="L411" i="4" s="1"/>
  <c r="E36" i="6" s="1"/>
  <c r="L395" i="4"/>
  <c r="L397" i="4"/>
  <c r="L399" i="4"/>
  <c r="L404" i="4"/>
  <c r="L408" i="4"/>
  <c r="L358" i="4"/>
  <c r="L362" i="4"/>
  <c r="L364" i="4"/>
  <c r="L369" i="4"/>
  <c r="L380" i="4"/>
  <c r="L378" i="4"/>
  <c r="L373" i="4"/>
  <c r="L351" i="4"/>
  <c r="L346" i="4"/>
  <c r="L343" i="4"/>
  <c r="L354" i="4"/>
  <c r="L353" i="4" s="1"/>
  <c r="J354" i="4"/>
  <c r="L341" i="4"/>
  <c r="L339" i="4" s="1"/>
  <c r="J341" i="4"/>
  <c r="L337" i="4"/>
  <c r="L355" i="4"/>
  <c r="L318" i="4"/>
  <c r="L321" i="4"/>
  <c r="L325" i="4"/>
  <c r="L328" i="4"/>
  <c r="L445" i="4" l="1"/>
  <c r="E37" i="6" s="1"/>
  <c r="L357" i="4"/>
  <c r="L394" i="4"/>
  <c r="L393" i="4" s="1"/>
  <c r="E35" i="6" s="1"/>
  <c r="L372" i="4"/>
  <c r="L317" i="4"/>
  <c r="L316" i="4" s="1"/>
  <c r="E33" i="6" s="1"/>
  <c r="L336" i="4"/>
  <c r="H36" i="6" l="1"/>
  <c r="G36" i="6"/>
  <c r="L335" i="4"/>
  <c r="E34" i="6" s="1"/>
  <c r="I36" i="6" l="1"/>
  <c r="J36" i="6"/>
  <c r="G33" i="6"/>
  <c r="H33" i="6"/>
  <c r="H37" i="6"/>
  <c r="G37" i="6"/>
  <c r="H35" i="6"/>
  <c r="G35" i="6"/>
  <c r="H34" i="6"/>
  <c r="L284" i="4"/>
  <c r="L305" i="4"/>
  <c r="L302" i="4"/>
  <c r="L298" i="4"/>
  <c r="L294" i="4"/>
  <c r="L292" i="4"/>
  <c r="L288" i="4"/>
  <c r="L277" i="4"/>
  <c r="L279" i="4"/>
  <c r="L307" i="4"/>
  <c r="E268" i="4"/>
  <c r="E269" i="4" s="1"/>
  <c r="E270" i="4" s="1"/>
  <c r="L257" i="4"/>
  <c r="L233" i="4"/>
  <c r="L247" i="4"/>
  <c r="L252" i="4"/>
  <c r="L249" i="4" s="1"/>
  <c r="L240" i="4"/>
  <c r="L239" i="4" s="1"/>
  <c r="I37" i="6" l="1"/>
  <c r="J37" i="6"/>
  <c r="I34" i="6"/>
  <c r="J34" i="6"/>
  <c r="I33" i="6"/>
  <c r="J33" i="6"/>
  <c r="I35" i="6"/>
  <c r="J35" i="6"/>
  <c r="G34" i="6"/>
  <c r="L276" i="4"/>
  <c r="L275" i="4" s="1"/>
  <c r="E32" i="6" s="1"/>
  <c r="L256" i="4"/>
  <c r="L255" i="4" s="1"/>
  <c r="E31" i="6" s="1"/>
  <c r="L237" i="4" l="1"/>
  <c r="L232" i="4" s="1"/>
  <c r="L87" i="4"/>
  <c r="L89" i="4"/>
  <c r="L91" i="4"/>
  <c r="L82" i="4"/>
  <c r="L81" i="4" s="1"/>
  <c r="J82" i="4"/>
  <c r="L79" i="4"/>
  <c r="L83" i="4"/>
  <c r="L384" i="4"/>
  <c r="L387" i="4"/>
  <c r="L389" i="4"/>
  <c r="L391" i="4"/>
  <c r="H32" i="6" l="1"/>
  <c r="G32" i="6"/>
  <c r="H31" i="6"/>
  <c r="G31" i="6"/>
  <c r="M232" i="4"/>
  <c r="L231" i="4"/>
  <c r="E30" i="6" s="1"/>
  <c r="L383" i="4"/>
  <c r="L382" i="4" s="1"/>
  <c r="I31" i="6" l="1"/>
  <c r="J31" i="6"/>
  <c r="J32" i="6"/>
  <c r="I32" i="6"/>
  <c r="L194" i="4"/>
  <c r="L200" i="4"/>
  <c r="L206" i="4"/>
  <c r="L203" i="4" s="1"/>
  <c r="L208" i="4"/>
  <c r="L214" i="4"/>
  <c r="L223" i="4"/>
  <c r="L228" i="4"/>
  <c r="L187" i="4"/>
  <c r="L185" i="4"/>
  <c r="L183" i="4"/>
  <c r="L190" i="4"/>
  <c r="L189" i="4" s="1"/>
  <c r="L177" i="4"/>
  <c r="L179" i="4"/>
  <c r="L167" i="4"/>
  <c r="L165" i="4"/>
  <c r="L163" i="4"/>
  <c r="L161" i="4"/>
  <c r="L157" i="4"/>
  <c r="L136" i="4"/>
  <c r="L134" i="4"/>
  <c r="L141" i="4"/>
  <c r="L153" i="4"/>
  <c r="L151" i="4"/>
  <c r="L149" i="4"/>
  <c r="L147" i="4"/>
  <c r="L145" i="4"/>
  <c r="L143" i="4"/>
  <c r="L126" i="4"/>
  <c r="L130" i="4"/>
  <c r="L124" i="4"/>
  <c r="L122" i="4"/>
  <c r="L120" i="4"/>
  <c r="L118" i="4"/>
  <c r="L110" i="4"/>
  <c r="L112" i="4"/>
  <c r="L114" i="4"/>
  <c r="L61" i="4"/>
  <c r="L71" i="4"/>
  <c r="L64" i="4"/>
  <c r="L58" i="4"/>
  <c r="L56" i="4"/>
  <c r="L49" i="4"/>
  <c r="L47" i="4"/>
  <c r="L45" i="4"/>
  <c r="L42" i="4"/>
  <c r="L51" i="4"/>
  <c r="L32" i="4"/>
  <c r="L34" i="4"/>
  <c r="L36" i="4"/>
  <c r="L38" i="4"/>
  <c r="L29" i="4"/>
  <c r="L24" i="4"/>
  <c r="L18" i="4"/>
  <c r="L15" i="4"/>
  <c r="L12" i="4"/>
  <c r="H30" i="6" l="1"/>
  <c r="G30" i="6"/>
  <c r="L193" i="4"/>
  <c r="L192" i="4" s="1"/>
  <c r="L213" i="4"/>
  <c r="L170" i="4"/>
  <c r="L169" i="4" s="1"/>
  <c r="L182" i="4"/>
  <c r="L181" i="4" s="1"/>
  <c r="L23" i="4"/>
  <c r="L156" i="4"/>
  <c r="L155" i="4" s="1"/>
  <c r="L109" i="4"/>
  <c r="L108" i="4" s="1"/>
  <c r="L133" i="4"/>
  <c r="L132" i="4" s="1"/>
  <c r="L41" i="4"/>
  <c r="L40" i="4" s="1"/>
  <c r="E25" i="6" s="1"/>
  <c r="L55" i="4"/>
  <c r="L54" i="4" s="1"/>
  <c r="E26" i="6" s="1"/>
  <c r="L6" i="4"/>
  <c r="L5" i="4" s="1"/>
  <c r="E23" i="6" s="1"/>
  <c r="L31" i="4"/>
  <c r="H26" i="6" l="1"/>
  <c r="G26" i="6"/>
  <c r="G23" i="6"/>
  <c r="H23" i="6"/>
  <c r="H25" i="6"/>
  <c r="G25" i="6"/>
  <c r="E27" i="6"/>
  <c r="E28" i="6"/>
  <c r="J30" i="6"/>
  <c r="I30" i="6"/>
  <c r="L212" i="4"/>
  <c r="L22" i="4"/>
  <c r="E24" i="6" s="1"/>
  <c r="I25" i="6" l="1"/>
  <c r="J25" i="6"/>
  <c r="I23" i="6"/>
  <c r="J23" i="6"/>
  <c r="G24" i="6"/>
  <c r="H24" i="6"/>
  <c r="J26" i="6"/>
  <c r="I26" i="6"/>
  <c r="H27" i="6"/>
  <c r="G27" i="6"/>
  <c r="L77" i="4"/>
  <c r="L76" i="4" s="1"/>
  <c r="L75" i="4" s="1"/>
  <c r="L74" i="4" s="1"/>
  <c r="L4" i="4" l="1"/>
  <c r="E29" i="6"/>
  <c r="J27" i="6"/>
  <c r="I27" i="6"/>
  <c r="J24" i="6"/>
  <c r="I24" i="6"/>
  <c r="G28" i="6"/>
  <c r="H28" i="6"/>
  <c r="A4" i="4"/>
  <c r="E12" i="4"/>
  <c r="E13" i="4" s="1"/>
  <c r="E14" i="4" s="1"/>
  <c r="E10" i="4"/>
  <c r="E11" i="4" s="1"/>
  <c r="E7" i="4"/>
  <c r="E8" i="4" s="1"/>
  <c r="E9" i="4" s="1"/>
  <c r="D6" i="4"/>
  <c r="D7" i="4" s="1"/>
  <c r="D8" i="4" s="1"/>
  <c r="D9" i="4" s="1"/>
  <c r="D10" i="4" s="1"/>
  <c r="D11" i="4" s="1"/>
  <c r="D12" i="4" s="1"/>
  <c r="D13" i="4" s="1"/>
  <c r="D14" i="4" s="1"/>
  <c r="C5" i="4"/>
  <c r="C6" i="4" s="1"/>
  <c r="C7" i="4" s="1"/>
  <c r="C8" i="4" s="1"/>
  <c r="C9" i="4" s="1"/>
  <c r="C10" i="4" s="1"/>
  <c r="C11" i="4" s="1"/>
  <c r="C12" i="4" s="1"/>
  <c r="C13" i="4" s="1"/>
  <c r="C14" i="4" s="1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A4" i="2"/>
  <c r="C5" i="2"/>
  <c r="B4" i="2"/>
  <c r="B5" i="2" s="1"/>
  <c r="L84" i="5"/>
  <c r="L69" i="5"/>
  <c r="L68" i="5" s="1"/>
  <c r="L57" i="5"/>
  <c r="L55" i="5"/>
  <c r="L53" i="5"/>
  <c r="L62" i="5"/>
  <c r="L45" i="5"/>
  <c r="E45" i="5"/>
  <c r="E46" i="5" s="1"/>
  <c r="L38" i="5"/>
  <c r="L35" i="5"/>
  <c r="L28" i="5"/>
  <c r="E28" i="5"/>
  <c r="E29" i="5" s="1"/>
  <c r="E30" i="5" s="1"/>
  <c r="E31" i="5" s="1"/>
  <c r="E32" i="5" s="1"/>
  <c r="E33" i="5" s="1"/>
  <c r="E34" i="5" s="1"/>
  <c r="L21" i="5"/>
  <c r="E21" i="5"/>
  <c r="E22" i="5" s="1"/>
  <c r="E23" i="5" s="1"/>
  <c r="L16" i="5"/>
  <c r="L18" i="5"/>
  <c r="L15" i="5" s="1"/>
  <c r="L14" i="5" s="1"/>
  <c r="L4" i="5" s="1"/>
  <c r="L6" i="5"/>
  <c r="I28" i="6" l="1"/>
  <c r="J28" i="6"/>
  <c r="H29" i="6"/>
  <c r="G29" i="6"/>
  <c r="G38" i="6" s="1"/>
  <c r="G39" i="6" s="1"/>
  <c r="G21" i="7" s="1"/>
  <c r="E38" i="6"/>
  <c r="H38" i="6"/>
  <c r="H39" i="6" s="1"/>
  <c r="E47" i="5"/>
  <c r="E48" i="5" s="1"/>
  <c r="E49" i="5" s="1"/>
  <c r="E50" i="5" s="1"/>
  <c r="E51" i="5" s="1"/>
  <c r="E52" i="5" s="1"/>
  <c r="L37" i="5"/>
  <c r="L5" i="5"/>
  <c r="F36" i="6" l="1"/>
  <c r="F33" i="6"/>
  <c r="F37" i="6"/>
  <c r="F35" i="6"/>
  <c r="F34" i="6"/>
  <c r="F31" i="6"/>
  <c r="F32" i="6"/>
  <c r="F30" i="6"/>
  <c r="F26" i="6"/>
  <c r="F23" i="6"/>
  <c r="F25" i="6"/>
  <c r="F28" i="6"/>
  <c r="F27" i="6"/>
  <c r="F24" i="6"/>
  <c r="J29" i="6"/>
  <c r="J38" i="6" s="1"/>
  <c r="J39" i="6" s="1"/>
  <c r="I29" i="6"/>
  <c r="F29" i="6"/>
  <c r="E84" i="5"/>
  <c r="E85" i="5" s="1"/>
  <c r="E86" i="5" s="1"/>
  <c r="E70" i="5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D69" i="5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C68" i="5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E67" i="5"/>
  <c r="E68" i="5" s="1"/>
  <c r="E69" i="5" s="1"/>
  <c r="E66" i="5"/>
  <c r="D65" i="5"/>
  <c r="D66" i="5" s="1"/>
  <c r="D67" i="5" s="1"/>
  <c r="D68" i="5" s="1"/>
  <c r="E62" i="5"/>
  <c r="E57" i="5"/>
  <c r="E58" i="5" s="1"/>
  <c r="E59" i="5" s="1"/>
  <c r="E55" i="5"/>
  <c r="E56" i="5" s="1"/>
  <c r="E53" i="5"/>
  <c r="E54" i="5" s="1"/>
  <c r="E38" i="5"/>
  <c r="E39" i="5" s="1"/>
  <c r="E40" i="5" s="1"/>
  <c r="E41" i="5" s="1"/>
  <c r="E42" i="5" s="1"/>
  <c r="E43" i="5" s="1"/>
  <c r="E44" i="5" s="1"/>
  <c r="D37" i="5"/>
  <c r="D38" i="5" s="1"/>
  <c r="E35" i="5"/>
  <c r="E18" i="5"/>
  <c r="E19" i="5" s="1"/>
  <c r="E20" i="5" s="1"/>
  <c r="E24" i="5" s="1"/>
  <c r="E16" i="5"/>
  <c r="E17" i="5" s="1"/>
  <c r="D15" i="5"/>
  <c r="D16" i="5" s="1"/>
  <c r="C14" i="5"/>
  <c r="C15" i="5" s="1"/>
  <c r="C16" i="5" s="1"/>
  <c r="E13" i="5"/>
  <c r="E14" i="5" s="1"/>
  <c r="E15" i="5" s="1"/>
  <c r="E12" i="5"/>
  <c r="D11" i="5"/>
  <c r="D12" i="5" s="1"/>
  <c r="D13" i="5" s="1"/>
  <c r="D14" i="5" s="1"/>
  <c r="E10" i="5"/>
  <c r="E9" i="5"/>
  <c r="E8" i="5"/>
  <c r="E7" i="5"/>
  <c r="D6" i="5"/>
  <c r="D7" i="5" s="1"/>
  <c r="D8" i="5" s="1"/>
  <c r="D9" i="5" s="1"/>
  <c r="D10" i="5" s="1"/>
  <c r="C5" i="5"/>
  <c r="C6" i="5" s="1"/>
  <c r="C7" i="5" s="1"/>
  <c r="C8" i="5" s="1"/>
  <c r="C9" i="5" s="1"/>
  <c r="C10" i="5" s="1"/>
  <c r="E4" i="5"/>
  <c r="E5" i="5" s="1"/>
  <c r="E6" i="5" s="1"/>
  <c r="D4" i="5"/>
  <c r="D5" i="5" s="1"/>
  <c r="C4" i="5"/>
  <c r="B4" i="5"/>
  <c r="B5" i="5" s="1"/>
  <c r="H5" i="5" s="1"/>
  <c r="A4" i="5"/>
  <c r="E466" i="4"/>
  <c r="E467" i="4" s="1"/>
  <c r="E463" i="4"/>
  <c r="E464" i="4" s="1"/>
  <c r="E465" i="4" s="1"/>
  <c r="E461" i="4"/>
  <c r="E462" i="4" s="1"/>
  <c r="E459" i="4"/>
  <c r="E460" i="4" s="1"/>
  <c r="E454" i="4"/>
  <c r="E455" i="4" s="1"/>
  <c r="E456" i="4" s="1"/>
  <c r="E457" i="4" s="1"/>
  <c r="E458" i="4" s="1"/>
  <c r="D453" i="4"/>
  <c r="D454" i="4" s="1"/>
  <c r="D455" i="4" s="1"/>
  <c r="D456" i="4" s="1"/>
  <c r="D457" i="4" s="1"/>
  <c r="E451" i="4"/>
  <c r="E452" i="4" s="1"/>
  <c r="E453" i="4" s="1"/>
  <c r="E449" i="4"/>
  <c r="E450" i="4" s="1"/>
  <c r="E447" i="4"/>
  <c r="E448" i="4" s="1"/>
  <c r="D446" i="4"/>
  <c r="D447" i="4" s="1"/>
  <c r="D448" i="4" s="1"/>
  <c r="D449" i="4" s="1"/>
  <c r="D450" i="4" s="1"/>
  <c r="D451" i="4" s="1"/>
  <c r="D452" i="4" s="1"/>
  <c r="C445" i="4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E437" i="4"/>
  <c r="E438" i="4" s="1"/>
  <c r="E422" i="4"/>
  <c r="E423" i="4" s="1"/>
  <c r="E424" i="4" s="1"/>
  <c r="E425" i="4" s="1"/>
  <c r="E426" i="4" s="1"/>
  <c r="E427" i="4" s="1"/>
  <c r="E428" i="4" s="1"/>
  <c r="E429" i="4" s="1"/>
  <c r="E430" i="4" s="1"/>
  <c r="E431" i="4" s="1"/>
  <c r="E432" i="4" s="1"/>
  <c r="E433" i="4" s="1"/>
  <c r="E434" i="4" s="1"/>
  <c r="E435" i="4" s="1"/>
  <c r="E436" i="4" s="1"/>
  <c r="E418" i="4"/>
  <c r="E419" i="4" s="1"/>
  <c r="E413" i="4"/>
  <c r="E414" i="4" s="1"/>
  <c r="E415" i="4" s="1"/>
  <c r="D412" i="4"/>
  <c r="D413" i="4" s="1"/>
  <c r="D414" i="4" s="1"/>
  <c r="D415" i="4" s="1"/>
  <c r="C411" i="4"/>
  <c r="C412" i="4" s="1"/>
  <c r="C413" i="4" s="1"/>
  <c r="C414" i="4" s="1"/>
  <c r="C415" i="4" s="1"/>
  <c r="E408" i="4"/>
  <c r="E409" i="4" s="1"/>
  <c r="E410" i="4" s="1"/>
  <c r="E411" i="4" s="1"/>
  <c r="E412" i="4" s="1"/>
  <c r="E404" i="4"/>
  <c r="E405" i="4" s="1"/>
  <c r="E406" i="4" s="1"/>
  <c r="E407" i="4" s="1"/>
  <c r="E399" i="4"/>
  <c r="E400" i="4" s="1"/>
  <c r="E401" i="4" s="1"/>
  <c r="E402" i="4" s="1"/>
  <c r="E403" i="4" s="1"/>
  <c r="E397" i="4"/>
  <c r="E398" i="4" s="1"/>
  <c r="E395" i="4"/>
  <c r="E396" i="4" s="1"/>
  <c r="D394" i="4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C393" i="4"/>
  <c r="C394" i="4" s="1"/>
  <c r="C395" i="4" s="1"/>
  <c r="C396" i="4" s="1"/>
  <c r="C397" i="4" s="1"/>
  <c r="C398" i="4" s="1"/>
  <c r="C399" i="4" s="1"/>
  <c r="C400" i="4" s="1"/>
  <c r="C401" i="4" s="1"/>
  <c r="C402" i="4" s="1"/>
  <c r="C403" i="4" s="1"/>
  <c r="C404" i="4" s="1"/>
  <c r="C405" i="4" s="1"/>
  <c r="C406" i="4" s="1"/>
  <c r="C407" i="4" s="1"/>
  <c r="C408" i="4" s="1"/>
  <c r="C409" i="4" s="1"/>
  <c r="C410" i="4" s="1"/>
  <c r="E391" i="4"/>
  <c r="E392" i="4" s="1"/>
  <c r="E393" i="4" s="1"/>
  <c r="E394" i="4" s="1"/>
  <c r="E389" i="4"/>
  <c r="E390" i="4" s="1"/>
  <c r="E387" i="4"/>
  <c r="E388" i="4" s="1"/>
  <c r="E384" i="4"/>
  <c r="E385" i="4" s="1"/>
  <c r="E386" i="4" s="1"/>
  <c r="D383" i="4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C382" i="4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E380" i="4"/>
  <c r="E381" i="4" s="1"/>
  <c r="E382" i="4" s="1"/>
  <c r="E383" i="4" s="1"/>
  <c r="E378" i="4"/>
  <c r="E379" i="4" s="1"/>
  <c r="E373" i="4"/>
  <c r="E374" i="4" s="1"/>
  <c r="E375" i="4" s="1"/>
  <c r="E376" i="4" s="1"/>
  <c r="E377" i="4" s="1"/>
  <c r="D372" i="4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E369" i="4"/>
  <c r="E370" i="4" s="1"/>
  <c r="E371" i="4" s="1"/>
  <c r="E372" i="4" s="1"/>
  <c r="E364" i="4"/>
  <c r="E365" i="4" s="1"/>
  <c r="E366" i="4" s="1"/>
  <c r="E367" i="4" s="1"/>
  <c r="E368" i="4" s="1"/>
  <c r="E362" i="4"/>
  <c r="E363" i="4" s="1"/>
  <c r="E358" i="4"/>
  <c r="E359" i="4" s="1"/>
  <c r="D357" i="4"/>
  <c r="D358" i="4" s="1"/>
  <c r="D359" i="4" s="1"/>
  <c r="E355" i="4"/>
  <c r="E356" i="4" s="1"/>
  <c r="E357" i="4" s="1"/>
  <c r="E353" i="4"/>
  <c r="E354" i="4" s="1"/>
  <c r="E351" i="4"/>
  <c r="E352" i="4" s="1"/>
  <c r="E346" i="4"/>
  <c r="E347" i="4" s="1"/>
  <c r="E348" i="4" s="1"/>
  <c r="E349" i="4" s="1"/>
  <c r="E350" i="4" s="1"/>
  <c r="E343" i="4"/>
  <c r="E344" i="4" s="1"/>
  <c r="E345" i="4" s="1"/>
  <c r="E339" i="4"/>
  <c r="E340" i="4" s="1"/>
  <c r="E341" i="4" s="1"/>
  <c r="E342" i="4" s="1"/>
  <c r="E337" i="4"/>
  <c r="E338" i="4" s="1"/>
  <c r="D336" i="4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C335" i="4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E328" i="4"/>
  <c r="E329" i="4" s="1"/>
  <c r="E330" i="4" s="1"/>
  <c r="E331" i="4" s="1"/>
  <c r="E332" i="4" s="1"/>
  <c r="E333" i="4" s="1"/>
  <c r="E334" i="4" s="1"/>
  <c r="E335" i="4" s="1"/>
  <c r="E336" i="4" s="1"/>
  <c r="E325" i="4"/>
  <c r="E326" i="4" s="1"/>
  <c r="E327" i="4" s="1"/>
  <c r="E321" i="4"/>
  <c r="E322" i="4" s="1"/>
  <c r="E323" i="4" s="1"/>
  <c r="E324" i="4" s="1"/>
  <c r="E318" i="4"/>
  <c r="E319" i="4" s="1"/>
  <c r="E320" i="4" s="1"/>
  <c r="D317" i="4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C316" i="4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E307" i="4"/>
  <c r="E308" i="4" s="1"/>
  <c r="E309" i="4" s="1"/>
  <c r="E310" i="4" s="1"/>
  <c r="E311" i="4" s="1"/>
  <c r="E312" i="4" s="1"/>
  <c r="E313" i="4" s="1"/>
  <c r="E314" i="4" s="1"/>
  <c r="E315" i="4" s="1"/>
  <c r="E316" i="4" s="1"/>
  <c r="E317" i="4" s="1"/>
  <c r="E305" i="4"/>
  <c r="E306" i="4" s="1"/>
  <c r="E302" i="4"/>
  <c r="E303" i="4" s="1"/>
  <c r="E304" i="4" s="1"/>
  <c r="E298" i="4"/>
  <c r="E299" i="4" s="1"/>
  <c r="E294" i="4"/>
  <c r="E295" i="4" s="1"/>
  <c r="E296" i="4" s="1"/>
  <c r="E297" i="4" s="1"/>
  <c r="E292" i="4"/>
  <c r="E293" i="4" s="1"/>
  <c r="E288" i="4"/>
  <c r="E289" i="4" s="1"/>
  <c r="E290" i="4" s="1"/>
  <c r="E291" i="4" s="1"/>
  <c r="E284" i="4"/>
  <c r="E285" i="4" s="1"/>
  <c r="E286" i="4" s="1"/>
  <c r="E287" i="4" s="1"/>
  <c r="E279" i="4"/>
  <c r="E280" i="4" s="1"/>
  <c r="E281" i="4" s="1"/>
  <c r="E282" i="4" s="1"/>
  <c r="E283" i="4" s="1"/>
  <c r="E277" i="4"/>
  <c r="E278" i="4" s="1"/>
  <c r="D276" i="4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C275" i="4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E271" i="4"/>
  <c r="E272" i="4" s="1"/>
  <c r="E260" i="4"/>
  <c r="E261" i="4" s="1"/>
  <c r="E262" i="4" s="1"/>
  <c r="E263" i="4" s="1"/>
  <c r="E264" i="4" s="1"/>
  <c r="E257" i="4"/>
  <c r="D256" i="4"/>
  <c r="D257" i="4" s="1"/>
  <c r="C255" i="4"/>
  <c r="C256" i="4" s="1"/>
  <c r="C257" i="4" s="1"/>
  <c r="E249" i="4"/>
  <c r="E250" i="4" s="1"/>
  <c r="E251" i="4" s="1"/>
  <c r="E252" i="4" s="1"/>
  <c r="E253" i="4" s="1"/>
  <c r="E254" i="4" s="1"/>
  <c r="E255" i="4" s="1"/>
  <c r="E256" i="4" s="1"/>
  <c r="E247" i="4"/>
  <c r="E248" i="4" s="1"/>
  <c r="E241" i="4"/>
  <c r="E242" i="4" s="1"/>
  <c r="E243" i="4" s="1"/>
  <c r="E244" i="4" s="1"/>
  <c r="E245" i="4" s="1"/>
  <c r="E246" i="4" s="1"/>
  <c r="E239" i="4"/>
  <c r="E240" i="4" s="1"/>
  <c r="E237" i="4"/>
  <c r="E238" i="4" s="1"/>
  <c r="E233" i="4"/>
  <c r="E234" i="4" s="1"/>
  <c r="E235" i="4" s="1"/>
  <c r="E236" i="4" s="1"/>
  <c r="D232" i="4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C231" i="4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E228" i="4"/>
  <c r="E223" i="4"/>
  <c r="E224" i="4" s="1"/>
  <c r="E214" i="4"/>
  <c r="E215" i="4" s="1"/>
  <c r="D213" i="4"/>
  <c r="D214" i="4" s="1"/>
  <c r="D215" i="4" s="1"/>
  <c r="C212" i="4"/>
  <c r="C213" i="4" s="1"/>
  <c r="C214" i="4" s="1"/>
  <c r="C215" i="4" s="1"/>
  <c r="E209" i="4"/>
  <c r="E210" i="4" s="1"/>
  <c r="D208" i="4"/>
  <c r="D209" i="4" s="1"/>
  <c r="D210" i="4" s="1"/>
  <c r="E206" i="4"/>
  <c r="E207" i="4" s="1"/>
  <c r="E208" i="4" s="1"/>
  <c r="E204" i="4"/>
  <c r="E205" i="4" s="1"/>
  <c r="D203" i="4"/>
  <c r="D204" i="4" s="1"/>
  <c r="D205" i="4" s="1"/>
  <c r="D206" i="4" s="1"/>
  <c r="D207" i="4" s="1"/>
  <c r="E200" i="4"/>
  <c r="E201" i="4" s="1"/>
  <c r="E202" i="4" s="1"/>
  <c r="E203" i="4" s="1"/>
  <c r="E194" i="4"/>
  <c r="E195" i="4" s="1"/>
  <c r="E196" i="4" s="1"/>
  <c r="E197" i="4" s="1"/>
  <c r="E198" i="4" s="1"/>
  <c r="E199" i="4" s="1"/>
  <c r="D193" i="4"/>
  <c r="D194" i="4" s="1"/>
  <c r="D195" i="4" s="1"/>
  <c r="D196" i="4" s="1"/>
  <c r="D197" i="4" s="1"/>
  <c r="D198" i="4" s="1"/>
  <c r="D199" i="4" s="1"/>
  <c r="D200" i="4" s="1"/>
  <c r="D201" i="4" s="1"/>
  <c r="D202" i="4" s="1"/>
  <c r="C192" i="4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E190" i="4"/>
  <c r="E191" i="4" s="1"/>
  <c r="E192" i="4" s="1"/>
  <c r="E193" i="4" s="1"/>
  <c r="D189" i="4"/>
  <c r="D190" i="4" s="1"/>
  <c r="D191" i="4" s="1"/>
  <c r="D192" i="4" s="1"/>
  <c r="E187" i="4"/>
  <c r="E188" i="4" s="1"/>
  <c r="E189" i="4" s="1"/>
  <c r="E185" i="4"/>
  <c r="E186" i="4" s="1"/>
  <c r="E183" i="4"/>
  <c r="E184" i="4" s="1"/>
  <c r="D182" i="4"/>
  <c r="D183" i="4" s="1"/>
  <c r="D184" i="4" s="1"/>
  <c r="D185" i="4" s="1"/>
  <c r="D186" i="4" s="1"/>
  <c r="D187" i="4" s="1"/>
  <c r="D188" i="4" s="1"/>
  <c r="C181" i="4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E179" i="4"/>
  <c r="E180" i="4" s="1"/>
  <c r="E181" i="4" s="1"/>
  <c r="E182" i="4" s="1"/>
  <c r="E177" i="4"/>
  <c r="E178" i="4" s="1"/>
  <c r="E175" i="4"/>
  <c r="E176" i="4" s="1"/>
  <c r="E173" i="4"/>
  <c r="E174" i="4" s="1"/>
  <c r="E171" i="4"/>
  <c r="E172" i="4" s="1"/>
  <c r="D170" i="4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C169" i="4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E167" i="4"/>
  <c r="E168" i="4" s="1"/>
  <c r="E169" i="4" s="1"/>
  <c r="E170" i="4" s="1"/>
  <c r="E165" i="4"/>
  <c r="E166" i="4" s="1"/>
  <c r="E163" i="4"/>
  <c r="E164" i="4" s="1"/>
  <c r="E161" i="4"/>
  <c r="E162" i="4" s="1"/>
  <c r="E157" i="4"/>
  <c r="E158" i="4" s="1"/>
  <c r="E159" i="4" s="1"/>
  <c r="E160" i="4" s="1"/>
  <c r="D156" i="4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C155" i="4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E153" i="4"/>
  <c r="E154" i="4" s="1"/>
  <c r="E155" i="4" s="1"/>
  <c r="E156" i="4" s="1"/>
  <c r="E151" i="4"/>
  <c r="E152" i="4" s="1"/>
  <c r="E149" i="4"/>
  <c r="E150" i="4" s="1"/>
  <c r="E147" i="4"/>
  <c r="E148" i="4" s="1"/>
  <c r="E145" i="4"/>
  <c r="E146" i="4" s="1"/>
  <c r="E143" i="4"/>
  <c r="E144" i="4" s="1"/>
  <c r="E141" i="4"/>
  <c r="E142" i="4" s="1"/>
  <c r="E136" i="4"/>
  <c r="E137" i="4" s="1"/>
  <c r="E138" i="4" s="1"/>
  <c r="E139" i="4" s="1"/>
  <c r="E140" i="4" s="1"/>
  <c r="E134" i="4"/>
  <c r="E135" i="4" s="1"/>
  <c r="D133" i="4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C132" i="4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E130" i="4"/>
  <c r="E131" i="4" s="1"/>
  <c r="E132" i="4" s="1"/>
  <c r="E133" i="4" s="1"/>
  <c r="E126" i="4"/>
  <c r="E127" i="4" s="1"/>
  <c r="E128" i="4" s="1"/>
  <c r="E129" i="4" s="1"/>
  <c r="E124" i="4"/>
  <c r="E125" i="4" s="1"/>
  <c r="E122" i="4"/>
  <c r="E123" i="4" s="1"/>
  <c r="E120" i="4"/>
  <c r="E121" i="4" s="1"/>
  <c r="E118" i="4"/>
  <c r="E119" i="4" s="1"/>
  <c r="E114" i="4"/>
  <c r="E115" i="4" s="1"/>
  <c r="E116" i="4" s="1"/>
  <c r="E117" i="4" s="1"/>
  <c r="E112" i="4"/>
  <c r="E113" i="4" s="1"/>
  <c r="E110" i="4"/>
  <c r="E111" i="4" s="1"/>
  <c r="D109" i="4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C108" i="4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E97" i="4"/>
  <c r="E98" i="4" s="1"/>
  <c r="E99" i="4" s="1"/>
  <c r="E100" i="4" s="1"/>
  <c r="E101" i="4" s="1"/>
  <c r="E102" i="4" s="1"/>
  <c r="E103" i="4" s="1"/>
  <c r="E104" i="4" s="1"/>
  <c r="E105" i="4" s="1"/>
  <c r="E106" i="4" s="1"/>
  <c r="E107" i="4" s="1"/>
  <c r="E108" i="4" s="1"/>
  <c r="E109" i="4" s="1"/>
  <c r="E95" i="4"/>
  <c r="E96" i="4" s="1"/>
  <c r="E93" i="4"/>
  <c r="E94" i="4" s="1"/>
  <c r="E91" i="4"/>
  <c r="E92" i="4" s="1"/>
  <c r="E89" i="4"/>
  <c r="E90" i="4" s="1"/>
  <c r="E87" i="4"/>
  <c r="E88" i="4" s="1"/>
  <c r="E85" i="4"/>
  <c r="E86" i="4" s="1"/>
  <c r="E83" i="4"/>
  <c r="E84" i="4" s="1"/>
  <c r="E81" i="4"/>
  <c r="E82" i="4" s="1"/>
  <c r="E79" i="4"/>
  <c r="E80" i="4" s="1"/>
  <c r="E76" i="4"/>
  <c r="E77" i="4" s="1"/>
  <c r="E78" i="4" s="1"/>
  <c r="D75" i="4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C74" i="4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E71" i="4"/>
  <c r="E72" i="4" s="1"/>
  <c r="E73" i="4" s="1"/>
  <c r="E74" i="4" s="1"/>
  <c r="E75" i="4" s="1"/>
  <c r="E64" i="4"/>
  <c r="E65" i="4" s="1"/>
  <c r="E66" i="4" s="1"/>
  <c r="E67" i="4" s="1"/>
  <c r="E68" i="4" s="1"/>
  <c r="E69" i="4" s="1"/>
  <c r="E70" i="4" s="1"/>
  <c r="E61" i="4"/>
  <c r="E62" i="4" s="1"/>
  <c r="E63" i="4" s="1"/>
  <c r="E58" i="4"/>
  <c r="E59" i="4" s="1"/>
  <c r="E60" i="4" s="1"/>
  <c r="E56" i="4"/>
  <c r="E57" i="4" s="1"/>
  <c r="D55" i="4"/>
  <c r="D56" i="4" s="1"/>
  <c r="D57" i="4" s="1"/>
  <c r="D58" i="4" s="1"/>
  <c r="D59" i="4" s="1"/>
  <c r="D60" i="4" s="1"/>
  <c r="D61" i="4" s="1"/>
  <c r="D62" i="4" s="1"/>
  <c r="C54" i="4"/>
  <c r="C55" i="4" s="1"/>
  <c r="C56" i="4" s="1"/>
  <c r="C57" i="4" s="1"/>
  <c r="C58" i="4" s="1"/>
  <c r="C59" i="4" s="1"/>
  <c r="C60" i="4" s="1"/>
  <c r="C61" i="4" s="1"/>
  <c r="C62" i="4" s="1"/>
  <c r="E51" i="4"/>
  <c r="E52" i="4" s="1"/>
  <c r="E53" i="4" s="1"/>
  <c r="E54" i="4" s="1"/>
  <c r="E55" i="4" s="1"/>
  <c r="E49" i="4"/>
  <c r="E50" i="4" s="1"/>
  <c r="E47" i="4"/>
  <c r="E48" i="4" s="1"/>
  <c r="E45" i="4"/>
  <c r="E46" i="4" s="1"/>
  <c r="E42" i="4"/>
  <c r="E43" i="4" s="1"/>
  <c r="E44" i="4" s="1"/>
  <c r="D41" i="4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C40" i="4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E38" i="4"/>
  <c r="E39" i="4" s="1"/>
  <c r="E40" i="4" s="1"/>
  <c r="E41" i="4" s="1"/>
  <c r="E36" i="4"/>
  <c r="E37" i="4" s="1"/>
  <c r="E34" i="4"/>
  <c r="E35" i="4" s="1"/>
  <c r="E32" i="4"/>
  <c r="E33" i="4" s="1"/>
  <c r="D31" i="4"/>
  <c r="D32" i="4" s="1"/>
  <c r="D33" i="4" s="1"/>
  <c r="D34" i="4" s="1"/>
  <c r="D35" i="4" s="1"/>
  <c r="D36" i="4" s="1"/>
  <c r="D37" i="4" s="1"/>
  <c r="D38" i="4" s="1"/>
  <c r="D39" i="4" s="1"/>
  <c r="D40" i="4" s="1"/>
  <c r="E29" i="4"/>
  <c r="E30" i="4" s="1"/>
  <c r="E31" i="4" s="1"/>
  <c r="E24" i="4"/>
  <c r="E25" i="4" s="1"/>
  <c r="E26" i="4" s="1"/>
  <c r="E27" i="4" s="1"/>
  <c r="E28" i="4" s="1"/>
  <c r="D23" i="4"/>
  <c r="D24" i="4" s="1"/>
  <c r="D25" i="4" s="1"/>
  <c r="D26" i="4" s="1"/>
  <c r="D27" i="4" s="1"/>
  <c r="D28" i="4" s="1"/>
  <c r="D29" i="4" s="1"/>
  <c r="D30" i="4" s="1"/>
  <c r="C22" i="4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E18" i="4"/>
  <c r="E19" i="4" s="1"/>
  <c r="E20" i="4" s="1"/>
  <c r="E21" i="4" s="1"/>
  <c r="E22" i="4" s="1"/>
  <c r="E23" i="4" s="1"/>
  <c r="E15" i="4"/>
  <c r="E16" i="4" s="1"/>
  <c r="E17" i="4" s="1"/>
  <c r="D15" i="4"/>
  <c r="D16" i="4" s="1"/>
  <c r="D17" i="4" s="1"/>
  <c r="D18" i="4" s="1"/>
  <c r="D19" i="4" s="1"/>
  <c r="D20" i="4" s="1"/>
  <c r="D21" i="4" s="1"/>
  <c r="D22" i="4" s="1"/>
  <c r="C15" i="4"/>
  <c r="C16" i="4" s="1"/>
  <c r="C17" i="4" s="1"/>
  <c r="C18" i="4" s="1"/>
  <c r="C19" i="4" s="1"/>
  <c r="C20" i="4" s="1"/>
  <c r="C21" i="4" s="1"/>
  <c r="E4" i="4"/>
  <c r="E5" i="4" s="1"/>
  <c r="E6" i="4" s="1"/>
  <c r="D4" i="4"/>
  <c r="D5" i="4" s="1"/>
  <c r="C4" i="4"/>
  <c r="D211" i="4" l="1"/>
  <c r="D212" i="4" s="1"/>
  <c r="E211" i="4"/>
  <c r="E212" i="4" s="1"/>
  <c r="E213" i="4" s="1"/>
  <c r="D458" i="4"/>
  <c r="D459" i="4" s="1"/>
  <c r="D460" i="4" s="1"/>
  <c r="D461" i="4" s="1"/>
  <c r="D462" i="4" s="1"/>
  <c r="D463" i="4" s="1"/>
  <c r="D464" i="4" s="1"/>
  <c r="D465" i="4" s="1"/>
  <c r="D466" i="4" s="1"/>
  <c r="D467" i="4" s="1"/>
  <c r="C458" i="4"/>
  <c r="C459" i="4" s="1"/>
  <c r="C460" i="4" s="1"/>
  <c r="C461" i="4" s="1"/>
  <c r="C462" i="4" s="1"/>
  <c r="C463" i="4" s="1"/>
  <c r="C464" i="4" s="1"/>
  <c r="C465" i="4" s="1"/>
  <c r="C466" i="4" s="1"/>
  <c r="C467" i="4" s="1"/>
  <c r="E420" i="4"/>
  <c r="E421" i="4" s="1"/>
  <c r="E439" i="4"/>
  <c r="E440" i="4" s="1"/>
  <c r="E416" i="4"/>
  <c r="E417" i="4" s="1"/>
  <c r="D416" i="4"/>
  <c r="D417" i="4" s="1"/>
  <c r="D418" i="4" s="1"/>
  <c r="D419" i="4" s="1"/>
  <c r="C416" i="4"/>
  <c r="C417" i="4" s="1"/>
  <c r="C418" i="4" s="1"/>
  <c r="C419" i="4" s="1"/>
  <c r="E360" i="4"/>
  <c r="E361" i="4" s="1"/>
  <c r="D360" i="4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C360" i="4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287" i="4"/>
  <c r="C288" i="4" s="1"/>
  <c r="C289" i="4" s="1"/>
  <c r="C290" i="4" s="1"/>
  <c r="C291" i="4" s="1"/>
  <c r="C292" i="4" s="1"/>
  <c r="D287" i="4"/>
  <c r="D288" i="4" s="1"/>
  <c r="D289" i="4" s="1"/>
  <c r="D290" i="4" s="1"/>
  <c r="D291" i="4" s="1"/>
  <c r="D292" i="4" s="1"/>
  <c r="E265" i="4"/>
  <c r="E266" i="4" s="1"/>
  <c r="E267" i="4" s="1"/>
  <c r="E273" i="4"/>
  <c r="C258" i="4"/>
  <c r="E258" i="4"/>
  <c r="D258" i="4"/>
  <c r="C216" i="4"/>
  <c r="C217" i="4" s="1"/>
  <c r="C218" i="4" s="1"/>
  <c r="C219" i="4" s="1"/>
  <c r="C220" i="4" s="1"/>
  <c r="C221" i="4" s="1"/>
  <c r="C222" i="4" s="1"/>
  <c r="C223" i="4" s="1"/>
  <c r="C224" i="4" s="1"/>
  <c r="C225" i="4" s="1"/>
  <c r="D216" i="4"/>
  <c r="D217" i="4" s="1"/>
  <c r="D218" i="4" s="1"/>
  <c r="D219" i="4" s="1"/>
  <c r="D220" i="4" s="1"/>
  <c r="D221" i="4" s="1"/>
  <c r="D222" i="4" s="1"/>
  <c r="D223" i="4" s="1"/>
  <c r="D224" i="4" s="1"/>
  <c r="D225" i="4" s="1"/>
  <c r="E216" i="4"/>
  <c r="E217" i="4" s="1"/>
  <c r="E218" i="4" s="1"/>
  <c r="E219" i="4" s="1"/>
  <c r="E220" i="4" s="1"/>
  <c r="E221" i="4" s="1"/>
  <c r="E222" i="4" s="1"/>
  <c r="E225" i="4"/>
  <c r="E229" i="4"/>
  <c r="E230" i="4" s="1"/>
  <c r="E231" i="4" s="1"/>
  <c r="E232" i="4" s="1"/>
  <c r="D129" i="4"/>
  <c r="D130" i="4" s="1"/>
  <c r="D131" i="4" s="1"/>
  <c r="D132" i="4" s="1"/>
  <c r="C129" i="4"/>
  <c r="C130" i="4" s="1"/>
  <c r="C131" i="4" s="1"/>
  <c r="C63" i="4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D63" i="4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E87" i="5"/>
  <c r="E88" i="5" s="1"/>
  <c r="E89" i="5" s="1"/>
  <c r="C81" i="5"/>
  <c r="C82" i="5" s="1"/>
  <c r="C83" i="5" s="1"/>
  <c r="D81" i="5"/>
  <c r="D82" i="5" s="1"/>
  <c r="D83" i="5" s="1"/>
  <c r="E81" i="5"/>
  <c r="E82" i="5" s="1"/>
  <c r="E83" i="5" s="1"/>
  <c r="E60" i="5"/>
  <c r="E61" i="5" s="1"/>
  <c r="E63" i="5"/>
  <c r="E64" i="5" s="1"/>
  <c r="E65" i="5" s="1"/>
  <c r="D39" i="5"/>
  <c r="D40" i="5" s="1"/>
  <c r="D41" i="5" s="1"/>
  <c r="D42" i="5" s="1"/>
  <c r="E36" i="5"/>
  <c r="E37" i="5" s="1"/>
  <c r="E25" i="5"/>
  <c r="E26" i="5" s="1"/>
  <c r="E27" i="5" s="1"/>
  <c r="C17" i="5"/>
  <c r="C18" i="5" s="1"/>
  <c r="D17" i="5"/>
  <c r="D18" i="5" s="1"/>
  <c r="H4" i="5"/>
  <c r="E11" i="5"/>
  <c r="B6" i="5"/>
  <c r="B7" i="5" s="1"/>
  <c r="B8" i="5" s="1"/>
  <c r="B9" i="5" s="1"/>
  <c r="B10" i="5" s="1"/>
  <c r="C11" i="5"/>
  <c r="C12" i="5" s="1"/>
  <c r="C13" i="5" s="1"/>
  <c r="A5" i="5"/>
  <c r="H5" i="4"/>
  <c r="E274" i="4" l="1"/>
  <c r="E275" i="4" s="1"/>
  <c r="E276" i="4" s="1"/>
  <c r="E441" i="4"/>
  <c r="E442" i="4" s="1"/>
  <c r="E443" i="4" s="1"/>
  <c r="E444" i="4" s="1"/>
  <c r="E445" i="4" s="1"/>
  <c r="E446" i="4" s="1"/>
  <c r="C420" i="4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D420" i="4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293" i="4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C293" i="4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E300" i="4"/>
  <c r="E301" i="4" s="1"/>
  <c r="E259" i="4"/>
  <c r="D259" i="4"/>
  <c r="D260" i="4" s="1"/>
  <c r="D261" i="4" s="1"/>
  <c r="D262" i="4" s="1"/>
  <c r="D263" i="4" s="1"/>
  <c r="D264" i="4" s="1"/>
  <c r="C259" i="4"/>
  <c r="C260" i="4" s="1"/>
  <c r="C261" i="4" s="1"/>
  <c r="C262" i="4" s="1"/>
  <c r="C263" i="4" s="1"/>
  <c r="C264" i="4" s="1"/>
  <c r="C226" i="4"/>
  <c r="C227" i="4" s="1"/>
  <c r="C228" i="4" s="1"/>
  <c r="C229" i="4" s="1"/>
  <c r="C230" i="4" s="1"/>
  <c r="E226" i="4"/>
  <c r="E227" i="4" s="1"/>
  <c r="D226" i="4"/>
  <c r="D227" i="4" s="1"/>
  <c r="D228" i="4" s="1"/>
  <c r="D229" i="4" s="1"/>
  <c r="D230" i="4" s="1"/>
  <c r="D231" i="4" s="1"/>
  <c r="D84" i="5"/>
  <c r="D85" i="5" s="1"/>
  <c r="D86" i="5" s="1"/>
  <c r="C84" i="5"/>
  <c r="C85" i="5" s="1"/>
  <c r="C86" i="5" s="1"/>
  <c r="D43" i="5"/>
  <c r="D44" i="5" s="1"/>
  <c r="D19" i="5"/>
  <c r="D20" i="5" s="1"/>
  <c r="C19" i="5"/>
  <c r="C20" i="5" s="1"/>
  <c r="H9" i="5"/>
  <c r="H8" i="5"/>
  <c r="H6" i="5"/>
  <c r="H7" i="5"/>
  <c r="H10" i="5"/>
  <c r="A6" i="5"/>
  <c r="H6" i="4"/>
  <c r="C441" i="4" l="1"/>
  <c r="C442" i="4" s="1"/>
  <c r="C443" i="4" s="1"/>
  <c r="C444" i="4" s="1"/>
  <c r="D441" i="4"/>
  <c r="D442" i="4" s="1"/>
  <c r="D443" i="4" s="1"/>
  <c r="D444" i="4" s="1"/>
  <c r="D445" i="4" s="1"/>
  <c r="C265" i="4"/>
  <c r="C266" i="4" s="1"/>
  <c r="C267" i="4" s="1"/>
  <c r="D265" i="4"/>
  <c r="D266" i="4" s="1"/>
  <c r="D267" i="4" s="1"/>
  <c r="C87" i="5"/>
  <c r="C88" i="5" s="1"/>
  <c r="C89" i="5" s="1"/>
  <c r="D87" i="5"/>
  <c r="D88" i="5" s="1"/>
  <c r="D89" i="5" s="1"/>
  <c r="D45" i="5"/>
  <c r="D46" i="5" s="1"/>
  <c r="C21" i="5"/>
  <c r="C22" i="5" s="1"/>
  <c r="C23" i="5" s="1"/>
  <c r="C24" i="5" s="1"/>
  <c r="D21" i="5"/>
  <c r="D22" i="5" s="1"/>
  <c r="D23" i="5" s="1"/>
  <c r="D24" i="5" s="1"/>
  <c r="B11" i="5"/>
  <c r="B12" i="5" s="1"/>
  <c r="B13" i="5" s="1"/>
  <c r="B14" i="5" s="1"/>
  <c r="A7" i="5"/>
  <c r="H7" i="4"/>
  <c r="D47" i="5" l="1"/>
  <c r="D48" i="5" s="1"/>
  <c r="D49" i="5" s="1"/>
  <c r="D50" i="5" s="1"/>
  <c r="D51" i="5" s="1"/>
  <c r="D52" i="5" s="1"/>
  <c r="D53" i="5" s="1"/>
  <c r="D54" i="5" s="1"/>
  <c r="D55" i="5" s="1"/>
  <c r="D268" i="4"/>
  <c r="C268" i="4"/>
  <c r="D25" i="5"/>
  <c r="D26" i="5" s="1"/>
  <c r="D27" i="5" s="1"/>
  <c r="C25" i="5"/>
  <c r="C26" i="5" s="1"/>
  <c r="C27" i="5" s="1"/>
  <c r="A8" i="5"/>
  <c r="H13" i="5"/>
  <c r="H12" i="5"/>
  <c r="H11" i="5"/>
  <c r="B15" i="5"/>
  <c r="H14" i="5"/>
  <c r="H8" i="4"/>
  <c r="G44" i="3"/>
  <c r="G43" i="3"/>
  <c r="G42" i="3"/>
  <c r="G41" i="3"/>
  <c r="G40" i="3"/>
  <c r="E40" i="3"/>
  <c r="F39" i="3"/>
  <c r="G39" i="3" s="1"/>
  <c r="E39" i="3"/>
  <c r="F38" i="3"/>
  <c r="G38" i="3" s="1"/>
  <c r="F37" i="3"/>
  <c r="G37" i="3" s="1"/>
  <c r="F36" i="3"/>
  <c r="G36" i="3" s="1"/>
  <c r="G35" i="3"/>
  <c r="G34" i="3"/>
  <c r="G33" i="3"/>
  <c r="G32" i="3"/>
  <c r="G31" i="3"/>
  <c r="G30" i="3"/>
  <c r="G29" i="3"/>
  <c r="E28" i="3"/>
  <c r="G28" i="3" s="1"/>
  <c r="G27" i="3"/>
  <c r="G26" i="3"/>
  <c r="G25" i="3"/>
  <c r="G24" i="3"/>
  <c r="G23" i="3"/>
  <c r="G22" i="3"/>
  <c r="G21" i="3"/>
  <c r="E20" i="3"/>
  <c r="G20" i="3" s="1"/>
  <c r="E19" i="3"/>
  <c r="G19" i="3" s="1"/>
  <c r="E18" i="3"/>
  <c r="G18" i="3" s="1"/>
  <c r="E17" i="3"/>
  <c r="G17" i="3" s="1"/>
  <c r="G15" i="3" s="1"/>
  <c r="G16" i="3"/>
  <c r="F15" i="3"/>
  <c r="C269" i="4" l="1"/>
  <c r="D269" i="4"/>
  <c r="D56" i="5"/>
  <c r="D57" i="5" s="1"/>
  <c r="D58" i="5" s="1"/>
  <c r="D59" i="5" s="1"/>
  <c r="C28" i="5"/>
  <c r="C29" i="5" s="1"/>
  <c r="C30" i="5" s="1"/>
  <c r="C31" i="5" s="1"/>
  <c r="C32" i="5" s="1"/>
  <c r="C33" i="5" s="1"/>
  <c r="C34" i="5" s="1"/>
  <c r="C35" i="5" s="1"/>
  <c r="D28" i="5"/>
  <c r="D29" i="5" s="1"/>
  <c r="D30" i="5" s="1"/>
  <c r="D31" i="5" s="1"/>
  <c r="D32" i="5" s="1"/>
  <c r="D33" i="5" s="1"/>
  <c r="D34" i="5" s="1"/>
  <c r="D35" i="5" s="1"/>
  <c r="D36" i="5" s="1"/>
  <c r="A9" i="5"/>
  <c r="B16" i="5"/>
  <c r="B17" i="5" s="1"/>
  <c r="H17" i="5" s="1"/>
  <c r="H15" i="5"/>
  <c r="H9" i="4"/>
  <c r="E15" i="3"/>
  <c r="D270" i="4" l="1"/>
  <c r="D271" i="4" s="1"/>
  <c r="D272" i="4" s="1"/>
  <c r="D273" i="4" s="1"/>
  <c r="C270" i="4"/>
  <c r="C271" i="4" s="1"/>
  <c r="C272" i="4" s="1"/>
  <c r="C273" i="4" s="1"/>
  <c r="C274" i="4" s="1"/>
  <c r="D60" i="5"/>
  <c r="D61" i="5" s="1"/>
  <c r="D62" i="5" s="1"/>
  <c r="D63" i="5" s="1"/>
  <c r="D64" i="5" s="1"/>
  <c r="A10" i="5"/>
  <c r="C36" i="5"/>
  <c r="C37" i="5" s="1"/>
  <c r="C38" i="5" s="1"/>
  <c r="B18" i="5"/>
  <c r="B19" i="5" s="1"/>
  <c r="H16" i="5"/>
  <c r="H10" i="4"/>
  <c r="L235" i="2"/>
  <c r="L391" i="2"/>
  <c r="L365" i="2"/>
  <c r="E365" i="2"/>
  <c r="E366" i="2" s="1"/>
  <c r="L338" i="2"/>
  <c r="E338" i="2"/>
  <c r="E339" i="2" s="1"/>
  <c r="L330" i="2"/>
  <c r="L333" i="2"/>
  <c r="L223" i="2"/>
  <c r="L220" i="2"/>
  <c r="L212" i="2"/>
  <c r="J213" i="2"/>
  <c r="D274" i="4" l="1"/>
  <c r="D275" i="4" s="1"/>
  <c r="A11" i="5"/>
  <c r="A73" i="5" s="1"/>
  <c r="C39" i="5"/>
  <c r="C40" i="5" s="1"/>
  <c r="C41" i="5" s="1"/>
  <c r="C42" i="5" s="1"/>
  <c r="H19" i="5"/>
  <c r="B20" i="5"/>
  <c r="B21" i="5" s="1"/>
  <c r="H18" i="5"/>
  <c r="H11" i="4"/>
  <c r="L211" i="2"/>
  <c r="L210" i="2" s="1"/>
  <c r="A12" i="5" l="1"/>
  <c r="A13" i="5" s="1"/>
  <c r="C43" i="5"/>
  <c r="C44" i="5" s="1"/>
  <c r="B22" i="5"/>
  <c r="H21" i="5"/>
  <c r="H20" i="5"/>
  <c r="H12" i="4"/>
  <c r="L407" i="2"/>
  <c r="L404" i="2"/>
  <c r="A14" i="5" l="1"/>
  <c r="A15" i="5" s="1"/>
  <c r="A16" i="5" s="1"/>
  <c r="A17" i="5" s="1"/>
  <c r="A19" i="5" s="1"/>
  <c r="A75" i="5"/>
  <c r="A74" i="5"/>
  <c r="C45" i="5"/>
  <c r="C46" i="5" s="1"/>
  <c r="B23" i="5"/>
  <c r="H22" i="5"/>
  <c r="H13" i="4"/>
  <c r="L422" i="2"/>
  <c r="L400" i="2"/>
  <c r="J425" i="2"/>
  <c r="J424" i="2"/>
  <c r="J423" i="2"/>
  <c r="C47" i="5" l="1"/>
  <c r="C48" i="5" s="1"/>
  <c r="C49" i="5" s="1"/>
  <c r="C50" i="5" s="1"/>
  <c r="C51" i="5" s="1"/>
  <c r="C52" i="5" s="1"/>
  <c r="C53" i="5" s="1"/>
  <c r="C54" i="5" s="1"/>
  <c r="C55" i="5" s="1"/>
  <c r="A76" i="5"/>
  <c r="A77" i="5"/>
  <c r="A78" i="5"/>
  <c r="A18" i="5"/>
  <c r="A26" i="5" s="1"/>
  <c r="H23" i="5"/>
  <c r="B24" i="5"/>
  <c r="B25" i="5" s="1"/>
  <c r="B15" i="4"/>
  <c r="H14" i="4"/>
  <c r="L399" i="2"/>
  <c r="L398" i="2" s="1"/>
  <c r="E16" i="6" s="1"/>
  <c r="L432" i="2"/>
  <c r="L434" i="2"/>
  <c r="L441" i="2"/>
  <c r="E441" i="2"/>
  <c r="E442" i="2" s="1"/>
  <c r="L430" i="2"/>
  <c r="L448" i="2"/>
  <c r="L445" i="2"/>
  <c r="L443" i="2"/>
  <c r="L437" i="2"/>
  <c r="J431" i="2"/>
  <c r="L76" i="2"/>
  <c r="L79" i="2"/>
  <c r="L83" i="2"/>
  <c r="L85" i="2"/>
  <c r="L89" i="2"/>
  <c r="L87" i="2"/>
  <c r="L95" i="2"/>
  <c r="L93" i="2"/>
  <c r="L91" i="2"/>
  <c r="L378" i="2"/>
  <c r="L376" i="2"/>
  <c r="L371" i="2"/>
  <c r="J372" i="2"/>
  <c r="J373" i="2" s="1"/>
  <c r="L374" i="2"/>
  <c r="H16" i="6" l="1"/>
  <c r="G16" i="6"/>
  <c r="E57" i="6"/>
  <c r="A35" i="5"/>
  <c r="A21" i="5"/>
  <c r="A24" i="5"/>
  <c r="A79" i="5"/>
  <c r="A20" i="5"/>
  <c r="A27" i="5" s="1"/>
  <c r="A25" i="5"/>
  <c r="C56" i="5"/>
  <c r="C57" i="5" s="1"/>
  <c r="C58" i="5" s="1"/>
  <c r="C59" i="5" s="1"/>
  <c r="A36" i="5"/>
  <c r="B26" i="5"/>
  <c r="H26" i="5" s="1"/>
  <c r="H25" i="5"/>
  <c r="H24" i="5"/>
  <c r="H15" i="4"/>
  <c r="B16" i="4"/>
  <c r="L429" i="2"/>
  <c r="L436" i="2"/>
  <c r="L370" i="2"/>
  <c r="L369" i="2" s="1"/>
  <c r="M369" i="2" s="1"/>
  <c r="L199" i="2"/>
  <c r="E199" i="2"/>
  <c r="E200" i="2" s="1"/>
  <c r="E201" i="2" s="1"/>
  <c r="G57" i="6" l="1"/>
  <c r="H57" i="6"/>
  <c r="I16" i="6"/>
  <c r="J16" i="6"/>
  <c r="C60" i="5"/>
  <c r="C61" i="5" s="1"/>
  <c r="C62" i="5" s="1"/>
  <c r="C63" i="5" s="1"/>
  <c r="C64" i="5" s="1"/>
  <c r="C65" i="5" s="1"/>
  <c r="C66" i="5" s="1"/>
  <c r="C67" i="5" s="1"/>
  <c r="A22" i="5"/>
  <c r="A23" i="5"/>
  <c r="B27" i="5"/>
  <c r="H16" i="4"/>
  <c r="B17" i="4"/>
  <c r="L428" i="2"/>
  <c r="E17" i="6" s="1"/>
  <c r="H17" i="6" l="1"/>
  <c r="G17" i="6"/>
  <c r="E58" i="6"/>
  <c r="I57" i="6"/>
  <c r="J57" i="6"/>
  <c r="A33" i="5"/>
  <c r="A31" i="5"/>
  <c r="A28" i="5"/>
  <c r="A30" i="5" s="1"/>
  <c r="A29" i="5"/>
  <c r="A32" i="5"/>
  <c r="A34" i="5"/>
  <c r="H27" i="5"/>
  <c r="B28" i="5"/>
  <c r="B18" i="4"/>
  <c r="H17" i="4"/>
  <c r="L193" i="2"/>
  <c r="L205" i="2"/>
  <c r="L203" i="2"/>
  <c r="L189" i="2"/>
  <c r="L186" i="2"/>
  <c r="L184" i="2"/>
  <c r="L182" i="2"/>
  <c r="L170" i="2"/>
  <c r="L172" i="2"/>
  <c r="L174" i="2"/>
  <c r="L176" i="2"/>
  <c r="L178" i="2"/>
  <c r="J179" i="2"/>
  <c r="L166" i="2"/>
  <c r="L164" i="2"/>
  <c r="L162" i="2"/>
  <c r="L160" i="2"/>
  <c r="L156" i="2"/>
  <c r="J167" i="2"/>
  <c r="L114" i="2"/>
  <c r="L126" i="2"/>
  <c r="L118" i="2"/>
  <c r="J130" i="2"/>
  <c r="L129" i="2"/>
  <c r="L120" i="2"/>
  <c r="L122" i="2"/>
  <c r="L124" i="2"/>
  <c r="L112" i="2"/>
  <c r="L110" i="2"/>
  <c r="L140" i="2"/>
  <c r="L152" i="2"/>
  <c r="L150" i="2"/>
  <c r="L148" i="2"/>
  <c r="L146" i="2"/>
  <c r="L144" i="2"/>
  <c r="L142" i="2"/>
  <c r="J153" i="2"/>
  <c r="G58" i="6" l="1"/>
  <c r="H58" i="6"/>
  <c r="I17" i="6"/>
  <c r="J17" i="6"/>
  <c r="A83" i="5"/>
  <c r="A81" i="5"/>
  <c r="A82" i="5"/>
  <c r="A39" i="5"/>
  <c r="A42" i="5"/>
  <c r="A43" i="5"/>
  <c r="A80" i="5"/>
  <c r="A40" i="5"/>
  <c r="A41" i="5"/>
  <c r="B29" i="5"/>
  <c r="H28" i="5"/>
  <c r="A37" i="5"/>
  <c r="A85" i="5"/>
  <c r="B19" i="4"/>
  <c r="H18" i="4"/>
  <c r="L188" i="2"/>
  <c r="L192" i="2"/>
  <c r="L202" i="2"/>
  <c r="L181" i="2"/>
  <c r="L169" i="2"/>
  <c r="L109" i="2"/>
  <c r="L155" i="2"/>
  <c r="L154" i="2" s="1"/>
  <c r="J58" i="6" l="1"/>
  <c r="I58" i="6"/>
  <c r="A38" i="5"/>
  <c r="A44" i="5"/>
  <c r="A86" i="5"/>
  <c r="H29" i="5"/>
  <c r="B30" i="5"/>
  <c r="H19" i="4"/>
  <c r="B20" i="4"/>
  <c r="L108" i="2"/>
  <c r="L168" i="2"/>
  <c r="L180" i="2"/>
  <c r="L133" i="2"/>
  <c r="L135" i="2"/>
  <c r="A47" i="5" l="1"/>
  <c r="A87" i="5"/>
  <c r="A88" i="5"/>
  <c r="A50" i="5"/>
  <c r="A45" i="5"/>
  <c r="A52" i="5"/>
  <c r="A51" i="5"/>
  <c r="A48" i="5"/>
  <c r="A49" i="5"/>
  <c r="A46" i="5"/>
  <c r="A53" i="5"/>
  <c r="H30" i="5"/>
  <c r="B31" i="5"/>
  <c r="H4" i="4"/>
  <c r="H20" i="4"/>
  <c r="B21" i="4"/>
  <c r="A5" i="4"/>
  <c r="L132" i="2"/>
  <c r="A6" i="4" l="1"/>
  <c r="A7" i="4" s="1"/>
  <c r="A8" i="4" s="1"/>
  <c r="A9" i="4" s="1"/>
  <c r="A10" i="4" s="1"/>
  <c r="A11" i="4" s="1"/>
  <c r="A12" i="4" s="1"/>
  <c r="A13" i="4" s="1"/>
  <c r="A14" i="4" s="1"/>
  <c r="A60" i="5"/>
  <c r="A58" i="5"/>
  <c r="A59" i="5"/>
  <c r="A61" i="5"/>
  <c r="A54" i="5"/>
  <c r="A89" i="5"/>
  <c r="A55" i="5"/>
  <c r="B32" i="5"/>
  <c r="H31" i="5"/>
  <c r="H21" i="4"/>
  <c r="B22" i="4"/>
  <c r="L131" i="2"/>
  <c r="E7" i="6" s="1"/>
  <c r="L208" i="2"/>
  <c r="L395" i="2"/>
  <c r="L386" i="2"/>
  <c r="L384" i="2"/>
  <c r="L382" i="2"/>
  <c r="L367" i="2"/>
  <c r="L359" i="2" s="1"/>
  <c r="J353" i="2"/>
  <c r="J352" i="2"/>
  <c r="L356" i="2"/>
  <c r="L351" i="2"/>
  <c r="J357" i="2"/>
  <c r="L345" i="2"/>
  <c r="L349" i="2"/>
  <c r="L342" i="2"/>
  <c r="L340" i="2"/>
  <c r="L326" i="2"/>
  <c r="L324" i="2"/>
  <c r="J343" i="2"/>
  <c r="H7" i="6" l="1"/>
  <c r="G7" i="6"/>
  <c r="E48" i="6"/>
  <c r="A63" i="5"/>
  <c r="A56" i="5"/>
  <c r="A57" i="5"/>
  <c r="A64" i="5"/>
  <c r="B33" i="5"/>
  <c r="H32" i="5"/>
  <c r="A16" i="4"/>
  <c r="A15" i="4"/>
  <c r="A17" i="4"/>
  <c r="B23" i="4"/>
  <c r="H22" i="4"/>
  <c r="L207" i="2"/>
  <c r="L323" i="2"/>
  <c r="L381" i="2"/>
  <c r="L380" i="2" s="1"/>
  <c r="E15" i="6" s="1"/>
  <c r="L344" i="2"/>
  <c r="E330" i="2"/>
  <c r="E331" i="2" s="1"/>
  <c r="E332" i="2" s="1"/>
  <c r="J302" i="2"/>
  <c r="J248" i="2"/>
  <c r="L241" i="2"/>
  <c r="L243" i="2"/>
  <c r="J247" i="2"/>
  <c r="L315" i="2"/>
  <c r="L305" i="2"/>
  <c r="L308" i="2"/>
  <c r="L312" i="2"/>
  <c r="J318" i="2"/>
  <c r="J320" i="2"/>
  <c r="J321" i="2"/>
  <c r="J319" i="2"/>
  <c r="L254" i="2"/>
  <c r="L250" i="2" s="1"/>
  <c r="L292" i="2"/>
  <c r="L289" i="2"/>
  <c r="L294" i="2"/>
  <c r="L282" i="2"/>
  <c r="L286" i="2"/>
  <c r="L277" i="2"/>
  <c r="J295" i="2"/>
  <c r="J246" i="2"/>
  <c r="J245" i="2"/>
  <c r="J244" i="2"/>
  <c r="L233" i="2"/>
  <c r="L231" i="2"/>
  <c r="L227" i="2"/>
  <c r="L273" i="2"/>
  <c r="L268" i="2"/>
  <c r="L266" i="2"/>
  <c r="L24" i="2"/>
  <c r="L29" i="2"/>
  <c r="L18" i="2"/>
  <c r="L15" i="2"/>
  <c r="L12" i="2"/>
  <c r="L7" i="2"/>
  <c r="L10" i="2"/>
  <c r="L32" i="2"/>
  <c r="L34" i="2"/>
  <c r="L36" i="2"/>
  <c r="L38" i="2"/>
  <c r="L42" i="2"/>
  <c r="L45" i="2"/>
  <c r="L47" i="2"/>
  <c r="L49" i="2"/>
  <c r="L51" i="2"/>
  <c r="L71" i="2"/>
  <c r="L64" i="2"/>
  <c r="L58" i="2"/>
  <c r="L56" i="2"/>
  <c r="J73" i="2"/>
  <c r="E281" i="2"/>
  <c r="G48" i="6" l="1"/>
  <c r="H48" i="6"/>
  <c r="H15" i="6"/>
  <c r="G15" i="6"/>
  <c r="E56" i="6"/>
  <c r="I7" i="6"/>
  <c r="J7" i="6"/>
  <c r="A62" i="5"/>
  <c r="A65" i="5" s="1"/>
  <c r="A66" i="5" s="1"/>
  <c r="A67" i="5" s="1"/>
  <c r="A68" i="5" s="1"/>
  <c r="A69" i="5" s="1"/>
  <c r="A70" i="5" s="1"/>
  <c r="A71" i="5" s="1"/>
  <c r="A72" i="5" s="1"/>
  <c r="B34" i="5"/>
  <c r="H33" i="5"/>
  <c r="A18" i="4"/>
  <c r="A22" i="4" s="1"/>
  <c r="B24" i="4"/>
  <c r="H23" i="4"/>
  <c r="A19" i="4"/>
  <c r="A20" i="4"/>
  <c r="L191" i="2"/>
  <c r="E8" i="6" s="1"/>
  <c r="L322" i="2"/>
  <c r="E14" i="6" s="1"/>
  <c r="L226" i="2"/>
  <c r="L304" i="2"/>
  <c r="L303" i="2" s="1"/>
  <c r="E13" i="6" s="1"/>
  <c r="L265" i="2"/>
  <c r="L264" i="2" s="1"/>
  <c r="E12" i="6" s="1"/>
  <c r="L23" i="2"/>
  <c r="L41" i="2"/>
  <c r="L40" i="2" s="1"/>
  <c r="E5" i="6" s="1"/>
  <c r="L31" i="2"/>
  <c r="L6" i="2"/>
  <c r="L5" i="2" s="1"/>
  <c r="E3" i="6" s="1"/>
  <c r="L55" i="2"/>
  <c r="L54" i="2" s="1"/>
  <c r="E6" i="6" s="1"/>
  <c r="E254" i="2"/>
  <c r="E255" i="2" s="1"/>
  <c r="E256" i="2" s="1"/>
  <c r="E315" i="2"/>
  <c r="E316" i="2" s="1"/>
  <c r="E317" i="2" s="1"/>
  <c r="E318" i="2" s="1"/>
  <c r="E319" i="2" s="1"/>
  <c r="E320" i="2" s="1"/>
  <c r="E321" i="2" s="1"/>
  <c r="E322" i="2" s="1"/>
  <c r="E323" i="2" s="1"/>
  <c r="E312" i="2"/>
  <c r="E313" i="2" s="1"/>
  <c r="E314" i="2" s="1"/>
  <c r="E308" i="2"/>
  <c r="E309" i="2" s="1"/>
  <c r="E129" i="2"/>
  <c r="E130" i="2" s="1"/>
  <c r="E131" i="2" s="1"/>
  <c r="E132" i="2" s="1"/>
  <c r="E205" i="2"/>
  <c r="E206" i="2" s="1"/>
  <c r="E203" i="2"/>
  <c r="E204" i="2" s="1"/>
  <c r="D202" i="2"/>
  <c r="D203" i="2" s="1"/>
  <c r="D204" i="2" s="1"/>
  <c r="D205" i="2" s="1"/>
  <c r="D206" i="2" s="1"/>
  <c r="E118" i="2"/>
  <c r="E119" i="2" s="1"/>
  <c r="E114" i="2"/>
  <c r="E115" i="2" s="1"/>
  <c r="E116" i="2" s="1"/>
  <c r="E117" i="2" s="1"/>
  <c r="E112" i="2"/>
  <c r="E113" i="2" s="1"/>
  <c r="E164" i="2"/>
  <c r="E165" i="2" s="1"/>
  <c r="E162" i="2"/>
  <c r="E163" i="2" s="1"/>
  <c r="E178" i="2"/>
  <c r="E179" i="2" s="1"/>
  <c r="E180" i="2" s="1"/>
  <c r="E181" i="2" s="1"/>
  <c r="E135" i="2"/>
  <c r="E136" i="2" s="1"/>
  <c r="E137" i="2" s="1"/>
  <c r="E138" i="2" s="1"/>
  <c r="E139" i="2" s="1"/>
  <c r="E7" i="2"/>
  <c r="E8" i="2" s="1"/>
  <c r="E9" i="2" s="1"/>
  <c r="E10" i="2"/>
  <c r="E11" i="2" s="1"/>
  <c r="E12" i="2"/>
  <c r="E13" i="2" s="1"/>
  <c r="E14" i="2" s="1"/>
  <c r="E15" i="2"/>
  <c r="E16" i="2" s="1"/>
  <c r="E17" i="2" s="1"/>
  <c r="E18" i="2"/>
  <c r="E19" i="2" s="1"/>
  <c r="E20" i="2" s="1"/>
  <c r="E21" i="2" s="1"/>
  <c r="E22" i="2" s="1"/>
  <c r="E23" i="2" s="1"/>
  <c r="E24" i="2"/>
  <c r="E25" i="2" s="1"/>
  <c r="E26" i="2" s="1"/>
  <c r="E27" i="2" s="1"/>
  <c r="E28" i="2" s="1"/>
  <c r="E29" i="2"/>
  <c r="E30" i="2" s="1"/>
  <c r="E31" i="2" s="1"/>
  <c r="E32" i="2"/>
  <c r="E33" i="2" s="1"/>
  <c r="E34" i="2"/>
  <c r="E35" i="2" s="1"/>
  <c r="E36" i="2"/>
  <c r="E37" i="2" s="1"/>
  <c r="E38" i="2"/>
  <c r="E39" i="2" s="1"/>
  <c r="E40" i="2" s="1"/>
  <c r="E41" i="2" s="1"/>
  <c r="E42" i="2"/>
  <c r="E43" i="2" s="1"/>
  <c r="E44" i="2" s="1"/>
  <c r="E45" i="2"/>
  <c r="E46" i="2" s="1"/>
  <c r="E47" i="2"/>
  <c r="E48" i="2" s="1"/>
  <c r="E49" i="2"/>
  <c r="E50" i="2" s="1"/>
  <c r="E51" i="2"/>
  <c r="E56" i="2"/>
  <c r="E57" i="2" s="1"/>
  <c r="E58" i="2"/>
  <c r="E59" i="2" s="1"/>
  <c r="E60" i="2" s="1"/>
  <c r="E61" i="2"/>
  <c r="E62" i="2" s="1"/>
  <c r="E63" i="2" s="1"/>
  <c r="E64" i="2"/>
  <c r="E65" i="2" s="1"/>
  <c r="E66" i="2" s="1"/>
  <c r="E67" i="2" s="1"/>
  <c r="E68" i="2" s="1"/>
  <c r="E71" i="2"/>
  <c r="E72" i="2" s="1"/>
  <c r="E73" i="2" s="1"/>
  <c r="E74" i="2" s="1"/>
  <c r="E75" i="2" s="1"/>
  <c r="E76" i="2"/>
  <c r="E77" i="2" s="1"/>
  <c r="E78" i="2" s="1"/>
  <c r="E79" i="2"/>
  <c r="E80" i="2" s="1"/>
  <c r="E81" i="2"/>
  <c r="E82" i="2" s="1"/>
  <c r="E83" i="2"/>
  <c r="E84" i="2" s="1"/>
  <c r="E85" i="2"/>
  <c r="E86" i="2" s="1"/>
  <c r="E87" i="2"/>
  <c r="E88" i="2" s="1"/>
  <c r="E89" i="2"/>
  <c r="E90" i="2" s="1"/>
  <c r="E91" i="2"/>
  <c r="E92" i="2" s="1"/>
  <c r="E93" i="2"/>
  <c r="E94" i="2" s="1"/>
  <c r="E95" i="2"/>
  <c r="E96" i="2" s="1"/>
  <c r="E97" i="2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/>
  <c r="E111" i="2" s="1"/>
  <c r="E120" i="2"/>
  <c r="E121" i="2" s="1"/>
  <c r="E122" i="2"/>
  <c r="E123" i="2" s="1"/>
  <c r="E124" i="2"/>
  <c r="E125" i="2" s="1"/>
  <c r="E126" i="2"/>
  <c r="E133" i="2"/>
  <c r="E134" i="2" s="1"/>
  <c r="E140" i="2"/>
  <c r="E141" i="2" s="1"/>
  <c r="E142" i="2"/>
  <c r="E143" i="2" s="1"/>
  <c r="E144" i="2"/>
  <c r="E145" i="2" s="1"/>
  <c r="E146" i="2"/>
  <c r="E147" i="2" s="1"/>
  <c r="E148" i="2"/>
  <c r="E149" i="2" s="1"/>
  <c r="E150" i="2"/>
  <c r="E151" i="2" s="1"/>
  <c r="E152" i="2"/>
  <c r="E153" i="2" s="1"/>
  <c r="E156" i="2"/>
  <c r="E157" i="2" s="1"/>
  <c r="E160" i="2"/>
  <c r="E161" i="2" s="1"/>
  <c r="E166" i="2"/>
  <c r="E167" i="2" s="1"/>
  <c r="E168" i="2" s="1"/>
  <c r="E169" i="2" s="1"/>
  <c r="E170" i="2"/>
  <c r="E171" i="2" s="1"/>
  <c r="E172" i="2"/>
  <c r="E173" i="2" s="1"/>
  <c r="E174" i="2"/>
  <c r="E175" i="2" s="1"/>
  <c r="E176" i="2"/>
  <c r="E177" i="2" s="1"/>
  <c r="E182" i="2"/>
  <c r="E183" i="2" s="1"/>
  <c r="E184" i="2"/>
  <c r="E185" i="2" s="1"/>
  <c r="E186" i="2"/>
  <c r="E187" i="2" s="1"/>
  <c r="E189" i="2"/>
  <c r="E193" i="2"/>
  <c r="E194" i="2" s="1"/>
  <c r="E208" i="2"/>
  <c r="E209" i="2" s="1"/>
  <c r="E212" i="2"/>
  <c r="E213" i="2" s="1"/>
  <c r="E220" i="2"/>
  <c r="E221" i="2" s="1"/>
  <c r="E222" i="2" s="1"/>
  <c r="E223" i="2"/>
  <c r="E224" i="2" s="1"/>
  <c r="E225" i="2" s="1"/>
  <c r="E226" i="2" s="1"/>
  <c r="E227" i="2"/>
  <c r="E228" i="2" s="1"/>
  <c r="E229" i="2" s="1"/>
  <c r="E230" i="2" s="1"/>
  <c r="E231" i="2"/>
  <c r="E232" i="2" s="1"/>
  <c r="E233" i="2"/>
  <c r="E234" i="2" s="1"/>
  <c r="E235" i="2"/>
  <c r="E241" i="2"/>
  <c r="E242" i="2" s="1"/>
  <c r="E243" i="2"/>
  <c r="E244" i="2" s="1"/>
  <c r="E251" i="2"/>
  <c r="E252" i="2" s="1"/>
  <c r="E253" i="2" s="1"/>
  <c r="E261" i="2"/>
  <c r="E262" i="2" s="1"/>
  <c r="E263" i="2" s="1"/>
  <c r="E266" i="2"/>
  <c r="E267" i="2" s="1"/>
  <c r="E268" i="2"/>
  <c r="E269" i="2" s="1"/>
  <c r="E270" i="2" s="1"/>
  <c r="E271" i="2" s="1"/>
  <c r="E272" i="2" s="1"/>
  <c r="E273" i="2"/>
  <c r="E277" i="2"/>
  <c r="E278" i="2" s="1"/>
  <c r="E279" i="2" s="1"/>
  <c r="E280" i="2" s="1"/>
  <c r="E282" i="2"/>
  <c r="E283" i="2" s="1"/>
  <c r="E284" i="2" s="1"/>
  <c r="E285" i="2" s="1"/>
  <c r="E286" i="2"/>
  <c r="E287" i="2" s="1"/>
  <c r="E288" i="2" s="1"/>
  <c r="E289" i="2"/>
  <c r="E290" i="2" s="1"/>
  <c r="E291" i="2" s="1"/>
  <c r="E292" i="2"/>
  <c r="E293" i="2" s="1"/>
  <c r="E294" i="2"/>
  <c r="E305" i="2"/>
  <c r="E324" i="2"/>
  <c r="E325" i="2" s="1"/>
  <c r="E326" i="2"/>
  <c r="E327" i="2" s="1"/>
  <c r="E328" i="2" s="1"/>
  <c r="E329" i="2" s="1"/>
  <c r="E333" i="2"/>
  <c r="E334" i="2" s="1"/>
  <c r="E335" i="2" s="1"/>
  <c r="E340" i="2"/>
  <c r="E341" i="2" s="1"/>
  <c r="E342" i="2"/>
  <c r="E343" i="2" s="1"/>
  <c r="E344" i="2" s="1"/>
  <c r="E345" i="2"/>
  <c r="E346" i="2" s="1"/>
  <c r="E349" i="2"/>
  <c r="E350" i="2" s="1"/>
  <c r="E351" i="2"/>
  <c r="E352" i="2" s="1"/>
  <c r="E356" i="2"/>
  <c r="E357" i="2" s="1"/>
  <c r="E358" i="2" s="1"/>
  <c r="E360" i="2"/>
  <c r="E361" i="2" s="1"/>
  <c r="E362" i="2" s="1"/>
  <c r="E363" i="2" s="1"/>
  <c r="E364" i="2" s="1"/>
  <c r="E367" i="2"/>
  <c r="E368" i="2" s="1"/>
  <c r="E371" i="2"/>
  <c r="E372" i="2" s="1"/>
  <c r="E373" i="2" s="1"/>
  <c r="E374" i="2"/>
  <c r="E375" i="2" s="1"/>
  <c r="E376" i="2"/>
  <c r="E377" i="2" s="1"/>
  <c r="E378" i="2"/>
  <c r="E379" i="2" s="1"/>
  <c r="E380" i="2" s="1"/>
  <c r="E381" i="2" s="1"/>
  <c r="E382" i="2"/>
  <c r="E383" i="2" s="1"/>
  <c r="E384" i="2"/>
  <c r="E385" i="2" s="1"/>
  <c r="E386" i="2"/>
  <c r="E387" i="2" s="1"/>
  <c r="E388" i="2" s="1"/>
  <c r="E389" i="2" s="1"/>
  <c r="E390" i="2" s="1"/>
  <c r="E391" i="2"/>
  <c r="E392" i="2" s="1"/>
  <c r="E393" i="2" s="1"/>
  <c r="E394" i="2" s="1"/>
  <c r="E395" i="2"/>
  <c r="E396" i="2" s="1"/>
  <c r="E397" i="2" s="1"/>
  <c r="E398" i="2" s="1"/>
  <c r="E399" i="2" s="1"/>
  <c r="E400" i="2"/>
  <c r="E401" i="2" s="1"/>
  <c r="E402" i="2" s="1"/>
  <c r="E404" i="2"/>
  <c r="E405" i="2" s="1"/>
  <c r="E406" i="2" s="1"/>
  <c r="E407" i="2"/>
  <c r="E408" i="2" s="1"/>
  <c r="E422" i="2"/>
  <c r="E423" i="2" s="1"/>
  <c r="E424" i="2" s="1"/>
  <c r="E425" i="2" s="1"/>
  <c r="E426" i="2" s="1"/>
  <c r="E427" i="2" s="1"/>
  <c r="E430" i="2"/>
  <c r="E431" i="2" s="1"/>
  <c r="E432" i="2"/>
  <c r="E433" i="2" s="1"/>
  <c r="E434" i="2"/>
  <c r="E435" i="2" s="1"/>
  <c r="E436" i="2" s="1"/>
  <c r="E437" i="2"/>
  <c r="E438" i="2" s="1"/>
  <c r="E439" i="2" s="1"/>
  <c r="E440" i="2" s="1"/>
  <c r="E443" i="2"/>
  <c r="E444" i="2" s="1"/>
  <c r="E445" i="2"/>
  <c r="E446" i="2" s="1"/>
  <c r="E447" i="2" s="1"/>
  <c r="E448" i="2"/>
  <c r="E449" i="2" s="1"/>
  <c r="D6" i="2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/>
  <c r="D24" i="2" s="1"/>
  <c r="D25" i="2" s="1"/>
  <c r="D31" i="2"/>
  <c r="D32" i="2" s="1"/>
  <c r="D33" i="2" s="1"/>
  <c r="D34" i="2" s="1"/>
  <c r="D35" i="2" s="1"/>
  <c r="D36" i="2" s="1"/>
  <c r="D37" i="2" s="1"/>
  <c r="D38" i="2" s="1"/>
  <c r="D39" i="2" s="1"/>
  <c r="D40" i="2" s="1"/>
  <c r="D41" i="2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5" i="2"/>
  <c r="D56" i="2" s="1"/>
  <c r="D57" i="2" s="1"/>
  <c r="D58" i="2" s="1"/>
  <c r="D59" i="2" s="1"/>
  <c r="D60" i="2" s="1"/>
  <c r="D61" i="2" s="1"/>
  <c r="D62" i="2" s="1"/>
  <c r="D75" i="2"/>
  <c r="D76" i="2" s="1"/>
  <c r="D77" i="2" s="1"/>
  <c r="D78" i="2" s="1"/>
  <c r="D79" i="2" s="1"/>
  <c r="D80" i="2" s="1"/>
  <c r="D81" i="2" s="1"/>
  <c r="D82" i="2" s="1"/>
  <c r="D109" i="2"/>
  <c r="D110" i="2" s="1"/>
  <c r="D132" i="2"/>
  <c r="D133" i="2" s="1"/>
  <c r="D155" i="2"/>
  <c r="D156" i="2" s="1"/>
  <c r="D169" i="2"/>
  <c r="D170" i="2" s="1"/>
  <c r="D181" i="2"/>
  <c r="D182" i="2" s="1"/>
  <c r="D188" i="2"/>
  <c r="D189" i="2" s="1"/>
  <c r="D192" i="2"/>
  <c r="D193" i="2" s="1"/>
  <c r="D194" i="2" s="1"/>
  <c r="D207" i="2"/>
  <c r="D208" i="2" s="1"/>
  <c r="D211" i="2"/>
  <c r="D212" i="2" s="1"/>
  <c r="D226" i="2"/>
  <c r="D227" i="2" s="1"/>
  <c r="D250" i="2"/>
  <c r="D251" i="2" s="1"/>
  <c r="D252" i="2" s="1"/>
  <c r="D265" i="2"/>
  <c r="D266" i="2" s="1"/>
  <c r="D304" i="2"/>
  <c r="D305" i="2" s="1"/>
  <c r="D323" i="2"/>
  <c r="D324" i="2" s="1"/>
  <c r="D325" i="2" s="1"/>
  <c r="D326" i="2" s="1"/>
  <c r="D327" i="2" s="1"/>
  <c r="D328" i="2" s="1"/>
  <c r="D329" i="2" s="1"/>
  <c r="D330" i="2" s="1"/>
  <c r="D331" i="2" s="1"/>
  <c r="D332" i="2" s="1"/>
  <c r="D344" i="2"/>
  <c r="D345" i="2" s="1"/>
  <c r="D346" i="2" s="1"/>
  <c r="D347" i="2" s="1"/>
  <c r="D359" i="2"/>
  <c r="D360" i="2" s="1"/>
  <c r="D370" i="2"/>
  <c r="D371" i="2" s="1"/>
  <c r="D372" i="2" s="1"/>
  <c r="D373" i="2" s="1"/>
  <c r="D374" i="2" s="1"/>
  <c r="D375" i="2" s="1"/>
  <c r="D376" i="2" s="1"/>
  <c r="D377" i="2" s="1"/>
  <c r="D378" i="2" s="1"/>
  <c r="D379" i="2" s="1"/>
  <c r="D380" i="2" s="1"/>
  <c r="D381" i="2"/>
  <c r="D382" i="2" s="1"/>
  <c r="D383" i="2" s="1"/>
  <c r="D384" i="2" s="1"/>
  <c r="D385" i="2" s="1"/>
  <c r="D386" i="2" s="1"/>
  <c r="D387" i="2" s="1"/>
  <c r="D388" i="2" s="1"/>
  <c r="D389" i="2" s="1"/>
  <c r="D399" i="2"/>
  <c r="D400" i="2" s="1"/>
  <c r="D401" i="2" s="1"/>
  <c r="D429" i="2"/>
  <c r="D430" i="2" s="1"/>
  <c r="D431" i="2" s="1"/>
  <c r="D432" i="2" s="1"/>
  <c r="D433" i="2" s="1"/>
  <c r="D434" i="2" s="1"/>
  <c r="D435" i="2" s="1"/>
  <c r="D436" i="2"/>
  <c r="D437" i="2" s="1"/>
  <c r="D438" i="2" s="1"/>
  <c r="D439" i="2" s="1"/>
  <c r="D440" i="2" s="1"/>
  <c r="C6" i="2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/>
  <c r="C23" i="2" s="1"/>
  <c r="C24" i="2" s="1"/>
  <c r="C25" i="2" s="1"/>
  <c r="C40" i="2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4" i="2"/>
  <c r="C55" i="2" s="1"/>
  <c r="C56" i="2" s="1"/>
  <c r="C57" i="2" s="1"/>
  <c r="C58" i="2" s="1"/>
  <c r="C59" i="2" s="1"/>
  <c r="C60" i="2" s="1"/>
  <c r="C61" i="2" s="1"/>
  <c r="C62" i="2" s="1"/>
  <c r="C74" i="2"/>
  <c r="C75" i="2" s="1"/>
  <c r="C76" i="2" s="1"/>
  <c r="C77" i="2" s="1"/>
  <c r="C78" i="2" s="1"/>
  <c r="C79" i="2" s="1"/>
  <c r="C80" i="2" s="1"/>
  <c r="C81" i="2" s="1"/>
  <c r="C82" i="2" s="1"/>
  <c r="C108" i="2"/>
  <c r="C109" i="2" s="1"/>
  <c r="C110" i="2" s="1"/>
  <c r="C131" i="2"/>
  <c r="C132" i="2" s="1"/>
  <c r="C133" i="2" s="1"/>
  <c r="C154" i="2"/>
  <c r="C155" i="2" s="1"/>
  <c r="C156" i="2" s="1"/>
  <c r="C157" i="2" s="1"/>
  <c r="C158" i="2" s="1"/>
  <c r="C168" i="2"/>
  <c r="C169" i="2" s="1"/>
  <c r="C170" i="2" s="1"/>
  <c r="C171" i="2" s="1"/>
  <c r="C180" i="2"/>
  <c r="C181" i="2" s="1"/>
  <c r="C182" i="2" s="1"/>
  <c r="C183" i="2" s="1"/>
  <c r="C191" i="2"/>
  <c r="C192" i="2" s="1"/>
  <c r="C193" i="2" s="1"/>
  <c r="C194" i="2" s="1"/>
  <c r="C210" i="2"/>
  <c r="C211" i="2" s="1"/>
  <c r="C212" i="2" s="1"/>
  <c r="C225" i="2"/>
  <c r="C226" i="2" s="1"/>
  <c r="C227" i="2" s="1"/>
  <c r="C228" i="2" s="1"/>
  <c r="C249" i="2"/>
  <c r="C250" i="2" s="1"/>
  <c r="C251" i="2" s="1"/>
  <c r="C252" i="2" s="1"/>
  <c r="C264" i="2"/>
  <c r="C265" i="2" s="1"/>
  <c r="C266" i="2" s="1"/>
  <c r="C303" i="2"/>
  <c r="C304" i="2" s="1"/>
  <c r="C305" i="2" s="1"/>
  <c r="C306" i="2" s="1"/>
  <c r="C322" i="2"/>
  <c r="C323" i="2" s="1"/>
  <c r="C324" i="2" s="1"/>
  <c r="C325" i="2" s="1"/>
  <c r="C326" i="2" s="1"/>
  <c r="C327" i="2" s="1"/>
  <c r="C328" i="2" s="1"/>
  <c r="C329" i="2" s="1"/>
  <c r="C330" i="2" s="1"/>
  <c r="C331" i="2" s="1"/>
  <c r="C332" i="2" s="1"/>
  <c r="C369" i="2"/>
  <c r="C370" i="2" s="1"/>
  <c r="C371" i="2" s="1"/>
  <c r="C372" i="2" s="1"/>
  <c r="C373" i="2" s="1"/>
  <c r="C374" i="2" s="1"/>
  <c r="C375" i="2" s="1"/>
  <c r="C376" i="2" s="1"/>
  <c r="C377" i="2" s="1"/>
  <c r="C378" i="2" s="1"/>
  <c r="C379" i="2" s="1"/>
  <c r="C380" i="2"/>
  <c r="C381" i="2" s="1"/>
  <c r="C382" i="2" s="1"/>
  <c r="C383" i="2" s="1"/>
  <c r="C384" i="2" s="1"/>
  <c r="C385" i="2" s="1"/>
  <c r="C386" i="2" s="1"/>
  <c r="C387" i="2" s="1"/>
  <c r="C388" i="2" s="1"/>
  <c r="C389" i="2" s="1"/>
  <c r="C398" i="2"/>
  <c r="C399" i="2" s="1"/>
  <c r="C400" i="2" s="1"/>
  <c r="C428" i="2"/>
  <c r="C429" i="2" s="1"/>
  <c r="C430" i="2" s="1"/>
  <c r="C431" i="2" s="1"/>
  <c r="C432" i="2" s="1"/>
  <c r="C433" i="2" s="1"/>
  <c r="C434" i="2" s="1"/>
  <c r="C435" i="2" s="1"/>
  <c r="C436" i="2" s="1"/>
  <c r="C437" i="2" s="1"/>
  <c r="C438" i="2" s="1"/>
  <c r="C439" i="2" s="1"/>
  <c r="C440" i="2" s="1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H6" i="6" l="1"/>
  <c r="G6" i="6"/>
  <c r="E47" i="6"/>
  <c r="H3" i="6"/>
  <c r="G3" i="6"/>
  <c r="E44" i="6"/>
  <c r="H5" i="6"/>
  <c r="G5" i="6"/>
  <c r="E46" i="6"/>
  <c r="G56" i="6"/>
  <c r="H56" i="6"/>
  <c r="H12" i="6"/>
  <c r="G12" i="6"/>
  <c r="E53" i="6"/>
  <c r="H13" i="6"/>
  <c r="G13" i="6"/>
  <c r="E54" i="6"/>
  <c r="I15" i="6"/>
  <c r="J15" i="6"/>
  <c r="H14" i="6"/>
  <c r="G14" i="6"/>
  <c r="E55" i="6"/>
  <c r="I48" i="6"/>
  <c r="J48" i="6"/>
  <c r="H8" i="6"/>
  <c r="G8" i="6"/>
  <c r="E49" i="6"/>
  <c r="C63" i="2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D63" i="2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C253" i="2"/>
  <c r="C254" i="2" s="1"/>
  <c r="C255" i="2" s="1"/>
  <c r="C256" i="2" s="1"/>
  <c r="C257" i="2" s="1"/>
  <c r="C258" i="2" s="1"/>
  <c r="C259" i="2" s="1"/>
  <c r="C260" i="2" s="1"/>
  <c r="D253" i="2"/>
  <c r="D254" i="2" s="1"/>
  <c r="D255" i="2" s="1"/>
  <c r="D256" i="2" s="1"/>
  <c r="D257" i="2" s="1"/>
  <c r="D258" i="2" s="1"/>
  <c r="D259" i="2" s="1"/>
  <c r="D260" i="2" s="1"/>
  <c r="A84" i="5"/>
  <c r="H34" i="5"/>
  <c r="B35" i="5"/>
  <c r="B36" i="5" s="1"/>
  <c r="H36" i="5" s="1"/>
  <c r="A21" i="4"/>
  <c r="A23" i="4" s="1"/>
  <c r="A24" i="4" s="1"/>
  <c r="A25" i="4" s="1"/>
  <c r="B25" i="4"/>
  <c r="H24" i="4"/>
  <c r="L249" i="2"/>
  <c r="E11" i="6" s="1"/>
  <c r="L225" i="2"/>
  <c r="E10" i="6" s="1"/>
  <c r="E336" i="2"/>
  <c r="E337" i="2" s="1"/>
  <c r="E409" i="2"/>
  <c r="E410" i="2" s="1"/>
  <c r="E411" i="2" s="1"/>
  <c r="C441" i="2"/>
  <c r="C442" i="2" s="1"/>
  <c r="C443" i="2" s="1"/>
  <c r="C444" i="2" s="1"/>
  <c r="C445" i="2" s="1"/>
  <c r="C446" i="2" s="1"/>
  <c r="C447" i="2" s="1"/>
  <c r="C448" i="2" s="1"/>
  <c r="C449" i="2" s="1"/>
  <c r="D441" i="2"/>
  <c r="D442" i="2" s="1"/>
  <c r="D443" i="2" s="1"/>
  <c r="D444" i="2" s="1"/>
  <c r="D445" i="2" s="1"/>
  <c r="D446" i="2" s="1"/>
  <c r="D447" i="2" s="1"/>
  <c r="D448" i="2" s="1"/>
  <c r="D449" i="2" s="1"/>
  <c r="D83" i="2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C83" i="2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D195" i="2"/>
  <c r="E195" i="2"/>
  <c r="C195" i="2"/>
  <c r="D390" i="2"/>
  <c r="D391" i="2" s="1"/>
  <c r="D392" i="2" s="1"/>
  <c r="C390" i="2"/>
  <c r="C391" i="2" s="1"/>
  <c r="C392" i="2" s="1"/>
  <c r="E353" i="2"/>
  <c r="E354" i="2" s="1"/>
  <c r="E355" i="2" s="1"/>
  <c r="E347" i="2"/>
  <c r="E348" i="2" s="1"/>
  <c r="E257" i="2"/>
  <c r="E258" i="2" s="1"/>
  <c r="E259" i="2" s="1"/>
  <c r="E260" i="2" s="1"/>
  <c r="L22" i="2"/>
  <c r="E4" i="6" s="1"/>
  <c r="E69" i="2"/>
  <c r="E70" i="2" s="1"/>
  <c r="D52" i="2"/>
  <c r="D53" i="2" s="1"/>
  <c r="D54" i="2" s="1"/>
  <c r="E52" i="2"/>
  <c r="E53" i="2" s="1"/>
  <c r="E54" i="2" s="1"/>
  <c r="E55" i="2" s="1"/>
  <c r="C52" i="2"/>
  <c r="C53" i="2" s="1"/>
  <c r="C26" i="2"/>
  <c r="C27" i="2" s="1"/>
  <c r="D26" i="2"/>
  <c r="D27" i="2" s="1"/>
  <c r="B26" i="2"/>
  <c r="E295" i="2"/>
  <c r="E296" i="2" s="1"/>
  <c r="E297" i="2" s="1"/>
  <c r="E274" i="2"/>
  <c r="C267" i="2"/>
  <c r="C268" i="2" s="1"/>
  <c r="D267" i="2"/>
  <c r="D268" i="2" s="1"/>
  <c r="E264" i="2"/>
  <c r="E265" i="2" s="1"/>
  <c r="E236" i="2"/>
  <c r="E237" i="2" s="1"/>
  <c r="E238" i="2" s="1"/>
  <c r="E245" i="2"/>
  <c r="E246" i="2" s="1"/>
  <c r="D228" i="2"/>
  <c r="D229" i="2" s="1"/>
  <c r="D230" i="2" s="1"/>
  <c r="D231" i="2" s="1"/>
  <c r="C229" i="2"/>
  <c r="C230" i="2" s="1"/>
  <c r="C231" i="2" s="1"/>
  <c r="E428" i="2"/>
  <c r="E429" i="2" s="1"/>
  <c r="D402" i="2"/>
  <c r="D403" i="2" s="1"/>
  <c r="D404" i="2" s="1"/>
  <c r="E403" i="2"/>
  <c r="C401" i="2"/>
  <c r="E310" i="2"/>
  <c r="E311" i="2" s="1"/>
  <c r="D306" i="2"/>
  <c r="D307" i="2" s="1"/>
  <c r="D308" i="2" s="1"/>
  <c r="E306" i="2"/>
  <c r="E307" i="2" s="1"/>
  <c r="C307" i="2"/>
  <c r="E127" i="2"/>
  <c r="C111" i="2"/>
  <c r="D111" i="2"/>
  <c r="E190" i="2"/>
  <c r="E191" i="2" s="1"/>
  <c r="E192" i="2" s="1"/>
  <c r="E188" i="2"/>
  <c r="C184" i="2"/>
  <c r="D183" i="2"/>
  <c r="D184" i="2" s="1"/>
  <c r="D190" i="2"/>
  <c r="D191" i="2" s="1"/>
  <c r="E158" i="2"/>
  <c r="E159" i="2" s="1"/>
  <c r="D157" i="2"/>
  <c r="C159" i="2"/>
  <c r="C160" i="2" s="1"/>
  <c r="D171" i="2"/>
  <c r="D172" i="2" s="1"/>
  <c r="C172" i="2"/>
  <c r="E154" i="2"/>
  <c r="E155" i="2" s="1"/>
  <c r="C134" i="2"/>
  <c r="C135" i="2" s="1"/>
  <c r="C136" i="2" s="1"/>
  <c r="C137" i="2" s="1"/>
  <c r="D134" i="2"/>
  <c r="E210" i="2"/>
  <c r="E211" i="2" s="1"/>
  <c r="D209" i="2"/>
  <c r="D210" i="2" s="1"/>
  <c r="E214" i="2"/>
  <c r="C213" i="2"/>
  <c r="D213" i="2"/>
  <c r="D214" i="2" s="1"/>
  <c r="D215" i="2" s="1"/>
  <c r="D216" i="2" s="1"/>
  <c r="E369" i="2"/>
  <c r="E370" i="2" s="1"/>
  <c r="D361" i="2"/>
  <c r="E359" i="2"/>
  <c r="D348" i="2"/>
  <c r="D349" i="2" s="1"/>
  <c r="C333" i="2"/>
  <c r="D333" i="2"/>
  <c r="G53" i="6" l="1"/>
  <c r="H53" i="6"/>
  <c r="H49" i="6"/>
  <c r="G49" i="6"/>
  <c r="I8" i="6"/>
  <c r="J8" i="6"/>
  <c r="G46" i="6"/>
  <c r="H46" i="6"/>
  <c r="H10" i="6"/>
  <c r="G10" i="6"/>
  <c r="E51" i="6"/>
  <c r="H4" i="6"/>
  <c r="G4" i="6"/>
  <c r="E45" i="6"/>
  <c r="G11" i="6"/>
  <c r="E52" i="6"/>
  <c r="G55" i="6"/>
  <c r="H55" i="6"/>
  <c r="I5" i="6"/>
  <c r="J5" i="6"/>
  <c r="G44" i="6"/>
  <c r="H44" i="6"/>
  <c r="I14" i="6"/>
  <c r="J14" i="6"/>
  <c r="I3" i="6"/>
  <c r="J3" i="6"/>
  <c r="I13" i="6"/>
  <c r="J13" i="6"/>
  <c r="G47" i="6"/>
  <c r="H47" i="6"/>
  <c r="I12" i="6"/>
  <c r="J12" i="6"/>
  <c r="J56" i="6"/>
  <c r="I56" i="6"/>
  <c r="G54" i="6"/>
  <c r="H54" i="6"/>
  <c r="I6" i="6"/>
  <c r="J6" i="6"/>
  <c r="H11" i="6"/>
  <c r="I11" i="6" s="1"/>
  <c r="B59" i="6"/>
  <c r="E4" i="2"/>
  <c r="E5" i="2" s="1"/>
  <c r="E6" i="2" s="1"/>
  <c r="H35" i="5"/>
  <c r="A29" i="4"/>
  <c r="A30" i="4"/>
  <c r="A26" i="4"/>
  <c r="A27" i="4" s="1"/>
  <c r="A28" i="4" s="1"/>
  <c r="B26" i="4"/>
  <c r="H25" i="4"/>
  <c r="E239" i="2"/>
  <c r="E240" i="2" s="1"/>
  <c r="E215" i="2"/>
  <c r="E412" i="2"/>
  <c r="E413" i="2" s="1"/>
  <c r="E414" i="2" s="1"/>
  <c r="E415" i="2" s="1"/>
  <c r="E416" i="2" s="1"/>
  <c r="E417" i="2" s="1"/>
  <c r="E418" i="2" s="1"/>
  <c r="E419" i="2" s="1"/>
  <c r="E420" i="2" s="1"/>
  <c r="E421" i="2" s="1"/>
  <c r="D393" i="2"/>
  <c r="C393" i="2"/>
  <c r="E196" i="2"/>
  <c r="E197" i="2" s="1"/>
  <c r="E198" i="2" s="1"/>
  <c r="C196" i="2"/>
  <c r="C197" i="2" s="1"/>
  <c r="C198" i="2" s="1"/>
  <c r="D196" i="2"/>
  <c r="D197" i="2" s="1"/>
  <c r="D198" i="2" s="1"/>
  <c r="D199" i="2" s="1"/>
  <c r="D200" i="2" s="1"/>
  <c r="D201" i="2" s="1"/>
  <c r="D261" i="2"/>
  <c r="D262" i="2" s="1"/>
  <c r="C261" i="2"/>
  <c r="C262" i="2" s="1"/>
  <c r="C263" i="2" s="1"/>
  <c r="E298" i="2"/>
  <c r="E299" i="2" s="1"/>
  <c r="E300" i="2" s="1"/>
  <c r="E301" i="2" s="1"/>
  <c r="E302" i="2" s="1"/>
  <c r="E303" i="2" s="1"/>
  <c r="E304" i="2" s="1"/>
  <c r="D28" i="2"/>
  <c r="D29" i="2" s="1"/>
  <c r="D30" i="2" s="1"/>
  <c r="C28" i="2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B27" i="2"/>
  <c r="B28" i="2" s="1"/>
  <c r="H26" i="2"/>
  <c r="E275" i="2"/>
  <c r="E276" i="2" s="1"/>
  <c r="D269" i="2"/>
  <c r="C269" i="2"/>
  <c r="E247" i="2"/>
  <c r="C232" i="2"/>
  <c r="D232" i="2"/>
  <c r="D405" i="2"/>
  <c r="D406" i="2" s="1"/>
  <c r="D407" i="2" s="1"/>
  <c r="C402" i="2"/>
  <c r="C403" i="2" s="1"/>
  <c r="C404" i="2" s="1"/>
  <c r="D309" i="2"/>
  <c r="C308" i="2"/>
  <c r="E128" i="2"/>
  <c r="C112" i="2"/>
  <c r="C113" i="2" s="1"/>
  <c r="D112" i="2"/>
  <c r="D113" i="2" s="1"/>
  <c r="D185" i="2"/>
  <c r="D186" i="2" s="1"/>
  <c r="C185" i="2"/>
  <c r="C186" i="2" s="1"/>
  <c r="D158" i="2"/>
  <c r="D159" i="2" s="1"/>
  <c r="D160" i="2" s="1"/>
  <c r="D161" i="2" s="1"/>
  <c r="C161" i="2"/>
  <c r="C173" i="2"/>
  <c r="C174" i="2" s="1"/>
  <c r="D173" i="2"/>
  <c r="D174" i="2" s="1"/>
  <c r="C138" i="2"/>
  <c r="D135" i="2"/>
  <c r="D136" i="2" s="1"/>
  <c r="D137" i="2" s="1"/>
  <c r="C214" i="2"/>
  <c r="C215" i="2" s="1"/>
  <c r="C216" i="2" s="1"/>
  <c r="D217" i="2"/>
  <c r="D218" i="2" s="1"/>
  <c r="D219" i="2" s="1"/>
  <c r="D362" i="2"/>
  <c r="D350" i="2"/>
  <c r="D351" i="2" s="1"/>
  <c r="D334" i="2"/>
  <c r="C334" i="2"/>
  <c r="I4" i="6" l="1"/>
  <c r="J4" i="6"/>
  <c r="I44" i="6"/>
  <c r="J44" i="6"/>
  <c r="J46" i="6"/>
  <c r="I46" i="6"/>
  <c r="I54" i="6"/>
  <c r="J54" i="6"/>
  <c r="J55" i="6"/>
  <c r="I55" i="6"/>
  <c r="I49" i="6"/>
  <c r="J49" i="6"/>
  <c r="H51" i="6"/>
  <c r="G51" i="6"/>
  <c r="G52" i="6"/>
  <c r="H52" i="6"/>
  <c r="I53" i="6"/>
  <c r="J53" i="6"/>
  <c r="I10" i="6"/>
  <c r="J10" i="6"/>
  <c r="I47" i="6"/>
  <c r="J47" i="6"/>
  <c r="G45" i="6"/>
  <c r="H45" i="6"/>
  <c r="J11" i="6"/>
  <c r="D59" i="6"/>
  <c r="D60" i="6" s="1"/>
  <c r="D263" i="2"/>
  <c r="D264" i="2" s="1"/>
  <c r="B37" i="5"/>
  <c r="A31" i="4"/>
  <c r="H26" i="4"/>
  <c r="B27" i="4"/>
  <c r="D363" i="2"/>
  <c r="D364" i="2" s="1"/>
  <c r="E216" i="2"/>
  <c r="E217" i="2" s="1"/>
  <c r="E218" i="2" s="1"/>
  <c r="E219" i="2" s="1"/>
  <c r="C394" i="2"/>
  <c r="C395" i="2" s="1"/>
  <c r="C396" i="2" s="1"/>
  <c r="C397" i="2" s="1"/>
  <c r="D394" i="2"/>
  <c r="D395" i="2" s="1"/>
  <c r="D396" i="2" s="1"/>
  <c r="D397" i="2" s="1"/>
  <c r="D398" i="2" s="1"/>
  <c r="C199" i="2"/>
  <c r="C270" i="2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D270" i="2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C233" i="2"/>
  <c r="C234" i="2" s="1"/>
  <c r="D233" i="2"/>
  <c r="D234" i="2" s="1"/>
  <c r="H28" i="2"/>
  <c r="H27" i="2"/>
  <c r="B29" i="2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E248" i="2"/>
  <c r="E249" i="2" s="1"/>
  <c r="E250" i="2" s="1"/>
  <c r="D408" i="2"/>
  <c r="D409" i="2" s="1"/>
  <c r="D410" i="2" s="1"/>
  <c r="D411" i="2" s="1"/>
  <c r="C405" i="2"/>
  <c r="C406" i="2" s="1"/>
  <c r="C407" i="2" s="1"/>
  <c r="D310" i="2"/>
  <c r="D311" i="2" s="1"/>
  <c r="D312" i="2" s="1"/>
  <c r="C309" i="2"/>
  <c r="E207" i="2"/>
  <c r="E202" i="2"/>
  <c r="D114" i="2"/>
  <c r="D115" i="2" s="1"/>
  <c r="D116" i="2" s="1"/>
  <c r="D117" i="2" s="1"/>
  <c r="C114" i="2"/>
  <c r="C187" i="2"/>
  <c r="D187" i="2"/>
  <c r="D162" i="2"/>
  <c r="D163" i="2" s="1"/>
  <c r="C162" i="2"/>
  <c r="C163" i="2" s="1"/>
  <c r="D175" i="2"/>
  <c r="D176" i="2" s="1"/>
  <c r="C175" i="2"/>
  <c r="C176" i="2" s="1"/>
  <c r="C139" i="2"/>
  <c r="C140" i="2" s="1"/>
  <c r="C141" i="2" s="1"/>
  <c r="C142" i="2" s="1"/>
  <c r="D138" i="2"/>
  <c r="C217" i="2"/>
  <c r="D220" i="2"/>
  <c r="D352" i="2"/>
  <c r="D353" i="2" s="1"/>
  <c r="C335" i="2"/>
  <c r="C336" i="2" s="1"/>
  <c r="D335" i="2"/>
  <c r="D336" i="2" s="1"/>
  <c r="H5" i="2"/>
  <c r="J45" i="6" l="1"/>
  <c r="I45" i="6"/>
  <c r="I51" i="6"/>
  <c r="J51" i="6"/>
  <c r="J52" i="6"/>
  <c r="I52" i="6"/>
  <c r="C59" i="6"/>
  <c r="F38" i="6"/>
  <c r="H37" i="5"/>
  <c r="B38" i="5"/>
  <c r="B39" i="5" s="1"/>
  <c r="A32" i="4"/>
  <c r="A33" i="4" s="1"/>
  <c r="A35" i="4" s="1"/>
  <c r="B28" i="4"/>
  <c r="H27" i="4"/>
  <c r="D365" i="2"/>
  <c r="D366" i="2" s="1"/>
  <c r="D367" i="2" s="1"/>
  <c r="D368" i="2" s="1"/>
  <c r="D369" i="2" s="1"/>
  <c r="D412" i="2"/>
  <c r="D413" i="2" s="1"/>
  <c r="D414" i="2" s="1"/>
  <c r="D415" i="2" s="1"/>
  <c r="D416" i="2" s="1"/>
  <c r="D417" i="2" s="1"/>
  <c r="D418" i="2" s="1"/>
  <c r="D419" i="2" s="1"/>
  <c r="D420" i="2" s="1"/>
  <c r="D421" i="2" s="1"/>
  <c r="D422" i="2" s="1"/>
  <c r="D423" i="2" s="1"/>
  <c r="D424" i="2" s="1"/>
  <c r="D425" i="2" s="1"/>
  <c r="D426" i="2" s="1"/>
  <c r="D427" i="2" s="1"/>
  <c r="D428" i="2" s="1"/>
  <c r="C200" i="2"/>
  <c r="D337" i="2"/>
  <c r="C337" i="2"/>
  <c r="B52" i="2"/>
  <c r="H52" i="2" s="1"/>
  <c r="C4" i="2"/>
  <c r="D4" i="2"/>
  <c r="D5" i="2" s="1"/>
  <c r="D281" i="2"/>
  <c r="D282" i="2" s="1"/>
  <c r="C281" i="2"/>
  <c r="C282" i="2" s="1"/>
  <c r="C235" i="2"/>
  <c r="C236" i="2" s="1"/>
  <c r="D235" i="2"/>
  <c r="D236" i="2" s="1"/>
  <c r="C408" i="2"/>
  <c r="D313" i="2"/>
  <c r="D314" i="2" s="1"/>
  <c r="D315" i="2" s="1"/>
  <c r="D316" i="2" s="1"/>
  <c r="D317" i="2" s="1"/>
  <c r="C310" i="2"/>
  <c r="C311" i="2" s="1"/>
  <c r="C312" i="2" s="1"/>
  <c r="D118" i="2"/>
  <c r="D119" i="2" s="1"/>
  <c r="D120" i="2" s="1"/>
  <c r="C115" i="2"/>
  <c r="C116" i="2" s="1"/>
  <c r="C117" i="2" s="1"/>
  <c r="C188" i="2"/>
  <c r="C189" i="2" s="1"/>
  <c r="C190" i="2" s="1"/>
  <c r="D164" i="2"/>
  <c r="D165" i="2" s="1"/>
  <c r="D166" i="2" s="1"/>
  <c r="D167" i="2" s="1"/>
  <c r="D168" i="2" s="1"/>
  <c r="C164" i="2"/>
  <c r="C165" i="2" s="1"/>
  <c r="C166" i="2" s="1"/>
  <c r="C167" i="2" s="1"/>
  <c r="C177" i="2"/>
  <c r="D177" i="2"/>
  <c r="C143" i="2"/>
  <c r="C144" i="2" s="1"/>
  <c r="D139" i="2"/>
  <c r="D140" i="2" s="1"/>
  <c r="D141" i="2" s="1"/>
  <c r="D142" i="2" s="1"/>
  <c r="D221" i="2"/>
  <c r="D222" i="2" s="1"/>
  <c r="D223" i="2" s="1"/>
  <c r="C218" i="2"/>
  <c r="C219" i="2" s="1"/>
  <c r="D354" i="2"/>
  <c r="H22" i="2"/>
  <c r="I38" i="6" l="1"/>
  <c r="H39" i="5"/>
  <c r="B40" i="5"/>
  <c r="H38" i="5"/>
  <c r="A34" i="4"/>
  <c r="B29" i="4"/>
  <c r="H28" i="4"/>
  <c r="C409" i="2"/>
  <c r="C410" i="2" s="1"/>
  <c r="C411" i="2" s="1"/>
  <c r="C201" i="2"/>
  <c r="C202" i="2" s="1"/>
  <c r="C203" i="2" s="1"/>
  <c r="C204" i="2" s="1"/>
  <c r="C205" i="2" s="1"/>
  <c r="C206" i="2" s="1"/>
  <c r="C207" i="2" s="1"/>
  <c r="C208" i="2" s="1"/>
  <c r="C209" i="2" s="1"/>
  <c r="B53" i="2"/>
  <c r="B54" i="2" s="1"/>
  <c r="B55" i="2" s="1"/>
  <c r="B56" i="2" s="1"/>
  <c r="B57" i="2" s="1"/>
  <c r="B58" i="2" s="1"/>
  <c r="B59" i="2" s="1"/>
  <c r="B60" i="2" s="1"/>
  <c r="B61" i="2" s="1"/>
  <c r="B62" i="2" s="1"/>
  <c r="C283" i="2"/>
  <c r="D283" i="2"/>
  <c r="C237" i="2"/>
  <c r="D237" i="2"/>
  <c r="D318" i="2"/>
  <c r="D319" i="2" s="1"/>
  <c r="D320" i="2" s="1"/>
  <c r="D321" i="2" s="1"/>
  <c r="D322" i="2" s="1"/>
  <c r="C313" i="2"/>
  <c r="C314" i="2" s="1"/>
  <c r="C315" i="2" s="1"/>
  <c r="C316" i="2" s="1"/>
  <c r="C317" i="2" s="1"/>
  <c r="D121" i="2"/>
  <c r="D122" i="2" s="1"/>
  <c r="D178" i="2"/>
  <c r="D179" i="2" s="1"/>
  <c r="D180" i="2" s="1"/>
  <c r="C178" i="2"/>
  <c r="C179" i="2" s="1"/>
  <c r="C145" i="2"/>
  <c r="C146" i="2" s="1"/>
  <c r="D143" i="2"/>
  <c r="D144" i="2" s="1"/>
  <c r="D224" i="2"/>
  <c r="D225" i="2" s="1"/>
  <c r="C220" i="2"/>
  <c r="D355" i="2"/>
  <c r="D356" i="2" s="1"/>
  <c r="D357" i="2" s="1"/>
  <c r="D358" i="2" s="1"/>
  <c r="H40" i="2"/>
  <c r="B63" i="2" l="1"/>
  <c r="H63" i="2" s="1"/>
  <c r="B41" i="5"/>
  <c r="H40" i="5"/>
  <c r="A36" i="4"/>
  <c r="A38" i="4" s="1"/>
  <c r="A37" i="4"/>
  <c r="H29" i="4"/>
  <c r="B30" i="4"/>
  <c r="D238" i="2"/>
  <c r="D239" i="2" s="1"/>
  <c r="C238" i="2"/>
  <c r="C239" i="2" s="1"/>
  <c r="D338" i="2"/>
  <c r="D339" i="2" s="1"/>
  <c r="D340" i="2" s="1"/>
  <c r="D341" i="2" s="1"/>
  <c r="D342" i="2" s="1"/>
  <c r="D343" i="2" s="1"/>
  <c r="C338" i="2"/>
  <c r="C339" i="2" s="1"/>
  <c r="C340" i="2" s="1"/>
  <c r="C341" i="2" s="1"/>
  <c r="C342" i="2" s="1"/>
  <c r="C343" i="2" s="1"/>
  <c r="C344" i="2" s="1"/>
  <c r="C345" i="2" s="1"/>
  <c r="C346" i="2" s="1"/>
  <c r="C347" i="2" s="1"/>
  <c r="C348" i="2" s="1"/>
  <c r="C349" i="2" s="1"/>
  <c r="C350" i="2" s="1"/>
  <c r="C351" i="2" s="1"/>
  <c r="C352" i="2" s="1"/>
  <c r="C353" i="2" s="1"/>
  <c r="C412" i="2"/>
  <c r="C413" i="2" s="1"/>
  <c r="C414" i="2" s="1"/>
  <c r="C415" i="2" s="1"/>
  <c r="C416" i="2" s="1"/>
  <c r="C417" i="2" s="1"/>
  <c r="C418" i="2" s="1"/>
  <c r="C419" i="2" s="1"/>
  <c r="C420" i="2" s="1"/>
  <c r="C421" i="2" s="1"/>
  <c r="C422" i="2" s="1"/>
  <c r="C423" i="2" s="1"/>
  <c r="C424" i="2" s="1"/>
  <c r="C425" i="2" s="1"/>
  <c r="C426" i="2" s="1"/>
  <c r="C427" i="2" s="1"/>
  <c r="C284" i="2"/>
  <c r="D284" i="2"/>
  <c r="C318" i="2"/>
  <c r="C319" i="2" s="1"/>
  <c r="C320" i="2" s="1"/>
  <c r="C321" i="2" s="1"/>
  <c r="C118" i="2"/>
  <c r="C119" i="2" s="1"/>
  <c r="C120" i="2" s="1"/>
  <c r="C121" i="2" s="1"/>
  <c r="C122" i="2" s="1"/>
  <c r="D123" i="2"/>
  <c r="D124" i="2" s="1"/>
  <c r="C147" i="2"/>
  <c r="C148" i="2" s="1"/>
  <c r="D145" i="2"/>
  <c r="D146" i="2" s="1"/>
  <c r="C221" i="2"/>
  <c r="H54" i="2"/>
  <c r="B64" i="2" l="1"/>
  <c r="B65" i="2" s="1"/>
  <c r="B66" i="2" s="1"/>
  <c r="B67" i="2" s="1"/>
  <c r="B68" i="2" s="1"/>
  <c r="B69" i="2" s="1"/>
  <c r="H69" i="2" s="1"/>
  <c r="B42" i="5"/>
  <c r="B43" i="5" s="1"/>
  <c r="H41" i="5"/>
  <c r="A40" i="4"/>
  <c r="A39" i="4"/>
  <c r="B31" i="4"/>
  <c r="H30" i="4"/>
  <c r="C240" i="2"/>
  <c r="C241" i="2" s="1"/>
  <c r="C242" i="2" s="1"/>
  <c r="C243" i="2" s="1"/>
  <c r="C244" i="2" s="1"/>
  <c r="D240" i="2"/>
  <c r="D241" i="2" s="1"/>
  <c r="D242" i="2" s="1"/>
  <c r="D243" i="2" s="1"/>
  <c r="D244" i="2" s="1"/>
  <c r="D245" i="2" s="1"/>
  <c r="D246" i="2" s="1"/>
  <c r="D285" i="2"/>
  <c r="D286" i="2" s="1"/>
  <c r="D287" i="2" s="1"/>
  <c r="D288" i="2" s="1"/>
  <c r="D289" i="2" s="1"/>
  <c r="D290" i="2" s="1"/>
  <c r="D291" i="2" s="1"/>
  <c r="D292" i="2" s="1"/>
  <c r="C285" i="2"/>
  <c r="C286" i="2" s="1"/>
  <c r="C287" i="2" s="1"/>
  <c r="C288" i="2" s="1"/>
  <c r="C289" i="2" s="1"/>
  <c r="C290" i="2" s="1"/>
  <c r="C291" i="2" s="1"/>
  <c r="C292" i="2" s="1"/>
  <c r="D125" i="2"/>
  <c r="D126" i="2" s="1"/>
  <c r="C123" i="2"/>
  <c r="C124" i="2" s="1"/>
  <c r="C149" i="2"/>
  <c r="C150" i="2" s="1"/>
  <c r="C151" i="2" s="1"/>
  <c r="C152" i="2" s="1"/>
  <c r="C153" i="2" s="1"/>
  <c r="D147" i="2"/>
  <c r="D148" i="2" s="1"/>
  <c r="C222" i="2"/>
  <c r="C354" i="2"/>
  <c r="B70" i="2" l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44" i="5"/>
  <c r="H43" i="5"/>
  <c r="H42" i="5"/>
  <c r="A41" i="4"/>
  <c r="A42" i="4" s="1"/>
  <c r="H31" i="4"/>
  <c r="B32" i="4"/>
  <c r="C293" i="2"/>
  <c r="C294" i="2" s="1"/>
  <c r="C295" i="2" s="1"/>
  <c r="C296" i="2" s="1"/>
  <c r="C297" i="2" s="1"/>
  <c r="D293" i="2"/>
  <c r="D294" i="2" s="1"/>
  <c r="D247" i="2"/>
  <c r="C245" i="2"/>
  <c r="C246" i="2" s="1"/>
  <c r="C247" i="2" s="1"/>
  <c r="D127" i="2"/>
  <c r="C125" i="2"/>
  <c r="C126" i="2" s="1"/>
  <c r="D149" i="2"/>
  <c r="D150" i="2" s="1"/>
  <c r="D151" i="2" s="1"/>
  <c r="D152" i="2" s="1"/>
  <c r="C223" i="2"/>
  <c r="C355" i="2"/>
  <c r="C356" i="2" s="1"/>
  <c r="C357" i="2" s="1"/>
  <c r="C358" i="2" s="1"/>
  <c r="C359" i="2" s="1"/>
  <c r="C360" i="2" s="1"/>
  <c r="C361" i="2" s="1"/>
  <c r="H74" i="2" l="1"/>
  <c r="H44" i="5"/>
  <c r="B45" i="5"/>
  <c r="A43" i="4"/>
  <c r="A44" i="4" s="1"/>
  <c r="A45" i="4"/>
  <c r="B33" i="4"/>
  <c r="H32" i="4"/>
  <c r="B83" i="2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C298" i="2"/>
  <c r="C299" i="2" s="1"/>
  <c r="C300" i="2" s="1"/>
  <c r="C301" i="2" s="1"/>
  <c r="C302" i="2" s="1"/>
  <c r="D295" i="2"/>
  <c r="D296" i="2" s="1"/>
  <c r="D297" i="2" s="1"/>
  <c r="C248" i="2"/>
  <c r="D248" i="2"/>
  <c r="D249" i="2" s="1"/>
  <c r="D128" i="2"/>
  <c r="D129" i="2" s="1"/>
  <c r="D130" i="2" s="1"/>
  <c r="D131" i="2" s="1"/>
  <c r="C127" i="2"/>
  <c r="D153" i="2"/>
  <c r="D154" i="2" s="1"/>
  <c r="C224" i="2"/>
  <c r="C362" i="2"/>
  <c r="B46" i="5" l="1"/>
  <c r="B47" i="5" s="1"/>
  <c r="H47" i="5" s="1"/>
  <c r="H45" i="5"/>
  <c r="A47" i="4"/>
  <c r="A46" i="4"/>
  <c r="A48" i="4" s="1"/>
  <c r="B34" i="4"/>
  <c r="H33" i="4"/>
  <c r="C363" i="2"/>
  <c r="C364" i="2" s="1"/>
  <c r="B109" i="2"/>
  <c r="B110" i="2" s="1"/>
  <c r="B111" i="2" s="1"/>
  <c r="H108" i="2"/>
  <c r="D298" i="2"/>
  <c r="D299" i="2" s="1"/>
  <c r="D300" i="2" s="1"/>
  <c r="D301" i="2" s="1"/>
  <c r="D302" i="2" s="1"/>
  <c r="D303" i="2" s="1"/>
  <c r="C128" i="2"/>
  <c r="C129" i="2" s="1"/>
  <c r="C130" i="2" s="1"/>
  <c r="B48" i="5" l="1"/>
  <c r="H46" i="5"/>
  <c r="A52" i="4"/>
  <c r="A49" i="4"/>
  <c r="A51" i="4"/>
  <c r="A50" i="4"/>
  <c r="A53" i="4"/>
  <c r="B35" i="4"/>
  <c r="H34" i="4"/>
  <c r="C365" i="2"/>
  <c r="C366" i="2" s="1"/>
  <c r="C367" i="2" s="1"/>
  <c r="C368" i="2" s="1"/>
  <c r="B112" i="2"/>
  <c r="H111" i="2"/>
  <c r="B49" i="5" l="1"/>
  <c r="H48" i="5"/>
  <c r="A54" i="4"/>
  <c r="A55" i="4" s="1"/>
  <c r="A56" i="4" s="1"/>
  <c r="A57" i="4" s="1"/>
  <c r="H35" i="4"/>
  <c r="B36" i="4"/>
  <c r="H112" i="2"/>
  <c r="B113" i="2"/>
  <c r="B114" i="2" s="1"/>
  <c r="H49" i="5" l="1"/>
  <c r="B50" i="5"/>
  <c r="A58" i="4"/>
  <c r="A61" i="4" s="1"/>
  <c r="B37" i="4"/>
  <c r="H36" i="4"/>
  <c r="H114" i="2"/>
  <c r="B115" i="2"/>
  <c r="B116" i="2" s="1"/>
  <c r="B51" i="5" l="1"/>
  <c r="H50" i="5"/>
  <c r="A59" i="4"/>
  <c r="A60" i="4" s="1"/>
  <c r="A64" i="4" s="1"/>
  <c r="H37" i="4"/>
  <c r="B38" i="4"/>
  <c r="B117" i="2"/>
  <c r="H116" i="2"/>
  <c r="B52" i="5" l="1"/>
  <c r="H51" i="5"/>
  <c r="A62" i="4"/>
  <c r="B39" i="4"/>
  <c r="H38" i="4"/>
  <c r="H117" i="2"/>
  <c r="B118" i="2"/>
  <c r="A63" i="4" l="1"/>
  <c r="A71" i="4" s="1"/>
  <c r="H52" i="5"/>
  <c r="B53" i="5"/>
  <c r="B54" i="5" s="1"/>
  <c r="H54" i="5" s="1"/>
  <c r="B40" i="4"/>
  <c r="H39" i="4"/>
  <c r="B119" i="2"/>
  <c r="B120" i="2" s="1"/>
  <c r="B121" i="2" s="1"/>
  <c r="H118" i="2"/>
  <c r="A65" i="4" l="1"/>
  <c r="A66" i="4" s="1"/>
  <c r="A73" i="4" s="1"/>
  <c r="H53" i="5"/>
  <c r="B55" i="5"/>
  <c r="B56" i="5" s="1"/>
  <c r="H56" i="5" s="1"/>
  <c r="B41" i="4"/>
  <c r="H40" i="4"/>
  <c r="H121" i="2"/>
  <c r="B122" i="2"/>
  <c r="B123" i="2" s="1"/>
  <c r="A72" i="4" l="1"/>
  <c r="A67" i="4"/>
  <c r="A69" i="4" s="1"/>
  <c r="B57" i="5"/>
  <c r="B58" i="5" s="1"/>
  <c r="H55" i="5"/>
  <c r="H41" i="4"/>
  <c r="B42" i="4"/>
  <c r="B124" i="2"/>
  <c r="B125" i="2" s="1"/>
  <c r="H123" i="2"/>
  <c r="A68" i="4" l="1"/>
  <c r="A70" i="4" s="1"/>
  <c r="A74" i="4" s="1"/>
  <c r="A75" i="4" s="1"/>
  <c r="A76" i="4" s="1"/>
  <c r="A79" i="4" s="1"/>
  <c r="B59" i="5"/>
  <c r="B60" i="5" s="1"/>
  <c r="H60" i="5" s="1"/>
  <c r="H58" i="5"/>
  <c r="H57" i="5"/>
  <c r="H42" i="4"/>
  <c r="B43" i="4"/>
  <c r="H125" i="2"/>
  <c r="B126" i="2"/>
  <c r="B127" i="2" s="1"/>
  <c r="A77" i="4" l="1"/>
  <c r="A78" i="4" s="1"/>
  <c r="B61" i="5"/>
  <c r="H59" i="5"/>
  <c r="H43" i="4"/>
  <c r="B44" i="4"/>
  <c r="H127" i="2"/>
  <c r="B128" i="2"/>
  <c r="A81" i="4" l="1"/>
  <c r="A80" i="4"/>
  <c r="A82" i="4" s="1"/>
  <c r="H61" i="5"/>
  <c r="B62" i="5"/>
  <c r="B63" i="5" s="1"/>
  <c r="B45" i="4"/>
  <c r="H44" i="4"/>
  <c r="H128" i="2"/>
  <c r="B129" i="2"/>
  <c r="A84" i="4" l="1"/>
  <c r="A83" i="4"/>
  <c r="A85" i="4" s="1"/>
  <c r="B64" i="5"/>
  <c r="H64" i="5" s="1"/>
  <c r="H63" i="5"/>
  <c r="H62" i="5"/>
  <c r="B46" i="4"/>
  <c r="H45" i="4"/>
  <c r="H129" i="2"/>
  <c r="B130" i="2"/>
  <c r="B131" i="2" s="1"/>
  <c r="H41" i="2"/>
  <c r="H6" i="2"/>
  <c r="H23" i="2"/>
  <c r="H75" i="2"/>
  <c r="H109" i="2"/>
  <c r="H55" i="2"/>
  <c r="A87" i="4" l="1"/>
  <c r="A86" i="4"/>
  <c r="A88" i="4" s="1"/>
  <c r="B65" i="5"/>
  <c r="B66" i="5" s="1"/>
  <c r="H46" i="4"/>
  <c r="B47" i="4"/>
  <c r="H131" i="2"/>
  <c r="B132" i="2"/>
  <c r="A89" i="4" l="1"/>
  <c r="A91" i="4" s="1"/>
  <c r="A90" i="4"/>
  <c r="H65" i="5"/>
  <c r="H66" i="5"/>
  <c r="B67" i="5"/>
  <c r="B48" i="4"/>
  <c r="H47" i="4"/>
  <c r="B133" i="2"/>
  <c r="B134" i="2" s="1"/>
  <c r="H132" i="2"/>
  <c r="A93" i="4" l="1"/>
  <c r="A92" i="4"/>
  <c r="A94" i="4" s="1"/>
  <c r="B68" i="5"/>
  <c r="H67" i="5"/>
  <c r="H48" i="4"/>
  <c r="B49" i="4"/>
  <c r="B135" i="2"/>
  <c r="H134" i="2"/>
  <c r="A96" i="4" l="1"/>
  <c r="A95" i="4"/>
  <c r="A97" i="4" s="1"/>
  <c r="H68" i="5"/>
  <c r="B69" i="5"/>
  <c r="B50" i="4"/>
  <c r="H49" i="4"/>
  <c r="B136" i="2"/>
  <c r="B137" i="2" s="1"/>
  <c r="B138" i="2" s="1"/>
  <c r="H135" i="2"/>
  <c r="A108" i="4" l="1"/>
  <c r="A98" i="4"/>
  <c r="A100" i="4" s="1"/>
  <c r="A99" i="4"/>
  <c r="B70" i="5"/>
  <c r="H69" i="5"/>
  <c r="B51" i="4"/>
  <c r="H50" i="4"/>
  <c r="H138" i="2"/>
  <c r="B139" i="2"/>
  <c r="A102" i="4" l="1"/>
  <c r="A101" i="4"/>
  <c r="A103" i="4" s="1"/>
  <c r="H70" i="5"/>
  <c r="B71" i="5"/>
  <c r="B52" i="4"/>
  <c r="H51" i="4"/>
  <c r="H139" i="2"/>
  <c r="B140" i="2"/>
  <c r="B141" i="2" s="1"/>
  <c r="A105" i="4" l="1"/>
  <c r="A104" i="4"/>
  <c r="A107" i="4" s="1"/>
  <c r="A106" i="4"/>
  <c r="B72" i="5"/>
  <c r="H71" i="5"/>
  <c r="B53" i="4"/>
  <c r="H52" i="4"/>
  <c r="B142" i="2"/>
  <c r="B143" i="2" s="1"/>
  <c r="H141" i="2"/>
  <c r="A109" i="4" l="1"/>
  <c r="A112" i="4" s="1"/>
  <c r="B73" i="5"/>
  <c r="H72" i="5"/>
  <c r="H53" i="4"/>
  <c r="B54" i="4"/>
  <c r="H143" i="2"/>
  <c r="B144" i="2"/>
  <c r="B145" i="2" s="1"/>
  <c r="A110" i="4" l="1"/>
  <c r="A113" i="4" s="1"/>
  <c r="H73" i="5"/>
  <c r="B74" i="5"/>
  <c r="B55" i="4"/>
  <c r="H54" i="4"/>
  <c r="B146" i="2"/>
  <c r="B147" i="2" s="1"/>
  <c r="H145" i="2"/>
  <c r="A111" i="4" l="1"/>
  <c r="A114" i="4" s="1"/>
  <c r="A118" i="4" s="1"/>
  <c r="B75" i="5"/>
  <c r="H74" i="5"/>
  <c r="B56" i="4"/>
  <c r="H55" i="4"/>
  <c r="B148" i="2"/>
  <c r="B149" i="2" s="1"/>
  <c r="H147" i="2"/>
  <c r="A115" i="4" l="1"/>
  <c r="A119" i="4" s="1"/>
  <c r="A116" i="4"/>
  <c r="B76" i="5"/>
  <c r="H75" i="5"/>
  <c r="H56" i="4"/>
  <c r="B57" i="4"/>
  <c r="B150" i="2"/>
  <c r="B151" i="2" s="1"/>
  <c r="H149" i="2"/>
  <c r="A117" i="4" l="1"/>
  <c r="A120" i="4" s="1"/>
  <c r="A121" i="4" s="1"/>
  <c r="A123" i="4" s="1"/>
  <c r="B77" i="5"/>
  <c r="H76" i="5"/>
  <c r="B58" i="4"/>
  <c r="H57" i="4"/>
  <c r="H151" i="2"/>
  <c r="B152" i="2"/>
  <c r="B153" i="2" s="1"/>
  <c r="A122" i="4" l="1"/>
  <c r="A124" i="4" s="1"/>
  <c r="A126" i="4" s="1"/>
  <c r="B78" i="5"/>
  <c r="H77" i="5"/>
  <c r="B59" i="4"/>
  <c r="H58" i="4"/>
  <c r="B154" i="2"/>
  <c r="H153" i="2"/>
  <c r="A125" i="4" l="1"/>
  <c r="A130" i="4" s="1"/>
  <c r="H78" i="5"/>
  <c r="B79" i="5"/>
  <c r="B60" i="4"/>
  <c r="H59" i="4"/>
  <c r="H154" i="2"/>
  <c r="B155" i="2"/>
  <c r="A127" i="4" l="1"/>
  <c r="A128" i="4"/>
  <c r="A129" i="4"/>
  <c r="B80" i="5"/>
  <c r="B81" i="5" s="1"/>
  <c r="H79" i="5"/>
  <c r="B61" i="4"/>
  <c r="H60" i="4"/>
  <c r="B156" i="2"/>
  <c r="B157" i="2" s="1"/>
  <c r="H155" i="2"/>
  <c r="A131" i="4" l="1"/>
  <c r="A132" i="4" s="1"/>
  <c r="A133" i="4" s="1"/>
  <c r="A134" i="4" s="1"/>
  <c r="A135" i="4" s="1"/>
  <c r="B82" i="5"/>
  <c r="H81" i="5"/>
  <c r="H80" i="5"/>
  <c r="H61" i="4"/>
  <c r="B62" i="4"/>
  <c r="B63" i="4" s="1"/>
  <c r="H63" i="4" s="1"/>
  <c r="B158" i="2"/>
  <c r="H157" i="2"/>
  <c r="A136" i="4" l="1"/>
  <c r="A137" i="4"/>
  <c r="B83" i="5"/>
  <c r="H82" i="5"/>
  <c r="B64" i="4"/>
  <c r="H62" i="4"/>
  <c r="B159" i="2"/>
  <c r="B160" i="2" s="1"/>
  <c r="B161" i="2" s="1"/>
  <c r="H158" i="2"/>
  <c r="A138" i="4" l="1"/>
  <c r="A141" i="4" s="1"/>
  <c r="H83" i="5"/>
  <c r="B65" i="4"/>
  <c r="H64" i="4"/>
  <c r="H161" i="2"/>
  <c r="B162" i="2"/>
  <c r="A139" i="4" l="1"/>
  <c r="A140" i="4" s="1"/>
  <c r="A142" i="4" s="1"/>
  <c r="A144" i="4" s="1"/>
  <c r="B84" i="5"/>
  <c r="B66" i="4"/>
  <c r="H65" i="4"/>
  <c r="H162" i="2"/>
  <c r="B163" i="2"/>
  <c r="B164" i="2" s="1"/>
  <c r="A143" i="4" l="1"/>
  <c r="A146" i="4" s="1"/>
  <c r="B85" i="5"/>
  <c r="H84" i="5"/>
  <c r="B67" i="4"/>
  <c r="H66" i="4"/>
  <c r="B165" i="2"/>
  <c r="B166" i="2" s="1"/>
  <c r="B167" i="2" s="1"/>
  <c r="B168" i="2" s="1"/>
  <c r="H164" i="2"/>
  <c r="A145" i="4" l="1"/>
  <c r="A147" i="4" s="1"/>
  <c r="A149" i="4" s="1"/>
  <c r="B86" i="5"/>
  <c r="H85" i="5"/>
  <c r="H67" i="4"/>
  <c r="B68" i="4"/>
  <c r="H168" i="2"/>
  <c r="B169" i="2"/>
  <c r="A148" i="4" l="1"/>
  <c r="A150" i="4" s="1"/>
  <c r="H86" i="5"/>
  <c r="B69" i="4"/>
  <c r="H68" i="4"/>
  <c r="H169" i="2"/>
  <c r="B170" i="2"/>
  <c r="B171" i="2" s="1"/>
  <c r="A151" i="4" l="1"/>
  <c r="A152" i="4" s="1"/>
  <c r="A154" i="4" s="1"/>
  <c r="H69" i="4"/>
  <c r="B70" i="4"/>
  <c r="B172" i="2"/>
  <c r="B173" i="2" s="1"/>
  <c r="H171" i="2"/>
  <c r="A153" i="4" l="1"/>
  <c r="A155" i="4" s="1"/>
  <c r="A156" i="4" s="1"/>
  <c r="A157" i="4" s="1"/>
  <c r="A158" i="4" s="1"/>
  <c r="B87" i="5"/>
  <c r="H70" i="4"/>
  <c r="B71" i="4"/>
  <c r="B174" i="2"/>
  <c r="B175" i="2" s="1"/>
  <c r="H173" i="2"/>
  <c r="A160" i="4" l="1"/>
  <c r="A159" i="4"/>
  <c r="B88" i="5"/>
  <c r="H87" i="5"/>
  <c r="B72" i="4"/>
  <c r="H71" i="4"/>
  <c r="B176" i="2"/>
  <c r="B177" i="2" s="1"/>
  <c r="H175" i="2"/>
  <c r="A161" i="4" l="1"/>
  <c r="A164" i="4" s="1"/>
  <c r="A163" i="4"/>
  <c r="H88" i="5"/>
  <c r="B89" i="5"/>
  <c r="H89" i="5" s="1"/>
  <c r="B73" i="4"/>
  <c r="H72" i="4"/>
  <c r="H177" i="2"/>
  <c r="B178" i="2"/>
  <c r="A162" i="4" l="1"/>
  <c r="A166" i="4" s="1"/>
  <c r="H73" i="4"/>
  <c r="B74" i="4"/>
  <c r="B179" i="2"/>
  <c r="B180" i="2" s="1"/>
  <c r="H178" i="2"/>
  <c r="A5" i="2"/>
  <c r="A165" i="4" l="1"/>
  <c r="A167" i="4" s="1"/>
  <c r="A168" i="4" s="1"/>
  <c r="A169" i="4" s="1"/>
  <c r="A170" i="4" s="1"/>
  <c r="A171" i="4" s="1"/>
  <c r="A173" i="4" s="1"/>
  <c r="H74" i="4"/>
  <c r="B75" i="4"/>
  <c r="B181" i="2"/>
  <c r="H180" i="2"/>
  <c r="H4" i="2"/>
  <c r="A6" i="2"/>
  <c r="A7" i="2" s="1"/>
  <c r="A8" i="2" s="1"/>
  <c r="A9" i="2" s="1"/>
  <c r="A172" i="4" l="1"/>
  <c r="A174" i="4" s="1"/>
  <c r="A176" i="4" s="1"/>
  <c r="H75" i="4"/>
  <c r="B76" i="4"/>
  <c r="H181" i="2"/>
  <c r="B182" i="2"/>
  <c r="B183" i="2" s="1"/>
  <c r="A10" i="2"/>
  <c r="A11" i="2" s="1"/>
  <c r="A175" i="4" l="1"/>
  <c r="A178" i="4" s="1"/>
  <c r="B77" i="4"/>
  <c r="H76" i="4"/>
  <c r="H183" i="2"/>
  <c r="B184" i="2"/>
  <c r="B185" i="2" s="1"/>
  <c r="A12" i="2"/>
  <c r="A15" i="2" s="1"/>
  <c r="A13" i="2"/>
  <c r="A177" i="4" l="1"/>
  <c r="A180" i="4" s="1"/>
  <c r="A179" i="4"/>
  <c r="B78" i="4"/>
  <c r="H77" i="4"/>
  <c r="H185" i="2"/>
  <c r="B186" i="2"/>
  <c r="B187" i="2" s="1"/>
  <c r="A14" i="2"/>
  <c r="A18" i="2" s="1"/>
  <c r="A16" i="2"/>
  <c r="A181" i="4" l="1"/>
  <c r="A182" i="4" s="1"/>
  <c r="A183" i="4" s="1"/>
  <c r="A184" i="4" s="1"/>
  <c r="A186" i="4" s="1"/>
  <c r="B79" i="4"/>
  <c r="H78" i="4"/>
  <c r="H187" i="2"/>
  <c r="B188" i="2"/>
  <c r="B189" i="2" s="1"/>
  <c r="B190" i="2" s="1"/>
  <c r="A17" i="2"/>
  <c r="A22" i="2" s="1"/>
  <c r="A19" i="2"/>
  <c r="A185" i="4" l="1"/>
  <c r="A187" i="4" s="1"/>
  <c r="B80" i="4"/>
  <c r="H79" i="4"/>
  <c r="B191" i="2"/>
  <c r="H190" i="2"/>
  <c r="A20" i="2"/>
  <c r="A21" i="2"/>
  <c r="A188" i="4" l="1"/>
  <c r="A189" i="4" s="1"/>
  <c r="A190" i="4" s="1"/>
  <c r="A191" i="4" s="1"/>
  <c r="B81" i="4"/>
  <c r="H80" i="4"/>
  <c r="B192" i="2"/>
  <c r="H191" i="2"/>
  <c r="A23" i="2"/>
  <c r="A24" i="2" s="1"/>
  <c r="A192" i="4" l="1"/>
  <c r="A193" i="4" s="1"/>
  <c r="A194" i="4" s="1"/>
  <c r="A195" i="4" s="1"/>
  <c r="A196" i="4" s="1"/>
  <c r="A208" i="4" s="1"/>
  <c r="H81" i="4"/>
  <c r="B82" i="4"/>
  <c r="B193" i="2"/>
  <c r="B194" i="2" s="1"/>
  <c r="B195" i="2" s="1"/>
  <c r="H192" i="2"/>
  <c r="A25" i="2"/>
  <c r="A26" i="2" s="1"/>
  <c r="A27" i="2" s="1"/>
  <c r="A28" i="2" s="1"/>
  <c r="A197" i="4" l="1"/>
  <c r="A198" i="4" s="1"/>
  <c r="A199" i="4" s="1"/>
  <c r="A203" i="4" s="1"/>
  <c r="B83" i="4"/>
  <c r="H82" i="4"/>
  <c r="H195" i="2"/>
  <c r="B196" i="2"/>
  <c r="A29" i="2"/>
  <c r="A30" i="2"/>
  <c r="A200" i="4" l="1"/>
  <c r="A201" i="4" s="1"/>
  <c r="A202" i="4" s="1"/>
  <c r="B84" i="4"/>
  <c r="H83" i="4"/>
  <c r="B197" i="2"/>
  <c r="H196" i="2"/>
  <c r="A31" i="2"/>
  <c r="A204" i="4" l="1"/>
  <c r="A205" i="4" s="1"/>
  <c r="H84" i="4"/>
  <c r="B85" i="4"/>
  <c r="H197" i="2"/>
  <c r="B198" i="2"/>
  <c r="A32" i="2"/>
  <c r="A34" i="2" s="1"/>
  <c r="A206" i="4" l="1"/>
  <c r="A207" i="4" s="1"/>
  <c r="A209" i="4" s="1"/>
  <c r="A212" i="4" s="1"/>
  <c r="B86" i="4"/>
  <c r="H85" i="4"/>
  <c r="B199" i="2"/>
  <c r="H198" i="2"/>
  <c r="A33" i="2"/>
  <c r="A35" i="2" s="1"/>
  <c r="A210" i="4" l="1"/>
  <c r="B87" i="4"/>
  <c r="H86" i="4"/>
  <c r="H199" i="2"/>
  <c r="B200" i="2"/>
  <c r="A36" i="2"/>
  <c r="A38" i="2" s="1"/>
  <c r="A37" i="2"/>
  <c r="A211" i="4" l="1"/>
  <c r="A213" i="4" s="1"/>
  <c r="B88" i="4"/>
  <c r="H87" i="4"/>
  <c r="H200" i="2"/>
  <c r="B201" i="2"/>
  <c r="A40" i="2"/>
  <c r="A39" i="2"/>
  <c r="A214" i="4" l="1"/>
  <c r="A217" i="4" s="1"/>
  <c r="B89" i="4"/>
  <c r="H88" i="4"/>
  <c r="H201" i="2"/>
  <c r="B202" i="2"/>
  <c r="A41" i="2"/>
  <c r="A215" i="4" l="1"/>
  <c r="A216" i="4" s="1"/>
  <c r="A226" i="4" s="1"/>
  <c r="A223" i="4"/>
  <c r="H89" i="4"/>
  <c r="B90" i="4"/>
  <c r="H202" i="2"/>
  <c r="B203" i="2"/>
  <c r="A42" i="2"/>
  <c r="A218" i="4" l="1"/>
  <c r="A219" i="4"/>
  <c r="A224" i="4"/>
  <c r="A227" i="4"/>
  <c r="A221" i="4"/>
  <c r="A220" i="4"/>
  <c r="A225" i="4"/>
  <c r="B91" i="4"/>
  <c r="H90" i="4"/>
  <c r="B204" i="2"/>
  <c r="H203" i="2"/>
  <c r="A43" i="2"/>
  <c r="A45" i="2"/>
  <c r="A222" i="4" l="1"/>
  <c r="A228" i="4" s="1"/>
  <c r="B92" i="4"/>
  <c r="H91" i="4"/>
  <c r="H204" i="2"/>
  <c r="B205" i="2"/>
  <c r="A44" i="2"/>
  <c r="A46" i="2"/>
  <c r="A229" i="4" l="1"/>
  <c r="A230" i="4"/>
  <c r="H92" i="4"/>
  <c r="B93" i="4"/>
  <c r="B206" i="2"/>
  <c r="H205" i="2"/>
  <c r="A48" i="2"/>
  <c r="A47" i="2"/>
  <c r="A52" i="2" s="1"/>
  <c r="A231" i="4" l="1"/>
  <c r="A232" i="4" s="1"/>
  <c r="A236" i="4" s="1"/>
  <c r="A234" i="4"/>
  <c r="B94" i="4"/>
  <c r="H93" i="4"/>
  <c r="B207" i="2"/>
  <c r="B208" i="2" s="1"/>
  <c r="B209" i="2" s="1"/>
  <c r="H206" i="2"/>
  <c r="A49" i="2"/>
  <c r="A51" i="2"/>
  <c r="A53" i="2"/>
  <c r="A50" i="2"/>
  <c r="A233" i="4" l="1"/>
  <c r="A237" i="4" s="1"/>
  <c r="A235" i="4"/>
  <c r="H94" i="4"/>
  <c r="B95" i="4"/>
  <c r="B210" i="2"/>
  <c r="H209" i="2"/>
  <c r="A54" i="2"/>
  <c r="A238" i="4" l="1"/>
  <c r="A240" i="4" s="1"/>
  <c r="A239" i="4"/>
  <c r="B96" i="4"/>
  <c r="H95" i="4"/>
  <c r="H210" i="2"/>
  <c r="B211" i="2"/>
  <c r="A55" i="2"/>
  <c r="A243" i="4" l="1"/>
  <c r="A241" i="4"/>
  <c r="A244" i="4" s="1"/>
  <c r="A242" i="4"/>
  <c r="A245" i="4" s="1"/>
  <c r="B97" i="4"/>
  <c r="H96" i="4"/>
  <c r="H211" i="2"/>
  <c r="B212" i="2"/>
  <c r="B213" i="2" s="1"/>
  <c r="A56" i="2"/>
  <c r="A247" i="4" l="1"/>
  <c r="A248" i="4"/>
  <c r="A246" i="4"/>
  <c r="H97" i="4"/>
  <c r="B98" i="4"/>
  <c r="B214" i="2"/>
  <c r="B215" i="2" s="1"/>
  <c r="H213" i="2"/>
  <c r="A58" i="2"/>
  <c r="A57" i="2"/>
  <c r="A252" i="4" l="1"/>
  <c r="A251" i="4"/>
  <c r="A249" i="4"/>
  <c r="A255" i="4" s="1"/>
  <c r="A250" i="4"/>
  <c r="B99" i="4"/>
  <c r="H98" i="4"/>
  <c r="H215" i="2"/>
  <c r="B216" i="2"/>
  <c r="H216" i="2" s="1"/>
  <c r="H214" i="2"/>
  <c r="A61" i="2"/>
  <c r="A59" i="2"/>
  <c r="A254" i="4" l="1"/>
  <c r="A253" i="4"/>
  <c r="A258" i="4" s="1"/>
  <c r="H99" i="4"/>
  <c r="B100" i="4"/>
  <c r="B217" i="2"/>
  <c r="H217" i="2" s="1"/>
  <c r="A60" i="2"/>
  <c r="A256" i="4" l="1"/>
  <c r="A260" i="4" s="1"/>
  <c r="A259" i="4"/>
  <c r="B101" i="4"/>
  <c r="H100" i="4"/>
  <c r="B218" i="2"/>
  <c r="B219" i="2" s="1"/>
  <c r="A64" i="2"/>
  <c r="A62" i="2"/>
  <c r="A63" i="2" s="1"/>
  <c r="A261" i="4" l="1"/>
  <c r="A266" i="4"/>
  <c r="A257" i="4"/>
  <c r="A263" i="4" s="1"/>
  <c r="B102" i="4"/>
  <c r="H101" i="4"/>
  <c r="H218" i="2"/>
  <c r="H219" i="2"/>
  <c r="B220" i="2"/>
  <c r="B221" i="2" s="1"/>
  <c r="A71" i="2"/>
  <c r="A65" i="2"/>
  <c r="A270" i="4" l="1"/>
  <c r="A269" i="4"/>
  <c r="A262" i="4"/>
  <c r="A272" i="4"/>
  <c r="A265" i="4"/>
  <c r="A267" i="4"/>
  <c r="A264" i="4"/>
  <c r="H102" i="4"/>
  <c r="B103" i="4"/>
  <c r="B222" i="2"/>
  <c r="H221" i="2"/>
  <c r="A72" i="2"/>
  <c r="A66" i="2"/>
  <c r="A67" i="2"/>
  <c r="A268" i="4" l="1"/>
  <c r="A274" i="4" s="1"/>
  <c r="A273" i="4"/>
  <c r="A271" i="4"/>
  <c r="A275" i="4" s="1"/>
  <c r="B104" i="4"/>
  <c r="H103" i="4"/>
  <c r="H222" i="2"/>
  <c r="B223" i="2"/>
  <c r="B224" i="2" s="1"/>
  <c r="A69" i="2"/>
  <c r="A68" i="2"/>
  <c r="A70" i="2" s="1"/>
  <c r="A73" i="2"/>
  <c r="A276" i="4" l="1"/>
  <c r="A277" i="4" s="1"/>
  <c r="A279" i="4" s="1"/>
  <c r="H104" i="4"/>
  <c r="B105" i="4"/>
  <c r="H224" i="2"/>
  <c r="B225" i="2"/>
  <c r="A74" i="2"/>
  <c r="A75" i="2" s="1"/>
  <c r="A76" i="2" s="1"/>
  <c r="A79" i="2" s="1"/>
  <c r="A278" i="4" l="1"/>
  <c r="A285" i="4" s="1"/>
  <c r="H105" i="4"/>
  <c r="B106" i="4"/>
  <c r="B226" i="2"/>
  <c r="H225" i="2"/>
  <c r="A77" i="2"/>
  <c r="A80" i="2" s="1"/>
  <c r="A286" i="4" l="1"/>
  <c r="A284" i="4"/>
  <c r="A281" i="4"/>
  <c r="A280" i="4"/>
  <c r="A287" i="4" s="1"/>
  <c r="H106" i="4"/>
  <c r="B107" i="4"/>
  <c r="H226" i="2"/>
  <c r="B227" i="2"/>
  <c r="B228" i="2" s="1"/>
  <c r="A78" i="2"/>
  <c r="A81" i="2" s="1"/>
  <c r="A283" i="4" l="1"/>
  <c r="A282" i="4"/>
  <c r="A288" i="4" s="1"/>
  <c r="A289" i="4" s="1"/>
  <c r="A292" i="4" s="1"/>
  <c r="B108" i="4"/>
  <c r="H107" i="4"/>
  <c r="A83" i="2"/>
  <c r="H228" i="2"/>
  <c r="B229" i="2"/>
  <c r="A82" i="2"/>
  <c r="A84" i="2" s="1"/>
  <c r="A290" i="4" l="1"/>
  <c r="A291" i="4" s="1"/>
  <c r="A293" i="4" s="1"/>
  <c r="A294" i="4"/>
  <c r="H108" i="4"/>
  <c r="B109" i="4"/>
  <c r="A86" i="2"/>
  <c r="H229" i="2"/>
  <c r="B230" i="2"/>
  <c r="A85" i="2"/>
  <c r="A87" i="2" s="1"/>
  <c r="A295" i="4" l="1"/>
  <c r="A297" i="4" s="1"/>
  <c r="A296" i="4"/>
  <c r="A298" i="4"/>
  <c r="H109" i="4"/>
  <c r="B110" i="4"/>
  <c r="B231" i="2"/>
  <c r="B232" i="2" s="1"/>
  <c r="H230" i="2"/>
  <c r="A88" i="2"/>
  <c r="A90" i="2" s="1"/>
  <c r="A89" i="2"/>
  <c r="A299" i="4" l="1"/>
  <c r="A301" i="4" s="1"/>
  <c r="A300" i="4"/>
  <c r="A302" i="4"/>
  <c r="A303" i="4"/>
  <c r="H110" i="4"/>
  <c r="B111" i="4"/>
  <c r="B233" i="2"/>
  <c r="B234" i="2" s="1"/>
  <c r="H232" i="2"/>
  <c r="A91" i="2"/>
  <c r="A93" i="2" s="1"/>
  <c r="A92" i="2"/>
  <c r="A304" i="4" l="1"/>
  <c r="A306" i="4"/>
  <c r="A305" i="4"/>
  <c r="H111" i="4"/>
  <c r="B112" i="4"/>
  <c r="H234" i="2"/>
  <c r="B235" i="2"/>
  <c r="B236" i="2" s="1"/>
  <c r="A95" i="2"/>
  <c r="A94" i="2"/>
  <c r="A307" i="4" l="1"/>
  <c r="A308" i="4"/>
  <c r="B113" i="4"/>
  <c r="H112" i="4"/>
  <c r="H236" i="2"/>
  <c r="B237" i="2"/>
  <c r="B238" i="2" s="1"/>
  <c r="B239" i="2" s="1"/>
  <c r="H239" i="2" s="1"/>
  <c r="A96" i="2"/>
  <c r="A97" i="2"/>
  <c r="A309" i="4" l="1"/>
  <c r="A316" i="4"/>
  <c r="B114" i="4"/>
  <c r="H113" i="4"/>
  <c r="H238" i="2"/>
  <c r="B240" i="2"/>
  <c r="H240" i="2" s="1"/>
  <c r="H237" i="2"/>
  <c r="A99" i="2"/>
  <c r="A108" i="2"/>
  <c r="A98" i="2"/>
  <c r="A310" i="4" l="1"/>
  <c r="A311" i="4"/>
  <c r="A312" i="4"/>
  <c r="H114" i="4"/>
  <c r="B115" i="4"/>
  <c r="B241" i="2"/>
  <c r="B242" i="2" s="1"/>
  <c r="H242" i="2" s="1"/>
  <c r="A100" i="2"/>
  <c r="A101" i="2"/>
  <c r="A313" i="4" l="1"/>
  <c r="B116" i="4"/>
  <c r="H115" i="4"/>
  <c r="B243" i="2"/>
  <c r="B244" i="2" s="1"/>
  <c r="B245" i="2" s="1"/>
  <c r="A103" i="2"/>
  <c r="A102" i="2"/>
  <c r="A314" i="4" l="1"/>
  <c r="B117" i="4"/>
  <c r="H116" i="4"/>
  <c r="H244" i="2"/>
  <c r="H245" i="2"/>
  <c r="B246" i="2"/>
  <c r="A105" i="2"/>
  <c r="A104" i="2"/>
  <c r="A106" i="2"/>
  <c r="A315" i="4" l="1"/>
  <c r="B118" i="4"/>
  <c r="H117" i="4"/>
  <c r="H246" i="2"/>
  <c r="B247" i="2"/>
  <c r="A107" i="2"/>
  <c r="A317" i="4" l="1"/>
  <c r="H118" i="4"/>
  <c r="B119" i="4"/>
  <c r="H247" i="2"/>
  <c r="B248" i="2"/>
  <c r="A109" i="2"/>
  <c r="A322" i="4" l="1"/>
  <c r="A321" i="4"/>
  <c r="A318" i="4"/>
  <c r="A319" i="4"/>
  <c r="B120" i="4"/>
  <c r="H119" i="4"/>
  <c r="B249" i="2"/>
  <c r="H248" i="2"/>
  <c r="A110" i="2"/>
  <c r="A112" i="2"/>
  <c r="A320" i="4" l="1"/>
  <c r="A325" i="4" s="1"/>
  <c r="A323" i="4"/>
  <c r="A324" i="4"/>
  <c r="H120" i="4"/>
  <c r="B121" i="4"/>
  <c r="B250" i="2"/>
  <c r="H249" i="2"/>
  <c r="A113" i="2"/>
  <c r="A111" i="2"/>
  <c r="A114" i="2" s="1"/>
  <c r="A326" i="4" l="1"/>
  <c r="A333" i="4" s="1"/>
  <c r="A330" i="4"/>
  <c r="A332" i="4"/>
  <c r="A331" i="4"/>
  <c r="A329" i="4"/>
  <c r="A327" i="4"/>
  <c r="B122" i="4"/>
  <c r="H121" i="4"/>
  <c r="H250" i="2"/>
  <c r="B251" i="2"/>
  <c r="B252" i="2" s="1"/>
  <c r="B253" i="2" s="1"/>
  <c r="H253" i="2" s="1"/>
  <c r="A115" i="2"/>
  <c r="A118" i="2"/>
  <c r="A116" i="2"/>
  <c r="A334" i="4" l="1"/>
  <c r="A328" i="4"/>
  <c r="H122" i="4"/>
  <c r="B123" i="4"/>
  <c r="H252" i="2"/>
  <c r="B254" i="2"/>
  <c r="A119" i="2"/>
  <c r="A117" i="2"/>
  <c r="A335" i="4" l="1"/>
  <c r="A336" i="4" s="1"/>
  <c r="A337" i="4" s="1"/>
  <c r="A338" i="4" s="1"/>
  <c r="A339" i="4" s="1"/>
  <c r="B124" i="4"/>
  <c r="H123" i="4"/>
  <c r="B255" i="2"/>
  <c r="H254" i="2"/>
  <c r="A120" i="2"/>
  <c r="A122" i="2" s="1"/>
  <c r="A340" i="4" l="1"/>
  <c r="A347" i="4" s="1"/>
  <c r="A346" i="4"/>
  <c r="H124" i="4"/>
  <c r="B125" i="4"/>
  <c r="B256" i="2"/>
  <c r="H255" i="2"/>
  <c r="A121" i="2"/>
  <c r="A124" i="2" s="1"/>
  <c r="A341" i="4" l="1"/>
  <c r="A348" i="4" s="1"/>
  <c r="H125" i="4"/>
  <c r="B126" i="4"/>
  <c r="H256" i="2"/>
  <c r="B257" i="2"/>
  <c r="A123" i="2"/>
  <c r="A125" i="2" s="1"/>
  <c r="A127" i="2" s="1"/>
  <c r="H241" i="2"/>
  <c r="H207" i="2"/>
  <c r="H146" i="2"/>
  <c r="H152" i="2"/>
  <c r="H31" i="2"/>
  <c r="H176" i="2"/>
  <c r="H220" i="2"/>
  <c r="H174" i="2"/>
  <c r="H156" i="2"/>
  <c r="H163" i="2"/>
  <c r="H170" i="2"/>
  <c r="H165" i="2"/>
  <c r="H7" i="2"/>
  <c r="H122" i="2"/>
  <c r="H144" i="2"/>
  <c r="H167" i="2"/>
  <c r="H159" i="2"/>
  <c r="H119" i="2"/>
  <c r="H130" i="2"/>
  <c r="H223" i="2"/>
  <c r="H76" i="2"/>
  <c r="H148" i="2"/>
  <c r="H150" i="2"/>
  <c r="H136" i="2"/>
  <c r="H140" i="2"/>
  <c r="H243" i="2"/>
  <c r="H166" i="2"/>
  <c r="H233" i="2"/>
  <c r="H193" i="2"/>
  <c r="H251" i="2"/>
  <c r="H160" i="2"/>
  <c r="H120" i="2"/>
  <c r="H42" i="2"/>
  <c r="H32" i="2"/>
  <c r="H172" i="2"/>
  <c r="H227" i="2"/>
  <c r="H208" i="2"/>
  <c r="H186" i="2"/>
  <c r="H133" i="2"/>
  <c r="H142" i="2"/>
  <c r="H231" i="2"/>
  <c r="H212" i="2"/>
  <c r="H110" i="2"/>
  <c r="H115" i="2"/>
  <c r="H179" i="2"/>
  <c r="H194" i="2"/>
  <c r="H124" i="2"/>
  <c r="H235" i="2"/>
  <c r="H56" i="2"/>
  <c r="H126" i="2"/>
  <c r="H24" i="2"/>
  <c r="H189" i="2"/>
  <c r="H113" i="2"/>
  <c r="H188" i="2"/>
  <c r="H137" i="2"/>
  <c r="H184" i="2"/>
  <c r="H182" i="2"/>
  <c r="H34" i="2"/>
  <c r="H15" i="2"/>
  <c r="H64" i="2"/>
  <c r="H106" i="2"/>
  <c r="H8" i="2"/>
  <c r="H104" i="2"/>
  <c r="H36" i="2"/>
  <c r="H49" i="2"/>
  <c r="H10" i="2"/>
  <c r="H97" i="2"/>
  <c r="H93" i="2"/>
  <c r="H80" i="2"/>
  <c r="H35" i="2"/>
  <c r="H47" i="2"/>
  <c r="H38" i="2"/>
  <c r="H99" i="2"/>
  <c r="H81" i="2"/>
  <c r="H25" i="2"/>
  <c r="H88" i="2"/>
  <c r="H48" i="2"/>
  <c r="H30" i="2"/>
  <c r="H67" i="2"/>
  <c r="H72" i="2"/>
  <c r="H92" i="2"/>
  <c r="H13" i="2"/>
  <c r="H39" i="2"/>
  <c r="H53" i="2"/>
  <c r="H95" i="2"/>
  <c r="H77" i="2"/>
  <c r="H19" i="2"/>
  <c r="H73" i="2"/>
  <c r="H103" i="2"/>
  <c r="H101" i="2"/>
  <c r="H18" i="2"/>
  <c r="H102" i="2"/>
  <c r="H78" i="2"/>
  <c r="H17" i="2"/>
  <c r="H44" i="2"/>
  <c r="H37" i="2"/>
  <c r="H45" i="2"/>
  <c r="H86" i="2"/>
  <c r="H11" i="2"/>
  <c r="H16" i="2"/>
  <c r="H107" i="2"/>
  <c r="H105" i="2"/>
  <c r="H60" i="2"/>
  <c r="H51" i="2"/>
  <c r="H71" i="2"/>
  <c r="H62" i="2"/>
  <c r="H84" i="2"/>
  <c r="H58" i="2"/>
  <c r="H46" i="2"/>
  <c r="H98" i="2"/>
  <c r="H57" i="2"/>
  <c r="H12" i="2"/>
  <c r="H65" i="2"/>
  <c r="H9" i="2"/>
  <c r="H70" i="2"/>
  <c r="H89" i="2"/>
  <c r="H59" i="2"/>
  <c r="H68" i="2"/>
  <c r="H83" i="2"/>
  <c r="H82" i="2"/>
  <c r="H79" i="2"/>
  <c r="H100" i="2"/>
  <c r="H29" i="2"/>
  <c r="H61" i="2"/>
  <c r="H94" i="2"/>
  <c r="H87" i="2"/>
  <c r="H91" i="2"/>
  <c r="H66" i="2"/>
  <c r="H90" i="2"/>
  <c r="H96" i="2"/>
  <c r="H43" i="2"/>
  <c r="H50" i="2"/>
  <c r="H20" i="2"/>
  <c r="H33" i="2"/>
  <c r="H85" i="2"/>
  <c r="H21" i="2"/>
  <c r="H14" i="2"/>
  <c r="A342" i="4" l="1"/>
  <c r="A349" i="4" s="1"/>
  <c r="H126" i="4"/>
  <c r="B127" i="4"/>
  <c r="H257" i="2"/>
  <c r="B258" i="2"/>
  <c r="A128" i="2"/>
  <c r="A126" i="2"/>
  <c r="A129" i="2" s="1"/>
  <c r="A350" i="4" l="1"/>
  <c r="A343" i="4"/>
  <c r="A344" i="4" s="1"/>
  <c r="H127" i="4"/>
  <c r="B128" i="4"/>
  <c r="B129" i="4" s="1"/>
  <c r="H129" i="4" s="1"/>
  <c r="B259" i="2"/>
  <c r="H258" i="2"/>
  <c r="A130" i="2"/>
  <c r="A131" i="2" s="1"/>
  <c r="A132" i="2" s="1"/>
  <c r="A345" i="4" l="1"/>
  <c r="A352" i="4" s="1"/>
  <c r="B130" i="4"/>
  <c r="H128" i="4"/>
  <c r="H259" i="2"/>
  <c r="B260" i="2"/>
  <c r="A135" i="2"/>
  <c r="A133" i="2"/>
  <c r="A354" i="4" l="1"/>
  <c r="A351" i="4"/>
  <c r="A353" i="4"/>
  <c r="B131" i="4"/>
  <c r="H130" i="4"/>
  <c r="B261" i="2"/>
  <c r="H260" i="2"/>
  <c r="A136" i="2"/>
  <c r="A134" i="2"/>
  <c r="A355" i="4" l="1"/>
  <c r="A356" i="4" s="1"/>
  <c r="A357" i="4" s="1"/>
  <c r="B132" i="4"/>
  <c r="H131" i="4"/>
  <c r="B262" i="2"/>
  <c r="B263" i="2" s="1"/>
  <c r="H263" i="2" s="1"/>
  <c r="H261" i="2"/>
  <c r="A137" i="2"/>
  <c r="A138" i="2" s="1"/>
  <c r="A359" i="4" l="1"/>
  <c r="A358" i="4"/>
  <c r="B133" i="4"/>
  <c r="H132" i="4"/>
  <c r="H262" i="2"/>
  <c r="B264" i="2"/>
  <c r="A140" i="2"/>
  <c r="A139" i="2"/>
  <c r="A363" i="4" l="1"/>
  <c r="A362" i="4"/>
  <c r="A361" i="4"/>
  <c r="A360" i="4"/>
  <c r="B134" i="4"/>
  <c r="H133" i="4"/>
  <c r="B265" i="2"/>
  <c r="H264" i="2"/>
  <c r="A141" i="2"/>
  <c r="A142" i="2"/>
  <c r="A365" i="4" l="1"/>
  <c r="A364" i="4"/>
  <c r="A366" i="4" s="1"/>
  <c r="B135" i="4"/>
  <c r="H134" i="4"/>
  <c r="B266" i="2"/>
  <c r="H265" i="2"/>
  <c r="A144" i="2"/>
  <c r="A143" i="2"/>
  <c r="A368" i="4" l="1"/>
  <c r="A369" i="4"/>
  <c r="A367" i="4"/>
  <c r="B136" i="4"/>
  <c r="H135" i="4"/>
  <c r="B267" i="2"/>
  <c r="H266" i="2"/>
  <c r="A146" i="2"/>
  <c r="A145" i="2"/>
  <c r="A377" i="4" l="1"/>
  <c r="A372" i="4"/>
  <c r="A370" i="4"/>
  <c r="A371" i="4" s="1"/>
  <c r="B137" i="4"/>
  <c r="H136" i="4"/>
  <c r="H267" i="2"/>
  <c r="B268" i="2"/>
  <c r="A148" i="2"/>
  <c r="A147" i="2"/>
  <c r="A373" i="4" l="1"/>
  <c r="A380" i="4" s="1"/>
  <c r="H137" i="4"/>
  <c r="B138" i="4"/>
  <c r="H268" i="2"/>
  <c r="B269" i="2"/>
  <c r="A149" i="2"/>
  <c r="A150" i="2"/>
  <c r="A374" i="4" l="1"/>
  <c r="A381" i="4" s="1"/>
  <c r="H138" i="4"/>
  <c r="B139" i="4"/>
  <c r="H269" i="2"/>
  <c r="B270" i="2"/>
  <c r="A151" i="2"/>
  <c r="A152" i="2"/>
  <c r="A375" i="4" l="1"/>
  <c r="A376" i="4" s="1"/>
  <c r="A378" i="4" s="1"/>
  <c r="A379" i="4" s="1"/>
  <c r="B140" i="4"/>
  <c r="H139" i="4"/>
  <c r="B271" i="2"/>
  <c r="H270" i="2"/>
  <c r="A154" i="2"/>
  <c r="A153" i="2"/>
  <c r="A382" i="4" l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H140" i="4"/>
  <c r="B141" i="4"/>
  <c r="H271" i="2"/>
  <c r="B272" i="2"/>
  <c r="A155" i="2"/>
  <c r="A404" i="4" l="1"/>
  <c r="A403" i="4"/>
  <c r="B142" i="4"/>
  <c r="H141" i="4"/>
  <c r="H272" i="2"/>
  <c r="B273" i="2"/>
  <c r="A158" i="2"/>
  <c r="A156" i="2"/>
  <c r="A405" i="4" l="1"/>
  <c r="A408" i="4" s="1"/>
  <c r="H142" i="4"/>
  <c r="B143" i="4"/>
  <c r="B274" i="2"/>
  <c r="H273" i="2"/>
  <c r="A157" i="2"/>
  <c r="A159" i="2"/>
  <c r="A406" i="4" l="1"/>
  <c r="A407" i="4" s="1"/>
  <c r="A409" i="4" s="1"/>
  <c r="A410" i="4" s="1"/>
  <c r="A411" i="4" s="1"/>
  <c r="B144" i="4"/>
  <c r="H143" i="4"/>
  <c r="B275" i="2"/>
  <c r="H274" i="2"/>
  <c r="A160" i="2"/>
  <c r="A162" i="2"/>
  <c r="A414" i="4" l="1"/>
  <c r="A412" i="4"/>
  <c r="A415" i="4"/>
  <c r="B145" i="4"/>
  <c r="H144" i="4"/>
  <c r="H275" i="2"/>
  <c r="B276" i="2"/>
  <c r="A161" i="2"/>
  <c r="A164" i="2" s="1"/>
  <c r="A163" i="2"/>
  <c r="A417" i="4" l="1"/>
  <c r="A416" i="4"/>
  <c r="A413" i="4"/>
  <c r="A418" i="4" s="1"/>
  <c r="B146" i="4"/>
  <c r="H145" i="4"/>
  <c r="B277" i="2"/>
  <c r="H276" i="2"/>
  <c r="A165" i="2"/>
  <c r="A166" i="2" s="1"/>
  <c r="A167" i="2" s="1"/>
  <c r="A168" i="2" s="1"/>
  <c r="A169" i="2" s="1"/>
  <c r="A170" i="2" s="1"/>
  <c r="A171" i="2" s="1"/>
  <c r="A173" i="2" s="1"/>
  <c r="A422" i="4" l="1"/>
  <c r="A420" i="4"/>
  <c r="A421" i="4"/>
  <c r="A419" i="4"/>
  <c r="A423" i="4" s="1"/>
  <c r="B147" i="4"/>
  <c r="H146" i="4"/>
  <c r="B278" i="2"/>
  <c r="H277" i="2"/>
  <c r="A172" i="2"/>
  <c r="A175" i="2" s="1"/>
  <c r="A437" i="4" l="1"/>
  <c r="A424" i="4"/>
  <c r="A428" i="4" s="1"/>
  <c r="A433" i="4"/>
  <c r="A427" i="4"/>
  <c r="A426" i="4"/>
  <c r="A425" i="4"/>
  <c r="A436" i="4"/>
  <c r="H147" i="4"/>
  <c r="B148" i="4"/>
  <c r="B279" i="2"/>
  <c r="H278" i="2"/>
  <c r="A174" i="2"/>
  <c r="A176" i="2" s="1"/>
  <c r="A179" i="2" s="1"/>
  <c r="A435" i="4" l="1"/>
  <c r="A434" i="4"/>
  <c r="A429" i="4"/>
  <c r="A432" i="4" s="1"/>
  <c r="A430" i="4"/>
  <c r="A431" i="4"/>
  <c r="B149" i="4"/>
  <c r="H148" i="4"/>
  <c r="H279" i="2"/>
  <c r="B280" i="2"/>
  <c r="A177" i="2"/>
  <c r="A178" i="2"/>
  <c r="A438" i="4" l="1"/>
  <c r="A445" i="4"/>
  <c r="H149" i="4"/>
  <c r="B150" i="4"/>
  <c r="H280" i="2"/>
  <c r="B281" i="2"/>
  <c r="A180" i="2"/>
  <c r="A181" i="2" s="1"/>
  <c r="A182" i="2" s="1"/>
  <c r="A184" i="2" s="1"/>
  <c r="A440" i="4" l="1"/>
  <c r="A439" i="4"/>
  <c r="A441" i="4" s="1"/>
  <c r="B151" i="4"/>
  <c r="H150" i="4"/>
  <c r="B282" i="2"/>
  <c r="H281" i="2"/>
  <c r="A183" i="2"/>
  <c r="A185" i="2" s="1"/>
  <c r="A442" i="4" l="1"/>
  <c r="A443" i="4" s="1"/>
  <c r="A444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B152" i="4"/>
  <c r="H151" i="4"/>
  <c r="H282" i="2"/>
  <c r="B283" i="2"/>
  <c r="A186" i="2"/>
  <c r="A187" i="2"/>
  <c r="A456" i="4" l="1"/>
  <c r="A457" i="4" s="1"/>
  <c r="A459" i="4"/>
  <c r="B153" i="4"/>
  <c r="H152" i="4"/>
  <c r="B284" i="2"/>
  <c r="H283" i="2"/>
  <c r="A188" i="2"/>
  <c r="A461" i="4" l="1"/>
  <c r="A458" i="4"/>
  <c r="A460" i="4" s="1"/>
  <c r="B154" i="4"/>
  <c r="H153" i="4"/>
  <c r="H284" i="2"/>
  <c r="B285" i="2"/>
  <c r="A189" i="2"/>
  <c r="A190" i="2" s="1"/>
  <c r="A462" i="4" l="1"/>
  <c r="A463" i="4" s="1"/>
  <c r="A464" i="4" s="1"/>
  <c r="A466" i="4" s="1"/>
  <c r="H154" i="4"/>
  <c r="B155" i="4"/>
  <c r="H285" i="2"/>
  <c r="B286" i="2"/>
  <c r="A191" i="2"/>
  <c r="A192" i="2" s="1"/>
  <c r="A193" i="2" s="1"/>
  <c r="A194" i="2" s="1"/>
  <c r="A465" i="4" l="1"/>
  <c r="A467" i="4" s="1"/>
  <c r="B156" i="4"/>
  <c r="H155" i="4"/>
  <c r="H286" i="2"/>
  <c r="B287" i="2"/>
  <c r="A195" i="2"/>
  <c r="A196" i="2" s="1"/>
  <c r="A197" i="2" s="1"/>
  <c r="H156" i="4" l="1"/>
  <c r="B157" i="4"/>
  <c r="B288" i="2"/>
  <c r="H287" i="2"/>
  <c r="A207" i="2"/>
  <c r="A198" i="2"/>
  <c r="A199" i="2" s="1"/>
  <c r="A200" i="2" s="1"/>
  <c r="A201" i="2" s="1"/>
  <c r="H157" i="4" l="1"/>
  <c r="B158" i="4"/>
  <c r="H288" i="2"/>
  <c r="B289" i="2"/>
  <c r="A202" i="2"/>
  <c r="B159" i="4" l="1"/>
  <c r="H158" i="4"/>
  <c r="B290" i="2"/>
  <c r="H289" i="2"/>
  <c r="A203" i="2"/>
  <c r="B160" i="4" l="1"/>
  <c r="H159" i="4"/>
  <c r="H290" i="2"/>
  <c r="B291" i="2"/>
  <c r="A204" i="2"/>
  <c r="B161" i="4" l="1"/>
  <c r="H160" i="4"/>
  <c r="H291" i="2"/>
  <c r="B292" i="2"/>
  <c r="A205" i="2"/>
  <c r="B162" i="4" l="1"/>
  <c r="H161" i="4"/>
  <c r="B293" i="2"/>
  <c r="H292" i="2"/>
  <c r="A206" i="2"/>
  <c r="H162" i="4" l="1"/>
  <c r="B163" i="4"/>
  <c r="H293" i="2"/>
  <c r="B294" i="2"/>
  <c r="A208" i="2"/>
  <c r="B164" i="4" l="1"/>
  <c r="H163" i="4"/>
  <c r="B295" i="2"/>
  <c r="H294" i="2"/>
  <c r="A209" i="2"/>
  <c r="A210" i="2"/>
  <c r="B165" i="4" l="1"/>
  <c r="H164" i="4"/>
  <c r="B296" i="2"/>
  <c r="H295" i="2"/>
  <c r="A211" i="2"/>
  <c r="A212" i="2" s="1"/>
  <c r="A213" i="2" s="1"/>
  <c r="A215" i="2" s="1"/>
  <c r="B166" i="4" l="1"/>
  <c r="H165" i="4"/>
  <c r="H296" i="2"/>
  <c r="B297" i="2"/>
  <c r="A214" i="2"/>
  <c r="A220" i="2"/>
  <c r="A221" i="2"/>
  <c r="A217" i="2"/>
  <c r="B167" i="4" l="1"/>
  <c r="H166" i="4"/>
  <c r="A222" i="2"/>
  <c r="A216" i="2"/>
  <c r="A219" i="2" s="1"/>
  <c r="B298" i="2"/>
  <c r="H297" i="2"/>
  <c r="A218" i="2"/>
  <c r="H167" i="4" l="1"/>
  <c r="B168" i="4"/>
  <c r="H298" i="2"/>
  <c r="B299" i="2"/>
  <c r="A224" i="2"/>
  <c r="A223" i="2"/>
  <c r="H168" i="4" l="1"/>
  <c r="B169" i="4"/>
  <c r="B300" i="2"/>
  <c r="H299" i="2"/>
  <c r="A225" i="2"/>
  <c r="A229" i="2" s="1"/>
  <c r="A228" i="2"/>
  <c r="B170" i="4" l="1"/>
  <c r="H169" i="4"/>
  <c r="H300" i="2"/>
  <c r="B301" i="2"/>
  <c r="A226" i="2"/>
  <c r="A227" i="2" s="1"/>
  <c r="B171" i="4" l="1"/>
  <c r="H170" i="4"/>
  <c r="H301" i="2"/>
  <c r="B302" i="2"/>
  <c r="H302" i="2" s="1"/>
  <c r="A230" i="2"/>
  <c r="A231" i="2"/>
  <c r="A232" i="2"/>
  <c r="B172" i="4" l="1"/>
  <c r="H171" i="4"/>
  <c r="A234" i="2"/>
  <c r="A233" i="2"/>
  <c r="H172" i="4" l="1"/>
  <c r="B173" i="4"/>
  <c r="A237" i="2"/>
  <c r="A236" i="2"/>
  <c r="A235" i="2"/>
  <c r="A238" i="2" s="1"/>
  <c r="B174" i="4" l="1"/>
  <c r="H173" i="4"/>
  <c r="A239" i="2"/>
  <c r="A240" i="2"/>
  <c r="A241" i="2"/>
  <c r="A242" i="2"/>
  <c r="B175" i="4" l="1"/>
  <c r="H174" i="4"/>
  <c r="A246" i="2"/>
  <c r="A245" i="2"/>
  <c r="A243" i="2"/>
  <c r="A244" i="2"/>
  <c r="B176" i="4" l="1"/>
  <c r="H175" i="4"/>
  <c r="A248" i="2"/>
  <c r="A247" i="2"/>
  <c r="A249" i="2"/>
  <c r="A253" i="2" l="1"/>
  <c r="H176" i="4"/>
  <c r="B177" i="4"/>
  <c r="A250" i="2"/>
  <c r="A255" i="2" s="1"/>
  <c r="A252" i="2"/>
  <c r="B178" i="4" l="1"/>
  <c r="H177" i="4"/>
  <c r="A259" i="2"/>
  <c r="A251" i="2"/>
  <c r="A256" i="2" s="1"/>
  <c r="A254" i="2"/>
  <c r="A263" i="2" l="1"/>
  <c r="B179" i="4"/>
  <c r="H178" i="4"/>
  <c r="A258" i="2"/>
  <c r="A257" i="2"/>
  <c r="A262" i="2"/>
  <c r="A260" i="2"/>
  <c r="B180" i="4" l="1"/>
  <c r="H179" i="4"/>
  <c r="A261" i="2"/>
  <c r="A264" i="2" s="1"/>
  <c r="A265" i="2" s="1"/>
  <c r="A266" i="2" s="1"/>
  <c r="A268" i="2" s="1"/>
  <c r="H180" i="4" l="1"/>
  <c r="B181" i="4"/>
  <c r="A267" i="2"/>
  <c r="A273" i="2" s="1"/>
  <c r="H181" i="4" l="1"/>
  <c r="B182" i="4"/>
  <c r="A269" i="2"/>
  <c r="A276" i="2" s="1"/>
  <c r="A274" i="2"/>
  <c r="A270" i="2"/>
  <c r="A275" i="2"/>
  <c r="B183" i="4" l="1"/>
  <c r="H182" i="4"/>
  <c r="A271" i="2"/>
  <c r="A272" i="2"/>
  <c r="H183" i="4" l="1"/>
  <c r="B184" i="4"/>
  <c r="A277" i="2"/>
  <c r="A278" i="2" s="1"/>
  <c r="A281" i="2" s="1"/>
  <c r="B185" i="4" l="1"/>
  <c r="H184" i="4"/>
  <c r="A282" i="2"/>
  <c r="A279" i="2"/>
  <c r="A280" i="2" s="1"/>
  <c r="H185" i="4" l="1"/>
  <c r="B186" i="4"/>
  <c r="A286" i="2"/>
  <c r="A283" i="2"/>
  <c r="A285" i="2" s="1"/>
  <c r="A284" i="2"/>
  <c r="B187" i="4" l="1"/>
  <c r="H186" i="4"/>
  <c r="A289" i="2"/>
  <c r="A287" i="2"/>
  <c r="A290" i="2" s="1"/>
  <c r="B188" i="4" l="1"/>
  <c r="H187" i="4"/>
  <c r="A288" i="2"/>
  <c r="A293" i="2" s="1"/>
  <c r="H188" i="4" l="1"/>
  <c r="B189" i="4"/>
  <c r="A291" i="2"/>
  <c r="A292" i="2"/>
  <c r="B190" i="4" l="1"/>
  <c r="H189" i="4"/>
  <c r="A295" i="2"/>
  <c r="A294" i="2"/>
  <c r="A296" i="2" s="1"/>
  <c r="H190" i="4" l="1"/>
  <c r="B191" i="4"/>
  <c r="A297" i="2"/>
  <c r="A300" i="2" s="1"/>
  <c r="A303" i="2"/>
  <c r="A298" i="2"/>
  <c r="A299" i="2"/>
  <c r="H191" i="4" l="1"/>
  <c r="B192" i="4"/>
  <c r="A301" i="2"/>
  <c r="A302" i="2" s="1"/>
  <c r="B193" i="4" l="1"/>
  <c r="H192" i="4"/>
  <c r="A304" i="2"/>
  <c r="A305" i="2" s="1"/>
  <c r="B303" i="2"/>
  <c r="H193" i="4" l="1"/>
  <c r="B194" i="4"/>
  <c r="A308" i="2"/>
  <c r="A306" i="2"/>
  <c r="A309" i="2"/>
  <c r="A310" i="2"/>
  <c r="A307" i="2"/>
  <c r="A311" i="2"/>
  <c r="B304" i="2"/>
  <c r="H303" i="2"/>
  <c r="B195" i="4" l="1"/>
  <c r="H194" i="4"/>
  <c r="A312" i="2"/>
  <c r="A317" i="2" s="1"/>
  <c r="A314" i="2"/>
  <c r="A316" i="2"/>
  <c r="A318" i="2"/>
  <c r="A313" i="2"/>
  <c r="H304" i="2"/>
  <c r="B305" i="2"/>
  <c r="B196" i="4" l="1"/>
  <c r="H195" i="4"/>
  <c r="A319" i="2"/>
  <c r="A320" i="2"/>
  <c r="A315" i="2"/>
  <c r="A321" i="2"/>
  <c r="B306" i="2"/>
  <c r="H305" i="2"/>
  <c r="B197" i="4" l="1"/>
  <c r="H196" i="4"/>
  <c r="A322" i="2"/>
  <c r="B307" i="2"/>
  <c r="H306" i="2"/>
  <c r="B198" i="4" l="1"/>
  <c r="H197" i="4"/>
  <c r="A323" i="2"/>
  <c r="B308" i="2"/>
  <c r="H307" i="2"/>
  <c r="H198" i="4" l="1"/>
  <c r="B199" i="4"/>
  <c r="A324" i="2"/>
  <c r="B309" i="2"/>
  <c r="H308" i="2"/>
  <c r="H199" i="4" l="1"/>
  <c r="B200" i="4"/>
  <c r="A325" i="2"/>
  <c r="B310" i="2"/>
  <c r="H309" i="2"/>
  <c r="B201" i="4" l="1"/>
  <c r="H200" i="4"/>
  <c r="A326" i="2"/>
  <c r="B311" i="2"/>
  <c r="H310" i="2"/>
  <c r="H201" i="4" l="1"/>
  <c r="B202" i="4"/>
  <c r="A327" i="2"/>
  <c r="A333" i="2"/>
  <c r="B312" i="2"/>
  <c r="H311" i="2"/>
  <c r="B203" i="4" l="1"/>
  <c r="H202" i="4"/>
  <c r="A334" i="2"/>
  <c r="A328" i="2"/>
  <c r="A329" i="2" s="1"/>
  <c r="A336" i="2" s="1"/>
  <c r="B313" i="2"/>
  <c r="H312" i="2"/>
  <c r="H203" i="4" l="1"/>
  <c r="B204" i="4"/>
  <c r="A330" i="2"/>
  <c r="A337" i="2"/>
  <c r="A335" i="2"/>
  <c r="H313" i="2"/>
  <c r="B314" i="2"/>
  <c r="B205" i="4" l="1"/>
  <c r="H204" i="4"/>
  <c r="A331" i="2"/>
  <c r="A332" i="2" s="1"/>
  <c r="B315" i="2"/>
  <c r="H314" i="2"/>
  <c r="H205" i="4" l="1"/>
  <c r="B206" i="4"/>
  <c r="A341" i="2"/>
  <c r="A338" i="2"/>
  <c r="A339" i="2"/>
  <c r="A340" i="2"/>
  <c r="B316" i="2"/>
  <c r="H315" i="2"/>
  <c r="H206" i="4" l="1"/>
  <c r="B207" i="4"/>
  <c r="A342" i="2"/>
  <c r="A343" i="2" s="1"/>
  <c r="A344" i="2" s="1"/>
  <c r="A345" i="2" s="1"/>
  <c r="A347" i="2" s="1"/>
  <c r="H316" i="2"/>
  <c r="B317" i="2"/>
  <c r="B208" i="4" l="1"/>
  <c r="H207" i="4"/>
  <c r="A346" i="2"/>
  <c r="A350" i="2" s="1"/>
  <c r="A348" i="2"/>
  <c r="A349" i="2"/>
  <c r="B318" i="2"/>
  <c r="H317" i="2"/>
  <c r="B209" i="4" l="1"/>
  <c r="H208" i="4"/>
  <c r="A351" i="2"/>
  <c r="A354" i="2" s="1"/>
  <c r="A352" i="2"/>
  <c r="B319" i="2"/>
  <c r="H318" i="2"/>
  <c r="H209" i="4" l="1"/>
  <c r="B210" i="4"/>
  <c r="B211" i="4" s="1"/>
  <c r="H211" i="4" s="1"/>
  <c r="A356" i="2"/>
  <c r="A355" i="2"/>
  <c r="A353" i="2"/>
  <c r="B320" i="2"/>
  <c r="H319" i="2"/>
  <c r="H210" i="4" l="1"/>
  <c r="B212" i="4"/>
  <c r="A364" i="2"/>
  <c r="A359" i="2"/>
  <c r="A357" i="2"/>
  <c r="A358" i="2" s="1"/>
  <c r="B321" i="2"/>
  <c r="H320" i="2"/>
  <c r="B213" i="4" l="1"/>
  <c r="H212" i="4"/>
  <c r="A360" i="2"/>
  <c r="A367" i="2" s="1"/>
  <c r="H321" i="2"/>
  <c r="B322" i="2"/>
  <c r="B214" i="4" l="1"/>
  <c r="H213" i="4"/>
  <c r="A361" i="2"/>
  <c r="A362" i="2" s="1"/>
  <c r="A363" i="2" s="1"/>
  <c r="H322" i="2"/>
  <c r="B323" i="2"/>
  <c r="H214" i="4" l="1"/>
  <c r="B215" i="4"/>
  <c r="B216" i="4" s="1"/>
  <c r="H216" i="4" s="1"/>
  <c r="A368" i="2"/>
  <c r="A365" i="2"/>
  <c r="A366" i="2" s="1"/>
  <c r="B324" i="2"/>
  <c r="H323" i="2"/>
  <c r="B217" i="4" l="1"/>
  <c r="H215" i="4"/>
  <c r="A369" i="2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H324" i="2"/>
  <c r="B325" i="2"/>
  <c r="H217" i="4" l="1"/>
  <c r="B218" i="4"/>
  <c r="A391" i="2"/>
  <c r="A390" i="2"/>
  <c r="H325" i="2"/>
  <c r="B326" i="2"/>
  <c r="B219" i="4" l="1"/>
  <c r="H218" i="4"/>
  <c r="A392" i="2"/>
  <c r="B327" i="2"/>
  <c r="H326" i="2"/>
  <c r="B220" i="4" l="1"/>
  <c r="H219" i="4"/>
  <c r="A395" i="2"/>
  <c r="A393" i="2"/>
  <c r="B328" i="2"/>
  <c r="B329" i="2" s="1"/>
  <c r="H327" i="2"/>
  <c r="H220" i="4" l="1"/>
  <c r="B221" i="4"/>
  <c r="A394" i="2"/>
  <c r="A396" i="2" s="1"/>
  <c r="A397" i="2" s="1"/>
  <c r="A398" i="2" s="1"/>
  <c r="A399" i="2" s="1"/>
  <c r="A403" i="2" s="1"/>
  <c r="H329" i="2"/>
  <c r="B330" i="2"/>
  <c r="H328" i="2"/>
  <c r="B222" i="4" l="1"/>
  <c r="H221" i="4"/>
  <c r="A400" i="2"/>
  <c r="A404" i="2" s="1"/>
  <c r="A402" i="2"/>
  <c r="A401" i="2"/>
  <c r="B331" i="2"/>
  <c r="B332" i="2" s="1"/>
  <c r="H332" i="2" s="1"/>
  <c r="H330" i="2"/>
  <c r="H222" i="4" l="1"/>
  <c r="B223" i="4"/>
  <c r="A405" i="2"/>
  <c r="A408" i="2" s="1"/>
  <c r="A407" i="2"/>
  <c r="A406" i="2"/>
  <c r="H331" i="2"/>
  <c r="B333" i="2"/>
  <c r="H223" i="4" l="1"/>
  <c r="B224" i="4"/>
  <c r="B225" i="4" s="1"/>
  <c r="A418" i="2"/>
  <c r="A409" i="2"/>
  <c r="A419" i="2" s="1"/>
  <c r="A411" i="2"/>
  <c r="A422" i="2"/>
  <c r="A410" i="2"/>
  <c r="A421" i="2"/>
  <c r="A412" i="2"/>
  <c r="H333" i="2"/>
  <c r="B334" i="2"/>
  <c r="H225" i="4" l="1"/>
  <c r="B226" i="4"/>
  <c r="H226" i="4" s="1"/>
  <c r="H224" i="4"/>
  <c r="A413" i="2"/>
  <c r="A416" i="2" s="1"/>
  <c r="A420" i="2"/>
  <c r="A414" i="2"/>
  <c r="A415" i="2"/>
  <c r="H334" i="2"/>
  <c r="B335" i="2"/>
  <c r="B227" i="4" l="1"/>
  <c r="B228" i="4" s="1"/>
  <c r="B229" i="4" s="1"/>
  <c r="H229" i="4" s="1"/>
  <c r="A417" i="2"/>
  <c r="A428" i="2" s="1"/>
  <c r="B336" i="2"/>
  <c r="H336" i="2" s="1"/>
  <c r="H335" i="2"/>
  <c r="H227" i="4" l="1"/>
  <c r="B230" i="4"/>
  <c r="H228" i="4"/>
  <c r="A423" i="2"/>
  <c r="A424" i="2" s="1"/>
  <c r="A425" i="2" s="1"/>
  <c r="B337" i="2"/>
  <c r="H230" i="4" l="1"/>
  <c r="B231" i="4"/>
  <c r="H337" i="2"/>
  <c r="B338" i="2"/>
  <c r="A426" i="2"/>
  <c r="B232" i="4" l="1"/>
  <c r="H231" i="4"/>
  <c r="B339" i="2"/>
  <c r="H339" i="2" s="1"/>
  <c r="H338" i="2"/>
  <c r="A427" i="2"/>
  <c r="H232" i="4" l="1"/>
  <c r="B233" i="4"/>
  <c r="B340" i="2"/>
  <c r="H340" i="2" s="1"/>
  <c r="A429" i="2"/>
  <c r="H233" i="4" l="1"/>
  <c r="B234" i="4"/>
  <c r="B341" i="2"/>
  <c r="H341" i="2" s="1"/>
  <c r="A430" i="2"/>
  <c r="H234" i="4" l="1"/>
  <c r="B235" i="4"/>
  <c r="B342" i="2"/>
  <c r="H342" i="2" s="1"/>
  <c r="A431" i="2"/>
  <c r="B236" i="4" l="1"/>
  <c r="H235" i="4"/>
  <c r="B343" i="2"/>
  <c r="H343" i="2" s="1"/>
  <c r="A432" i="2"/>
  <c r="H236" i="4" l="1"/>
  <c r="B237" i="4"/>
  <c r="B344" i="2"/>
  <c r="H344" i="2" s="1"/>
  <c r="A433" i="2"/>
  <c r="B238" i="4" l="1"/>
  <c r="H237" i="4"/>
  <c r="B345" i="2"/>
  <c r="H345" i="2" s="1"/>
  <c r="A434" i="2"/>
  <c r="B239" i="4" l="1"/>
  <c r="H238" i="4"/>
  <c r="B346" i="2"/>
  <c r="B347" i="2" s="1"/>
  <c r="A435" i="2"/>
  <c r="B240" i="4" l="1"/>
  <c r="H239" i="4"/>
  <c r="H346" i="2"/>
  <c r="H347" i="2"/>
  <c r="B348" i="2"/>
  <c r="A436" i="2"/>
  <c r="A437" i="2" s="1"/>
  <c r="A438" i="2" s="1"/>
  <c r="B241" i="4" l="1"/>
  <c r="H240" i="4"/>
  <c r="B349" i="2"/>
  <c r="H348" i="2"/>
  <c r="A439" i="2"/>
  <c r="A440" i="2" s="1"/>
  <c r="A443" i="2" s="1"/>
  <c r="A441" i="2"/>
  <c r="H241" i="4" l="1"/>
  <c r="B242" i="4"/>
  <c r="B350" i="2"/>
  <c r="H349" i="2"/>
  <c r="A442" i="2"/>
  <c r="A444" i="2" s="1"/>
  <c r="A445" i="2" s="1"/>
  <c r="A446" i="2" s="1"/>
  <c r="B243" i="4" l="1"/>
  <c r="H242" i="4"/>
  <c r="B351" i="2"/>
  <c r="H350" i="2"/>
  <c r="A447" i="2"/>
  <c r="A448" i="2"/>
  <c r="B244" i="4" l="1"/>
  <c r="H243" i="4"/>
  <c r="H351" i="2"/>
  <c r="B352" i="2"/>
  <c r="A449" i="2"/>
  <c r="B245" i="4" l="1"/>
  <c r="H244" i="4"/>
  <c r="B353" i="2"/>
  <c r="H352" i="2"/>
  <c r="H245" i="4" l="1"/>
  <c r="B246" i="4"/>
  <c r="H353" i="2"/>
  <c r="B354" i="2"/>
  <c r="H246" i="4" l="1"/>
  <c r="B247" i="4"/>
  <c r="H354" i="2"/>
  <c r="B355" i="2"/>
  <c r="H247" i="4" l="1"/>
  <c r="B248" i="4"/>
  <c r="H355" i="2"/>
  <c r="B356" i="2"/>
  <c r="B249" i="4" l="1"/>
  <c r="H248" i="4"/>
  <c r="B357" i="2"/>
  <c r="H356" i="2"/>
  <c r="B250" i="4" l="1"/>
  <c r="H249" i="4"/>
  <c r="H357" i="2"/>
  <c r="B358" i="2"/>
  <c r="B251" i="4" l="1"/>
  <c r="H250" i="4"/>
  <c r="H358" i="2"/>
  <c r="B359" i="2"/>
  <c r="B252" i="4" l="1"/>
  <c r="H251" i="4"/>
  <c r="B360" i="2"/>
  <c r="H359" i="2"/>
  <c r="B253" i="4" l="1"/>
  <c r="H252" i="4"/>
  <c r="H360" i="2"/>
  <c r="B361" i="2"/>
  <c r="B254" i="4" l="1"/>
  <c r="H253" i="4"/>
  <c r="H361" i="2"/>
  <c r="B362" i="2"/>
  <c r="B363" i="2" s="1"/>
  <c r="B364" i="2" s="1"/>
  <c r="H364" i="2" s="1"/>
  <c r="B255" i="4" l="1"/>
  <c r="H254" i="4"/>
  <c r="H363" i="2"/>
  <c r="B365" i="2"/>
  <c r="H362" i="2"/>
  <c r="H255" i="4" l="1"/>
  <c r="B256" i="4"/>
  <c r="H365" i="2"/>
  <c r="B366" i="2"/>
  <c r="B257" i="4" l="1"/>
  <c r="B258" i="4" s="1"/>
  <c r="H256" i="4"/>
  <c r="H366" i="2"/>
  <c r="B367" i="2"/>
  <c r="H258" i="4" l="1"/>
  <c r="B259" i="4"/>
  <c r="H257" i="4"/>
  <c r="H367" i="2"/>
  <c r="B368" i="2"/>
  <c r="H259" i="4" l="1"/>
  <c r="B369" i="2"/>
  <c r="H368" i="2"/>
  <c r="B370" i="2" l="1"/>
  <c r="H369" i="2"/>
  <c r="B260" i="4" l="1"/>
  <c r="B371" i="2"/>
  <c r="H370" i="2"/>
  <c r="B261" i="4" l="1"/>
  <c r="H260" i="4"/>
  <c r="B372" i="2"/>
  <c r="H371" i="2"/>
  <c r="B262" i="4" l="1"/>
  <c r="H261" i="4"/>
  <c r="H372" i="2"/>
  <c r="B373" i="2"/>
  <c r="B263" i="4" l="1"/>
  <c r="H262" i="4"/>
  <c r="B374" i="2"/>
  <c r="H373" i="2"/>
  <c r="B264" i="4" l="1"/>
  <c r="B265" i="4" s="1"/>
  <c r="H265" i="4" s="1"/>
  <c r="H263" i="4"/>
  <c r="B375" i="2"/>
  <c r="H374" i="2"/>
  <c r="H264" i="4" l="1"/>
  <c r="B266" i="4"/>
  <c r="B376" i="2"/>
  <c r="H375" i="2"/>
  <c r="B267" i="4" l="1"/>
  <c r="B268" i="4" s="1"/>
  <c r="H266" i="4"/>
  <c r="H376" i="2"/>
  <c r="B377" i="2"/>
  <c r="H268" i="4" l="1"/>
  <c r="B269" i="4"/>
  <c r="H267" i="4"/>
  <c r="B378" i="2"/>
  <c r="H377" i="2"/>
  <c r="H269" i="4" l="1"/>
  <c r="B270" i="4"/>
  <c r="H270" i="4" s="1"/>
  <c r="B379" i="2"/>
  <c r="H378" i="2"/>
  <c r="B271" i="4" l="1"/>
  <c r="H271" i="4" s="1"/>
  <c r="B380" i="2"/>
  <c r="H379" i="2"/>
  <c r="B272" i="4" l="1"/>
  <c r="B273" i="4" s="1"/>
  <c r="B274" i="4" s="1"/>
  <c r="H274" i="4" s="1"/>
  <c r="H380" i="2"/>
  <c r="B381" i="2"/>
  <c r="H273" i="4" l="1"/>
  <c r="B275" i="4"/>
  <c r="H275" i="4" s="1"/>
  <c r="H272" i="4"/>
  <c r="H381" i="2"/>
  <c r="B382" i="2"/>
  <c r="B276" i="4" l="1"/>
  <c r="H276" i="4" s="1"/>
  <c r="B383" i="2"/>
  <c r="H382" i="2"/>
  <c r="B277" i="4" l="1"/>
  <c r="H277" i="4" s="1"/>
  <c r="B384" i="2"/>
  <c r="H383" i="2"/>
  <c r="B278" i="4" l="1"/>
  <c r="B279" i="4" s="1"/>
  <c r="B280" i="4" s="1"/>
  <c r="H384" i="2"/>
  <c r="B385" i="2"/>
  <c r="H279" i="4" l="1"/>
  <c r="H278" i="4"/>
  <c r="H280" i="4"/>
  <c r="B281" i="4"/>
  <c r="H385" i="2"/>
  <c r="B386" i="2"/>
  <c r="B282" i="4" l="1"/>
  <c r="H281" i="4"/>
  <c r="H386" i="2"/>
  <c r="B387" i="2"/>
  <c r="H282" i="4" l="1"/>
  <c r="B283" i="4"/>
  <c r="B388" i="2"/>
  <c r="H387" i="2"/>
  <c r="B284" i="4" l="1"/>
  <c r="H283" i="4"/>
  <c r="B389" i="2"/>
  <c r="H388" i="2"/>
  <c r="B285" i="4" l="1"/>
  <c r="H284" i="4"/>
  <c r="B390" i="2"/>
  <c r="H389" i="2"/>
  <c r="H285" i="4" l="1"/>
  <c r="B286" i="4"/>
  <c r="B287" i="4" s="1"/>
  <c r="H287" i="4" s="1"/>
  <c r="H390" i="2"/>
  <c r="B391" i="2"/>
  <c r="H286" i="4" l="1"/>
  <c r="H391" i="2"/>
  <c r="B392" i="2"/>
  <c r="B288" i="4" l="1"/>
  <c r="B393" i="2"/>
  <c r="H392" i="2"/>
  <c r="B289" i="4" l="1"/>
  <c r="H288" i="4"/>
  <c r="B394" i="2"/>
  <c r="H393" i="2"/>
  <c r="B290" i="4" l="1"/>
  <c r="H289" i="4"/>
  <c r="H394" i="2"/>
  <c r="B395" i="2"/>
  <c r="B291" i="4" l="1"/>
  <c r="H290" i="4"/>
  <c r="H395" i="2"/>
  <c r="B396" i="2"/>
  <c r="B292" i="4" l="1"/>
  <c r="B293" i="4" s="1"/>
  <c r="H293" i="4" s="1"/>
  <c r="H291" i="4"/>
  <c r="B397" i="2"/>
  <c r="H396" i="2"/>
  <c r="B294" i="4" l="1"/>
  <c r="H292" i="4"/>
  <c r="H397" i="2"/>
  <c r="B398" i="2"/>
  <c r="B295" i="4" l="1"/>
  <c r="H294" i="4"/>
  <c r="B399" i="2"/>
  <c r="H398" i="2"/>
  <c r="B296" i="4" l="1"/>
  <c r="H295" i="4"/>
  <c r="B400" i="2"/>
  <c r="H399" i="2"/>
  <c r="H296" i="4" l="1"/>
  <c r="B297" i="4"/>
  <c r="B401" i="2"/>
  <c r="H400" i="2"/>
  <c r="H297" i="4" l="1"/>
  <c r="B298" i="4"/>
  <c r="B402" i="2"/>
  <c r="H401" i="2"/>
  <c r="B299" i="4" l="1"/>
  <c r="H298" i="4"/>
  <c r="H402" i="2"/>
  <c r="B403" i="2"/>
  <c r="B300" i="4" l="1"/>
  <c r="H300" i="4" s="1"/>
  <c r="H299" i="4"/>
  <c r="B404" i="2"/>
  <c r="H403" i="2"/>
  <c r="B301" i="4" l="1"/>
  <c r="B302" i="4" s="1"/>
  <c r="B405" i="2"/>
  <c r="H404" i="2"/>
  <c r="H301" i="4" l="1"/>
  <c r="B303" i="4"/>
  <c r="H302" i="4"/>
  <c r="H405" i="2"/>
  <c r="B406" i="2"/>
  <c r="H303" i="4" l="1"/>
  <c r="B304" i="4"/>
  <c r="B407" i="2"/>
  <c r="H406" i="2"/>
  <c r="B305" i="4" l="1"/>
  <c r="H304" i="4"/>
  <c r="H407" i="2"/>
  <c r="B408" i="2"/>
  <c r="B306" i="4" l="1"/>
  <c r="H305" i="4"/>
  <c r="B409" i="2"/>
  <c r="H408" i="2"/>
  <c r="H306" i="4" l="1"/>
  <c r="B307" i="4"/>
  <c r="B410" i="2"/>
  <c r="H409" i="2"/>
  <c r="H307" i="4" l="1"/>
  <c r="B308" i="4"/>
  <c r="B411" i="2"/>
  <c r="H410" i="2"/>
  <c r="B309" i="4" l="1"/>
  <c r="H308" i="4"/>
  <c r="H411" i="2"/>
  <c r="B412" i="2"/>
  <c r="B310" i="4" l="1"/>
  <c r="H309" i="4"/>
  <c r="B413" i="2"/>
  <c r="H412" i="2"/>
  <c r="B311" i="4" l="1"/>
  <c r="H310" i="4"/>
  <c r="H413" i="2"/>
  <c r="B414" i="2"/>
  <c r="B312" i="4" l="1"/>
  <c r="H311" i="4"/>
  <c r="B415" i="2"/>
  <c r="H414" i="2"/>
  <c r="B313" i="4" l="1"/>
  <c r="H312" i="4"/>
  <c r="B416" i="2"/>
  <c r="H415" i="2"/>
  <c r="H313" i="4" l="1"/>
  <c r="B314" i="4"/>
  <c r="B417" i="2"/>
  <c r="H416" i="2"/>
  <c r="H314" i="4" l="1"/>
  <c r="B315" i="4"/>
  <c r="H417" i="2"/>
  <c r="B418" i="2"/>
  <c r="H315" i="4" l="1"/>
  <c r="B316" i="4"/>
  <c r="B419" i="2"/>
  <c r="H418" i="2"/>
  <c r="H316" i="4" l="1"/>
  <c r="B317" i="4"/>
  <c r="H419" i="2"/>
  <c r="B420" i="2"/>
  <c r="B318" i="4" l="1"/>
  <c r="H317" i="4"/>
  <c r="H420" i="2"/>
  <c r="B421" i="2"/>
  <c r="B319" i="4" l="1"/>
  <c r="H318" i="4"/>
  <c r="H421" i="2"/>
  <c r="B422" i="2"/>
  <c r="B320" i="4" l="1"/>
  <c r="H319" i="4"/>
  <c r="B423" i="2"/>
  <c r="H422" i="2"/>
  <c r="H320" i="4" l="1"/>
  <c r="B321" i="4"/>
  <c r="B424" i="2"/>
  <c r="H423" i="2"/>
  <c r="B322" i="4" l="1"/>
  <c r="H321" i="4"/>
  <c r="H424" i="2"/>
  <c r="B425" i="2"/>
  <c r="H322" i="4" l="1"/>
  <c r="B323" i="4"/>
  <c r="H425" i="2"/>
  <c r="B426" i="2"/>
  <c r="B324" i="4" l="1"/>
  <c r="H323" i="4"/>
  <c r="H426" i="2"/>
  <c r="B427" i="2"/>
  <c r="B325" i="4" l="1"/>
  <c r="H324" i="4"/>
  <c r="H427" i="2"/>
  <c r="B428" i="2"/>
  <c r="H325" i="4" l="1"/>
  <c r="B326" i="4"/>
  <c r="B429" i="2"/>
  <c r="H428" i="2"/>
  <c r="B327" i="4" l="1"/>
  <c r="H326" i="4"/>
  <c r="H429" i="2"/>
  <c r="B430" i="2"/>
  <c r="B328" i="4" l="1"/>
  <c r="H327" i="4"/>
  <c r="H430" i="2"/>
  <c r="B431" i="2"/>
  <c r="B329" i="4" l="1"/>
  <c r="H328" i="4"/>
  <c r="B432" i="2"/>
  <c r="H431" i="2"/>
  <c r="J82" i="2"/>
  <c r="H329" i="4" l="1"/>
  <c r="B330" i="4"/>
  <c r="H432" i="2"/>
  <c r="B433" i="2"/>
  <c r="B331" i="4" l="1"/>
  <c r="H330" i="4"/>
  <c r="H433" i="2"/>
  <c r="B434" i="2"/>
  <c r="H331" i="4" l="1"/>
  <c r="B332" i="4"/>
  <c r="H434" i="2"/>
  <c r="B435" i="2"/>
  <c r="B333" i="4" l="1"/>
  <c r="H332" i="4"/>
  <c r="H435" i="2"/>
  <c r="B436" i="2"/>
  <c r="H333" i="4" l="1"/>
  <c r="B334" i="4"/>
  <c r="B437" i="2"/>
  <c r="H436" i="2"/>
  <c r="H334" i="4" l="1"/>
  <c r="B335" i="4"/>
  <c r="B438" i="2"/>
  <c r="H437" i="2"/>
  <c r="J283" i="2"/>
  <c r="H335" i="4" l="1"/>
  <c r="B336" i="4"/>
  <c r="B439" i="2"/>
  <c r="H438" i="2"/>
  <c r="H336" i="4" l="1"/>
  <c r="B337" i="4"/>
  <c r="H439" i="2"/>
  <c r="B440" i="2"/>
  <c r="B338" i="4" l="1"/>
  <c r="H337" i="4"/>
  <c r="B441" i="2"/>
  <c r="H440" i="2"/>
  <c r="B339" i="4" l="1"/>
  <c r="H338" i="4"/>
  <c r="H441" i="2"/>
  <c r="B442" i="2"/>
  <c r="H339" i="4" l="1"/>
  <c r="B340" i="4"/>
  <c r="B443" i="2"/>
  <c r="H442" i="2"/>
  <c r="B341" i="4" l="1"/>
  <c r="H340" i="4"/>
  <c r="B444" i="2"/>
  <c r="H443" i="2"/>
  <c r="H341" i="4" l="1"/>
  <c r="B342" i="4"/>
  <c r="B445" i="2"/>
  <c r="H444" i="2"/>
  <c r="B343" i="4" l="1"/>
  <c r="H342" i="4"/>
  <c r="B446" i="2"/>
  <c r="H445" i="2"/>
  <c r="H343" i="4" l="1"/>
  <c r="B344" i="4"/>
  <c r="J288" i="2"/>
  <c r="H446" i="2"/>
  <c r="B447" i="2"/>
  <c r="B345" i="4" l="1"/>
  <c r="H344" i="4"/>
  <c r="H447" i="2"/>
  <c r="B448" i="2"/>
  <c r="H345" i="4" l="1"/>
  <c r="B346" i="4"/>
  <c r="B449" i="2"/>
  <c r="H448" i="2"/>
  <c r="B347" i="4" l="1"/>
  <c r="H346" i="4"/>
  <c r="H449" i="2"/>
  <c r="B348" i="4" l="1"/>
  <c r="H347" i="4"/>
  <c r="H348" i="4" l="1"/>
  <c r="B349" i="4"/>
  <c r="B350" i="4" l="1"/>
  <c r="H349" i="4"/>
  <c r="H350" i="4" l="1"/>
  <c r="B351" i="4"/>
  <c r="J300" i="2"/>
  <c r="J287" i="2"/>
  <c r="J280" i="2"/>
  <c r="J298" i="2" s="1"/>
  <c r="J284" i="2"/>
  <c r="J299" i="2" s="1"/>
  <c r="H351" i="4" l="1"/>
  <c r="B352" i="4"/>
  <c r="J255" i="2"/>
  <c r="H352" i="4" l="1"/>
  <c r="B353" i="4"/>
  <c r="J278" i="2"/>
  <c r="J297" i="2" s="1"/>
  <c r="H353" i="4" l="1"/>
  <c r="B354" i="4"/>
  <c r="J301" i="2"/>
  <c r="B355" i="4" l="1"/>
  <c r="H354" i="4"/>
  <c r="H355" i="4" l="1"/>
  <c r="B356" i="4"/>
  <c r="B357" i="4" l="1"/>
  <c r="H356" i="4"/>
  <c r="B358" i="4" l="1"/>
  <c r="H357" i="4"/>
  <c r="B359" i="4" l="1"/>
  <c r="H358" i="4"/>
  <c r="H359" i="4" l="1"/>
  <c r="B360" i="4"/>
  <c r="B361" i="4" l="1"/>
  <c r="H360" i="4"/>
  <c r="H361" i="4" l="1"/>
  <c r="B362" i="4"/>
  <c r="B363" i="4" l="1"/>
  <c r="H362" i="4"/>
  <c r="B364" i="4" l="1"/>
  <c r="H363" i="4"/>
  <c r="B365" i="4" l="1"/>
  <c r="H364" i="4"/>
  <c r="B366" i="4" l="1"/>
  <c r="H365" i="4"/>
  <c r="B367" i="4" l="1"/>
  <c r="H366" i="4"/>
  <c r="H367" i="4" l="1"/>
  <c r="B368" i="4"/>
  <c r="B369" i="4" l="1"/>
  <c r="H368" i="4"/>
  <c r="H369" i="4" l="1"/>
  <c r="B370" i="4"/>
  <c r="H370" i="4" l="1"/>
  <c r="B371" i="4"/>
  <c r="B372" i="4" l="1"/>
  <c r="H371" i="4"/>
  <c r="H372" i="4" l="1"/>
  <c r="B373" i="4"/>
  <c r="H373" i="4" l="1"/>
  <c r="B374" i="4"/>
  <c r="B375" i="4" l="1"/>
  <c r="H374" i="4"/>
  <c r="B376" i="4" l="1"/>
  <c r="H375" i="4"/>
  <c r="B377" i="4" l="1"/>
  <c r="H376" i="4"/>
  <c r="H377" i="4" l="1"/>
  <c r="B378" i="4"/>
  <c r="B379" i="4" l="1"/>
  <c r="H378" i="4"/>
  <c r="H379" i="4" l="1"/>
  <c r="B380" i="4"/>
  <c r="B381" i="4" l="1"/>
  <c r="H380" i="4"/>
  <c r="L82" i="2"/>
  <c r="L81" i="2" s="1"/>
  <c r="L75" i="2" s="1"/>
  <c r="L74" i="2" s="1"/>
  <c r="L4" i="2" l="1"/>
  <c r="E9" i="6"/>
  <c r="B382" i="4"/>
  <c r="H381" i="4"/>
  <c r="H9" i="6" l="1"/>
  <c r="G9" i="6"/>
  <c r="G18" i="6" s="1"/>
  <c r="G19" i="6" s="1"/>
  <c r="D21" i="7" s="1"/>
  <c r="E50" i="6"/>
  <c r="E18" i="6"/>
  <c r="F9" i="6" s="1"/>
  <c r="H382" i="4"/>
  <c r="B383" i="4"/>
  <c r="F11" i="6" l="1"/>
  <c r="F7" i="6"/>
  <c r="F14" i="6"/>
  <c r="F17" i="6"/>
  <c r="F12" i="6"/>
  <c r="F3" i="6"/>
  <c r="F15" i="6"/>
  <c r="F8" i="6"/>
  <c r="F10" i="6"/>
  <c r="F16" i="6"/>
  <c r="F6" i="6"/>
  <c r="F5" i="6"/>
  <c r="F4" i="6"/>
  <c r="F13" i="6"/>
  <c r="H50" i="6"/>
  <c r="G50" i="6"/>
  <c r="G59" i="6" s="1"/>
  <c r="G60" i="6" s="1"/>
  <c r="J21" i="7" s="1"/>
  <c r="E59" i="6"/>
  <c r="I9" i="6"/>
  <c r="I18" i="6" s="1"/>
  <c r="J9" i="6"/>
  <c r="J18" i="6" s="1"/>
  <c r="J19" i="6" s="1"/>
  <c r="H18" i="6"/>
  <c r="H19" i="6" s="1"/>
  <c r="B384" i="4"/>
  <c r="H383" i="4"/>
  <c r="I50" i="6" l="1"/>
  <c r="I59" i="6" s="1"/>
  <c r="J50" i="6"/>
  <c r="J59" i="6" s="1"/>
  <c r="J60" i="6" s="1"/>
  <c r="H59" i="6"/>
  <c r="H60" i="6" s="1"/>
  <c r="F18" i="6"/>
  <c r="F43" i="6"/>
  <c r="F57" i="6"/>
  <c r="F58" i="6"/>
  <c r="F48" i="6"/>
  <c r="F56" i="6"/>
  <c r="F46" i="6"/>
  <c r="F53" i="6"/>
  <c r="F44" i="6"/>
  <c r="F47" i="6"/>
  <c r="F49" i="6"/>
  <c r="F55" i="6"/>
  <c r="F54" i="6"/>
  <c r="F52" i="6"/>
  <c r="F45" i="6"/>
  <c r="F51" i="6"/>
  <c r="F50" i="6"/>
  <c r="B385" i="4"/>
  <c r="H384" i="4"/>
  <c r="F59" i="6" l="1"/>
  <c r="H385" i="4"/>
  <c r="B386" i="4"/>
  <c r="B387" i="4" l="1"/>
  <c r="H386" i="4"/>
  <c r="B388" i="4" l="1"/>
  <c r="H387" i="4"/>
  <c r="B389" i="4" l="1"/>
  <c r="H388" i="4"/>
  <c r="B390" i="4" l="1"/>
  <c r="H389" i="4"/>
  <c r="B391" i="4" l="1"/>
  <c r="H390" i="4"/>
  <c r="H391" i="4" l="1"/>
  <c r="B392" i="4"/>
  <c r="B393" i="4" l="1"/>
  <c r="H392" i="4"/>
  <c r="H393" i="4" l="1"/>
  <c r="B394" i="4"/>
  <c r="H394" i="4" l="1"/>
  <c r="B395" i="4"/>
  <c r="H395" i="4" l="1"/>
  <c r="B396" i="4"/>
  <c r="H396" i="4" l="1"/>
  <c r="B397" i="4"/>
  <c r="B398" i="4" l="1"/>
  <c r="H397" i="4"/>
  <c r="H398" i="4" l="1"/>
  <c r="B399" i="4"/>
  <c r="B400" i="4" l="1"/>
  <c r="H399" i="4"/>
  <c r="B401" i="4" l="1"/>
  <c r="H400" i="4"/>
  <c r="H401" i="4" l="1"/>
  <c r="B402" i="4"/>
  <c r="B403" i="4" l="1"/>
  <c r="H402" i="4"/>
  <c r="H403" i="4" l="1"/>
  <c r="B404" i="4"/>
  <c r="H404" i="4" l="1"/>
  <c r="B405" i="4"/>
  <c r="B406" i="4" l="1"/>
  <c r="H405" i="4"/>
  <c r="B407" i="4" l="1"/>
  <c r="H406" i="4"/>
  <c r="H407" i="4" l="1"/>
  <c r="B408" i="4"/>
  <c r="B409" i="4" l="1"/>
  <c r="H408" i="4"/>
  <c r="B410" i="4" l="1"/>
  <c r="H409" i="4"/>
  <c r="B411" i="4" l="1"/>
  <c r="H410" i="4"/>
  <c r="H411" i="4" l="1"/>
  <c r="B412" i="4"/>
  <c r="B413" i="4" l="1"/>
  <c r="H412" i="4"/>
  <c r="H413" i="4" l="1"/>
  <c r="B414" i="4"/>
  <c r="H414" i="4" l="1"/>
  <c r="B415" i="4"/>
  <c r="B416" i="4" s="1"/>
  <c r="H416" i="4" s="1"/>
  <c r="B417" i="4" l="1"/>
  <c r="H415" i="4"/>
  <c r="B418" i="4" l="1"/>
  <c r="H417" i="4"/>
  <c r="B419" i="4" l="1"/>
  <c r="B420" i="4" s="1"/>
  <c r="H420" i="4" s="1"/>
  <c r="H418" i="4"/>
  <c r="H419" i="4" l="1"/>
  <c r="B421" i="4"/>
  <c r="B422" i="4" l="1"/>
  <c r="H421" i="4"/>
  <c r="H422" i="4" l="1"/>
  <c r="B423" i="4"/>
  <c r="H423" i="4" l="1"/>
  <c r="B424" i="4"/>
  <c r="B425" i="4" l="1"/>
  <c r="H424" i="4"/>
  <c r="B426" i="4" l="1"/>
  <c r="H425" i="4"/>
  <c r="H426" i="4" l="1"/>
  <c r="B427" i="4"/>
  <c r="H427" i="4" l="1"/>
  <c r="B428" i="4"/>
  <c r="H428" i="4" l="1"/>
  <c r="B429" i="4"/>
  <c r="H429" i="4" l="1"/>
  <c r="B430" i="4"/>
  <c r="H430" i="4" l="1"/>
  <c r="B431" i="4"/>
  <c r="B432" i="4" l="1"/>
  <c r="H431" i="4"/>
  <c r="B433" i="4" l="1"/>
  <c r="H432" i="4"/>
  <c r="B434" i="4" l="1"/>
  <c r="H433" i="4"/>
  <c r="B435" i="4" l="1"/>
  <c r="H434" i="4"/>
  <c r="B436" i="4" l="1"/>
  <c r="H435" i="4"/>
  <c r="H436" i="4" l="1"/>
  <c r="B437" i="4"/>
  <c r="B438" i="4" l="1"/>
  <c r="B439" i="4" s="1"/>
  <c r="H439" i="4" s="1"/>
  <c r="H437" i="4"/>
  <c r="B440" i="4" l="1"/>
  <c r="B441" i="4" s="1"/>
  <c r="H441" i="4" s="1"/>
  <c r="H438" i="4"/>
  <c r="B442" i="4" l="1"/>
  <c r="H440" i="4"/>
  <c r="B443" i="4" l="1"/>
  <c r="H442" i="4"/>
  <c r="B444" i="4" l="1"/>
  <c r="H443" i="4"/>
  <c r="B445" i="4" l="1"/>
  <c r="H444" i="4"/>
  <c r="B446" i="4" l="1"/>
  <c r="H445" i="4"/>
  <c r="B447" i="4" l="1"/>
  <c r="H446" i="4"/>
  <c r="B448" i="4" l="1"/>
  <c r="H447" i="4"/>
  <c r="H448" i="4" l="1"/>
  <c r="B449" i="4"/>
  <c r="H449" i="4" l="1"/>
  <c r="B450" i="4"/>
  <c r="B451" i="4" l="1"/>
  <c r="H450" i="4"/>
  <c r="H451" i="4" l="1"/>
  <c r="B452" i="4"/>
  <c r="B453" i="4" l="1"/>
  <c r="H452" i="4"/>
  <c r="B454" i="4" l="1"/>
  <c r="H453" i="4"/>
  <c r="H454" i="4" l="1"/>
  <c r="B455" i="4"/>
  <c r="B456" i="4" l="1"/>
  <c r="H455" i="4"/>
  <c r="H456" i="4" l="1"/>
  <c r="B457" i="4"/>
  <c r="B458" i="4" s="1"/>
  <c r="H458" i="4" s="1"/>
  <c r="H457" i="4" l="1"/>
  <c r="B459" i="4"/>
  <c r="B460" i="4" l="1"/>
  <c r="H459" i="4"/>
  <c r="B461" i="4" l="1"/>
  <c r="H460" i="4"/>
  <c r="H461" i="4" l="1"/>
  <c r="B462" i="4"/>
  <c r="B463" i="4" l="1"/>
  <c r="H462" i="4"/>
  <c r="B464" i="4" l="1"/>
  <c r="H463" i="4"/>
  <c r="B465" i="4" l="1"/>
  <c r="H464" i="4"/>
  <c r="B466" i="4" l="1"/>
  <c r="H465" i="4"/>
  <c r="B467" i="4" l="1"/>
  <c r="H466" i="4"/>
  <c r="H467" i="4" l="1"/>
</calcChain>
</file>

<file path=xl/sharedStrings.xml><?xml version="1.0" encoding="utf-8"?>
<sst xmlns="http://schemas.openxmlformats.org/spreadsheetml/2006/main" count="3013" uniqueCount="714">
  <si>
    <t>GERENCIAMENTO TÉCNICO E ADMINISTRATIVO</t>
  </si>
  <si>
    <t>SERVIÇOS TÉCNICOS</t>
  </si>
  <si>
    <t>ESTUDOS, PROJETOS E CONSULTORIAS</t>
  </si>
  <si>
    <t>Estudos</t>
  </si>
  <si>
    <t>Projetos</t>
  </si>
  <si>
    <t>Consultorias</t>
  </si>
  <si>
    <t>Ensaios</t>
  </si>
  <si>
    <t xml:space="preserve">TAXAS E DOCUMENTOS </t>
  </si>
  <si>
    <t xml:space="preserve">Licenciamentos, Taxas, Impostos, Aprovações e Seguros </t>
  </si>
  <si>
    <t>Documentos</t>
  </si>
  <si>
    <t>SERVIÇOS INICIAIS</t>
  </si>
  <si>
    <t>SEGURANÇA, MEIO AMBIENTE, SAÚDE</t>
  </si>
  <si>
    <t>Segurança do trabalho</t>
  </si>
  <si>
    <t>Meio ambiente</t>
  </si>
  <si>
    <t>ADMINISTRAÇÃO E CANTEIRO DE OBRA</t>
  </si>
  <si>
    <t>Operação inicial de canteiro</t>
  </si>
  <si>
    <t>Despesas de consumo e manutenção</t>
  </si>
  <si>
    <t>Instalações provisórias</t>
  </si>
  <si>
    <t>Ligações Provisórias</t>
  </si>
  <si>
    <t>SERVIÇOS PRELIMINARES</t>
  </si>
  <si>
    <t xml:space="preserve">Demolições </t>
  </si>
  <si>
    <t>Limpeza de terreno</t>
  </si>
  <si>
    <t>EQUIPAMENTOS</t>
  </si>
  <si>
    <t>Equipamentos de obra</t>
  </si>
  <si>
    <t>Balancins e Andaimes</t>
  </si>
  <si>
    <t>GERENCIAMENTO EXECUTIVO</t>
  </si>
  <si>
    <t>MOVIMENTAÇÃO DE TERRA</t>
  </si>
  <si>
    <t>Corte e aterro</t>
  </si>
  <si>
    <t>Rebaixamento de lençol</t>
  </si>
  <si>
    <t>Escavação e Reaterro de Valas</t>
  </si>
  <si>
    <t>Lastro de estrutura de concreto</t>
  </si>
  <si>
    <t>Movimentação de bota - fora</t>
  </si>
  <si>
    <t>INFRAESTRUTURA</t>
  </si>
  <si>
    <t>FUNDAÇÃO PROFUNDA</t>
  </si>
  <si>
    <t>Perfuração</t>
  </si>
  <si>
    <t>Armadura</t>
  </si>
  <si>
    <t>Concreto</t>
  </si>
  <si>
    <t>FUNDAÇÃO RASA</t>
  </si>
  <si>
    <t>Forma</t>
  </si>
  <si>
    <t>Mão de obra</t>
  </si>
  <si>
    <t>SUPRAESTRUTURA</t>
  </si>
  <si>
    <t xml:space="preserve">SUPRAESTRUTURA </t>
  </si>
  <si>
    <t>Complementares</t>
  </si>
  <si>
    <t>PAREDES E PAINÉIS</t>
  </si>
  <si>
    <t>Alvenaria de vedação com blocos cerâmicos</t>
  </si>
  <si>
    <t>Alvenaria de vedação com bocos de concreto</t>
  </si>
  <si>
    <t>Serviços complementares para alvenaria de vedação</t>
  </si>
  <si>
    <t>Drywall</t>
  </si>
  <si>
    <t>IMPERMEABILIZAÇÃO E TRATAMENTOS</t>
  </si>
  <si>
    <t>Regularização e proteção mecânica</t>
  </si>
  <si>
    <t xml:space="preserve">Impermeabilização de cisternas </t>
  </si>
  <si>
    <t>Impermeabilização de fundação e contenção</t>
  </si>
  <si>
    <t>Impermeabilização de lajes e terraços</t>
  </si>
  <si>
    <t>Impermeabilização de piscinas e espelhos d´água</t>
  </si>
  <si>
    <t>Impermeabilização de banheiro, cozinha e sacada</t>
  </si>
  <si>
    <t>Impermeabilização de esquadrias</t>
  </si>
  <si>
    <t>Impermeabilização de ralos</t>
  </si>
  <si>
    <t>Impermeabilização de floreiras</t>
  </si>
  <si>
    <t>Impermeabilização de reservatórios</t>
  </si>
  <si>
    <t>SISTEMAS E INSTALAÇÕES HIDROSSANITÁRIAS E DRENAGEM</t>
  </si>
  <si>
    <t>Instalações de água fria</t>
  </si>
  <si>
    <t>Instalações de água quente</t>
  </si>
  <si>
    <t>Instalações de esgoto e pluviais</t>
  </si>
  <si>
    <t>Hidrômetros</t>
  </si>
  <si>
    <t>Sistema de bombas</t>
  </si>
  <si>
    <t>SISTEMAS E INSTALAÇÕES ELÉTRICAS</t>
  </si>
  <si>
    <t xml:space="preserve">SISTEMAS E INSTALAÇÕES ELÉTRICAS </t>
  </si>
  <si>
    <t>Entrada de Energia</t>
  </si>
  <si>
    <t xml:space="preserve">Subestação de Energia </t>
  </si>
  <si>
    <t>Grupo gerador</t>
  </si>
  <si>
    <t>Quadros elétricos e disjuntores</t>
  </si>
  <si>
    <t>Eletrodutos e eletrocalhas</t>
  </si>
  <si>
    <t>Fios e cabos elétricos</t>
  </si>
  <si>
    <t>Pontos de tomadas e interruptores</t>
  </si>
  <si>
    <t xml:space="preserve">Luminárias, lâmpadas e acessórios </t>
  </si>
  <si>
    <t>INSTALAÇÕES PREVENTIVAS</t>
  </si>
  <si>
    <t>Hidrantes</t>
  </si>
  <si>
    <t xml:space="preserve">Sinalização de emergência e extintores </t>
  </si>
  <si>
    <t>Instalações de proteção e aterramento -SPDA</t>
  </si>
  <si>
    <t>Central de Alarmes</t>
  </si>
  <si>
    <t>INSTALAÇÕES DE GÁS</t>
  </si>
  <si>
    <t>Medidores</t>
  </si>
  <si>
    <t>Central de Gás</t>
  </si>
  <si>
    <t>Rede Secundária</t>
  </si>
  <si>
    <t>INSTALAÇÕES DE COMUNICAÇÕES</t>
  </si>
  <si>
    <t>Sistema de interfone / controle de acesso</t>
  </si>
  <si>
    <t>Instalação de CFTV</t>
  </si>
  <si>
    <t>Telefonia/lógica/internet</t>
  </si>
  <si>
    <t>AUTOMAÇÕES</t>
  </si>
  <si>
    <t>Infraestrutura de automação dos apartamentos (Iluminação, cortinas, áudio, ar cond.)</t>
  </si>
  <si>
    <t>EQUIPAMENTOS E SISTEMAS ESPECIAIS</t>
  </si>
  <si>
    <t>ELEVADORES</t>
  </si>
  <si>
    <t>Elevadores</t>
  </si>
  <si>
    <t>CLIMATIZAÇÃO, EXAUSTÃO MECÂNICA E PRESSURIZAÇÃO</t>
  </si>
  <si>
    <t>Climatização</t>
  </si>
  <si>
    <t>Exaustão mecânica</t>
  </si>
  <si>
    <t>Exaustão de churrasqueiras</t>
  </si>
  <si>
    <t>REVESTIMENTOS INTERNOS DE PAREDE</t>
  </si>
  <si>
    <t>Acabamentos cerâmicos</t>
  </si>
  <si>
    <t>Acabamentos especiais</t>
  </si>
  <si>
    <t>Peitoris</t>
  </si>
  <si>
    <t>REVESTIMENTOS E ACABAMENTOS INTERNOS EM TETO</t>
  </si>
  <si>
    <t>Revestimento interno argamassado em teto</t>
  </si>
  <si>
    <t>Acabamento de gesso em teto</t>
  </si>
  <si>
    <t>PISOS E PAVIMENTAÇÕES</t>
  </si>
  <si>
    <t>Contrapiso</t>
  </si>
  <si>
    <t>Acabamentos cimentados em piso</t>
  </si>
  <si>
    <t>Acabamentos cerâmicos em piso</t>
  </si>
  <si>
    <t>Acabamentos de madeira</t>
  </si>
  <si>
    <t>Acabamentos em pedra</t>
  </si>
  <si>
    <t>Rodapés</t>
  </si>
  <si>
    <t>Soleiras</t>
  </si>
  <si>
    <t>SISTEMAS DE PINTURA INTERNA</t>
  </si>
  <si>
    <t>PINTURA INTERNA</t>
  </si>
  <si>
    <t>Sistema de pintura em piso</t>
  </si>
  <si>
    <t>Sistema de pintura em parede</t>
  </si>
  <si>
    <t>Sistema de pintura em teto</t>
  </si>
  <si>
    <t>ESQUADRIAS, VIDROS E FERRAGENS</t>
  </si>
  <si>
    <t>Contramarco</t>
  </si>
  <si>
    <t>Guarda corpo</t>
  </si>
  <si>
    <t>Pele de vidro</t>
  </si>
  <si>
    <t>ESQUADRIAS DE MADEIRA</t>
  </si>
  <si>
    <t>Esquadrias de madeira</t>
  </si>
  <si>
    <t xml:space="preserve">Corrimão de madeira </t>
  </si>
  <si>
    <t>Acessórios e ferragens</t>
  </si>
  <si>
    <t>ESQUADRIAS METÁLICAS</t>
  </si>
  <si>
    <t>Esquadrias metálicas</t>
  </si>
  <si>
    <t>Serralheria</t>
  </si>
  <si>
    <t>LOUÇAS E METAIS</t>
  </si>
  <si>
    <t>Louças</t>
  </si>
  <si>
    <t>Metais e acessórios</t>
  </si>
  <si>
    <t>Bancadas, pias e divisórias</t>
  </si>
  <si>
    <t>COBERTURA</t>
  </si>
  <si>
    <t>Estrutura e trama para cobertura</t>
  </si>
  <si>
    <t>Telhamento para cobertura</t>
  </si>
  <si>
    <t>Serviços complementares</t>
  </si>
  <si>
    <t>Coberturas especiais</t>
  </si>
  <si>
    <t>REVESTIMENTOS E ACABAMENTOS EM FACHADA</t>
  </si>
  <si>
    <t>Revestimento argamassado em fachada</t>
  </si>
  <si>
    <t>Pintura e textura em fachada</t>
  </si>
  <si>
    <t>Acabamentos especiais em fachada</t>
  </si>
  <si>
    <t>SERVIÇOS COMPLEMENTARES E FINAIS</t>
  </si>
  <si>
    <t>SERVIÇOS COMPLEMENTARES EXTERNOS</t>
  </si>
  <si>
    <t>Calçadas e Passeios</t>
  </si>
  <si>
    <t>Rede de drenagem</t>
  </si>
  <si>
    <t>Reforço de rede elétrica</t>
  </si>
  <si>
    <t>Mobiliário e decoração</t>
  </si>
  <si>
    <t>Paisagismo</t>
  </si>
  <si>
    <t>Serviços Finais</t>
  </si>
  <si>
    <t>Ligações definitivas</t>
  </si>
  <si>
    <t>Unidade Construtiva</t>
  </si>
  <si>
    <t>Célula Construtiva</t>
  </si>
  <si>
    <t>Etapa</t>
  </si>
  <si>
    <t>Subetapa</t>
  </si>
  <si>
    <t>Serviço</t>
  </si>
  <si>
    <t>UNIDADE CONSTRUTIVA</t>
  </si>
  <si>
    <t>CÉLULA CONSTRUTIVA</t>
  </si>
  <si>
    <t>ETAPA</t>
  </si>
  <si>
    <t>Prumadas elétricas</t>
  </si>
  <si>
    <t>Prumadas hidrossanitárias</t>
  </si>
  <si>
    <t>Prumadas hidrantes</t>
  </si>
  <si>
    <t>Pumada de gás</t>
  </si>
  <si>
    <t>Equipamentos de sauna</t>
  </si>
  <si>
    <t>Hotel</t>
  </si>
  <si>
    <t>Aspiração central</t>
  </si>
  <si>
    <t>Clientes possuem opção de fazer 3 suites ou 2 suites + 2 demi-suites - padrão 4 suites</t>
  </si>
  <si>
    <t>Quantidade</t>
  </si>
  <si>
    <t>Unidade</t>
  </si>
  <si>
    <t>Custo</t>
  </si>
  <si>
    <t>HOTEL</t>
  </si>
  <si>
    <t>RESIDENCIAL</t>
  </si>
  <si>
    <t>OBSERVAÇÕES</t>
  </si>
  <si>
    <t>Escavação subsolo</t>
  </si>
  <si>
    <t>Escavação mecanizada para blocos e baldrames</t>
  </si>
  <si>
    <t>Reaterro para blocos e baldrames</t>
  </si>
  <si>
    <t>Lastro de concreto magro</t>
  </si>
  <si>
    <t xml:space="preserve">Lastro de brita </t>
  </si>
  <si>
    <t>Movimentação  de bota - fora para subsolo (30% de empolamento)</t>
  </si>
  <si>
    <t>Movimentação  de bota - fora para valas (30% de empolamento)</t>
  </si>
  <si>
    <t>Movimentação  de bota - fora para estacas (30% de empolamento)</t>
  </si>
  <si>
    <t>m³</t>
  </si>
  <si>
    <t>Mobilização de equipamentos</t>
  </si>
  <si>
    <t>Armadura para blocos e baldrames</t>
  </si>
  <si>
    <t>m</t>
  </si>
  <si>
    <t xml:space="preserve">un </t>
  </si>
  <si>
    <t>m²</t>
  </si>
  <si>
    <t>kg</t>
  </si>
  <si>
    <t>Concreto para blocos e baldrames</t>
  </si>
  <si>
    <t>Mão de obra infraestrutura</t>
  </si>
  <si>
    <t>area contruída</t>
  </si>
  <si>
    <t>Fabricação de forma para pilares, lajes, vigas, escadas e rampas</t>
  </si>
  <si>
    <t>Montagem e desmontagem de forma para pilares, lajes, vigas, escadas e rampas</t>
  </si>
  <si>
    <t>Armadura para supraestrutura</t>
  </si>
  <si>
    <t>Concreto para supraestrutura</t>
  </si>
  <si>
    <t>Mão de obra para supraestrutura</t>
  </si>
  <si>
    <t>Locação de escoramento metálico</t>
  </si>
  <si>
    <t>Alvenaria de vedação com bocos de concreto resistente á fogo (sical)</t>
  </si>
  <si>
    <t>Fechamento externo do residencial</t>
  </si>
  <si>
    <t>Fechamento externo do hotel</t>
  </si>
  <si>
    <t>Caixa de escadas (rota de fuga)</t>
  </si>
  <si>
    <t>Divisórias de paredes simples sem isolamento  (2 chapas)</t>
  </si>
  <si>
    <t>Considerar serviços de encunhamento, telamento, vergas e contravergas</t>
  </si>
  <si>
    <t>Mão de obra para assentamento de blocos cerâmicos e de concreto</t>
  </si>
  <si>
    <t>Mão de obra para execução de parede em drywall</t>
  </si>
  <si>
    <t>Regularização de superfícies a serem impermeabilizadas</t>
  </si>
  <si>
    <t>Proteção mecânica de superfícies que recebem manta</t>
  </si>
  <si>
    <t>Mão de obra para regularização de superfícies a serem impermeabilizadas</t>
  </si>
  <si>
    <t>Mão de obra para proteção mecânica de superfícies que recebem manta</t>
  </si>
  <si>
    <t xml:space="preserve">Mão de obra para Impermeabilização de cisternas </t>
  </si>
  <si>
    <t>Mão de obra para Impermeabilização de fundação e contenção</t>
  </si>
  <si>
    <t>Mão de obra para Impermeabilização de lajes e terraços</t>
  </si>
  <si>
    <t>Mão de obra para Impermeabilização de piscinas e espelhos d´água</t>
  </si>
  <si>
    <t>Mão de obra para Impermeabilização de banheiro, cozinha e sacada</t>
  </si>
  <si>
    <t>Mão de obra para Impermeabilização de ralos</t>
  </si>
  <si>
    <t>Mão de obra para Impermeabilização de floreiras</t>
  </si>
  <si>
    <t>Mão de obra para Impermeabilização de reservatórios</t>
  </si>
  <si>
    <t>Inclui baldrames, contenção e poço do elevador</t>
  </si>
  <si>
    <t>vb</t>
  </si>
  <si>
    <t>Quadras</t>
  </si>
  <si>
    <t>Playground</t>
  </si>
  <si>
    <t>Prever equipamentos de playgorund</t>
  </si>
  <si>
    <t>Inclui marcenaria, móveis soltos, lustres e decorações (POR CONTA DO HOTEL)</t>
  </si>
  <si>
    <t>Mobiliário e decoração (POR CONTA DO HOTEL)</t>
  </si>
  <si>
    <t>Prever eventuais equipamentos de quadras poliesportivas, beach tennis, etc (redes, traves, etc.)</t>
  </si>
  <si>
    <t>Previsto por concecionária</t>
  </si>
  <si>
    <t>Trecho de ligação rede da obra com concessionaria</t>
  </si>
  <si>
    <t>Previsão de todos os serviços necessários para execução de passeio publico (conforme código de obras do município e especificação de projeto)</t>
  </si>
  <si>
    <t>Estrutura e trama para cobertura em Steel Frame</t>
  </si>
  <si>
    <t>Telhamento para cobertura com telha shingle</t>
  </si>
  <si>
    <t>Calhas em alumínio ou aço galvanizado</t>
  </si>
  <si>
    <t>Rufos em alumínio ou aço galvanizado</t>
  </si>
  <si>
    <t>Contra-rufos em alumínio ou aço galvanizado</t>
  </si>
  <si>
    <t>Coberturas de Pergolados em material acrílico</t>
  </si>
  <si>
    <t>Mão de obra para estrutura e telhamento de cobertura com telha shingle</t>
  </si>
  <si>
    <t>Mão de obra para cobertura de pergolados</t>
  </si>
  <si>
    <t>Bacias sanitárias</t>
  </si>
  <si>
    <t>Cubas</t>
  </si>
  <si>
    <t>Mão de obra para instalaçõa de louças e metais</t>
  </si>
  <si>
    <t>Prever entrga completa em áreas comuns do residencial e no hotel | Entrega apenas de bacias sanitárias e esperas de metais nas áreas privativas do residencial</t>
  </si>
  <si>
    <t>ESQUADRIAS DE ALUMÍNIO/PVC</t>
  </si>
  <si>
    <t>Hotel Colline de France - Rio de Janeiro</t>
  </si>
  <si>
    <t>Mao de obra para colocação de contramarco</t>
  </si>
  <si>
    <t>Esquadrias de PVC</t>
  </si>
  <si>
    <t>Esquadrias de PVC com vidro duplo e gás argonico</t>
  </si>
  <si>
    <t>Previsão no hotel</t>
  </si>
  <si>
    <t>Esquadrias de PVC com vidro duplo</t>
  </si>
  <si>
    <t>Previsão no residencial</t>
  </si>
  <si>
    <t>Guarda corpo em vidro</t>
  </si>
  <si>
    <t>m ou m²</t>
  </si>
  <si>
    <t>Prever material que não estufe</t>
  </si>
  <si>
    <t>Porta acústica</t>
  </si>
  <si>
    <t>Corrimão de escada enclausurada</t>
  </si>
  <si>
    <t>Mão de obra colocação de portas</t>
  </si>
  <si>
    <t>Mão de obra colocação de corrimão</t>
  </si>
  <si>
    <t>Fechadura eletrônica</t>
  </si>
  <si>
    <t>Entradas de apartamentos do residenciaç</t>
  </si>
  <si>
    <t>Fechadura RFID - Onity</t>
  </si>
  <si>
    <t>Entrada quartos do hotel</t>
  </si>
  <si>
    <t>Porta corta-fogo</t>
  </si>
  <si>
    <t>Portões de acesso de veículos</t>
  </si>
  <si>
    <t>Prever alçapões, bicicletários, escadas marinheiro, etc.</t>
  </si>
  <si>
    <t>Infraestrutura de climatização VFR - quente e frio independete - com sistema dutado e hidrokit</t>
  </si>
  <si>
    <t xml:space="preserve">Infraestrutura de climatização split split/hi-wall </t>
  </si>
  <si>
    <t>Quartos e sacadas do residencial</t>
  </si>
  <si>
    <t>2 unidades por sala de jantar no residencial</t>
  </si>
  <si>
    <t>un</t>
  </si>
  <si>
    <t>Infraestrutura de climatização cassete 1 via</t>
  </si>
  <si>
    <t>Sistema de Exaustão mecânica de banheiros enclausurados</t>
  </si>
  <si>
    <t>Dumper com motor nas prumadas</t>
  </si>
  <si>
    <t>Equipamentos de piscina e hidromassagens</t>
  </si>
  <si>
    <t>Equipamentos de funcionamento de piscinas</t>
  </si>
  <si>
    <t>2 Banheiras Oriba Maxifibras</t>
  </si>
  <si>
    <t>Equipamentos de hidromassagem/banheira</t>
  </si>
  <si>
    <t>Equipamento de banheira de imersão</t>
  </si>
  <si>
    <t>Equipamento entregue no hotel, apenas espera no residencial</t>
  </si>
  <si>
    <t>Equipamentos de energia</t>
  </si>
  <si>
    <t>Infraestrutura para carregamento de carro elétrico</t>
  </si>
  <si>
    <t>Equipamento de carregamento para carro elétrico - 22KVA</t>
  </si>
  <si>
    <t>Incluir todo o sistema da subestação</t>
  </si>
  <si>
    <t>6 equipamentos no hotel, residencial apenas com infra</t>
  </si>
  <si>
    <t>1 por unidade residencial (vindo do quadro individual) | 12 pontos no hotel</t>
  </si>
  <si>
    <t>Mão de obra para instalações elétricas</t>
  </si>
  <si>
    <t xml:space="preserve">m² </t>
  </si>
  <si>
    <t>P190 4 tanques no residencial e  4 tanques no hotel</t>
  </si>
  <si>
    <t>Mão de obra para instalações de gás</t>
  </si>
  <si>
    <t>Rede de hidrantes</t>
  </si>
  <si>
    <t xml:space="preserve">Mão de obra para instalações preventivas </t>
  </si>
  <si>
    <t>Incluindo hidrantes e sinaizações</t>
  </si>
  <si>
    <t>PISCINAS E SPAS</t>
  </si>
  <si>
    <t xml:space="preserve">Sistema de aquecimento elétrico em piso </t>
  </si>
  <si>
    <t>Aquecimento de piso</t>
  </si>
  <si>
    <t>Apenas no hotel</t>
  </si>
  <si>
    <t>Areas secas do banheiros em hotel e residencial</t>
  </si>
  <si>
    <t>SISTEMAS DE ASPIRAÇÃO E AQUECIMENTO</t>
  </si>
  <si>
    <t>Acumulador</t>
  </si>
  <si>
    <t>Estação de Tratamento de Esgoto  - ETE</t>
  </si>
  <si>
    <t>Cisterna e Reservatórios</t>
  </si>
  <si>
    <t>Mão de obra para instalações hidrossanitárias</t>
  </si>
  <si>
    <t>Bombas de reclaque e pressurização</t>
  </si>
  <si>
    <t>Bombas de calor</t>
  </si>
  <si>
    <t>Aqueciemnto de hotel</t>
  </si>
  <si>
    <t>Sistema hidrokit</t>
  </si>
  <si>
    <t>Reaproveitamento de calor de climatização para aquecimento de água</t>
  </si>
  <si>
    <t>Sistema de pintura epoxi em piso</t>
  </si>
  <si>
    <t>Sistema de pintura acrilica em piso</t>
  </si>
  <si>
    <t>Incluir fundos e seladores</t>
  </si>
  <si>
    <t>Sistema de textura em parede</t>
  </si>
  <si>
    <t>Sistema de textura em teto</t>
  </si>
  <si>
    <t>Sistema de pintura fosca em parede com massa acrílica</t>
  </si>
  <si>
    <t>Sistema de pintura fosca em parede (sem massa)</t>
  </si>
  <si>
    <t>Sistema de pintura fosca em teto</t>
  </si>
  <si>
    <t>Incluir fundos e seladores, 2 demãos de tinta</t>
  </si>
  <si>
    <t>Mão de obra para pintrua de piso epoxi</t>
  </si>
  <si>
    <t>Mão de obra para pintrua de piso acrilica</t>
  </si>
  <si>
    <t>Mão de obra para pintura de parede</t>
  </si>
  <si>
    <t>Mão de obra para textura de parede</t>
  </si>
  <si>
    <t>Mão de obra para pintura de teto</t>
  </si>
  <si>
    <t>Mão de obra para textura de teto</t>
  </si>
  <si>
    <t>Chapisco Externo</t>
  </si>
  <si>
    <t>Reboco Externo</t>
  </si>
  <si>
    <t>Tratamento de frisos e juntas</t>
  </si>
  <si>
    <t>Aplique de losagos que imitam mármore</t>
  </si>
  <si>
    <t>Mão de obra para revestimento argamassado externo</t>
  </si>
  <si>
    <t>Textura Grafiatto em fachada (com cor)</t>
  </si>
  <si>
    <t>Pintura de molduras de fachada</t>
  </si>
  <si>
    <t>Mão de obra pra aplicação de textura em parede externa</t>
  </si>
  <si>
    <t>Mão de obra para pintura de molduras externas</t>
  </si>
  <si>
    <t>Mão de obra para execução de losangos que imitam mármore</t>
  </si>
  <si>
    <t>Isolamento térmico e acústico</t>
  </si>
  <si>
    <t>Estucamento de estruturas</t>
  </si>
  <si>
    <t>Revestimento argamassado em paredes internas</t>
  </si>
  <si>
    <t>Chapisco Interno</t>
  </si>
  <si>
    <t>Reboco Interno</t>
  </si>
  <si>
    <t>Mão de obra para revestimento argamassado em paredes internas</t>
  </si>
  <si>
    <t>Mão de obra para estucamento em paredes internas</t>
  </si>
  <si>
    <t>Mão de obra para assetamento de porcelanato em paredes</t>
  </si>
  <si>
    <t>Aplicação em periemtro toal de banheiros e parede hidráulica de cozinhas</t>
  </si>
  <si>
    <t>Boiseries</t>
  </si>
  <si>
    <t>Previsão de acabamentos diferenteciado em hotel e áreas comuns do residencial</t>
  </si>
  <si>
    <t>m2</t>
  </si>
  <si>
    <t>Porcelanato - tamanho mínimo 90x90</t>
  </si>
  <si>
    <t>Manta de isolamento térmico e acústico</t>
  </si>
  <si>
    <t>Eventualemtne além do que está aplicado no interior do drywall (contabilizado já em paredes e painéis)</t>
  </si>
  <si>
    <t>Mão de obra para colocação de Boiseries</t>
  </si>
  <si>
    <t>Mão de obra para assetamento de peitoris</t>
  </si>
  <si>
    <t>Mão de obra para estucamento em teto</t>
  </si>
  <si>
    <t>Previsto no residencial por ter um acabamento mais liso</t>
  </si>
  <si>
    <t>Previsto no hotel pois acabaemento mais rebuscado com molduras e sancas</t>
  </si>
  <si>
    <t>Gesso mineral - material e mão de obra</t>
  </si>
  <si>
    <t>Gesso acartonado - material e mão de obra</t>
  </si>
  <si>
    <t>Molduras e Sancas - material e mão de obra</t>
  </si>
  <si>
    <t>RESIDENCIAL Lavabo sem acabamento, entregue no contrapiso</t>
  </si>
  <si>
    <t>RESIDENCIAL E HOTEL Areas molhadas/molhavel em porcelato, incluindo sacada e mureta da entrada do box</t>
  </si>
  <si>
    <t>RESIDENCIAL vinilico em áreas intimas e estar/jantar HOTEL vinílico nos quartos</t>
  </si>
  <si>
    <t>Acomodações de hotel</t>
  </si>
  <si>
    <t>Contrapiso com argamassa "farofa" espessura média de 8cm</t>
  </si>
  <si>
    <t>Piso cimentado em escadas</t>
  </si>
  <si>
    <t>Polimento de piso em garagens</t>
  </si>
  <si>
    <t>Piso vassourado/frisado em rapas de veículos</t>
  </si>
  <si>
    <t>Rodapé em porcelanato</t>
  </si>
  <si>
    <t>Rodapé em poliestireno</t>
  </si>
  <si>
    <t>Soleiras entre pisos</t>
  </si>
  <si>
    <t>Estudo do uso de um acabamento, entrada do banheiro com pedra</t>
  </si>
  <si>
    <t>Mão de obra execução de contrapiso, incluindo manta isolante</t>
  </si>
  <si>
    <t>Mão de obra para assentamento de porcelanato</t>
  </si>
  <si>
    <t>Mão de obra para execução de piso cimentado</t>
  </si>
  <si>
    <t>Mão de obra para assentamento de pedra</t>
  </si>
  <si>
    <t>Mão de obra para colocação de soleira</t>
  </si>
  <si>
    <t>Ferramentas - aquisição/manutenção</t>
  </si>
  <si>
    <t>mês</t>
  </si>
  <si>
    <t>Plataformas de trabalho em madeira para andaime</t>
  </si>
  <si>
    <t>ESTUDO DE VIABILIDADE</t>
  </si>
  <si>
    <t>Cliente</t>
  </si>
  <si>
    <t>HOTEL COLLINE</t>
  </si>
  <si>
    <t>Obra</t>
  </si>
  <si>
    <t>HOTEL COLLINE - MIGUEL PEREIRA - RIO DE JANEIRO</t>
  </si>
  <si>
    <t>Data</t>
  </si>
  <si>
    <t>Versão</t>
  </si>
  <si>
    <t>R00</t>
  </si>
  <si>
    <t>ÁREA DO TERRENO</t>
  </si>
  <si>
    <t>AT</t>
  </si>
  <si>
    <t>M2</t>
  </si>
  <si>
    <t>AC</t>
  </si>
  <si>
    <t>6º AO 18º PAV. DIFERENCIADO TORRE I E II (X13)</t>
  </si>
  <si>
    <t>DUPLEX INFERIOR TORRE I E II</t>
  </si>
  <si>
    <t>DUPLEX SUPERIOR TORRE I E II</t>
  </si>
  <si>
    <t>INSPEÇÃO TORRE I E II</t>
  </si>
  <si>
    <t>CASA DE MÁQUINAS TORRE I E II</t>
  </si>
  <si>
    <t>CAIXA D'AGUA TORRE I E II</t>
  </si>
  <si>
    <t>UNIDADES RESIDENCIAIS</t>
  </si>
  <si>
    <t>UR</t>
  </si>
  <si>
    <t>UN</t>
  </si>
  <si>
    <t>Dormitórios</t>
  </si>
  <si>
    <t>dorm</t>
  </si>
  <si>
    <t>UNIDADES COMERCIAIS</t>
  </si>
  <si>
    <t>UC</t>
  </si>
  <si>
    <t>Churrasqueiras</t>
  </si>
  <si>
    <t>CHU</t>
  </si>
  <si>
    <t>NÚMERO TOTAL DE PAVIMENTOS</t>
  </si>
  <si>
    <t>NP</t>
  </si>
  <si>
    <t>NÚMERO DE PAVIMENTOS TIPO</t>
  </si>
  <si>
    <t>NPT</t>
  </si>
  <si>
    <t>NÚMERO DE PAVIMENTOS TIPO DIFERENCIADOS</t>
  </si>
  <si>
    <t>NPD</t>
  </si>
  <si>
    <t>NÚMERO DE PAVIMENTOS DUPLEX</t>
  </si>
  <si>
    <t>ND</t>
  </si>
  <si>
    <t>ÁREA DE SUBSOLOS</t>
  </si>
  <si>
    <t>S</t>
  </si>
  <si>
    <t>NÚMERO DE SUBSOLOS</t>
  </si>
  <si>
    <t>NS</t>
  </si>
  <si>
    <t>PRAZO HOTEL</t>
  </si>
  <si>
    <t>PM</t>
  </si>
  <si>
    <t xml:space="preserve">PRAZO RESIDENCIAL </t>
  </si>
  <si>
    <t>P1</t>
  </si>
  <si>
    <t>PRAZO DE OBRA TOTAL (INICIO AO FIM)</t>
  </si>
  <si>
    <t>PR</t>
  </si>
  <si>
    <t>Cravação de estaca pré-moldada 20x20, incluso fornececimento da estaca</t>
  </si>
  <si>
    <t>Cravação de estaca pré-moldada 30x30, incluso fornececimento da estaca</t>
  </si>
  <si>
    <t>Cravação de estaca centrifugada 50cm, incluso fornececimento da estaca</t>
  </si>
  <si>
    <t>Cravação de estaca centrifugada 42cm, incluso fornececimento da estaca</t>
  </si>
  <si>
    <t xml:space="preserve">Quantitativo de projeto </t>
  </si>
  <si>
    <t>Fabricação, montagem e desmontagem de forma em madeira serrada para blocos e baldrames</t>
  </si>
  <si>
    <t>Adotado taxa de 60 kg/m³</t>
  </si>
  <si>
    <t>Area de projeção do embasamento</t>
  </si>
  <si>
    <t>Perfuração de vigas</t>
  </si>
  <si>
    <t>Adotado fabricação de 2 jogos referentes ao 2º pav</t>
  </si>
  <si>
    <t>Adotado taxa de 90 kg/m³</t>
  </si>
  <si>
    <t>Adotado locação de 2 jogos referentes ao 2º pav, com reaproveitamento</t>
  </si>
  <si>
    <t xml:space="preserve">Valor previsto para esperas ou furação posterior </t>
  </si>
  <si>
    <t>Fechamento de shafts e paredes de perímetro (1 chapa)</t>
  </si>
  <si>
    <t>2ST/90/ST+RU</t>
  </si>
  <si>
    <t>Fechamento de paredes de perímetro (1 chapa)</t>
  </si>
  <si>
    <t>Aterro subsolo</t>
  </si>
  <si>
    <t>Diferença de reterro com 30% de empolamento</t>
  </si>
  <si>
    <t>Aterro sob rampas, 30% de empolamento - aproveitamento de terra de escavação</t>
  </si>
  <si>
    <t>Divisórias de paredes duplas com isolamento de lã de vidro (5 chapas)</t>
  </si>
  <si>
    <t>Divisórias de paredes duplas com isolamento de lã de vidro (4 chapas)</t>
  </si>
  <si>
    <t>Divisórias de paredes simples com isolamento  de lã de vidro (2 chapas)</t>
  </si>
  <si>
    <t>Escadas</t>
  </si>
  <si>
    <t>Manta acústica ondulada</t>
  </si>
  <si>
    <t>Lâ de vidro + cimenticia</t>
  </si>
  <si>
    <t xml:space="preserve">Manta flutuante </t>
  </si>
  <si>
    <t>Manta flutuante + PU</t>
  </si>
  <si>
    <t>Não se aplica</t>
  </si>
  <si>
    <t>(48/VID/PERF)</t>
  </si>
  <si>
    <t>(2PERF/VID/70/PERF/70/VID/2PERF)</t>
  </si>
  <si>
    <t>Revetsimento cerâmico em piso - tamanho mínimo 90x90 - áreas comuns</t>
  </si>
  <si>
    <t>Revetsimento cerâmico em piso - tamanho mínimo 90x90 - áreas privativas</t>
  </si>
  <si>
    <t>Revestimento em mármore, escada principal</t>
  </si>
  <si>
    <t>Revestimento em basalto, regiões externas</t>
  </si>
  <si>
    <t>Revetsimento patilhado em piscina - tamanho 14,5x14,5</t>
  </si>
  <si>
    <t>Mão de obra para assentamento de pastilha</t>
  </si>
  <si>
    <t>Mão de obra para assentamento de basalto</t>
  </si>
  <si>
    <t>Mão de obra para colocação de rodapé</t>
  </si>
  <si>
    <t>Piso vinílio, régua 20x120cm - material e mão de obra</t>
  </si>
  <si>
    <t>Carpete - material e mão de obra</t>
  </si>
  <si>
    <t>Forro absorvedor - material e mão de obra</t>
  </si>
  <si>
    <t>Gesso mineral com isolamento - material e mão de obra</t>
  </si>
  <si>
    <t>Roseta oluminação - material e mão de obra</t>
  </si>
  <si>
    <t>Incluir fundos e primers - apenas demarcação de faixas</t>
  </si>
  <si>
    <t>Papel de parede - material e mão de obra</t>
  </si>
  <si>
    <t>Esquadrias de PVC simples (interno)</t>
  </si>
  <si>
    <t>Esquadrias de alumínio</t>
  </si>
  <si>
    <t>Portão em aluminio</t>
  </si>
  <si>
    <t>Portas internas, vidros da circulações, etc.</t>
  </si>
  <si>
    <t>Previsão no hotel (periferia)</t>
  </si>
  <si>
    <t>Portas em aluminio (veneziana)</t>
  </si>
  <si>
    <t>Areas tecnicas</t>
  </si>
  <si>
    <t>Esquadrias de Madeira Isolantes</t>
  </si>
  <si>
    <t>Esquadrias de Madeira correr</t>
  </si>
  <si>
    <t>Esquadrias de Madeira interna</t>
  </si>
  <si>
    <t>Prever material que não estufe - interior dos quartos</t>
  </si>
  <si>
    <t>Acessórios e ferragens correr</t>
  </si>
  <si>
    <t>Guarda corpo balaustre</t>
  </si>
  <si>
    <t>Entrada quartos do hotel - Conforme porposta Onity, prevendo todos os equipamentos e licença</t>
  </si>
  <si>
    <t>Area de projeção (inclinação 56º)</t>
  </si>
  <si>
    <t>Area inclinada</t>
  </si>
  <si>
    <t>Prever entrga completa no hotel</t>
  </si>
  <si>
    <t>Aquecedor a gás 35 L/min</t>
  </si>
  <si>
    <t>P190  4 tanques no hotel</t>
  </si>
  <si>
    <t>Equipamentos de funcionamento de piscinas privativas</t>
  </si>
  <si>
    <t>Bombas, filtros, etc (HOTEL - Hidromasaagem na proprioa piscina - interna 8 posições e externa 10 posições )</t>
  </si>
  <si>
    <t>Chafariz e espelhos</t>
  </si>
  <si>
    <t>Chafariz com lago grande</t>
  </si>
  <si>
    <t>Equipamentos de funcionamento de espelho d'agua</t>
  </si>
  <si>
    <t>Desmobilização</t>
  </si>
  <si>
    <t>Limpeza final</t>
  </si>
  <si>
    <t>Comunicação visual</t>
  </si>
  <si>
    <t>Capiteis</t>
  </si>
  <si>
    <t>Capiteis muro externo</t>
  </si>
  <si>
    <t>Janelas retas</t>
  </si>
  <si>
    <t>Janelas curvas</t>
  </si>
  <si>
    <t>Arcos</t>
  </si>
  <si>
    <t>Revestimento pilar</t>
  </si>
  <si>
    <t>Revestimento pilar reto e chaminé</t>
  </si>
  <si>
    <t>Revestimento parede</t>
  </si>
  <si>
    <t xml:space="preserve">Beiral </t>
  </si>
  <si>
    <t>Pingadeiras</t>
  </si>
  <si>
    <t xml:space="preserve">Detalhes unitarios </t>
  </si>
  <si>
    <t>Sinetes</t>
  </si>
  <si>
    <t>Base pilar</t>
  </si>
  <si>
    <t>Equipamentos de climatizaão VFR - evaporadoras</t>
  </si>
  <si>
    <t>Equipamentos de climatizaão VFR - condensasdoras</t>
  </si>
  <si>
    <t>UTAs</t>
  </si>
  <si>
    <t>Sistema de exaustão de cozinhas</t>
  </si>
  <si>
    <t>Mão de obra detalhes e molduras EPS</t>
  </si>
  <si>
    <t>Guarda corpo gradil sacada</t>
  </si>
  <si>
    <t>Guarda corpo gradil lazer</t>
  </si>
  <si>
    <t>Guarda corpo gradil externo</t>
  </si>
  <si>
    <t>Portões de acesso de pedestres</t>
  </si>
  <si>
    <t>Corrimão</t>
  </si>
  <si>
    <t>Corrimão inox</t>
  </si>
  <si>
    <t>Corrimão metálico</t>
  </si>
  <si>
    <t>Cupula de vidro interna - vidro simples</t>
  </si>
  <si>
    <t>Cupula de vidro externa - vidro duplo</t>
  </si>
  <si>
    <t>Base de banheira em mármore</t>
  </si>
  <si>
    <t>Acabamento de lareira</t>
  </si>
  <si>
    <t>Acabamento de pilar em mármore</t>
  </si>
  <si>
    <t>Descrição</t>
  </si>
  <si>
    <t>Identificador</t>
  </si>
  <si>
    <t>Residencial</t>
  </si>
  <si>
    <t>Quantidade Total</t>
  </si>
  <si>
    <t>ÁREA TOTAL CONSTRUÍDA</t>
  </si>
  <si>
    <t>SUBSOLO / TERREO</t>
  </si>
  <si>
    <t>TÉRREO/ GARAGEM 1</t>
  </si>
  <si>
    <t>1º PAVIMENTO / GARAGEM 2</t>
  </si>
  <si>
    <t>2º PAVIMENTO / LAZER</t>
  </si>
  <si>
    <t>SUBTELHADO / 5º PAV. DIFERENCIADO TORRE I E II (X1)</t>
  </si>
  <si>
    <t>Banheiros</t>
  </si>
  <si>
    <t>ban</t>
  </si>
  <si>
    <t>ÁREA DE PROJEÇÃO DA TORRE</t>
  </si>
  <si>
    <t>APT</t>
  </si>
  <si>
    <t>PERÍMETRO DE PROJEÇÃO DA TORRE</t>
  </si>
  <si>
    <t>PPT</t>
  </si>
  <si>
    <t>M</t>
  </si>
  <si>
    <t>ÁREA DE LAZER</t>
  </si>
  <si>
    <t>AL</t>
  </si>
  <si>
    <t xml:space="preserve">ÁREA DO EMBASAMENTO </t>
  </si>
  <si>
    <t>AE</t>
  </si>
  <si>
    <t>ÁREA DE PROJEÇÃO DO EMBASAMENTO</t>
  </si>
  <si>
    <t>APE</t>
  </si>
  <si>
    <t>PERÍMETRO DE PROJEÇÃO DE EMBAMENTO</t>
  </si>
  <si>
    <t>PE</t>
  </si>
  <si>
    <t>NÚMERO DE PAVIMENTOS DE EMBASAMENTO</t>
  </si>
  <si>
    <t>NE</t>
  </si>
  <si>
    <t>Equipamento entregue no hotel</t>
  </si>
  <si>
    <t>Bombas, filtros, etc (HOTEL - piscina de quarto com 2 posições de hidro)</t>
  </si>
  <si>
    <t>Pilares aparentes garagem</t>
  </si>
  <si>
    <t>Café da manhã</t>
  </si>
  <si>
    <t>Previsto em proejto de acústica</t>
  </si>
  <si>
    <t>Roseta iluminação - material e mão de obra</t>
  </si>
  <si>
    <t>GERAL</t>
  </si>
  <si>
    <t>Custo do hotel</t>
  </si>
  <si>
    <t>Serviço de segurança do trabalho terceirizado</t>
  </si>
  <si>
    <t>mes</t>
  </si>
  <si>
    <t>(consideração de dois técnicos com 3.500/mês de cada)</t>
  </si>
  <si>
    <t>Equipamentos de proteção - GERAL</t>
  </si>
  <si>
    <t>Sinalização com placa indicativa fixada na estrutura</t>
  </si>
  <si>
    <t>Equipamentos de proteção individual</t>
  </si>
  <si>
    <t>Equipamentos de proteção - HOTEL</t>
  </si>
  <si>
    <t>Bandeja de proteção primária</t>
  </si>
  <si>
    <t>Bandeja de proteção secundária</t>
  </si>
  <si>
    <t>Guarda corpo em laje pós - desforma</t>
  </si>
  <si>
    <t>Fechamento removível de vãos de porta de elevador em madeira</t>
  </si>
  <si>
    <t>Varal de segurança com cabo de aço</t>
  </si>
  <si>
    <t>Tela fachadeira reforçada com impressão digital</t>
  </si>
  <si>
    <t>Equipamentos de proteção - RESIDENCIAL</t>
  </si>
  <si>
    <t>Equipe de Gestão e Apoio - HOTEL</t>
  </si>
  <si>
    <t>Almoxarife</t>
  </si>
  <si>
    <t>Mestre de obras</t>
  </si>
  <si>
    <t>Estagiário</t>
  </si>
  <si>
    <t>Serviço de vigilância 24h</t>
  </si>
  <si>
    <t>Operador de grua</t>
  </si>
  <si>
    <t>Equipe de Gestão e Apoio - RESIDENCIAL</t>
  </si>
  <si>
    <t>Locação da obra</t>
  </si>
  <si>
    <t>Instalações Provisórias: Redes de Água Fria, Esgoto e Drenagem</t>
  </si>
  <si>
    <t>Instalações Provisórias: Redes Elétrica, Comunicação e Dados</t>
  </si>
  <si>
    <t>Locação de banheiro químico</t>
  </si>
  <si>
    <t>Instalações de canteiro</t>
  </si>
  <si>
    <t>Mobiliário de apoio a obra</t>
  </si>
  <si>
    <t>Equipamentos escritório - aquisição</t>
  </si>
  <si>
    <t>Custos já incorridos</t>
  </si>
  <si>
    <t>Mobilização e desmobilização de grua</t>
  </si>
  <si>
    <t>Serviço de montagem de grua RESIDENCIAL</t>
  </si>
  <si>
    <t>Serviço de desmontagem de grua RESIDENCIAL</t>
  </si>
  <si>
    <t>Ascensão da grua RESIDENCIAL</t>
  </si>
  <si>
    <t>Locação de elevador cremalheira -  2 unidades RESIDENCIAL</t>
  </si>
  <si>
    <t>Montagem de elevador cremalheira RESIDENCIAL</t>
  </si>
  <si>
    <t>Desmontagem de elevador cremalheira RESIDENCIAL</t>
  </si>
  <si>
    <t>Locação de elevador cremalheira - HOTEL</t>
  </si>
  <si>
    <t>Montagem de elevador cremalheira HOTEL</t>
  </si>
  <si>
    <t>Desmontagem de elevador cremalheira HOTEL</t>
  </si>
  <si>
    <t>Un.</t>
  </si>
  <si>
    <t>Locação de balancim - RESIDENCIAL</t>
  </si>
  <si>
    <t>Montagem e desmontagem de balancim RESIDENCIAL</t>
  </si>
  <si>
    <t>Locação de andaime fachadeiro</t>
  </si>
  <si>
    <t xml:space="preserve">Mão de obra de montagem de andaime fachadeiro </t>
  </si>
  <si>
    <t>Mobilização e desmobilização de cremalheira</t>
  </si>
  <si>
    <t xml:space="preserve">a cada 3 pavimentos </t>
  </si>
  <si>
    <t>Montagem de torres e cancelas por pavimento</t>
  </si>
  <si>
    <t>Confirmar com planejamento</t>
  </si>
  <si>
    <t>Adotado taxa de 100 kg/m³</t>
  </si>
  <si>
    <t>Adotado fabricação de 4 jogos referentes ao tipo</t>
  </si>
  <si>
    <t>Adotado fabricação de 4 jogos referentes ao tipo, com reaproveitamento</t>
  </si>
  <si>
    <t>Alvenaria refratárias</t>
  </si>
  <si>
    <t>Considerado o assentamento nessa quantidade de churrasqueiras</t>
  </si>
  <si>
    <t>Estação redutora de pressão</t>
  </si>
  <si>
    <t>Exaustão de fogões</t>
  </si>
  <si>
    <t>Sistema de exaustão de garagens</t>
  </si>
  <si>
    <t>Sistema de exaustão de halls e circulações</t>
  </si>
  <si>
    <t>Infraestrutura de climatização VFR</t>
  </si>
  <si>
    <t>Bombas, filtros, etc (RESIDENCIAL - Hidromasaagem na proprioa piscina - interna 10 posições e externa 6 posições + 1 piscina exclusiva de hidro)</t>
  </si>
  <si>
    <t>Bombas, filtros, etc ( 4 coberturas com piscina - 2 posições de hidro cada)</t>
  </si>
  <si>
    <t>Chapisco e Reboco em teto</t>
  </si>
  <si>
    <t>Mão de obra para revestimento argamassado em teto</t>
  </si>
  <si>
    <t>Gesso acartonado com isolamento - material e mão de obra</t>
  </si>
  <si>
    <t>Acabamentos especiais em teto</t>
  </si>
  <si>
    <t>Forro de madeira - material e mão de obra</t>
  </si>
  <si>
    <t>Conforme projeto acústico</t>
  </si>
  <si>
    <t>Academia</t>
  </si>
  <si>
    <t>Piso de madeira - material e mão de obra</t>
  </si>
  <si>
    <t>Piso emborrachado - material e mão de obra</t>
  </si>
  <si>
    <t>Ladrilho hidráulico, aplicado em rampas</t>
  </si>
  <si>
    <t>Incluir fundos e primers, apenas pintura de faixas</t>
  </si>
  <si>
    <t>Lazer</t>
  </si>
  <si>
    <t>Reboco Externo Frisado</t>
  </si>
  <si>
    <t>Mão de obra para revestimento argamassado externo frisado</t>
  </si>
  <si>
    <t>Pintura de reboco frisado</t>
  </si>
  <si>
    <t>Mão de obra para pintura de paredes frisadas</t>
  </si>
  <si>
    <t xml:space="preserve">Mobiliário e decoração </t>
  </si>
  <si>
    <t>Pet place</t>
  </si>
  <si>
    <t>Prever equipamentos de pet place</t>
  </si>
  <si>
    <t xml:space="preserve">Inclui marcenaria, móveis soltos, lustres e decorações </t>
  </si>
  <si>
    <t>RF nos patamares de escadas</t>
  </si>
  <si>
    <t>Chapisco e Reboco em Teto Interno</t>
  </si>
  <si>
    <t>Mão de obra para argamassado em teto</t>
  </si>
  <si>
    <t>Previsto em antecamaras e aessos escadas</t>
  </si>
  <si>
    <t>Revestimento em marmore no piso dos elevadores</t>
  </si>
  <si>
    <t>Muretas Box</t>
  </si>
  <si>
    <t>Elemento pre-moldado - material e mão de obra</t>
  </si>
  <si>
    <t>Elevadores sociais</t>
  </si>
  <si>
    <t>Elevadores de serviço</t>
  </si>
  <si>
    <t>Incluindo negativos em áreas provativas e molduras mais robustas em áreas de lazer</t>
  </si>
  <si>
    <t>Porceanato grandes fromators (sauna seca)</t>
  </si>
  <si>
    <t>Mão de obra para assetamento de porcelanato em teto</t>
  </si>
  <si>
    <t>Revestimento em mármore no piso dos elevadores</t>
  </si>
  <si>
    <t>Contemplando taxas de aprovações, alvaras e seguros, incluindo outorga onerosa</t>
  </si>
  <si>
    <t>Memorias e etc.</t>
  </si>
  <si>
    <t>Engenheiro civil senior</t>
  </si>
  <si>
    <t>Auxliar de engenharia</t>
  </si>
  <si>
    <t>Engenheiro civil pleno</t>
  </si>
  <si>
    <t>Locação de gruas - 1 unidades RESIDENCIAL</t>
  </si>
  <si>
    <t>R01</t>
  </si>
  <si>
    <t>ORÇAMENTO DE VIABILIDADE - RESIDENCIAL</t>
  </si>
  <si>
    <t>ORÇAMENTO DE VIABILIDADE - HOTEL</t>
  </si>
  <si>
    <t>ORÇAMENTO DE VIABILIDADE - INDIRETOS</t>
  </si>
  <si>
    <t>TOTAL</t>
  </si>
  <si>
    <t>VALOR ORÇADO</t>
  </si>
  <si>
    <t>%</t>
  </si>
  <si>
    <t>VALOR / m²</t>
  </si>
  <si>
    <t>ÁREA CONSTRUÍDA HOTEL</t>
  </si>
  <si>
    <t>ÁREA CONSTRUÍDA RESIDENCIAL</t>
  </si>
  <si>
    <t xml:space="preserve">PAREDES E PAINÉIS </t>
  </si>
  <si>
    <t>INSTALAÇÕES ELÉTRICAS, HIDRÁULICAS, GLP E PREVENTIVAS</t>
  </si>
  <si>
    <t>IMPERMEABILIZAÇÃO</t>
  </si>
  <si>
    <t>REVESTIMENTOS E ACABAMENTOS DE FACHADA</t>
  </si>
  <si>
    <t>SERVIÇOS COMPLEMENTARES</t>
  </si>
  <si>
    <t>CUB/RJ</t>
  </si>
  <si>
    <t>DIFERENÇA</t>
  </si>
  <si>
    <t>Relação de custos excluindo etapas não contabilizadas pelo CUB</t>
  </si>
  <si>
    <t>Equipamentos não contemplados pelo CUB em edifícios residenciais de médio a alto padrão:</t>
  </si>
  <si>
    <t>Elevadores (social e de serviço)</t>
  </si>
  <si>
    <t>Plataformas elevatórias (acessibilidade, se houver)</t>
  </si>
  <si>
    <t>Elevadores de emergência ou gerador-reserva para elevadores</t>
  </si>
  <si>
    <t>Gerador de emergência (diesel ou gás)</t>
  </si>
  <si>
    <t>Quadros elétricos especiais (QGBT, QTA, QTM, etc.)</t>
  </si>
  <si>
    <t>Sistema de automação predial (BMS)</t>
  </si>
  <si>
    <t>Medidores individuais de água, gás e energia</t>
  </si>
  <si>
    <t>Bombas de incêndio e pressurização de escada</t>
  </si>
  <si>
    <t>Painel de alarme e detecção de fumaça (SDAI)</t>
  </si>
  <si>
    <t>Sprinklers automáticos</t>
  </si>
  <si>
    <t>Iluminação de emergência com central de baterias</t>
  </si>
  <si>
    <t>Sistema de exaustão de fumaça</t>
  </si>
  <si>
    <t>CFTV (câmeras, gravadores, infraestrutura)</t>
  </si>
  <si>
    <t>Controle de acesso (biometria, tags, interfonia IP)</t>
  </si>
  <si>
    <t>Cerca elétrica ou sensores perimetrais</t>
  </si>
  <si>
    <t>Portões automáticos com controles ou sensores</t>
  </si>
  <si>
    <t>Bombas de recalque (abastecimento de água)</t>
  </si>
  <si>
    <t>Sistema de pressurização hidráulica (booster)</t>
  </si>
  <si>
    <t>Sistema de reuso de água cinza</t>
  </si>
  <si>
    <t>Cisterna de água de reuso ou pluvial</t>
  </si>
  <si>
    <t>Tratamento de piscina e/ou spa (caso exista)</t>
  </si>
  <si>
    <t>Central de gás (GLP ou GN) e seus acessórios (reguladores, abrigos)</t>
  </si>
  <si>
    <t>Antena coletiva e infraestrutura de telecomunicações</t>
  </si>
  <si>
    <t>Sistema de sonorização ou alarme sonoro</t>
  </si>
  <si>
    <t>Equipamentos da casa de lixo (prensa, container metálico, etc.)</t>
  </si>
  <si>
    <t>Equipamentos de coleta seletiva</t>
  </si>
  <si>
    <t>Equipamentos de playground, academia e áreas de lazer</t>
  </si>
  <si>
    <t>Equipamentos de salão de festas e gourmet (fornos, cooktops, geladeiras)</t>
  </si>
  <si>
    <t>Piscinas e equipamentos associados (bombas, filtros, aquecedores)</t>
  </si>
  <si>
    <t>Painéis solares (aquecimento de água ou fotovoltaico)</t>
  </si>
  <si>
    <t>Exaustores de garagens, halls, sanitários comuns</t>
  </si>
  <si>
    <t>Chillers ou sistemas VRF (em empreendimentos de alto padrão)</t>
  </si>
  <si>
    <t>Poço artesiano (se previsto)</t>
  </si>
  <si>
    <t>Sistema de irrigação automatizado para paisagismo</t>
  </si>
  <si>
    <t>Estação compacta de tratamento de esgoto (ETE)</t>
  </si>
  <si>
    <t xml:space="preserve"> Sistemas de Transporte Vertical</t>
  </si>
  <si>
    <t xml:space="preserve"> Sistemas Elétricos e de Automação</t>
  </si>
  <si>
    <t>Sistemas de Segurança Contra Incêndio</t>
  </si>
  <si>
    <t>Sistemas de Segurança</t>
  </si>
  <si>
    <t>Sistemas Hidráulicos Especiais</t>
  </si>
  <si>
    <t>Outros sistemas prediais</t>
  </si>
  <si>
    <t xml:space="preserve"> Áreas comuns e lazer</t>
  </si>
  <si>
    <t xml:space="preserve"> Sistemas complementares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</si>
</sst>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#"/>
    <numFmt numFmtId="165" formatCode="00#"/>
    <numFmt numFmtId="166" formatCode="_-* #.##0.00_-;\-* #.##0.00_-;_-* &quot;-&quot;??_-;_-@_-"/>
    <numFmt numFmtId="167" formatCode="_-* #,##0.00_-;\-* #,##0.00_-;_-* &quot;-&quot;??_-;_-@"/>
    <numFmt numFmtId="168" formatCode="0.0%"/>
  </numFmts>
  <fonts count="4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Poppins"/>
    </font>
    <font>
      <sz val="10"/>
      <color theme="1"/>
      <name val="Poppins"/>
    </font>
    <font>
      <b/>
      <sz val="10"/>
      <color theme="1"/>
      <name val="Poppins"/>
    </font>
    <font>
      <sz val="10"/>
      <name val="Arial"/>
      <family val="2"/>
    </font>
    <font>
      <b/>
      <sz val="14"/>
      <color rgb="FF121212"/>
      <name val="Poppins"/>
    </font>
    <font>
      <sz val="10"/>
      <name val="Roboto"/>
    </font>
    <font>
      <b/>
      <sz val="8"/>
      <color theme="0"/>
      <name val="Poppins"/>
    </font>
    <font>
      <sz val="8"/>
      <color rgb="FF121212"/>
      <name val="Poppins"/>
    </font>
    <font>
      <i/>
      <sz val="8"/>
      <color rgb="FF121212"/>
      <name val="Poppins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8"/>
      <name val="Poppins"/>
    </font>
    <font>
      <i/>
      <sz val="8"/>
      <name val="Poppins"/>
    </font>
    <font>
      <sz val="11"/>
      <name val="Calibri"/>
      <family val="2"/>
      <scheme val="minor"/>
    </font>
    <font>
      <sz val="9"/>
      <color theme="0" tint="-0.499984740745262"/>
      <name val="Poppins"/>
    </font>
    <font>
      <b/>
      <sz val="9"/>
      <color rgb="FFFE3400"/>
      <name val="Poppins"/>
    </font>
    <font>
      <sz val="9"/>
      <color theme="1"/>
      <name val="Poppins"/>
    </font>
    <font>
      <b/>
      <sz val="9"/>
      <color theme="0"/>
      <name val="Poppins"/>
    </font>
    <font>
      <sz val="9"/>
      <name val="Poppins"/>
    </font>
    <font>
      <b/>
      <sz val="9"/>
      <color rgb="FF0000FF"/>
      <name val="Poppins"/>
    </font>
    <font>
      <b/>
      <sz val="9"/>
      <color rgb="FFF5F5F5"/>
      <name val="Poppins"/>
    </font>
    <font>
      <b/>
      <sz val="9"/>
      <color rgb="FF010000"/>
      <name val="Poppins"/>
    </font>
    <font>
      <sz val="9"/>
      <color rgb="FF010000"/>
      <name val="Poppins"/>
    </font>
    <font>
      <sz val="9"/>
      <color rgb="FF121212"/>
      <name val="Poppins"/>
    </font>
    <font>
      <b/>
      <sz val="9"/>
      <color theme="1"/>
      <name val="Poppins"/>
    </font>
    <font>
      <b/>
      <sz val="9"/>
      <color rgb="FF121212"/>
      <name val="Poppins"/>
    </font>
    <font>
      <sz val="9"/>
      <color rgb="FFFF0000"/>
      <name val="Poppins"/>
    </font>
    <font>
      <b/>
      <sz val="12"/>
      <color rgb="FFFE3400"/>
      <name val="Poppins"/>
    </font>
    <font>
      <sz val="10"/>
      <color theme="1"/>
      <name val="Roboto"/>
    </font>
    <font>
      <sz val="11"/>
      <color theme="1"/>
      <name val="Calibri"/>
      <family val="2"/>
    </font>
    <font>
      <b/>
      <sz val="11"/>
      <color theme="0"/>
      <name val="Poppins"/>
    </font>
    <font>
      <sz val="11"/>
      <color theme="1"/>
      <name val="Poppins"/>
    </font>
    <font>
      <sz val="11"/>
      <name val="Poppins"/>
    </font>
    <font>
      <sz val="10"/>
      <color rgb="FF121212"/>
      <name val="Poppins"/>
    </font>
    <font>
      <b/>
      <sz val="13.5"/>
      <color theme="1"/>
      <name val="Calibri"/>
      <scheme val="minor"/>
    </font>
    <font>
      <b/>
      <sz val="12"/>
      <color theme="1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55A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121212"/>
        <bgColor rgb="FFFFFFFF"/>
      </patternFill>
    </fill>
    <fill>
      <patternFill patternType="solid">
        <fgColor rgb="FF255AE5"/>
        <bgColor rgb="FF255AE5"/>
      </patternFill>
    </fill>
    <fill>
      <patternFill patternType="solid">
        <fgColor rgb="FFDCDCDC"/>
        <bgColor rgb="FFDCDCDC"/>
      </patternFill>
    </fill>
    <fill>
      <patternFill patternType="solid">
        <fgColor theme="0"/>
        <bgColor theme="0"/>
      </patternFill>
    </fill>
    <fill>
      <patternFill patternType="solid">
        <fgColor theme="0" tint="-0.89999084444715716"/>
        <bgColor rgb="FF255AE5"/>
      </patternFill>
    </fill>
  </fills>
  <borders count="67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theme="4"/>
      </bottom>
      <diagonal/>
    </border>
    <border>
      <left/>
      <right style="medium">
        <color indexed="64"/>
      </right>
      <top/>
      <bottom style="thin">
        <color theme="4"/>
      </bottom>
      <diagonal/>
    </border>
    <border>
      <left style="medium">
        <color indexed="64"/>
      </left>
      <right style="hair">
        <color theme="2" tint="-0.499984740745262"/>
      </right>
      <top style="hair">
        <color theme="2" tint="-0.499984740745262"/>
      </top>
      <bottom style="hair">
        <color theme="2" tint="-0.499984740745262"/>
      </bottom>
      <diagonal/>
    </border>
    <border>
      <left style="hair">
        <color theme="2" tint="-0.499984740745262"/>
      </left>
      <right style="hair">
        <color theme="2" tint="-0.499984740745262"/>
      </right>
      <top style="hair">
        <color theme="2" tint="-0.499984740745262"/>
      </top>
      <bottom style="hair">
        <color theme="2" tint="-0.499984740745262"/>
      </bottom>
      <diagonal/>
    </border>
    <border>
      <left style="hair">
        <color theme="2" tint="-0.499984740745262"/>
      </left>
      <right style="medium">
        <color indexed="64"/>
      </right>
      <top style="hair">
        <color theme="2" tint="-0.499984740745262"/>
      </top>
      <bottom style="hair">
        <color theme="2" tint="-0.499984740745262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theme="2" tint="-0.499984740745262"/>
      </top>
      <bottom style="hair">
        <color theme="2" tint="-0.499984740745262"/>
      </bottom>
      <diagonal/>
    </border>
    <border>
      <left style="medium">
        <color indexed="64"/>
      </left>
      <right style="hair">
        <color indexed="64"/>
      </right>
      <top style="hair">
        <color theme="2" tint="-0.499984740745262"/>
      </top>
      <bottom style="hair">
        <color theme="2" tint="-0.499984740745262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theme="2" tint="-0.499984740745262"/>
      </top>
      <bottom style="hair">
        <color theme="2" tint="-0.499984740745262"/>
      </bottom>
      <diagonal/>
    </border>
    <border>
      <left/>
      <right style="hair">
        <color indexed="64"/>
      </right>
      <top style="hair">
        <color theme="2" tint="-0.499984740745262"/>
      </top>
      <bottom style="hair">
        <color theme="2" tint="-0.499984740745262"/>
      </bottom>
      <diagonal/>
    </border>
    <border>
      <left/>
      <right style="medium">
        <color indexed="64"/>
      </right>
      <top/>
      <bottom style="hair">
        <color theme="2" tint="-0.499984740745262"/>
      </bottom>
      <diagonal/>
    </border>
    <border>
      <left style="medium">
        <color indexed="64"/>
      </left>
      <right style="hair">
        <color indexed="64"/>
      </right>
      <top/>
      <bottom style="hair">
        <color theme="2" tint="-0.499984740745262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hair">
        <color theme="2" tint="-0.499984740745262"/>
      </bottom>
      <diagonal/>
    </border>
    <border>
      <left style="hair">
        <color theme="2" tint="-0.499984740745262"/>
      </left>
      <right style="medium">
        <color indexed="64"/>
      </right>
      <top/>
      <bottom style="hair">
        <color theme="2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theme="2" tint="-0.499984740745262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theme="2" tint="-0.499984740745262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theme="2" tint="-0.499984740745262"/>
      </left>
      <right style="medium">
        <color indexed="64"/>
      </right>
      <top style="hair">
        <color theme="2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rgb="FF000000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</borders>
  <cellStyleXfs count="14">
    <xf numFmtId="0" fontId="0" fillId="0" borderId="0"/>
    <xf numFmtId="0" fontId="7" fillId="0" borderId="0"/>
    <xf numFmtId="0" fontId="7" fillId="0" borderId="0"/>
    <xf numFmtId="166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234">
    <xf numFmtId="0" fontId="0" fillId="0" borderId="0" xfId="0"/>
    <xf numFmtId="0" fontId="9" fillId="0" borderId="0" xfId="2" applyFont="1" applyAlignment="1">
      <alignment vertical="center"/>
    </xf>
    <xf numFmtId="49" fontId="5" fillId="0" borderId="0" xfId="2" applyNumberFormat="1" applyFont="1" applyAlignment="1">
      <alignment vertical="center"/>
    </xf>
    <xf numFmtId="0" fontId="5" fillId="4" borderId="0" xfId="2" applyFont="1" applyFill="1" applyAlignment="1">
      <alignment vertical="center"/>
    </xf>
    <xf numFmtId="166" fontId="5" fillId="4" borderId="0" xfId="3" applyFont="1" applyFill="1" applyAlignment="1">
      <alignment vertical="center"/>
    </xf>
    <xf numFmtId="166" fontId="5" fillId="4" borderId="0" xfId="3" applyFont="1" applyFill="1" applyAlignment="1">
      <alignment horizontal="center" vertical="center"/>
    </xf>
    <xf numFmtId="0" fontId="9" fillId="5" borderId="0" xfId="2" applyFont="1" applyFill="1" applyAlignment="1">
      <alignment vertical="center"/>
    </xf>
    <xf numFmtId="49" fontId="4" fillId="6" borderId="29" xfId="2" applyNumberFormat="1" applyFont="1" applyFill="1" applyBorder="1" applyAlignment="1">
      <alignment vertical="center"/>
    </xf>
    <xf numFmtId="0" fontId="6" fillId="5" borderId="30" xfId="2" applyFont="1" applyFill="1" applyBorder="1" applyAlignment="1">
      <alignment vertical="center"/>
    </xf>
    <xf numFmtId="0" fontId="6" fillId="5" borderId="31" xfId="2" applyFont="1" applyFill="1" applyBorder="1" applyAlignment="1">
      <alignment vertical="center"/>
    </xf>
    <xf numFmtId="43" fontId="6" fillId="5" borderId="31" xfId="4" applyFont="1" applyFill="1" applyBorder="1" applyAlignment="1">
      <alignment vertical="center"/>
    </xf>
    <xf numFmtId="0" fontId="9" fillId="5" borderId="31" xfId="2" applyFont="1" applyFill="1" applyBorder="1" applyAlignment="1">
      <alignment vertical="center"/>
    </xf>
    <xf numFmtId="0" fontId="9" fillId="5" borderId="32" xfId="2" applyFont="1" applyFill="1" applyBorder="1" applyAlignment="1">
      <alignment vertical="center"/>
    </xf>
    <xf numFmtId="49" fontId="4" fillId="6" borderId="33" xfId="2" applyNumberFormat="1" applyFont="1" applyFill="1" applyBorder="1" applyAlignment="1">
      <alignment vertical="center"/>
    </xf>
    <xf numFmtId="14" fontId="6" fillId="5" borderId="30" xfId="2" applyNumberFormat="1" applyFont="1" applyFill="1" applyBorder="1" applyAlignment="1">
      <alignment horizontal="left" vertical="center"/>
    </xf>
    <xf numFmtId="14" fontId="6" fillId="5" borderId="31" xfId="2" applyNumberFormat="1" applyFont="1" applyFill="1" applyBorder="1" applyAlignment="1">
      <alignment vertical="center"/>
    </xf>
    <xf numFmtId="49" fontId="4" fillId="6" borderId="34" xfId="2" applyNumberFormat="1" applyFont="1" applyFill="1" applyBorder="1" applyAlignment="1">
      <alignment horizontal="left" vertical="center"/>
    </xf>
    <xf numFmtId="0" fontId="3" fillId="0" borderId="0" xfId="5"/>
    <xf numFmtId="43" fontId="11" fillId="0" borderId="41" xfId="6" applyFont="1" applyFill="1" applyBorder="1" applyAlignment="1">
      <alignment horizontal="center" vertical="center" wrapText="1"/>
    </xf>
    <xf numFmtId="43" fontId="11" fillId="0" borderId="43" xfId="6" applyFont="1" applyFill="1" applyBorder="1" applyAlignment="1">
      <alignment horizontal="center" vertical="center" wrapText="1"/>
    </xf>
    <xf numFmtId="0" fontId="11" fillId="0" borderId="44" xfId="5" applyFont="1" applyBorder="1" applyAlignment="1">
      <alignment vertical="center" wrapText="1"/>
    </xf>
    <xf numFmtId="43" fontId="11" fillId="0" borderId="45" xfId="6" applyFont="1" applyFill="1" applyBorder="1" applyAlignment="1">
      <alignment vertical="center" wrapText="1"/>
    </xf>
    <xf numFmtId="0" fontId="11" fillId="0" borderId="50" xfId="5" applyFont="1" applyBorder="1" applyAlignment="1">
      <alignment vertical="center" wrapText="1"/>
    </xf>
    <xf numFmtId="43" fontId="11" fillId="0" borderId="51" xfId="6" applyFont="1" applyFill="1" applyBorder="1" applyAlignment="1">
      <alignment horizontal="center" vertical="center" wrapText="1"/>
    </xf>
    <xf numFmtId="43" fontId="11" fillId="0" borderId="52" xfId="6" applyFont="1" applyFill="1" applyBorder="1" applyAlignment="1">
      <alignment horizontal="center" vertical="center" wrapText="1"/>
    </xf>
    <xf numFmtId="43" fontId="11" fillId="0" borderId="53" xfId="6" applyFont="1" applyFill="1" applyBorder="1" applyAlignment="1">
      <alignment vertical="center" wrapText="1"/>
    </xf>
    <xf numFmtId="0" fontId="11" fillId="0" borderId="46" xfId="5" applyFont="1" applyBorder="1" applyAlignment="1">
      <alignment vertical="center" wrapText="1"/>
    </xf>
    <xf numFmtId="43" fontId="11" fillId="0" borderId="47" xfId="6" applyFont="1" applyFill="1" applyBorder="1" applyAlignment="1">
      <alignment horizontal="center" vertical="center" wrapText="1"/>
    </xf>
    <xf numFmtId="43" fontId="11" fillId="0" borderId="48" xfId="6" applyFont="1" applyFill="1" applyBorder="1" applyAlignment="1">
      <alignment horizontal="center" vertical="center" wrapText="1"/>
    </xf>
    <xf numFmtId="43" fontId="11" fillId="0" borderId="49" xfId="6" applyFont="1" applyFill="1" applyBorder="1" applyAlignment="1">
      <alignment vertical="center" wrapText="1"/>
    </xf>
    <xf numFmtId="0" fontId="10" fillId="2" borderId="35" xfId="0" applyFont="1" applyFill="1" applyBorder="1" applyAlignment="1">
      <alignment horizontal="center" vertical="center"/>
    </xf>
    <xf numFmtId="0" fontId="10" fillId="2" borderId="36" xfId="0" applyFont="1" applyFill="1" applyBorder="1" applyAlignment="1">
      <alignment horizontal="center" vertical="center" wrapText="1"/>
    </xf>
    <xf numFmtId="0" fontId="10" fillId="2" borderId="37" xfId="0" applyFont="1" applyFill="1" applyBorder="1" applyAlignment="1">
      <alignment horizontal="center" vertical="center" wrapText="1"/>
    </xf>
    <xf numFmtId="43" fontId="10" fillId="2" borderId="38" xfId="8" applyFont="1" applyFill="1" applyBorder="1" applyAlignment="1">
      <alignment horizontal="center" vertical="center" wrapText="1"/>
    </xf>
    <xf numFmtId="0" fontId="11" fillId="5" borderId="39" xfId="0" applyFont="1" applyFill="1" applyBorder="1" applyAlignment="1">
      <alignment vertical="center" wrapText="1"/>
    </xf>
    <xf numFmtId="43" fontId="11" fillId="5" borderId="40" xfId="8" applyFont="1" applyFill="1" applyBorder="1" applyAlignment="1">
      <alignment horizontal="center" vertical="center" wrapText="1"/>
    </xf>
    <xf numFmtId="43" fontId="11" fillId="5" borderId="56" xfId="8" applyFont="1" applyFill="1" applyBorder="1" applyAlignment="1">
      <alignment horizontal="center" vertical="center" wrapText="1"/>
    </xf>
    <xf numFmtId="43" fontId="11" fillId="5" borderId="42" xfId="8" applyFont="1" applyFill="1" applyBorder="1" applyAlignment="1">
      <alignment vertical="center" wrapText="1"/>
    </xf>
    <xf numFmtId="0" fontId="11" fillId="5" borderId="44" xfId="0" applyFont="1" applyFill="1" applyBorder="1" applyAlignment="1">
      <alignment vertical="center" wrapText="1"/>
    </xf>
    <xf numFmtId="43" fontId="11" fillId="5" borderId="43" xfId="8" applyFont="1" applyFill="1" applyBorder="1" applyAlignment="1">
      <alignment horizontal="center" vertical="center" wrapText="1"/>
    </xf>
    <xf numFmtId="43" fontId="11" fillId="5" borderId="41" xfId="8" applyFont="1" applyFill="1" applyBorder="1" applyAlignment="1">
      <alignment horizontal="center" vertical="center" wrapText="1"/>
    </xf>
    <xf numFmtId="43" fontId="11" fillId="5" borderId="45" xfId="8" applyFont="1" applyFill="1" applyBorder="1" applyAlignment="1">
      <alignment vertical="center" wrapText="1"/>
    </xf>
    <xf numFmtId="0" fontId="12" fillId="5" borderId="44" xfId="0" applyFont="1" applyFill="1" applyBorder="1" applyAlignment="1">
      <alignment horizontal="right" vertical="center" wrapText="1"/>
    </xf>
    <xf numFmtId="43" fontId="12" fillId="5" borderId="43" xfId="8" applyFont="1" applyFill="1" applyBorder="1" applyAlignment="1">
      <alignment horizontal="center" vertical="center" wrapText="1"/>
    </xf>
    <xf numFmtId="43" fontId="12" fillId="5" borderId="41" xfId="8" applyFont="1" applyFill="1" applyBorder="1" applyAlignment="1">
      <alignment horizontal="center" vertical="center" wrapText="1"/>
    </xf>
    <xf numFmtId="43" fontId="12" fillId="5" borderId="45" xfId="8" applyFont="1" applyFill="1" applyBorder="1" applyAlignment="1">
      <alignment vertical="center" wrapText="1"/>
    </xf>
    <xf numFmtId="0" fontId="11" fillId="5" borderId="46" xfId="0" applyFont="1" applyFill="1" applyBorder="1" applyAlignment="1">
      <alignment vertical="center" wrapText="1"/>
    </xf>
    <xf numFmtId="43" fontId="11" fillId="5" borderId="47" xfId="8" applyFont="1" applyFill="1" applyBorder="1" applyAlignment="1">
      <alignment horizontal="center" vertical="center" wrapText="1"/>
    </xf>
    <xf numFmtId="43" fontId="11" fillId="5" borderId="48" xfId="8" applyFont="1" applyFill="1" applyBorder="1" applyAlignment="1">
      <alignment horizontal="center" vertical="center" wrapText="1"/>
    </xf>
    <xf numFmtId="43" fontId="11" fillId="5" borderId="49" xfId="8" applyFont="1" applyFill="1" applyBorder="1" applyAlignment="1">
      <alignment vertical="center" wrapText="1"/>
    </xf>
    <xf numFmtId="0" fontId="15" fillId="5" borderId="44" xfId="0" applyFont="1" applyFill="1" applyBorder="1" applyAlignment="1">
      <alignment vertical="center" wrapText="1"/>
    </xf>
    <xf numFmtId="43" fontId="15" fillId="5" borderId="43" xfId="8" applyFont="1" applyFill="1" applyBorder="1" applyAlignment="1">
      <alignment horizontal="center" vertical="center" wrapText="1"/>
    </xf>
    <xf numFmtId="43" fontId="15" fillId="5" borderId="41" xfId="8" applyFont="1" applyFill="1" applyBorder="1" applyAlignment="1">
      <alignment horizontal="center" vertical="center" wrapText="1"/>
    </xf>
    <xf numFmtId="43" fontId="16" fillId="5" borderId="45" xfId="8" applyFont="1" applyFill="1" applyBorder="1" applyAlignment="1">
      <alignment vertical="center" wrapText="1"/>
    </xf>
    <xf numFmtId="0" fontId="17" fillId="0" borderId="0" xfId="5" applyFont="1"/>
    <xf numFmtId="0" fontId="18" fillId="0" borderId="0" xfId="0" applyFont="1"/>
    <xf numFmtId="0" fontId="18" fillId="0" borderId="6" xfId="0" applyFont="1" applyBorder="1"/>
    <xf numFmtId="0" fontId="19" fillId="0" borderId="0" xfId="0" applyFont="1" applyAlignment="1">
      <alignment horizontal="left" vertical="center"/>
    </xf>
    <xf numFmtId="0" fontId="20" fillId="0" borderId="0" xfId="0" applyFont="1"/>
    <xf numFmtId="0" fontId="22" fillId="0" borderId="0" xfId="1" applyFont="1"/>
    <xf numFmtId="0" fontId="21" fillId="2" borderId="12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center" vertical="center"/>
    </xf>
    <xf numFmtId="44" fontId="21" fillId="2" borderId="23" xfId="7" applyFont="1" applyFill="1" applyBorder="1" applyAlignment="1">
      <alignment horizontal="center" vertical="center"/>
    </xf>
    <xf numFmtId="164" fontId="18" fillId="0" borderId="0" xfId="1" applyNumberFormat="1" applyFont="1" applyAlignment="1">
      <alignment horizontal="left" vertical="center"/>
    </xf>
    <xf numFmtId="165" fontId="18" fillId="0" borderId="0" xfId="1" applyNumberFormat="1" applyFont="1" applyAlignment="1">
      <alignment horizontal="left" vertical="center"/>
    </xf>
    <xf numFmtId="165" fontId="18" fillId="0" borderId="6" xfId="1" applyNumberFormat="1" applyFont="1" applyBorder="1" applyAlignment="1">
      <alignment horizontal="left" vertical="center"/>
    </xf>
    <xf numFmtId="49" fontId="21" fillId="0" borderId="9" xfId="0" applyNumberFormat="1" applyFont="1" applyBorder="1" applyAlignment="1">
      <alignment horizontal="left" vertical="center"/>
    </xf>
    <xf numFmtId="0" fontId="22" fillId="0" borderId="10" xfId="1" quotePrefix="1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 wrapText="1"/>
    </xf>
    <xf numFmtId="0" fontId="24" fillId="0" borderId="25" xfId="0" applyFont="1" applyBorder="1" applyAlignment="1">
      <alignment horizontal="left" vertical="center" wrapText="1"/>
    </xf>
    <xf numFmtId="0" fontId="20" fillId="0" borderId="0" xfId="0" applyFont="1" applyAlignment="1">
      <alignment vertical="center"/>
    </xf>
    <xf numFmtId="49" fontId="25" fillId="0" borderId="9" xfId="0" applyNumberFormat="1" applyFont="1" applyBorder="1" applyAlignment="1">
      <alignment horizontal="left" vertical="center"/>
    </xf>
    <xf numFmtId="0" fontId="25" fillId="0" borderId="11" xfId="0" applyFont="1" applyBorder="1" applyAlignment="1">
      <alignment horizontal="left" vertical="center" wrapText="1"/>
    </xf>
    <xf numFmtId="49" fontId="26" fillId="0" borderId="9" xfId="0" applyNumberFormat="1" applyFont="1" applyBorder="1" applyAlignment="1">
      <alignment horizontal="left" vertical="center"/>
    </xf>
    <xf numFmtId="0" fontId="26" fillId="0" borderId="11" xfId="0" applyFont="1" applyBorder="1" applyAlignment="1">
      <alignment horizontal="left" vertical="center" wrapText="1"/>
    </xf>
    <xf numFmtId="0" fontId="20" fillId="0" borderId="11" xfId="0" applyFont="1" applyBorder="1" applyAlignment="1">
      <alignment vertical="center"/>
    </xf>
    <xf numFmtId="0" fontId="27" fillId="0" borderId="11" xfId="0" applyFont="1" applyBorder="1" applyAlignment="1">
      <alignment vertical="center"/>
    </xf>
    <xf numFmtId="0" fontId="21" fillId="0" borderId="11" xfId="0" applyFont="1" applyBorder="1" applyAlignment="1">
      <alignment horizontal="left" vertical="center" wrapText="1"/>
    </xf>
    <xf numFmtId="44" fontId="21" fillId="0" borderId="11" xfId="7" applyFont="1" applyBorder="1" applyAlignment="1">
      <alignment horizontal="left" vertical="center" wrapText="1"/>
    </xf>
    <xf numFmtId="0" fontId="29" fillId="0" borderId="11" xfId="0" applyFont="1" applyBorder="1" applyAlignment="1">
      <alignment vertical="center"/>
    </xf>
    <xf numFmtId="0" fontId="28" fillId="0" borderId="11" xfId="0" applyFont="1" applyBorder="1" applyAlignment="1">
      <alignment vertical="center"/>
    </xf>
    <xf numFmtId="0" fontId="26" fillId="0" borderId="11" xfId="0" applyFont="1" applyBorder="1" applyAlignment="1">
      <alignment horizontal="left" vertical="top" wrapText="1"/>
    </xf>
    <xf numFmtId="0" fontId="22" fillId="0" borderId="0" xfId="1" applyFont="1" applyAlignment="1">
      <alignment wrapText="1"/>
    </xf>
    <xf numFmtId="0" fontId="26" fillId="3" borderId="11" xfId="0" applyFont="1" applyFill="1" applyBorder="1" applyAlignment="1">
      <alignment horizontal="left" vertical="center" wrapText="1"/>
    </xf>
    <xf numFmtId="0" fontId="28" fillId="0" borderId="11" xfId="0" applyFont="1" applyBorder="1" applyAlignment="1">
      <alignment vertical="center" wrapText="1"/>
    </xf>
    <xf numFmtId="49" fontId="30" fillId="3" borderId="9" xfId="0" applyNumberFormat="1" applyFont="1" applyFill="1" applyBorder="1" applyAlignment="1">
      <alignment horizontal="left" vertical="center"/>
    </xf>
    <xf numFmtId="0" fontId="30" fillId="3" borderId="10" xfId="1" quotePrefix="1" applyFont="1" applyFill="1" applyBorder="1" applyAlignment="1">
      <alignment horizontal="left" vertical="center"/>
    </xf>
    <xf numFmtId="0" fontId="30" fillId="3" borderId="11" xfId="0" applyFont="1" applyFill="1" applyBorder="1" applyAlignment="1">
      <alignment horizontal="left" vertical="center" wrapText="1"/>
    </xf>
    <xf numFmtId="0" fontId="30" fillId="3" borderId="11" xfId="0" applyFont="1" applyFill="1" applyBorder="1" applyAlignment="1">
      <alignment horizontal="left" vertical="top" wrapText="1"/>
    </xf>
    <xf numFmtId="0" fontId="18" fillId="0" borderId="0" xfId="1" applyFont="1" applyAlignment="1">
      <alignment vertical="center"/>
    </xf>
    <xf numFmtId="0" fontId="18" fillId="0" borderId="0" xfId="1" applyFont="1" applyAlignment="1">
      <alignment horizontal="left" vertical="center"/>
    </xf>
    <xf numFmtId="49" fontId="20" fillId="0" borderId="0" xfId="0" applyNumberFormat="1" applyFont="1"/>
    <xf numFmtId="0" fontId="22" fillId="0" borderId="0" xfId="1" applyFont="1" applyAlignment="1">
      <alignment vertical="center"/>
    </xf>
    <xf numFmtId="0" fontId="19" fillId="0" borderId="0" xfId="0" applyFont="1" applyAlignment="1">
      <alignment horizontal="center" vertical="center"/>
    </xf>
    <xf numFmtId="0" fontId="24" fillId="0" borderId="19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19" fillId="0" borderId="0" xfId="0" applyFont="1" applyAlignment="1">
      <alignment horizontal="left" vertical="center" wrapText="1"/>
    </xf>
    <xf numFmtId="0" fontId="20" fillId="0" borderId="11" xfId="0" applyFont="1" applyBorder="1" applyAlignment="1">
      <alignment vertical="center" wrapText="1"/>
    </xf>
    <xf numFmtId="0" fontId="27" fillId="0" borderId="11" xfId="0" applyFont="1" applyBorder="1" applyAlignment="1">
      <alignment vertical="center" wrapText="1"/>
    </xf>
    <xf numFmtId="0" fontId="20" fillId="0" borderId="57" xfId="0" applyFont="1" applyBorder="1" applyAlignment="1">
      <alignment vertical="center" wrapText="1"/>
    </xf>
    <xf numFmtId="0" fontId="20" fillId="0" borderId="0" xfId="0" applyFont="1" applyAlignment="1">
      <alignment wrapText="1"/>
    </xf>
    <xf numFmtId="0" fontId="21" fillId="0" borderId="14" xfId="0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30" fillId="3" borderId="14" xfId="0" applyFont="1" applyFill="1" applyBorder="1" applyAlignment="1">
      <alignment horizontal="center" vertical="center" wrapText="1"/>
    </xf>
    <xf numFmtId="44" fontId="19" fillId="0" borderId="0" xfId="7" applyFont="1" applyAlignment="1">
      <alignment horizontal="center" vertical="center"/>
    </xf>
    <xf numFmtId="0" fontId="24" fillId="0" borderId="24" xfId="0" applyFont="1" applyBorder="1" applyAlignment="1">
      <alignment horizontal="center" vertical="center" wrapText="1"/>
    </xf>
    <xf numFmtId="44" fontId="24" fillId="0" borderId="18" xfId="7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 wrapText="1"/>
    </xf>
    <xf numFmtId="44" fontId="25" fillId="0" borderId="13" xfId="7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44" fontId="26" fillId="0" borderId="13" xfId="7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/>
    </xf>
    <xf numFmtId="44" fontId="20" fillId="0" borderId="13" xfId="7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44" fontId="27" fillId="0" borderId="13" xfId="7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44" fontId="20" fillId="0" borderId="0" xfId="7" applyFont="1" applyAlignment="1">
      <alignment horizontal="center"/>
    </xf>
    <xf numFmtId="0" fontId="21" fillId="0" borderId="16" xfId="0" applyFont="1" applyBorder="1" applyAlignment="1">
      <alignment horizontal="center" vertical="center" wrapText="1"/>
    </xf>
    <xf numFmtId="44" fontId="21" fillId="0" borderId="13" xfId="7" applyFont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center" wrapText="1"/>
    </xf>
    <xf numFmtId="44" fontId="28" fillId="0" borderId="13" xfId="7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 wrapText="1"/>
    </xf>
    <xf numFmtId="43" fontId="26" fillId="0" borderId="14" xfId="0" applyNumberFormat="1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2" fontId="26" fillId="0" borderId="14" xfId="0" applyNumberFormat="1" applyFont="1" applyBorder="1" applyAlignment="1">
      <alignment horizontal="center" vertical="center" wrapText="1"/>
    </xf>
    <xf numFmtId="44" fontId="29" fillId="0" borderId="13" xfId="7" applyFont="1" applyBorder="1" applyAlignment="1">
      <alignment horizontal="center" vertical="center"/>
    </xf>
    <xf numFmtId="2" fontId="27" fillId="0" borderId="14" xfId="0" applyNumberFormat="1" applyFont="1" applyBorder="1" applyAlignment="1">
      <alignment horizontal="center" vertical="center"/>
    </xf>
    <xf numFmtId="0" fontId="30" fillId="3" borderId="16" xfId="0" applyFont="1" applyFill="1" applyBorder="1" applyAlignment="1">
      <alignment horizontal="center" vertical="center" wrapText="1"/>
    </xf>
    <xf numFmtId="44" fontId="30" fillId="3" borderId="13" xfId="7" applyFont="1" applyFill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2" fontId="32" fillId="0" borderId="58" xfId="8" applyNumberFormat="1" applyFont="1" applyBorder="1" applyAlignment="1">
      <alignment horizontal="center" vertical="center" wrapText="1"/>
    </xf>
    <xf numFmtId="4" fontId="26" fillId="0" borderId="14" xfId="0" applyNumberFormat="1" applyFont="1" applyBorder="1" applyAlignment="1">
      <alignment horizontal="center" vertical="center" wrapText="1"/>
    </xf>
    <xf numFmtId="0" fontId="2" fillId="0" borderId="0" xfId="10"/>
    <xf numFmtId="0" fontId="34" fillId="7" borderId="28" xfId="10" applyFont="1" applyFill="1" applyBorder="1" applyAlignment="1">
      <alignment horizontal="left" vertical="center"/>
    </xf>
    <xf numFmtId="0" fontId="34" fillId="7" borderId="28" xfId="10" applyFont="1" applyFill="1" applyBorder="1" applyAlignment="1">
      <alignment horizontal="center" vertical="center"/>
    </xf>
    <xf numFmtId="0" fontId="5" fillId="0" borderId="0" xfId="10" applyFont="1" applyAlignment="1">
      <alignment vertical="center"/>
    </xf>
    <xf numFmtId="0" fontId="35" fillId="8" borderId="59" xfId="10" applyFont="1" applyFill="1" applyBorder="1" applyAlignment="1">
      <alignment horizontal="left" vertical="center"/>
    </xf>
    <xf numFmtId="44" fontId="36" fillId="8" borderId="60" xfId="11" applyFont="1" applyFill="1" applyBorder="1" applyAlignment="1">
      <alignment horizontal="center" vertical="center"/>
    </xf>
    <xf numFmtId="10" fontId="35" fillId="8" borderId="60" xfId="10" applyNumberFormat="1" applyFont="1" applyFill="1" applyBorder="1" applyAlignment="1">
      <alignment horizontal="center" vertical="center"/>
    </xf>
    <xf numFmtId="44" fontId="35" fillId="8" borderId="61" xfId="11" applyFont="1" applyFill="1" applyBorder="1" applyAlignment="1">
      <alignment horizontal="center" vertical="center"/>
    </xf>
    <xf numFmtId="0" fontId="6" fillId="0" borderId="62" xfId="10" applyFont="1" applyBorder="1" applyAlignment="1">
      <alignment vertical="center"/>
    </xf>
    <xf numFmtId="43" fontId="5" fillId="0" borderId="63" xfId="10" applyNumberFormat="1" applyFont="1" applyBorder="1" applyAlignment="1">
      <alignment vertical="center"/>
    </xf>
    <xf numFmtId="0" fontId="5" fillId="0" borderId="64" xfId="10" applyFont="1" applyBorder="1" applyAlignment="1">
      <alignment horizontal="center" vertical="center"/>
    </xf>
    <xf numFmtId="0" fontId="35" fillId="9" borderId="65" xfId="10" applyFont="1" applyFill="1" applyBorder="1" applyAlignment="1">
      <alignment horizontal="left" vertical="center"/>
    </xf>
    <xf numFmtId="44" fontId="35" fillId="9" borderId="66" xfId="11" applyFont="1" applyFill="1" applyBorder="1" applyAlignment="1">
      <alignment horizontal="center" vertical="center"/>
    </xf>
    <xf numFmtId="10" fontId="35" fillId="9" borderId="66" xfId="10" applyNumberFormat="1" applyFont="1" applyFill="1" applyBorder="1" applyAlignment="1">
      <alignment horizontal="center" vertical="center"/>
    </xf>
    <xf numFmtId="44" fontId="35" fillId="9" borderId="61" xfId="11" applyFont="1" applyFill="1" applyBorder="1" applyAlignment="1">
      <alignment horizontal="center" vertical="center"/>
    </xf>
    <xf numFmtId="167" fontId="5" fillId="0" borderId="0" xfId="10" applyNumberFormat="1" applyFont="1" applyAlignment="1">
      <alignment horizontal="center" vertical="center"/>
    </xf>
    <xf numFmtId="43" fontId="5" fillId="0" borderId="0" xfId="10" applyNumberFormat="1" applyFont="1" applyAlignment="1">
      <alignment vertical="center"/>
    </xf>
    <xf numFmtId="0" fontId="5" fillId="0" borderId="0" xfId="10" applyFont="1" applyAlignment="1">
      <alignment horizontal="center" vertical="center"/>
    </xf>
    <xf numFmtId="166" fontId="5" fillId="0" borderId="0" xfId="10" applyNumberFormat="1" applyFont="1" applyAlignment="1">
      <alignment vertical="center"/>
    </xf>
    <xf numFmtId="4" fontId="33" fillId="0" borderId="0" xfId="10" applyNumberFormat="1" applyFont="1"/>
    <xf numFmtId="0" fontId="37" fillId="0" borderId="0" xfId="10" applyFont="1" applyAlignment="1">
      <alignment vertical="center"/>
    </xf>
    <xf numFmtId="167" fontId="5" fillId="0" borderId="0" xfId="10" applyNumberFormat="1" applyFont="1" applyAlignment="1">
      <alignment vertical="center"/>
    </xf>
    <xf numFmtId="167" fontId="37" fillId="0" borderId="0" xfId="10" applyNumberFormat="1" applyFont="1" applyAlignment="1">
      <alignment vertical="center"/>
    </xf>
    <xf numFmtId="44" fontId="34" fillId="7" borderId="28" xfId="11" applyFont="1" applyFill="1" applyBorder="1" applyAlignment="1">
      <alignment horizontal="center" vertical="center"/>
    </xf>
    <xf numFmtId="9" fontId="34" fillId="7" borderId="28" xfId="10" applyNumberFormat="1" applyFont="1" applyFill="1" applyBorder="1" applyAlignment="1">
      <alignment horizontal="center" vertical="center"/>
    </xf>
    <xf numFmtId="167" fontId="34" fillId="7" borderId="28" xfId="10" applyNumberFormat="1" applyFont="1" applyFill="1" applyBorder="1" applyAlignment="1">
      <alignment horizontal="left" vertical="center"/>
    </xf>
    <xf numFmtId="17" fontId="34" fillId="7" borderId="28" xfId="10" applyNumberFormat="1" applyFont="1" applyFill="1" applyBorder="1" applyAlignment="1">
      <alignment horizontal="center" vertical="center"/>
    </xf>
    <xf numFmtId="167" fontId="34" fillId="7" borderId="28" xfId="10" applyNumberFormat="1" applyFont="1" applyFill="1" applyBorder="1" applyAlignment="1">
      <alignment horizontal="center" vertical="center"/>
    </xf>
    <xf numFmtId="0" fontId="2" fillId="0" borderId="0" xfId="10" applyAlignment="1">
      <alignment horizontal="center"/>
    </xf>
    <xf numFmtId="10" fontId="34" fillId="7" borderId="28" xfId="10" applyNumberFormat="1" applyFont="1" applyFill="1" applyBorder="1" applyAlignment="1">
      <alignment horizontal="center" vertical="center"/>
    </xf>
    <xf numFmtId="0" fontId="8" fillId="0" borderId="28" xfId="2" applyFont="1" applyBorder="1" applyAlignment="1">
      <alignment horizontal="left" vertical="center"/>
    </xf>
    <xf numFmtId="0" fontId="34" fillId="7" borderId="30" xfId="10" applyFont="1" applyFill="1" applyBorder="1" applyAlignment="1">
      <alignment horizontal="center" vertical="center"/>
    </xf>
    <xf numFmtId="0" fontId="34" fillId="7" borderId="31" xfId="10" applyFont="1" applyFill="1" applyBorder="1" applyAlignment="1">
      <alignment horizontal="center" vertical="center"/>
    </xf>
    <xf numFmtId="0" fontId="34" fillId="7" borderId="32" xfId="10" applyFont="1" applyFill="1" applyBorder="1" applyAlignment="1">
      <alignment horizontal="center" vertical="center"/>
    </xf>
    <xf numFmtId="10" fontId="34" fillId="7" borderId="30" xfId="9" applyNumberFormat="1" applyFont="1" applyFill="1" applyBorder="1" applyAlignment="1">
      <alignment horizontal="center" vertical="center"/>
    </xf>
    <xf numFmtId="10" fontId="34" fillId="7" borderId="32" xfId="9" applyNumberFormat="1" applyFont="1" applyFill="1" applyBorder="1" applyAlignment="1">
      <alignment horizontal="center" vertical="center"/>
    </xf>
    <xf numFmtId="0" fontId="31" fillId="0" borderId="2" xfId="0" applyFont="1" applyBorder="1" applyAlignment="1">
      <alignment horizontal="left" vertical="center"/>
    </xf>
    <xf numFmtId="0" fontId="31" fillId="0" borderId="3" xfId="0" applyFont="1" applyBorder="1" applyAlignment="1">
      <alignment horizontal="left" vertical="center"/>
    </xf>
    <xf numFmtId="0" fontId="31" fillId="0" borderId="4" xfId="0" applyFont="1" applyBorder="1" applyAlignment="1">
      <alignment horizontal="left" vertical="center"/>
    </xf>
    <xf numFmtId="0" fontId="31" fillId="0" borderId="5" xfId="0" applyFont="1" applyBorder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1" fillId="0" borderId="6" xfId="0" applyFont="1" applyBorder="1" applyAlignment="1">
      <alignment horizontal="left" vertical="center"/>
    </xf>
    <xf numFmtId="0" fontId="21" fillId="2" borderId="20" xfId="0" applyFont="1" applyFill="1" applyBorder="1" applyAlignment="1">
      <alignment horizontal="center" vertical="center"/>
    </xf>
    <xf numFmtId="0" fontId="21" fillId="2" borderId="21" xfId="0" applyFont="1" applyFill="1" applyBorder="1" applyAlignment="1">
      <alignment horizontal="center" vertical="center"/>
    </xf>
    <xf numFmtId="0" fontId="21" fillId="2" borderId="22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center" vertical="center" wrapText="1"/>
    </xf>
    <xf numFmtId="0" fontId="21" fillId="2" borderId="27" xfId="0" applyFont="1" applyFill="1" applyBorder="1" applyAlignment="1">
      <alignment horizontal="center" vertical="center" wrapText="1"/>
    </xf>
    <xf numFmtId="0" fontId="23" fillId="0" borderId="7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6" fillId="0" borderId="54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21" fillId="2" borderId="26" xfId="0" applyFont="1" applyFill="1" applyBorder="1" applyAlignment="1">
      <alignment horizontal="center" vertical="center"/>
    </xf>
    <xf numFmtId="0" fontId="21" fillId="2" borderId="27" xfId="0" applyFont="1" applyFill="1" applyBorder="1" applyAlignment="1">
      <alignment horizontal="center" vertical="center"/>
    </xf>
    <xf numFmtId="0" fontId="1" fillId="0" borderId="0" xfId="12"/>
    <xf numFmtId="0" fontId="5" fillId="0" borderId="0" xfId="12" applyFont="1" applyAlignment="1">
      <alignment vertical="center"/>
    </xf>
    <xf numFmtId="0" fontId="35" fillId="9" borderId="65" xfId="12" applyFont="1" applyFill="1" applyBorder="1" applyAlignment="1">
      <alignment horizontal="left" vertical="center"/>
    </xf>
    <xf numFmtId="44" fontId="35" fillId="9" borderId="66" xfId="13" applyFont="1" applyFill="1" applyBorder="1" applyAlignment="1">
      <alignment horizontal="center" vertical="center"/>
    </xf>
    <xf numFmtId="10" fontId="35" fillId="9" borderId="66" xfId="12" applyNumberFormat="1" applyFont="1" applyFill="1" applyBorder="1" applyAlignment="1">
      <alignment horizontal="center" vertical="center"/>
    </xf>
    <xf numFmtId="44" fontId="35" fillId="9" borderId="61" xfId="13" applyFont="1" applyFill="1" applyBorder="1" applyAlignment="1">
      <alignment horizontal="center" vertical="center"/>
    </xf>
    <xf numFmtId="0" fontId="6" fillId="0" borderId="62" xfId="12" applyFont="1" applyBorder="1" applyAlignment="1">
      <alignment vertical="center"/>
    </xf>
    <xf numFmtId="43" fontId="5" fillId="0" borderId="63" xfId="12" applyNumberFormat="1" applyFont="1" applyBorder="1" applyAlignment="1">
      <alignment vertical="center"/>
    </xf>
    <xf numFmtId="0" fontId="5" fillId="0" borderId="64" xfId="12" applyFont="1" applyBorder="1" applyAlignment="1">
      <alignment horizontal="center" vertical="center"/>
    </xf>
    <xf numFmtId="0" fontId="35" fillId="8" borderId="59" xfId="12" applyFont="1" applyFill="1" applyBorder="1" applyAlignment="1">
      <alignment horizontal="left" vertical="center"/>
    </xf>
    <xf numFmtId="44" fontId="36" fillId="8" borderId="60" xfId="13" applyFont="1" applyFill="1" applyBorder="1" applyAlignment="1">
      <alignment horizontal="center" vertical="center"/>
    </xf>
    <xf numFmtId="10" fontId="35" fillId="8" borderId="60" xfId="12" applyNumberFormat="1" applyFont="1" applyFill="1" applyBorder="1" applyAlignment="1">
      <alignment horizontal="center" vertical="center"/>
    </xf>
    <xf numFmtId="44" fontId="35" fillId="8" borderId="61" xfId="13" applyFont="1" applyFill="1" applyBorder="1" applyAlignment="1">
      <alignment horizontal="center" vertical="center"/>
    </xf>
    <xf numFmtId="167" fontId="5" fillId="0" borderId="0" xfId="12" applyNumberFormat="1" applyFont="1" applyAlignment="1">
      <alignment horizontal="center" vertical="center"/>
    </xf>
    <xf numFmtId="43" fontId="5" fillId="0" borderId="0" xfId="12" applyNumberFormat="1" applyFont="1" applyAlignment="1">
      <alignment vertical="center"/>
    </xf>
    <xf numFmtId="0" fontId="5" fillId="0" borderId="0" xfId="12" applyFont="1" applyAlignment="1">
      <alignment horizontal="center" vertical="center"/>
    </xf>
    <xf numFmtId="166" fontId="5" fillId="0" borderId="0" xfId="12" applyNumberFormat="1" applyFont="1" applyAlignment="1">
      <alignment vertical="center"/>
    </xf>
    <xf numFmtId="4" fontId="33" fillId="0" borderId="0" xfId="12" applyNumberFormat="1" applyFont="1"/>
    <xf numFmtId="0" fontId="37" fillId="0" borderId="0" xfId="12" applyFont="1" applyAlignment="1">
      <alignment vertical="center"/>
    </xf>
    <xf numFmtId="167" fontId="5" fillId="0" borderId="0" xfId="12" applyNumberFormat="1" applyFont="1" applyAlignment="1">
      <alignment vertical="center"/>
    </xf>
    <xf numFmtId="167" fontId="37" fillId="0" borderId="0" xfId="12" applyNumberFormat="1" applyFont="1" applyAlignment="1">
      <alignment vertical="center"/>
    </xf>
    <xf numFmtId="168" fontId="5" fillId="0" borderId="0" xfId="9" applyNumberFormat="1" applyFont="1" applyAlignment="1">
      <alignment horizontal="center" vertical="center"/>
    </xf>
    <xf numFmtId="168" fontId="5" fillId="0" borderId="0" xfId="9" applyNumberFormat="1" applyFont="1" applyAlignment="1">
      <alignment vertical="center"/>
    </xf>
    <xf numFmtId="10" fontId="5" fillId="0" borderId="0" xfId="9" applyNumberFormat="1" applyFont="1" applyAlignment="1">
      <alignment vertical="center"/>
    </xf>
    <xf numFmtId="0" fontId="1" fillId="0" borderId="0" xfId="12" applyAlignment="1">
      <alignment horizontal="center"/>
    </xf>
    <xf numFmtId="0" fontId="34" fillId="10" borderId="28" xfId="12" applyFont="1" applyFill="1" applyBorder="1" applyAlignment="1">
      <alignment horizontal="left" vertical="center"/>
    </xf>
    <xf numFmtId="0" fontId="34" fillId="10" borderId="30" xfId="12" applyFont="1" applyFill="1" applyBorder="1" applyAlignment="1">
      <alignment horizontal="center" vertical="center"/>
    </xf>
    <xf numFmtId="0" fontId="34" fillId="10" borderId="31" xfId="12" applyFont="1" applyFill="1" applyBorder="1" applyAlignment="1">
      <alignment horizontal="center" vertical="center"/>
    </xf>
    <xf numFmtId="0" fontId="34" fillId="10" borderId="32" xfId="12" applyFont="1" applyFill="1" applyBorder="1" applyAlignment="1">
      <alignment horizontal="center" vertical="center"/>
    </xf>
    <xf numFmtId="0" fontId="34" fillId="10" borderId="28" xfId="12" applyFont="1" applyFill="1" applyBorder="1" applyAlignment="1">
      <alignment horizontal="center" vertical="center"/>
    </xf>
    <xf numFmtId="44" fontId="34" fillId="10" borderId="28" xfId="13" applyFont="1" applyFill="1" applyBorder="1" applyAlignment="1">
      <alignment horizontal="center" vertical="center"/>
    </xf>
    <xf numFmtId="9" fontId="34" fillId="10" borderId="28" xfId="12" applyNumberFormat="1" applyFont="1" applyFill="1" applyBorder="1" applyAlignment="1">
      <alignment horizontal="center" vertical="center"/>
    </xf>
    <xf numFmtId="167" fontId="34" fillId="10" borderId="28" xfId="12" applyNumberFormat="1" applyFont="1" applyFill="1" applyBorder="1" applyAlignment="1">
      <alignment horizontal="left" vertical="center"/>
    </xf>
    <xf numFmtId="17" fontId="34" fillId="10" borderId="28" xfId="12" applyNumberFormat="1" applyFont="1" applyFill="1" applyBorder="1" applyAlignment="1">
      <alignment horizontal="center" vertical="center"/>
    </xf>
    <xf numFmtId="167" fontId="34" fillId="10" borderId="28" xfId="12" applyNumberFormat="1" applyFont="1" applyFill="1" applyBorder="1" applyAlignment="1">
      <alignment horizontal="center" vertical="center"/>
    </xf>
    <xf numFmtId="0" fontId="38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3" borderId="0" xfId="12" applyFont="1" applyFill="1" applyAlignment="1">
      <alignment vertical="center"/>
    </xf>
  </cellXfs>
  <cellStyles count="14">
    <cellStyle name="Moeda" xfId="7" builtinId="4"/>
    <cellStyle name="Moeda 2" xfId="11" xr:uid="{C3445483-806E-4B5E-97F8-A67FF641C63B}"/>
    <cellStyle name="Moeda 2 2" xfId="13" xr:uid="{2B48D585-D77F-44EC-97EA-35DC5B99995D}"/>
    <cellStyle name="Normal" xfId="0" builtinId="0"/>
    <cellStyle name="Normal 2" xfId="1" xr:uid="{0EC52F66-E5C6-473C-8FDC-997989C72597}"/>
    <cellStyle name="Normal 2 2" xfId="5" xr:uid="{372C4A5D-1079-494F-96A6-46F52D64EC60}"/>
    <cellStyle name="Normal 3" xfId="10" xr:uid="{FC3B8A4A-0BB8-44B3-A5C3-3055240139F3}"/>
    <cellStyle name="Normal 3 2" xfId="12" xr:uid="{1456B8B3-D9DC-4E7C-AD28-F958671F2C29}"/>
    <cellStyle name="Normal 4" xfId="2" xr:uid="{0F4AFD4C-A07D-4993-A259-47985DFEFFF9}"/>
    <cellStyle name="Porcentagem" xfId="9" builtinId="5"/>
    <cellStyle name="Vírgula" xfId="8" builtinId="3"/>
    <cellStyle name="Vírgula 2" xfId="4" xr:uid="{264027A6-3EAB-44DB-870E-4368CB7C8D18}"/>
    <cellStyle name="Vírgula 5" xfId="3" xr:uid="{E5CBB724-2E13-43AB-81F9-969E4EA71B2C}"/>
    <cellStyle name="Vírgula 6" xfId="6" xr:uid="{F77ED0AC-FCE9-4510-9870-49454BF60D53}"/>
  </cellStyles>
  <dxfs count="724"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255AE5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255A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externalLink" Target="externalLinks/externalLink4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722936</xdr:colOff>
      <xdr:row>0</xdr:row>
      <xdr:rowOff>154948</xdr:rowOff>
    </xdr:from>
    <xdr:to>
      <xdr:col>7</xdr:col>
      <xdr:colOff>2060873</xdr:colOff>
      <xdr:row>3</xdr:row>
      <xdr:rowOff>73144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65393B9-C3B3-435B-90EF-7840698DC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7029" y="154948"/>
          <a:ext cx="2179681" cy="3871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254002</xdr:colOff>
      <xdr:row>6</xdr:row>
      <xdr:rowOff>120315</xdr:rowOff>
    </xdr:from>
    <xdr:to>
      <xdr:col>12</xdr:col>
      <xdr:colOff>2328335</xdr:colOff>
      <xdr:row>7</xdr:row>
      <xdr:rowOff>154554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B148B24-50F4-2856-FD81-044BFB6E8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24419" y="7295815"/>
          <a:ext cx="2074333" cy="30538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postas%20Fechadas\AS%20Ramos%20-%2001.2022\02.%20Paessaggio\02.%20Escopo\02.4%20Escopo%20-%20Extra&#231;&#227;o%20de%20quantitativos\CTN_ORC_ED%20PAESAGGIO_MOD_ARQ_R04.xlsx" TargetMode="External"/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Colline%20de%20France\04.%20Custo\03.0%20Custo%20-%20Or&#231;amento%20Param&#233;trico\4.%20Apresenta&#231;&#227;o\CTN%20-%20COLLINE%20HOTEL%20-%20Or&#231;amento_Completo%20-%20R00.xlsx" TargetMode="External"/><Relationship Id="rId1" Type="http://schemas.openxmlformats.org/officeDocument/2006/relationships/externalLinkPath" Target="CTN%20-%20COLLINE%20HOTEL%20-%20Or&#231;amento_Completo%20-%20R00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Colline%20de%20France\04.%20Custo\03.0%20Custo%20-%20Or&#231;amento%20Param&#233;trico\4.%20Apresenta&#231;&#227;o\CTN%20-%20EAP_COLLINE%20DE%20FRANCE.xlsx" TargetMode="External"/><Relationship Id="rId1" Type="http://schemas.openxmlformats.org/officeDocument/2006/relationships/externalLinkPath" Target="CTN%20-%20EAP_COLLINE%20DE%20FRANCE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Colline%20de%20France\04.%20Custo\03.0%20Custo%20-%20Or&#231;amento%20Param&#233;trico\1.%20Diretos\CTN-COLLINE%20%20-%20Gerenciamento%20HOTEL%20-%20R00.xlsx" TargetMode="External"/><Relationship Id="rId1" Type="http://schemas.openxmlformats.org/officeDocument/2006/relationships/externalLinkPath" Target="/.shortcut-targets-by-id/16oaQUYgx8kiowDwLhg-oO1zGZ777DJUb/2.%20Projetos%20em%20Andamento/Colline%20de%20France/04.%20Custo/03.0%20Custo%20-%20Or&#231;amento%20Param&#233;trico/1.%20Diretos/CTN-COLLINE%20%20-%20Gerenciamento%20HOTEL%20-%20R00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Colline%20de%20France\04.%20Custo\03.0%20Custo%20-%20Or&#231;amento%20Param&#233;trico\1.%20Diretos\CTN-COLLINE%20%20-%20Gerenciamento%20RESID%20-%20R00.xlsx" TargetMode="External"/><Relationship Id="rId1" Type="http://schemas.openxmlformats.org/officeDocument/2006/relationships/externalLinkPath" Target="/.shortcut-targets-by-id/16oaQUYgx8kiowDwLhg-oO1zGZ777DJUb/2.%20Projetos%20em%20Andamento/Colline%20de%20France/04.%20Custo/03.0%20Custo%20-%20Or&#231;amento%20Param&#233;trico/1.%20Diretos/CTN-COLLINE%20%20-%20Gerenciamento%20RESID%20-%20R00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Colline%20de%20France\04.%20Custo\03.0%20Custo%20-%20Or&#231;amento%20Param&#233;trico\4.%20Apresenta&#231;&#227;o\CTN%20-%20COLLINE%20HOTEL%20-%20Or&#231;amento_CUBa.xlsx" TargetMode="External"/><Relationship Id="rId1" Type="http://schemas.openxmlformats.org/officeDocument/2006/relationships/externalLinkPath" Target="CTN%20-%20COLLINE%20HOTEL%20-%20Or&#231;amento_CUB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Pad_Edif_Anal�tico"/>
      <sheetName val="Orc_Compl_Anal�tic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Orc_Compl_Abert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Resumo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BRA"/>
      <sheetName val="INDIRETOS"/>
      <sheetName val="HOTEL"/>
      <sheetName val="RESIDENCIAL"/>
    </sheetNames>
    <sheetDataSet>
      <sheetData sheetId="0" refreshError="1"/>
      <sheetData sheetId="1">
        <row r="4">
          <cell r="L4">
            <v>9773213.3329172824</v>
          </cell>
        </row>
      </sheetData>
      <sheetData sheetId="2">
        <row r="5">
          <cell r="L5">
            <v>137245.95486800003</v>
          </cell>
        </row>
        <row r="22">
          <cell r="L22">
            <v>2200957.6281000003</v>
          </cell>
        </row>
        <row r="40">
          <cell r="L40">
            <v>4644536.7089</v>
          </cell>
        </row>
        <row r="54">
          <cell r="L54">
            <v>2943440.8899737974</v>
          </cell>
        </row>
        <row r="73">
          <cell r="L73">
            <v>493452.24824999995</v>
          </cell>
        </row>
        <row r="107">
          <cell r="L107">
            <v>1126483.71</v>
          </cell>
        </row>
        <row r="130">
          <cell r="L130">
            <v>1838539.0190000003</v>
          </cell>
        </row>
        <row r="153">
          <cell r="L153">
            <v>130827.65299999999</v>
          </cell>
        </row>
        <row r="167">
          <cell r="L167">
            <v>113119.47899999999</v>
          </cell>
        </row>
        <row r="179">
          <cell r="L179">
            <v>192023.61199999999</v>
          </cell>
        </row>
        <row r="190">
          <cell r="L190">
            <v>1319434.0665</v>
          </cell>
        </row>
        <row r="209">
          <cell r="L209">
            <v>5022804.2699999996</v>
          </cell>
        </row>
        <row r="224">
          <cell r="L224">
            <v>2569648.4159897305</v>
          </cell>
        </row>
        <row r="248">
          <cell r="L248">
            <v>855037.85883999988</v>
          </cell>
        </row>
        <row r="261">
          <cell r="L261">
            <v>3227702.3769936003</v>
          </cell>
        </row>
        <row r="300">
          <cell r="L300">
            <v>890994.11949746008</v>
          </cell>
        </row>
        <row r="319">
          <cell r="L319">
            <v>10001040.064222226</v>
          </cell>
        </row>
        <row r="366">
          <cell r="L366">
            <v>580558.34535999992</v>
          </cell>
        </row>
        <row r="377">
          <cell r="L377">
            <v>1393694.4545797338</v>
          </cell>
        </row>
        <row r="395">
          <cell r="L395">
            <v>1254677.6685917224</v>
          </cell>
        </row>
        <row r="425">
          <cell r="L425">
            <v>564003.74249999993</v>
          </cell>
        </row>
      </sheetData>
      <sheetData sheetId="3">
        <row r="5">
          <cell r="L5">
            <v>150402.20465600002</v>
          </cell>
        </row>
        <row r="22">
          <cell r="L22">
            <v>4184719.8349000001</v>
          </cell>
        </row>
        <row r="40">
          <cell r="L40">
            <v>15149857.504004356</v>
          </cell>
        </row>
        <row r="54">
          <cell r="L54">
            <v>6993312.5498940032</v>
          </cell>
        </row>
        <row r="74">
          <cell r="L74">
            <v>1276413.3426000006</v>
          </cell>
        </row>
        <row r="108">
          <cell r="L108">
            <v>3094679.5000000014</v>
          </cell>
        </row>
        <row r="132">
          <cell r="L132">
            <v>4092128.8540000012</v>
          </cell>
        </row>
        <row r="155">
          <cell r="L155">
            <v>759339.24000000034</v>
          </cell>
        </row>
        <row r="169">
          <cell r="L169">
            <v>241345.3416000001</v>
          </cell>
        </row>
        <row r="181">
          <cell r="L181">
            <v>473226.16000000015</v>
          </cell>
        </row>
        <row r="192">
          <cell r="L192">
            <v>2747031.9139999999</v>
          </cell>
        </row>
        <row r="211">
          <cell r="L211">
            <v>1576300.0000000002</v>
          </cell>
        </row>
        <row r="230">
          <cell r="L230">
            <v>2958539.6660600007</v>
          </cell>
        </row>
        <row r="254">
          <cell r="L254">
            <v>2340465.0823620008</v>
          </cell>
        </row>
        <row r="272">
          <cell r="L272">
            <v>7298340.5866652597</v>
          </cell>
        </row>
        <row r="313">
          <cell r="L313">
            <v>3699799.5191454012</v>
          </cell>
        </row>
        <row r="332">
          <cell r="L332">
            <v>17129486.265701953</v>
          </cell>
        </row>
        <row r="379">
          <cell r="L379">
            <v>1092256.7539840001</v>
          </cell>
        </row>
        <row r="390">
          <cell r="L390">
            <v>1138286.0528894998</v>
          </cell>
        </row>
        <row r="408">
          <cell r="L408">
            <v>3653145.0130340005</v>
          </cell>
        </row>
        <row r="442">
          <cell r="L442">
            <v>6972618.0764803598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BRA"/>
      <sheetName val="HOTEL"/>
      <sheetName val="RESIDENCIAL"/>
    </sheetNames>
    <sheetDataSet>
      <sheetData sheetId="0">
        <row r="15">
          <cell r="E15">
            <v>6049.1699999999992</v>
          </cell>
          <cell r="F15">
            <v>21510.280000000006</v>
          </cell>
        </row>
      </sheetData>
      <sheetData sheetId="1">
        <row r="49">
          <cell r="L49">
            <v>137245.95486800003</v>
          </cell>
        </row>
      </sheetData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_INICIAIS"/>
      <sheetName val="MOVIMENTAÇÃO_DE_TERRA"/>
      <sheetName val="CONTENÇÕES"/>
      <sheetName val="INFRAESTRUTURA (2)"/>
      <sheetName val="INFRAESTRUTURA"/>
      <sheetName val="SUPRAESTRUTURA"/>
      <sheetName val="ALVENARIA"/>
      <sheetName val="INSTALAÇÕES"/>
      <sheetName val="SISTEMAS ESPECIAIS"/>
      <sheetName val="IMPERMEABILIZAÇÃO"/>
      <sheetName val="Planilha1"/>
      <sheetName val="AMBIENTES"/>
      <sheetName val="Rev. Internos Piso e Parede"/>
      <sheetName val="TETO"/>
      <sheetName val="Acabamentos de Piso e Parede"/>
      <sheetName val="PINTURA INTERNA"/>
      <sheetName val="ESQUADRIAS"/>
      <sheetName val="COBERTURA"/>
      <sheetName val="Rev. Fachada"/>
      <sheetName val="COMPLEMENTARES"/>
      <sheetName val="Planilha2"/>
      <sheetName val="Auxiliar"/>
    </sheetNames>
    <sheetDataSet>
      <sheetData sheetId="0">
        <row r="36">
          <cell r="E36">
            <v>2087.2800000000002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5">
          <cell r="B15">
            <v>210</v>
          </cell>
        </row>
      </sheetData>
      <sheetData sheetId="6" refreshError="1"/>
      <sheetData sheetId="7" refreshError="1"/>
      <sheetData sheetId="8" refreshError="1"/>
      <sheetData sheetId="9">
        <row r="11">
          <cell r="D11">
            <v>60.307499999999997</v>
          </cell>
          <cell r="G11">
            <v>2719.8682500000004</v>
          </cell>
        </row>
        <row r="12">
          <cell r="D12">
            <v>2132.0500000000002</v>
          </cell>
          <cell r="G12">
            <v>82083.925000000003</v>
          </cell>
        </row>
      </sheetData>
      <sheetData sheetId="10" refreshError="1"/>
      <sheetData sheetId="11"/>
      <sheetData sheetId="12">
        <row r="28">
          <cell r="G28">
            <v>990621.09358520003</v>
          </cell>
        </row>
      </sheetData>
      <sheetData sheetId="13">
        <row r="10">
          <cell r="D10">
            <v>3075.42</v>
          </cell>
        </row>
      </sheetData>
      <sheetData sheetId="14">
        <row r="15">
          <cell r="B15">
            <v>1186.4200000000003</v>
          </cell>
        </row>
        <row r="16">
          <cell r="B16">
            <v>1758.5900000000004</v>
          </cell>
        </row>
        <row r="17">
          <cell r="B17">
            <v>1379.6399999999996</v>
          </cell>
        </row>
        <row r="18">
          <cell r="B18">
            <v>16.443000000000001</v>
          </cell>
        </row>
        <row r="19">
          <cell r="B19">
            <v>5.46</v>
          </cell>
        </row>
        <row r="20">
          <cell r="B20">
            <v>525.00999999999988</v>
          </cell>
        </row>
        <row r="21">
          <cell r="B21">
            <v>173.03220000000002</v>
          </cell>
        </row>
      </sheetData>
      <sheetData sheetId="15" refreshError="1"/>
      <sheetData sheetId="16" refreshError="1"/>
      <sheetData sheetId="17" refreshError="1"/>
      <sheetData sheetId="18">
        <row r="53">
          <cell r="G53">
            <v>1254677.6685917224</v>
          </cell>
        </row>
      </sheetData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_INICIAIS"/>
      <sheetName val="MOVIMENTAÇÃO_DE_TERRA"/>
      <sheetName val="CONTENÇÕES"/>
      <sheetName val="INFRAESTRUTURA "/>
      <sheetName val="SUPRAESTRUTURA"/>
      <sheetName val="ALVENARIA"/>
      <sheetName val="INSTALAÇÕES"/>
      <sheetName val="SISTEMAS ESPECIAIS"/>
      <sheetName val="IMPERMEABILIZAÇÃO"/>
      <sheetName val="AMBIENTES"/>
      <sheetName val="Rev. Internos Piso e Parede"/>
      <sheetName val="TETO"/>
      <sheetName val="Acabamentos de Piso e Parede"/>
      <sheetName val="PINTURA INTERNA"/>
      <sheetName val="ESQUADRIAS"/>
      <sheetName val="COBERTURA"/>
      <sheetName val="Rev. Fachada"/>
      <sheetName val="COMPLEMENTARES"/>
      <sheetName val="Auxiliar"/>
    </sheetNames>
    <sheetDataSet>
      <sheetData sheetId="0" refreshError="1"/>
      <sheetData sheetId="1">
        <row r="34">
          <cell r="F34">
            <v>150402.20465600002</v>
          </cell>
        </row>
      </sheetData>
      <sheetData sheetId="2" refreshError="1"/>
      <sheetData sheetId="3">
        <row r="35">
          <cell r="G35">
            <v>4184719.8349000001</v>
          </cell>
        </row>
      </sheetData>
      <sheetData sheetId="4">
        <row r="67">
          <cell r="G67">
            <v>15149857.504004356</v>
          </cell>
        </row>
      </sheetData>
      <sheetData sheetId="5">
        <row r="35">
          <cell r="G35">
            <v>6993312.5498940023</v>
          </cell>
        </row>
      </sheetData>
      <sheetData sheetId="6">
        <row r="60">
          <cell r="D60">
            <v>9279749.6895840019</v>
          </cell>
        </row>
      </sheetData>
      <sheetData sheetId="7">
        <row r="46">
          <cell r="D46">
            <v>4596478.8100000005</v>
          </cell>
        </row>
      </sheetData>
      <sheetData sheetId="8">
        <row r="10">
          <cell r="G10">
            <v>240843.33680000008</v>
          </cell>
        </row>
        <row r="11">
          <cell r="D11">
            <v>114.48000000000002</v>
          </cell>
          <cell r="G11">
            <v>5163.0480000000007</v>
          </cell>
        </row>
        <row r="12">
          <cell r="D12">
            <v>2090.59</v>
          </cell>
          <cell r="G12">
            <v>80487.715000000011</v>
          </cell>
        </row>
      </sheetData>
      <sheetData sheetId="9" refreshError="1"/>
      <sheetData sheetId="10">
        <row r="24">
          <cell r="G24">
            <v>2998233.1791500002</v>
          </cell>
        </row>
      </sheetData>
      <sheetData sheetId="11">
        <row r="20">
          <cell r="G20">
            <v>2340465.0823620008</v>
          </cell>
        </row>
      </sheetData>
      <sheetData sheetId="12">
        <row r="40">
          <cell r="G40">
            <v>6546146.7736605611</v>
          </cell>
        </row>
      </sheetData>
      <sheetData sheetId="13">
        <row r="22">
          <cell r="G22">
            <v>3699799.5191454017</v>
          </cell>
        </row>
      </sheetData>
      <sheetData sheetId="14">
        <row r="12">
          <cell r="D12">
            <v>5390.52952</v>
          </cell>
          <cell r="G12">
            <v>9644216.654690627</v>
          </cell>
        </row>
        <row r="13">
          <cell r="D13">
            <v>410.83499999999992</v>
          </cell>
          <cell r="G13">
            <v>1470052.8898429347</v>
          </cell>
        </row>
        <row r="14">
          <cell r="D14">
            <v>112.63999999999999</v>
          </cell>
          <cell r="G14">
            <v>136294.39999999999</v>
          </cell>
        </row>
      </sheetData>
      <sheetData sheetId="15">
        <row r="20">
          <cell r="G20">
            <v>1138286.0528894998</v>
          </cell>
        </row>
      </sheetData>
      <sheetData sheetId="16">
        <row r="49">
          <cell r="G49">
            <v>3653145.0130340001</v>
          </cell>
        </row>
      </sheetData>
      <sheetData sheetId="17">
        <row r="22">
          <cell r="F22">
            <v>6972618.0764803588</v>
          </cell>
        </row>
      </sheetData>
      <sheetData sheetId="1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BRA"/>
      <sheetName val="RESUMOS"/>
      <sheetName val="HOTEL"/>
      <sheetName val="RESIDENCIAL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765A4-7D75-4A47-8BD5-CEEEFA8F378F}">
  <dimension ref="A1:L131"/>
  <sheetViews>
    <sheetView showGridLines="0" tabSelected="1" zoomScale="86" zoomScaleNormal="86" workbookViewId="0">
      <selection activeCell="H13" sqref="H13"/>
    </sheetView>
  </sheetViews>
  <sheetFormatPr defaultRowHeight="15" x14ac:dyDescent="0.25"/>
  <cols>
    <col min="1" max="1" width="13" style="17" customWidth="1"/>
    <col min="2" max="2" width="37" style="17" customWidth="1"/>
    <col min="3" max="4" width="9.140625" style="17"/>
    <col min="5" max="5" width="12.7109375" style="17" customWidth="1"/>
    <col min="6" max="6" width="14" style="17" customWidth="1"/>
    <col min="7" max="7" width="12.7109375" style="17" customWidth="1"/>
    <col min="8" max="8" width="34.28515625" style="17" customWidth="1"/>
    <col min="9" max="16384" width="9.140625" style="17"/>
  </cols>
  <sheetData>
    <row r="1" spans="1:8" s="1" customFormat="1" ht="12.75" customHeight="1" x14ac:dyDescent="0.25">
      <c r="A1" s="171" t="s">
        <v>371</v>
      </c>
      <c r="B1" s="171"/>
      <c r="C1" s="171"/>
      <c r="D1" s="171"/>
      <c r="E1" s="171"/>
      <c r="F1" s="171"/>
      <c r="G1" s="171"/>
      <c r="H1" s="171"/>
    </row>
    <row r="2" spans="1:8" s="1" customFormat="1" ht="12.75" customHeight="1" x14ac:dyDescent="0.25">
      <c r="A2" s="171"/>
      <c r="B2" s="171"/>
      <c r="C2" s="171"/>
      <c r="D2" s="171"/>
      <c r="E2" s="171"/>
      <c r="F2" s="171"/>
      <c r="G2" s="171"/>
      <c r="H2" s="171"/>
    </row>
    <row r="3" spans="1:8" s="1" customFormat="1" ht="12.75" customHeight="1" x14ac:dyDescent="0.25">
      <c r="A3" s="171"/>
      <c r="B3" s="171"/>
      <c r="C3" s="171"/>
      <c r="D3" s="171"/>
      <c r="E3" s="171"/>
      <c r="F3" s="171"/>
      <c r="G3" s="171"/>
      <c r="H3" s="171"/>
    </row>
    <row r="4" spans="1:8" s="1" customFormat="1" ht="12.75" customHeight="1" x14ac:dyDescent="0.25">
      <c r="A4" s="171"/>
      <c r="B4" s="171"/>
      <c r="C4" s="171"/>
      <c r="D4" s="171"/>
      <c r="E4" s="171"/>
      <c r="F4" s="171"/>
      <c r="G4" s="171"/>
      <c r="H4" s="171"/>
    </row>
    <row r="5" spans="1:8" s="1" customFormat="1" ht="13.5" customHeight="1" x14ac:dyDescent="0.25">
      <c r="A5" s="171"/>
      <c r="B5" s="171"/>
      <c r="C5" s="171"/>
      <c r="D5" s="171"/>
      <c r="E5" s="171"/>
      <c r="F5" s="171"/>
      <c r="G5" s="171"/>
      <c r="H5" s="171"/>
    </row>
    <row r="6" spans="1:8" s="1" customFormat="1" ht="20.25" thickBot="1" x14ac:dyDescent="0.3">
      <c r="A6" s="2"/>
      <c r="B6" s="3"/>
      <c r="C6" s="3"/>
      <c r="D6" s="4"/>
      <c r="E6" s="4"/>
      <c r="F6" s="5"/>
      <c r="G6" s="6"/>
      <c r="H6" s="6"/>
    </row>
    <row r="7" spans="1:8" s="1" customFormat="1" ht="19.5" x14ac:dyDescent="0.25">
      <c r="A7" s="7" t="s">
        <v>372</v>
      </c>
      <c r="B7" s="8" t="s">
        <v>373</v>
      </c>
      <c r="C7" s="9"/>
      <c r="D7" s="10"/>
      <c r="E7" s="10"/>
      <c r="F7" s="10"/>
      <c r="G7" s="11"/>
      <c r="H7" s="12"/>
    </row>
    <row r="8" spans="1:8" s="1" customFormat="1" ht="19.5" x14ac:dyDescent="0.25">
      <c r="A8" s="13" t="s">
        <v>374</v>
      </c>
      <c r="B8" s="8" t="s">
        <v>375</v>
      </c>
      <c r="C8" s="9"/>
      <c r="D8" s="10"/>
      <c r="E8" s="10"/>
      <c r="F8" s="10"/>
      <c r="G8" s="11"/>
      <c r="H8" s="12"/>
    </row>
    <row r="9" spans="1:8" s="1" customFormat="1" ht="19.5" x14ac:dyDescent="0.25">
      <c r="A9" s="13" t="s">
        <v>376</v>
      </c>
      <c r="B9" s="14">
        <v>45824</v>
      </c>
      <c r="C9" s="15"/>
      <c r="D9" s="10"/>
      <c r="E9" s="10"/>
      <c r="F9" s="10"/>
      <c r="G9" s="11"/>
      <c r="H9" s="12"/>
    </row>
    <row r="10" spans="1:8" s="1" customFormat="1" ht="20.25" thickBot="1" x14ac:dyDescent="0.3">
      <c r="A10" s="16" t="s">
        <v>377</v>
      </c>
      <c r="B10" s="8" t="s">
        <v>652</v>
      </c>
      <c r="C10" s="9"/>
      <c r="D10" s="10"/>
      <c r="E10" s="10"/>
      <c r="F10" s="10"/>
      <c r="G10" s="11"/>
      <c r="H10" s="12"/>
    </row>
    <row r="12" spans="1:8" ht="15.75" thickBot="1" x14ac:dyDescent="0.3"/>
    <row r="13" spans="1:8" ht="31.5" x14ac:dyDescent="0.25">
      <c r="B13" s="30" t="s">
        <v>518</v>
      </c>
      <c r="C13" s="31" t="s">
        <v>519</v>
      </c>
      <c r="D13" s="31" t="s">
        <v>167</v>
      </c>
      <c r="E13" s="32" t="s">
        <v>163</v>
      </c>
      <c r="F13" s="32" t="s">
        <v>520</v>
      </c>
      <c r="G13" s="33" t="s">
        <v>521</v>
      </c>
    </row>
    <row r="14" spans="1:8" ht="15.95" customHeight="1" x14ac:dyDescent="0.25">
      <c r="B14" s="34" t="s">
        <v>379</v>
      </c>
      <c r="C14" s="35" t="s">
        <v>380</v>
      </c>
      <c r="D14" s="35" t="s">
        <v>381</v>
      </c>
      <c r="E14" s="36"/>
      <c r="F14" s="36"/>
      <c r="G14" s="37">
        <v>6049.17</v>
      </c>
    </row>
    <row r="15" spans="1:8" ht="15.95" customHeight="1" x14ac:dyDescent="0.25">
      <c r="B15" s="38" t="s">
        <v>522</v>
      </c>
      <c r="C15" s="39" t="s">
        <v>382</v>
      </c>
      <c r="D15" s="39" t="s">
        <v>381</v>
      </c>
      <c r="E15" s="40">
        <f>SUM(E16:E26)</f>
        <v>6049.1699999999992</v>
      </c>
      <c r="F15" s="40">
        <f>SUM(F16:F26)</f>
        <v>21510.280000000006</v>
      </c>
      <c r="G15" s="41">
        <f>SUM(G16:G26)</f>
        <v>27559.450000000004</v>
      </c>
    </row>
    <row r="16" spans="1:8" ht="15.95" customHeight="1" x14ac:dyDescent="0.25">
      <c r="B16" s="42" t="s">
        <v>523</v>
      </c>
      <c r="C16" s="43"/>
      <c r="D16" s="43" t="s">
        <v>381</v>
      </c>
      <c r="E16" s="44">
        <v>1662.34</v>
      </c>
      <c r="F16" s="44">
        <v>2365.5700000000002</v>
      </c>
      <c r="G16" s="45">
        <f>F16+E16</f>
        <v>4027.91</v>
      </c>
    </row>
    <row r="17" spans="2:7" ht="15.95" customHeight="1" x14ac:dyDescent="0.25">
      <c r="B17" s="42" t="s">
        <v>524</v>
      </c>
      <c r="C17" s="43"/>
      <c r="D17" s="43" t="s">
        <v>381</v>
      </c>
      <c r="E17" s="44">
        <f>1147.74+527.82</f>
        <v>1675.56</v>
      </c>
      <c r="F17" s="44">
        <v>2339.0300000000002</v>
      </c>
      <c r="G17" s="45">
        <f t="shared" ref="G17:G38" si="0">F17+E17</f>
        <v>4014.59</v>
      </c>
    </row>
    <row r="18" spans="2:7" ht="15.95" customHeight="1" x14ac:dyDescent="0.25">
      <c r="B18" s="42" t="s">
        <v>525</v>
      </c>
      <c r="C18" s="43"/>
      <c r="D18" s="43" t="s">
        <v>381</v>
      </c>
      <c r="E18" s="44">
        <f>812.7+31.66</f>
        <v>844.36</v>
      </c>
      <c r="F18" s="44">
        <v>2514.3200000000002</v>
      </c>
      <c r="G18" s="45">
        <f t="shared" si="0"/>
        <v>3358.6800000000003</v>
      </c>
    </row>
    <row r="19" spans="2:7" ht="15.95" customHeight="1" x14ac:dyDescent="0.25">
      <c r="B19" s="42" t="s">
        <v>526</v>
      </c>
      <c r="C19" s="43"/>
      <c r="D19" s="43" t="s">
        <v>381</v>
      </c>
      <c r="E19" s="44">
        <f>900.46+243.83</f>
        <v>1144.29</v>
      </c>
      <c r="F19" s="44">
        <v>2513.4</v>
      </c>
      <c r="G19" s="45">
        <f t="shared" si="0"/>
        <v>3657.69</v>
      </c>
    </row>
    <row r="20" spans="2:7" ht="15.95" customHeight="1" x14ac:dyDescent="0.25">
      <c r="B20" s="42" t="s">
        <v>527</v>
      </c>
      <c r="C20" s="43"/>
      <c r="D20" s="43" t="s">
        <v>381</v>
      </c>
      <c r="E20" s="44">
        <f>691.7+30.92</f>
        <v>722.62</v>
      </c>
      <c r="F20" s="44">
        <v>699.84</v>
      </c>
      <c r="G20" s="45">
        <f t="shared" si="0"/>
        <v>1422.46</v>
      </c>
    </row>
    <row r="21" spans="2:7" ht="15.95" customHeight="1" x14ac:dyDescent="0.25">
      <c r="B21" s="42" t="s">
        <v>383</v>
      </c>
      <c r="C21" s="43"/>
      <c r="D21" s="43" t="s">
        <v>381</v>
      </c>
      <c r="E21" s="44"/>
      <c r="F21" s="44">
        <v>9097.92</v>
      </c>
      <c r="G21" s="45">
        <f t="shared" si="0"/>
        <v>9097.92</v>
      </c>
    </row>
    <row r="22" spans="2:7" ht="15.95" customHeight="1" x14ac:dyDescent="0.25">
      <c r="B22" s="42" t="s">
        <v>384</v>
      </c>
      <c r="C22" s="43"/>
      <c r="D22" s="43" t="s">
        <v>381</v>
      </c>
      <c r="E22" s="44"/>
      <c r="F22" s="44">
        <v>699.84</v>
      </c>
      <c r="G22" s="45">
        <f t="shared" si="0"/>
        <v>699.84</v>
      </c>
    </row>
    <row r="23" spans="2:7" ht="15.95" customHeight="1" x14ac:dyDescent="0.25">
      <c r="B23" s="42" t="s">
        <v>385</v>
      </c>
      <c r="C23" s="43"/>
      <c r="D23" s="43" t="s">
        <v>381</v>
      </c>
      <c r="E23" s="44"/>
      <c r="F23" s="44">
        <v>693.56</v>
      </c>
      <c r="G23" s="45">
        <f t="shared" si="0"/>
        <v>693.56</v>
      </c>
    </row>
    <row r="24" spans="2:7" ht="15.95" customHeight="1" x14ac:dyDescent="0.25">
      <c r="B24" s="42" t="s">
        <v>386</v>
      </c>
      <c r="C24" s="43"/>
      <c r="D24" s="43" t="s">
        <v>381</v>
      </c>
      <c r="E24" s="44"/>
      <c r="F24" s="44">
        <v>303.24</v>
      </c>
      <c r="G24" s="45">
        <f t="shared" si="0"/>
        <v>303.24</v>
      </c>
    </row>
    <row r="25" spans="2:7" ht="15.95" customHeight="1" x14ac:dyDescent="0.25">
      <c r="B25" s="42" t="s">
        <v>387</v>
      </c>
      <c r="C25" s="43"/>
      <c r="D25" s="43" t="s">
        <v>381</v>
      </c>
      <c r="E25" s="44"/>
      <c r="F25" s="44">
        <v>150.18</v>
      </c>
      <c r="G25" s="45">
        <f t="shared" si="0"/>
        <v>150.18</v>
      </c>
    </row>
    <row r="26" spans="2:7" ht="15.95" customHeight="1" x14ac:dyDescent="0.25">
      <c r="B26" s="42" t="s">
        <v>388</v>
      </c>
      <c r="C26" s="43"/>
      <c r="D26" s="43" t="s">
        <v>381</v>
      </c>
      <c r="E26" s="44"/>
      <c r="F26" s="44">
        <v>133.38</v>
      </c>
      <c r="G26" s="45">
        <f t="shared" si="0"/>
        <v>133.38</v>
      </c>
    </row>
    <row r="27" spans="2:7" ht="15.95" customHeight="1" x14ac:dyDescent="0.25">
      <c r="B27" s="38" t="s">
        <v>389</v>
      </c>
      <c r="C27" s="39" t="s">
        <v>390</v>
      </c>
      <c r="D27" s="39" t="s">
        <v>391</v>
      </c>
      <c r="E27" s="40">
        <v>36</v>
      </c>
      <c r="F27" s="40">
        <v>60</v>
      </c>
      <c r="G27" s="45">
        <f t="shared" si="0"/>
        <v>96</v>
      </c>
    </row>
    <row r="28" spans="2:7" ht="15.95" customHeight="1" x14ac:dyDescent="0.25">
      <c r="B28" s="38" t="s">
        <v>392</v>
      </c>
      <c r="C28" s="39" t="s">
        <v>393</v>
      </c>
      <c r="D28" s="39" t="s">
        <v>391</v>
      </c>
      <c r="E28" s="40">
        <f>E27</f>
        <v>36</v>
      </c>
      <c r="F28" s="40"/>
      <c r="G28" s="45">
        <f t="shared" si="0"/>
        <v>36</v>
      </c>
    </row>
    <row r="29" spans="2:7" s="54" customFormat="1" ht="15.95" customHeight="1" x14ac:dyDescent="0.25">
      <c r="B29" s="50" t="s">
        <v>528</v>
      </c>
      <c r="C29" s="51" t="s">
        <v>529</v>
      </c>
      <c r="D29" s="51" t="s">
        <v>391</v>
      </c>
      <c r="E29" s="52"/>
      <c r="F29" s="52"/>
      <c r="G29" s="53">
        <f t="shared" si="0"/>
        <v>0</v>
      </c>
    </row>
    <row r="30" spans="2:7" s="54" customFormat="1" ht="15.95" customHeight="1" x14ac:dyDescent="0.25">
      <c r="B30" s="50" t="s">
        <v>394</v>
      </c>
      <c r="C30" s="51" t="s">
        <v>395</v>
      </c>
      <c r="D30" s="51" t="s">
        <v>391</v>
      </c>
      <c r="E30" s="52"/>
      <c r="F30" s="52"/>
      <c r="G30" s="53">
        <f t="shared" si="0"/>
        <v>0</v>
      </c>
    </row>
    <row r="31" spans="2:7" ht="15.95" customHeight="1" x14ac:dyDescent="0.25">
      <c r="B31" s="38" t="s">
        <v>396</v>
      </c>
      <c r="C31" s="39" t="s">
        <v>397</v>
      </c>
      <c r="D31" s="39" t="s">
        <v>391</v>
      </c>
      <c r="E31" s="40"/>
      <c r="F31" s="40">
        <v>60</v>
      </c>
      <c r="G31" s="45">
        <f t="shared" si="0"/>
        <v>60</v>
      </c>
    </row>
    <row r="32" spans="2:7" ht="15.95" customHeight="1" x14ac:dyDescent="0.25">
      <c r="B32" s="38" t="s">
        <v>398</v>
      </c>
      <c r="C32" s="39" t="s">
        <v>399</v>
      </c>
      <c r="D32" s="39" t="s">
        <v>391</v>
      </c>
      <c r="E32" s="40">
        <v>5</v>
      </c>
      <c r="F32" s="40">
        <v>23</v>
      </c>
      <c r="G32" s="45">
        <f t="shared" si="0"/>
        <v>28</v>
      </c>
    </row>
    <row r="33" spans="2:7" ht="15.95" customHeight="1" x14ac:dyDescent="0.25">
      <c r="B33" s="38" t="s">
        <v>400</v>
      </c>
      <c r="C33" s="39" t="s">
        <v>401</v>
      </c>
      <c r="D33" s="39" t="s">
        <v>391</v>
      </c>
      <c r="E33" s="40">
        <v>0</v>
      </c>
      <c r="F33" s="40">
        <v>13</v>
      </c>
      <c r="G33" s="45">
        <f t="shared" si="0"/>
        <v>13</v>
      </c>
    </row>
    <row r="34" spans="2:7" ht="15.95" customHeight="1" x14ac:dyDescent="0.25">
      <c r="B34" s="38" t="s">
        <v>402</v>
      </c>
      <c r="C34" s="39" t="s">
        <v>403</v>
      </c>
      <c r="D34" s="39" t="s">
        <v>391</v>
      </c>
      <c r="E34" s="40">
        <v>3</v>
      </c>
      <c r="F34" s="40">
        <v>1</v>
      </c>
      <c r="G34" s="45">
        <f t="shared" si="0"/>
        <v>4</v>
      </c>
    </row>
    <row r="35" spans="2:7" ht="15.95" customHeight="1" x14ac:dyDescent="0.25">
      <c r="B35" s="38" t="s">
        <v>404</v>
      </c>
      <c r="C35" s="39" t="s">
        <v>405</v>
      </c>
      <c r="D35" s="39" t="s">
        <v>391</v>
      </c>
      <c r="E35" s="40">
        <v>0</v>
      </c>
      <c r="F35" s="40">
        <v>1</v>
      </c>
      <c r="G35" s="45">
        <f t="shared" si="0"/>
        <v>1</v>
      </c>
    </row>
    <row r="36" spans="2:7" ht="15.95" customHeight="1" x14ac:dyDescent="0.25">
      <c r="B36" s="38" t="s">
        <v>530</v>
      </c>
      <c r="C36" s="39" t="s">
        <v>531</v>
      </c>
      <c r="D36" s="39" t="s">
        <v>381</v>
      </c>
      <c r="E36" s="40">
        <v>1021.82</v>
      </c>
      <c r="F36" s="40">
        <f>369.45*2</f>
        <v>738.9</v>
      </c>
      <c r="G36" s="45">
        <f t="shared" si="0"/>
        <v>1760.72</v>
      </c>
    </row>
    <row r="37" spans="2:7" ht="15.95" customHeight="1" x14ac:dyDescent="0.25">
      <c r="B37" s="38" t="s">
        <v>532</v>
      </c>
      <c r="C37" s="39" t="s">
        <v>533</v>
      </c>
      <c r="D37" s="39" t="s">
        <v>534</v>
      </c>
      <c r="E37" s="40">
        <v>151.47399999999999</v>
      </c>
      <c r="F37" s="40">
        <f>101.4*2</f>
        <v>202.8</v>
      </c>
      <c r="G37" s="45">
        <f t="shared" si="0"/>
        <v>354.274</v>
      </c>
    </row>
    <row r="38" spans="2:7" ht="15.95" customHeight="1" x14ac:dyDescent="0.25">
      <c r="B38" s="38" t="s">
        <v>535</v>
      </c>
      <c r="C38" s="39" t="s">
        <v>536</v>
      </c>
      <c r="D38" s="39" t="s">
        <v>381</v>
      </c>
      <c r="E38" s="40">
        <v>0</v>
      </c>
      <c r="F38" s="40">
        <f>F20</f>
        <v>699.84</v>
      </c>
      <c r="G38" s="45">
        <f t="shared" si="0"/>
        <v>699.84</v>
      </c>
    </row>
    <row r="39" spans="2:7" ht="15.95" customHeight="1" x14ac:dyDescent="0.25">
      <c r="B39" s="38" t="s">
        <v>537</v>
      </c>
      <c r="C39" s="39" t="s">
        <v>538</v>
      </c>
      <c r="D39" s="39" t="s">
        <v>381</v>
      </c>
      <c r="E39" s="40">
        <f>E17</f>
        <v>1675.56</v>
      </c>
      <c r="F39" s="40">
        <f>F17+F18+F19</f>
        <v>7366.75</v>
      </c>
      <c r="G39" s="45">
        <f>F39+E39</f>
        <v>9042.31</v>
      </c>
    </row>
    <row r="40" spans="2:7" ht="15.95" customHeight="1" x14ac:dyDescent="0.25">
      <c r="B40" s="38" t="s">
        <v>406</v>
      </c>
      <c r="C40" s="39" t="s">
        <v>407</v>
      </c>
      <c r="D40" s="39" t="s">
        <v>381</v>
      </c>
      <c r="E40" s="40">
        <f>E16</f>
        <v>1662.34</v>
      </c>
      <c r="F40" s="40">
        <v>0</v>
      </c>
      <c r="G40" s="45">
        <f t="shared" ref="G40:G43" si="1">F40+E40</f>
        <v>1662.34</v>
      </c>
    </row>
    <row r="41" spans="2:7" ht="15.95" customHeight="1" x14ac:dyDescent="0.25">
      <c r="B41" s="38" t="s">
        <v>408</v>
      </c>
      <c r="C41" s="39" t="s">
        <v>409</v>
      </c>
      <c r="D41" s="39" t="s">
        <v>391</v>
      </c>
      <c r="E41" s="40">
        <v>1</v>
      </c>
      <c r="F41" s="40">
        <v>0</v>
      </c>
      <c r="G41" s="45">
        <f t="shared" si="1"/>
        <v>1</v>
      </c>
    </row>
    <row r="42" spans="2:7" ht="15.95" customHeight="1" x14ac:dyDescent="0.25">
      <c r="B42" s="38" t="s">
        <v>539</v>
      </c>
      <c r="C42" s="39" t="s">
        <v>540</v>
      </c>
      <c r="D42" s="39" t="s">
        <v>381</v>
      </c>
      <c r="E42" s="40">
        <v>2087.2800000000002</v>
      </c>
      <c r="F42" s="40">
        <v>2365.5700000000002</v>
      </c>
      <c r="G42" s="45">
        <f t="shared" si="1"/>
        <v>4452.8500000000004</v>
      </c>
    </row>
    <row r="43" spans="2:7" ht="15.95" customHeight="1" x14ac:dyDescent="0.25">
      <c r="B43" s="38" t="s">
        <v>541</v>
      </c>
      <c r="C43" s="39" t="s">
        <v>542</v>
      </c>
      <c r="D43" s="39" t="s">
        <v>534</v>
      </c>
      <c r="E43" s="40">
        <v>226.19</v>
      </c>
      <c r="F43" s="40">
        <v>223.43</v>
      </c>
      <c r="G43" s="45">
        <f t="shared" si="1"/>
        <v>449.62</v>
      </c>
    </row>
    <row r="44" spans="2:7" ht="16.5" thickBot="1" x14ac:dyDescent="0.3">
      <c r="B44" s="46" t="s">
        <v>543</v>
      </c>
      <c r="C44" s="47" t="s">
        <v>544</v>
      </c>
      <c r="D44" s="47" t="s">
        <v>391</v>
      </c>
      <c r="E44" s="48">
        <v>1</v>
      </c>
      <c r="F44" s="48">
        <v>3</v>
      </c>
      <c r="G44" s="49">
        <f>F44+E44</f>
        <v>4</v>
      </c>
    </row>
    <row r="45" spans="2:7" ht="15.75" x14ac:dyDescent="0.25">
      <c r="B45" s="22" t="s">
        <v>410</v>
      </c>
      <c r="C45" s="23" t="s">
        <v>411</v>
      </c>
      <c r="D45" s="23" t="s">
        <v>369</v>
      </c>
      <c r="E45" s="24">
        <v>24</v>
      </c>
      <c r="F45" s="24"/>
      <c r="G45" s="25"/>
    </row>
    <row r="46" spans="2:7" ht="15.75" x14ac:dyDescent="0.25">
      <c r="B46" s="20" t="s">
        <v>412</v>
      </c>
      <c r="C46" s="19" t="s">
        <v>413</v>
      </c>
      <c r="D46" s="19" t="s">
        <v>369</v>
      </c>
      <c r="E46" s="18"/>
      <c r="F46" s="18">
        <v>36</v>
      </c>
      <c r="G46" s="21"/>
    </row>
    <row r="47" spans="2:7" ht="16.5" thickBot="1" x14ac:dyDescent="0.3">
      <c r="B47" s="26" t="s">
        <v>414</v>
      </c>
      <c r="C47" s="27" t="s">
        <v>415</v>
      </c>
      <c r="D47" s="27" t="s">
        <v>369</v>
      </c>
      <c r="E47" s="28"/>
      <c r="F47" s="28"/>
      <c r="G47" s="29">
        <f>F46</f>
        <v>36</v>
      </c>
    </row>
    <row r="131" spans="12:12" x14ac:dyDescent="0.25">
      <c r="L131" s="17">
        <v>1301371.9400000004</v>
      </c>
    </row>
  </sheetData>
  <mergeCells count="1">
    <mergeCell ref="A1:H5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29C7B-AF0A-4F48-9582-D5DD1F7CB12A}">
  <dimension ref="A1:W997"/>
  <sheetViews>
    <sheetView zoomScale="57" zoomScaleNormal="57" workbookViewId="0"/>
  </sheetViews>
  <sheetFormatPr defaultColWidth="14.42578125" defaultRowHeight="15" customHeight="1" x14ac:dyDescent="0.25"/>
  <cols>
    <col min="1" max="1" width="64.28515625" style="141" customWidth="1"/>
    <col min="2" max="2" width="23.28515625" style="141" customWidth="1"/>
    <col min="3" max="3" width="14.28515625" style="169" customWidth="1"/>
    <col min="4" max="4" width="16.7109375" style="169" customWidth="1"/>
    <col min="5" max="5" width="24" style="141" bestFit="1" customWidth="1"/>
    <col min="6" max="6" width="14.28515625" style="169" customWidth="1"/>
    <col min="7" max="7" width="16.7109375" style="169" bestFit="1" customWidth="1"/>
    <col min="8" max="8" width="24.7109375" style="141" customWidth="1"/>
    <col min="9" max="9" width="14.28515625" style="169" customWidth="1"/>
    <col min="10" max="10" width="16.7109375" style="169" bestFit="1" customWidth="1"/>
    <col min="11" max="11" width="17.7109375" style="141" customWidth="1"/>
    <col min="12" max="12" width="25.140625" style="141" customWidth="1"/>
    <col min="13" max="13" width="14.28515625" style="141" customWidth="1"/>
    <col min="14" max="23" width="9.140625" style="141" customWidth="1"/>
    <col min="24" max="16384" width="14.42578125" style="141"/>
  </cols>
  <sheetData>
    <row r="1" spans="1:23" ht="15" customHeight="1" x14ac:dyDescent="0.25">
      <c r="A1" s="142" t="s">
        <v>169</v>
      </c>
      <c r="B1" s="172" t="s">
        <v>378</v>
      </c>
      <c r="C1" s="173"/>
      <c r="D1" s="174"/>
      <c r="E1" s="172" t="s">
        <v>652</v>
      </c>
      <c r="F1" s="173"/>
      <c r="G1" s="174"/>
      <c r="H1" s="172" t="s">
        <v>668</v>
      </c>
      <c r="I1" s="173"/>
      <c r="J1" s="174"/>
    </row>
    <row r="2" spans="1:23" ht="22.5" customHeight="1" thickBot="1" x14ac:dyDescent="0.3">
      <c r="A2" s="142" t="s">
        <v>157</v>
      </c>
      <c r="B2" s="143" t="s">
        <v>657</v>
      </c>
      <c r="C2" s="143" t="s">
        <v>658</v>
      </c>
      <c r="D2" s="143" t="s">
        <v>659</v>
      </c>
      <c r="E2" s="143" t="s">
        <v>657</v>
      </c>
      <c r="F2" s="143" t="s">
        <v>658</v>
      </c>
      <c r="G2" s="143" t="s">
        <v>659</v>
      </c>
      <c r="H2" s="143" t="s">
        <v>657</v>
      </c>
      <c r="I2" s="143" t="s">
        <v>658</v>
      </c>
      <c r="J2" s="143" t="s">
        <v>659</v>
      </c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</row>
    <row r="3" spans="1:23" ht="19.5" customHeight="1" thickBot="1" x14ac:dyDescent="0.3">
      <c r="A3" s="152" t="s">
        <v>26</v>
      </c>
      <c r="B3" s="153">
        <f>[4]HOTEL!$L$5</f>
        <v>137245.95486800003</v>
      </c>
      <c r="C3" s="154">
        <f t="shared" ref="C3:C17" si="0">B3/B$18</f>
        <v>3.307113728731755E-3</v>
      </c>
      <c r="D3" s="155">
        <f>B3/RESUMOS!M$3</f>
        <v>22.68839441906907</v>
      </c>
      <c r="E3" s="153">
        <f>HOTEL!L5</f>
        <v>137245.95486800003</v>
      </c>
      <c r="F3" s="154">
        <f t="shared" ref="F3:F17" si="1">E3/E$18</f>
        <v>3.2933654127781336E-3</v>
      </c>
      <c r="G3" s="155">
        <f>E3/RESUMOS!M$3</f>
        <v>22.68839441906907</v>
      </c>
      <c r="H3" s="153">
        <f>E3-B3</f>
        <v>0</v>
      </c>
      <c r="I3" s="154">
        <f>H3/B3</f>
        <v>0</v>
      </c>
      <c r="J3" s="155">
        <f>H3/RESUMOS!M$3</f>
        <v>0</v>
      </c>
      <c r="K3" s="144"/>
      <c r="L3" s="149" t="s">
        <v>660</v>
      </c>
      <c r="M3" s="150">
        <f>[5]OBRA!$E$15</f>
        <v>6049.1699999999992</v>
      </c>
      <c r="N3" s="151" t="s">
        <v>185</v>
      </c>
      <c r="O3" s="144"/>
      <c r="P3" s="144"/>
      <c r="Q3" s="144"/>
      <c r="R3" s="144"/>
      <c r="S3" s="144"/>
      <c r="T3" s="144"/>
      <c r="U3" s="144"/>
      <c r="V3" s="144"/>
      <c r="W3" s="144"/>
    </row>
    <row r="4" spans="1:23" ht="19.5" customHeight="1" thickBot="1" x14ac:dyDescent="0.3">
      <c r="A4" s="145" t="s">
        <v>32</v>
      </c>
      <c r="B4" s="146">
        <f>[4]HOTEL!$L$22</f>
        <v>2200957.6281000003</v>
      </c>
      <c r="C4" s="147">
        <f t="shared" si="0"/>
        <v>5.3034839498526491E-2</v>
      </c>
      <c r="D4" s="148">
        <f>B4/RESUMOS!M$3</f>
        <v>363.84456513868855</v>
      </c>
      <c r="E4" s="146">
        <f>HOTEL!L22</f>
        <v>2200957.6281000003</v>
      </c>
      <c r="F4" s="147">
        <f t="shared" si="1"/>
        <v>5.2814363340225462E-2</v>
      </c>
      <c r="G4" s="148">
        <f>E4/RESUMOS!M$3</f>
        <v>363.84456513868855</v>
      </c>
      <c r="H4" s="146">
        <f>E4-B4</f>
        <v>0</v>
      </c>
      <c r="I4" s="147">
        <f t="shared" ref="I4:I17" si="2">H4/B4</f>
        <v>0</v>
      </c>
      <c r="J4" s="148">
        <f>H4/RESUMOS!M$3</f>
        <v>0</v>
      </c>
      <c r="K4" s="144"/>
      <c r="L4" s="149" t="s">
        <v>661</v>
      </c>
      <c r="M4" s="150">
        <f>[5]OBRA!$F$15</f>
        <v>21510.280000000006</v>
      </c>
      <c r="N4" s="151" t="s">
        <v>185</v>
      </c>
      <c r="O4" s="144"/>
      <c r="P4" s="144"/>
      <c r="Q4" s="144"/>
      <c r="R4" s="144"/>
      <c r="S4" s="144"/>
      <c r="T4" s="144"/>
      <c r="U4" s="144"/>
      <c r="V4" s="144"/>
      <c r="W4" s="144"/>
    </row>
    <row r="5" spans="1:23" ht="19.5" customHeight="1" x14ac:dyDescent="0.25">
      <c r="A5" s="152" t="s">
        <v>40</v>
      </c>
      <c r="B5" s="153">
        <f>[4]HOTEL!$L$40</f>
        <v>4644536.7089</v>
      </c>
      <c r="C5" s="154">
        <f t="shared" si="0"/>
        <v>0.11191594774778386</v>
      </c>
      <c r="D5" s="155">
        <f>B5/RESUMOS!M$3</f>
        <v>767.79735218220026</v>
      </c>
      <c r="E5" s="153">
        <f>HOTEL!L40</f>
        <v>4644536.7089</v>
      </c>
      <c r="F5" s="154">
        <f t="shared" si="1"/>
        <v>0.11145069135320695</v>
      </c>
      <c r="G5" s="155">
        <f>E5/RESUMOS!M$3</f>
        <v>767.79735218220026</v>
      </c>
      <c r="H5" s="153">
        <f t="shared" ref="H5:H17" si="3">E5-B5</f>
        <v>0</v>
      </c>
      <c r="I5" s="154">
        <f t="shared" si="2"/>
        <v>0</v>
      </c>
      <c r="J5" s="155">
        <f>H5/RESUMOS!M$3</f>
        <v>0</v>
      </c>
      <c r="K5" s="144"/>
      <c r="L5" s="156"/>
      <c r="M5" s="157">
        <f>M3+M4</f>
        <v>27559.450000000004</v>
      </c>
      <c r="N5" s="144"/>
      <c r="O5" s="144"/>
      <c r="P5" s="144"/>
      <c r="Q5" s="144"/>
      <c r="R5" s="144"/>
      <c r="S5" s="144"/>
      <c r="T5" s="144"/>
      <c r="U5" s="144"/>
      <c r="V5" s="144"/>
      <c r="W5" s="144"/>
    </row>
    <row r="6" spans="1:23" ht="19.5" customHeight="1" x14ac:dyDescent="0.25">
      <c r="A6" s="145" t="s">
        <v>662</v>
      </c>
      <c r="B6" s="146">
        <f>[4]HOTEL!$L$54</f>
        <v>2943440.8899737974</v>
      </c>
      <c r="C6" s="147">
        <f t="shared" si="0"/>
        <v>7.0925906605444067E-2</v>
      </c>
      <c r="D6" s="148">
        <f>B6/RESUMOS!M$3</f>
        <v>486.58591012879418</v>
      </c>
      <c r="E6" s="146">
        <f>HOTEL!L54</f>
        <v>2968837.6899737972</v>
      </c>
      <c r="F6" s="147">
        <f t="shared" si="1"/>
        <v>7.1240477533312918E-2</v>
      </c>
      <c r="G6" s="148">
        <f>E6/RESUMOS!M$3</f>
        <v>490.78430428865408</v>
      </c>
      <c r="H6" s="146">
        <f t="shared" si="3"/>
        <v>25396.799999999814</v>
      </c>
      <c r="I6" s="147">
        <f t="shared" si="2"/>
        <v>8.6282690732837845E-3</v>
      </c>
      <c r="J6" s="148">
        <f>H6/RESUMOS!M$3</f>
        <v>4.1983941598599177</v>
      </c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</row>
    <row r="7" spans="1:23" ht="19.5" customHeight="1" x14ac:dyDescent="0.25">
      <c r="A7" s="152" t="s">
        <v>663</v>
      </c>
      <c r="B7" s="153">
        <f>[4]HOTEL!$L$107+[4]HOTEL!$L$130+[4]HOTEL!$L$153+[4]HOTEL!$L$167+[4]HOTEL!$L$366</f>
        <v>3789528.2063600002</v>
      </c>
      <c r="C7" s="154">
        <f t="shared" si="0"/>
        <v>9.1313443581799936E-2</v>
      </c>
      <c r="D7" s="155">
        <f>B7/RESUMOS!M$3</f>
        <v>626.4542418811177</v>
      </c>
      <c r="E7" s="153">
        <f>HOTEL!L108+HOTEL!L131+HOTEL!L154+HOTEL!L168+HOTEL!L369</f>
        <v>3789528.2063600002</v>
      </c>
      <c r="F7" s="154">
        <f t="shared" si="1"/>
        <v>9.0933835810144248E-2</v>
      </c>
      <c r="G7" s="155">
        <f>E7/RESUMOS!M$3</f>
        <v>626.4542418811177</v>
      </c>
      <c r="H7" s="153">
        <f t="shared" si="3"/>
        <v>0</v>
      </c>
      <c r="I7" s="154">
        <f t="shared" si="2"/>
        <v>0</v>
      </c>
      <c r="J7" s="155">
        <f>H7/RESUMOS!M$3</f>
        <v>0</v>
      </c>
      <c r="K7" s="144"/>
      <c r="L7" s="158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</row>
    <row r="8" spans="1:23" ht="19.5" customHeight="1" x14ac:dyDescent="0.25">
      <c r="A8" s="145" t="s">
        <v>90</v>
      </c>
      <c r="B8" s="146">
        <f>[4]HOTEL!$L$179+[4]HOTEL!$L$190+[4]HOTEL!$L$209</f>
        <v>6534261.9484999999</v>
      </c>
      <c r="C8" s="147">
        <f t="shared" si="0"/>
        <v>0.1574512517895148</v>
      </c>
      <c r="D8" s="148">
        <f>B8/RESUMOS!M$3</f>
        <v>1080.1914888323524</v>
      </c>
      <c r="E8" s="146">
        <f>HOTEL!L180+HOTEL!L191+HOTEL!L210</f>
        <v>6534261.9484999999</v>
      </c>
      <c r="F8" s="147">
        <f t="shared" si="1"/>
        <v>0.15679669626634396</v>
      </c>
      <c r="G8" s="148">
        <f>E8/RESUMOS!M$3</f>
        <v>1080.1914888323524</v>
      </c>
      <c r="H8" s="146">
        <f t="shared" si="3"/>
        <v>0</v>
      </c>
      <c r="I8" s="147">
        <f t="shared" si="2"/>
        <v>0</v>
      </c>
      <c r="J8" s="148">
        <f>H8/RESUMOS!M$3</f>
        <v>0</v>
      </c>
      <c r="K8" s="159"/>
      <c r="L8" s="160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</row>
    <row r="9" spans="1:23" ht="19.5" customHeight="1" x14ac:dyDescent="0.25">
      <c r="A9" s="152" t="s">
        <v>664</v>
      </c>
      <c r="B9" s="153">
        <f>[4]HOTEL!$L$73</f>
        <v>493452.24824999995</v>
      </c>
      <c r="C9" s="154">
        <f t="shared" si="0"/>
        <v>1.1890351932271163E-2</v>
      </c>
      <c r="D9" s="155">
        <f>B9/RESUMOS!M$3</f>
        <v>81.573546164184506</v>
      </c>
      <c r="E9" s="153">
        <f>HOTEL!L74</f>
        <v>493452.24824999995</v>
      </c>
      <c r="F9" s="154">
        <f t="shared" si="1"/>
        <v>1.1840921423200854E-2</v>
      </c>
      <c r="G9" s="155">
        <f>E9/RESUMOS!M$3</f>
        <v>81.573546164184506</v>
      </c>
      <c r="H9" s="153">
        <f t="shared" si="3"/>
        <v>0</v>
      </c>
      <c r="I9" s="154">
        <f t="shared" si="2"/>
        <v>0</v>
      </c>
      <c r="J9" s="155">
        <f>H9/RESUMOS!M$3</f>
        <v>0</v>
      </c>
      <c r="K9" s="144"/>
      <c r="L9" s="158"/>
      <c r="M9" s="161"/>
      <c r="N9" s="144"/>
      <c r="O9" s="144"/>
      <c r="P9" s="144"/>
      <c r="Q9" s="144"/>
      <c r="R9" s="144"/>
      <c r="S9" s="144"/>
      <c r="T9" s="144"/>
      <c r="U9" s="144"/>
      <c r="V9" s="144"/>
      <c r="W9" s="144"/>
    </row>
    <row r="10" spans="1:23" ht="19.5" customHeight="1" x14ac:dyDescent="0.25">
      <c r="A10" s="145" t="s">
        <v>97</v>
      </c>
      <c r="B10" s="146">
        <f>[4]HOTEL!$L$224</f>
        <v>2569648.4159897305</v>
      </c>
      <c r="C10" s="147">
        <f t="shared" si="0"/>
        <v>6.1918907283691822E-2</v>
      </c>
      <c r="D10" s="148">
        <f>B10/RESUMOS!M$3</f>
        <v>424.79355283282348</v>
      </c>
      <c r="E10" s="146">
        <f>HOTEL!L225</f>
        <v>2569648.4159897305</v>
      </c>
      <c r="F10" s="147">
        <f t="shared" si="1"/>
        <v>6.1661498325105549E-2</v>
      </c>
      <c r="G10" s="148">
        <f>E10/RESUMOS!M$3</f>
        <v>424.79355283282348</v>
      </c>
      <c r="H10" s="146">
        <f t="shared" si="3"/>
        <v>0</v>
      </c>
      <c r="I10" s="147">
        <f t="shared" si="2"/>
        <v>0</v>
      </c>
      <c r="J10" s="148">
        <f>H10/RESUMOS!M$3</f>
        <v>0</v>
      </c>
      <c r="K10" s="144"/>
      <c r="L10" s="162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</row>
    <row r="11" spans="1:23" ht="19.5" customHeight="1" x14ac:dyDescent="0.25">
      <c r="A11" s="152" t="s">
        <v>101</v>
      </c>
      <c r="B11" s="153">
        <f>[4]HOTEL!$L$248</f>
        <v>855037.85883999988</v>
      </c>
      <c r="C11" s="154">
        <f t="shared" si="0"/>
        <v>2.0603211542917905E-2</v>
      </c>
      <c r="D11" s="155">
        <f>B11/RESUMOS!M$3</f>
        <v>141.34796324785054</v>
      </c>
      <c r="E11" s="153">
        <f>HOTEL!L249</f>
        <v>831199.7699500001</v>
      </c>
      <c r="F11" s="154">
        <f t="shared" si="1"/>
        <v>1.9945539204381524E-2</v>
      </c>
      <c r="G11" s="155">
        <f>E11/RESUMOS!M$3</f>
        <v>137.40724263824629</v>
      </c>
      <c r="H11" s="153">
        <f t="shared" si="3"/>
        <v>-23838.088889999781</v>
      </c>
      <c r="I11" s="154">
        <f t="shared" si="2"/>
        <v>-2.7879571230144225E-2</v>
      </c>
      <c r="J11" s="155">
        <f>H11/RESUMOS!M$3</f>
        <v>-3.9407206096042571</v>
      </c>
      <c r="K11" s="144"/>
      <c r="L11" s="144"/>
      <c r="M11" s="163"/>
      <c r="N11" s="144"/>
      <c r="O11" s="144"/>
      <c r="P11" s="144"/>
      <c r="Q11" s="144"/>
      <c r="R11" s="144"/>
      <c r="S11" s="144"/>
      <c r="T11" s="144"/>
      <c r="U11" s="144"/>
      <c r="V11" s="144"/>
      <c r="W11" s="144"/>
    </row>
    <row r="12" spans="1:23" ht="19.5" customHeight="1" x14ac:dyDescent="0.25">
      <c r="A12" s="145" t="s">
        <v>104</v>
      </c>
      <c r="B12" s="146">
        <f>[4]HOTEL!$L$261</f>
        <v>3227702.3769936003</v>
      </c>
      <c r="C12" s="147">
        <f t="shared" si="0"/>
        <v>7.7775544302795846E-2</v>
      </c>
      <c r="D12" s="148">
        <f>B12/RESUMOS!M$3</f>
        <v>533.57772669533188</v>
      </c>
      <c r="E12" s="146">
        <f>HOTEL!L264</f>
        <v>3231121.7147836005</v>
      </c>
      <c r="F12" s="147">
        <f t="shared" si="1"/>
        <v>7.7534266931066964E-2</v>
      </c>
      <c r="G12" s="148">
        <f>E12/RESUMOS!M$3</f>
        <v>534.14298404303418</v>
      </c>
      <c r="H12" s="146">
        <f t="shared" si="3"/>
        <v>3419.3377900002524</v>
      </c>
      <c r="I12" s="147">
        <f t="shared" si="2"/>
        <v>1.0593720828700286E-3</v>
      </c>
      <c r="J12" s="148">
        <f>H12/RESUMOS!M$3</f>
        <v>0.56525734770228853</v>
      </c>
      <c r="K12" s="144"/>
      <c r="L12" s="144"/>
      <c r="M12" s="162"/>
      <c r="N12" s="144"/>
      <c r="O12" s="144"/>
      <c r="P12" s="144"/>
      <c r="Q12" s="144"/>
      <c r="R12" s="144"/>
      <c r="S12" s="144"/>
      <c r="T12" s="144"/>
      <c r="U12" s="144"/>
      <c r="V12" s="144"/>
      <c r="W12" s="144"/>
    </row>
    <row r="13" spans="1:23" ht="19.5" customHeight="1" x14ac:dyDescent="0.25">
      <c r="A13" s="152" t="s">
        <v>113</v>
      </c>
      <c r="B13" s="153">
        <f>[4]HOTEL!$L$300</f>
        <v>890994.11949746008</v>
      </c>
      <c r="C13" s="154">
        <f t="shared" si="0"/>
        <v>2.1469622821621969E-2</v>
      </c>
      <c r="D13" s="155">
        <f>B13/RESUMOS!M$3</f>
        <v>147.29196228531521</v>
      </c>
      <c r="E13" s="153">
        <f>HOTEL!L303</f>
        <v>890237.64839746011</v>
      </c>
      <c r="F13" s="154">
        <f t="shared" si="1"/>
        <v>2.1362217073756004E-2</v>
      </c>
      <c r="G13" s="155">
        <f>E13/RESUMOS!M$3</f>
        <v>147.166908583733</v>
      </c>
      <c r="H13" s="153">
        <f t="shared" si="3"/>
        <v>-756.4710999999661</v>
      </c>
      <c r="I13" s="154">
        <f t="shared" si="2"/>
        <v>-8.4901918368061977E-4</v>
      </c>
      <c r="J13" s="155">
        <f>H13/RESUMOS!M$3</f>
        <v>-0.12505370158219495</v>
      </c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</row>
    <row r="14" spans="1:23" ht="19.5" customHeight="1" x14ac:dyDescent="0.25">
      <c r="A14" s="145" t="s">
        <v>117</v>
      </c>
      <c r="B14" s="146">
        <f>[4]HOTEL!$L$319</f>
        <v>10001040.064222226</v>
      </c>
      <c r="C14" s="147">
        <f t="shared" si="0"/>
        <v>0.24098762640979837</v>
      </c>
      <c r="D14" s="148">
        <f>B14/RESUMOS!M$3</f>
        <v>1653.2912885936794</v>
      </c>
      <c r="E14" s="146">
        <f>HOTEL!L322</f>
        <v>10170063.206222227</v>
      </c>
      <c r="F14" s="147">
        <f t="shared" si="1"/>
        <v>0.24404168735867857</v>
      </c>
      <c r="G14" s="148">
        <f>E14/RESUMOS!M$3</f>
        <v>1681.2328313177227</v>
      </c>
      <c r="H14" s="146">
        <f t="shared" si="3"/>
        <v>169023.14200000092</v>
      </c>
      <c r="I14" s="147">
        <f t="shared" si="2"/>
        <v>1.6900556433591864E-2</v>
      </c>
      <c r="J14" s="148">
        <f>H14/RESUMOS!M$3</f>
        <v>27.941542724043291</v>
      </c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</row>
    <row r="15" spans="1:23" ht="19.5" customHeight="1" x14ac:dyDescent="0.25">
      <c r="A15" s="152" t="s">
        <v>132</v>
      </c>
      <c r="B15" s="153">
        <f>[4]HOTEL!$L$377</f>
        <v>1393694.4545797338</v>
      </c>
      <c r="C15" s="154">
        <f t="shared" si="0"/>
        <v>3.35828190261118E-2</v>
      </c>
      <c r="D15" s="155">
        <f>B15/RESUMOS!M$3</f>
        <v>230.39432758208713</v>
      </c>
      <c r="E15" s="153">
        <f>HOTEL!L380</f>
        <v>1393694.4545797338</v>
      </c>
      <c r="F15" s="154">
        <f t="shared" si="1"/>
        <v>3.3443208705918388E-2</v>
      </c>
      <c r="G15" s="155">
        <f>E15/RESUMOS!M$3</f>
        <v>230.39432758208713</v>
      </c>
      <c r="H15" s="153">
        <f t="shared" si="3"/>
        <v>0</v>
      </c>
      <c r="I15" s="154">
        <f t="shared" si="2"/>
        <v>0</v>
      </c>
      <c r="J15" s="155">
        <f>H15/RESUMOS!M$3</f>
        <v>0</v>
      </c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</row>
    <row r="16" spans="1:23" ht="19.5" customHeight="1" x14ac:dyDescent="0.25">
      <c r="A16" s="145" t="s">
        <v>665</v>
      </c>
      <c r="B16" s="146">
        <f>[4]HOTEL!$L$395</f>
        <v>1254677.6685917224</v>
      </c>
      <c r="C16" s="147">
        <f t="shared" si="0"/>
        <v>3.0233034896537361E-2</v>
      </c>
      <c r="D16" s="148">
        <f>B16/RESUMOS!M$3</f>
        <v>207.4131936433796</v>
      </c>
      <c r="E16" s="146">
        <f>HOTEL!L398</f>
        <v>1254677.6685917224</v>
      </c>
      <c r="F16" s="147">
        <f t="shared" si="1"/>
        <v>3.0107350281465516E-2</v>
      </c>
      <c r="G16" s="148">
        <f>E16/RESUMOS!M$3</f>
        <v>207.4131936433796</v>
      </c>
      <c r="H16" s="146">
        <f t="shared" si="3"/>
        <v>0</v>
      </c>
      <c r="I16" s="147">
        <f t="shared" si="2"/>
        <v>0</v>
      </c>
      <c r="J16" s="148">
        <f>H16/RESUMOS!M$3</f>
        <v>0</v>
      </c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</row>
    <row r="17" spans="1:23" ht="19.5" customHeight="1" x14ac:dyDescent="0.25">
      <c r="A17" s="152" t="s">
        <v>666</v>
      </c>
      <c r="B17" s="153">
        <f>[4]HOTEL!$L$425</f>
        <v>564003.74249999993</v>
      </c>
      <c r="C17" s="154">
        <f t="shared" si="0"/>
        <v>1.3590378832452796E-2</v>
      </c>
      <c r="D17" s="155">
        <f>B17/RESUMOS!M$3</f>
        <v>93.236550220939407</v>
      </c>
      <c r="E17" s="153">
        <f>HOTEL!L428</f>
        <v>564003.74249999993</v>
      </c>
      <c r="F17" s="154">
        <f t="shared" si="1"/>
        <v>1.3533880980415025E-2</v>
      </c>
      <c r="G17" s="155">
        <f>E17/RESUMOS!M$3</f>
        <v>93.236550220939407</v>
      </c>
      <c r="H17" s="153">
        <f t="shared" si="3"/>
        <v>0</v>
      </c>
      <c r="I17" s="154">
        <f t="shared" si="2"/>
        <v>0</v>
      </c>
      <c r="J17" s="155">
        <f>H17/RESUMOS!M$3</f>
        <v>0</v>
      </c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</row>
    <row r="18" spans="1:23" ht="19.5" customHeight="1" x14ac:dyDescent="0.25">
      <c r="A18" s="142" t="s">
        <v>656</v>
      </c>
      <c r="B18" s="164">
        <f t="shared" ref="B18:J18" si="4">SUM(B3:B17)</f>
        <v>41500222.286166273</v>
      </c>
      <c r="C18" s="165">
        <f t="shared" si="4"/>
        <v>1</v>
      </c>
      <c r="D18" s="164">
        <f t="shared" si="4"/>
        <v>6860.4820638478141</v>
      </c>
      <c r="E18" s="164">
        <f t="shared" si="4"/>
        <v>41673467.005966268</v>
      </c>
      <c r="F18" s="165">
        <f t="shared" si="4"/>
        <v>1.0000000000000002</v>
      </c>
      <c r="G18" s="164">
        <f t="shared" si="4"/>
        <v>6889.1214837682319</v>
      </c>
      <c r="H18" s="164">
        <f t="shared" si="4"/>
        <v>173244.71980000124</v>
      </c>
      <c r="I18" s="170">
        <f t="shared" si="4"/>
        <v>-2.1403928240791639E-3</v>
      </c>
      <c r="J18" s="164">
        <f t="shared" si="4"/>
        <v>28.639419920419044</v>
      </c>
      <c r="K18" s="162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</row>
    <row r="19" spans="1:23" ht="19.5" customHeight="1" x14ac:dyDescent="0.25">
      <c r="A19" s="142" t="s">
        <v>667</v>
      </c>
      <c r="B19" s="166">
        <v>2303.36</v>
      </c>
      <c r="C19" s="167">
        <v>45717</v>
      </c>
      <c r="D19" s="168">
        <f>+D18/B19</f>
        <v>2.9784671366385687</v>
      </c>
      <c r="E19" s="166">
        <v>2303.36</v>
      </c>
      <c r="F19" s="167">
        <v>45717</v>
      </c>
      <c r="G19" s="168">
        <f>+G18/E19</f>
        <v>2.9909008942450295</v>
      </c>
      <c r="H19" s="175">
        <f>H18/B18</f>
        <v>4.1745492013364662E-3</v>
      </c>
      <c r="I19" s="176"/>
      <c r="J19" s="168">
        <f>+J18/E19</f>
        <v>1.2433757606461449E-2</v>
      </c>
      <c r="K19" s="162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</row>
    <row r="20" spans="1:23" ht="22.5" customHeight="1" x14ac:dyDescent="0.25">
      <c r="A20" s="144"/>
      <c r="B20" s="162"/>
      <c r="C20" s="158"/>
      <c r="D20" s="158"/>
      <c r="E20" s="162"/>
      <c r="F20" s="158"/>
      <c r="G20" s="158"/>
      <c r="H20" s="162"/>
      <c r="I20" s="158"/>
      <c r="J20" s="158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</row>
    <row r="21" spans="1:23" ht="15" customHeight="1" x14ac:dyDescent="0.25">
      <c r="A21" s="142" t="s">
        <v>170</v>
      </c>
      <c r="B21" s="172" t="s">
        <v>378</v>
      </c>
      <c r="C21" s="173"/>
      <c r="D21" s="174"/>
      <c r="E21" s="172" t="s">
        <v>652</v>
      </c>
      <c r="F21" s="173"/>
      <c r="G21" s="174"/>
      <c r="H21" s="172" t="s">
        <v>668</v>
      </c>
      <c r="I21" s="173"/>
      <c r="J21" s="174"/>
    </row>
    <row r="22" spans="1:23" ht="22.5" customHeight="1" x14ac:dyDescent="0.25">
      <c r="A22" s="142" t="s">
        <v>157</v>
      </c>
      <c r="B22" s="143" t="s">
        <v>657</v>
      </c>
      <c r="C22" s="143" t="s">
        <v>658</v>
      </c>
      <c r="D22" s="143" t="s">
        <v>659</v>
      </c>
      <c r="E22" s="143" t="s">
        <v>657</v>
      </c>
      <c r="F22" s="143" t="s">
        <v>658</v>
      </c>
      <c r="G22" s="143" t="s">
        <v>659</v>
      </c>
      <c r="H22" s="143" t="s">
        <v>657</v>
      </c>
      <c r="I22" s="143" t="s">
        <v>658</v>
      </c>
      <c r="J22" s="143" t="s">
        <v>659</v>
      </c>
      <c r="K22" s="144"/>
      <c r="O22" s="144"/>
      <c r="P22" s="144"/>
      <c r="Q22" s="144"/>
      <c r="R22" s="144"/>
      <c r="S22" s="144"/>
      <c r="T22" s="144"/>
      <c r="U22" s="144"/>
      <c r="V22" s="144"/>
      <c r="W22" s="144"/>
    </row>
    <row r="23" spans="1:23" ht="19.5" customHeight="1" x14ac:dyDescent="0.25">
      <c r="A23" s="152" t="s">
        <v>26</v>
      </c>
      <c r="B23" s="153">
        <f>[4]RESIDENCIAL!$L$5</f>
        <v>150402.20465600002</v>
      </c>
      <c r="C23" s="154">
        <f>B23/B$38</f>
        <v>1.7283300137306175E-3</v>
      </c>
      <c r="D23" s="155">
        <f>B23/RESUMOS!M$4</f>
        <v>6.992108175997708</v>
      </c>
      <c r="E23" s="153">
        <f>RESIDENCIAL!L5</f>
        <v>150402.20465600002</v>
      </c>
      <c r="F23" s="154">
        <f>E23/E$38</f>
        <v>1.7183604861943831E-3</v>
      </c>
      <c r="G23" s="155">
        <f>E23/RESUMOS!M$4</f>
        <v>6.992108175997708</v>
      </c>
      <c r="H23" s="153">
        <f>E23-B23</f>
        <v>0</v>
      </c>
      <c r="I23" s="154">
        <f>H23/B23</f>
        <v>0</v>
      </c>
      <c r="J23" s="155">
        <f>H23/RESUMOS!M$4</f>
        <v>0</v>
      </c>
      <c r="K23" s="144"/>
      <c r="O23" s="144"/>
      <c r="P23" s="144"/>
      <c r="Q23" s="144"/>
      <c r="R23" s="144"/>
      <c r="S23" s="144"/>
      <c r="T23" s="144"/>
      <c r="U23" s="144"/>
      <c r="V23" s="144"/>
      <c r="W23" s="144"/>
    </row>
    <row r="24" spans="1:23" ht="19.5" customHeight="1" x14ac:dyDescent="0.25">
      <c r="A24" s="145" t="s">
        <v>32</v>
      </c>
      <c r="B24" s="146">
        <f>[4]RESIDENCIAL!$L$22</f>
        <v>4184719.8349000001</v>
      </c>
      <c r="C24" s="147">
        <f>B24/B$38</f>
        <v>4.8088237178795734E-2</v>
      </c>
      <c r="D24" s="148">
        <f>B24/RESUMOS!M$4</f>
        <v>194.54511214637833</v>
      </c>
      <c r="E24" s="146">
        <f>RESIDENCIAL!L22</f>
        <v>4184719.8349000001</v>
      </c>
      <c r="F24" s="147">
        <f>E24/E$38</f>
        <v>4.7810849758040279E-2</v>
      </c>
      <c r="G24" s="148">
        <f>E24/RESUMOS!M$4</f>
        <v>194.54511214637833</v>
      </c>
      <c r="H24" s="146">
        <f>E24-B24</f>
        <v>0</v>
      </c>
      <c r="I24" s="147">
        <f t="shared" ref="I24:I37" si="5">H24/B24</f>
        <v>0</v>
      </c>
      <c r="J24" s="148">
        <f>H24/RESUMOS!M$4</f>
        <v>0</v>
      </c>
      <c r="K24" s="144"/>
      <c r="O24" s="144"/>
      <c r="P24" s="144"/>
      <c r="Q24" s="144"/>
      <c r="R24" s="144"/>
      <c r="S24" s="144"/>
      <c r="T24" s="144"/>
      <c r="U24" s="144"/>
      <c r="V24" s="144"/>
      <c r="W24" s="144"/>
    </row>
    <row r="25" spans="1:23" ht="19.5" customHeight="1" x14ac:dyDescent="0.25">
      <c r="A25" s="152" t="s">
        <v>40</v>
      </c>
      <c r="B25" s="153">
        <f>[4]RESIDENCIAL!$L$40</f>
        <v>15149857.504004356</v>
      </c>
      <c r="C25" s="154">
        <f t="shared" ref="C25:C37" si="6">B25/B$38</f>
        <v>0.17409288306511658</v>
      </c>
      <c r="D25" s="155">
        <f>B25/RESUMOS!M$4</f>
        <v>704.30777767673646</v>
      </c>
      <c r="E25" s="153">
        <f>RESIDENCIAL!L40</f>
        <v>15149857.504004356</v>
      </c>
      <c r="F25" s="154">
        <f t="shared" ref="F25:F37" si="7">E25/E$38</f>
        <v>0.17308866293482231</v>
      </c>
      <c r="G25" s="155">
        <f>E25/RESUMOS!M$4</f>
        <v>704.30777767673646</v>
      </c>
      <c r="H25" s="153">
        <f t="shared" ref="H25:H37" si="8">E25-B25</f>
        <v>0</v>
      </c>
      <c r="I25" s="154">
        <f t="shared" si="5"/>
        <v>0</v>
      </c>
      <c r="J25" s="155">
        <f>H25/RESUMOS!M$4</f>
        <v>0</v>
      </c>
      <c r="K25" s="144"/>
      <c r="L25" s="156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</row>
    <row r="26" spans="1:23" ht="19.5" customHeight="1" x14ac:dyDescent="0.25">
      <c r="A26" s="145" t="s">
        <v>662</v>
      </c>
      <c r="B26" s="146">
        <f>[4]RESIDENCIAL!$L$54</f>
        <v>6993312.5498940032</v>
      </c>
      <c r="C26" s="147">
        <f t="shared" si="6"/>
        <v>8.036286438104831E-2</v>
      </c>
      <c r="D26" s="148">
        <f>B26/RESUMOS!M$4</f>
        <v>325.11490087037458</v>
      </c>
      <c r="E26" s="146">
        <f>RESIDENCIAL!L54</f>
        <v>6993312.5498940032</v>
      </c>
      <c r="F26" s="147">
        <f t="shared" si="7"/>
        <v>7.9899307199854552E-2</v>
      </c>
      <c r="G26" s="148">
        <f>E26/RESUMOS!M$4</f>
        <v>325.11490087037458</v>
      </c>
      <c r="H26" s="146">
        <f t="shared" si="8"/>
        <v>0</v>
      </c>
      <c r="I26" s="147">
        <f t="shared" si="5"/>
        <v>0</v>
      </c>
      <c r="J26" s="148">
        <f>H26/RESUMOS!M$4</f>
        <v>0</v>
      </c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</row>
    <row r="27" spans="1:23" ht="19.5" customHeight="1" x14ac:dyDescent="0.25">
      <c r="A27" s="152" t="s">
        <v>663</v>
      </c>
      <c r="B27" s="153">
        <f>[4]RESIDENCIAL!$L$108+[4]RESIDENCIAL!$L$132+[4]RESIDENCIAL!$L$155+[4]RESIDENCIAL!$L$169+[4]RESIDENCIAL!$L$379</f>
        <v>9279749.6895840019</v>
      </c>
      <c r="C27" s="154">
        <f t="shared" si="6"/>
        <v>0.10663719953506404</v>
      </c>
      <c r="D27" s="155">
        <f>B27/RESUMOS!M$4</f>
        <v>431.40999045963139</v>
      </c>
      <c r="E27" s="153">
        <f>RESIDENCIAL!L108+RESIDENCIAL!L132+RESIDENCIAL!L155+RESIDENCIAL!L169+RESIDENCIAL!L382</f>
        <v>9279749.6895840019</v>
      </c>
      <c r="F27" s="154">
        <f t="shared" si="7"/>
        <v>0.10602208408332402</v>
      </c>
      <c r="G27" s="155">
        <f>E27/RESUMOS!M$4</f>
        <v>431.40999045963139</v>
      </c>
      <c r="H27" s="153">
        <f t="shared" si="8"/>
        <v>0</v>
      </c>
      <c r="I27" s="154">
        <f t="shared" si="5"/>
        <v>0</v>
      </c>
      <c r="J27" s="155">
        <f>H27/RESUMOS!M$4</f>
        <v>0</v>
      </c>
      <c r="K27" s="144"/>
      <c r="L27" s="158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</row>
    <row r="28" spans="1:23" ht="19.5" customHeight="1" x14ac:dyDescent="0.25">
      <c r="A28" s="145" t="s">
        <v>90</v>
      </c>
      <c r="B28" s="146">
        <f>[4]RESIDENCIAL!$L$181+[4]RESIDENCIAL!$L$192+[4]RESIDENCIAL!$L$211</f>
        <v>4796558.074</v>
      </c>
      <c r="C28" s="147">
        <f t="shared" si="6"/>
        <v>5.5119107468252188E-2</v>
      </c>
      <c r="D28" s="148">
        <f>B28/RESUMOS!M$4</f>
        <v>222.98910446539975</v>
      </c>
      <c r="E28" s="146">
        <f>RESIDENCIAL!L181+RESIDENCIAL!L192+RESIDENCIAL!L212</f>
        <v>5166429.29</v>
      </c>
      <c r="F28" s="147">
        <f t="shared" si="7"/>
        <v>5.9026980136086316E-2</v>
      </c>
      <c r="G28" s="148">
        <f>E28/RESUMOS!M$4</f>
        <v>240.18419518481389</v>
      </c>
      <c r="H28" s="146">
        <f t="shared" si="8"/>
        <v>369871.21600000001</v>
      </c>
      <c r="I28" s="147">
        <f t="shared" si="5"/>
        <v>7.7111797729481638E-2</v>
      </c>
      <c r="J28" s="148">
        <f>H28/RESUMOS!M$4</f>
        <v>17.195090719414154</v>
      </c>
      <c r="K28" s="159"/>
      <c r="L28" s="160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</row>
    <row r="29" spans="1:23" ht="19.5" customHeight="1" x14ac:dyDescent="0.25">
      <c r="A29" s="152" t="s">
        <v>664</v>
      </c>
      <c r="B29" s="153">
        <f>[4]RESIDENCIAL!$L$74</f>
        <v>1276413.3426000006</v>
      </c>
      <c r="C29" s="154">
        <f t="shared" si="6"/>
        <v>1.466776032297872E-2</v>
      </c>
      <c r="D29" s="155">
        <f>B29/RESUMOS!M$4</f>
        <v>59.339689794832992</v>
      </c>
      <c r="E29" s="153">
        <f>RESIDENCIAL!L74</f>
        <v>1276413.3426000006</v>
      </c>
      <c r="F29" s="154">
        <f t="shared" si="7"/>
        <v>1.4583152268224649E-2</v>
      </c>
      <c r="G29" s="155">
        <f>E29/RESUMOS!M$4</f>
        <v>59.339689794832992</v>
      </c>
      <c r="H29" s="153">
        <f t="shared" si="8"/>
        <v>0</v>
      </c>
      <c r="I29" s="154">
        <f t="shared" si="5"/>
        <v>0</v>
      </c>
      <c r="J29" s="155">
        <f>H29/RESUMOS!M$4</f>
        <v>0</v>
      </c>
      <c r="K29" s="144"/>
      <c r="L29" s="158"/>
      <c r="M29" s="161"/>
      <c r="N29" s="144"/>
      <c r="O29" s="144"/>
      <c r="P29" s="144"/>
      <c r="Q29" s="144"/>
      <c r="R29" s="144"/>
      <c r="S29" s="144"/>
      <c r="T29" s="144"/>
      <c r="U29" s="144"/>
      <c r="V29" s="144"/>
      <c r="W29" s="144"/>
    </row>
    <row r="30" spans="1:23" ht="19.5" customHeight="1" x14ac:dyDescent="0.25">
      <c r="A30" s="145" t="s">
        <v>97</v>
      </c>
      <c r="B30" s="146">
        <f>[4]RESIDENCIAL!$L$230</f>
        <v>2958539.6660600007</v>
      </c>
      <c r="C30" s="147">
        <f t="shared" si="6"/>
        <v>3.3997725720572212E-2</v>
      </c>
      <c r="D30" s="148">
        <f>B30/RESUMOS!M$4</f>
        <v>137.54073243398039</v>
      </c>
      <c r="E30" s="146">
        <f>RESIDENCIAL!L231</f>
        <v>2958539.6660600007</v>
      </c>
      <c r="F30" s="147">
        <f t="shared" si="7"/>
        <v>3.380161660943725E-2</v>
      </c>
      <c r="G30" s="148">
        <f>E30/RESUMOS!M$4</f>
        <v>137.54073243398039</v>
      </c>
      <c r="H30" s="146">
        <f t="shared" si="8"/>
        <v>0</v>
      </c>
      <c r="I30" s="147">
        <f t="shared" si="5"/>
        <v>0</v>
      </c>
      <c r="J30" s="148">
        <f>H30/RESUMOS!M$4</f>
        <v>0</v>
      </c>
      <c r="K30" s="144"/>
      <c r="L30" s="162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</row>
    <row r="31" spans="1:23" ht="19.5" customHeight="1" x14ac:dyDescent="0.25">
      <c r="A31" s="152" t="s">
        <v>101</v>
      </c>
      <c r="B31" s="153">
        <f>[4]RESIDENCIAL!$L$254</f>
        <v>2340465.0823620008</v>
      </c>
      <c r="C31" s="154">
        <f t="shared" si="6"/>
        <v>2.6895191178790849E-2</v>
      </c>
      <c r="D31" s="155">
        <f>B31/RESUMOS!M$4</f>
        <v>108.80681619960318</v>
      </c>
      <c r="E31" s="153">
        <f>RESIDENCIAL!L255</f>
        <v>2442171.8032000009</v>
      </c>
      <c r="F31" s="154">
        <f t="shared" si="7"/>
        <v>2.7902061254456181E-2</v>
      </c>
      <c r="G31" s="155">
        <f>E31/RESUMOS!M$4</f>
        <v>113.53510057516687</v>
      </c>
      <c r="H31" s="153">
        <f t="shared" si="8"/>
        <v>101706.72083800007</v>
      </c>
      <c r="I31" s="154">
        <f t="shared" si="5"/>
        <v>4.3455773642799872E-2</v>
      </c>
      <c r="J31" s="155">
        <f>H31/RESUMOS!M$4</f>
        <v>4.7282843755636854</v>
      </c>
      <c r="K31" s="144"/>
      <c r="L31" s="144"/>
      <c r="M31" s="163"/>
      <c r="N31" s="144"/>
      <c r="O31" s="144"/>
      <c r="P31" s="144"/>
      <c r="Q31" s="144"/>
      <c r="R31" s="144"/>
      <c r="S31" s="144"/>
      <c r="T31" s="144"/>
      <c r="U31" s="144"/>
      <c r="V31" s="144"/>
      <c r="W31" s="144"/>
    </row>
    <row r="32" spans="1:23" ht="19.5" customHeight="1" x14ac:dyDescent="0.25">
      <c r="A32" s="145" t="s">
        <v>104</v>
      </c>
      <c r="B32" s="146">
        <f>[4]RESIDENCIAL!$L$272</f>
        <v>7298340.5866652597</v>
      </c>
      <c r="C32" s="147">
        <f t="shared" si="6"/>
        <v>8.3868059748276311E-2</v>
      </c>
      <c r="D32" s="148">
        <f>B32/RESUMOS!M$4</f>
        <v>339.29547112660816</v>
      </c>
      <c r="E32" s="146">
        <f>RESIDENCIAL!L275</f>
        <v>7331642.2581452597</v>
      </c>
      <c r="F32" s="147">
        <f t="shared" si="7"/>
        <v>8.3764758529470018E-2</v>
      </c>
      <c r="G32" s="148">
        <f>E32/RESUMOS!M$4</f>
        <v>340.84364583563104</v>
      </c>
      <c r="H32" s="146">
        <f t="shared" si="8"/>
        <v>33301.671480000019</v>
      </c>
      <c r="I32" s="147">
        <f t="shared" si="5"/>
        <v>4.5629100320208737E-3</v>
      </c>
      <c r="J32" s="148">
        <f>H32/RESUMOS!M$4</f>
        <v>1.548174709022849</v>
      </c>
      <c r="K32" s="144"/>
      <c r="L32" s="144"/>
      <c r="M32" s="162"/>
      <c r="N32" s="144"/>
      <c r="O32" s="144"/>
      <c r="P32" s="144"/>
      <c r="Q32" s="144"/>
      <c r="R32" s="144"/>
      <c r="S32" s="144"/>
      <c r="T32" s="144"/>
      <c r="U32" s="144"/>
      <c r="V32" s="144"/>
      <c r="W32" s="144"/>
    </row>
    <row r="33" spans="1:23" ht="19.5" customHeight="1" x14ac:dyDescent="0.25">
      <c r="A33" s="152" t="s">
        <v>113</v>
      </c>
      <c r="B33" s="153">
        <f>[4]RESIDENCIAL!$L$313</f>
        <v>3699799.5191454012</v>
      </c>
      <c r="C33" s="154">
        <f t="shared" si="6"/>
        <v>4.2515829926499736E-2</v>
      </c>
      <c r="D33" s="155">
        <f>B33/RESUMOS!M$4</f>
        <v>172.00145786783807</v>
      </c>
      <c r="E33" s="153">
        <f>RESIDENCIAL!L316</f>
        <v>3699799.5191454012</v>
      </c>
      <c r="F33" s="154">
        <f t="shared" si="7"/>
        <v>4.2270585827392071E-2</v>
      </c>
      <c r="G33" s="155">
        <f>E33/RESUMOS!M$4</f>
        <v>172.00145786783807</v>
      </c>
      <c r="H33" s="153">
        <f t="shared" si="8"/>
        <v>0</v>
      </c>
      <c r="I33" s="154">
        <f t="shared" si="5"/>
        <v>0</v>
      </c>
      <c r="J33" s="155">
        <f>H33/RESUMOS!M$4</f>
        <v>0</v>
      </c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</row>
    <row r="34" spans="1:23" ht="19.5" customHeight="1" x14ac:dyDescent="0.25">
      <c r="A34" s="145" t="s">
        <v>117</v>
      </c>
      <c r="B34" s="146">
        <f>[4]RESIDENCIAL!$L$332</f>
        <v>17129486.265701953</v>
      </c>
      <c r="C34" s="147">
        <f t="shared" si="6"/>
        <v>0.1968415642610597</v>
      </c>
      <c r="D34" s="148">
        <f>B34/RESUMOS!M$4</f>
        <v>796.33953001550651</v>
      </c>
      <c r="E34" s="146">
        <f>RESIDENCIAL!L335</f>
        <v>17129486.265701953</v>
      </c>
      <c r="F34" s="147">
        <f t="shared" si="7"/>
        <v>0.19570612289304215</v>
      </c>
      <c r="G34" s="148">
        <f>E34/RESUMOS!M$4</f>
        <v>796.33953001550651</v>
      </c>
      <c r="H34" s="146">
        <f t="shared" si="8"/>
        <v>0</v>
      </c>
      <c r="I34" s="147">
        <f t="shared" si="5"/>
        <v>0</v>
      </c>
      <c r="J34" s="148">
        <f>H34/RESUMOS!M$4</f>
        <v>0</v>
      </c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</row>
    <row r="35" spans="1:23" ht="19.5" customHeight="1" x14ac:dyDescent="0.25">
      <c r="A35" s="152" t="s">
        <v>132</v>
      </c>
      <c r="B35" s="153">
        <f>[4]RESIDENCIAL!$L$390</f>
        <v>1138286.0528894998</v>
      </c>
      <c r="C35" s="154">
        <f t="shared" si="6"/>
        <v>1.308048611334898E-2</v>
      </c>
      <c r="D35" s="155">
        <f>B35/RESUMOS!M$4</f>
        <v>52.91823504340713</v>
      </c>
      <c r="E35" s="153">
        <f>RESIDENCIAL!L393</f>
        <v>1138286.0528894998</v>
      </c>
      <c r="F35" s="154">
        <f t="shared" si="7"/>
        <v>1.3005033933812457E-2</v>
      </c>
      <c r="G35" s="155">
        <f>E35/RESUMOS!M$4</f>
        <v>52.91823504340713</v>
      </c>
      <c r="H35" s="153">
        <f t="shared" si="8"/>
        <v>0</v>
      </c>
      <c r="I35" s="154">
        <f t="shared" si="5"/>
        <v>0</v>
      </c>
      <c r="J35" s="155">
        <f>H35/RESUMOS!M$4</f>
        <v>0</v>
      </c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</row>
    <row r="36" spans="1:23" ht="19.5" customHeight="1" x14ac:dyDescent="0.25">
      <c r="A36" s="145" t="s">
        <v>665</v>
      </c>
      <c r="B36" s="146">
        <f>[4]RESIDENCIAL!$L$408</f>
        <v>3653145.0130340005</v>
      </c>
      <c r="C36" s="147">
        <f t="shared" si="6"/>
        <v>4.1979704918408668E-2</v>
      </c>
      <c r="D36" s="148">
        <f>B36/RESUMOS!M$4</f>
        <v>169.83251789535049</v>
      </c>
      <c r="E36" s="146">
        <f>RESIDENCIAL!L411</f>
        <v>3653145.0130340005</v>
      </c>
      <c r="F36" s="147">
        <f t="shared" si="7"/>
        <v>4.1737553349656072E-2</v>
      </c>
      <c r="G36" s="148">
        <f>E36/RESUMOS!M$4</f>
        <v>169.83251789535049</v>
      </c>
      <c r="H36" s="146">
        <f t="shared" si="8"/>
        <v>0</v>
      </c>
      <c r="I36" s="147">
        <f t="shared" si="5"/>
        <v>0</v>
      </c>
      <c r="J36" s="148">
        <f>H36/RESUMOS!M$4</f>
        <v>0</v>
      </c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</row>
    <row r="37" spans="1:23" ht="19.5" customHeight="1" x14ac:dyDescent="0.25">
      <c r="A37" s="152" t="s">
        <v>666</v>
      </c>
      <c r="B37" s="153">
        <f>[4]RESIDENCIAL!$L$442</f>
        <v>6972618.0764803598</v>
      </c>
      <c r="C37" s="154">
        <f t="shared" si="6"/>
        <v>8.0125056168057304E-2</v>
      </c>
      <c r="D37" s="155">
        <f>B37/RESUMOS!M$4</f>
        <v>324.15282722867198</v>
      </c>
      <c r="E37" s="153">
        <f>RESIDENCIAL!L445</f>
        <v>6972618.0764803598</v>
      </c>
      <c r="F37" s="154">
        <f t="shared" si="7"/>
        <v>7.9662870736187427E-2</v>
      </c>
      <c r="G37" s="155">
        <f>E37/RESUMOS!M$4</f>
        <v>324.15282722867198</v>
      </c>
      <c r="H37" s="153">
        <f t="shared" si="8"/>
        <v>0</v>
      </c>
      <c r="I37" s="154">
        <f t="shared" si="5"/>
        <v>0</v>
      </c>
      <c r="J37" s="155">
        <f>H37/RESUMOS!M$4</f>
        <v>0</v>
      </c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</row>
    <row r="38" spans="1:23" ht="19.5" customHeight="1" x14ac:dyDescent="0.25">
      <c r="A38" s="142" t="s">
        <v>656</v>
      </c>
      <c r="B38" s="164">
        <f t="shared" ref="B38:J38" si="9">SUM(B23:B37)</f>
        <v>87021693.461976841</v>
      </c>
      <c r="C38" s="165">
        <f t="shared" si="9"/>
        <v>0.99999999999999978</v>
      </c>
      <c r="D38" s="164">
        <f t="shared" si="9"/>
        <v>4045.5862714003165</v>
      </c>
      <c r="E38" s="164">
        <f t="shared" si="9"/>
        <v>87526573.070294827</v>
      </c>
      <c r="F38" s="165">
        <f t="shared" si="9"/>
        <v>1</v>
      </c>
      <c r="G38" s="164">
        <f t="shared" si="9"/>
        <v>4069.0578212043174</v>
      </c>
      <c r="H38" s="164">
        <f t="shared" si="9"/>
        <v>504879.6083180001</v>
      </c>
      <c r="I38" s="170">
        <f t="shared" si="9"/>
        <v>0.12513048140430238</v>
      </c>
      <c r="J38" s="164">
        <f t="shared" si="9"/>
        <v>23.471549804000688</v>
      </c>
      <c r="K38" s="162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</row>
    <row r="39" spans="1:23" ht="19.5" customHeight="1" x14ac:dyDescent="0.25">
      <c r="A39" s="142" t="s">
        <v>667</v>
      </c>
      <c r="B39" s="166">
        <v>2303.36</v>
      </c>
      <c r="C39" s="167">
        <v>45717</v>
      </c>
      <c r="D39" s="168">
        <f>+D38/B39</f>
        <v>1.7563847038241163</v>
      </c>
      <c r="E39" s="166">
        <v>2303.36</v>
      </c>
      <c r="F39" s="167">
        <v>45717</v>
      </c>
      <c r="G39" s="168">
        <f>+G38/E39</f>
        <v>1.766574839019657</v>
      </c>
      <c r="H39" s="175">
        <f>H38/B38</f>
        <v>5.8017672172583218E-3</v>
      </c>
      <c r="I39" s="176"/>
      <c r="J39" s="168">
        <f>+J38/E39</f>
        <v>1.0190135195540725E-2</v>
      </c>
      <c r="K39" s="162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</row>
    <row r="40" spans="1:23" ht="19.5" customHeight="1" x14ac:dyDescent="0.25">
      <c r="A40" s="144"/>
      <c r="B40" s="144"/>
      <c r="C40" s="158"/>
      <c r="D40" s="158"/>
      <c r="E40" s="144"/>
      <c r="F40" s="158"/>
      <c r="G40" s="158"/>
      <c r="H40" s="144"/>
      <c r="I40" s="158"/>
      <c r="J40" s="158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</row>
    <row r="41" spans="1:23" ht="15" customHeight="1" x14ac:dyDescent="0.25">
      <c r="A41" s="142" t="s">
        <v>656</v>
      </c>
      <c r="B41" s="172" t="s">
        <v>378</v>
      </c>
      <c r="C41" s="173"/>
      <c r="D41" s="174"/>
      <c r="E41" s="172" t="s">
        <v>652</v>
      </c>
      <c r="F41" s="173"/>
      <c r="G41" s="174"/>
      <c r="H41" s="172" t="s">
        <v>668</v>
      </c>
      <c r="I41" s="173"/>
      <c r="J41" s="174"/>
    </row>
    <row r="42" spans="1:23" ht="22.5" customHeight="1" x14ac:dyDescent="0.25">
      <c r="A42" s="142" t="s">
        <v>157</v>
      </c>
      <c r="B42" s="143" t="s">
        <v>657</v>
      </c>
      <c r="C42" s="143" t="s">
        <v>658</v>
      </c>
      <c r="D42" s="143" t="s">
        <v>659</v>
      </c>
      <c r="E42" s="143" t="s">
        <v>657</v>
      </c>
      <c r="F42" s="143" t="s">
        <v>658</v>
      </c>
      <c r="G42" s="143" t="s">
        <v>659</v>
      </c>
      <c r="H42" s="143" t="s">
        <v>657</v>
      </c>
      <c r="I42" s="143" t="s">
        <v>658</v>
      </c>
      <c r="J42" s="143" t="s">
        <v>659</v>
      </c>
      <c r="K42" s="144"/>
      <c r="O42" s="144"/>
      <c r="P42" s="144"/>
      <c r="Q42" s="144"/>
      <c r="R42" s="144"/>
      <c r="S42" s="144"/>
      <c r="T42" s="144"/>
      <c r="U42" s="144"/>
      <c r="V42" s="144"/>
      <c r="W42" s="144"/>
    </row>
    <row r="43" spans="1:23" ht="22.5" customHeight="1" x14ac:dyDescent="0.25">
      <c r="A43" s="145" t="s">
        <v>0</v>
      </c>
      <c r="B43" s="146">
        <f>[4]INDIRETOS!$L$4</f>
        <v>9773213.3329172824</v>
      </c>
      <c r="C43" s="147">
        <f>B43/B$59</f>
        <v>7.0669252039880642E-2</v>
      </c>
      <c r="D43" s="148">
        <f>B43/RESUMOS!M$5</f>
        <v>354.62294541136635</v>
      </c>
      <c r="E43" s="146">
        <f>INDIRETOS!L4</f>
        <v>13604537.975015631</v>
      </c>
      <c r="F43" s="147">
        <f>E43/E$59</f>
        <v>9.5266819598253089E-2</v>
      </c>
      <c r="G43" s="148">
        <f>E43/RESUMOS!M$5</f>
        <v>493.64330474721481</v>
      </c>
      <c r="H43" s="146">
        <f>E43-B43</f>
        <v>3831324.6420983486</v>
      </c>
      <c r="I43" s="147">
        <f>H43/B43</f>
        <v>0.39202302370644221</v>
      </c>
      <c r="J43" s="148">
        <f>H43/RESUMOS!M$5</f>
        <v>139.02035933584844</v>
      </c>
      <c r="K43" s="144"/>
      <c r="O43" s="144"/>
      <c r="P43" s="144"/>
      <c r="Q43" s="144"/>
      <c r="R43" s="144"/>
      <c r="S43" s="144"/>
      <c r="T43" s="144"/>
      <c r="U43" s="144"/>
      <c r="V43" s="144"/>
      <c r="W43" s="144"/>
    </row>
    <row r="44" spans="1:23" ht="19.5" customHeight="1" x14ac:dyDescent="0.25">
      <c r="A44" s="152" t="s">
        <v>26</v>
      </c>
      <c r="B44" s="153">
        <f>B23+B3</f>
        <v>287648.15952400002</v>
      </c>
      <c r="C44" s="154">
        <f>B44/B$59</f>
        <v>2.0799587189755451E-3</v>
      </c>
      <c r="D44" s="155">
        <f>B44/RESUMOS!M$5</f>
        <v>10.437369378706759</v>
      </c>
      <c r="E44" s="153">
        <f>E23+E3</f>
        <v>287648.15952400002</v>
      </c>
      <c r="F44" s="154">
        <f>E44/E$59</f>
        <v>2.0142782776943918E-3</v>
      </c>
      <c r="G44" s="155">
        <f>E44/RESUMOS!M$5</f>
        <v>10.437369378706759</v>
      </c>
      <c r="H44" s="153">
        <f>E44-B44</f>
        <v>0</v>
      </c>
      <c r="I44" s="154">
        <f>H44/B44</f>
        <v>0</v>
      </c>
      <c r="J44" s="155">
        <f>H44/RESUMOS!M$5</f>
        <v>0</v>
      </c>
      <c r="K44" s="144"/>
      <c r="O44" s="144"/>
      <c r="P44" s="144"/>
      <c r="Q44" s="144"/>
      <c r="R44" s="144"/>
      <c r="S44" s="144"/>
      <c r="T44" s="144"/>
      <c r="U44" s="144"/>
      <c r="V44" s="144"/>
      <c r="W44" s="144"/>
    </row>
    <row r="45" spans="1:23" ht="19.5" customHeight="1" x14ac:dyDescent="0.25">
      <c r="A45" s="145" t="s">
        <v>32</v>
      </c>
      <c r="B45" s="146">
        <f>B24+B4</f>
        <v>6385677.4630000005</v>
      </c>
      <c r="C45" s="147">
        <f t="shared" ref="C45:C58" si="10">B45/B$59</f>
        <v>4.6174276024263272E-2</v>
      </c>
      <c r="D45" s="148">
        <f>B45/RESUMOS!M$5</f>
        <v>231.70554793364889</v>
      </c>
      <c r="E45" s="146">
        <f>E24+E4</f>
        <v>6385677.4630000005</v>
      </c>
      <c r="F45" s="147">
        <f t="shared" ref="F45:F58" si="11">E45/E$59</f>
        <v>4.4716195728032621E-2</v>
      </c>
      <c r="G45" s="148">
        <f>E45/RESUMOS!M$5</f>
        <v>231.70554793364889</v>
      </c>
      <c r="H45" s="146">
        <f t="shared" ref="H45:H58" si="12">E45-B45</f>
        <v>0</v>
      </c>
      <c r="I45" s="147">
        <f t="shared" ref="I45:I58" si="13">H45/B45</f>
        <v>0</v>
      </c>
      <c r="J45" s="148">
        <f>H45/RESUMOS!M$5</f>
        <v>0</v>
      </c>
      <c r="K45" s="144"/>
      <c r="O45" s="144"/>
      <c r="P45" s="144"/>
      <c r="Q45" s="144"/>
      <c r="R45" s="144"/>
      <c r="S45" s="144"/>
      <c r="T45" s="144"/>
      <c r="U45" s="144"/>
      <c r="V45" s="144"/>
      <c r="W45" s="144"/>
    </row>
    <row r="46" spans="1:23" ht="19.5" customHeight="1" x14ac:dyDescent="0.25">
      <c r="A46" s="152" t="s">
        <v>40</v>
      </c>
      <c r="B46" s="153">
        <f t="shared" ref="B46:B58" si="14">B25+B5</f>
        <v>19794394.212904356</v>
      </c>
      <c r="C46" s="154">
        <f t="shared" si="10"/>
        <v>0.14313153575569579</v>
      </c>
      <c r="D46" s="155">
        <f>B46/RESUMOS!M$5</f>
        <v>718.24344146578949</v>
      </c>
      <c r="E46" s="153">
        <f t="shared" ref="E46:E58" si="15">E25+E5</f>
        <v>19794394.212904356</v>
      </c>
      <c r="F46" s="154">
        <f t="shared" si="11"/>
        <v>0.13861176219292354</v>
      </c>
      <c r="G46" s="155">
        <f>E46/RESUMOS!M$5</f>
        <v>718.24344146578949</v>
      </c>
      <c r="H46" s="153">
        <f t="shared" si="12"/>
        <v>0</v>
      </c>
      <c r="I46" s="154">
        <f t="shared" si="13"/>
        <v>0</v>
      </c>
      <c r="J46" s="155">
        <f>H46/RESUMOS!M$5</f>
        <v>0</v>
      </c>
      <c r="K46" s="144"/>
      <c r="O46" s="144"/>
      <c r="P46" s="144"/>
      <c r="Q46" s="144"/>
      <c r="R46" s="144"/>
      <c r="S46" s="144"/>
      <c r="T46" s="144"/>
      <c r="U46" s="144"/>
      <c r="V46" s="144"/>
      <c r="W46" s="144"/>
    </row>
    <row r="47" spans="1:23" ht="19.5" customHeight="1" x14ac:dyDescent="0.25">
      <c r="A47" s="145" t="s">
        <v>662</v>
      </c>
      <c r="B47" s="146">
        <f t="shared" si="14"/>
        <v>9936753.4398678001</v>
      </c>
      <c r="C47" s="147">
        <f t="shared" si="10"/>
        <v>7.1851796270015172E-2</v>
      </c>
      <c r="D47" s="148">
        <f>B47/RESUMOS!M$5</f>
        <v>360.55702997947338</v>
      </c>
      <c r="E47" s="146">
        <f t="shared" si="15"/>
        <v>9962150.2398678008</v>
      </c>
      <c r="F47" s="147">
        <f t="shared" si="11"/>
        <v>6.9760720390145345E-2</v>
      </c>
      <c r="G47" s="148">
        <f>E47/RESUMOS!M$5</f>
        <v>361.4785578038676</v>
      </c>
      <c r="H47" s="146">
        <f t="shared" si="12"/>
        <v>25396.800000000745</v>
      </c>
      <c r="I47" s="147">
        <f t="shared" si="13"/>
        <v>2.5558448394326495E-3</v>
      </c>
      <c r="J47" s="148">
        <f>H47/RESUMOS!M$5</f>
        <v>0.92152782439420022</v>
      </c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</row>
    <row r="48" spans="1:23" ht="19.5" customHeight="1" x14ac:dyDescent="0.25">
      <c r="A48" s="152" t="s">
        <v>663</v>
      </c>
      <c r="B48" s="153">
        <f t="shared" si="14"/>
        <v>13069277.895944003</v>
      </c>
      <c r="C48" s="154">
        <f t="shared" si="10"/>
        <v>9.4502807024270316E-2</v>
      </c>
      <c r="D48" s="155">
        <f>B48/RESUMOS!M$5</f>
        <v>474.2212887392165</v>
      </c>
      <c r="E48" s="153">
        <f t="shared" si="15"/>
        <v>13069277.895944003</v>
      </c>
      <c r="F48" s="154">
        <f t="shared" si="11"/>
        <v>9.1518619881018309E-2</v>
      </c>
      <c r="G48" s="155">
        <f>E48/RESUMOS!M$5</f>
        <v>474.2212887392165</v>
      </c>
      <c r="H48" s="153">
        <f t="shared" si="12"/>
        <v>0</v>
      </c>
      <c r="I48" s="154">
        <f t="shared" si="13"/>
        <v>0</v>
      </c>
      <c r="J48" s="155">
        <f>H48/RESUMOS!M$5</f>
        <v>0</v>
      </c>
      <c r="K48" s="144"/>
      <c r="L48" s="158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</row>
    <row r="49" spans="1:23" ht="19.5" customHeight="1" x14ac:dyDescent="0.25">
      <c r="A49" s="145" t="s">
        <v>90</v>
      </c>
      <c r="B49" s="146">
        <f t="shared" si="14"/>
        <v>11330820.022500001</v>
      </c>
      <c r="C49" s="147">
        <f t="shared" si="10"/>
        <v>8.193216997439258E-2</v>
      </c>
      <c r="D49" s="148">
        <f>B49/RESUMOS!M$5</f>
        <v>411.14100689600116</v>
      </c>
      <c r="E49" s="146">
        <f t="shared" si="15"/>
        <v>11700691.238499999</v>
      </c>
      <c r="F49" s="147">
        <f t="shared" si="11"/>
        <v>8.1934986946277322E-2</v>
      </c>
      <c r="G49" s="148">
        <f>E49/RESUMOS!M$5</f>
        <v>424.56185586069375</v>
      </c>
      <c r="H49" s="146">
        <f t="shared" si="12"/>
        <v>369871.21599999815</v>
      </c>
      <c r="I49" s="147">
        <f t="shared" si="13"/>
        <v>3.2642934515377711E-2</v>
      </c>
      <c r="J49" s="148">
        <f>H49/RESUMOS!M$5</f>
        <v>13.420848964692622</v>
      </c>
      <c r="K49" s="159"/>
      <c r="L49" s="160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</row>
    <row r="50" spans="1:23" ht="19.5" customHeight="1" x14ac:dyDescent="0.25">
      <c r="A50" s="152" t="s">
        <v>664</v>
      </c>
      <c r="B50" s="153">
        <f t="shared" si="14"/>
        <v>1769865.5908500005</v>
      </c>
      <c r="C50" s="154">
        <f t="shared" si="10"/>
        <v>1.2797743511361204E-2</v>
      </c>
      <c r="D50" s="155">
        <f>B50/RESUMOS!M$5</f>
        <v>64.219916974032515</v>
      </c>
      <c r="E50" s="153">
        <f t="shared" si="15"/>
        <v>1769865.5908500005</v>
      </c>
      <c r="F50" s="154">
        <f t="shared" si="11"/>
        <v>1.239361941333909E-2</v>
      </c>
      <c r="G50" s="155">
        <f>E50/RESUMOS!M$5</f>
        <v>64.219916974032515</v>
      </c>
      <c r="H50" s="153">
        <f t="shared" si="12"/>
        <v>0</v>
      </c>
      <c r="I50" s="154">
        <f t="shared" si="13"/>
        <v>0</v>
      </c>
      <c r="J50" s="155">
        <f>H50/RESUMOS!M$5</f>
        <v>0</v>
      </c>
      <c r="K50" s="144"/>
      <c r="L50" s="158"/>
      <c r="M50" s="161"/>
      <c r="N50" s="144"/>
      <c r="O50" s="144"/>
      <c r="P50" s="144"/>
      <c r="Q50" s="144"/>
      <c r="R50" s="144"/>
      <c r="S50" s="144"/>
      <c r="T50" s="144"/>
      <c r="U50" s="144"/>
      <c r="V50" s="144"/>
      <c r="W50" s="144"/>
    </row>
    <row r="51" spans="1:23" ht="19.5" customHeight="1" x14ac:dyDescent="0.25">
      <c r="A51" s="145" t="s">
        <v>97</v>
      </c>
      <c r="B51" s="146">
        <f t="shared" si="14"/>
        <v>5528188.0820497312</v>
      </c>
      <c r="C51" s="147">
        <f t="shared" si="10"/>
        <v>3.9973845201803429E-2</v>
      </c>
      <c r="D51" s="148">
        <f>B51/RESUMOS!M$5</f>
        <v>200.59137907504433</v>
      </c>
      <c r="E51" s="146">
        <f t="shared" si="15"/>
        <v>5528188.0820497312</v>
      </c>
      <c r="F51" s="147">
        <f t="shared" si="11"/>
        <v>3.8711560634034643E-2</v>
      </c>
      <c r="G51" s="148">
        <f>E51/RESUMOS!M$5</f>
        <v>200.59137907504433</v>
      </c>
      <c r="H51" s="146">
        <f t="shared" si="12"/>
        <v>0</v>
      </c>
      <c r="I51" s="147">
        <f t="shared" si="13"/>
        <v>0</v>
      </c>
      <c r="J51" s="148">
        <f>H51/RESUMOS!M$5</f>
        <v>0</v>
      </c>
      <c r="K51" s="144"/>
      <c r="L51" s="162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</row>
    <row r="52" spans="1:23" ht="19.5" customHeight="1" x14ac:dyDescent="0.25">
      <c r="A52" s="152" t="s">
        <v>101</v>
      </c>
      <c r="B52" s="153">
        <f t="shared" si="14"/>
        <v>3195502.9412020007</v>
      </c>
      <c r="C52" s="154">
        <f t="shared" si="10"/>
        <v>2.3106402679800724E-2</v>
      </c>
      <c r="D52" s="155">
        <f>B52/RESUMOS!M$5</f>
        <v>115.94944533370587</v>
      </c>
      <c r="E52" s="153">
        <f t="shared" si="15"/>
        <v>3273371.573150001</v>
      </c>
      <c r="F52" s="154">
        <f t="shared" si="11"/>
        <v>2.2922035258383905E-2</v>
      </c>
      <c r="G52" s="155">
        <f>E52/RESUMOS!M$5</f>
        <v>118.77492377932072</v>
      </c>
      <c r="H52" s="153">
        <f t="shared" si="12"/>
        <v>77868.631948000286</v>
      </c>
      <c r="I52" s="154">
        <f t="shared" si="13"/>
        <v>2.4368192857525488E-2</v>
      </c>
      <c r="J52" s="155">
        <f>H52/RESUMOS!M$5</f>
        <v>2.8254784456148534</v>
      </c>
      <c r="K52" s="144"/>
      <c r="L52" s="144"/>
      <c r="M52" s="163"/>
      <c r="N52" s="144"/>
      <c r="O52" s="144"/>
      <c r="P52" s="144"/>
      <c r="Q52" s="144"/>
      <c r="R52" s="144"/>
      <c r="S52" s="144"/>
      <c r="T52" s="144"/>
      <c r="U52" s="144"/>
      <c r="V52" s="144"/>
      <c r="W52" s="144"/>
    </row>
    <row r="53" spans="1:23" ht="19.5" customHeight="1" x14ac:dyDescent="0.25">
      <c r="A53" s="145" t="s">
        <v>104</v>
      </c>
      <c r="B53" s="146">
        <f t="shared" si="14"/>
        <v>10526042.96365886</v>
      </c>
      <c r="C53" s="147">
        <f t="shared" si="10"/>
        <v>7.6112897349328329E-2</v>
      </c>
      <c r="D53" s="148">
        <f>B53/RESUMOS!M$5</f>
        <v>381.93951489085805</v>
      </c>
      <c r="E53" s="146">
        <f t="shared" si="15"/>
        <v>10562763.972928859</v>
      </c>
      <c r="F53" s="147">
        <f t="shared" si="11"/>
        <v>7.3966564077071098E-2</v>
      </c>
      <c r="G53" s="148">
        <f>E53/RESUMOS!M$5</f>
        <v>383.2719438497088</v>
      </c>
      <c r="H53" s="146">
        <f t="shared" si="12"/>
        <v>36721.00926999934</v>
      </c>
      <c r="I53" s="147">
        <f t="shared" si="13"/>
        <v>3.4885862994079109E-3</v>
      </c>
      <c r="J53" s="148">
        <f>H53/RESUMOS!M$5</f>
        <v>1.3324289588507512</v>
      </c>
      <c r="K53" s="144"/>
      <c r="L53" s="144"/>
      <c r="M53" s="162"/>
      <c r="N53" s="144"/>
      <c r="O53" s="144"/>
      <c r="P53" s="144"/>
      <c r="Q53" s="144"/>
      <c r="R53" s="144"/>
      <c r="S53" s="144"/>
      <c r="T53" s="144"/>
      <c r="U53" s="144"/>
      <c r="V53" s="144"/>
      <c r="W53" s="144"/>
    </row>
    <row r="54" spans="1:23" ht="19.5" customHeight="1" x14ac:dyDescent="0.25">
      <c r="A54" s="152" t="s">
        <v>113</v>
      </c>
      <c r="B54" s="153">
        <f t="shared" si="14"/>
        <v>4590793.6386428615</v>
      </c>
      <c r="C54" s="154">
        <f t="shared" si="10"/>
        <v>3.3195627851448126E-2</v>
      </c>
      <c r="D54" s="155">
        <f>B54/RESUMOS!M$5</f>
        <v>166.57783949399791</v>
      </c>
      <c r="E54" s="153">
        <f t="shared" si="15"/>
        <v>4590037.1675428618</v>
      </c>
      <c r="F54" s="154">
        <f t="shared" si="11"/>
        <v>3.214208697073228E-2</v>
      </c>
      <c r="G54" s="155">
        <f>E54/RESUMOS!M$5</f>
        <v>166.55039079309859</v>
      </c>
      <c r="H54" s="153">
        <f t="shared" si="12"/>
        <v>-756.47109999973327</v>
      </c>
      <c r="I54" s="154">
        <f t="shared" si="13"/>
        <v>-1.6478002705940897E-4</v>
      </c>
      <c r="J54" s="155">
        <f>H54/RESUMOS!M$5</f>
        <v>-2.7448700899318858E-2</v>
      </c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</row>
    <row r="55" spans="1:23" ht="19.5" customHeight="1" x14ac:dyDescent="0.25">
      <c r="A55" s="145" t="s">
        <v>117</v>
      </c>
      <c r="B55" s="146">
        <f t="shared" si="14"/>
        <v>27130526.329924181</v>
      </c>
      <c r="C55" s="147">
        <f t="shared" si="10"/>
        <v>0.19617846637260725</v>
      </c>
      <c r="D55" s="148">
        <f>B55/RESUMOS!M$5</f>
        <v>984.4364212610983</v>
      </c>
      <c r="E55" s="146">
        <f t="shared" si="15"/>
        <v>27299549.471924178</v>
      </c>
      <c r="F55" s="147">
        <f t="shared" si="11"/>
        <v>0.19116718696596516</v>
      </c>
      <c r="G55" s="148">
        <f>E55/RESUMOS!M$5</f>
        <v>990.56945882171715</v>
      </c>
      <c r="H55" s="146">
        <f t="shared" si="12"/>
        <v>169023.1419999972</v>
      </c>
      <c r="I55" s="147">
        <f t="shared" si="13"/>
        <v>6.229998634916625E-3</v>
      </c>
      <c r="J55" s="148">
        <f>H55/RESUMOS!M$5</f>
        <v>6.1330375606188499</v>
      </c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</row>
    <row r="56" spans="1:23" ht="19.5" customHeight="1" x14ac:dyDescent="0.25">
      <c r="A56" s="152" t="s">
        <v>132</v>
      </c>
      <c r="B56" s="153">
        <f t="shared" si="14"/>
        <v>2531980.5074692336</v>
      </c>
      <c r="C56" s="154">
        <f t="shared" si="10"/>
        <v>1.8308529912034265E-2</v>
      </c>
      <c r="D56" s="155">
        <f>B56/RESUMOS!M$5</f>
        <v>91.873404856382592</v>
      </c>
      <c r="E56" s="153">
        <f t="shared" si="15"/>
        <v>2531980.5074692336</v>
      </c>
      <c r="F56" s="154">
        <f t="shared" si="11"/>
        <v>1.7730387512927475E-2</v>
      </c>
      <c r="G56" s="155">
        <f>E56/RESUMOS!M$5</f>
        <v>91.873404856382592</v>
      </c>
      <c r="H56" s="153">
        <f t="shared" si="12"/>
        <v>0</v>
      </c>
      <c r="I56" s="154">
        <f t="shared" si="13"/>
        <v>0</v>
      </c>
      <c r="J56" s="155">
        <f>H56/RESUMOS!M$5</f>
        <v>0</v>
      </c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</row>
    <row r="57" spans="1:23" ht="19.5" customHeight="1" x14ac:dyDescent="0.25">
      <c r="A57" s="145" t="s">
        <v>665</v>
      </c>
      <c r="B57" s="146">
        <f t="shared" si="14"/>
        <v>4907822.6816257229</v>
      </c>
      <c r="C57" s="147">
        <f t="shared" si="10"/>
        <v>3.5488037172654502E-2</v>
      </c>
      <c r="D57" s="148">
        <f>B57/RESUMOS!M$5</f>
        <v>178.08129993979279</v>
      </c>
      <c r="E57" s="146">
        <f t="shared" si="15"/>
        <v>4907822.6816257229</v>
      </c>
      <c r="F57" s="147">
        <f t="shared" si="11"/>
        <v>3.4367404382956657E-2</v>
      </c>
      <c r="G57" s="148">
        <f>E57/RESUMOS!M$5</f>
        <v>178.08129993979279</v>
      </c>
      <c r="H57" s="146">
        <f t="shared" si="12"/>
        <v>0</v>
      </c>
      <c r="I57" s="147">
        <f t="shared" si="13"/>
        <v>0</v>
      </c>
      <c r="J57" s="148">
        <f>H57/RESUMOS!M$5</f>
        <v>0</v>
      </c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</row>
    <row r="58" spans="1:23" ht="19.5" customHeight="1" x14ac:dyDescent="0.25">
      <c r="A58" s="152" t="s">
        <v>666</v>
      </c>
      <c r="B58" s="153">
        <f t="shared" si="14"/>
        <v>7536621.8189803595</v>
      </c>
      <c r="C58" s="154">
        <f t="shared" si="10"/>
        <v>5.4496654141469002E-2</v>
      </c>
      <c r="D58" s="155">
        <f>B58/RESUMOS!M$5</f>
        <v>273.46778760027354</v>
      </c>
      <c r="E58" s="153">
        <f t="shared" si="15"/>
        <v>7536621.8189803595</v>
      </c>
      <c r="F58" s="154">
        <f t="shared" si="11"/>
        <v>5.277577177024529E-2</v>
      </c>
      <c r="G58" s="155">
        <f>E58/RESUMOS!M$5</f>
        <v>273.46778760027354</v>
      </c>
      <c r="H58" s="153">
        <f t="shared" si="12"/>
        <v>0</v>
      </c>
      <c r="I58" s="154">
        <f t="shared" si="13"/>
        <v>0</v>
      </c>
      <c r="J58" s="155">
        <f>H58/RESUMOS!M$5</f>
        <v>0</v>
      </c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</row>
    <row r="59" spans="1:23" ht="19.5" customHeight="1" x14ac:dyDescent="0.25">
      <c r="A59" s="142" t="s">
        <v>656</v>
      </c>
      <c r="B59" s="164">
        <f>SUM(B43:B58)</f>
        <v>138295129.08106038</v>
      </c>
      <c r="C59" s="165">
        <f t="shared" ref="C59" si="16">SUM(C43:C58)</f>
        <v>1.0000000000000002</v>
      </c>
      <c r="D59" s="164">
        <f t="shared" ref="D59" si="17">SUM(D43:D58)</f>
        <v>5018.0656392293886</v>
      </c>
      <c r="E59" s="164">
        <f>SUM(E43:E58)</f>
        <v>142804578.05127671</v>
      </c>
      <c r="F59" s="165">
        <f t="shared" ref="F59" si="18">SUM(F43:F58)</f>
        <v>1.0000000000000002</v>
      </c>
      <c r="G59" s="164">
        <f>SUM(G43:G58)</f>
        <v>5181.69187161851</v>
      </c>
      <c r="H59" s="164">
        <f t="shared" ref="H59" si="19">SUM(H43:H58)</f>
        <v>4509448.9702163441</v>
      </c>
      <c r="I59" s="170">
        <f t="shared" ref="I59" si="20">SUM(I43:I58)</f>
        <v>0.46114380082604323</v>
      </c>
      <c r="J59" s="164">
        <f t="shared" ref="J59" si="21">SUM(J43:J58)</f>
        <v>163.62623238912039</v>
      </c>
      <c r="K59" s="162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</row>
    <row r="60" spans="1:23" ht="19.5" customHeight="1" x14ac:dyDescent="0.25">
      <c r="A60" s="142" t="s">
        <v>667</v>
      </c>
      <c r="B60" s="166">
        <v>2303.36</v>
      </c>
      <c r="C60" s="167">
        <v>45717</v>
      </c>
      <c r="D60" s="168">
        <f>+D59/B60</f>
        <v>2.1785850406490468</v>
      </c>
      <c r="E60" s="166">
        <v>2303.36</v>
      </c>
      <c r="F60" s="167">
        <v>45717</v>
      </c>
      <c r="G60" s="168">
        <f>+G59/E60</f>
        <v>2.2496231034742764</v>
      </c>
      <c r="H60" s="175">
        <f>H59/B59</f>
        <v>3.2607431658516137E-2</v>
      </c>
      <c r="I60" s="176"/>
      <c r="J60" s="168">
        <f>+J59/E60</f>
        <v>7.1038062825229398E-2</v>
      </c>
      <c r="K60" s="162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</row>
    <row r="61" spans="1:23" ht="19.5" customHeight="1" x14ac:dyDescent="0.25">
      <c r="A61" s="144"/>
      <c r="B61" s="144"/>
      <c r="C61" s="158"/>
      <c r="D61" s="158"/>
      <c r="E61" s="144"/>
      <c r="F61" s="158"/>
      <c r="G61" s="158"/>
      <c r="H61" s="144"/>
      <c r="I61" s="158"/>
      <c r="J61" s="158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</row>
    <row r="62" spans="1:23" ht="19.5" customHeight="1" x14ac:dyDescent="0.25">
      <c r="A62" s="144"/>
      <c r="B62" s="144"/>
      <c r="C62" s="158"/>
      <c r="D62" s="158"/>
      <c r="E62" s="144"/>
      <c r="F62" s="158"/>
      <c r="G62" s="158"/>
      <c r="H62" s="144"/>
      <c r="I62" s="158"/>
      <c r="J62" s="158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</row>
    <row r="63" spans="1:23" ht="19.5" customHeight="1" x14ac:dyDescent="0.25">
      <c r="A63" s="144"/>
      <c r="B63" s="144"/>
      <c r="C63" s="158"/>
      <c r="D63" s="158"/>
      <c r="E63" s="144"/>
      <c r="F63" s="158"/>
      <c r="G63" s="158"/>
      <c r="H63" s="144"/>
      <c r="I63" s="158"/>
      <c r="J63" s="158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</row>
    <row r="64" spans="1:23" ht="19.5" customHeight="1" x14ac:dyDescent="0.25">
      <c r="A64" s="144"/>
      <c r="B64" s="144"/>
      <c r="C64" s="158"/>
      <c r="D64" s="158"/>
      <c r="E64" s="144"/>
      <c r="F64" s="158"/>
      <c r="G64" s="158"/>
      <c r="H64" s="144"/>
      <c r="I64" s="158"/>
      <c r="J64" s="158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</row>
    <row r="65" spans="1:23" ht="19.5" customHeight="1" x14ac:dyDescent="0.25">
      <c r="A65" s="144"/>
      <c r="B65" s="144"/>
      <c r="C65" s="158"/>
      <c r="D65" s="158"/>
      <c r="E65" s="144"/>
      <c r="F65" s="158"/>
      <c r="G65" s="158"/>
      <c r="H65" s="144"/>
      <c r="I65" s="158"/>
      <c r="J65" s="158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</row>
    <row r="66" spans="1:23" ht="19.5" customHeight="1" x14ac:dyDescent="0.25">
      <c r="A66" s="144"/>
      <c r="B66" s="144"/>
      <c r="C66" s="158"/>
      <c r="D66" s="158"/>
      <c r="E66" s="144"/>
      <c r="F66" s="158"/>
      <c r="G66" s="158"/>
      <c r="H66" s="144"/>
      <c r="I66" s="158"/>
      <c r="J66" s="158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</row>
    <row r="67" spans="1:23" ht="19.5" customHeight="1" x14ac:dyDescent="0.25">
      <c r="A67" s="144"/>
      <c r="B67" s="144"/>
      <c r="C67" s="158"/>
      <c r="D67" s="158"/>
      <c r="E67" s="144"/>
      <c r="F67" s="158"/>
      <c r="G67" s="158"/>
      <c r="H67" s="144"/>
      <c r="I67" s="158"/>
      <c r="J67" s="158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</row>
    <row r="68" spans="1:23" ht="19.5" customHeight="1" x14ac:dyDescent="0.25">
      <c r="A68" s="144"/>
      <c r="B68" s="144"/>
      <c r="C68" s="158"/>
      <c r="D68" s="158"/>
      <c r="E68" s="144"/>
      <c r="F68" s="158"/>
      <c r="G68" s="158"/>
      <c r="H68" s="144"/>
      <c r="I68" s="158"/>
      <c r="J68" s="158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</row>
    <row r="69" spans="1:23" ht="19.5" customHeight="1" x14ac:dyDescent="0.25">
      <c r="A69" s="144"/>
      <c r="B69" s="144"/>
      <c r="C69" s="158"/>
      <c r="D69" s="158"/>
      <c r="E69" s="144"/>
      <c r="F69" s="158"/>
      <c r="G69" s="158"/>
      <c r="H69" s="144"/>
      <c r="I69" s="158"/>
      <c r="J69" s="158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</row>
    <row r="70" spans="1:23" ht="19.5" customHeight="1" x14ac:dyDescent="0.25">
      <c r="A70" s="144"/>
      <c r="B70" s="144"/>
      <c r="C70" s="158"/>
      <c r="D70" s="158"/>
      <c r="E70" s="144"/>
      <c r="F70" s="158"/>
      <c r="G70" s="158"/>
      <c r="H70" s="144"/>
      <c r="I70" s="158"/>
      <c r="J70" s="158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</row>
    <row r="71" spans="1:23" ht="19.5" customHeight="1" x14ac:dyDescent="0.25">
      <c r="A71" s="144"/>
      <c r="B71" s="144"/>
      <c r="C71" s="158"/>
      <c r="D71" s="158"/>
      <c r="E71" s="144"/>
      <c r="F71" s="158"/>
      <c r="G71" s="158"/>
      <c r="H71" s="144"/>
      <c r="I71" s="158"/>
      <c r="J71" s="158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</row>
    <row r="72" spans="1:23" ht="19.5" customHeight="1" x14ac:dyDescent="0.25">
      <c r="A72" s="144"/>
      <c r="B72" s="144"/>
      <c r="C72" s="158"/>
      <c r="D72" s="158"/>
      <c r="E72" s="144"/>
      <c r="F72" s="158"/>
      <c r="G72" s="158"/>
      <c r="H72" s="144"/>
      <c r="I72" s="158"/>
      <c r="J72" s="158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</row>
    <row r="73" spans="1:23" ht="19.5" customHeight="1" x14ac:dyDescent="0.25">
      <c r="A73" s="144"/>
      <c r="B73" s="144"/>
      <c r="C73" s="158"/>
      <c r="D73" s="158"/>
      <c r="E73" s="144"/>
      <c r="F73" s="158"/>
      <c r="G73" s="158"/>
      <c r="H73" s="144"/>
      <c r="I73" s="158"/>
      <c r="J73" s="158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</row>
    <row r="74" spans="1:23" ht="19.5" customHeight="1" x14ac:dyDescent="0.25">
      <c r="A74" s="144"/>
      <c r="B74" s="144"/>
      <c r="C74" s="158"/>
      <c r="D74" s="158"/>
      <c r="E74" s="144"/>
      <c r="F74" s="158"/>
      <c r="G74" s="158"/>
      <c r="H74" s="144"/>
      <c r="I74" s="158"/>
      <c r="J74" s="158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</row>
    <row r="75" spans="1:23" ht="19.5" customHeight="1" x14ac:dyDescent="0.25">
      <c r="A75" s="144"/>
      <c r="B75" s="144"/>
      <c r="C75" s="158"/>
      <c r="D75" s="158"/>
      <c r="E75" s="144"/>
      <c r="F75" s="158"/>
      <c r="G75" s="158"/>
      <c r="H75" s="144"/>
      <c r="I75" s="158"/>
      <c r="J75" s="158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</row>
    <row r="76" spans="1:23" ht="19.5" customHeight="1" x14ac:dyDescent="0.25">
      <c r="A76" s="144"/>
      <c r="B76" s="144"/>
      <c r="C76" s="158"/>
      <c r="D76" s="158"/>
      <c r="E76" s="144"/>
      <c r="F76" s="158"/>
      <c r="G76" s="158"/>
      <c r="H76" s="144"/>
      <c r="I76" s="158"/>
      <c r="J76" s="158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</row>
    <row r="77" spans="1:23" ht="19.5" customHeight="1" x14ac:dyDescent="0.25">
      <c r="A77" s="144"/>
      <c r="B77" s="144"/>
      <c r="C77" s="158"/>
      <c r="D77" s="158"/>
      <c r="E77" s="144"/>
      <c r="F77" s="158"/>
      <c r="G77" s="158"/>
      <c r="H77" s="144"/>
      <c r="I77" s="158"/>
      <c r="J77" s="158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</row>
    <row r="78" spans="1:23" ht="19.5" customHeight="1" x14ac:dyDescent="0.25">
      <c r="A78" s="144"/>
      <c r="B78" s="144"/>
      <c r="C78" s="158"/>
      <c r="D78" s="158"/>
      <c r="E78" s="144"/>
      <c r="F78" s="158"/>
      <c r="G78" s="158"/>
      <c r="H78" s="144"/>
      <c r="I78" s="158"/>
      <c r="J78" s="158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</row>
    <row r="79" spans="1:23" ht="19.5" customHeight="1" x14ac:dyDescent="0.25">
      <c r="A79" s="144"/>
      <c r="B79" s="144"/>
      <c r="C79" s="158"/>
      <c r="D79" s="158"/>
      <c r="E79" s="144"/>
      <c r="F79" s="158"/>
      <c r="G79" s="158"/>
      <c r="H79" s="144"/>
      <c r="I79" s="158"/>
      <c r="J79" s="158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</row>
    <row r="80" spans="1:23" ht="19.5" customHeight="1" x14ac:dyDescent="0.25">
      <c r="A80" s="144"/>
      <c r="B80" s="144"/>
      <c r="C80" s="158"/>
      <c r="D80" s="158"/>
      <c r="E80" s="144"/>
      <c r="F80" s="158"/>
      <c r="G80" s="158"/>
      <c r="H80" s="144"/>
      <c r="I80" s="158"/>
      <c r="J80" s="158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</row>
    <row r="81" spans="1:23" ht="19.5" customHeight="1" x14ac:dyDescent="0.25">
      <c r="A81" s="144"/>
      <c r="B81" s="144"/>
      <c r="C81" s="158"/>
      <c r="D81" s="158"/>
      <c r="E81" s="144"/>
      <c r="F81" s="158"/>
      <c r="G81" s="158"/>
      <c r="H81" s="144"/>
      <c r="I81" s="158"/>
      <c r="J81" s="158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</row>
    <row r="82" spans="1:23" ht="19.5" customHeight="1" x14ac:dyDescent="0.25">
      <c r="A82" s="144"/>
      <c r="B82" s="144"/>
      <c r="C82" s="158"/>
      <c r="D82" s="158"/>
      <c r="E82" s="144"/>
      <c r="F82" s="158"/>
      <c r="G82" s="158"/>
      <c r="H82" s="144"/>
      <c r="I82" s="158"/>
      <c r="J82" s="158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</row>
    <row r="83" spans="1:23" ht="19.5" customHeight="1" x14ac:dyDescent="0.25">
      <c r="A83" s="144"/>
      <c r="B83" s="144"/>
      <c r="C83" s="158"/>
      <c r="D83" s="158"/>
      <c r="E83" s="144"/>
      <c r="F83" s="158"/>
      <c r="G83" s="158"/>
      <c r="H83" s="144"/>
      <c r="I83" s="158"/>
      <c r="J83" s="158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</row>
    <row r="84" spans="1:23" ht="19.5" customHeight="1" x14ac:dyDescent="0.25">
      <c r="A84" s="144"/>
      <c r="B84" s="144"/>
      <c r="C84" s="158"/>
      <c r="D84" s="158"/>
      <c r="E84" s="144"/>
      <c r="F84" s="158"/>
      <c r="G84" s="158"/>
      <c r="H84" s="144"/>
      <c r="I84" s="158"/>
      <c r="J84" s="158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</row>
    <row r="85" spans="1:23" ht="19.5" customHeight="1" x14ac:dyDescent="0.25">
      <c r="A85" s="144"/>
      <c r="B85" s="144"/>
      <c r="C85" s="158"/>
      <c r="D85" s="158"/>
      <c r="E85" s="144"/>
      <c r="F85" s="158"/>
      <c r="G85" s="158"/>
      <c r="H85" s="144"/>
      <c r="I85" s="158"/>
      <c r="J85" s="158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</row>
    <row r="86" spans="1:23" ht="19.5" customHeight="1" x14ac:dyDescent="0.25">
      <c r="A86" s="144"/>
      <c r="B86" s="144"/>
      <c r="C86" s="158"/>
      <c r="D86" s="158"/>
      <c r="E86" s="144"/>
      <c r="F86" s="158"/>
      <c r="G86" s="158"/>
      <c r="H86" s="144"/>
      <c r="I86" s="158"/>
      <c r="J86" s="158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</row>
    <row r="87" spans="1:23" ht="19.5" customHeight="1" x14ac:dyDescent="0.25">
      <c r="A87" s="144"/>
      <c r="B87" s="144"/>
      <c r="C87" s="158"/>
      <c r="D87" s="158"/>
      <c r="E87" s="144"/>
      <c r="F87" s="158"/>
      <c r="G87" s="158"/>
      <c r="H87" s="144"/>
      <c r="I87" s="158"/>
      <c r="J87" s="158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</row>
    <row r="88" spans="1:23" ht="19.5" customHeight="1" x14ac:dyDescent="0.25">
      <c r="A88" s="144"/>
      <c r="B88" s="144"/>
      <c r="C88" s="158"/>
      <c r="D88" s="158"/>
      <c r="E88" s="144"/>
      <c r="F88" s="158"/>
      <c r="G88" s="158"/>
      <c r="H88" s="144"/>
      <c r="I88" s="158"/>
      <c r="J88" s="158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</row>
    <row r="89" spans="1:23" ht="19.5" customHeight="1" x14ac:dyDescent="0.25">
      <c r="A89" s="144"/>
      <c r="B89" s="144"/>
      <c r="C89" s="158"/>
      <c r="D89" s="158"/>
      <c r="E89" s="144"/>
      <c r="F89" s="158"/>
      <c r="G89" s="158"/>
      <c r="H89" s="144"/>
      <c r="I89" s="158"/>
      <c r="J89" s="158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</row>
    <row r="90" spans="1:23" ht="19.5" customHeight="1" x14ac:dyDescent="0.25">
      <c r="A90" s="144"/>
      <c r="B90" s="144"/>
      <c r="C90" s="158"/>
      <c r="D90" s="158"/>
      <c r="E90" s="144"/>
      <c r="F90" s="158"/>
      <c r="G90" s="158"/>
      <c r="H90" s="144"/>
      <c r="I90" s="158"/>
      <c r="J90" s="158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</row>
    <row r="91" spans="1:23" ht="19.5" customHeight="1" x14ac:dyDescent="0.25">
      <c r="A91" s="144"/>
      <c r="B91" s="144"/>
      <c r="C91" s="158"/>
      <c r="D91" s="158"/>
      <c r="E91" s="144"/>
      <c r="F91" s="158"/>
      <c r="G91" s="158"/>
      <c r="H91" s="144"/>
      <c r="I91" s="158"/>
      <c r="J91" s="158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</row>
    <row r="92" spans="1:23" ht="19.5" customHeight="1" x14ac:dyDescent="0.25">
      <c r="A92" s="144"/>
      <c r="B92" s="144"/>
      <c r="C92" s="158"/>
      <c r="D92" s="158"/>
      <c r="E92" s="144"/>
      <c r="F92" s="158"/>
      <c r="G92" s="158"/>
      <c r="H92" s="144"/>
      <c r="I92" s="158"/>
      <c r="J92" s="158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</row>
    <row r="93" spans="1:23" ht="19.5" customHeight="1" x14ac:dyDescent="0.25">
      <c r="A93" s="144"/>
      <c r="B93" s="144"/>
      <c r="C93" s="158"/>
      <c r="D93" s="158"/>
      <c r="E93" s="144"/>
      <c r="F93" s="158"/>
      <c r="G93" s="158"/>
      <c r="H93" s="144"/>
      <c r="I93" s="158"/>
      <c r="J93" s="158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</row>
    <row r="94" spans="1:23" ht="19.5" customHeight="1" x14ac:dyDescent="0.25">
      <c r="A94" s="144"/>
      <c r="B94" s="144"/>
      <c r="C94" s="158"/>
      <c r="D94" s="158"/>
      <c r="E94" s="144"/>
      <c r="F94" s="158"/>
      <c r="G94" s="158"/>
      <c r="H94" s="144"/>
      <c r="I94" s="158"/>
      <c r="J94" s="158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</row>
    <row r="95" spans="1:23" ht="19.5" customHeight="1" x14ac:dyDescent="0.25">
      <c r="A95" s="144"/>
      <c r="B95" s="144"/>
      <c r="C95" s="158"/>
      <c r="D95" s="158"/>
      <c r="E95" s="144"/>
      <c r="F95" s="158"/>
      <c r="G95" s="158"/>
      <c r="H95" s="144"/>
      <c r="I95" s="158"/>
      <c r="J95" s="158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</row>
    <row r="96" spans="1:23" ht="19.5" customHeight="1" x14ac:dyDescent="0.25">
      <c r="A96" s="144"/>
      <c r="B96" s="144"/>
      <c r="C96" s="158"/>
      <c r="D96" s="158"/>
      <c r="E96" s="144"/>
      <c r="F96" s="158"/>
      <c r="G96" s="158"/>
      <c r="H96" s="144"/>
      <c r="I96" s="158"/>
      <c r="J96" s="158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</row>
    <row r="97" spans="1:23" ht="19.5" customHeight="1" x14ac:dyDescent="0.25">
      <c r="A97" s="144"/>
      <c r="B97" s="144"/>
      <c r="C97" s="158"/>
      <c r="D97" s="158"/>
      <c r="E97" s="144"/>
      <c r="F97" s="158"/>
      <c r="G97" s="158"/>
      <c r="H97" s="144"/>
      <c r="I97" s="158"/>
      <c r="J97" s="158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</row>
    <row r="98" spans="1:23" ht="19.5" customHeight="1" x14ac:dyDescent="0.25">
      <c r="A98" s="144"/>
      <c r="B98" s="144"/>
      <c r="C98" s="158"/>
      <c r="D98" s="158"/>
      <c r="E98" s="144"/>
      <c r="F98" s="158"/>
      <c r="G98" s="158"/>
      <c r="H98" s="144"/>
      <c r="I98" s="158"/>
      <c r="J98" s="158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</row>
    <row r="99" spans="1:23" ht="19.5" customHeight="1" x14ac:dyDescent="0.25">
      <c r="A99" s="144"/>
      <c r="B99" s="144"/>
      <c r="C99" s="158"/>
      <c r="D99" s="158"/>
      <c r="E99" s="144"/>
      <c r="F99" s="158"/>
      <c r="G99" s="158"/>
      <c r="H99" s="144"/>
      <c r="I99" s="158"/>
      <c r="J99" s="158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</row>
    <row r="100" spans="1:23" ht="19.5" customHeight="1" x14ac:dyDescent="0.25">
      <c r="A100" s="144"/>
      <c r="B100" s="144"/>
      <c r="C100" s="158"/>
      <c r="D100" s="158"/>
      <c r="E100" s="144"/>
      <c r="F100" s="158"/>
      <c r="G100" s="158"/>
      <c r="H100" s="144"/>
      <c r="I100" s="158"/>
      <c r="J100" s="158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</row>
    <row r="101" spans="1:23" ht="19.5" customHeight="1" x14ac:dyDescent="0.25">
      <c r="A101" s="144"/>
      <c r="B101" s="144"/>
      <c r="C101" s="158"/>
      <c r="D101" s="158"/>
      <c r="E101" s="144"/>
      <c r="F101" s="158"/>
      <c r="G101" s="158"/>
      <c r="H101" s="144"/>
      <c r="I101" s="158"/>
      <c r="J101" s="158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</row>
    <row r="102" spans="1:23" ht="19.5" customHeight="1" x14ac:dyDescent="0.25">
      <c r="A102" s="144"/>
      <c r="B102" s="144"/>
      <c r="C102" s="158"/>
      <c r="D102" s="158"/>
      <c r="E102" s="144"/>
      <c r="F102" s="158"/>
      <c r="G102" s="158"/>
      <c r="H102" s="144"/>
      <c r="I102" s="158"/>
      <c r="J102" s="158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</row>
    <row r="103" spans="1:23" ht="19.5" customHeight="1" x14ac:dyDescent="0.25">
      <c r="A103" s="144"/>
      <c r="B103" s="144"/>
      <c r="C103" s="158"/>
      <c r="D103" s="158"/>
      <c r="E103" s="144"/>
      <c r="F103" s="158"/>
      <c r="G103" s="158"/>
      <c r="H103" s="144"/>
      <c r="I103" s="158"/>
      <c r="J103" s="158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</row>
    <row r="104" spans="1:23" ht="19.5" customHeight="1" x14ac:dyDescent="0.25">
      <c r="A104" s="144"/>
      <c r="B104" s="144"/>
      <c r="C104" s="158"/>
      <c r="D104" s="158"/>
      <c r="E104" s="144"/>
      <c r="F104" s="158"/>
      <c r="G104" s="158"/>
      <c r="H104" s="144"/>
      <c r="I104" s="158"/>
      <c r="J104" s="158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</row>
    <row r="105" spans="1:23" ht="19.5" customHeight="1" x14ac:dyDescent="0.25">
      <c r="A105" s="144"/>
      <c r="B105" s="144"/>
      <c r="C105" s="158"/>
      <c r="D105" s="158"/>
      <c r="E105" s="144"/>
      <c r="F105" s="158"/>
      <c r="G105" s="158"/>
      <c r="H105" s="144"/>
      <c r="I105" s="158"/>
      <c r="J105" s="158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</row>
    <row r="106" spans="1:23" ht="19.5" customHeight="1" x14ac:dyDescent="0.25">
      <c r="A106" s="144"/>
      <c r="B106" s="144"/>
      <c r="C106" s="158"/>
      <c r="D106" s="158"/>
      <c r="E106" s="144"/>
      <c r="F106" s="158"/>
      <c r="G106" s="158"/>
      <c r="H106" s="144"/>
      <c r="I106" s="158"/>
      <c r="J106" s="158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</row>
    <row r="107" spans="1:23" ht="19.5" customHeight="1" x14ac:dyDescent="0.25">
      <c r="A107" s="144"/>
      <c r="B107" s="144"/>
      <c r="C107" s="158"/>
      <c r="D107" s="158"/>
      <c r="E107" s="144"/>
      <c r="F107" s="158"/>
      <c r="G107" s="158"/>
      <c r="H107" s="144"/>
      <c r="I107" s="158"/>
      <c r="J107" s="158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</row>
    <row r="108" spans="1:23" ht="19.5" customHeight="1" x14ac:dyDescent="0.25">
      <c r="A108" s="144"/>
      <c r="B108" s="144"/>
      <c r="C108" s="158"/>
      <c r="D108" s="158"/>
      <c r="E108" s="144"/>
      <c r="F108" s="158"/>
      <c r="G108" s="158"/>
      <c r="H108" s="144"/>
      <c r="I108" s="158"/>
      <c r="J108" s="158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</row>
    <row r="109" spans="1:23" ht="19.5" customHeight="1" x14ac:dyDescent="0.25">
      <c r="A109" s="144"/>
      <c r="B109" s="144"/>
      <c r="C109" s="158"/>
      <c r="D109" s="158"/>
      <c r="E109" s="144"/>
      <c r="F109" s="158"/>
      <c r="G109" s="158"/>
      <c r="H109" s="144"/>
      <c r="I109" s="158"/>
      <c r="J109" s="158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</row>
    <row r="110" spans="1:23" ht="19.5" customHeight="1" x14ac:dyDescent="0.25">
      <c r="A110" s="144"/>
      <c r="B110" s="144"/>
      <c r="C110" s="158"/>
      <c r="D110" s="158"/>
      <c r="E110" s="144"/>
      <c r="F110" s="158"/>
      <c r="G110" s="158"/>
      <c r="H110" s="144"/>
      <c r="I110" s="158"/>
      <c r="J110" s="158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</row>
    <row r="111" spans="1:23" ht="19.5" customHeight="1" x14ac:dyDescent="0.25">
      <c r="A111" s="144"/>
      <c r="B111" s="144"/>
      <c r="C111" s="158"/>
      <c r="D111" s="158"/>
      <c r="E111" s="144"/>
      <c r="F111" s="158"/>
      <c r="G111" s="158"/>
      <c r="H111" s="144"/>
      <c r="I111" s="158"/>
      <c r="J111" s="158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</row>
    <row r="112" spans="1:23" ht="19.5" customHeight="1" x14ac:dyDescent="0.25">
      <c r="A112" s="144"/>
      <c r="B112" s="144"/>
      <c r="C112" s="158"/>
      <c r="D112" s="158"/>
      <c r="E112" s="144"/>
      <c r="F112" s="158"/>
      <c r="G112" s="158"/>
      <c r="H112" s="144"/>
      <c r="I112" s="158"/>
      <c r="J112" s="158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</row>
    <row r="113" spans="1:23" ht="19.5" customHeight="1" x14ac:dyDescent="0.25">
      <c r="A113" s="144"/>
      <c r="B113" s="144"/>
      <c r="C113" s="158"/>
      <c r="D113" s="158"/>
      <c r="E113" s="144"/>
      <c r="F113" s="158"/>
      <c r="G113" s="158"/>
      <c r="H113" s="144"/>
      <c r="I113" s="158"/>
      <c r="J113" s="158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</row>
    <row r="114" spans="1:23" ht="19.5" customHeight="1" x14ac:dyDescent="0.25">
      <c r="A114" s="144"/>
      <c r="B114" s="144"/>
      <c r="C114" s="158"/>
      <c r="D114" s="158"/>
      <c r="E114" s="144"/>
      <c r="F114" s="158"/>
      <c r="G114" s="158"/>
      <c r="H114" s="144"/>
      <c r="I114" s="158"/>
      <c r="J114" s="158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</row>
    <row r="115" spans="1:23" ht="19.5" customHeight="1" x14ac:dyDescent="0.25">
      <c r="A115" s="144"/>
      <c r="B115" s="144"/>
      <c r="C115" s="158"/>
      <c r="D115" s="158"/>
      <c r="E115" s="144"/>
      <c r="F115" s="158"/>
      <c r="G115" s="158"/>
      <c r="H115" s="144"/>
      <c r="I115" s="158"/>
      <c r="J115" s="158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</row>
    <row r="116" spans="1:23" ht="19.5" customHeight="1" x14ac:dyDescent="0.25">
      <c r="A116" s="144"/>
      <c r="B116" s="144"/>
      <c r="C116" s="158"/>
      <c r="D116" s="158"/>
      <c r="E116" s="144"/>
      <c r="F116" s="158"/>
      <c r="G116" s="158"/>
      <c r="H116" s="144"/>
      <c r="I116" s="158"/>
      <c r="J116" s="158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</row>
    <row r="117" spans="1:23" ht="19.5" customHeight="1" x14ac:dyDescent="0.25">
      <c r="A117" s="144"/>
      <c r="B117" s="144"/>
      <c r="C117" s="158"/>
      <c r="D117" s="158"/>
      <c r="E117" s="144"/>
      <c r="F117" s="158"/>
      <c r="G117" s="158"/>
      <c r="H117" s="144"/>
      <c r="I117" s="158"/>
      <c r="J117" s="158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</row>
    <row r="118" spans="1:23" ht="19.5" customHeight="1" x14ac:dyDescent="0.25">
      <c r="A118" s="144"/>
      <c r="B118" s="144"/>
      <c r="C118" s="158"/>
      <c r="D118" s="158"/>
      <c r="E118" s="144"/>
      <c r="F118" s="158"/>
      <c r="G118" s="158"/>
      <c r="H118" s="144"/>
      <c r="I118" s="158"/>
      <c r="J118" s="158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</row>
    <row r="119" spans="1:23" ht="19.5" customHeight="1" x14ac:dyDescent="0.25">
      <c r="A119" s="144"/>
      <c r="B119" s="144"/>
      <c r="C119" s="158"/>
      <c r="D119" s="158"/>
      <c r="E119" s="144"/>
      <c r="F119" s="158"/>
      <c r="G119" s="158"/>
      <c r="H119" s="144"/>
      <c r="I119" s="158"/>
      <c r="J119" s="158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</row>
    <row r="120" spans="1:23" ht="19.5" customHeight="1" x14ac:dyDescent="0.25">
      <c r="A120" s="144"/>
      <c r="B120" s="144"/>
      <c r="C120" s="158"/>
      <c r="D120" s="158"/>
      <c r="E120" s="144"/>
      <c r="F120" s="158"/>
      <c r="G120" s="158"/>
      <c r="H120" s="144"/>
      <c r="I120" s="158"/>
      <c r="J120" s="158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</row>
    <row r="121" spans="1:23" ht="19.5" customHeight="1" x14ac:dyDescent="0.25">
      <c r="A121" s="144"/>
      <c r="B121" s="144"/>
      <c r="C121" s="158"/>
      <c r="D121" s="158"/>
      <c r="E121" s="144"/>
      <c r="F121" s="158"/>
      <c r="G121" s="158"/>
      <c r="H121" s="144"/>
      <c r="I121" s="158"/>
      <c r="J121" s="158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</row>
    <row r="122" spans="1:23" ht="19.5" customHeight="1" x14ac:dyDescent="0.25">
      <c r="A122" s="144"/>
      <c r="B122" s="144"/>
      <c r="C122" s="158"/>
      <c r="D122" s="158"/>
      <c r="E122" s="144"/>
      <c r="F122" s="158"/>
      <c r="G122" s="158"/>
      <c r="H122" s="144"/>
      <c r="I122" s="158"/>
      <c r="J122" s="158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</row>
    <row r="123" spans="1:23" ht="19.5" customHeight="1" x14ac:dyDescent="0.25">
      <c r="A123" s="144"/>
      <c r="B123" s="144"/>
      <c r="C123" s="158"/>
      <c r="D123" s="158"/>
      <c r="E123" s="144"/>
      <c r="F123" s="158"/>
      <c r="G123" s="158"/>
      <c r="H123" s="144"/>
      <c r="I123" s="158"/>
      <c r="J123" s="158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</row>
    <row r="124" spans="1:23" ht="19.5" customHeight="1" x14ac:dyDescent="0.25">
      <c r="A124" s="144"/>
      <c r="B124" s="144"/>
      <c r="C124" s="158"/>
      <c r="D124" s="158"/>
      <c r="E124" s="144"/>
      <c r="F124" s="158"/>
      <c r="G124" s="158"/>
      <c r="H124" s="144"/>
      <c r="I124" s="158"/>
      <c r="J124" s="158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</row>
    <row r="125" spans="1:23" ht="19.5" customHeight="1" x14ac:dyDescent="0.25">
      <c r="A125" s="144"/>
      <c r="B125" s="144"/>
      <c r="C125" s="158"/>
      <c r="D125" s="158"/>
      <c r="E125" s="144"/>
      <c r="F125" s="158"/>
      <c r="G125" s="158"/>
      <c r="H125" s="144"/>
      <c r="I125" s="158"/>
      <c r="J125" s="158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</row>
    <row r="126" spans="1:23" ht="19.5" customHeight="1" x14ac:dyDescent="0.25">
      <c r="A126" s="144"/>
      <c r="B126" s="144"/>
      <c r="C126" s="158"/>
      <c r="D126" s="158"/>
      <c r="E126" s="144"/>
      <c r="F126" s="158"/>
      <c r="G126" s="158"/>
      <c r="H126" s="144"/>
      <c r="I126" s="158"/>
      <c r="J126" s="158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</row>
    <row r="127" spans="1:23" ht="19.5" customHeight="1" x14ac:dyDescent="0.25">
      <c r="A127" s="144"/>
      <c r="B127" s="144"/>
      <c r="C127" s="158"/>
      <c r="D127" s="158"/>
      <c r="E127" s="144"/>
      <c r="F127" s="158"/>
      <c r="G127" s="158"/>
      <c r="H127" s="144"/>
      <c r="I127" s="158"/>
      <c r="J127" s="158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</row>
    <row r="128" spans="1:23" ht="19.5" customHeight="1" x14ac:dyDescent="0.25">
      <c r="A128" s="144"/>
      <c r="B128" s="144"/>
      <c r="C128" s="158"/>
      <c r="D128" s="158"/>
      <c r="E128" s="144"/>
      <c r="F128" s="158"/>
      <c r="G128" s="158"/>
      <c r="H128" s="144"/>
      <c r="I128" s="158"/>
      <c r="J128" s="158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</row>
    <row r="129" spans="1:23" ht="19.5" customHeight="1" x14ac:dyDescent="0.25">
      <c r="A129" s="144"/>
      <c r="B129" s="144"/>
      <c r="C129" s="158"/>
      <c r="D129" s="158"/>
      <c r="E129" s="144"/>
      <c r="F129" s="158"/>
      <c r="G129" s="158"/>
      <c r="H129" s="144"/>
      <c r="I129" s="158"/>
      <c r="J129" s="158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</row>
    <row r="130" spans="1:23" ht="19.5" customHeight="1" x14ac:dyDescent="0.25">
      <c r="A130" s="144"/>
      <c r="B130" s="144"/>
      <c r="C130" s="158"/>
      <c r="D130" s="158"/>
      <c r="E130" s="144"/>
      <c r="F130" s="158"/>
      <c r="G130" s="158"/>
      <c r="H130" s="144"/>
      <c r="I130" s="158"/>
      <c r="J130" s="158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</row>
    <row r="131" spans="1:23" ht="19.5" customHeight="1" x14ac:dyDescent="0.25">
      <c r="A131" s="144"/>
      <c r="B131" s="144"/>
      <c r="C131" s="158"/>
      <c r="D131" s="158"/>
      <c r="E131" s="144"/>
      <c r="F131" s="158"/>
      <c r="G131" s="158"/>
      <c r="H131" s="144"/>
      <c r="I131" s="158"/>
      <c r="J131" s="158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</row>
    <row r="132" spans="1:23" ht="19.5" customHeight="1" x14ac:dyDescent="0.25">
      <c r="A132" s="144"/>
      <c r="B132" s="144"/>
      <c r="C132" s="158"/>
      <c r="D132" s="158"/>
      <c r="E132" s="144"/>
      <c r="F132" s="158"/>
      <c r="G132" s="158"/>
      <c r="H132" s="144"/>
      <c r="I132" s="158"/>
      <c r="J132" s="158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</row>
    <row r="133" spans="1:23" ht="19.5" customHeight="1" x14ac:dyDescent="0.25">
      <c r="A133" s="144"/>
      <c r="B133" s="144"/>
      <c r="C133" s="158"/>
      <c r="D133" s="158"/>
      <c r="E133" s="144"/>
      <c r="F133" s="158"/>
      <c r="G133" s="158"/>
      <c r="H133" s="144"/>
      <c r="I133" s="158"/>
      <c r="J133" s="158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</row>
    <row r="134" spans="1:23" ht="19.5" customHeight="1" x14ac:dyDescent="0.25">
      <c r="A134" s="144"/>
      <c r="B134" s="144"/>
      <c r="C134" s="158"/>
      <c r="D134" s="158"/>
      <c r="E134" s="144"/>
      <c r="F134" s="158"/>
      <c r="G134" s="158"/>
      <c r="H134" s="144"/>
      <c r="I134" s="158"/>
      <c r="J134" s="158"/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</row>
    <row r="135" spans="1:23" ht="19.5" customHeight="1" x14ac:dyDescent="0.25">
      <c r="A135" s="144"/>
      <c r="B135" s="144"/>
      <c r="C135" s="158"/>
      <c r="D135" s="158"/>
      <c r="E135" s="144"/>
      <c r="F135" s="158"/>
      <c r="G135" s="158"/>
      <c r="H135" s="144"/>
      <c r="I135" s="158"/>
      <c r="J135" s="158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</row>
    <row r="136" spans="1:23" ht="19.5" customHeight="1" x14ac:dyDescent="0.25">
      <c r="A136" s="144"/>
      <c r="B136" s="144"/>
      <c r="C136" s="158"/>
      <c r="D136" s="158"/>
      <c r="E136" s="144"/>
      <c r="F136" s="158"/>
      <c r="G136" s="158"/>
      <c r="H136" s="144"/>
      <c r="I136" s="158"/>
      <c r="J136" s="158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</row>
    <row r="137" spans="1:23" ht="19.5" customHeight="1" x14ac:dyDescent="0.25">
      <c r="A137" s="144"/>
      <c r="B137" s="144"/>
      <c r="C137" s="158"/>
      <c r="D137" s="158"/>
      <c r="E137" s="144"/>
      <c r="F137" s="158"/>
      <c r="G137" s="158"/>
      <c r="H137" s="144"/>
      <c r="I137" s="158"/>
      <c r="J137" s="158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</row>
    <row r="138" spans="1:23" ht="19.5" customHeight="1" x14ac:dyDescent="0.25">
      <c r="A138" s="144"/>
      <c r="B138" s="144"/>
      <c r="C138" s="158"/>
      <c r="D138" s="158"/>
      <c r="E138" s="144"/>
      <c r="F138" s="158"/>
      <c r="G138" s="158"/>
      <c r="H138" s="144"/>
      <c r="I138" s="158"/>
      <c r="J138" s="158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</row>
    <row r="139" spans="1:23" ht="19.5" customHeight="1" x14ac:dyDescent="0.25">
      <c r="A139" s="144"/>
      <c r="B139" s="144"/>
      <c r="C139" s="158"/>
      <c r="D139" s="158"/>
      <c r="E139" s="144"/>
      <c r="F139" s="158"/>
      <c r="G139" s="158"/>
      <c r="H139" s="144"/>
      <c r="I139" s="158"/>
      <c r="J139" s="158"/>
      <c r="K139" s="144"/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</row>
    <row r="140" spans="1:23" ht="19.5" customHeight="1" x14ac:dyDescent="0.25">
      <c r="A140" s="144"/>
      <c r="B140" s="144"/>
      <c r="C140" s="158"/>
      <c r="D140" s="158"/>
      <c r="E140" s="144"/>
      <c r="F140" s="158"/>
      <c r="G140" s="158"/>
      <c r="H140" s="144"/>
      <c r="I140" s="158"/>
      <c r="J140" s="158"/>
      <c r="K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</row>
    <row r="141" spans="1:23" ht="19.5" customHeight="1" x14ac:dyDescent="0.25">
      <c r="A141" s="144"/>
      <c r="B141" s="144"/>
      <c r="C141" s="158"/>
      <c r="D141" s="158"/>
      <c r="E141" s="144"/>
      <c r="F141" s="158"/>
      <c r="G141" s="158"/>
      <c r="H141" s="144"/>
      <c r="I141" s="158"/>
      <c r="J141" s="158"/>
      <c r="K141" s="144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</row>
    <row r="142" spans="1:23" ht="19.5" customHeight="1" x14ac:dyDescent="0.25">
      <c r="A142" s="144"/>
      <c r="B142" s="144"/>
      <c r="C142" s="158"/>
      <c r="D142" s="158"/>
      <c r="E142" s="144"/>
      <c r="F142" s="158"/>
      <c r="G142" s="158"/>
      <c r="H142" s="144"/>
      <c r="I142" s="158"/>
      <c r="J142" s="158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</row>
    <row r="143" spans="1:23" ht="19.5" customHeight="1" x14ac:dyDescent="0.25">
      <c r="A143" s="144"/>
      <c r="B143" s="144"/>
      <c r="C143" s="158"/>
      <c r="D143" s="158"/>
      <c r="E143" s="144"/>
      <c r="F143" s="158"/>
      <c r="G143" s="158"/>
      <c r="H143" s="144"/>
      <c r="I143" s="158"/>
      <c r="J143" s="158"/>
      <c r="K143" s="144"/>
      <c r="L143" s="144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</row>
    <row r="144" spans="1:23" ht="19.5" customHeight="1" x14ac:dyDescent="0.25">
      <c r="A144" s="144"/>
      <c r="B144" s="144"/>
      <c r="C144" s="158"/>
      <c r="D144" s="158"/>
      <c r="E144" s="144"/>
      <c r="F144" s="158"/>
      <c r="G144" s="158"/>
      <c r="H144" s="144"/>
      <c r="I144" s="158"/>
      <c r="J144" s="158"/>
      <c r="K144" s="144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</row>
    <row r="145" spans="1:23" ht="19.5" customHeight="1" x14ac:dyDescent="0.25">
      <c r="A145" s="144"/>
      <c r="B145" s="144"/>
      <c r="C145" s="158"/>
      <c r="D145" s="158"/>
      <c r="E145" s="144"/>
      <c r="F145" s="158"/>
      <c r="G145" s="158"/>
      <c r="H145" s="144"/>
      <c r="I145" s="158"/>
      <c r="J145" s="158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</row>
    <row r="146" spans="1:23" ht="19.5" customHeight="1" x14ac:dyDescent="0.25">
      <c r="A146" s="144"/>
      <c r="B146" s="144"/>
      <c r="C146" s="158"/>
      <c r="D146" s="158"/>
      <c r="E146" s="144"/>
      <c r="F146" s="158"/>
      <c r="G146" s="158"/>
      <c r="H146" s="144"/>
      <c r="I146" s="158"/>
      <c r="J146" s="158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</row>
    <row r="147" spans="1:23" ht="19.5" customHeight="1" x14ac:dyDescent="0.25">
      <c r="A147" s="144"/>
      <c r="B147" s="144"/>
      <c r="C147" s="158"/>
      <c r="D147" s="158"/>
      <c r="E147" s="144"/>
      <c r="F147" s="158"/>
      <c r="G147" s="158"/>
      <c r="H147" s="144"/>
      <c r="I147" s="158"/>
      <c r="J147" s="158"/>
      <c r="K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</row>
    <row r="148" spans="1:23" ht="19.5" customHeight="1" x14ac:dyDescent="0.25">
      <c r="A148" s="144"/>
      <c r="B148" s="144"/>
      <c r="C148" s="158"/>
      <c r="D148" s="158"/>
      <c r="E148" s="144"/>
      <c r="F148" s="158"/>
      <c r="G148" s="158"/>
      <c r="H148" s="144"/>
      <c r="I148" s="158"/>
      <c r="J148" s="158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</row>
    <row r="149" spans="1:23" ht="19.5" customHeight="1" x14ac:dyDescent="0.25">
      <c r="A149" s="144"/>
      <c r="B149" s="144"/>
      <c r="C149" s="158"/>
      <c r="D149" s="158"/>
      <c r="E149" s="144"/>
      <c r="F149" s="158"/>
      <c r="G149" s="158"/>
      <c r="H149" s="144"/>
      <c r="I149" s="158"/>
      <c r="J149" s="158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</row>
    <row r="150" spans="1:23" ht="19.5" customHeight="1" x14ac:dyDescent="0.25">
      <c r="A150" s="144"/>
      <c r="B150" s="144"/>
      <c r="C150" s="158"/>
      <c r="D150" s="158"/>
      <c r="E150" s="144"/>
      <c r="F150" s="158"/>
      <c r="G150" s="158"/>
      <c r="H150" s="144"/>
      <c r="I150" s="158"/>
      <c r="J150" s="158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</row>
    <row r="151" spans="1:23" ht="19.5" customHeight="1" x14ac:dyDescent="0.25">
      <c r="A151" s="144"/>
      <c r="B151" s="144"/>
      <c r="C151" s="158"/>
      <c r="D151" s="158"/>
      <c r="E151" s="144"/>
      <c r="F151" s="158"/>
      <c r="G151" s="158"/>
      <c r="H151" s="144"/>
      <c r="I151" s="158"/>
      <c r="J151" s="158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</row>
    <row r="152" spans="1:23" ht="19.5" customHeight="1" x14ac:dyDescent="0.25">
      <c r="A152" s="144"/>
      <c r="B152" s="144"/>
      <c r="C152" s="158"/>
      <c r="D152" s="158"/>
      <c r="E152" s="144"/>
      <c r="F152" s="158"/>
      <c r="G152" s="158"/>
      <c r="H152" s="144"/>
      <c r="I152" s="158"/>
      <c r="J152" s="158"/>
      <c r="K152" s="144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</row>
    <row r="153" spans="1:23" ht="19.5" customHeight="1" x14ac:dyDescent="0.25">
      <c r="A153" s="144"/>
      <c r="B153" s="144"/>
      <c r="C153" s="158"/>
      <c r="D153" s="158"/>
      <c r="E153" s="144"/>
      <c r="F153" s="158"/>
      <c r="G153" s="158"/>
      <c r="H153" s="144"/>
      <c r="I153" s="158"/>
      <c r="J153" s="158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</row>
    <row r="154" spans="1:23" ht="19.5" customHeight="1" x14ac:dyDescent="0.25">
      <c r="A154" s="144"/>
      <c r="B154" s="144"/>
      <c r="C154" s="158"/>
      <c r="D154" s="158"/>
      <c r="E154" s="144"/>
      <c r="F154" s="158"/>
      <c r="G154" s="158"/>
      <c r="H154" s="144"/>
      <c r="I154" s="158"/>
      <c r="J154" s="158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</row>
    <row r="155" spans="1:23" ht="19.5" customHeight="1" x14ac:dyDescent="0.25">
      <c r="A155" s="144"/>
      <c r="B155" s="144"/>
      <c r="C155" s="158"/>
      <c r="D155" s="158"/>
      <c r="E155" s="144"/>
      <c r="F155" s="158"/>
      <c r="G155" s="158"/>
      <c r="H155" s="144"/>
      <c r="I155" s="158"/>
      <c r="J155" s="158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</row>
    <row r="156" spans="1:23" ht="19.5" customHeight="1" x14ac:dyDescent="0.25">
      <c r="A156" s="144"/>
      <c r="B156" s="144"/>
      <c r="C156" s="158"/>
      <c r="D156" s="158"/>
      <c r="E156" s="144"/>
      <c r="F156" s="158"/>
      <c r="G156" s="158"/>
      <c r="H156" s="144"/>
      <c r="I156" s="158"/>
      <c r="J156" s="158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</row>
    <row r="157" spans="1:23" ht="19.5" customHeight="1" x14ac:dyDescent="0.25">
      <c r="A157" s="144"/>
      <c r="B157" s="144"/>
      <c r="C157" s="158"/>
      <c r="D157" s="158"/>
      <c r="E157" s="144"/>
      <c r="F157" s="158"/>
      <c r="G157" s="158"/>
      <c r="H157" s="144"/>
      <c r="I157" s="158"/>
      <c r="J157" s="158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</row>
    <row r="158" spans="1:23" ht="19.5" customHeight="1" x14ac:dyDescent="0.25">
      <c r="A158" s="144"/>
      <c r="B158" s="144"/>
      <c r="C158" s="158"/>
      <c r="D158" s="158"/>
      <c r="E158" s="144"/>
      <c r="F158" s="158"/>
      <c r="G158" s="158"/>
      <c r="H158" s="144"/>
      <c r="I158" s="158"/>
      <c r="J158" s="158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</row>
    <row r="159" spans="1:23" ht="19.5" customHeight="1" x14ac:dyDescent="0.25">
      <c r="A159" s="144"/>
      <c r="B159" s="144"/>
      <c r="C159" s="158"/>
      <c r="D159" s="158"/>
      <c r="E159" s="144"/>
      <c r="F159" s="158"/>
      <c r="G159" s="158"/>
      <c r="H159" s="144"/>
      <c r="I159" s="158"/>
      <c r="J159" s="158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</row>
    <row r="160" spans="1:23" ht="19.5" customHeight="1" x14ac:dyDescent="0.25">
      <c r="A160" s="144"/>
      <c r="B160" s="144"/>
      <c r="C160" s="158"/>
      <c r="D160" s="158"/>
      <c r="E160" s="144"/>
      <c r="F160" s="158"/>
      <c r="G160" s="158"/>
      <c r="H160" s="144"/>
      <c r="I160" s="158"/>
      <c r="J160" s="158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</row>
    <row r="161" spans="1:23" ht="19.5" customHeight="1" x14ac:dyDescent="0.25">
      <c r="A161" s="144"/>
      <c r="B161" s="144"/>
      <c r="C161" s="158"/>
      <c r="D161" s="158"/>
      <c r="E161" s="144"/>
      <c r="F161" s="158"/>
      <c r="G161" s="158"/>
      <c r="H161" s="144"/>
      <c r="I161" s="158"/>
      <c r="J161" s="158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</row>
    <row r="162" spans="1:23" ht="19.5" customHeight="1" x14ac:dyDescent="0.25">
      <c r="A162" s="144"/>
      <c r="B162" s="144"/>
      <c r="C162" s="158"/>
      <c r="D162" s="158"/>
      <c r="E162" s="144"/>
      <c r="F162" s="158"/>
      <c r="G162" s="158"/>
      <c r="H162" s="144"/>
      <c r="I162" s="158"/>
      <c r="J162" s="158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</row>
    <row r="163" spans="1:23" ht="19.5" customHeight="1" x14ac:dyDescent="0.25">
      <c r="A163" s="144"/>
      <c r="B163" s="144"/>
      <c r="C163" s="158"/>
      <c r="D163" s="158"/>
      <c r="E163" s="144"/>
      <c r="F163" s="158"/>
      <c r="G163" s="158"/>
      <c r="H163" s="144"/>
      <c r="I163" s="158"/>
      <c r="J163" s="158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</row>
    <row r="164" spans="1:23" ht="19.5" customHeight="1" x14ac:dyDescent="0.25">
      <c r="A164" s="144"/>
      <c r="B164" s="144"/>
      <c r="C164" s="158"/>
      <c r="D164" s="158"/>
      <c r="E164" s="144"/>
      <c r="F164" s="158"/>
      <c r="G164" s="158"/>
      <c r="H164" s="144"/>
      <c r="I164" s="158"/>
      <c r="J164" s="158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</row>
    <row r="165" spans="1:23" ht="19.5" customHeight="1" x14ac:dyDescent="0.25">
      <c r="A165" s="144"/>
      <c r="B165" s="144"/>
      <c r="C165" s="158"/>
      <c r="D165" s="158"/>
      <c r="E165" s="144"/>
      <c r="F165" s="158"/>
      <c r="G165" s="158"/>
      <c r="H165" s="144"/>
      <c r="I165" s="158"/>
      <c r="J165" s="158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</row>
    <row r="166" spans="1:23" ht="19.5" customHeight="1" x14ac:dyDescent="0.25">
      <c r="A166" s="144"/>
      <c r="B166" s="144"/>
      <c r="C166" s="158"/>
      <c r="D166" s="158"/>
      <c r="E166" s="144"/>
      <c r="F166" s="158"/>
      <c r="G166" s="158"/>
      <c r="H166" s="144"/>
      <c r="I166" s="158"/>
      <c r="J166" s="158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</row>
    <row r="167" spans="1:23" ht="19.5" customHeight="1" x14ac:dyDescent="0.25">
      <c r="A167" s="144"/>
      <c r="B167" s="144"/>
      <c r="C167" s="158"/>
      <c r="D167" s="158"/>
      <c r="E167" s="144"/>
      <c r="F167" s="158"/>
      <c r="G167" s="158"/>
      <c r="H167" s="144"/>
      <c r="I167" s="158"/>
      <c r="J167" s="158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</row>
    <row r="168" spans="1:23" ht="19.5" customHeight="1" x14ac:dyDescent="0.25">
      <c r="A168" s="144"/>
      <c r="B168" s="144"/>
      <c r="C168" s="158"/>
      <c r="D168" s="158"/>
      <c r="E168" s="144"/>
      <c r="F168" s="158"/>
      <c r="G168" s="158"/>
      <c r="H168" s="144"/>
      <c r="I168" s="158"/>
      <c r="J168" s="158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</row>
    <row r="169" spans="1:23" ht="19.5" customHeight="1" x14ac:dyDescent="0.25">
      <c r="A169" s="144"/>
      <c r="B169" s="144"/>
      <c r="C169" s="158"/>
      <c r="D169" s="158"/>
      <c r="E169" s="144"/>
      <c r="F169" s="158"/>
      <c r="G169" s="158"/>
      <c r="H169" s="144"/>
      <c r="I169" s="158"/>
      <c r="J169" s="158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</row>
    <row r="170" spans="1:23" ht="19.5" customHeight="1" x14ac:dyDescent="0.25">
      <c r="A170" s="144"/>
      <c r="B170" s="144"/>
      <c r="C170" s="158"/>
      <c r="D170" s="158"/>
      <c r="E170" s="144"/>
      <c r="F170" s="158"/>
      <c r="G170" s="158"/>
      <c r="H170" s="144"/>
      <c r="I170" s="158"/>
      <c r="J170" s="158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</row>
    <row r="171" spans="1:23" ht="19.5" customHeight="1" x14ac:dyDescent="0.25">
      <c r="A171" s="144"/>
      <c r="B171" s="144"/>
      <c r="C171" s="158"/>
      <c r="D171" s="158"/>
      <c r="E171" s="144"/>
      <c r="F171" s="158"/>
      <c r="G171" s="158"/>
      <c r="H171" s="144"/>
      <c r="I171" s="158"/>
      <c r="J171" s="158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</row>
    <row r="172" spans="1:23" ht="19.5" customHeight="1" x14ac:dyDescent="0.25">
      <c r="A172" s="144"/>
      <c r="B172" s="144"/>
      <c r="C172" s="158"/>
      <c r="D172" s="158"/>
      <c r="E172" s="144"/>
      <c r="F172" s="158"/>
      <c r="G172" s="158"/>
      <c r="H172" s="144"/>
      <c r="I172" s="158"/>
      <c r="J172" s="158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</row>
    <row r="173" spans="1:23" ht="19.5" customHeight="1" x14ac:dyDescent="0.25">
      <c r="A173" s="144"/>
      <c r="B173" s="144"/>
      <c r="C173" s="158"/>
      <c r="D173" s="158"/>
      <c r="E173" s="144"/>
      <c r="F173" s="158"/>
      <c r="G173" s="158"/>
      <c r="H173" s="144"/>
      <c r="I173" s="158"/>
      <c r="J173" s="158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</row>
    <row r="174" spans="1:23" ht="19.5" customHeight="1" x14ac:dyDescent="0.25">
      <c r="A174" s="144"/>
      <c r="B174" s="144"/>
      <c r="C174" s="158"/>
      <c r="D174" s="158"/>
      <c r="E174" s="144"/>
      <c r="F174" s="158"/>
      <c r="G174" s="158"/>
      <c r="H174" s="144"/>
      <c r="I174" s="158"/>
      <c r="J174" s="158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</row>
    <row r="175" spans="1:23" ht="19.5" customHeight="1" x14ac:dyDescent="0.25">
      <c r="A175" s="144"/>
      <c r="B175" s="144"/>
      <c r="C175" s="158"/>
      <c r="D175" s="158"/>
      <c r="E175" s="144"/>
      <c r="F175" s="158"/>
      <c r="G175" s="158"/>
      <c r="H175" s="144"/>
      <c r="I175" s="158"/>
      <c r="J175" s="158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</row>
    <row r="176" spans="1:23" ht="19.5" customHeight="1" x14ac:dyDescent="0.25">
      <c r="A176" s="144"/>
      <c r="B176" s="144"/>
      <c r="C176" s="158"/>
      <c r="D176" s="158"/>
      <c r="E176" s="144"/>
      <c r="F176" s="158"/>
      <c r="G176" s="158"/>
      <c r="H176" s="144"/>
      <c r="I176" s="158"/>
      <c r="J176" s="158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</row>
    <row r="177" spans="1:23" ht="19.5" customHeight="1" x14ac:dyDescent="0.25">
      <c r="A177" s="144"/>
      <c r="B177" s="144"/>
      <c r="C177" s="158"/>
      <c r="D177" s="158"/>
      <c r="E177" s="144"/>
      <c r="F177" s="158"/>
      <c r="G177" s="158"/>
      <c r="H177" s="144"/>
      <c r="I177" s="158"/>
      <c r="J177" s="158"/>
      <c r="K177" s="144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</row>
    <row r="178" spans="1:23" ht="19.5" customHeight="1" x14ac:dyDescent="0.25">
      <c r="A178" s="144"/>
      <c r="B178" s="144"/>
      <c r="C178" s="158"/>
      <c r="D178" s="158"/>
      <c r="E178" s="144"/>
      <c r="F178" s="158"/>
      <c r="G178" s="158"/>
      <c r="H178" s="144"/>
      <c r="I178" s="158"/>
      <c r="J178" s="158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</row>
    <row r="179" spans="1:23" ht="19.5" customHeight="1" x14ac:dyDescent="0.25">
      <c r="A179" s="144"/>
      <c r="B179" s="144"/>
      <c r="C179" s="158"/>
      <c r="D179" s="158"/>
      <c r="E179" s="144"/>
      <c r="F179" s="158"/>
      <c r="G179" s="158"/>
      <c r="H179" s="144"/>
      <c r="I179" s="158"/>
      <c r="J179" s="158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</row>
    <row r="180" spans="1:23" ht="19.5" customHeight="1" x14ac:dyDescent="0.25">
      <c r="A180" s="144"/>
      <c r="B180" s="144"/>
      <c r="C180" s="158"/>
      <c r="D180" s="158"/>
      <c r="E180" s="144"/>
      <c r="F180" s="158"/>
      <c r="G180" s="158"/>
      <c r="H180" s="144"/>
      <c r="I180" s="158"/>
      <c r="J180" s="158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</row>
    <row r="181" spans="1:23" ht="19.5" customHeight="1" x14ac:dyDescent="0.25">
      <c r="A181" s="144"/>
      <c r="B181" s="144"/>
      <c r="C181" s="158"/>
      <c r="D181" s="158"/>
      <c r="E181" s="144"/>
      <c r="F181" s="158"/>
      <c r="G181" s="158"/>
      <c r="H181" s="144"/>
      <c r="I181" s="158"/>
      <c r="J181" s="158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</row>
    <row r="182" spans="1:23" ht="19.5" customHeight="1" x14ac:dyDescent="0.25">
      <c r="A182" s="144"/>
      <c r="B182" s="144"/>
      <c r="C182" s="158"/>
      <c r="D182" s="158"/>
      <c r="E182" s="144"/>
      <c r="F182" s="158"/>
      <c r="G182" s="158"/>
      <c r="H182" s="144"/>
      <c r="I182" s="158"/>
      <c r="J182" s="158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</row>
    <row r="183" spans="1:23" ht="19.5" customHeight="1" x14ac:dyDescent="0.25">
      <c r="A183" s="144"/>
      <c r="B183" s="144"/>
      <c r="C183" s="158"/>
      <c r="D183" s="158"/>
      <c r="E183" s="144"/>
      <c r="F183" s="158"/>
      <c r="G183" s="158"/>
      <c r="H183" s="144"/>
      <c r="I183" s="158"/>
      <c r="J183" s="158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</row>
    <row r="184" spans="1:23" ht="19.5" customHeight="1" x14ac:dyDescent="0.25">
      <c r="A184" s="144"/>
      <c r="B184" s="144"/>
      <c r="C184" s="158"/>
      <c r="D184" s="158"/>
      <c r="E184" s="144"/>
      <c r="F184" s="158"/>
      <c r="G184" s="158"/>
      <c r="H184" s="144"/>
      <c r="I184" s="158"/>
      <c r="J184" s="158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</row>
    <row r="185" spans="1:23" ht="19.5" customHeight="1" x14ac:dyDescent="0.25">
      <c r="A185" s="144"/>
      <c r="B185" s="144"/>
      <c r="C185" s="158"/>
      <c r="D185" s="158"/>
      <c r="E185" s="144"/>
      <c r="F185" s="158"/>
      <c r="G185" s="158"/>
      <c r="H185" s="144"/>
      <c r="I185" s="158"/>
      <c r="J185" s="158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</row>
    <row r="186" spans="1:23" ht="19.5" customHeight="1" x14ac:dyDescent="0.25">
      <c r="A186" s="144"/>
      <c r="B186" s="144"/>
      <c r="C186" s="158"/>
      <c r="D186" s="158"/>
      <c r="E186" s="144"/>
      <c r="F186" s="158"/>
      <c r="G186" s="158"/>
      <c r="H186" s="144"/>
      <c r="I186" s="158"/>
      <c r="J186" s="158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</row>
    <row r="187" spans="1:23" ht="19.5" customHeight="1" x14ac:dyDescent="0.25">
      <c r="A187" s="144"/>
      <c r="B187" s="144"/>
      <c r="C187" s="158"/>
      <c r="D187" s="158"/>
      <c r="E187" s="144"/>
      <c r="F187" s="158"/>
      <c r="G187" s="158"/>
      <c r="H187" s="144"/>
      <c r="I187" s="158"/>
      <c r="J187" s="158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</row>
    <row r="188" spans="1:23" ht="19.5" customHeight="1" x14ac:dyDescent="0.25">
      <c r="A188" s="144"/>
      <c r="B188" s="144"/>
      <c r="C188" s="158"/>
      <c r="D188" s="158"/>
      <c r="E188" s="144"/>
      <c r="F188" s="158"/>
      <c r="G188" s="158"/>
      <c r="H188" s="144"/>
      <c r="I188" s="158"/>
      <c r="J188" s="158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</row>
    <row r="189" spans="1:23" ht="19.5" customHeight="1" x14ac:dyDescent="0.25">
      <c r="A189" s="144"/>
      <c r="B189" s="144"/>
      <c r="C189" s="158"/>
      <c r="D189" s="158"/>
      <c r="E189" s="144"/>
      <c r="F189" s="158"/>
      <c r="G189" s="158"/>
      <c r="H189" s="144"/>
      <c r="I189" s="158"/>
      <c r="J189" s="158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</row>
    <row r="190" spans="1:23" ht="19.5" customHeight="1" x14ac:dyDescent="0.25">
      <c r="A190" s="144"/>
      <c r="B190" s="144"/>
      <c r="C190" s="158"/>
      <c r="D190" s="158"/>
      <c r="E190" s="144"/>
      <c r="F190" s="158"/>
      <c r="G190" s="158"/>
      <c r="H190" s="144"/>
      <c r="I190" s="158"/>
      <c r="J190" s="158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</row>
    <row r="191" spans="1:23" ht="19.5" customHeight="1" x14ac:dyDescent="0.25">
      <c r="A191" s="144"/>
      <c r="B191" s="144"/>
      <c r="C191" s="158"/>
      <c r="D191" s="158"/>
      <c r="E191" s="144"/>
      <c r="F191" s="158"/>
      <c r="G191" s="158"/>
      <c r="H191" s="144"/>
      <c r="I191" s="158"/>
      <c r="J191" s="158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</row>
    <row r="192" spans="1:23" ht="19.5" customHeight="1" x14ac:dyDescent="0.25">
      <c r="A192" s="144"/>
      <c r="B192" s="144"/>
      <c r="C192" s="158"/>
      <c r="D192" s="158"/>
      <c r="E192" s="144"/>
      <c r="F192" s="158"/>
      <c r="G192" s="158"/>
      <c r="H192" s="144"/>
      <c r="I192" s="158"/>
      <c r="J192" s="158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</row>
    <row r="193" spans="1:23" ht="19.5" customHeight="1" x14ac:dyDescent="0.25">
      <c r="A193" s="144"/>
      <c r="B193" s="144"/>
      <c r="C193" s="158"/>
      <c r="D193" s="158"/>
      <c r="E193" s="144"/>
      <c r="F193" s="158"/>
      <c r="G193" s="158"/>
      <c r="H193" s="144"/>
      <c r="I193" s="158"/>
      <c r="J193" s="158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</row>
    <row r="194" spans="1:23" ht="19.5" customHeight="1" x14ac:dyDescent="0.25">
      <c r="A194" s="144"/>
      <c r="B194" s="144"/>
      <c r="C194" s="158"/>
      <c r="D194" s="158"/>
      <c r="E194" s="144"/>
      <c r="F194" s="158"/>
      <c r="G194" s="158"/>
      <c r="H194" s="144"/>
      <c r="I194" s="158"/>
      <c r="J194" s="158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</row>
    <row r="195" spans="1:23" ht="19.5" customHeight="1" x14ac:dyDescent="0.25">
      <c r="A195" s="144"/>
      <c r="B195" s="144"/>
      <c r="C195" s="158"/>
      <c r="D195" s="158"/>
      <c r="E195" s="144"/>
      <c r="F195" s="158"/>
      <c r="G195" s="158"/>
      <c r="H195" s="144"/>
      <c r="I195" s="158"/>
      <c r="J195" s="158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</row>
    <row r="196" spans="1:23" ht="19.5" customHeight="1" x14ac:dyDescent="0.25">
      <c r="A196" s="144"/>
      <c r="B196" s="144"/>
      <c r="C196" s="158"/>
      <c r="D196" s="158"/>
      <c r="E196" s="144"/>
      <c r="F196" s="158"/>
      <c r="G196" s="158"/>
      <c r="H196" s="144"/>
      <c r="I196" s="158"/>
      <c r="J196" s="158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</row>
    <row r="197" spans="1:23" ht="19.5" customHeight="1" x14ac:dyDescent="0.25">
      <c r="A197" s="144"/>
      <c r="B197" s="144"/>
      <c r="C197" s="158"/>
      <c r="D197" s="158"/>
      <c r="E197" s="144"/>
      <c r="F197" s="158"/>
      <c r="G197" s="158"/>
      <c r="H197" s="144"/>
      <c r="I197" s="158"/>
      <c r="J197" s="158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</row>
    <row r="198" spans="1:23" ht="19.5" customHeight="1" x14ac:dyDescent="0.25">
      <c r="A198" s="144"/>
      <c r="B198" s="144"/>
      <c r="C198" s="158"/>
      <c r="D198" s="158"/>
      <c r="E198" s="144"/>
      <c r="F198" s="158"/>
      <c r="G198" s="158"/>
      <c r="H198" s="144"/>
      <c r="I198" s="158"/>
      <c r="J198" s="158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</row>
    <row r="199" spans="1:23" ht="19.5" customHeight="1" x14ac:dyDescent="0.25">
      <c r="A199" s="144"/>
      <c r="B199" s="144"/>
      <c r="C199" s="158"/>
      <c r="D199" s="158"/>
      <c r="E199" s="144"/>
      <c r="F199" s="158"/>
      <c r="G199" s="158"/>
      <c r="H199" s="144"/>
      <c r="I199" s="158"/>
      <c r="J199" s="158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</row>
    <row r="200" spans="1:23" ht="19.5" customHeight="1" x14ac:dyDescent="0.25">
      <c r="A200" s="144"/>
      <c r="B200" s="144"/>
      <c r="C200" s="158"/>
      <c r="D200" s="158"/>
      <c r="E200" s="144"/>
      <c r="F200" s="158"/>
      <c r="G200" s="158"/>
      <c r="H200" s="144"/>
      <c r="I200" s="158"/>
      <c r="J200" s="158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</row>
    <row r="201" spans="1:23" ht="19.5" customHeight="1" x14ac:dyDescent="0.25">
      <c r="A201" s="144"/>
      <c r="B201" s="144"/>
      <c r="C201" s="158"/>
      <c r="D201" s="158"/>
      <c r="E201" s="144"/>
      <c r="F201" s="158"/>
      <c r="G201" s="158"/>
      <c r="H201" s="144"/>
      <c r="I201" s="158"/>
      <c r="J201" s="158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</row>
    <row r="202" spans="1:23" ht="19.5" customHeight="1" x14ac:dyDescent="0.25">
      <c r="A202" s="144"/>
      <c r="B202" s="144"/>
      <c r="C202" s="158"/>
      <c r="D202" s="158"/>
      <c r="E202" s="144"/>
      <c r="F202" s="158"/>
      <c r="G202" s="158"/>
      <c r="H202" s="144"/>
      <c r="I202" s="158"/>
      <c r="J202" s="158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</row>
    <row r="203" spans="1:23" ht="19.5" customHeight="1" x14ac:dyDescent="0.25">
      <c r="A203" s="144"/>
      <c r="B203" s="144"/>
      <c r="C203" s="158"/>
      <c r="D203" s="158"/>
      <c r="E203" s="144"/>
      <c r="F203" s="158"/>
      <c r="G203" s="158"/>
      <c r="H203" s="144"/>
      <c r="I203" s="158"/>
      <c r="J203" s="158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</row>
    <row r="204" spans="1:23" ht="19.5" customHeight="1" x14ac:dyDescent="0.25">
      <c r="A204" s="144"/>
      <c r="B204" s="144"/>
      <c r="C204" s="158"/>
      <c r="D204" s="158"/>
      <c r="E204" s="144"/>
      <c r="F204" s="158"/>
      <c r="G204" s="158"/>
      <c r="H204" s="144"/>
      <c r="I204" s="158"/>
      <c r="J204" s="158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</row>
    <row r="205" spans="1:23" ht="19.5" customHeight="1" x14ac:dyDescent="0.25">
      <c r="A205" s="144"/>
      <c r="B205" s="144"/>
      <c r="C205" s="158"/>
      <c r="D205" s="158"/>
      <c r="E205" s="144"/>
      <c r="F205" s="158"/>
      <c r="G205" s="158"/>
      <c r="H205" s="144"/>
      <c r="I205" s="158"/>
      <c r="J205" s="158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</row>
    <row r="206" spans="1:23" ht="19.5" customHeight="1" x14ac:dyDescent="0.25">
      <c r="A206" s="144"/>
      <c r="B206" s="144"/>
      <c r="C206" s="158"/>
      <c r="D206" s="158"/>
      <c r="E206" s="144"/>
      <c r="F206" s="158"/>
      <c r="G206" s="158"/>
      <c r="H206" s="144"/>
      <c r="I206" s="158"/>
      <c r="J206" s="158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</row>
    <row r="207" spans="1:23" ht="19.5" customHeight="1" x14ac:dyDescent="0.25">
      <c r="A207" s="144"/>
      <c r="B207" s="144"/>
      <c r="C207" s="158"/>
      <c r="D207" s="158"/>
      <c r="E207" s="144"/>
      <c r="F207" s="158"/>
      <c r="G207" s="158"/>
      <c r="H207" s="144"/>
      <c r="I207" s="158"/>
      <c r="J207" s="158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</row>
    <row r="208" spans="1:23" ht="19.5" customHeight="1" x14ac:dyDescent="0.25">
      <c r="A208" s="144"/>
      <c r="B208" s="144"/>
      <c r="C208" s="158"/>
      <c r="D208" s="158"/>
      <c r="E208" s="144"/>
      <c r="F208" s="158"/>
      <c r="G208" s="158"/>
      <c r="H208" s="144"/>
      <c r="I208" s="158"/>
      <c r="J208" s="158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</row>
    <row r="209" spans="1:23" ht="19.5" customHeight="1" x14ac:dyDescent="0.25">
      <c r="A209" s="144"/>
      <c r="B209" s="144"/>
      <c r="C209" s="158"/>
      <c r="D209" s="158"/>
      <c r="E209" s="144"/>
      <c r="F209" s="158"/>
      <c r="G209" s="158"/>
      <c r="H209" s="144"/>
      <c r="I209" s="158"/>
      <c r="J209" s="158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</row>
    <row r="210" spans="1:23" ht="19.5" customHeight="1" x14ac:dyDescent="0.25">
      <c r="A210" s="144"/>
      <c r="B210" s="144"/>
      <c r="C210" s="158"/>
      <c r="D210" s="158"/>
      <c r="E210" s="144"/>
      <c r="F210" s="158"/>
      <c r="G210" s="158"/>
      <c r="H210" s="144"/>
      <c r="I210" s="158"/>
      <c r="J210" s="158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</row>
    <row r="211" spans="1:23" ht="19.5" customHeight="1" x14ac:dyDescent="0.25">
      <c r="A211" s="144"/>
      <c r="B211" s="144"/>
      <c r="C211" s="158"/>
      <c r="D211" s="158"/>
      <c r="E211" s="144"/>
      <c r="F211" s="158"/>
      <c r="G211" s="158"/>
      <c r="H211" s="144"/>
      <c r="I211" s="158"/>
      <c r="J211" s="158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</row>
    <row r="212" spans="1:23" ht="19.5" customHeight="1" x14ac:dyDescent="0.25">
      <c r="A212" s="144"/>
      <c r="B212" s="144"/>
      <c r="C212" s="158"/>
      <c r="D212" s="158"/>
      <c r="E212" s="144"/>
      <c r="F212" s="158"/>
      <c r="G212" s="158"/>
      <c r="H212" s="144"/>
      <c r="I212" s="158"/>
      <c r="J212" s="158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</row>
    <row r="213" spans="1:23" ht="19.5" customHeight="1" x14ac:dyDescent="0.25">
      <c r="A213" s="144"/>
      <c r="B213" s="144"/>
      <c r="C213" s="158"/>
      <c r="D213" s="158"/>
      <c r="E213" s="144"/>
      <c r="F213" s="158"/>
      <c r="G213" s="158"/>
      <c r="H213" s="144"/>
      <c r="I213" s="158"/>
      <c r="J213" s="158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</row>
    <row r="214" spans="1:23" ht="19.5" customHeight="1" x14ac:dyDescent="0.25">
      <c r="A214" s="144"/>
      <c r="B214" s="144"/>
      <c r="C214" s="158"/>
      <c r="D214" s="158"/>
      <c r="E214" s="144"/>
      <c r="F214" s="158"/>
      <c r="G214" s="158"/>
      <c r="H214" s="144"/>
      <c r="I214" s="158"/>
      <c r="J214" s="158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</row>
    <row r="215" spans="1:23" ht="19.5" customHeight="1" x14ac:dyDescent="0.25">
      <c r="A215" s="144"/>
      <c r="B215" s="144"/>
      <c r="C215" s="158"/>
      <c r="D215" s="158"/>
      <c r="E215" s="144"/>
      <c r="F215" s="158"/>
      <c r="G215" s="158"/>
      <c r="H215" s="144"/>
      <c r="I215" s="158"/>
      <c r="J215" s="158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</row>
    <row r="216" spans="1:23" ht="19.5" customHeight="1" x14ac:dyDescent="0.25">
      <c r="A216" s="144"/>
      <c r="B216" s="144"/>
      <c r="C216" s="158"/>
      <c r="D216" s="158"/>
      <c r="E216" s="144"/>
      <c r="F216" s="158"/>
      <c r="G216" s="158"/>
      <c r="H216" s="144"/>
      <c r="I216" s="158"/>
      <c r="J216" s="158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</row>
    <row r="217" spans="1:23" ht="19.5" customHeight="1" x14ac:dyDescent="0.25">
      <c r="A217" s="144"/>
      <c r="B217" s="144"/>
      <c r="C217" s="158"/>
      <c r="D217" s="158"/>
      <c r="E217" s="144"/>
      <c r="F217" s="158"/>
      <c r="G217" s="158"/>
      <c r="H217" s="144"/>
      <c r="I217" s="158"/>
      <c r="J217" s="158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</row>
    <row r="218" spans="1:23" ht="19.5" customHeight="1" x14ac:dyDescent="0.25">
      <c r="A218" s="144"/>
      <c r="B218" s="144"/>
      <c r="C218" s="158"/>
      <c r="D218" s="158"/>
      <c r="E218" s="144"/>
      <c r="F218" s="158"/>
      <c r="G218" s="158"/>
      <c r="H218" s="144"/>
      <c r="I218" s="158"/>
      <c r="J218" s="158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</row>
    <row r="219" spans="1:23" ht="19.5" customHeight="1" x14ac:dyDescent="0.25">
      <c r="A219" s="144"/>
      <c r="B219" s="144"/>
      <c r="C219" s="158"/>
      <c r="D219" s="158"/>
      <c r="E219" s="144"/>
      <c r="F219" s="158"/>
      <c r="G219" s="158"/>
      <c r="H219" s="144"/>
      <c r="I219" s="158"/>
      <c r="J219" s="158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</row>
    <row r="220" spans="1:23" ht="19.5" customHeight="1" x14ac:dyDescent="0.25">
      <c r="A220" s="144"/>
      <c r="B220" s="144"/>
      <c r="C220" s="158"/>
      <c r="D220" s="158"/>
      <c r="E220" s="144"/>
      <c r="F220" s="158"/>
      <c r="G220" s="158"/>
      <c r="H220" s="144"/>
      <c r="I220" s="158"/>
      <c r="J220" s="158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</row>
    <row r="221" spans="1:23" ht="19.5" customHeight="1" x14ac:dyDescent="0.25">
      <c r="A221" s="144"/>
      <c r="B221" s="144"/>
      <c r="C221" s="158"/>
      <c r="D221" s="158"/>
      <c r="E221" s="144"/>
      <c r="F221" s="158"/>
      <c r="G221" s="158"/>
      <c r="H221" s="144"/>
      <c r="I221" s="158"/>
      <c r="J221" s="158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</row>
    <row r="222" spans="1:23" ht="19.5" customHeight="1" x14ac:dyDescent="0.25">
      <c r="A222" s="144"/>
      <c r="B222" s="144"/>
      <c r="C222" s="158"/>
      <c r="D222" s="158"/>
      <c r="E222" s="144"/>
      <c r="F222" s="158"/>
      <c r="G222" s="158"/>
      <c r="H222" s="144"/>
      <c r="I222" s="158"/>
      <c r="J222" s="158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</row>
    <row r="223" spans="1:23" ht="19.5" customHeight="1" x14ac:dyDescent="0.25">
      <c r="A223" s="144"/>
      <c r="B223" s="144"/>
      <c r="C223" s="158"/>
      <c r="D223" s="158"/>
      <c r="E223" s="144"/>
      <c r="F223" s="158"/>
      <c r="G223" s="158"/>
      <c r="H223" s="144"/>
      <c r="I223" s="158"/>
      <c r="J223" s="158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</row>
    <row r="224" spans="1:23" ht="19.5" customHeight="1" x14ac:dyDescent="0.25">
      <c r="A224" s="144"/>
      <c r="B224" s="144"/>
      <c r="C224" s="158"/>
      <c r="D224" s="158"/>
      <c r="E224" s="144"/>
      <c r="F224" s="158"/>
      <c r="G224" s="158"/>
      <c r="H224" s="144"/>
      <c r="I224" s="158"/>
      <c r="J224" s="158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</row>
    <row r="225" spans="1:23" ht="19.5" customHeight="1" x14ac:dyDescent="0.25">
      <c r="A225" s="144"/>
      <c r="B225" s="144"/>
      <c r="C225" s="158"/>
      <c r="D225" s="158"/>
      <c r="E225" s="144"/>
      <c r="F225" s="158"/>
      <c r="G225" s="158"/>
      <c r="H225" s="144"/>
      <c r="I225" s="158"/>
      <c r="J225" s="158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</row>
    <row r="226" spans="1:23" ht="19.5" customHeight="1" x14ac:dyDescent="0.25">
      <c r="A226" s="144"/>
      <c r="B226" s="144"/>
      <c r="C226" s="158"/>
      <c r="D226" s="158"/>
      <c r="E226" s="144"/>
      <c r="F226" s="158"/>
      <c r="G226" s="158"/>
      <c r="H226" s="144"/>
      <c r="I226" s="158"/>
      <c r="J226" s="158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</row>
    <row r="227" spans="1:23" ht="19.5" customHeight="1" x14ac:dyDescent="0.25">
      <c r="A227" s="144"/>
      <c r="B227" s="144"/>
      <c r="C227" s="158"/>
      <c r="D227" s="158"/>
      <c r="E227" s="144"/>
      <c r="F227" s="158"/>
      <c r="G227" s="158"/>
      <c r="H227" s="144"/>
      <c r="I227" s="158"/>
      <c r="J227" s="158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</row>
    <row r="228" spans="1:23" ht="19.5" customHeight="1" x14ac:dyDescent="0.25">
      <c r="A228" s="144"/>
      <c r="B228" s="144"/>
      <c r="C228" s="158"/>
      <c r="D228" s="158"/>
      <c r="E228" s="144"/>
      <c r="F228" s="158"/>
      <c r="G228" s="158"/>
      <c r="H228" s="144"/>
      <c r="I228" s="158"/>
      <c r="J228" s="158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</row>
    <row r="229" spans="1:23" ht="19.5" customHeight="1" x14ac:dyDescent="0.25">
      <c r="A229" s="144"/>
      <c r="B229" s="144"/>
      <c r="C229" s="158"/>
      <c r="D229" s="158"/>
      <c r="E229" s="144"/>
      <c r="F229" s="158"/>
      <c r="G229" s="158"/>
      <c r="H229" s="144"/>
      <c r="I229" s="158"/>
      <c r="J229" s="158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</row>
    <row r="230" spans="1:23" ht="19.5" customHeight="1" x14ac:dyDescent="0.25">
      <c r="A230" s="144"/>
      <c r="B230" s="144"/>
      <c r="C230" s="158"/>
      <c r="D230" s="158"/>
      <c r="E230" s="144"/>
      <c r="F230" s="158"/>
      <c r="G230" s="158"/>
      <c r="H230" s="144"/>
      <c r="I230" s="158"/>
      <c r="J230" s="158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</row>
    <row r="231" spans="1:23" ht="19.5" customHeight="1" x14ac:dyDescent="0.25">
      <c r="A231" s="144"/>
      <c r="B231" s="144"/>
      <c r="C231" s="158"/>
      <c r="D231" s="158"/>
      <c r="E231" s="144"/>
      <c r="F231" s="158"/>
      <c r="G231" s="158"/>
      <c r="H231" s="144"/>
      <c r="I231" s="158"/>
      <c r="J231" s="158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</row>
    <row r="232" spans="1:23" ht="19.5" customHeight="1" x14ac:dyDescent="0.25">
      <c r="A232" s="144"/>
      <c r="B232" s="144"/>
      <c r="C232" s="158"/>
      <c r="D232" s="158"/>
      <c r="E232" s="144"/>
      <c r="F232" s="158"/>
      <c r="G232" s="158"/>
      <c r="H232" s="144"/>
      <c r="I232" s="158"/>
      <c r="J232" s="158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</row>
    <row r="233" spans="1:23" ht="19.5" customHeight="1" x14ac:dyDescent="0.25">
      <c r="A233" s="144"/>
      <c r="B233" s="144"/>
      <c r="C233" s="158"/>
      <c r="D233" s="158"/>
      <c r="E233" s="144"/>
      <c r="F233" s="158"/>
      <c r="G233" s="158"/>
      <c r="H233" s="144"/>
      <c r="I233" s="158"/>
      <c r="J233" s="158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</row>
    <row r="234" spans="1:23" ht="19.5" customHeight="1" x14ac:dyDescent="0.25">
      <c r="A234" s="144"/>
      <c r="B234" s="144"/>
      <c r="C234" s="158"/>
      <c r="D234" s="158"/>
      <c r="E234" s="144"/>
      <c r="F234" s="158"/>
      <c r="G234" s="158"/>
      <c r="H234" s="144"/>
      <c r="I234" s="158"/>
      <c r="J234" s="158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</row>
    <row r="235" spans="1:23" ht="19.5" customHeight="1" x14ac:dyDescent="0.25">
      <c r="A235" s="144"/>
      <c r="B235" s="144"/>
      <c r="C235" s="158"/>
      <c r="D235" s="158"/>
      <c r="E235" s="144"/>
      <c r="F235" s="158"/>
      <c r="G235" s="158"/>
      <c r="H235" s="144"/>
      <c r="I235" s="158"/>
      <c r="J235" s="158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</row>
    <row r="236" spans="1:23" ht="19.5" customHeight="1" x14ac:dyDescent="0.25">
      <c r="A236" s="144"/>
      <c r="B236" s="144"/>
      <c r="C236" s="158"/>
      <c r="D236" s="158"/>
      <c r="E236" s="144"/>
      <c r="F236" s="158"/>
      <c r="G236" s="158"/>
      <c r="H236" s="144"/>
      <c r="I236" s="158"/>
      <c r="J236" s="158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</row>
    <row r="237" spans="1:23" ht="19.5" customHeight="1" x14ac:dyDescent="0.25">
      <c r="A237" s="144"/>
      <c r="B237" s="144"/>
      <c r="C237" s="158"/>
      <c r="D237" s="158"/>
      <c r="E237" s="144"/>
      <c r="F237" s="158"/>
      <c r="G237" s="158"/>
      <c r="H237" s="144"/>
      <c r="I237" s="158"/>
      <c r="J237" s="158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</row>
    <row r="238" spans="1:23" ht="19.5" customHeight="1" x14ac:dyDescent="0.25">
      <c r="A238" s="144"/>
      <c r="B238" s="144"/>
      <c r="C238" s="158"/>
      <c r="D238" s="158"/>
      <c r="E238" s="144"/>
      <c r="F238" s="158"/>
      <c r="G238" s="158"/>
      <c r="H238" s="144"/>
      <c r="I238" s="158"/>
      <c r="J238" s="158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</row>
    <row r="239" spans="1:23" ht="19.5" customHeight="1" x14ac:dyDescent="0.25">
      <c r="A239" s="144"/>
      <c r="B239" s="144"/>
      <c r="C239" s="158"/>
      <c r="D239" s="158"/>
      <c r="E239" s="144"/>
      <c r="F239" s="158"/>
      <c r="G239" s="158"/>
      <c r="H239" s="144"/>
      <c r="I239" s="158"/>
      <c r="J239" s="158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</row>
    <row r="240" spans="1:23" ht="19.5" customHeight="1" x14ac:dyDescent="0.25">
      <c r="A240" s="144"/>
      <c r="B240" s="144"/>
      <c r="C240" s="158"/>
      <c r="D240" s="158"/>
      <c r="E240" s="144"/>
      <c r="F240" s="158"/>
      <c r="G240" s="158"/>
      <c r="H240" s="144"/>
      <c r="I240" s="158"/>
      <c r="J240" s="158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</row>
    <row r="241" spans="1:23" ht="19.5" customHeight="1" x14ac:dyDescent="0.25">
      <c r="A241" s="144"/>
      <c r="B241" s="144"/>
      <c r="C241" s="158"/>
      <c r="D241" s="158"/>
      <c r="E241" s="144"/>
      <c r="F241" s="158"/>
      <c r="G241" s="158"/>
      <c r="H241" s="144"/>
      <c r="I241" s="158"/>
      <c r="J241" s="158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</row>
    <row r="242" spans="1:23" ht="19.5" customHeight="1" x14ac:dyDescent="0.25">
      <c r="A242" s="144"/>
      <c r="B242" s="144"/>
      <c r="C242" s="158"/>
      <c r="D242" s="158"/>
      <c r="E242" s="144"/>
      <c r="F242" s="158"/>
      <c r="G242" s="158"/>
      <c r="H242" s="144"/>
      <c r="I242" s="158"/>
      <c r="J242" s="158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</row>
    <row r="243" spans="1:23" ht="19.5" customHeight="1" x14ac:dyDescent="0.25">
      <c r="A243" s="144"/>
      <c r="B243" s="144"/>
      <c r="C243" s="158"/>
      <c r="D243" s="158"/>
      <c r="E243" s="144"/>
      <c r="F243" s="158"/>
      <c r="G243" s="158"/>
      <c r="H243" s="144"/>
      <c r="I243" s="158"/>
      <c r="J243" s="158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</row>
    <row r="244" spans="1:23" ht="19.5" customHeight="1" x14ac:dyDescent="0.25">
      <c r="A244" s="144"/>
      <c r="B244" s="144"/>
      <c r="C244" s="158"/>
      <c r="D244" s="158"/>
      <c r="E244" s="144"/>
      <c r="F244" s="158"/>
      <c r="G244" s="158"/>
      <c r="H244" s="144"/>
      <c r="I244" s="158"/>
      <c r="J244" s="158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</row>
    <row r="245" spans="1:23" ht="19.5" customHeight="1" x14ac:dyDescent="0.25">
      <c r="A245" s="144"/>
      <c r="B245" s="144"/>
      <c r="C245" s="158"/>
      <c r="D245" s="158"/>
      <c r="E245" s="144"/>
      <c r="F245" s="158"/>
      <c r="G245" s="158"/>
      <c r="H245" s="144"/>
      <c r="I245" s="158"/>
      <c r="J245" s="158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</row>
    <row r="246" spans="1:23" ht="19.5" customHeight="1" x14ac:dyDescent="0.25">
      <c r="A246" s="144"/>
      <c r="B246" s="144"/>
      <c r="C246" s="158"/>
      <c r="D246" s="158"/>
      <c r="E246" s="144"/>
      <c r="F246" s="158"/>
      <c r="G246" s="158"/>
      <c r="H246" s="144"/>
      <c r="I246" s="158"/>
      <c r="J246" s="158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</row>
    <row r="247" spans="1:23" ht="19.5" customHeight="1" x14ac:dyDescent="0.25">
      <c r="A247" s="144"/>
      <c r="B247" s="144"/>
      <c r="C247" s="158"/>
      <c r="D247" s="158"/>
      <c r="E247" s="144"/>
      <c r="F247" s="158"/>
      <c r="G247" s="158"/>
      <c r="H247" s="144"/>
      <c r="I247" s="158"/>
      <c r="J247" s="158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</row>
    <row r="248" spans="1:23" ht="19.5" customHeight="1" x14ac:dyDescent="0.25">
      <c r="A248" s="144"/>
      <c r="B248" s="144"/>
      <c r="C248" s="158"/>
      <c r="D248" s="158"/>
      <c r="E248" s="144"/>
      <c r="F248" s="158"/>
      <c r="G248" s="158"/>
      <c r="H248" s="144"/>
      <c r="I248" s="158"/>
      <c r="J248" s="158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</row>
    <row r="249" spans="1:23" ht="19.5" customHeight="1" x14ac:dyDescent="0.25">
      <c r="A249" s="144"/>
      <c r="B249" s="144"/>
      <c r="C249" s="158"/>
      <c r="D249" s="158"/>
      <c r="E249" s="144"/>
      <c r="F249" s="158"/>
      <c r="G249" s="158"/>
      <c r="H249" s="144"/>
      <c r="I249" s="158"/>
      <c r="J249" s="158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</row>
    <row r="250" spans="1:23" ht="19.5" customHeight="1" x14ac:dyDescent="0.25">
      <c r="A250" s="144"/>
      <c r="B250" s="144"/>
      <c r="C250" s="158"/>
      <c r="D250" s="158"/>
      <c r="E250" s="144"/>
      <c r="F250" s="158"/>
      <c r="G250" s="158"/>
      <c r="H250" s="144"/>
      <c r="I250" s="158"/>
      <c r="J250" s="158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</row>
    <row r="251" spans="1:23" ht="19.5" customHeight="1" x14ac:dyDescent="0.25">
      <c r="A251" s="144"/>
      <c r="B251" s="144"/>
      <c r="C251" s="158"/>
      <c r="D251" s="158"/>
      <c r="E251" s="144"/>
      <c r="F251" s="158"/>
      <c r="G251" s="158"/>
      <c r="H251" s="144"/>
      <c r="I251" s="158"/>
      <c r="J251" s="158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</row>
    <row r="252" spans="1:23" ht="19.5" customHeight="1" x14ac:dyDescent="0.25">
      <c r="A252" s="144"/>
      <c r="B252" s="144"/>
      <c r="C252" s="158"/>
      <c r="D252" s="158"/>
      <c r="E252" s="144"/>
      <c r="F252" s="158"/>
      <c r="G252" s="158"/>
      <c r="H252" s="144"/>
      <c r="I252" s="158"/>
      <c r="J252" s="158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</row>
    <row r="253" spans="1:23" ht="19.5" customHeight="1" x14ac:dyDescent="0.25">
      <c r="A253" s="144"/>
      <c r="B253" s="144"/>
      <c r="C253" s="158"/>
      <c r="D253" s="158"/>
      <c r="E253" s="144"/>
      <c r="F253" s="158"/>
      <c r="G253" s="158"/>
      <c r="H253" s="144"/>
      <c r="I253" s="158"/>
      <c r="J253" s="158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</row>
    <row r="254" spans="1:23" ht="19.5" customHeight="1" x14ac:dyDescent="0.25">
      <c r="A254" s="144"/>
      <c r="B254" s="144"/>
      <c r="C254" s="158"/>
      <c r="D254" s="158"/>
      <c r="E254" s="144"/>
      <c r="F254" s="158"/>
      <c r="G254" s="158"/>
      <c r="H254" s="144"/>
      <c r="I254" s="158"/>
      <c r="J254" s="158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</row>
    <row r="255" spans="1:23" ht="19.5" customHeight="1" x14ac:dyDescent="0.25">
      <c r="A255" s="144"/>
      <c r="B255" s="144"/>
      <c r="C255" s="158"/>
      <c r="D255" s="158"/>
      <c r="E255" s="144"/>
      <c r="F255" s="158"/>
      <c r="G255" s="158"/>
      <c r="H255" s="144"/>
      <c r="I255" s="158"/>
      <c r="J255" s="158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</row>
    <row r="256" spans="1:23" ht="19.5" customHeight="1" x14ac:dyDescent="0.25">
      <c r="A256" s="144"/>
      <c r="B256" s="144"/>
      <c r="C256" s="158"/>
      <c r="D256" s="158"/>
      <c r="E256" s="144"/>
      <c r="F256" s="158"/>
      <c r="G256" s="158"/>
      <c r="H256" s="144"/>
      <c r="I256" s="158"/>
      <c r="J256" s="158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</row>
    <row r="257" spans="1:23" ht="19.5" customHeight="1" x14ac:dyDescent="0.25">
      <c r="A257" s="144"/>
      <c r="B257" s="144"/>
      <c r="C257" s="158"/>
      <c r="D257" s="158"/>
      <c r="E257" s="144"/>
      <c r="F257" s="158"/>
      <c r="G257" s="158"/>
      <c r="H257" s="144"/>
      <c r="I257" s="158"/>
      <c r="J257" s="158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</row>
    <row r="258" spans="1:23" ht="19.5" customHeight="1" x14ac:dyDescent="0.25">
      <c r="A258" s="144"/>
      <c r="B258" s="144"/>
      <c r="C258" s="158"/>
      <c r="D258" s="158"/>
      <c r="E258" s="144"/>
      <c r="F258" s="158"/>
      <c r="G258" s="158"/>
      <c r="H258" s="144"/>
      <c r="I258" s="158"/>
      <c r="J258" s="158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</row>
    <row r="259" spans="1:23" ht="19.5" customHeight="1" x14ac:dyDescent="0.25">
      <c r="A259" s="144"/>
      <c r="B259" s="144"/>
      <c r="C259" s="158"/>
      <c r="D259" s="158"/>
      <c r="E259" s="144"/>
      <c r="F259" s="158"/>
      <c r="G259" s="158"/>
      <c r="H259" s="144"/>
      <c r="I259" s="158"/>
      <c r="J259" s="158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</row>
    <row r="260" spans="1:23" ht="19.5" customHeight="1" x14ac:dyDescent="0.25">
      <c r="A260" s="144"/>
      <c r="B260" s="144"/>
      <c r="C260" s="158"/>
      <c r="D260" s="158"/>
      <c r="E260" s="144"/>
      <c r="F260" s="158"/>
      <c r="G260" s="158"/>
      <c r="H260" s="144"/>
      <c r="I260" s="158"/>
      <c r="J260" s="158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</row>
    <row r="261" spans="1:23" ht="19.5" customHeight="1" x14ac:dyDescent="0.25">
      <c r="A261" s="144"/>
      <c r="B261" s="144"/>
      <c r="C261" s="158"/>
      <c r="D261" s="158"/>
      <c r="E261" s="144"/>
      <c r="F261" s="158"/>
      <c r="G261" s="158"/>
      <c r="H261" s="144"/>
      <c r="I261" s="158"/>
      <c r="J261" s="158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</row>
    <row r="262" spans="1:23" ht="19.5" customHeight="1" x14ac:dyDescent="0.25">
      <c r="A262" s="144"/>
      <c r="B262" s="144"/>
      <c r="C262" s="158"/>
      <c r="D262" s="158"/>
      <c r="E262" s="144"/>
      <c r="F262" s="158"/>
      <c r="G262" s="158"/>
      <c r="H262" s="144"/>
      <c r="I262" s="158"/>
      <c r="J262" s="158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</row>
    <row r="263" spans="1:23" ht="19.5" customHeight="1" x14ac:dyDescent="0.25">
      <c r="A263" s="144"/>
      <c r="B263" s="144"/>
      <c r="C263" s="158"/>
      <c r="D263" s="158"/>
      <c r="E263" s="144"/>
      <c r="F263" s="158"/>
      <c r="G263" s="158"/>
      <c r="H263" s="144"/>
      <c r="I263" s="158"/>
      <c r="J263" s="158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</row>
    <row r="264" spans="1:23" ht="19.5" customHeight="1" x14ac:dyDescent="0.25">
      <c r="A264" s="144"/>
      <c r="B264" s="144"/>
      <c r="C264" s="158"/>
      <c r="D264" s="158"/>
      <c r="E264" s="144"/>
      <c r="F264" s="158"/>
      <c r="G264" s="158"/>
      <c r="H264" s="144"/>
      <c r="I264" s="158"/>
      <c r="J264" s="158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</row>
    <row r="265" spans="1:23" ht="19.5" customHeight="1" x14ac:dyDescent="0.25">
      <c r="A265" s="144"/>
      <c r="B265" s="144"/>
      <c r="C265" s="158"/>
      <c r="D265" s="158"/>
      <c r="E265" s="144"/>
      <c r="F265" s="158"/>
      <c r="G265" s="158"/>
      <c r="H265" s="144"/>
      <c r="I265" s="158"/>
      <c r="J265" s="158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</row>
    <row r="266" spans="1:23" ht="19.5" customHeight="1" x14ac:dyDescent="0.25">
      <c r="A266" s="144"/>
      <c r="B266" s="144"/>
      <c r="C266" s="158"/>
      <c r="D266" s="158"/>
      <c r="E266" s="144"/>
      <c r="F266" s="158"/>
      <c r="G266" s="158"/>
      <c r="H266" s="144"/>
      <c r="I266" s="158"/>
      <c r="J266" s="158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</row>
    <row r="267" spans="1:23" ht="19.5" customHeight="1" x14ac:dyDescent="0.25">
      <c r="A267" s="144"/>
      <c r="B267" s="144"/>
      <c r="C267" s="158"/>
      <c r="D267" s="158"/>
      <c r="E267" s="144"/>
      <c r="F267" s="158"/>
      <c r="G267" s="158"/>
      <c r="H267" s="144"/>
      <c r="I267" s="158"/>
      <c r="J267" s="158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</row>
    <row r="268" spans="1:23" ht="19.5" customHeight="1" x14ac:dyDescent="0.25">
      <c r="A268" s="144"/>
      <c r="B268" s="144"/>
      <c r="C268" s="158"/>
      <c r="D268" s="158"/>
      <c r="E268" s="144"/>
      <c r="F268" s="158"/>
      <c r="G268" s="158"/>
      <c r="H268" s="144"/>
      <c r="I268" s="158"/>
      <c r="J268" s="158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</row>
    <row r="269" spans="1:23" ht="19.5" customHeight="1" x14ac:dyDescent="0.25">
      <c r="A269" s="144"/>
      <c r="B269" s="144"/>
      <c r="C269" s="158"/>
      <c r="D269" s="158"/>
      <c r="E269" s="144"/>
      <c r="F269" s="158"/>
      <c r="G269" s="158"/>
      <c r="H269" s="144"/>
      <c r="I269" s="158"/>
      <c r="J269" s="158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</row>
    <row r="270" spans="1:23" ht="19.5" customHeight="1" x14ac:dyDescent="0.25">
      <c r="A270" s="144"/>
      <c r="B270" s="144"/>
      <c r="C270" s="158"/>
      <c r="D270" s="158"/>
      <c r="E270" s="144"/>
      <c r="F270" s="158"/>
      <c r="G270" s="158"/>
      <c r="H270" s="144"/>
      <c r="I270" s="158"/>
      <c r="J270" s="158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</row>
    <row r="271" spans="1:23" ht="19.5" customHeight="1" x14ac:dyDescent="0.25">
      <c r="A271" s="144"/>
      <c r="B271" s="144"/>
      <c r="C271" s="158"/>
      <c r="D271" s="158"/>
      <c r="E271" s="144"/>
      <c r="F271" s="158"/>
      <c r="G271" s="158"/>
      <c r="H271" s="144"/>
      <c r="I271" s="158"/>
      <c r="J271" s="158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</row>
    <row r="272" spans="1:23" ht="19.5" customHeight="1" x14ac:dyDescent="0.25">
      <c r="A272" s="144"/>
      <c r="B272" s="144"/>
      <c r="C272" s="158"/>
      <c r="D272" s="158"/>
      <c r="E272" s="144"/>
      <c r="F272" s="158"/>
      <c r="G272" s="158"/>
      <c r="H272" s="144"/>
      <c r="I272" s="158"/>
      <c r="J272" s="158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</row>
    <row r="273" spans="1:23" ht="19.5" customHeight="1" x14ac:dyDescent="0.25">
      <c r="A273" s="144"/>
      <c r="B273" s="144"/>
      <c r="C273" s="158"/>
      <c r="D273" s="158"/>
      <c r="E273" s="144"/>
      <c r="F273" s="158"/>
      <c r="G273" s="158"/>
      <c r="H273" s="144"/>
      <c r="I273" s="158"/>
      <c r="J273" s="158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</row>
    <row r="274" spans="1:23" ht="19.5" customHeight="1" x14ac:dyDescent="0.25">
      <c r="A274" s="144"/>
      <c r="B274" s="144"/>
      <c r="C274" s="158"/>
      <c r="D274" s="158"/>
      <c r="E274" s="144"/>
      <c r="F274" s="158"/>
      <c r="G274" s="158"/>
      <c r="H274" s="144"/>
      <c r="I274" s="158"/>
      <c r="J274" s="158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</row>
    <row r="275" spans="1:23" ht="19.5" customHeight="1" x14ac:dyDescent="0.25">
      <c r="A275" s="144"/>
      <c r="B275" s="144"/>
      <c r="C275" s="158"/>
      <c r="D275" s="158"/>
      <c r="E275" s="144"/>
      <c r="F275" s="158"/>
      <c r="G275" s="158"/>
      <c r="H275" s="144"/>
      <c r="I275" s="158"/>
      <c r="J275" s="158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</row>
    <row r="276" spans="1:23" ht="19.5" customHeight="1" x14ac:dyDescent="0.25">
      <c r="A276" s="144"/>
      <c r="B276" s="144"/>
      <c r="C276" s="158"/>
      <c r="D276" s="158"/>
      <c r="E276" s="144"/>
      <c r="F276" s="158"/>
      <c r="G276" s="158"/>
      <c r="H276" s="144"/>
      <c r="I276" s="158"/>
      <c r="J276" s="158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</row>
    <row r="277" spans="1:23" ht="19.5" customHeight="1" x14ac:dyDescent="0.25">
      <c r="A277" s="144"/>
      <c r="B277" s="144"/>
      <c r="C277" s="158"/>
      <c r="D277" s="158"/>
      <c r="E277" s="144"/>
      <c r="F277" s="158"/>
      <c r="G277" s="158"/>
      <c r="H277" s="144"/>
      <c r="I277" s="158"/>
      <c r="J277" s="158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</row>
    <row r="278" spans="1:23" ht="19.5" customHeight="1" x14ac:dyDescent="0.25">
      <c r="A278" s="144"/>
      <c r="B278" s="144"/>
      <c r="C278" s="158"/>
      <c r="D278" s="158"/>
      <c r="E278" s="144"/>
      <c r="F278" s="158"/>
      <c r="G278" s="158"/>
      <c r="H278" s="144"/>
      <c r="I278" s="158"/>
      <c r="J278" s="158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</row>
    <row r="279" spans="1:23" ht="19.5" customHeight="1" x14ac:dyDescent="0.25">
      <c r="A279" s="144"/>
      <c r="B279" s="144"/>
      <c r="C279" s="158"/>
      <c r="D279" s="158"/>
      <c r="E279" s="144"/>
      <c r="F279" s="158"/>
      <c r="G279" s="158"/>
      <c r="H279" s="144"/>
      <c r="I279" s="158"/>
      <c r="J279" s="158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</row>
    <row r="280" spans="1:23" ht="19.5" customHeight="1" x14ac:dyDescent="0.25">
      <c r="A280" s="144"/>
      <c r="B280" s="144"/>
      <c r="C280" s="158"/>
      <c r="D280" s="158"/>
      <c r="E280" s="144"/>
      <c r="F280" s="158"/>
      <c r="G280" s="158"/>
      <c r="H280" s="144"/>
      <c r="I280" s="158"/>
      <c r="J280" s="158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</row>
    <row r="281" spans="1:23" ht="19.5" customHeight="1" x14ac:dyDescent="0.25">
      <c r="A281" s="144"/>
      <c r="B281" s="144"/>
      <c r="C281" s="158"/>
      <c r="D281" s="158"/>
      <c r="E281" s="144"/>
      <c r="F281" s="158"/>
      <c r="G281" s="158"/>
      <c r="H281" s="144"/>
      <c r="I281" s="158"/>
      <c r="J281" s="158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</row>
    <row r="282" spans="1:23" ht="19.5" customHeight="1" x14ac:dyDescent="0.25">
      <c r="A282" s="144"/>
      <c r="B282" s="144"/>
      <c r="C282" s="158"/>
      <c r="D282" s="158"/>
      <c r="E282" s="144"/>
      <c r="F282" s="158"/>
      <c r="G282" s="158"/>
      <c r="H282" s="144"/>
      <c r="I282" s="158"/>
      <c r="J282" s="158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</row>
    <row r="283" spans="1:23" ht="19.5" customHeight="1" x14ac:dyDescent="0.25">
      <c r="A283" s="144"/>
      <c r="B283" s="144"/>
      <c r="C283" s="158"/>
      <c r="D283" s="158"/>
      <c r="E283" s="144"/>
      <c r="F283" s="158"/>
      <c r="G283" s="158"/>
      <c r="H283" s="144"/>
      <c r="I283" s="158"/>
      <c r="J283" s="158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</row>
    <row r="284" spans="1:23" ht="19.5" customHeight="1" x14ac:dyDescent="0.25">
      <c r="A284" s="144"/>
      <c r="B284" s="144"/>
      <c r="C284" s="158"/>
      <c r="D284" s="158"/>
      <c r="E284" s="144"/>
      <c r="F284" s="158"/>
      <c r="G284" s="158"/>
      <c r="H284" s="144"/>
      <c r="I284" s="158"/>
      <c r="J284" s="158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</row>
    <row r="285" spans="1:23" ht="19.5" customHeight="1" x14ac:dyDescent="0.25">
      <c r="A285" s="144"/>
      <c r="B285" s="144"/>
      <c r="C285" s="158"/>
      <c r="D285" s="158"/>
      <c r="E285" s="144"/>
      <c r="F285" s="158"/>
      <c r="G285" s="158"/>
      <c r="H285" s="144"/>
      <c r="I285" s="158"/>
      <c r="J285" s="158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</row>
    <row r="286" spans="1:23" ht="19.5" customHeight="1" x14ac:dyDescent="0.25">
      <c r="A286" s="144"/>
      <c r="B286" s="144"/>
      <c r="C286" s="158"/>
      <c r="D286" s="158"/>
      <c r="E286" s="144"/>
      <c r="F286" s="158"/>
      <c r="G286" s="158"/>
      <c r="H286" s="144"/>
      <c r="I286" s="158"/>
      <c r="J286" s="158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</row>
    <row r="287" spans="1:23" ht="19.5" customHeight="1" x14ac:dyDescent="0.25">
      <c r="A287" s="144"/>
      <c r="B287" s="144"/>
      <c r="C287" s="158"/>
      <c r="D287" s="158"/>
      <c r="E287" s="144"/>
      <c r="F287" s="158"/>
      <c r="G287" s="158"/>
      <c r="H287" s="144"/>
      <c r="I287" s="158"/>
      <c r="J287" s="158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</row>
    <row r="288" spans="1:23" ht="19.5" customHeight="1" x14ac:dyDescent="0.25">
      <c r="A288" s="144"/>
      <c r="B288" s="144"/>
      <c r="C288" s="158"/>
      <c r="D288" s="158"/>
      <c r="E288" s="144"/>
      <c r="F288" s="158"/>
      <c r="G288" s="158"/>
      <c r="H288" s="144"/>
      <c r="I288" s="158"/>
      <c r="J288" s="158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</row>
    <row r="289" spans="1:23" ht="19.5" customHeight="1" x14ac:dyDescent="0.25">
      <c r="A289" s="144"/>
      <c r="B289" s="144"/>
      <c r="C289" s="158"/>
      <c r="D289" s="158"/>
      <c r="E289" s="144"/>
      <c r="F289" s="158"/>
      <c r="G289" s="158"/>
      <c r="H289" s="144"/>
      <c r="I289" s="158"/>
      <c r="J289" s="158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</row>
    <row r="290" spans="1:23" ht="19.5" customHeight="1" x14ac:dyDescent="0.25">
      <c r="A290" s="144"/>
      <c r="B290" s="144"/>
      <c r="C290" s="158"/>
      <c r="D290" s="158"/>
      <c r="E290" s="144"/>
      <c r="F290" s="158"/>
      <c r="G290" s="158"/>
      <c r="H290" s="144"/>
      <c r="I290" s="158"/>
      <c r="J290" s="158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</row>
    <row r="291" spans="1:23" ht="19.5" customHeight="1" x14ac:dyDescent="0.25">
      <c r="A291" s="144"/>
      <c r="B291" s="144"/>
      <c r="C291" s="158"/>
      <c r="D291" s="158"/>
      <c r="E291" s="144"/>
      <c r="F291" s="158"/>
      <c r="G291" s="158"/>
      <c r="H291" s="144"/>
      <c r="I291" s="158"/>
      <c r="J291" s="158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</row>
    <row r="292" spans="1:23" ht="19.5" customHeight="1" x14ac:dyDescent="0.25">
      <c r="A292" s="144"/>
      <c r="B292" s="144"/>
      <c r="C292" s="158"/>
      <c r="D292" s="158"/>
      <c r="E292" s="144"/>
      <c r="F292" s="158"/>
      <c r="G292" s="158"/>
      <c r="H292" s="144"/>
      <c r="I292" s="158"/>
      <c r="J292" s="158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</row>
    <row r="293" spans="1:23" ht="19.5" customHeight="1" x14ac:dyDescent="0.25">
      <c r="A293" s="144"/>
      <c r="B293" s="144"/>
      <c r="C293" s="158"/>
      <c r="D293" s="158"/>
      <c r="E293" s="144"/>
      <c r="F293" s="158"/>
      <c r="G293" s="158"/>
      <c r="H293" s="144"/>
      <c r="I293" s="158"/>
      <c r="J293" s="158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</row>
    <row r="294" spans="1:23" ht="19.5" customHeight="1" x14ac:dyDescent="0.25">
      <c r="A294" s="144"/>
      <c r="B294" s="144"/>
      <c r="C294" s="158"/>
      <c r="D294" s="158"/>
      <c r="E294" s="144"/>
      <c r="F294" s="158"/>
      <c r="G294" s="158"/>
      <c r="H294" s="144"/>
      <c r="I294" s="158"/>
      <c r="J294" s="158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</row>
    <row r="295" spans="1:23" ht="19.5" customHeight="1" x14ac:dyDescent="0.25">
      <c r="A295" s="144"/>
      <c r="B295" s="144"/>
      <c r="C295" s="158"/>
      <c r="D295" s="158"/>
      <c r="E295" s="144"/>
      <c r="F295" s="158"/>
      <c r="G295" s="158"/>
      <c r="H295" s="144"/>
      <c r="I295" s="158"/>
      <c r="J295" s="158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</row>
    <row r="296" spans="1:23" ht="19.5" customHeight="1" x14ac:dyDescent="0.25">
      <c r="A296" s="144"/>
      <c r="B296" s="144"/>
      <c r="C296" s="158"/>
      <c r="D296" s="158"/>
      <c r="E296" s="144"/>
      <c r="F296" s="158"/>
      <c r="G296" s="158"/>
      <c r="H296" s="144"/>
      <c r="I296" s="158"/>
      <c r="J296" s="158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</row>
    <row r="297" spans="1:23" ht="19.5" customHeight="1" x14ac:dyDescent="0.25">
      <c r="A297" s="144"/>
      <c r="B297" s="144"/>
      <c r="C297" s="158"/>
      <c r="D297" s="158"/>
      <c r="E297" s="144"/>
      <c r="F297" s="158"/>
      <c r="G297" s="158"/>
      <c r="H297" s="144"/>
      <c r="I297" s="158"/>
      <c r="J297" s="158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</row>
    <row r="298" spans="1:23" ht="19.5" customHeight="1" x14ac:dyDescent="0.25">
      <c r="A298" s="144"/>
      <c r="B298" s="144"/>
      <c r="C298" s="158"/>
      <c r="D298" s="158"/>
      <c r="E298" s="144"/>
      <c r="F298" s="158"/>
      <c r="G298" s="158"/>
      <c r="H298" s="144"/>
      <c r="I298" s="158"/>
      <c r="J298" s="158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</row>
    <row r="299" spans="1:23" ht="19.5" customHeight="1" x14ac:dyDescent="0.25">
      <c r="A299" s="144"/>
      <c r="B299" s="144"/>
      <c r="C299" s="158"/>
      <c r="D299" s="158"/>
      <c r="E299" s="144"/>
      <c r="F299" s="158"/>
      <c r="G299" s="158"/>
      <c r="H299" s="144"/>
      <c r="I299" s="158"/>
      <c r="J299" s="158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</row>
    <row r="300" spans="1:23" ht="19.5" customHeight="1" x14ac:dyDescent="0.25">
      <c r="A300" s="144"/>
      <c r="B300" s="144"/>
      <c r="C300" s="158"/>
      <c r="D300" s="158"/>
      <c r="E300" s="144"/>
      <c r="F300" s="158"/>
      <c r="G300" s="158"/>
      <c r="H300" s="144"/>
      <c r="I300" s="158"/>
      <c r="J300" s="158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</row>
    <row r="301" spans="1:23" ht="19.5" customHeight="1" x14ac:dyDescent="0.25">
      <c r="A301" s="144"/>
      <c r="B301" s="144"/>
      <c r="C301" s="158"/>
      <c r="D301" s="158"/>
      <c r="E301" s="144"/>
      <c r="F301" s="158"/>
      <c r="G301" s="158"/>
      <c r="H301" s="144"/>
      <c r="I301" s="158"/>
      <c r="J301" s="158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</row>
    <row r="302" spans="1:23" ht="19.5" customHeight="1" x14ac:dyDescent="0.25">
      <c r="A302" s="144"/>
      <c r="B302" s="144"/>
      <c r="C302" s="158"/>
      <c r="D302" s="158"/>
      <c r="E302" s="144"/>
      <c r="F302" s="158"/>
      <c r="G302" s="158"/>
      <c r="H302" s="144"/>
      <c r="I302" s="158"/>
      <c r="J302" s="158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</row>
    <row r="303" spans="1:23" ht="19.5" customHeight="1" x14ac:dyDescent="0.25">
      <c r="A303" s="144"/>
      <c r="B303" s="144"/>
      <c r="C303" s="158"/>
      <c r="D303" s="158"/>
      <c r="E303" s="144"/>
      <c r="F303" s="158"/>
      <c r="G303" s="158"/>
      <c r="H303" s="144"/>
      <c r="I303" s="158"/>
      <c r="J303" s="158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</row>
    <row r="304" spans="1:23" ht="19.5" customHeight="1" x14ac:dyDescent="0.25">
      <c r="A304" s="144"/>
      <c r="B304" s="144"/>
      <c r="C304" s="158"/>
      <c r="D304" s="158"/>
      <c r="E304" s="144"/>
      <c r="F304" s="158"/>
      <c r="G304" s="158"/>
      <c r="H304" s="144"/>
      <c r="I304" s="158"/>
      <c r="J304" s="158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</row>
    <row r="305" spans="1:23" ht="19.5" customHeight="1" x14ac:dyDescent="0.25">
      <c r="A305" s="144"/>
      <c r="B305" s="144"/>
      <c r="C305" s="158"/>
      <c r="D305" s="158"/>
      <c r="E305" s="144"/>
      <c r="F305" s="158"/>
      <c r="G305" s="158"/>
      <c r="H305" s="144"/>
      <c r="I305" s="158"/>
      <c r="J305" s="158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</row>
    <row r="306" spans="1:23" ht="19.5" customHeight="1" x14ac:dyDescent="0.25">
      <c r="A306" s="144"/>
      <c r="B306" s="144"/>
      <c r="C306" s="158"/>
      <c r="D306" s="158"/>
      <c r="E306" s="144"/>
      <c r="F306" s="158"/>
      <c r="G306" s="158"/>
      <c r="H306" s="144"/>
      <c r="I306" s="158"/>
      <c r="J306" s="158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</row>
    <row r="307" spans="1:23" ht="19.5" customHeight="1" x14ac:dyDescent="0.25">
      <c r="A307" s="144"/>
      <c r="B307" s="144"/>
      <c r="C307" s="158"/>
      <c r="D307" s="158"/>
      <c r="E307" s="144"/>
      <c r="F307" s="158"/>
      <c r="G307" s="158"/>
      <c r="H307" s="144"/>
      <c r="I307" s="158"/>
      <c r="J307" s="158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</row>
    <row r="308" spans="1:23" ht="19.5" customHeight="1" x14ac:dyDescent="0.25">
      <c r="A308" s="144"/>
      <c r="B308" s="144"/>
      <c r="C308" s="158"/>
      <c r="D308" s="158"/>
      <c r="E308" s="144"/>
      <c r="F308" s="158"/>
      <c r="G308" s="158"/>
      <c r="H308" s="144"/>
      <c r="I308" s="158"/>
      <c r="J308" s="158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</row>
    <row r="309" spans="1:23" ht="19.5" customHeight="1" x14ac:dyDescent="0.25">
      <c r="A309" s="144"/>
      <c r="B309" s="144"/>
      <c r="C309" s="158"/>
      <c r="D309" s="158"/>
      <c r="E309" s="144"/>
      <c r="F309" s="158"/>
      <c r="G309" s="158"/>
      <c r="H309" s="144"/>
      <c r="I309" s="158"/>
      <c r="J309" s="158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</row>
    <row r="310" spans="1:23" ht="19.5" customHeight="1" x14ac:dyDescent="0.25">
      <c r="A310" s="144"/>
      <c r="B310" s="144"/>
      <c r="C310" s="158"/>
      <c r="D310" s="158"/>
      <c r="E310" s="144"/>
      <c r="F310" s="158"/>
      <c r="G310" s="158"/>
      <c r="H310" s="144"/>
      <c r="I310" s="158"/>
      <c r="J310" s="158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</row>
    <row r="311" spans="1:23" ht="19.5" customHeight="1" x14ac:dyDescent="0.25">
      <c r="A311" s="144"/>
      <c r="B311" s="144"/>
      <c r="C311" s="158"/>
      <c r="D311" s="158"/>
      <c r="E311" s="144"/>
      <c r="F311" s="158"/>
      <c r="G311" s="158"/>
      <c r="H311" s="144"/>
      <c r="I311" s="158"/>
      <c r="J311" s="158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</row>
    <row r="312" spans="1:23" ht="19.5" customHeight="1" x14ac:dyDescent="0.25">
      <c r="A312" s="144"/>
      <c r="B312" s="144"/>
      <c r="C312" s="158"/>
      <c r="D312" s="158"/>
      <c r="E312" s="144"/>
      <c r="F312" s="158"/>
      <c r="G312" s="158"/>
      <c r="H312" s="144"/>
      <c r="I312" s="158"/>
      <c r="J312" s="158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</row>
    <row r="313" spans="1:23" ht="19.5" customHeight="1" x14ac:dyDescent="0.25">
      <c r="A313" s="144"/>
      <c r="B313" s="144"/>
      <c r="C313" s="158"/>
      <c r="D313" s="158"/>
      <c r="E313" s="144"/>
      <c r="F313" s="158"/>
      <c r="G313" s="158"/>
      <c r="H313" s="144"/>
      <c r="I313" s="158"/>
      <c r="J313" s="158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</row>
    <row r="314" spans="1:23" ht="19.5" customHeight="1" x14ac:dyDescent="0.25">
      <c r="A314" s="144"/>
      <c r="B314" s="144"/>
      <c r="C314" s="158"/>
      <c r="D314" s="158"/>
      <c r="E314" s="144"/>
      <c r="F314" s="158"/>
      <c r="G314" s="158"/>
      <c r="H314" s="144"/>
      <c r="I314" s="158"/>
      <c r="J314" s="158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</row>
    <row r="315" spans="1:23" ht="19.5" customHeight="1" x14ac:dyDescent="0.25">
      <c r="A315" s="144"/>
      <c r="B315" s="144"/>
      <c r="C315" s="158"/>
      <c r="D315" s="158"/>
      <c r="E315" s="144"/>
      <c r="F315" s="158"/>
      <c r="G315" s="158"/>
      <c r="H315" s="144"/>
      <c r="I315" s="158"/>
      <c r="J315" s="158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</row>
    <row r="316" spans="1:23" ht="19.5" customHeight="1" x14ac:dyDescent="0.25">
      <c r="A316" s="144"/>
      <c r="B316" s="144"/>
      <c r="C316" s="158"/>
      <c r="D316" s="158"/>
      <c r="E316" s="144"/>
      <c r="F316" s="158"/>
      <c r="G316" s="158"/>
      <c r="H316" s="144"/>
      <c r="I316" s="158"/>
      <c r="J316" s="158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</row>
    <row r="317" spans="1:23" ht="19.5" customHeight="1" x14ac:dyDescent="0.25">
      <c r="A317" s="144"/>
      <c r="B317" s="144"/>
      <c r="C317" s="158"/>
      <c r="D317" s="158"/>
      <c r="E317" s="144"/>
      <c r="F317" s="158"/>
      <c r="G317" s="158"/>
      <c r="H317" s="144"/>
      <c r="I317" s="158"/>
      <c r="J317" s="158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</row>
    <row r="318" spans="1:23" ht="19.5" customHeight="1" x14ac:dyDescent="0.25">
      <c r="A318" s="144"/>
      <c r="B318" s="144"/>
      <c r="C318" s="158"/>
      <c r="D318" s="158"/>
      <c r="E318" s="144"/>
      <c r="F318" s="158"/>
      <c r="G318" s="158"/>
      <c r="H318" s="144"/>
      <c r="I318" s="158"/>
      <c r="J318" s="158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</row>
    <row r="319" spans="1:23" ht="19.5" customHeight="1" x14ac:dyDescent="0.25">
      <c r="A319" s="144"/>
      <c r="B319" s="144"/>
      <c r="C319" s="158"/>
      <c r="D319" s="158"/>
      <c r="E319" s="144"/>
      <c r="F319" s="158"/>
      <c r="G319" s="158"/>
      <c r="H319" s="144"/>
      <c r="I319" s="158"/>
      <c r="J319" s="158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</row>
    <row r="320" spans="1:23" ht="19.5" customHeight="1" x14ac:dyDescent="0.25">
      <c r="A320" s="144"/>
      <c r="B320" s="144"/>
      <c r="C320" s="158"/>
      <c r="D320" s="158"/>
      <c r="E320" s="144"/>
      <c r="F320" s="158"/>
      <c r="G320" s="158"/>
      <c r="H320" s="144"/>
      <c r="I320" s="158"/>
      <c r="J320" s="158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</row>
    <row r="321" spans="1:23" ht="19.5" customHeight="1" x14ac:dyDescent="0.25">
      <c r="A321" s="144"/>
      <c r="B321" s="144"/>
      <c r="C321" s="158"/>
      <c r="D321" s="158"/>
      <c r="E321" s="144"/>
      <c r="F321" s="158"/>
      <c r="G321" s="158"/>
      <c r="H321" s="144"/>
      <c r="I321" s="158"/>
      <c r="J321" s="158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</row>
    <row r="322" spans="1:23" ht="19.5" customHeight="1" x14ac:dyDescent="0.25">
      <c r="A322" s="144"/>
      <c r="B322" s="144"/>
      <c r="C322" s="158"/>
      <c r="D322" s="158"/>
      <c r="E322" s="144"/>
      <c r="F322" s="158"/>
      <c r="G322" s="158"/>
      <c r="H322" s="144"/>
      <c r="I322" s="158"/>
      <c r="J322" s="158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</row>
    <row r="323" spans="1:23" ht="19.5" customHeight="1" x14ac:dyDescent="0.25">
      <c r="A323" s="144"/>
      <c r="B323" s="144"/>
      <c r="C323" s="158"/>
      <c r="D323" s="158"/>
      <c r="E323" s="144"/>
      <c r="F323" s="158"/>
      <c r="G323" s="158"/>
      <c r="H323" s="144"/>
      <c r="I323" s="158"/>
      <c r="J323" s="158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</row>
    <row r="324" spans="1:23" ht="19.5" customHeight="1" x14ac:dyDescent="0.25">
      <c r="A324" s="144"/>
      <c r="B324" s="144"/>
      <c r="C324" s="158"/>
      <c r="D324" s="158"/>
      <c r="E324" s="144"/>
      <c r="F324" s="158"/>
      <c r="G324" s="158"/>
      <c r="H324" s="144"/>
      <c r="I324" s="158"/>
      <c r="J324" s="158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</row>
    <row r="325" spans="1:23" ht="19.5" customHeight="1" x14ac:dyDescent="0.25">
      <c r="A325" s="144"/>
      <c r="B325" s="144"/>
      <c r="C325" s="158"/>
      <c r="D325" s="158"/>
      <c r="E325" s="144"/>
      <c r="F325" s="158"/>
      <c r="G325" s="158"/>
      <c r="H325" s="144"/>
      <c r="I325" s="158"/>
      <c r="J325" s="158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</row>
    <row r="326" spans="1:23" ht="19.5" customHeight="1" x14ac:dyDescent="0.25">
      <c r="A326" s="144"/>
      <c r="B326" s="144"/>
      <c r="C326" s="158"/>
      <c r="D326" s="158"/>
      <c r="E326" s="144"/>
      <c r="F326" s="158"/>
      <c r="G326" s="158"/>
      <c r="H326" s="144"/>
      <c r="I326" s="158"/>
      <c r="J326" s="158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</row>
    <row r="327" spans="1:23" ht="19.5" customHeight="1" x14ac:dyDescent="0.25">
      <c r="A327" s="144"/>
      <c r="B327" s="144"/>
      <c r="C327" s="158"/>
      <c r="D327" s="158"/>
      <c r="E327" s="144"/>
      <c r="F327" s="158"/>
      <c r="G327" s="158"/>
      <c r="H327" s="144"/>
      <c r="I327" s="158"/>
      <c r="J327" s="158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</row>
    <row r="328" spans="1:23" ht="19.5" customHeight="1" x14ac:dyDescent="0.25">
      <c r="A328" s="144"/>
      <c r="B328" s="144"/>
      <c r="C328" s="158"/>
      <c r="D328" s="158"/>
      <c r="E328" s="144"/>
      <c r="F328" s="158"/>
      <c r="G328" s="158"/>
      <c r="H328" s="144"/>
      <c r="I328" s="158"/>
      <c r="J328" s="158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</row>
    <row r="329" spans="1:23" ht="19.5" customHeight="1" x14ac:dyDescent="0.25">
      <c r="A329" s="144"/>
      <c r="B329" s="144"/>
      <c r="C329" s="158"/>
      <c r="D329" s="158"/>
      <c r="E329" s="144"/>
      <c r="F329" s="158"/>
      <c r="G329" s="158"/>
      <c r="H329" s="144"/>
      <c r="I329" s="158"/>
      <c r="J329" s="158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</row>
    <row r="330" spans="1:23" ht="19.5" customHeight="1" x14ac:dyDescent="0.25">
      <c r="A330" s="144"/>
      <c r="B330" s="144"/>
      <c r="C330" s="158"/>
      <c r="D330" s="158"/>
      <c r="E330" s="144"/>
      <c r="F330" s="158"/>
      <c r="G330" s="158"/>
      <c r="H330" s="144"/>
      <c r="I330" s="158"/>
      <c r="J330" s="158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</row>
    <row r="331" spans="1:23" ht="19.5" customHeight="1" x14ac:dyDescent="0.25">
      <c r="A331" s="144"/>
      <c r="B331" s="144"/>
      <c r="C331" s="158"/>
      <c r="D331" s="158"/>
      <c r="E331" s="144"/>
      <c r="F331" s="158"/>
      <c r="G331" s="158"/>
      <c r="H331" s="144"/>
      <c r="I331" s="158"/>
      <c r="J331" s="158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</row>
    <row r="332" spans="1:23" ht="19.5" customHeight="1" x14ac:dyDescent="0.25">
      <c r="A332" s="144"/>
      <c r="B332" s="144"/>
      <c r="C332" s="158"/>
      <c r="D332" s="158"/>
      <c r="E332" s="144"/>
      <c r="F332" s="158"/>
      <c r="G332" s="158"/>
      <c r="H332" s="144"/>
      <c r="I332" s="158"/>
      <c r="J332" s="158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</row>
    <row r="333" spans="1:23" ht="19.5" customHeight="1" x14ac:dyDescent="0.25">
      <c r="A333" s="144"/>
      <c r="B333" s="144"/>
      <c r="C333" s="158"/>
      <c r="D333" s="158"/>
      <c r="E333" s="144"/>
      <c r="F333" s="158"/>
      <c r="G333" s="158"/>
      <c r="H333" s="144"/>
      <c r="I333" s="158"/>
      <c r="J333" s="158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</row>
    <row r="334" spans="1:23" ht="19.5" customHeight="1" x14ac:dyDescent="0.25">
      <c r="A334" s="144"/>
      <c r="B334" s="144"/>
      <c r="C334" s="158"/>
      <c r="D334" s="158"/>
      <c r="E334" s="144"/>
      <c r="F334" s="158"/>
      <c r="G334" s="158"/>
      <c r="H334" s="144"/>
      <c r="I334" s="158"/>
      <c r="J334" s="158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</row>
    <row r="335" spans="1:23" ht="19.5" customHeight="1" x14ac:dyDescent="0.25">
      <c r="A335" s="144"/>
      <c r="B335" s="144"/>
      <c r="C335" s="158"/>
      <c r="D335" s="158"/>
      <c r="E335" s="144"/>
      <c r="F335" s="158"/>
      <c r="G335" s="158"/>
      <c r="H335" s="144"/>
      <c r="I335" s="158"/>
      <c r="J335" s="158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</row>
    <row r="336" spans="1:23" ht="19.5" customHeight="1" x14ac:dyDescent="0.25">
      <c r="A336" s="144"/>
      <c r="B336" s="144"/>
      <c r="C336" s="158"/>
      <c r="D336" s="158"/>
      <c r="E336" s="144"/>
      <c r="F336" s="158"/>
      <c r="G336" s="158"/>
      <c r="H336" s="144"/>
      <c r="I336" s="158"/>
      <c r="J336" s="158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</row>
    <row r="337" spans="1:23" ht="19.5" customHeight="1" x14ac:dyDescent="0.25">
      <c r="A337" s="144"/>
      <c r="B337" s="144"/>
      <c r="C337" s="158"/>
      <c r="D337" s="158"/>
      <c r="E337" s="144"/>
      <c r="F337" s="158"/>
      <c r="G337" s="158"/>
      <c r="H337" s="144"/>
      <c r="I337" s="158"/>
      <c r="J337" s="158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</row>
    <row r="338" spans="1:23" ht="19.5" customHeight="1" x14ac:dyDescent="0.25">
      <c r="A338" s="144"/>
      <c r="B338" s="144"/>
      <c r="C338" s="158"/>
      <c r="D338" s="158"/>
      <c r="E338" s="144"/>
      <c r="F338" s="158"/>
      <c r="G338" s="158"/>
      <c r="H338" s="144"/>
      <c r="I338" s="158"/>
      <c r="J338" s="158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</row>
    <row r="339" spans="1:23" ht="19.5" customHeight="1" x14ac:dyDescent="0.25">
      <c r="A339" s="144"/>
      <c r="B339" s="144"/>
      <c r="C339" s="158"/>
      <c r="D339" s="158"/>
      <c r="E339" s="144"/>
      <c r="F339" s="158"/>
      <c r="G339" s="158"/>
      <c r="H339" s="144"/>
      <c r="I339" s="158"/>
      <c r="J339" s="158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</row>
    <row r="340" spans="1:23" ht="19.5" customHeight="1" x14ac:dyDescent="0.25">
      <c r="A340" s="144"/>
      <c r="B340" s="144"/>
      <c r="C340" s="158"/>
      <c r="D340" s="158"/>
      <c r="E340" s="144"/>
      <c r="F340" s="158"/>
      <c r="G340" s="158"/>
      <c r="H340" s="144"/>
      <c r="I340" s="158"/>
      <c r="J340" s="158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</row>
    <row r="341" spans="1:23" ht="19.5" customHeight="1" x14ac:dyDescent="0.25">
      <c r="A341" s="144"/>
      <c r="B341" s="144"/>
      <c r="C341" s="158"/>
      <c r="D341" s="158"/>
      <c r="E341" s="144"/>
      <c r="F341" s="158"/>
      <c r="G341" s="158"/>
      <c r="H341" s="144"/>
      <c r="I341" s="158"/>
      <c r="J341" s="158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</row>
    <row r="342" spans="1:23" ht="19.5" customHeight="1" x14ac:dyDescent="0.25">
      <c r="A342" s="144"/>
      <c r="B342" s="144"/>
      <c r="C342" s="158"/>
      <c r="D342" s="158"/>
      <c r="E342" s="144"/>
      <c r="F342" s="158"/>
      <c r="G342" s="158"/>
      <c r="H342" s="144"/>
      <c r="I342" s="158"/>
      <c r="J342" s="158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</row>
    <row r="343" spans="1:23" ht="19.5" customHeight="1" x14ac:dyDescent="0.25">
      <c r="A343" s="144"/>
      <c r="B343" s="144"/>
      <c r="C343" s="158"/>
      <c r="D343" s="158"/>
      <c r="E343" s="144"/>
      <c r="F343" s="158"/>
      <c r="G343" s="158"/>
      <c r="H343" s="144"/>
      <c r="I343" s="158"/>
      <c r="J343" s="158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</row>
    <row r="344" spans="1:23" ht="19.5" customHeight="1" x14ac:dyDescent="0.25">
      <c r="A344" s="144"/>
      <c r="B344" s="144"/>
      <c r="C344" s="158"/>
      <c r="D344" s="158"/>
      <c r="E344" s="144"/>
      <c r="F344" s="158"/>
      <c r="G344" s="158"/>
      <c r="H344" s="144"/>
      <c r="I344" s="158"/>
      <c r="J344" s="158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</row>
    <row r="345" spans="1:23" ht="19.5" customHeight="1" x14ac:dyDescent="0.25">
      <c r="A345" s="144"/>
      <c r="B345" s="144"/>
      <c r="C345" s="158"/>
      <c r="D345" s="158"/>
      <c r="E345" s="144"/>
      <c r="F345" s="158"/>
      <c r="G345" s="158"/>
      <c r="H345" s="144"/>
      <c r="I345" s="158"/>
      <c r="J345" s="158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</row>
    <row r="346" spans="1:23" ht="19.5" customHeight="1" x14ac:dyDescent="0.25">
      <c r="A346" s="144"/>
      <c r="B346" s="144"/>
      <c r="C346" s="158"/>
      <c r="D346" s="158"/>
      <c r="E346" s="144"/>
      <c r="F346" s="158"/>
      <c r="G346" s="158"/>
      <c r="H346" s="144"/>
      <c r="I346" s="158"/>
      <c r="J346" s="158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</row>
    <row r="347" spans="1:23" ht="19.5" customHeight="1" x14ac:dyDescent="0.25">
      <c r="A347" s="144"/>
      <c r="B347" s="144"/>
      <c r="C347" s="158"/>
      <c r="D347" s="158"/>
      <c r="E347" s="144"/>
      <c r="F347" s="158"/>
      <c r="G347" s="158"/>
      <c r="H347" s="144"/>
      <c r="I347" s="158"/>
      <c r="J347" s="158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</row>
    <row r="348" spans="1:23" ht="19.5" customHeight="1" x14ac:dyDescent="0.25">
      <c r="A348" s="144"/>
      <c r="B348" s="144"/>
      <c r="C348" s="158"/>
      <c r="D348" s="158"/>
      <c r="E348" s="144"/>
      <c r="F348" s="158"/>
      <c r="G348" s="158"/>
      <c r="H348" s="144"/>
      <c r="I348" s="158"/>
      <c r="J348" s="158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</row>
    <row r="349" spans="1:23" ht="19.5" customHeight="1" x14ac:dyDescent="0.25">
      <c r="A349" s="144"/>
      <c r="B349" s="144"/>
      <c r="C349" s="158"/>
      <c r="D349" s="158"/>
      <c r="E349" s="144"/>
      <c r="F349" s="158"/>
      <c r="G349" s="158"/>
      <c r="H349" s="144"/>
      <c r="I349" s="158"/>
      <c r="J349" s="158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</row>
    <row r="350" spans="1:23" ht="19.5" customHeight="1" x14ac:dyDescent="0.25">
      <c r="A350" s="144"/>
      <c r="B350" s="144"/>
      <c r="C350" s="158"/>
      <c r="D350" s="158"/>
      <c r="E350" s="144"/>
      <c r="F350" s="158"/>
      <c r="G350" s="158"/>
      <c r="H350" s="144"/>
      <c r="I350" s="158"/>
      <c r="J350" s="158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</row>
    <row r="351" spans="1:23" ht="19.5" customHeight="1" x14ac:dyDescent="0.25">
      <c r="A351" s="144"/>
      <c r="B351" s="144"/>
      <c r="C351" s="158"/>
      <c r="D351" s="158"/>
      <c r="E351" s="144"/>
      <c r="F351" s="158"/>
      <c r="G351" s="158"/>
      <c r="H351" s="144"/>
      <c r="I351" s="158"/>
      <c r="J351" s="158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</row>
    <row r="352" spans="1:23" ht="19.5" customHeight="1" x14ac:dyDescent="0.25">
      <c r="A352" s="144"/>
      <c r="B352" s="144"/>
      <c r="C352" s="158"/>
      <c r="D352" s="158"/>
      <c r="E352" s="144"/>
      <c r="F352" s="158"/>
      <c r="G352" s="158"/>
      <c r="H352" s="144"/>
      <c r="I352" s="158"/>
      <c r="J352" s="158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</row>
    <row r="353" spans="1:23" ht="19.5" customHeight="1" x14ac:dyDescent="0.25">
      <c r="A353" s="144"/>
      <c r="B353" s="144"/>
      <c r="C353" s="158"/>
      <c r="D353" s="158"/>
      <c r="E353" s="144"/>
      <c r="F353" s="158"/>
      <c r="G353" s="158"/>
      <c r="H353" s="144"/>
      <c r="I353" s="158"/>
      <c r="J353" s="158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</row>
    <row r="354" spans="1:23" ht="19.5" customHeight="1" x14ac:dyDescent="0.25">
      <c r="A354" s="144"/>
      <c r="B354" s="144"/>
      <c r="C354" s="158"/>
      <c r="D354" s="158"/>
      <c r="E354" s="144"/>
      <c r="F354" s="158"/>
      <c r="G354" s="158"/>
      <c r="H354" s="144"/>
      <c r="I354" s="158"/>
      <c r="J354" s="158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</row>
    <row r="355" spans="1:23" ht="19.5" customHeight="1" x14ac:dyDescent="0.25">
      <c r="A355" s="144"/>
      <c r="B355" s="144"/>
      <c r="C355" s="158"/>
      <c r="D355" s="158"/>
      <c r="E355" s="144"/>
      <c r="F355" s="158"/>
      <c r="G355" s="158"/>
      <c r="H355" s="144"/>
      <c r="I355" s="158"/>
      <c r="J355" s="158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</row>
    <row r="356" spans="1:23" ht="19.5" customHeight="1" x14ac:dyDescent="0.25">
      <c r="A356" s="144"/>
      <c r="B356" s="144"/>
      <c r="C356" s="158"/>
      <c r="D356" s="158"/>
      <c r="E356" s="144"/>
      <c r="F356" s="158"/>
      <c r="G356" s="158"/>
      <c r="H356" s="144"/>
      <c r="I356" s="158"/>
      <c r="J356" s="158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</row>
    <row r="357" spans="1:23" ht="19.5" customHeight="1" x14ac:dyDescent="0.25">
      <c r="A357" s="144"/>
      <c r="B357" s="144"/>
      <c r="C357" s="158"/>
      <c r="D357" s="158"/>
      <c r="E357" s="144"/>
      <c r="F357" s="158"/>
      <c r="G357" s="158"/>
      <c r="H357" s="144"/>
      <c r="I357" s="158"/>
      <c r="J357" s="158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</row>
    <row r="358" spans="1:23" ht="19.5" customHeight="1" x14ac:dyDescent="0.25">
      <c r="A358" s="144"/>
      <c r="B358" s="144"/>
      <c r="C358" s="158"/>
      <c r="D358" s="158"/>
      <c r="E358" s="144"/>
      <c r="F358" s="158"/>
      <c r="G358" s="158"/>
      <c r="H358" s="144"/>
      <c r="I358" s="158"/>
      <c r="J358" s="158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</row>
    <row r="359" spans="1:23" ht="19.5" customHeight="1" x14ac:dyDescent="0.25">
      <c r="A359" s="144"/>
      <c r="B359" s="144"/>
      <c r="C359" s="158"/>
      <c r="D359" s="158"/>
      <c r="E359" s="144"/>
      <c r="F359" s="158"/>
      <c r="G359" s="158"/>
      <c r="H359" s="144"/>
      <c r="I359" s="158"/>
      <c r="J359" s="158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</row>
    <row r="360" spans="1:23" ht="19.5" customHeight="1" x14ac:dyDescent="0.25">
      <c r="A360" s="144"/>
      <c r="B360" s="144"/>
      <c r="C360" s="158"/>
      <c r="D360" s="158"/>
      <c r="E360" s="144"/>
      <c r="F360" s="158"/>
      <c r="G360" s="158"/>
      <c r="H360" s="144"/>
      <c r="I360" s="158"/>
      <c r="J360" s="158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</row>
    <row r="361" spans="1:23" ht="19.5" customHeight="1" x14ac:dyDescent="0.25">
      <c r="A361" s="144"/>
      <c r="B361" s="144"/>
      <c r="C361" s="158"/>
      <c r="D361" s="158"/>
      <c r="E361" s="144"/>
      <c r="F361" s="158"/>
      <c r="G361" s="158"/>
      <c r="H361" s="144"/>
      <c r="I361" s="158"/>
      <c r="J361" s="158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</row>
    <row r="362" spans="1:23" ht="19.5" customHeight="1" x14ac:dyDescent="0.25">
      <c r="A362" s="144"/>
      <c r="B362" s="144"/>
      <c r="C362" s="158"/>
      <c r="D362" s="158"/>
      <c r="E362" s="144"/>
      <c r="F362" s="158"/>
      <c r="G362" s="158"/>
      <c r="H362" s="144"/>
      <c r="I362" s="158"/>
      <c r="J362" s="158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</row>
    <row r="363" spans="1:23" ht="19.5" customHeight="1" x14ac:dyDescent="0.25">
      <c r="A363" s="144"/>
      <c r="B363" s="144"/>
      <c r="C363" s="158"/>
      <c r="D363" s="158"/>
      <c r="E363" s="144"/>
      <c r="F363" s="158"/>
      <c r="G363" s="158"/>
      <c r="H363" s="144"/>
      <c r="I363" s="158"/>
      <c r="J363" s="158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</row>
    <row r="364" spans="1:23" ht="19.5" customHeight="1" x14ac:dyDescent="0.25">
      <c r="A364" s="144"/>
      <c r="B364" s="144"/>
      <c r="C364" s="158"/>
      <c r="D364" s="158"/>
      <c r="E364" s="144"/>
      <c r="F364" s="158"/>
      <c r="G364" s="158"/>
      <c r="H364" s="144"/>
      <c r="I364" s="158"/>
      <c r="J364" s="158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</row>
    <row r="365" spans="1:23" ht="19.5" customHeight="1" x14ac:dyDescent="0.25">
      <c r="A365" s="144"/>
      <c r="B365" s="144"/>
      <c r="C365" s="158"/>
      <c r="D365" s="158"/>
      <c r="E365" s="144"/>
      <c r="F365" s="158"/>
      <c r="G365" s="158"/>
      <c r="H365" s="144"/>
      <c r="I365" s="158"/>
      <c r="J365" s="158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</row>
    <row r="366" spans="1:23" ht="19.5" customHeight="1" x14ac:dyDescent="0.25">
      <c r="A366" s="144"/>
      <c r="B366" s="144"/>
      <c r="C366" s="158"/>
      <c r="D366" s="158"/>
      <c r="E366" s="144"/>
      <c r="F366" s="158"/>
      <c r="G366" s="158"/>
      <c r="H366" s="144"/>
      <c r="I366" s="158"/>
      <c r="J366" s="158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</row>
    <row r="367" spans="1:23" ht="19.5" customHeight="1" x14ac:dyDescent="0.25">
      <c r="A367" s="144"/>
      <c r="B367" s="144"/>
      <c r="C367" s="158"/>
      <c r="D367" s="158"/>
      <c r="E367" s="144"/>
      <c r="F367" s="158"/>
      <c r="G367" s="158"/>
      <c r="H367" s="144"/>
      <c r="I367" s="158"/>
      <c r="J367" s="158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</row>
    <row r="368" spans="1:23" ht="19.5" customHeight="1" x14ac:dyDescent="0.25">
      <c r="A368" s="144"/>
      <c r="B368" s="144"/>
      <c r="C368" s="158"/>
      <c r="D368" s="158"/>
      <c r="E368" s="144"/>
      <c r="F368" s="158"/>
      <c r="G368" s="158"/>
      <c r="H368" s="144"/>
      <c r="I368" s="158"/>
      <c r="J368" s="158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</row>
    <row r="369" spans="1:23" ht="19.5" customHeight="1" x14ac:dyDescent="0.25">
      <c r="A369" s="144"/>
      <c r="B369" s="144"/>
      <c r="C369" s="158"/>
      <c r="D369" s="158"/>
      <c r="E369" s="144"/>
      <c r="F369" s="158"/>
      <c r="G369" s="158"/>
      <c r="H369" s="144"/>
      <c r="I369" s="158"/>
      <c r="J369" s="158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</row>
    <row r="370" spans="1:23" ht="19.5" customHeight="1" x14ac:dyDescent="0.25">
      <c r="A370" s="144"/>
      <c r="B370" s="144"/>
      <c r="C370" s="158"/>
      <c r="D370" s="158"/>
      <c r="E370" s="144"/>
      <c r="F370" s="158"/>
      <c r="G370" s="158"/>
      <c r="H370" s="144"/>
      <c r="I370" s="158"/>
      <c r="J370" s="158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</row>
    <row r="371" spans="1:23" ht="19.5" customHeight="1" x14ac:dyDescent="0.25">
      <c r="A371" s="144"/>
      <c r="B371" s="144"/>
      <c r="C371" s="158"/>
      <c r="D371" s="158"/>
      <c r="E371" s="144"/>
      <c r="F371" s="158"/>
      <c r="G371" s="158"/>
      <c r="H371" s="144"/>
      <c r="I371" s="158"/>
      <c r="J371" s="158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</row>
    <row r="372" spans="1:23" ht="19.5" customHeight="1" x14ac:dyDescent="0.25">
      <c r="A372" s="144"/>
      <c r="B372" s="144"/>
      <c r="C372" s="158"/>
      <c r="D372" s="158"/>
      <c r="E372" s="144"/>
      <c r="F372" s="158"/>
      <c r="G372" s="158"/>
      <c r="H372" s="144"/>
      <c r="I372" s="158"/>
      <c r="J372" s="158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</row>
    <row r="373" spans="1:23" ht="19.5" customHeight="1" x14ac:dyDescent="0.25">
      <c r="A373" s="144"/>
      <c r="B373" s="144"/>
      <c r="C373" s="158"/>
      <c r="D373" s="158"/>
      <c r="E373" s="144"/>
      <c r="F373" s="158"/>
      <c r="G373" s="158"/>
      <c r="H373" s="144"/>
      <c r="I373" s="158"/>
      <c r="J373" s="158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</row>
    <row r="374" spans="1:23" ht="19.5" customHeight="1" x14ac:dyDescent="0.25">
      <c r="A374" s="144"/>
      <c r="B374" s="144"/>
      <c r="C374" s="158"/>
      <c r="D374" s="158"/>
      <c r="E374" s="144"/>
      <c r="F374" s="158"/>
      <c r="G374" s="158"/>
      <c r="H374" s="144"/>
      <c r="I374" s="158"/>
      <c r="J374" s="158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</row>
    <row r="375" spans="1:23" ht="19.5" customHeight="1" x14ac:dyDescent="0.25">
      <c r="A375" s="144"/>
      <c r="B375" s="144"/>
      <c r="C375" s="158"/>
      <c r="D375" s="158"/>
      <c r="E375" s="144"/>
      <c r="F375" s="158"/>
      <c r="G375" s="158"/>
      <c r="H375" s="144"/>
      <c r="I375" s="158"/>
      <c r="J375" s="158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</row>
    <row r="376" spans="1:23" ht="19.5" customHeight="1" x14ac:dyDescent="0.25">
      <c r="A376" s="144"/>
      <c r="B376" s="144"/>
      <c r="C376" s="158"/>
      <c r="D376" s="158"/>
      <c r="E376" s="144"/>
      <c r="F376" s="158"/>
      <c r="G376" s="158"/>
      <c r="H376" s="144"/>
      <c r="I376" s="158"/>
      <c r="J376" s="158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</row>
    <row r="377" spans="1:23" ht="19.5" customHeight="1" x14ac:dyDescent="0.25">
      <c r="A377" s="144"/>
      <c r="B377" s="144"/>
      <c r="C377" s="158"/>
      <c r="D377" s="158"/>
      <c r="E377" s="144"/>
      <c r="F377" s="158"/>
      <c r="G377" s="158"/>
      <c r="H377" s="144"/>
      <c r="I377" s="158"/>
      <c r="J377" s="158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</row>
    <row r="378" spans="1:23" ht="19.5" customHeight="1" x14ac:dyDescent="0.25">
      <c r="A378" s="144"/>
      <c r="B378" s="144"/>
      <c r="C378" s="158"/>
      <c r="D378" s="158"/>
      <c r="E378" s="144"/>
      <c r="F378" s="158"/>
      <c r="G378" s="158"/>
      <c r="H378" s="144"/>
      <c r="I378" s="158"/>
      <c r="J378" s="158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</row>
    <row r="379" spans="1:23" ht="19.5" customHeight="1" x14ac:dyDescent="0.25">
      <c r="A379" s="144"/>
      <c r="B379" s="144"/>
      <c r="C379" s="158"/>
      <c r="D379" s="158"/>
      <c r="E379" s="144"/>
      <c r="F379" s="158"/>
      <c r="G379" s="158"/>
      <c r="H379" s="144"/>
      <c r="I379" s="158"/>
      <c r="J379" s="158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</row>
    <row r="380" spans="1:23" ht="19.5" customHeight="1" x14ac:dyDescent="0.25">
      <c r="A380" s="144"/>
      <c r="B380" s="144"/>
      <c r="C380" s="158"/>
      <c r="D380" s="158"/>
      <c r="E380" s="144"/>
      <c r="F380" s="158"/>
      <c r="G380" s="158"/>
      <c r="H380" s="144"/>
      <c r="I380" s="158"/>
      <c r="J380" s="158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</row>
    <row r="381" spans="1:23" ht="19.5" customHeight="1" x14ac:dyDescent="0.25">
      <c r="A381" s="144"/>
      <c r="B381" s="144"/>
      <c r="C381" s="158"/>
      <c r="D381" s="158"/>
      <c r="E381" s="144"/>
      <c r="F381" s="158"/>
      <c r="G381" s="158"/>
      <c r="H381" s="144"/>
      <c r="I381" s="158"/>
      <c r="J381" s="158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</row>
    <row r="382" spans="1:23" ht="19.5" customHeight="1" x14ac:dyDescent="0.25">
      <c r="A382" s="144"/>
      <c r="B382" s="144"/>
      <c r="C382" s="158"/>
      <c r="D382" s="158"/>
      <c r="E382" s="144"/>
      <c r="F382" s="158"/>
      <c r="G382" s="158"/>
      <c r="H382" s="144"/>
      <c r="I382" s="158"/>
      <c r="J382" s="158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</row>
    <row r="383" spans="1:23" ht="19.5" customHeight="1" x14ac:dyDescent="0.25">
      <c r="A383" s="144"/>
      <c r="B383" s="144"/>
      <c r="C383" s="158"/>
      <c r="D383" s="158"/>
      <c r="E383" s="144"/>
      <c r="F383" s="158"/>
      <c r="G383" s="158"/>
      <c r="H383" s="144"/>
      <c r="I383" s="158"/>
      <c r="J383" s="158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</row>
    <row r="384" spans="1:23" ht="19.5" customHeight="1" x14ac:dyDescent="0.25">
      <c r="A384" s="144"/>
      <c r="B384" s="144"/>
      <c r="C384" s="158"/>
      <c r="D384" s="158"/>
      <c r="E384" s="144"/>
      <c r="F384" s="158"/>
      <c r="G384" s="158"/>
      <c r="H384" s="144"/>
      <c r="I384" s="158"/>
      <c r="J384" s="158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</row>
    <row r="385" spans="1:23" ht="19.5" customHeight="1" x14ac:dyDescent="0.25">
      <c r="A385" s="144"/>
      <c r="B385" s="144"/>
      <c r="C385" s="158"/>
      <c r="D385" s="158"/>
      <c r="E385" s="144"/>
      <c r="F385" s="158"/>
      <c r="G385" s="158"/>
      <c r="H385" s="144"/>
      <c r="I385" s="158"/>
      <c r="J385" s="158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</row>
    <row r="386" spans="1:23" ht="19.5" customHeight="1" x14ac:dyDescent="0.25">
      <c r="A386" s="144"/>
      <c r="B386" s="144"/>
      <c r="C386" s="158"/>
      <c r="D386" s="158"/>
      <c r="E386" s="144"/>
      <c r="F386" s="158"/>
      <c r="G386" s="158"/>
      <c r="H386" s="144"/>
      <c r="I386" s="158"/>
      <c r="J386" s="158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</row>
    <row r="387" spans="1:23" ht="19.5" customHeight="1" x14ac:dyDescent="0.25">
      <c r="A387" s="144"/>
      <c r="B387" s="144"/>
      <c r="C387" s="158"/>
      <c r="D387" s="158"/>
      <c r="E387" s="144"/>
      <c r="F387" s="158"/>
      <c r="G387" s="158"/>
      <c r="H387" s="144"/>
      <c r="I387" s="158"/>
      <c r="J387" s="158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</row>
    <row r="388" spans="1:23" ht="19.5" customHeight="1" x14ac:dyDescent="0.25">
      <c r="A388" s="144"/>
      <c r="B388" s="144"/>
      <c r="C388" s="158"/>
      <c r="D388" s="158"/>
      <c r="E388" s="144"/>
      <c r="F388" s="158"/>
      <c r="G388" s="158"/>
      <c r="H388" s="144"/>
      <c r="I388" s="158"/>
      <c r="J388" s="158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</row>
    <row r="389" spans="1:23" ht="19.5" customHeight="1" x14ac:dyDescent="0.25">
      <c r="A389" s="144"/>
      <c r="B389" s="144"/>
      <c r="C389" s="158"/>
      <c r="D389" s="158"/>
      <c r="E389" s="144"/>
      <c r="F389" s="158"/>
      <c r="G389" s="158"/>
      <c r="H389" s="144"/>
      <c r="I389" s="158"/>
      <c r="J389" s="158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</row>
    <row r="390" spans="1:23" ht="19.5" customHeight="1" x14ac:dyDescent="0.25">
      <c r="A390" s="144"/>
      <c r="B390" s="144"/>
      <c r="C390" s="158"/>
      <c r="D390" s="158"/>
      <c r="E390" s="144"/>
      <c r="F390" s="158"/>
      <c r="G390" s="158"/>
      <c r="H390" s="144"/>
      <c r="I390" s="158"/>
      <c r="J390" s="158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</row>
    <row r="391" spans="1:23" ht="19.5" customHeight="1" x14ac:dyDescent="0.25">
      <c r="A391" s="144"/>
      <c r="B391" s="144"/>
      <c r="C391" s="158"/>
      <c r="D391" s="158"/>
      <c r="E391" s="144"/>
      <c r="F391" s="158"/>
      <c r="G391" s="158"/>
      <c r="H391" s="144"/>
      <c r="I391" s="158"/>
      <c r="J391" s="158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</row>
    <row r="392" spans="1:23" ht="19.5" customHeight="1" x14ac:dyDescent="0.25">
      <c r="A392" s="144"/>
      <c r="B392" s="144"/>
      <c r="C392" s="158"/>
      <c r="D392" s="158"/>
      <c r="E392" s="144"/>
      <c r="F392" s="158"/>
      <c r="G392" s="158"/>
      <c r="H392" s="144"/>
      <c r="I392" s="158"/>
      <c r="J392" s="158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</row>
    <row r="393" spans="1:23" ht="19.5" customHeight="1" x14ac:dyDescent="0.25">
      <c r="A393" s="144"/>
      <c r="B393" s="144"/>
      <c r="C393" s="158"/>
      <c r="D393" s="158"/>
      <c r="E393" s="144"/>
      <c r="F393" s="158"/>
      <c r="G393" s="158"/>
      <c r="H393" s="144"/>
      <c r="I393" s="158"/>
      <c r="J393" s="158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</row>
    <row r="394" spans="1:23" ht="19.5" customHeight="1" x14ac:dyDescent="0.25">
      <c r="A394" s="144"/>
      <c r="B394" s="144"/>
      <c r="C394" s="158"/>
      <c r="D394" s="158"/>
      <c r="E394" s="144"/>
      <c r="F394" s="158"/>
      <c r="G394" s="158"/>
      <c r="H394" s="144"/>
      <c r="I394" s="158"/>
      <c r="J394" s="158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</row>
    <row r="395" spans="1:23" ht="19.5" customHeight="1" x14ac:dyDescent="0.25">
      <c r="A395" s="144"/>
      <c r="B395" s="144"/>
      <c r="C395" s="158"/>
      <c r="D395" s="158"/>
      <c r="E395" s="144"/>
      <c r="F395" s="158"/>
      <c r="G395" s="158"/>
      <c r="H395" s="144"/>
      <c r="I395" s="158"/>
      <c r="J395" s="158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</row>
    <row r="396" spans="1:23" ht="19.5" customHeight="1" x14ac:dyDescent="0.25">
      <c r="A396" s="144"/>
      <c r="B396" s="144"/>
      <c r="C396" s="158"/>
      <c r="D396" s="158"/>
      <c r="E396" s="144"/>
      <c r="F396" s="158"/>
      <c r="G396" s="158"/>
      <c r="H396" s="144"/>
      <c r="I396" s="158"/>
      <c r="J396" s="158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</row>
    <row r="397" spans="1:23" ht="19.5" customHeight="1" x14ac:dyDescent="0.25">
      <c r="A397" s="144"/>
      <c r="B397" s="144"/>
      <c r="C397" s="158"/>
      <c r="D397" s="158"/>
      <c r="E397" s="144"/>
      <c r="F397" s="158"/>
      <c r="G397" s="158"/>
      <c r="H397" s="144"/>
      <c r="I397" s="158"/>
      <c r="J397" s="158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</row>
    <row r="398" spans="1:23" ht="19.5" customHeight="1" x14ac:dyDescent="0.25">
      <c r="A398" s="144"/>
      <c r="B398" s="144"/>
      <c r="C398" s="158"/>
      <c r="D398" s="158"/>
      <c r="E398" s="144"/>
      <c r="F398" s="158"/>
      <c r="G398" s="158"/>
      <c r="H398" s="144"/>
      <c r="I398" s="158"/>
      <c r="J398" s="158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</row>
    <row r="399" spans="1:23" ht="19.5" customHeight="1" x14ac:dyDescent="0.25">
      <c r="A399" s="144"/>
      <c r="B399" s="144"/>
      <c r="C399" s="158"/>
      <c r="D399" s="158"/>
      <c r="E399" s="144"/>
      <c r="F399" s="158"/>
      <c r="G399" s="158"/>
      <c r="H399" s="144"/>
      <c r="I399" s="158"/>
      <c r="J399" s="158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</row>
    <row r="400" spans="1:23" ht="19.5" customHeight="1" x14ac:dyDescent="0.25">
      <c r="A400" s="144"/>
      <c r="B400" s="144"/>
      <c r="C400" s="158"/>
      <c r="D400" s="158"/>
      <c r="E400" s="144"/>
      <c r="F400" s="158"/>
      <c r="G400" s="158"/>
      <c r="H400" s="144"/>
      <c r="I400" s="158"/>
      <c r="J400" s="158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</row>
    <row r="401" spans="1:23" ht="19.5" customHeight="1" x14ac:dyDescent="0.25">
      <c r="A401" s="144"/>
      <c r="B401" s="144"/>
      <c r="C401" s="158"/>
      <c r="D401" s="158"/>
      <c r="E401" s="144"/>
      <c r="F401" s="158"/>
      <c r="G401" s="158"/>
      <c r="H401" s="144"/>
      <c r="I401" s="158"/>
      <c r="J401" s="158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</row>
    <row r="402" spans="1:23" ht="19.5" customHeight="1" x14ac:dyDescent="0.25">
      <c r="A402" s="144"/>
      <c r="B402" s="144"/>
      <c r="C402" s="158"/>
      <c r="D402" s="158"/>
      <c r="E402" s="144"/>
      <c r="F402" s="158"/>
      <c r="G402" s="158"/>
      <c r="H402" s="144"/>
      <c r="I402" s="158"/>
      <c r="J402" s="158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</row>
    <row r="403" spans="1:23" ht="19.5" customHeight="1" x14ac:dyDescent="0.25">
      <c r="A403" s="144"/>
      <c r="B403" s="144"/>
      <c r="C403" s="158"/>
      <c r="D403" s="158"/>
      <c r="E403" s="144"/>
      <c r="F403" s="158"/>
      <c r="G403" s="158"/>
      <c r="H403" s="144"/>
      <c r="I403" s="158"/>
      <c r="J403" s="158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</row>
    <row r="404" spans="1:23" ht="19.5" customHeight="1" x14ac:dyDescent="0.25">
      <c r="A404" s="144"/>
      <c r="B404" s="144"/>
      <c r="C404" s="158"/>
      <c r="D404" s="158"/>
      <c r="E404" s="144"/>
      <c r="F404" s="158"/>
      <c r="G404" s="158"/>
      <c r="H404" s="144"/>
      <c r="I404" s="158"/>
      <c r="J404" s="158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</row>
    <row r="405" spans="1:23" ht="19.5" customHeight="1" x14ac:dyDescent="0.25">
      <c r="A405" s="144"/>
      <c r="B405" s="144"/>
      <c r="C405" s="158"/>
      <c r="D405" s="158"/>
      <c r="E405" s="144"/>
      <c r="F405" s="158"/>
      <c r="G405" s="158"/>
      <c r="H405" s="144"/>
      <c r="I405" s="158"/>
      <c r="J405" s="158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</row>
    <row r="406" spans="1:23" ht="19.5" customHeight="1" x14ac:dyDescent="0.25">
      <c r="A406" s="144"/>
      <c r="B406" s="144"/>
      <c r="C406" s="158"/>
      <c r="D406" s="158"/>
      <c r="E406" s="144"/>
      <c r="F406" s="158"/>
      <c r="G406" s="158"/>
      <c r="H406" s="144"/>
      <c r="I406" s="158"/>
      <c r="J406" s="158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</row>
    <row r="407" spans="1:23" ht="19.5" customHeight="1" x14ac:dyDescent="0.25">
      <c r="A407" s="144"/>
      <c r="B407" s="144"/>
      <c r="C407" s="158"/>
      <c r="D407" s="158"/>
      <c r="E407" s="144"/>
      <c r="F407" s="158"/>
      <c r="G407" s="158"/>
      <c r="H407" s="144"/>
      <c r="I407" s="158"/>
      <c r="J407" s="158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</row>
    <row r="408" spans="1:23" ht="19.5" customHeight="1" x14ac:dyDescent="0.25">
      <c r="A408" s="144"/>
      <c r="B408" s="144"/>
      <c r="C408" s="158"/>
      <c r="D408" s="158"/>
      <c r="E408" s="144"/>
      <c r="F408" s="158"/>
      <c r="G408" s="158"/>
      <c r="H408" s="144"/>
      <c r="I408" s="158"/>
      <c r="J408" s="158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</row>
    <row r="409" spans="1:23" ht="19.5" customHeight="1" x14ac:dyDescent="0.25">
      <c r="A409" s="144"/>
      <c r="B409" s="144"/>
      <c r="C409" s="158"/>
      <c r="D409" s="158"/>
      <c r="E409" s="144"/>
      <c r="F409" s="158"/>
      <c r="G409" s="158"/>
      <c r="H409" s="144"/>
      <c r="I409" s="158"/>
      <c r="J409" s="158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</row>
    <row r="410" spans="1:23" ht="19.5" customHeight="1" x14ac:dyDescent="0.25">
      <c r="A410" s="144"/>
      <c r="B410" s="144"/>
      <c r="C410" s="158"/>
      <c r="D410" s="158"/>
      <c r="E410" s="144"/>
      <c r="F410" s="158"/>
      <c r="G410" s="158"/>
      <c r="H410" s="144"/>
      <c r="I410" s="158"/>
      <c r="J410" s="158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</row>
    <row r="411" spans="1:23" ht="19.5" customHeight="1" x14ac:dyDescent="0.25">
      <c r="A411" s="144"/>
      <c r="B411" s="144"/>
      <c r="C411" s="158"/>
      <c r="D411" s="158"/>
      <c r="E411" s="144"/>
      <c r="F411" s="158"/>
      <c r="G411" s="158"/>
      <c r="H411" s="144"/>
      <c r="I411" s="158"/>
      <c r="J411" s="158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</row>
    <row r="412" spans="1:23" ht="19.5" customHeight="1" x14ac:dyDescent="0.25">
      <c r="A412" s="144"/>
      <c r="B412" s="144"/>
      <c r="C412" s="158"/>
      <c r="D412" s="158"/>
      <c r="E412" s="144"/>
      <c r="F412" s="158"/>
      <c r="G412" s="158"/>
      <c r="H412" s="144"/>
      <c r="I412" s="158"/>
      <c r="J412" s="158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</row>
    <row r="413" spans="1:23" ht="19.5" customHeight="1" x14ac:dyDescent="0.25">
      <c r="A413" s="144"/>
      <c r="B413" s="144"/>
      <c r="C413" s="158"/>
      <c r="D413" s="158"/>
      <c r="E413" s="144"/>
      <c r="F413" s="158"/>
      <c r="G413" s="158"/>
      <c r="H413" s="144"/>
      <c r="I413" s="158"/>
      <c r="J413" s="158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</row>
    <row r="414" spans="1:23" ht="19.5" customHeight="1" x14ac:dyDescent="0.25">
      <c r="A414" s="144"/>
      <c r="B414" s="144"/>
      <c r="C414" s="158"/>
      <c r="D414" s="158"/>
      <c r="E414" s="144"/>
      <c r="F414" s="158"/>
      <c r="G414" s="158"/>
      <c r="H414" s="144"/>
      <c r="I414" s="158"/>
      <c r="J414" s="158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</row>
    <row r="415" spans="1:23" ht="19.5" customHeight="1" x14ac:dyDescent="0.25">
      <c r="A415" s="144"/>
      <c r="B415" s="144"/>
      <c r="C415" s="158"/>
      <c r="D415" s="158"/>
      <c r="E415" s="144"/>
      <c r="F415" s="158"/>
      <c r="G415" s="158"/>
      <c r="H415" s="144"/>
      <c r="I415" s="158"/>
      <c r="J415" s="158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</row>
    <row r="416" spans="1:23" ht="19.5" customHeight="1" x14ac:dyDescent="0.25">
      <c r="A416" s="144"/>
      <c r="B416" s="144"/>
      <c r="C416" s="158"/>
      <c r="D416" s="158"/>
      <c r="E416" s="144"/>
      <c r="F416" s="158"/>
      <c r="G416" s="158"/>
      <c r="H416" s="144"/>
      <c r="I416" s="158"/>
      <c r="J416" s="158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</row>
    <row r="417" spans="1:23" ht="19.5" customHeight="1" x14ac:dyDescent="0.25">
      <c r="A417" s="144"/>
      <c r="B417" s="144"/>
      <c r="C417" s="158"/>
      <c r="D417" s="158"/>
      <c r="E417" s="144"/>
      <c r="F417" s="158"/>
      <c r="G417" s="158"/>
      <c r="H417" s="144"/>
      <c r="I417" s="158"/>
      <c r="J417" s="158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</row>
    <row r="418" spans="1:23" ht="19.5" customHeight="1" x14ac:dyDescent="0.25">
      <c r="A418" s="144"/>
      <c r="B418" s="144"/>
      <c r="C418" s="158"/>
      <c r="D418" s="158"/>
      <c r="E418" s="144"/>
      <c r="F418" s="158"/>
      <c r="G418" s="158"/>
      <c r="H418" s="144"/>
      <c r="I418" s="158"/>
      <c r="J418" s="158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</row>
    <row r="419" spans="1:23" ht="19.5" customHeight="1" x14ac:dyDescent="0.25">
      <c r="A419" s="144"/>
      <c r="B419" s="144"/>
      <c r="C419" s="158"/>
      <c r="D419" s="158"/>
      <c r="E419" s="144"/>
      <c r="F419" s="158"/>
      <c r="G419" s="158"/>
      <c r="H419" s="144"/>
      <c r="I419" s="158"/>
      <c r="J419" s="158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</row>
    <row r="420" spans="1:23" ht="19.5" customHeight="1" x14ac:dyDescent="0.25">
      <c r="A420" s="144"/>
      <c r="B420" s="144"/>
      <c r="C420" s="158"/>
      <c r="D420" s="158"/>
      <c r="E420" s="144"/>
      <c r="F420" s="158"/>
      <c r="G420" s="158"/>
      <c r="H420" s="144"/>
      <c r="I420" s="158"/>
      <c r="J420" s="158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</row>
    <row r="421" spans="1:23" ht="19.5" customHeight="1" x14ac:dyDescent="0.25">
      <c r="A421" s="144"/>
      <c r="B421" s="144"/>
      <c r="C421" s="158"/>
      <c r="D421" s="158"/>
      <c r="E421" s="144"/>
      <c r="F421" s="158"/>
      <c r="G421" s="158"/>
      <c r="H421" s="144"/>
      <c r="I421" s="158"/>
      <c r="J421" s="158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</row>
    <row r="422" spans="1:23" ht="19.5" customHeight="1" x14ac:dyDescent="0.25">
      <c r="A422" s="144"/>
      <c r="B422" s="144"/>
      <c r="C422" s="158"/>
      <c r="D422" s="158"/>
      <c r="E422" s="144"/>
      <c r="F422" s="158"/>
      <c r="G422" s="158"/>
      <c r="H422" s="144"/>
      <c r="I422" s="158"/>
      <c r="J422" s="158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</row>
    <row r="423" spans="1:23" ht="19.5" customHeight="1" x14ac:dyDescent="0.25">
      <c r="A423" s="144"/>
      <c r="B423" s="144"/>
      <c r="C423" s="158"/>
      <c r="D423" s="158"/>
      <c r="E423" s="144"/>
      <c r="F423" s="158"/>
      <c r="G423" s="158"/>
      <c r="H423" s="144"/>
      <c r="I423" s="158"/>
      <c r="J423" s="158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</row>
    <row r="424" spans="1:23" ht="19.5" customHeight="1" x14ac:dyDescent="0.25">
      <c r="A424" s="144"/>
      <c r="B424" s="144"/>
      <c r="C424" s="158"/>
      <c r="D424" s="158"/>
      <c r="E424" s="144"/>
      <c r="F424" s="158"/>
      <c r="G424" s="158"/>
      <c r="H424" s="144"/>
      <c r="I424" s="158"/>
      <c r="J424" s="158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</row>
    <row r="425" spans="1:23" ht="19.5" customHeight="1" x14ac:dyDescent="0.25">
      <c r="A425" s="144"/>
      <c r="B425" s="144"/>
      <c r="C425" s="158"/>
      <c r="D425" s="158"/>
      <c r="E425" s="144"/>
      <c r="F425" s="158"/>
      <c r="G425" s="158"/>
      <c r="H425" s="144"/>
      <c r="I425" s="158"/>
      <c r="J425" s="158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</row>
    <row r="426" spans="1:23" ht="19.5" customHeight="1" x14ac:dyDescent="0.25">
      <c r="A426" s="144"/>
      <c r="B426" s="144"/>
      <c r="C426" s="158"/>
      <c r="D426" s="158"/>
      <c r="E426" s="144"/>
      <c r="F426" s="158"/>
      <c r="G426" s="158"/>
      <c r="H426" s="144"/>
      <c r="I426" s="158"/>
      <c r="J426" s="158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</row>
    <row r="427" spans="1:23" ht="19.5" customHeight="1" x14ac:dyDescent="0.25">
      <c r="A427" s="144"/>
      <c r="B427" s="144"/>
      <c r="C427" s="158"/>
      <c r="D427" s="158"/>
      <c r="E427" s="144"/>
      <c r="F427" s="158"/>
      <c r="G427" s="158"/>
      <c r="H427" s="144"/>
      <c r="I427" s="158"/>
      <c r="J427" s="158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</row>
    <row r="428" spans="1:23" ht="19.5" customHeight="1" x14ac:dyDescent="0.25">
      <c r="A428" s="144"/>
      <c r="B428" s="144"/>
      <c r="C428" s="158"/>
      <c r="D428" s="158"/>
      <c r="E428" s="144"/>
      <c r="F428" s="158"/>
      <c r="G428" s="158"/>
      <c r="H428" s="144"/>
      <c r="I428" s="158"/>
      <c r="J428" s="158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</row>
    <row r="429" spans="1:23" ht="19.5" customHeight="1" x14ac:dyDescent="0.25">
      <c r="A429" s="144"/>
      <c r="B429" s="144"/>
      <c r="C429" s="158"/>
      <c r="D429" s="158"/>
      <c r="E429" s="144"/>
      <c r="F429" s="158"/>
      <c r="G429" s="158"/>
      <c r="H429" s="144"/>
      <c r="I429" s="158"/>
      <c r="J429" s="158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</row>
    <row r="430" spans="1:23" ht="19.5" customHeight="1" x14ac:dyDescent="0.25">
      <c r="A430" s="144"/>
      <c r="B430" s="144"/>
      <c r="C430" s="158"/>
      <c r="D430" s="158"/>
      <c r="E430" s="144"/>
      <c r="F430" s="158"/>
      <c r="G430" s="158"/>
      <c r="H430" s="144"/>
      <c r="I430" s="158"/>
      <c r="J430" s="158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</row>
    <row r="431" spans="1:23" ht="19.5" customHeight="1" x14ac:dyDescent="0.25">
      <c r="A431" s="144"/>
      <c r="B431" s="144"/>
      <c r="C431" s="158"/>
      <c r="D431" s="158"/>
      <c r="E431" s="144"/>
      <c r="F431" s="158"/>
      <c r="G431" s="158"/>
      <c r="H431" s="144"/>
      <c r="I431" s="158"/>
      <c r="J431" s="158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</row>
    <row r="432" spans="1:23" ht="19.5" customHeight="1" x14ac:dyDescent="0.25">
      <c r="A432" s="144"/>
      <c r="B432" s="144"/>
      <c r="C432" s="158"/>
      <c r="D432" s="158"/>
      <c r="E432" s="144"/>
      <c r="F432" s="158"/>
      <c r="G432" s="158"/>
      <c r="H432" s="144"/>
      <c r="I432" s="158"/>
      <c r="J432" s="158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</row>
    <row r="433" spans="1:23" ht="19.5" customHeight="1" x14ac:dyDescent="0.25">
      <c r="A433" s="144"/>
      <c r="B433" s="144"/>
      <c r="C433" s="158"/>
      <c r="D433" s="158"/>
      <c r="E433" s="144"/>
      <c r="F433" s="158"/>
      <c r="G433" s="158"/>
      <c r="H433" s="144"/>
      <c r="I433" s="158"/>
      <c r="J433" s="158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</row>
    <row r="434" spans="1:23" ht="19.5" customHeight="1" x14ac:dyDescent="0.25">
      <c r="A434" s="144"/>
      <c r="B434" s="144"/>
      <c r="C434" s="158"/>
      <c r="D434" s="158"/>
      <c r="E434" s="144"/>
      <c r="F434" s="158"/>
      <c r="G434" s="158"/>
      <c r="H434" s="144"/>
      <c r="I434" s="158"/>
      <c r="J434" s="158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</row>
    <row r="435" spans="1:23" ht="19.5" customHeight="1" x14ac:dyDescent="0.25">
      <c r="A435" s="144"/>
      <c r="B435" s="144"/>
      <c r="C435" s="158"/>
      <c r="D435" s="158"/>
      <c r="E435" s="144"/>
      <c r="F435" s="158"/>
      <c r="G435" s="158"/>
      <c r="H435" s="144"/>
      <c r="I435" s="158"/>
      <c r="J435" s="158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</row>
    <row r="436" spans="1:23" ht="19.5" customHeight="1" x14ac:dyDescent="0.25">
      <c r="A436" s="144"/>
      <c r="B436" s="144"/>
      <c r="C436" s="158"/>
      <c r="D436" s="158"/>
      <c r="E436" s="144"/>
      <c r="F436" s="158"/>
      <c r="G436" s="158"/>
      <c r="H436" s="144"/>
      <c r="I436" s="158"/>
      <c r="J436" s="158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</row>
    <row r="437" spans="1:23" ht="19.5" customHeight="1" x14ac:dyDescent="0.25">
      <c r="A437" s="144"/>
      <c r="B437" s="144"/>
      <c r="C437" s="158"/>
      <c r="D437" s="158"/>
      <c r="E437" s="144"/>
      <c r="F437" s="158"/>
      <c r="G437" s="158"/>
      <c r="H437" s="144"/>
      <c r="I437" s="158"/>
      <c r="J437" s="158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</row>
    <row r="438" spans="1:23" ht="19.5" customHeight="1" x14ac:dyDescent="0.25">
      <c r="A438" s="144"/>
      <c r="B438" s="144"/>
      <c r="C438" s="158"/>
      <c r="D438" s="158"/>
      <c r="E438" s="144"/>
      <c r="F438" s="158"/>
      <c r="G438" s="158"/>
      <c r="H438" s="144"/>
      <c r="I438" s="158"/>
      <c r="J438" s="158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</row>
    <row r="439" spans="1:23" ht="19.5" customHeight="1" x14ac:dyDescent="0.25">
      <c r="A439" s="144"/>
      <c r="B439" s="144"/>
      <c r="C439" s="158"/>
      <c r="D439" s="158"/>
      <c r="E439" s="144"/>
      <c r="F439" s="158"/>
      <c r="G439" s="158"/>
      <c r="H439" s="144"/>
      <c r="I439" s="158"/>
      <c r="J439" s="158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</row>
    <row r="440" spans="1:23" ht="19.5" customHeight="1" x14ac:dyDescent="0.25">
      <c r="A440" s="144"/>
      <c r="B440" s="144"/>
      <c r="C440" s="158"/>
      <c r="D440" s="158"/>
      <c r="E440" s="144"/>
      <c r="F440" s="158"/>
      <c r="G440" s="158"/>
      <c r="H440" s="144"/>
      <c r="I440" s="158"/>
      <c r="J440" s="158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</row>
    <row r="441" spans="1:23" ht="19.5" customHeight="1" x14ac:dyDescent="0.25">
      <c r="A441" s="144"/>
      <c r="B441" s="144"/>
      <c r="C441" s="158"/>
      <c r="D441" s="158"/>
      <c r="E441" s="144"/>
      <c r="F441" s="158"/>
      <c r="G441" s="158"/>
      <c r="H441" s="144"/>
      <c r="I441" s="158"/>
      <c r="J441" s="158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</row>
    <row r="442" spans="1:23" ht="19.5" customHeight="1" x14ac:dyDescent="0.25">
      <c r="A442" s="144"/>
      <c r="B442" s="144"/>
      <c r="C442" s="158"/>
      <c r="D442" s="158"/>
      <c r="E442" s="144"/>
      <c r="F442" s="158"/>
      <c r="G442" s="158"/>
      <c r="H442" s="144"/>
      <c r="I442" s="158"/>
      <c r="J442" s="158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</row>
    <row r="443" spans="1:23" ht="19.5" customHeight="1" x14ac:dyDescent="0.25">
      <c r="A443" s="144"/>
      <c r="B443" s="144"/>
      <c r="C443" s="158"/>
      <c r="D443" s="158"/>
      <c r="E443" s="144"/>
      <c r="F443" s="158"/>
      <c r="G443" s="158"/>
      <c r="H443" s="144"/>
      <c r="I443" s="158"/>
      <c r="J443" s="158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</row>
    <row r="444" spans="1:23" ht="19.5" customHeight="1" x14ac:dyDescent="0.25">
      <c r="A444" s="144"/>
      <c r="B444" s="144"/>
      <c r="C444" s="158"/>
      <c r="D444" s="158"/>
      <c r="E444" s="144"/>
      <c r="F444" s="158"/>
      <c r="G444" s="158"/>
      <c r="H444" s="144"/>
      <c r="I444" s="158"/>
      <c r="J444" s="158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</row>
    <row r="445" spans="1:23" ht="19.5" customHeight="1" x14ac:dyDescent="0.25">
      <c r="A445" s="144"/>
      <c r="B445" s="144"/>
      <c r="C445" s="158"/>
      <c r="D445" s="158"/>
      <c r="E445" s="144"/>
      <c r="F445" s="158"/>
      <c r="G445" s="158"/>
      <c r="H445" s="144"/>
      <c r="I445" s="158"/>
      <c r="J445" s="158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</row>
    <row r="446" spans="1:23" ht="19.5" customHeight="1" x14ac:dyDescent="0.25">
      <c r="A446" s="144"/>
      <c r="B446" s="144"/>
      <c r="C446" s="158"/>
      <c r="D446" s="158"/>
      <c r="E446" s="144"/>
      <c r="F446" s="158"/>
      <c r="G446" s="158"/>
      <c r="H446" s="144"/>
      <c r="I446" s="158"/>
      <c r="J446" s="158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</row>
    <row r="447" spans="1:23" ht="19.5" customHeight="1" x14ac:dyDescent="0.25">
      <c r="A447" s="144"/>
      <c r="B447" s="144"/>
      <c r="C447" s="158"/>
      <c r="D447" s="158"/>
      <c r="E447" s="144"/>
      <c r="F447" s="158"/>
      <c r="G447" s="158"/>
      <c r="H447" s="144"/>
      <c r="I447" s="158"/>
      <c r="J447" s="158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</row>
    <row r="448" spans="1:23" ht="19.5" customHeight="1" x14ac:dyDescent="0.25">
      <c r="A448" s="144"/>
      <c r="B448" s="144"/>
      <c r="C448" s="158"/>
      <c r="D448" s="158"/>
      <c r="E448" s="144"/>
      <c r="F448" s="158"/>
      <c r="G448" s="158"/>
      <c r="H448" s="144"/>
      <c r="I448" s="158"/>
      <c r="J448" s="158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</row>
    <row r="449" spans="1:23" ht="19.5" customHeight="1" x14ac:dyDescent="0.25">
      <c r="A449" s="144"/>
      <c r="B449" s="144"/>
      <c r="C449" s="158"/>
      <c r="D449" s="158"/>
      <c r="E449" s="144"/>
      <c r="F449" s="158"/>
      <c r="G449" s="158"/>
      <c r="H449" s="144"/>
      <c r="I449" s="158"/>
      <c r="J449" s="158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</row>
    <row r="450" spans="1:23" ht="19.5" customHeight="1" x14ac:dyDescent="0.25">
      <c r="A450" s="144"/>
      <c r="B450" s="144"/>
      <c r="C450" s="158"/>
      <c r="D450" s="158"/>
      <c r="E450" s="144"/>
      <c r="F450" s="158"/>
      <c r="G450" s="158"/>
      <c r="H450" s="144"/>
      <c r="I450" s="158"/>
      <c r="J450" s="158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</row>
    <row r="451" spans="1:23" ht="19.5" customHeight="1" x14ac:dyDescent="0.25">
      <c r="A451" s="144"/>
      <c r="B451" s="144"/>
      <c r="C451" s="158"/>
      <c r="D451" s="158"/>
      <c r="E451" s="144"/>
      <c r="F451" s="158"/>
      <c r="G451" s="158"/>
      <c r="H451" s="144"/>
      <c r="I451" s="158"/>
      <c r="J451" s="158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</row>
    <row r="452" spans="1:23" ht="19.5" customHeight="1" x14ac:dyDescent="0.25">
      <c r="A452" s="144"/>
      <c r="B452" s="144"/>
      <c r="C452" s="158"/>
      <c r="D452" s="158"/>
      <c r="E452" s="144"/>
      <c r="F452" s="158"/>
      <c r="G452" s="158"/>
      <c r="H452" s="144"/>
      <c r="I452" s="158"/>
      <c r="J452" s="158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</row>
    <row r="453" spans="1:23" ht="19.5" customHeight="1" x14ac:dyDescent="0.25">
      <c r="A453" s="144"/>
      <c r="B453" s="144"/>
      <c r="C453" s="158"/>
      <c r="D453" s="158"/>
      <c r="E453" s="144"/>
      <c r="F453" s="158"/>
      <c r="G453" s="158"/>
      <c r="H453" s="144"/>
      <c r="I453" s="158"/>
      <c r="J453" s="158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</row>
    <row r="454" spans="1:23" ht="19.5" customHeight="1" x14ac:dyDescent="0.25">
      <c r="A454" s="144"/>
      <c r="B454" s="144"/>
      <c r="C454" s="158"/>
      <c r="D454" s="158"/>
      <c r="E454" s="144"/>
      <c r="F454" s="158"/>
      <c r="G454" s="158"/>
      <c r="H454" s="144"/>
      <c r="I454" s="158"/>
      <c r="J454" s="158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</row>
    <row r="455" spans="1:23" ht="19.5" customHeight="1" x14ac:dyDescent="0.25">
      <c r="A455" s="144"/>
      <c r="B455" s="144"/>
      <c r="C455" s="158"/>
      <c r="D455" s="158"/>
      <c r="E455" s="144"/>
      <c r="F455" s="158"/>
      <c r="G455" s="158"/>
      <c r="H455" s="144"/>
      <c r="I455" s="158"/>
      <c r="J455" s="158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</row>
    <row r="456" spans="1:23" ht="19.5" customHeight="1" x14ac:dyDescent="0.25">
      <c r="A456" s="144"/>
      <c r="B456" s="144"/>
      <c r="C456" s="158"/>
      <c r="D456" s="158"/>
      <c r="E456" s="144"/>
      <c r="F456" s="158"/>
      <c r="G456" s="158"/>
      <c r="H456" s="144"/>
      <c r="I456" s="158"/>
      <c r="J456" s="158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</row>
    <row r="457" spans="1:23" ht="19.5" customHeight="1" x14ac:dyDescent="0.25">
      <c r="A457" s="144"/>
      <c r="B457" s="144"/>
      <c r="C457" s="158"/>
      <c r="D457" s="158"/>
      <c r="E457" s="144"/>
      <c r="F457" s="158"/>
      <c r="G457" s="158"/>
      <c r="H457" s="144"/>
      <c r="I457" s="158"/>
      <c r="J457" s="158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</row>
    <row r="458" spans="1:23" ht="19.5" customHeight="1" x14ac:dyDescent="0.25">
      <c r="A458" s="144"/>
      <c r="B458" s="144"/>
      <c r="C458" s="158"/>
      <c r="D458" s="158"/>
      <c r="E458" s="144"/>
      <c r="F458" s="158"/>
      <c r="G458" s="158"/>
      <c r="H458" s="144"/>
      <c r="I458" s="158"/>
      <c r="J458" s="158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</row>
    <row r="459" spans="1:23" ht="19.5" customHeight="1" x14ac:dyDescent="0.25">
      <c r="A459" s="144"/>
      <c r="B459" s="144"/>
      <c r="C459" s="158"/>
      <c r="D459" s="158"/>
      <c r="E459" s="144"/>
      <c r="F459" s="158"/>
      <c r="G459" s="158"/>
      <c r="H459" s="144"/>
      <c r="I459" s="158"/>
      <c r="J459" s="158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</row>
    <row r="460" spans="1:23" ht="19.5" customHeight="1" x14ac:dyDescent="0.25">
      <c r="A460" s="144"/>
      <c r="B460" s="144"/>
      <c r="C460" s="158"/>
      <c r="D460" s="158"/>
      <c r="E460" s="144"/>
      <c r="F460" s="158"/>
      <c r="G460" s="158"/>
      <c r="H460" s="144"/>
      <c r="I460" s="158"/>
      <c r="J460" s="158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</row>
    <row r="461" spans="1:23" ht="19.5" customHeight="1" x14ac:dyDescent="0.25">
      <c r="A461" s="144"/>
      <c r="B461" s="144"/>
      <c r="C461" s="158"/>
      <c r="D461" s="158"/>
      <c r="E461" s="144"/>
      <c r="F461" s="158"/>
      <c r="G461" s="158"/>
      <c r="H461" s="144"/>
      <c r="I461" s="158"/>
      <c r="J461" s="158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</row>
    <row r="462" spans="1:23" ht="19.5" customHeight="1" x14ac:dyDescent="0.25">
      <c r="A462" s="144"/>
      <c r="B462" s="144"/>
      <c r="C462" s="158"/>
      <c r="D462" s="158"/>
      <c r="E462" s="144"/>
      <c r="F462" s="158"/>
      <c r="G462" s="158"/>
      <c r="H462" s="144"/>
      <c r="I462" s="158"/>
      <c r="J462" s="158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</row>
    <row r="463" spans="1:23" ht="19.5" customHeight="1" x14ac:dyDescent="0.25">
      <c r="A463" s="144"/>
      <c r="B463" s="144"/>
      <c r="C463" s="158"/>
      <c r="D463" s="158"/>
      <c r="E463" s="144"/>
      <c r="F463" s="158"/>
      <c r="G463" s="158"/>
      <c r="H463" s="144"/>
      <c r="I463" s="158"/>
      <c r="J463" s="158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</row>
    <row r="464" spans="1:23" ht="19.5" customHeight="1" x14ac:dyDescent="0.25">
      <c r="A464" s="144"/>
      <c r="B464" s="144"/>
      <c r="C464" s="158"/>
      <c r="D464" s="158"/>
      <c r="E464" s="144"/>
      <c r="F464" s="158"/>
      <c r="G464" s="158"/>
      <c r="H464" s="144"/>
      <c r="I464" s="158"/>
      <c r="J464" s="158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</row>
    <row r="465" spans="1:23" ht="19.5" customHeight="1" x14ac:dyDescent="0.25">
      <c r="A465" s="144"/>
      <c r="B465" s="144"/>
      <c r="C465" s="158"/>
      <c r="D465" s="158"/>
      <c r="E465" s="144"/>
      <c r="F465" s="158"/>
      <c r="G465" s="158"/>
      <c r="H465" s="144"/>
      <c r="I465" s="158"/>
      <c r="J465" s="158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</row>
    <row r="466" spans="1:23" ht="19.5" customHeight="1" x14ac:dyDescent="0.25">
      <c r="A466" s="144"/>
      <c r="B466" s="144"/>
      <c r="C466" s="158"/>
      <c r="D466" s="158"/>
      <c r="E466" s="144"/>
      <c r="F466" s="158"/>
      <c r="G466" s="158"/>
      <c r="H466" s="144"/>
      <c r="I466" s="158"/>
      <c r="J466" s="158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</row>
    <row r="467" spans="1:23" ht="19.5" customHeight="1" x14ac:dyDescent="0.25">
      <c r="A467" s="144"/>
      <c r="B467" s="144"/>
      <c r="C467" s="158"/>
      <c r="D467" s="158"/>
      <c r="E467" s="144"/>
      <c r="F467" s="158"/>
      <c r="G467" s="158"/>
      <c r="H467" s="144"/>
      <c r="I467" s="158"/>
      <c r="J467" s="158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</row>
    <row r="468" spans="1:23" ht="19.5" customHeight="1" x14ac:dyDescent="0.25">
      <c r="A468" s="144"/>
      <c r="B468" s="144"/>
      <c r="C468" s="158"/>
      <c r="D468" s="158"/>
      <c r="E468" s="144"/>
      <c r="F468" s="158"/>
      <c r="G468" s="158"/>
      <c r="H468" s="144"/>
      <c r="I468" s="158"/>
      <c r="J468" s="158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</row>
    <row r="469" spans="1:23" ht="19.5" customHeight="1" x14ac:dyDescent="0.25">
      <c r="A469" s="144"/>
      <c r="B469" s="144"/>
      <c r="C469" s="158"/>
      <c r="D469" s="158"/>
      <c r="E469" s="144"/>
      <c r="F469" s="158"/>
      <c r="G469" s="158"/>
      <c r="H469" s="144"/>
      <c r="I469" s="158"/>
      <c r="J469" s="158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</row>
    <row r="470" spans="1:23" ht="19.5" customHeight="1" x14ac:dyDescent="0.25">
      <c r="A470" s="144"/>
      <c r="B470" s="144"/>
      <c r="C470" s="158"/>
      <c r="D470" s="158"/>
      <c r="E470" s="144"/>
      <c r="F470" s="158"/>
      <c r="G470" s="158"/>
      <c r="H470" s="144"/>
      <c r="I470" s="158"/>
      <c r="J470" s="158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</row>
    <row r="471" spans="1:23" ht="19.5" customHeight="1" x14ac:dyDescent="0.25">
      <c r="A471" s="144"/>
      <c r="B471" s="144"/>
      <c r="C471" s="158"/>
      <c r="D471" s="158"/>
      <c r="E471" s="144"/>
      <c r="F471" s="158"/>
      <c r="G471" s="158"/>
      <c r="H471" s="144"/>
      <c r="I471" s="158"/>
      <c r="J471" s="158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</row>
    <row r="472" spans="1:23" ht="19.5" customHeight="1" x14ac:dyDescent="0.25">
      <c r="A472" s="144"/>
      <c r="B472" s="144"/>
      <c r="C472" s="158"/>
      <c r="D472" s="158"/>
      <c r="E472" s="144"/>
      <c r="F472" s="158"/>
      <c r="G472" s="158"/>
      <c r="H472" s="144"/>
      <c r="I472" s="158"/>
      <c r="J472" s="158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</row>
    <row r="473" spans="1:23" ht="19.5" customHeight="1" x14ac:dyDescent="0.25">
      <c r="A473" s="144"/>
      <c r="B473" s="144"/>
      <c r="C473" s="158"/>
      <c r="D473" s="158"/>
      <c r="E473" s="144"/>
      <c r="F473" s="158"/>
      <c r="G473" s="158"/>
      <c r="H473" s="144"/>
      <c r="I473" s="158"/>
      <c r="J473" s="158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</row>
    <row r="474" spans="1:23" ht="19.5" customHeight="1" x14ac:dyDescent="0.25">
      <c r="A474" s="144"/>
      <c r="B474" s="144"/>
      <c r="C474" s="158"/>
      <c r="D474" s="158"/>
      <c r="E474" s="144"/>
      <c r="F474" s="158"/>
      <c r="G474" s="158"/>
      <c r="H474" s="144"/>
      <c r="I474" s="158"/>
      <c r="J474" s="158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</row>
    <row r="475" spans="1:23" ht="19.5" customHeight="1" x14ac:dyDescent="0.25">
      <c r="A475" s="144"/>
      <c r="B475" s="144"/>
      <c r="C475" s="158"/>
      <c r="D475" s="158"/>
      <c r="E475" s="144"/>
      <c r="F475" s="158"/>
      <c r="G475" s="158"/>
      <c r="H475" s="144"/>
      <c r="I475" s="158"/>
      <c r="J475" s="158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</row>
    <row r="476" spans="1:23" ht="19.5" customHeight="1" x14ac:dyDescent="0.25">
      <c r="A476" s="144"/>
      <c r="B476" s="144"/>
      <c r="C476" s="158"/>
      <c r="D476" s="158"/>
      <c r="E476" s="144"/>
      <c r="F476" s="158"/>
      <c r="G476" s="158"/>
      <c r="H476" s="144"/>
      <c r="I476" s="158"/>
      <c r="J476" s="158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</row>
    <row r="477" spans="1:23" ht="19.5" customHeight="1" x14ac:dyDescent="0.25">
      <c r="A477" s="144"/>
      <c r="B477" s="144"/>
      <c r="C477" s="158"/>
      <c r="D477" s="158"/>
      <c r="E477" s="144"/>
      <c r="F477" s="158"/>
      <c r="G477" s="158"/>
      <c r="H477" s="144"/>
      <c r="I477" s="158"/>
      <c r="J477" s="158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</row>
    <row r="478" spans="1:23" ht="19.5" customHeight="1" x14ac:dyDescent="0.25">
      <c r="A478" s="144"/>
      <c r="B478" s="144"/>
      <c r="C478" s="158"/>
      <c r="D478" s="158"/>
      <c r="E478" s="144"/>
      <c r="F478" s="158"/>
      <c r="G478" s="158"/>
      <c r="H478" s="144"/>
      <c r="I478" s="158"/>
      <c r="J478" s="158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</row>
    <row r="479" spans="1:23" ht="19.5" customHeight="1" x14ac:dyDescent="0.25">
      <c r="A479" s="144"/>
      <c r="B479" s="144"/>
      <c r="C479" s="158"/>
      <c r="D479" s="158"/>
      <c r="E479" s="144"/>
      <c r="F479" s="158"/>
      <c r="G479" s="158"/>
      <c r="H479" s="144"/>
      <c r="I479" s="158"/>
      <c r="J479" s="158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</row>
    <row r="480" spans="1:23" ht="19.5" customHeight="1" x14ac:dyDescent="0.25">
      <c r="A480" s="144"/>
      <c r="B480" s="144"/>
      <c r="C480" s="158"/>
      <c r="D480" s="158"/>
      <c r="E480" s="144"/>
      <c r="F480" s="158"/>
      <c r="G480" s="158"/>
      <c r="H480" s="144"/>
      <c r="I480" s="158"/>
      <c r="J480" s="158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</row>
    <row r="481" spans="1:23" ht="19.5" customHeight="1" x14ac:dyDescent="0.25">
      <c r="A481" s="144"/>
      <c r="B481" s="144"/>
      <c r="C481" s="158"/>
      <c r="D481" s="158"/>
      <c r="E481" s="144"/>
      <c r="F481" s="158"/>
      <c r="G481" s="158"/>
      <c r="H481" s="144"/>
      <c r="I481" s="158"/>
      <c r="J481" s="158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</row>
    <row r="482" spans="1:23" ht="19.5" customHeight="1" x14ac:dyDescent="0.25">
      <c r="A482" s="144"/>
      <c r="B482" s="144"/>
      <c r="C482" s="158"/>
      <c r="D482" s="158"/>
      <c r="E482" s="144"/>
      <c r="F482" s="158"/>
      <c r="G482" s="158"/>
      <c r="H482" s="144"/>
      <c r="I482" s="158"/>
      <c r="J482" s="158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</row>
    <row r="483" spans="1:23" ht="19.5" customHeight="1" x14ac:dyDescent="0.25">
      <c r="A483" s="144"/>
      <c r="B483" s="144"/>
      <c r="C483" s="158"/>
      <c r="D483" s="158"/>
      <c r="E483" s="144"/>
      <c r="F483" s="158"/>
      <c r="G483" s="158"/>
      <c r="H483" s="144"/>
      <c r="I483" s="158"/>
      <c r="J483" s="158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</row>
    <row r="484" spans="1:23" ht="19.5" customHeight="1" x14ac:dyDescent="0.25">
      <c r="A484" s="144"/>
      <c r="B484" s="144"/>
      <c r="C484" s="158"/>
      <c r="D484" s="158"/>
      <c r="E484" s="144"/>
      <c r="F484" s="158"/>
      <c r="G484" s="158"/>
      <c r="H484" s="144"/>
      <c r="I484" s="158"/>
      <c r="J484" s="158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</row>
    <row r="485" spans="1:23" ht="19.5" customHeight="1" x14ac:dyDescent="0.25">
      <c r="A485" s="144"/>
      <c r="B485" s="144"/>
      <c r="C485" s="158"/>
      <c r="D485" s="158"/>
      <c r="E485" s="144"/>
      <c r="F485" s="158"/>
      <c r="G485" s="158"/>
      <c r="H485" s="144"/>
      <c r="I485" s="158"/>
      <c r="J485" s="158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</row>
    <row r="486" spans="1:23" ht="19.5" customHeight="1" x14ac:dyDescent="0.25">
      <c r="A486" s="144"/>
      <c r="B486" s="144"/>
      <c r="C486" s="158"/>
      <c r="D486" s="158"/>
      <c r="E486" s="144"/>
      <c r="F486" s="158"/>
      <c r="G486" s="158"/>
      <c r="H486" s="144"/>
      <c r="I486" s="158"/>
      <c r="J486" s="158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</row>
    <row r="487" spans="1:23" ht="19.5" customHeight="1" x14ac:dyDescent="0.25">
      <c r="A487" s="144"/>
      <c r="B487" s="144"/>
      <c r="C487" s="158"/>
      <c r="D487" s="158"/>
      <c r="E487" s="144"/>
      <c r="F487" s="158"/>
      <c r="G487" s="158"/>
      <c r="H487" s="144"/>
      <c r="I487" s="158"/>
      <c r="J487" s="158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</row>
    <row r="488" spans="1:23" ht="19.5" customHeight="1" x14ac:dyDescent="0.25">
      <c r="A488" s="144"/>
      <c r="B488" s="144"/>
      <c r="C488" s="158"/>
      <c r="D488" s="158"/>
      <c r="E488" s="144"/>
      <c r="F488" s="158"/>
      <c r="G488" s="158"/>
      <c r="H488" s="144"/>
      <c r="I488" s="158"/>
      <c r="J488" s="158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</row>
    <row r="489" spans="1:23" ht="19.5" customHeight="1" x14ac:dyDescent="0.25">
      <c r="A489" s="144"/>
      <c r="B489" s="144"/>
      <c r="C489" s="158"/>
      <c r="D489" s="158"/>
      <c r="E489" s="144"/>
      <c r="F489" s="158"/>
      <c r="G489" s="158"/>
      <c r="H489" s="144"/>
      <c r="I489" s="158"/>
      <c r="J489" s="158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</row>
    <row r="490" spans="1:23" ht="19.5" customHeight="1" x14ac:dyDescent="0.25">
      <c r="A490" s="144"/>
      <c r="B490" s="144"/>
      <c r="C490" s="158"/>
      <c r="D490" s="158"/>
      <c r="E490" s="144"/>
      <c r="F490" s="158"/>
      <c r="G490" s="158"/>
      <c r="H490" s="144"/>
      <c r="I490" s="158"/>
      <c r="J490" s="158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</row>
    <row r="491" spans="1:23" ht="19.5" customHeight="1" x14ac:dyDescent="0.25">
      <c r="A491" s="144"/>
      <c r="B491" s="144"/>
      <c r="C491" s="158"/>
      <c r="D491" s="158"/>
      <c r="E491" s="144"/>
      <c r="F491" s="158"/>
      <c r="G491" s="158"/>
      <c r="H491" s="144"/>
      <c r="I491" s="158"/>
      <c r="J491" s="158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</row>
    <row r="492" spans="1:23" ht="19.5" customHeight="1" x14ac:dyDescent="0.25">
      <c r="A492" s="144"/>
      <c r="B492" s="144"/>
      <c r="C492" s="158"/>
      <c r="D492" s="158"/>
      <c r="E492" s="144"/>
      <c r="F492" s="158"/>
      <c r="G492" s="158"/>
      <c r="H492" s="144"/>
      <c r="I492" s="158"/>
      <c r="J492" s="158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</row>
    <row r="493" spans="1:23" ht="19.5" customHeight="1" x14ac:dyDescent="0.25">
      <c r="A493" s="144"/>
      <c r="B493" s="144"/>
      <c r="C493" s="158"/>
      <c r="D493" s="158"/>
      <c r="E493" s="144"/>
      <c r="F493" s="158"/>
      <c r="G493" s="158"/>
      <c r="H493" s="144"/>
      <c r="I493" s="158"/>
      <c r="J493" s="158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</row>
    <row r="494" spans="1:23" ht="19.5" customHeight="1" x14ac:dyDescent="0.25">
      <c r="A494" s="144"/>
      <c r="B494" s="144"/>
      <c r="C494" s="158"/>
      <c r="D494" s="158"/>
      <c r="E494" s="144"/>
      <c r="F494" s="158"/>
      <c r="G494" s="158"/>
      <c r="H494" s="144"/>
      <c r="I494" s="158"/>
      <c r="J494" s="158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</row>
    <row r="495" spans="1:23" ht="19.5" customHeight="1" x14ac:dyDescent="0.25">
      <c r="A495" s="144"/>
      <c r="B495" s="144"/>
      <c r="C495" s="158"/>
      <c r="D495" s="158"/>
      <c r="E495" s="144"/>
      <c r="F495" s="158"/>
      <c r="G495" s="158"/>
      <c r="H495" s="144"/>
      <c r="I495" s="158"/>
      <c r="J495" s="158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</row>
    <row r="496" spans="1:23" ht="19.5" customHeight="1" x14ac:dyDescent="0.25">
      <c r="A496" s="144"/>
      <c r="B496" s="144"/>
      <c r="C496" s="158"/>
      <c r="D496" s="158"/>
      <c r="E496" s="144"/>
      <c r="F496" s="158"/>
      <c r="G496" s="158"/>
      <c r="H496" s="144"/>
      <c r="I496" s="158"/>
      <c r="J496" s="158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</row>
    <row r="497" spans="1:23" ht="19.5" customHeight="1" x14ac:dyDescent="0.25">
      <c r="A497" s="144"/>
      <c r="B497" s="144"/>
      <c r="C497" s="158"/>
      <c r="D497" s="158"/>
      <c r="E497" s="144"/>
      <c r="F497" s="158"/>
      <c r="G497" s="158"/>
      <c r="H497" s="144"/>
      <c r="I497" s="158"/>
      <c r="J497" s="158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</row>
    <row r="498" spans="1:23" ht="19.5" customHeight="1" x14ac:dyDescent="0.25">
      <c r="A498" s="144"/>
      <c r="B498" s="144"/>
      <c r="C498" s="158"/>
      <c r="D498" s="158"/>
      <c r="E498" s="144"/>
      <c r="F498" s="158"/>
      <c r="G498" s="158"/>
      <c r="H498" s="144"/>
      <c r="I498" s="158"/>
      <c r="J498" s="158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</row>
    <row r="499" spans="1:23" ht="19.5" customHeight="1" x14ac:dyDescent="0.25">
      <c r="A499" s="144"/>
      <c r="B499" s="144"/>
      <c r="C499" s="158"/>
      <c r="D499" s="158"/>
      <c r="E499" s="144"/>
      <c r="F499" s="158"/>
      <c r="G499" s="158"/>
      <c r="H499" s="144"/>
      <c r="I499" s="158"/>
      <c r="J499" s="158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</row>
    <row r="500" spans="1:23" ht="19.5" customHeight="1" x14ac:dyDescent="0.25">
      <c r="A500" s="144"/>
      <c r="B500" s="144"/>
      <c r="C500" s="158"/>
      <c r="D500" s="158"/>
      <c r="E500" s="144"/>
      <c r="F500" s="158"/>
      <c r="G500" s="158"/>
      <c r="H500" s="144"/>
      <c r="I500" s="158"/>
      <c r="J500" s="158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</row>
    <row r="501" spans="1:23" ht="19.5" customHeight="1" x14ac:dyDescent="0.25">
      <c r="A501" s="144"/>
      <c r="B501" s="144"/>
      <c r="C501" s="158"/>
      <c r="D501" s="158"/>
      <c r="E501" s="144"/>
      <c r="F501" s="158"/>
      <c r="G501" s="158"/>
      <c r="H501" s="144"/>
      <c r="I501" s="158"/>
      <c r="J501" s="158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</row>
    <row r="502" spans="1:23" ht="19.5" customHeight="1" x14ac:dyDescent="0.25">
      <c r="A502" s="144"/>
      <c r="B502" s="144"/>
      <c r="C502" s="158"/>
      <c r="D502" s="158"/>
      <c r="E502" s="144"/>
      <c r="F502" s="158"/>
      <c r="G502" s="158"/>
      <c r="H502" s="144"/>
      <c r="I502" s="158"/>
      <c r="J502" s="158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</row>
    <row r="503" spans="1:23" ht="19.5" customHeight="1" x14ac:dyDescent="0.25">
      <c r="A503" s="144"/>
      <c r="B503" s="144"/>
      <c r="C503" s="158"/>
      <c r="D503" s="158"/>
      <c r="E503" s="144"/>
      <c r="F503" s="158"/>
      <c r="G503" s="158"/>
      <c r="H503" s="144"/>
      <c r="I503" s="158"/>
      <c r="J503" s="158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</row>
    <row r="504" spans="1:23" ht="19.5" customHeight="1" x14ac:dyDescent="0.25">
      <c r="A504" s="144"/>
      <c r="B504" s="144"/>
      <c r="C504" s="158"/>
      <c r="D504" s="158"/>
      <c r="E504" s="144"/>
      <c r="F504" s="158"/>
      <c r="G504" s="158"/>
      <c r="H504" s="144"/>
      <c r="I504" s="158"/>
      <c r="J504" s="158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</row>
    <row r="505" spans="1:23" ht="19.5" customHeight="1" x14ac:dyDescent="0.25">
      <c r="A505" s="144"/>
      <c r="B505" s="144"/>
      <c r="C505" s="158"/>
      <c r="D505" s="158"/>
      <c r="E505" s="144"/>
      <c r="F505" s="158"/>
      <c r="G505" s="158"/>
      <c r="H505" s="144"/>
      <c r="I505" s="158"/>
      <c r="J505" s="158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</row>
    <row r="506" spans="1:23" ht="19.5" customHeight="1" x14ac:dyDescent="0.25">
      <c r="A506" s="144"/>
      <c r="B506" s="144"/>
      <c r="C506" s="158"/>
      <c r="D506" s="158"/>
      <c r="E506" s="144"/>
      <c r="F506" s="158"/>
      <c r="G506" s="158"/>
      <c r="H506" s="144"/>
      <c r="I506" s="158"/>
      <c r="J506" s="158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</row>
    <row r="507" spans="1:23" ht="19.5" customHeight="1" x14ac:dyDescent="0.25">
      <c r="A507" s="144"/>
      <c r="B507" s="144"/>
      <c r="C507" s="158"/>
      <c r="D507" s="158"/>
      <c r="E507" s="144"/>
      <c r="F507" s="158"/>
      <c r="G507" s="158"/>
      <c r="H507" s="144"/>
      <c r="I507" s="158"/>
      <c r="J507" s="158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</row>
    <row r="508" spans="1:23" ht="19.5" customHeight="1" x14ac:dyDescent="0.25">
      <c r="A508" s="144"/>
      <c r="B508" s="144"/>
      <c r="C508" s="158"/>
      <c r="D508" s="158"/>
      <c r="E508" s="144"/>
      <c r="F508" s="158"/>
      <c r="G508" s="158"/>
      <c r="H508" s="144"/>
      <c r="I508" s="158"/>
      <c r="J508" s="158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</row>
    <row r="509" spans="1:23" ht="19.5" customHeight="1" x14ac:dyDescent="0.25">
      <c r="A509" s="144"/>
      <c r="B509" s="144"/>
      <c r="C509" s="158"/>
      <c r="D509" s="158"/>
      <c r="E509" s="144"/>
      <c r="F509" s="158"/>
      <c r="G509" s="158"/>
      <c r="H509" s="144"/>
      <c r="I509" s="158"/>
      <c r="J509" s="158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</row>
    <row r="510" spans="1:23" ht="19.5" customHeight="1" x14ac:dyDescent="0.25">
      <c r="A510" s="144"/>
      <c r="B510" s="144"/>
      <c r="C510" s="158"/>
      <c r="D510" s="158"/>
      <c r="E510" s="144"/>
      <c r="F510" s="158"/>
      <c r="G510" s="158"/>
      <c r="H510" s="144"/>
      <c r="I510" s="158"/>
      <c r="J510" s="158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</row>
    <row r="511" spans="1:23" ht="19.5" customHeight="1" x14ac:dyDescent="0.25">
      <c r="A511" s="144"/>
      <c r="B511" s="144"/>
      <c r="C511" s="158"/>
      <c r="D511" s="158"/>
      <c r="E511" s="144"/>
      <c r="F511" s="158"/>
      <c r="G511" s="158"/>
      <c r="H511" s="144"/>
      <c r="I511" s="158"/>
      <c r="J511" s="158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</row>
    <row r="512" spans="1:23" ht="19.5" customHeight="1" x14ac:dyDescent="0.25">
      <c r="A512" s="144"/>
      <c r="B512" s="144"/>
      <c r="C512" s="158"/>
      <c r="D512" s="158"/>
      <c r="E512" s="144"/>
      <c r="F512" s="158"/>
      <c r="G512" s="158"/>
      <c r="H512" s="144"/>
      <c r="I512" s="158"/>
      <c r="J512" s="158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</row>
    <row r="513" spans="1:23" ht="19.5" customHeight="1" x14ac:dyDescent="0.25">
      <c r="A513" s="144"/>
      <c r="B513" s="144"/>
      <c r="C513" s="158"/>
      <c r="D513" s="158"/>
      <c r="E513" s="144"/>
      <c r="F513" s="158"/>
      <c r="G513" s="158"/>
      <c r="H513" s="144"/>
      <c r="I513" s="158"/>
      <c r="J513" s="158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</row>
    <row r="514" spans="1:23" ht="19.5" customHeight="1" x14ac:dyDescent="0.25">
      <c r="A514" s="144"/>
      <c r="B514" s="144"/>
      <c r="C514" s="158"/>
      <c r="D514" s="158"/>
      <c r="E514" s="144"/>
      <c r="F514" s="158"/>
      <c r="G514" s="158"/>
      <c r="H514" s="144"/>
      <c r="I514" s="158"/>
      <c r="J514" s="158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</row>
    <row r="515" spans="1:23" ht="19.5" customHeight="1" x14ac:dyDescent="0.25">
      <c r="A515" s="144"/>
      <c r="B515" s="144"/>
      <c r="C515" s="158"/>
      <c r="D515" s="158"/>
      <c r="E515" s="144"/>
      <c r="F515" s="158"/>
      <c r="G515" s="158"/>
      <c r="H515" s="144"/>
      <c r="I515" s="158"/>
      <c r="J515" s="158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</row>
    <row r="516" spans="1:23" ht="19.5" customHeight="1" x14ac:dyDescent="0.25">
      <c r="A516" s="144"/>
      <c r="B516" s="144"/>
      <c r="C516" s="158"/>
      <c r="D516" s="158"/>
      <c r="E516" s="144"/>
      <c r="F516" s="158"/>
      <c r="G516" s="158"/>
      <c r="H516" s="144"/>
      <c r="I516" s="158"/>
      <c r="J516" s="158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</row>
    <row r="517" spans="1:23" ht="19.5" customHeight="1" x14ac:dyDescent="0.25">
      <c r="A517" s="144"/>
      <c r="B517" s="144"/>
      <c r="C517" s="158"/>
      <c r="D517" s="158"/>
      <c r="E517" s="144"/>
      <c r="F517" s="158"/>
      <c r="G517" s="158"/>
      <c r="H517" s="144"/>
      <c r="I517" s="158"/>
      <c r="J517" s="158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</row>
    <row r="518" spans="1:23" ht="19.5" customHeight="1" x14ac:dyDescent="0.25">
      <c r="A518" s="144"/>
      <c r="B518" s="144"/>
      <c r="C518" s="158"/>
      <c r="D518" s="158"/>
      <c r="E518" s="144"/>
      <c r="F518" s="158"/>
      <c r="G518" s="158"/>
      <c r="H518" s="144"/>
      <c r="I518" s="158"/>
      <c r="J518" s="158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</row>
    <row r="519" spans="1:23" ht="19.5" customHeight="1" x14ac:dyDescent="0.25">
      <c r="A519" s="144"/>
      <c r="B519" s="144"/>
      <c r="C519" s="158"/>
      <c r="D519" s="158"/>
      <c r="E519" s="144"/>
      <c r="F519" s="158"/>
      <c r="G519" s="158"/>
      <c r="H519" s="144"/>
      <c r="I519" s="158"/>
      <c r="J519" s="158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</row>
    <row r="520" spans="1:23" ht="19.5" customHeight="1" x14ac:dyDescent="0.25">
      <c r="A520" s="144"/>
      <c r="B520" s="144"/>
      <c r="C520" s="158"/>
      <c r="D520" s="158"/>
      <c r="E520" s="144"/>
      <c r="F520" s="158"/>
      <c r="G520" s="158"/>
      <c r="H520" s="144"/>
      <c r="I520" s="158"/>
      <c r="J520" s="158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</row>
    <row r="521" spans="1:23" ht="19.5" customHeight="1" x14ac:dyDescent="0.25">
      <c r="A521" s="144"/>
      <c r="B521" s="144"/>
      <c r="C521" s="158"/>
      <c r="D521" s="158"/>
      <c r="E521" s="144"/>
      <c r="F521" s="158"/>
      <c r="G521" s="158"/>
      <c r="H521" s="144"/>
      <c r="I521" s="158"/>
      <c r="J521" s="158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</row>
    <row r="522" spans="1:23" ht="19.5" customHeight="1" x14ac:dyDescent="0.25">
      <c r="A522" s="144"/>
      <c r="B522" s="144"/>
      <c r="C522" s="158"/>
      <c r="D522" s="158"/>
      <c r="E522" s="144"/>
      <c r="F522" s="158"/>
      <c r="G522" s="158"/>
      <c r="H522" s="144"/>
      <c r="I522" s="158"/>
      <c r="J522" s="158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</row>
    <row r="523" spans="1:23" ht="19.5" customHeight="1" x14ac:dyDescent="0.25">
      <c r="A523" s="144"/>
      <c r="B523" s="144"/>
      <c r="C523" s="158"/>
      <c r="D523" s="158"/>
      <c r="E523" s="144"/>
      <c r="F523" s="158"/>
      <c r="G523" s="158"/>
      <c r="H523" s="144"/>
      <c r="I523" s="158"/>
      <c r="J523" s="158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</row>
    <row r="524" spans="1:23" ht="19.5" customHeight="1" x14ac:dyDescent="0.25">
      <c r="A524" s="144"/>
      <c r="B524" s="144"/>
      <c r="C524" s="158"/>
      <c r="D524" s="158"/>
      <c r="E524" s="144"/>
      <c r="F524" s="158"/>
      <c r="G524" s="158"/>
      <c r="H524" s="144"/>
      <c r="I524" s="158"/>
      <c r="J524" s="158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</row>
    <row r="525" spans="1:23" ht="19.5" customHeight="1" x14ac:dyDescent="0.25">
      <c r="A525" s="144"/>
      <c r="B525" s="144"/>
      <c r="C525" s="158"/>
      <c r="D525" s="158"/>
      <c r="E525" s="144"/>
      <c r="F525" s="158"/>
      <c r="G525" s="158"/>
      <c r="H525" s="144"/>
      <c r="I525" s="158"/>
      <c r="J525" s="158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</row>
    <row r="526" spans="1:23" ht="19.5" customHeight="1" x14ac:dyDescent="0.25">
      <c r="A526" s="144"/>
      <c r="B526" s="144"/>
      <c r="C526" s="158"/>
      <c r="D526" s="158"/>
      <c r="E526" s="144"/>
      <c r="F526" s="158"/>
      <c r="G526" s="158"/>
      <c r="H526" s="144"/>
      <c r="I526" s="158"/>
      <c r="J526" s="158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</row>
    <row r="527" spans="1:23" ht="19.5" customHeight="1" x14ac:dyDescent="0.25">
      <c r="A527" s="144"/>
      <c r="B527" s="144"/>
      <c r="C527" s="158"/>
      <c r="D527" s="158"/>
      <c r="E527" s="144"/>
      <c r="F527" s="158"/>
      <c r="G527" s="158"/>
      <c r="H527" s="144"/>
      <c r="I527" s="158"/>
      <c r="J527" s="158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</row>
    <row r="528" spans="1:23" ht="19.5" customHeight="1" x14ac:dyDescent="0.25">
      <c r="A528" s="144"/>
      <c r="B528" s="144"/>
      <c r="C528" s="158"/>
      <c r="D528" s="158"/>
      <c r="E528" s="144"/>
      <c r="F528" s="158"/>
      <c r="G528" s="158"/>
      <c r="H528" s="144"/>
      <c r="I528" s="158"/>
      <c r="J528" s="158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</row>
    <row r="529" spans="1:23" ht="19.5" customHeight="1" x14ac:dyDescent="0.25">
      <c r="A529" s="144"/>
      <c r="B529" s="144"/>
      <c r="C529" s="158"/>
      <c r="D529" s="158"/>
      <c r="E529" s="144"/>
      <c r="F529" s="158"/>
      <c r="G529" s="158"/>
      <c r="H529" s="144"/>
      <c r="I529" s="158"/>
      <c r="J529" s="158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</row>
    <row r="530" spans="1:23" ht="19.5" customHeight="1" x14ac:dyDescent="0.25">
      <c r="A530" s="144"/>
      <c r="B530" s="144"/>
      <c r="C530" s="158"/>
      <c r="D530" s="158"/>
      <c r="E530" s="144"/>
      <c r="F530" s="158"/>
      <c r="G530" s="158"/>
      <c r="H530" s="144"/>
      <c r="I530" s="158"/>
      <c r="J530" s="158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</row>
    <row r="531" spans="1:23" ht="19.5" customHeight="1" x14ac:dyDescent="0.25">
      <c r="A531" s="144"/>
      <c r="B531" s="144"/>
      <c r="C531" s="158"/>
      <c r="D531" s="158"/>
      <c r="E531" s="144"/>
      <c r="F531" s="158"/>
      <c r="G531" s="158"/>
      <c r="H531" s="144"/>
      <c r="I531" s="158"/>
      <c r="J531" s="158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</row>
    <row r="532" spans="1:23" ht="19.5" customHeight="1" x14ac:dyDescent="0.25">
      <c r="A532" s="144"/>
      <c r="B532" s="144"/>
      <c r="C532" s="158"/>
      <c r="D532" s="158"/>
      <c r="E532" s="144"/>
      <c r="F532" s="158"/>
      <c r="G532" s="158"/>
      <c r="H532" s="144"/>
      <c r="I532" s="158"/>
      <c r="J532" s="158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</row>
    <row r="533" spans="1:23" ht="19.5" customHeight="1" x14ac:dyDescent="0.25">
      <c r="A533" s="144"/>
      <c r="B533" s="144"/>
      <c r="C533" s="158"/>
      <c r="D533" s="158"/>
      <c r="E533" s="144"/>
      <c r="F533" s="158"/>
      <c r="G533" s="158"/>
      <c r="H533" s="144"/>
      <c r="I533" s="158"/>
      <c r="J533" s="158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</row>
    <row r="534" spans="1:23" ht="19.5" customHeight="1" x14ac:dyDescent="0.25">
      <c r="A534" s="144"/>
      <c r="B534" s="144"/>
      <c r="C534" s="158"/>
      <c r="D534" s="158"/>
      <c r="E534" s="144"/>
      <c r="F534" s="158"/>
      <c r="G534" s="158"/>
      <c r="H534" s="144"/>
      <c r="I534" s="158"/>
      <c r="J534" s="158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</row>
    <row r="535" spans="1:23" ht="19.5" customHeight="1" x14ac:dyDescent="0.25">
      <c r="A535" s="144"/>
      <c r="B535" s="144"/>
      <c r="C535" s="158"/>
      <c r="D535" s="158"/>
      <c r="E535" s="144"/>
      <c r="F535" s="158"/>
      <c r="G535" s="158"/>
      <c r="H535" s="144"/>
      <c r="I535" s="158"/>
      <c r="J535" s="158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</row>
    <row r="536" spans="1:23" ht="19.5" customHeight="1" x14ac:dyDescent="0.25">
      <c r="A536" s="144"/>
      <c r="B536" s="144"/>
      <c r="C536" s="158"/>
      <c r="D536" s="158"/>
      <c r="E536" s="144"/>
      <c r="F536" s="158"/>
      <c r="G536" s="158"/>
      <c r="H536" s="144"/>
      <c r="I536" s="158"/>
      <c r="J536" s="158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</row>
    <row r="537" spans="1:23" ht="19.5" customHeight="1" x14ac:dyDescent="0.25">
      <c r="A537" s="144"/>
      <c r="B537" s="144"/>
      <c r="C537" s="158"/>
      <c r="D537" s="158"/>
      <c r="E537" s="144"/>
      <c r="F537" s="158"/>
      <c r="G537" s="158"/>
      <c r="H537" s="144"/>
      <c r="I537" s="158"/>
      <c r="J537" s="158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</row>
    <row r="538" spans="1:23" ht="19.5" customHeight="1" x14ac:dyDescent="0.25">
      <c r="A538" s="144"/>
      <c r="B538" s="144"/>
      <c r="C538" s="158"/>
      <c r="D538" s="158"/>
      <c r="E538" s="144"/>
      <c r="F538" s="158"/>
      <c r="G538" s="158"/>
      <c r="H538" s="144"/>
      <c r="I538" s="158"/>
      <c r="J538" s="158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</row>
    <row r="539" spans="1:23" ht="19.5" customHeight="1" x14ac:dyDescent="0.25">
      <c r="A539" s="144"/>
      <c r="B539" s="144"/>
      <c r="C539" s="158"/>
      <c r="D539" s="158"/>
      <c r="E539" s="144"/>
      <c r="F539" s="158"/>
      <c r="G539" s="158"/>
      <c r="H539" s="144"/>
      <c r="I539" s="158"/>
      <c r="J539" s="158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</row>
    <row r="540" spans="1:23" ht="19.5" customHeight="1" x14ac:dyDescent="0.25">
      <c r="A540" s="144"/>
      <c r="B540" s="144"/>
      <c r="C540" s="158"/>
      <c r="D540" s="158"/>
      <c r="E540" s="144"/>
      <c r="F540" s="158"/>
      <c r="G540" s="158"/>
      <c r="H540" s="144"/>
      <c r="I540" s="158"/>
      <c r="J540" s="158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</row>
    <row r="541" spans="1:23" ht="19.5" customHeight="1" x14ac:dyDescent="0.25">
      <c r="A541" s="144"/>
      <c r="B541" s="144"/>
      <c r="C541" s="158"/>
      <c r="D541" s="158"/>
      <c r="E541" s="144"/>
      <c r="F541" s="158"/>
      <c r="G541" s="158"/>
      <c r="H541" s="144"/>
      <c r="I541" s="158"/>
      <c r="J541" s="158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</row>
    <row r="542" spans="1:23" ht="19.5" customHeight="1" x14ac:dyDescent="0.25">
      <c r="A542" s="144"/>
      <c r="B542" s="144"/>
      <c r="C542" s="158"/>
      <c r="D542" s="158"/>
      <c r="E542" s="144"/>
      <c r="F542" s="158"/>
      <c r="G542" s="158"/>
      <c r="H542" s="144"/>
      <c r="I542" s="158"/>
      <c r="J542" s="158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</row>
    <row r="543" spans="1:23" ht="19.5" customHeight="1" x14ac:dyDescent="0.25">
      <c r="A543" s="144"/>
      <c r="B543" s="144"/>
      <c r="C543" s="158"/>
      <c r="D543" s="158"/>
      <c r="E543" s="144"/>
      <c r="F543" s="158"/>
      <c r="G543" s="158"/>
      <c r="H543" s="144"/>
      <c r="I543" s="158"/>
      <c r="J543" s="158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</row>
    <row r="544" spans="1:23" ht="19.5" customHeight="1" x14ac:dyDescent="0.25">
      <c r="A544" s="144"/>
      <c r="B544" s="144"/>
      <c r="C544" s="158"/>
      <c r="D544" s="158"/>
      <c r="E544" s="144"/>
      <c r="F544" s="158"/>
      <c r="G544" s="158"/>
      <c r="H544" s="144"/>
      <c r="I544" s="158"/>
      <c r="J544" s="158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</row>
    <row r="545" spans="1:23" ht="19.5" customHeight="1" x14ac:dyDescent="0.25">
      <c r="A545" s="144"/>
      <c r="B545" s="144"/>
      <c r="C545" s="158"/>
      <c r="D545" s="158"/>
      <c r="E545" s="144"/>
      <c r="F545" s="158"/>
      <c r="G545" s="158"/>
      <c r="H545" s="144"/>
      <c r="I545" s="158"/>
      <c r="J545" s="158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</row>
    <row r="546" spans="1:23" ht="19.5" customHeight="1" x14ac:dyDescent="0.25">
      <c r="A546" s="144"/>
      <c r="B546" s="144"/>
      <c r="C546" s="158"/>
      <c r="D546" s="158"/>
      <c r="E546" s="144"/>
      <c r="F546" s="158"/>
      <c r="G546" s="158"/>
      <c r="H546" s="144"/>
      <c r="I546" s="158"/>
      <c r="J546" s="158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</row>
    <row r="547" spans="1:23" ht="19.5" customHeight="1" x14ac:dyDescent="0.25">
      <c r="A547" s="144"/>
      <c r="B547" s="144"/>
      <c r="C547" s="158"/>
      <c r="D547" s="158"/>
      <c r="E547" s="144"/>
      <c r="F547" s="158"/>
      <c r="G547" s="158"/>
      <c r="H547" s="144"/>
      <c r="I547" s="158"/>
      <c r="J547" s="158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</row>
    <row r="548" spans="1:23" ht="19.5" customHeight="1" x14ac:dyDescent="0.25">
      <c r="A548" s="144"/>
      <c r="B548" s="144"/>
      <c r="C548" s="158"/>
      <c r="D548" s="158"/>
      <c r="E548" s="144"/>
      <c r="F548" s="158"/>
      <c r="G548" s="158"/>
      <c r="H548" s="144"/>
      <c r="I548" s="158"/>
      <c r="J548" s="158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</row>
    <row r="549" spans="1:23" ht="19.5" customHeight="1" x14ac:dyDescent="0.25">
      <c r="A549" s="144"/>
      <c r="B549" s="144"/>
      <c r="C549" s="158"/>
      <c r="D549" s="158"/>
      <c r="E549" s="144"/>
      <c r="F549" s="158"/>
      <c r="G549" s="158"/>
      <c r="H549" s="144"/>
      <c r="I549" s="158"/>
      <c r="J549" s="158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</row>
    <row r="550" spans="1:23" ht="19.5" customHeight="1" x14ac:dyDescent="0.25">
      <c r="A550" s="144"/>
      <c r="B550" s="144"/>
      <c r="C550" s="158"/>
      <c r="D550" s="158"/>
      <c r="E550" s="144"/>
      <c r="F550" s="158"/>
      <c r="G550" s="158"/>
      <c r="H550" s="144"/>
      <c r="I550" s="158"/>
      <c r="J550" s="158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</row>
    <row r="551" spans="1:23" ht="19.5" customHeight="1" x14ac:dyDescent="0.25">
      <c r="A551" s="144"/>
      <c r="B551" s="144"/>
      <c r="C551" s="158"/>
      <c r="D551" s="158"/>
      <c r="E551" s="144"/>
      <c r="F551" s="158"/>
      <c r="G551" s="158"/>
      <c r="H551" s="144"/>
      <c r="I551" s="158"/>
      <c r="J551" s="158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</row>
    <row r="552" spans="1:23" ht="19.5" customHeight="1" x14ac:dyDescent="0.25">
      <c r="A552" s="144"/>
      <c r="B552" s="144"/>
      <c r="C552" s="158"/>
      <c r="D552" s="158"/>
      <c r="E552" s="144"/>
      <c r="F552" s="158"/>
      <c r="G552" s="158"/>
      <c r="H552" s="144"/>
      <c r="I552" s="158"/>
      <c r="J552" s="158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</row>
    <row r="553" spans="1:23" ht="19.5" customHeight="1" x14ac:dyDescent="0.25">
      <c r="A553" s="144"/>
      <c r="B553" s="144"/>
      <c r="C553" s="158"/>
      <c r="D553" s="158"/>
      <c r="E553" s="144"/>
      <c r="F553" s="158"/>
      <c r="G553" s="158"/>
      <c r="H553" s="144"/>
      <c r="I553" s="158"/>
      <c r="J553" s="158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</row>
    <row r="554" spans="1:23" ht="19.5" customHeight="1" x14ac:dyDescent="0.25">
      <c r="A554" s="144"/>
      <c r="B554" s="144"/>
      <c r="C554" s="158"/>
      <c r="D554" s="158"/>
      <c r="E554" s="144"/>
      <c r="F554" s="158"/>
      <c r="G554" s="158"/>
      <c r="H554" s="144"/>
      <c r="I554" s="158"/>
      <c r="J554" s="158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</row>
    <row r="555" spans="1:23" ht="19.5" customHeight="1" x14ac:dyDescent="0.25">
      <c r="A555" s="144"/>
      <c r="B555" s="144"/>
      <c r="C555" s="158"/>
      <c r="D555" s="158"/>
      <c r="E555" s="144"/>
      <c r="F555" s="158"/>
      <c r="G555" s="158"/>
      <c r="H555" s="144"/>
      <c r="I555" s="158"/>
      <c r="J555" s="158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</row>
    <row r="556" spans="1:23" ht="19.5" customHeight="1" x14ac:dyDescent="0.25">
      <c r="A556" s="144"/>
      <c r="B556" s="144"/>
      <c r="C556" s="158"/>
      <c r="D556" s="158"/>
      <c r="E556" s="144"/>
      <c r="F556" s="158"/>
      <c r="G556" s="158"/>
      <c r="H556" s="144"/>
      <c r="I556" s="158"/>
      <c r="J556" s="158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</row>
    <row r="557" spans="1:23" ht="19.5" customHeight="1" x14ac:dyDescent="0.25">
      <c r="A557" s="144"/>
      <c r="B557" s="144"/>
      <c r="C557" s="158"/>
      <c r="D557" s="158"/>
      <c r="E557" s="144"/>
      <c r="F557" s="158"/>
      <c r="G557" s="158"/>
      <c r="H557" s="144"/>
      <c r="I557" s="158"/>
      <c r="J557" s="158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</row>
    <row r="558" spans="1:23" ht="19.5" customHeight="1" x14ac:dyDescent="0.25">
      <c r="A558" s="144"/>
      <c r="B558" s="144"/>
      <c r="C558" s="158"/>
      <c r="D558" s="158"/>
      <c r="E558" s="144"/>
      <c r="F558" s="158"/>
      <c r="G558" s="158"/>
      <c r="H558" s="144"/>
      <c r="I558" s="158"/>
      <c r="J558" s="158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</row>
    <row r="559" spans="1:23" ht="19.5" customHeight="1" x14ac:dyDescent="0.25">
      <c r="A559" s="144"/>
      <c r="B559" s="144"/>
      <c r="C559" s="158"/>
      <c r="D559" s="158"/>
      <c r="E559" s="144"/>
      <c r="F559" s="158"/>
      <c r="G559" s="158"/>
      <c r="H559" s="144"/>
      <c r="I559" s="158"/>
      <c r="J559" s="158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</row>
    <row r="560" spans="1:23" ht="19.5" customHeight="1" x14ac:dyDescent="0.25">
      <c r="A560" s="144"/>
      <c r="B560" s="144"/>
      <c r="C560" s="158"/>
      <c r="D560" s="158"/>
      <c r="E560" s="144"/>
      <c r="F560" s="158"/>
      <c r="G560" s="158"/>
      <c r="H560" s="144"/>
      <c r="I560" s="158"/>
      <c r="J560" s="158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</row>
    <row r="561" spans="1:23" ht="19.5" customHeight="1" x14ac:dyDescent="0.25">
      <c r="A561" s="144"/>
      <c r="B561" s="144"/>
      <c r="C561" s="158"/>
      <c r="D561" s="158"/>
      <c r="E561" s="144"/>
      <c r="F561" s="158"/>
      <c r="G561" s="158"/>
      <c r="H561" s="144"/>
      <c r="I561" s="158"/>
      <c r="J561" s="158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</row>
    <row r="562" spans="1:23" ht="19.5" customHeight="1" x14ac:dyDescent="0.25">
      <c r="A562" s="144"/>
      <c r="B562" s="144"/>
      <c r="C562" s="158"/>
      <c r="D562" s="158"/>
      <c r="E562" s="144"/>
      <c r="F562" s="158"/>
      <c r="G562" s="158"/>
      <c r="H562" s="144"/>
      <c r="I562" s="158"/>
      <c r="J562" s="158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</row>
    <row r="563" spans="1:23" ht="19.5" customHeight="1" x14ac:dyDescent="0.25">
      <c r="A563" s="144"/>
      <c r="B563" s="144"/>
      <c r="C563" s="158"/>
      <c r="D563" s="158"/>
      <c r="E563" s="144"/>
      <c r="F563" s="158"/>
      <c r="G563" s="158"/>
      <c r="H563" s="144"/>
      <c r="I563" s="158"/>
      <c r="J563" s="158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</row>
    <row r="564" spans="1:23" ht="19.5" customHeight="1" x14ac:dyDescent="0.25">
      <c r="A564" s="144"/>
      <c r="B564" s="144"/>
      <c r="C564" s="158"/>
      <c r="D564" s="158"/>
      <c r="E564" s="144"/>
      <c r="F564" s="158"/>
      <c r="G564" s="158"/>
      <c r="H564" s="144"/>
      <c r="I564" s="158"/>
      <c r="J564" s="158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</row>
    <row r="565" spans="1:23" ht="19.5" customHeight="1" x14ac:dyDescent="0.25">
      <c r="A565" s="144"/>
      <c r="B565" s="144"/>
      <c r="C565" s="158"/>
      <c r="D565" s="158"/>
      <c r="E565" s="144"/>
      <c r="F565" s="158"/>
      <c r="G565" s="158"/>
      <c r="H565" s="144"/>
      <c r="I565" s="158"/>
      <c r="J565" s="158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</row>
    <row r="566" spans="1:23" ht="19.5" customHeight="1" x14ac:dyDescent="0.25">
      <c r="A566" s="144"/>
      <c r="B566" s="144"/>
      <c r="C566" s="158"/>
      <c r="D566" s="158"/>
      <c r="E566" s="144"/>
      <c r="F566" s="158"/>
      <c r="G566" s="158"/>
      <c r="H566" s="144"/>
      <c r="I566" s="158"/>
      <c r="J566" s="158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</row>
    <row r="567" spans="1:23" ht="19.5" customHeight="1" x14ac:dyDescent="0.25">
      <c r="A567" s="144"/>
      <c r="B567" s="144"/>
      <c r="C567" s="158"/>
      <c r="D567" s="158"/>
      <c r="E567" s="144"/>
      <c r="F567" s="158"/>
      <c r="G567" s="158"/>
      <c r="H567" s="144"/>
      <c r="I567" s="158"/>
      <c r="J567" s="158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</row>
    <row r="568" spans="1:23" ht="19.5" customHeight="1" x14ac:dyDescent="0.25">
      <c r="A568" s="144"/>
      <c r="B568" s="144"/>
      <c r="C568" s="158"/>
      <c r="D568" s="158"/>
      <c r="E568" s="144"/>
      <c r="F568" s="158"/>
      <c r="G568" s="158"/>
      <c r="H568" s="144"/>
      <c r="I568" s="158"/>
      <c r="J568" s="158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</row>
    <row r="569" spans="1:23" ht="19.5" customHeight="1" x14ac:dyDescent="0.25">
      <c r="A569" s="144"/>
      <c r="B569" s="144"/>
      <c r="C569" s="158"/>
      <c r="D569" s="158"/>
      <c r="E569" s="144"/>
      <c r="F569" s="158"/>
      <c r="G569" s="158"/>
      <c r="H569" s="144"/>
      <c r="I569" s="158"/>
      <c r="J569" s="158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</row>
    <row r="570" spans="1:23" ht="19.5" customHeight="1" x14ac:dyDescent="0.25">
      <c r="A570" s="144"/>
      <c r="B570" s="144"/>
      <c r="C570" s="158"/>
      <c r="D570" s="158"/>
      <c r="E570" s="144"/>
      <c r="F570" s="158"/>
      <c r="G570" s="158"/>
      <c r="H570" s="144"/>
      <c r="I570" s="158"/>
      <c r="J570" s="158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</row>
    <row r="571" spans="1:23" ht="19.5" customHeight="1" x14ac:dyDescent="0.25">
      <c r="A571" s="144"/>
      <c r="B571" s="144"/>
      <c r="C571" s="158"/>
      <c r="D571" s="158"/>
      <c r="E571" s="144"/>
      <c r="F571" s="158"/>
      <c r="G571" s="158"/>
      <c r="H571" s="144"/>
      <c r="I571" s="158"/>
      <c r="J571" s="158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</row>
    <row r="572" spans="1:23" ht="19.5" customHeight="1" x14ac:dyDescent="0.25">
      <c r="A572" s="144"/>
      <c r="B572" s="144"/>
      <c r="C572" s="158"/>
      <c r="D572" s="158"/>
      <c r="E572" s="144"/>
      <c r="F572" s="158"/>
      <c r="G572" s="158"/>
      <c r="H572" s="144"/>
      <c r="I572" s="158"/>
      <c r="J572" s="158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</row>
    <row r="573" spans="1:23" ht="19.5" customHeight="1" x14ac:dyDescent="0.25">
      <c r="A573" s="144"/>
      <c r="B573" s="144"/>
      <c r="C573" s="158"/>
      <c r="D573" s="158"/>
      <c r="E573" s="144"/>
      <c r="F573" s="158"/>
      <c r="G573" s="158"/>
      <c r="H573" s="144"/>
      <c r="I573" s="158"/>
      <c r="J573" s="158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</row>
    <row r="574" spans="1:23" ht="19.5" customHeight="1" x14ac:dyDescent="0.25">
      <c r="A574" s="144"/>
      <c r="B574" s="144"/>
      <c r="C574" s="158"/>
      <c r="D574" s="158"/>
      <c r="E574" s="144"/>
      <c r="F574" s="158"/>
      <c r="G574" s="158"/>
      <c r="H574" s="144"/>
      <c r="I574" s="158"/>
      <c r="J574" s="158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</row>
    <row r="575" spans="1:23" ht="19.5" customHeight="1" x14ac:dyDescent="0.25">
      <c r="A575" s="144"/>
      <c r="B575" s="144"/>
      <c r="C575" s="158"/>
      <c r="D575" s="158"/>
      <c r="E575" s="144"/>
      <c r="F575" s="158"/>
      <c r="G575" s="158"/>
      <c r="H575" s="144"/>
      <c r="I575" s="158"/>
      <c r="J575" s="158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</row>
    <row r="576" spans="1:23" ht="19.5" customHeight="1" x14ac:dyDescent="0.25">
      <c r="A576" s="144"/>
      <c r="B576" s="144"/>
      <c r="C576" s="158"/>
      <c r="D576" s="158"/>
      <c r="E576" s="144"/>
      <c r="F576" s="158"/>
      <c r="G576" s="158"/>
      <c r="H576" s="144"/>
      <c r="I576" s="158"/>
      <c r="J576" s="158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</row>
    <row r="577" spans="1:23" ht="19.5" customHeight="1" x14ac:dyDescent="0.25">
      <c r="A577" s="144"/>
      <c r="B577" s="144"/>
      <c r="C577" s="158"/>
      <c r="D577" s="158"/>
      <c r="E577" s="144"/>
      <c r="F577" s="158"/>
      <c r="G577" s="158"/>
      <c r="H577" s="144"/>
      <c r="I577" s="158"/>
      <c r="J577" s="158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</row>
    <row r="578" spans="1:23" ht="19.5" customHeight="1" x14ac:dyDescent="0.25">
      <c r="A578" s="144"/>
      <c r="B578" s="144"/>
      <c r="C578" s="158"/>
      <c r="D578" s="158"/>
      <c r="E578" s="144"/>
      <c r="F578" s="158"/>
      <c r="G578" s="158"/>
      <c r="H578" s="144"/>
      <c r="I578" s="158"/>
      <c r="J578" s="158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</row>
    <row r="579" spans="1:23" ht="19.5" customHeight="1" x14ac:dyDescent="0.25">
      <c r="A579" s="144"/>
      <c r="B579" s="144"/>
      <c r="C579" s="158"/>
      <c r="D579" s="158"/>
      <c r="E579" s="144"/>
      <c r="F579" s="158"/>
      <c r="G579" s="158"/>
      <c r="H579" s="144"/>
      <c r="I579" s="158"/>
      <c r="J579" s="158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</row>
    <row r="580" spans="1:23" ht="19.5" customHeight="1" x14ac:dyDescent="0.25">
      <c r="A580" s="144"/>
      <c r="B580" s="144"/>
      <c r="C580" s="158"/>
      <c r="D580" s="158"/>
      <c r="E580" s="144"/>
      <c r="F580" s="158"/>
      <c r="G580" s="158"/>
      <c r="H580" s="144"/>
      <c r="I580" s="158"/>
      <c r="J580" s="158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</row>
    <row r="581" spans="1:23" ht="19.5" customHeight="1" x14ac:dyDescent="0.25">
      <c r="A581" s="144"/>
      <c r="B581" s="144"/>
      <c r="C581" s="158"/>
      <c r="D581" s="158"/>
      <c r="E581" s="144"/>
      <c r="F581" s="158"/>
      <c r="G581" s="158"/>
      <c r="H581" s="144"/>
      <c r="I581" s="158"/>
      <c r="J581" s="158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</row>
    <row r="582" spans="1:23" ht="19.5" customHeight="1" x14ac:dyDescent="0.25">
      <c r="A582" s="144"/>
      <c r="B582" s="144"/>
      <c r="C582" s="158"/>
      <c r="D582" s="158"/>
      <c r="E582" s="144"/>
      <c r="F582" s="158"/>
      <c r="G582" s="158"/>
      <c r="H582" s="144"/>
      <c r="I582" s="158"/>
      <c r="J582" s="158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</row>
    <row r="583" spans="1:23" ht="19.5" customHeight="1" x14ac:dyDescent="0.25">
      <c r="A583" s="144"/>
      <c r="B583" s="144"/>
      <c r="C583" s="158"/>
      <c r="D583" s="158"/>
      <c r="E583" s="144"/>
      <c r="F583" s="158"/>
      <c r="G583" s="158"/>
      <c r="H583" s="144"/>
      <c r="I583" s="158"/>
      <c r="J583" s="158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</row>
    <row r="584" spans="1:23" ht="19.5" customHeight="1" x14ac:dyDescent="0.25">
      <c r="A584" s="144"/>
      <c r="B584" s="144"/>
      <c r="C584" s="158"/>
      <c r="D584" s="158"/>
      <c r="E584" s="144"/>
      <c r="F584" s="158"/>
      <c r="G584" s="158"/>
      <c r="H584" s="144"/>
      <c r="I584" s="158"/>
      <c r="J584" s="158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</row>
    <row r="585" spans="1:23" ht="19.5" customHeight="1" x14ac:dyDescent="0.25">
      <c r="A585" s="144"/>
      <c r="B585" s="144"/>
      <c r="C585" s="158"/>
      <c r="D585" s="158"/>
      <c r="E585" s="144"/>
      <c r="F585" s="158"/>
      <c r="G585" s="158"/>
      <c r="H585" s="144"/>
      <c r="I585" s="158"/>
      <c r="J585" s="158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</row>
    <row r="586" spans="1:23" ht="19.5" customHeight="1" x14ac:dyDescent="0.25">
      <c r="A586" s="144"/>
      <c r="B586" s="144"/>
      <c r="C586" s="158"/>
      <c r="D586" s="158"/>
      <c r="E586" s="144"/>
      <c r="F586" s="158"/>
      <c r="G586" s="158"/>
      <c r="H586" s="144"/>
      <c r="I586" s="158"/>
      <c r="J586" s="158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</row>
    <row r="587" spans="1:23" ht="19.5" customHeight="1" x14ac:dyDescent="0.25">
      <c r="A587" s="144"/>
      <c r="B587" s="144"/>
      <c r="C587" s="158"/>
      <c r="D587" s="158"/>
      <c r="E587" s="144"/>
      <c r="F587" s="158"/>
      <c r="G587" s="158"/>
      <c r="H587" s="144"/>
      <c r="I587" s="158"/>
      <c r="J587" s="158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</row>
    <row r="588" spans="1:23" ht="19.5" customHeight="1" x14ac:dyDescent="0.25">
      <c r="A588" s="144"/>
      <c r="B588" s="144"/>
      <c r="C588" s="158"/>
      <c r="D588" s="158"/>
      <c r="E588" s="144"/>
      <c r="F588" s="158"/>
      <c r="G588" s="158"/>
      <c r="H588" s="144"/>
      <c r="I588" s="158"/>
      <c r="J588" s="158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</row>
    <row r="589" spans="1:23" ht="19.5" customHeight="1" x14ac:dyDescent="0.25">
      <c r="A589" s="144"/>
      <c r="B589" s="144"/>
      <c r="C589" s="158"/>
      <c r="D589" s="158"/>
      <c r="E589" s="144"/>
      <c r="F589" s="158"/>
      <c r="G589" s="158"/>
      <c r="H589" s="144"/>
      <c r="I589" s="158"/>
      <c r="J589" s="158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</row>
    <row r="590" spans="1:23" ht="19.5" customHeight="1" x14ac:dyDescent="0.25">
      <c r="A590" s="144"/>
      <c r="B590" s="144"/>
      <c r="C590" s="158"/>
      <c r="D590" s="158"/>
      <c r="E590" s="144"/>
      <c r="F590" s="158"/>
      <c r="G590" s="158"/>
      <c r="H590" s="144"/>
      <c r="I590" s="158"/>
      <c r="J590" s="158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</row>
    <row r="591" spans="1:23" ht="19.5" customHeight="1" x14ac:dyDescent="0.25">
      <c r="A591" s="144"/>
      <c r="B591" s="144"/>
      <c r="C591" s="158"/>
      <c r="D591" s="158"/>
      <c r="E591" s="144"/>
      <c r="F591" s="158"/>
      <c r="G591" s="158"/>
      <c r="H591" s="144"/>
      <c r="I591" s="158"/>
      <c r="J591" s="158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</row>
    <row r="592" spans="1:23" ht="19.5" customHeight="1" x14ac:dyDescent="0.25">
      <c r="A592" s="144"/>
      <c r="B592" s="144"/>
      <c r="C592" s="158"/>
      <c r="D592" s="158"/>
      <c r="E592" s="144"/>
      <c r="F592" s="158"/>
      <c r="G592" s="158"/>
      <c r="H592" s="144"/>
      <c r="I592" s="158"/>
      <c r="J592" s="158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</row>
    <row r="593" spans="1:23" ht="19.5" customHeight="1" x14ac:dyDescent="0.25">
      <c r="A593" s="144"/>
      <c r="B593" s="144"/>
      <c r="C593" s="158"/>
      <c r="D593" s="158"/>
      <c r="E593" s="144"/>
      <c r="F593" s="158"/>
      <c r="G593" s="158"/>
      <c r="H593" s="144"/>
      <c r="I593" s="158"/>
      <c r="J593" s="158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</row>
    <row r="594" spans="1:23" ht="19.5" customHeight="1" x14ac:dyDescent="0.25">
      <c r="A594" s="144"/>
      <c r="B594" s="144"/>
      <c r="C594" s="158"/>
      <c r="D594" s="158"/>
      <c r="E594" s="144"/>
      <c r="F594" s="158"/>
      <c r="G594" s="158"/>
      <c r="H594" s="144"/>
      <c r="I594" s="158"/>
      <c r="J594" s="158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</row>
    <row r="595" spans="1:23" ht="19.5" customHeight="1" x14ac:dyDescent="0.25">
      <c r="A595" s="144"/>
      <c r="B595" s="144"/>
      <c r="C595" s="158"/>
      <c r="D595" s="158"/>
      <c r="E595" s="144"/>
      <c r="F595" s="158"/>
      <c r="G595" s="158"/>
      <c r="H595" s="144"/>
      <c r="I595" s="158"/>
      <c r="J595" s="158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</row>
    <row r="596" spans="1:23" ht="19.5" customHeight="1" x14ac:dyDescent="0.25">
      <c r="A596" s="144"/>
      <c r="B596" s="144"/>
      <c r="C596" s="158"/>
      <c r="D596" s="158"/>
      <c r="E596" s="144"/>
      <c r="F596" s="158"/>
      <c r="G596" s="158"/>
      <c r="H596" s="144"/>
      <c r="I596" s="158"/>
      <c r="J596" s="158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</row>
    <row r="597" spans="1:23" ht="19.5" customHeight="1" x14ac:dyDescent="0.25">
      <c r="A597" s="144"/>
      <c r="B597" s="144"/>
      <c r="C597" s="158"/>
      <c r="D597" s="158"/>
      <c r="E597" s="144"/>
      <c r="F597" s="158"/>
      <c r="G597" s="158"/>
      <c r="H597" s="144"/>
      <c r="I597" s="158"/>
      <c r="J597" s="158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</row>
    <row r="598" spans="1:23" ht="19.5" customHeight="1" x14ac:dyDescent="0.25">
      <c r="A598" s="144"/>
      <c r="B598" s="144"/>
      <c r="C598" s="158"/>
      <c r="D598" s="158"/>
      <c r="E598" s="144"/>
      <c r="F598" s="158"/>
      <c r="G598" s="158"/>
      <c r="H598" s="144"/>
      <c r="I598" s="158"/>
      <c r="J598" s="158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</row>
    <row r="599" spans="1:23" ht="19.5" customHeight="1" x14ac:dyDescent="0.25">
      <c r="A599" s="144"/>
      <c r="B599" s="144"/>
      <c r="C599" s="158"/>
      <c r="D599" s="158"/>
      <c r="E599" s="144"/>
      <c r="F599" s="158"/>
      <c r="G599" s="158"/>
      <c r="H599" s="144"/>
      <c r="I599" s="158"/>
      <c r="J599" s="158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</row>
    <row r="600" spans="1:23" ht="19.5" customHeight="1" x14ac:dyDescent="0.25">
      <c r="A600" s="144"/>
      <c r="B600" s="144"/>
      <c r="C600" s="158"/>
      <c r="D600" s="158"/>
      <c r="E600" s="144"/>
      <c r="F600" s="158"/>
      <c r="G600" s="158"/>
      <c r="H600" s="144"/>
      <c r="I600" s="158"/>
      <c r="J600" s="158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</row>
    <row r="601" spans="1:23" ht="19.5" customHeight="1" x14ac:dyDescent="0.25">
      <c r="A601" s="144"/>
      <c r="B601" s="144"/>
      <c r="C601" s="158"/>
      <c r="D601" s="158"/>
      <c r="E601" s="144"/>
      <c r="F601" s="158"/>
      <c r="G601" s="158"/>
      <c r="H601" s="144"/>
      <c r="I601" s="158"/>
      <c r="J601" s="158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</row>
    <row r="602" spans="1:23" ht="19.5" customHeight="1" x14ac:dyDescent="0.25">
      <c r="A602" s="144"/>
      <c r="B602" s="144"/>
      <c r="C602" s="158"/>
      <c r="D602" s="158"/>
      <c r="E602" s="144"/>
      <c r="F602" s="158"/>
      <c r="G602" s="158"/>
      <c r="H602" s="144"/>
      <c r="I602" s="158"/>
      <c r="J602" s="158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</row>
    <row r="603" spans="1:23" ht="19.5" customHeight="1" x14ac:dyDescent="0.25">
      <c r="A603" s="144"/>
      <c r="B603" s="144"/>
      <c r="C603" s="158"/>
      <c r="D603" s="158"/>
      <c r="E603" s="144"/>
      <c r="F603" s="158"/>
      <c r="G603" s="158"/>
      <c r="H603" s="144"/>
      <c r="I603" s="158"/>
      <c r="J603" s="158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</row>
    <row r="604" spans="1:23" ht="19.5" customHeight="1" x14ac:dyDescent="0.25">
      <c r="A604" s="144"/>
      <c r="B604" s="144"/>
      <c r="C604" s="158"/>
      <c r="D604" s="158"/>
      <c r="E604" s="144"/>
      <c r="F604" s="158"/>
      <c r="G604" s="158"/>
      <c r="H604" s="144"/>
      <c r="I604" s="158"/>
      <c r="J604" s="158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</row>
    <row r="605" spans="1:23" ht="19.5" customHeight="1" x14ac:dyDescent="0.25">
      <c r="A605" s="144"/>
      <c r="B605" s="144"/>
      <c r="C605" s="158"/>
      <c r="D605" s="158"/>
      <c r="E605" s="144"/>
      <c r="F605" s="158"/>
      <c r="G605" s="158"/>
      <c r="H605" s="144"/>
      <c r="I605" s="158"/>
      <c r="J605" s="158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</row>
    <row r="606" spans="1:23" ht="19.5" customHeight="1" x14ac:dyDescent="0.25">
      <c r="A606" s="144"/>
      <c r="B606" s="144"/>
      <c r="C606" s="158"/>
      <c r="D606" s="158"/>
      <c r="E606" s="144"/>
      <c r="F606" s="158"/>
      <c r="G606" s="158"/>
      <c r="H606" s="144"/>
      <c r="I606" s="158"/>
      <c r="J606" s="158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</row>
    <row r="607" spans="1:23" ht="19.5" customHeight="1" x14ac:dyDescent="0.25">
      <c r="A607" s="144"/>
      <c r="B607" s="144"/>
      <c r="C607" s="158"/>
      <c r="D607" s="158"/>
      <c r="E607" s="144"/>
      <c r="F607" s="158"/>
      <c r="G607" s="158"/>
      <c r="H607" s="144"/>
      <c r="I607" s="158"/>
      <c r="J607" s="158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</row>
    <row r="608" spans="1:23" ht="19.5" customHeight="1" x14ac:dyDescent="0.25">
      <c r="A608" s="144"/>
      <c r="B608" s="144"/>
      <c r="C608" s="158"/>
      <c r="D608" s="158"/>
      <c r="E608" s="144"/>
      <c r="F608" s="158"/>
      <c r="G608" s="158"/>
      <c r="H608" s="144"/>
      <c r="I608" s="158"/>
      <c r="J608" s="158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</row>
    <row r="609" spans="1:23" ht="19.5" customHeight="1" x14ac:dyDescent="0.25">
      <c r="A609" s="144"/>
      <c r="B609" s="144"/>
      <c r="C609" s="158"/>
      <c r="D609" s="158"/>
      <c r="E609" s="144"/>
      <c r="F609" s="158"/>
      <c r="G609" s="158"/>
      <c r="H609" s="144"/>
      <c r="I609" s="158"/>
      <c r="J609" s="158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</row>
    <row r="610" spans="1:23" ht="19.5" customHeight="1" x14ac:dyDescent="0.25">
      <c r="A610" s="144"/>
      <c r="B610" s="144"/>
      <c r="C610" s="158"/>
      <c r="D610" s="158"/>
      <c r="E610" s="144"/>
      <c r="F610" s="158"/>
      <c r="G610" s="158"/>
      <c r="H610" s="144"/>
      <c r="I610" s="158"/>
      <c r="J610" s="158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</row>
    <row r="611" spans="1:23" ht="19.5" customHeight="1" x14ac:dyDescent="0.25">
      <c r="A611" s="144"/>
      <c r="B611" s="144"/>
      <c r="C611" s="158"/>
      <c r="D611" s="158"/>
      <c r="E611" s="144"/>
      <c r="F611" s="158"/>
      <c r="G611" s="158"/>
      <c r="H611" s="144"/>
      <c r="I611" s="158"/>
      <c r="J611" s="158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</row>
    <row r="612" spans="1:23" ht="19.5" customHeight="1" x14ac:dyDescent="0.25">
      <c r="A612" s="144"/>
      <c r="B612" s="144"/>
      <c r="C612" s="158"/>
      <c r="D612" s="158"/>
      <c r="E612" s="144"/>
      <c r="F612" s="158"/>
      <c r="G612" s="158"/>
      <c r="H612" s="144"/>
      <c r="I612" s="158"/>
      <c r="J612" s="158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</row>
    <row r="613" spans="1:23" ht="19.5" customHeight="1" x14ac:dyDescent="0.25">
      <c r="A613" s="144"/>
      <c r="B613" s="144"/>
      <c r="C613" s="158"/>
      <c r="D613" s="158"/>
      <c r="E613" s="144"/>
      <c r="F613" s="158"/>
      <c r="G613" s="158"/>
      <c r="H613" s="144"/>
      <c r="I613" s="158"/>
      <c r="J613" s="158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</row>
    <row r="614" spans="1:23" ht="19.5" customHeight="1" x14ac:dyDescent="0.25">
      <c r="A614" s="144"/>
      <c r="B614" s="144"/>
      <c r="C614" s="158"/>
      <c r="D614" s="158"/>
      <c r="E614" s="144"/>
      <c r="F614" s="158"/>
      <c r="G614" s="158"/>
      <c r="H614" s="144"/>
      <c r="I614" s="158"/>
      <c r="J614" s="158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</row>
    <row r="615" spans="1:23" ht="19.5" customHeight="1" x14ac:dyDescent="0.25">
      <c r="A615" s="144"/>
      <c r="B615" s="144"/>
      <c r="C615" s="158"/>
      <c r="D615" s="158"/>
      <c r="E615" s="144"/>
      <c r="F615" s="158"/>
      <c r="G615" s="158"/>
      <c r="H615" s="144"/>
      <c r="I615" s="158"/>
      <c r="J615" s="158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</row>
    <row r="616" spans="1:23" ht="19.5" customHeight="1" x14ac:dyDescent="0.25">
      <c r="A616" s="144"/>
      <c r="B616" s="144"/>
      <c r="C616" s="158"/>
      <c r="D616" s="158"/>
      <c r="E616" s="144"/>
      <c r="F616" s="158"/>
      <c r="G616" s="158"/>
      <c r="H616" s="144"/>
      <c r="I616" s="158"/>
      <c r="J616" s="158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</row>
    <row r="617" spans="1:23" ht="19.5" customHeight="1" x14ac:dyDescent="0.25">
      <c r="A617" s="144"/>
      <c r="B617" s="144"/>
      <c r="C617" s="158"/>
      <c r="D617" s="158"/>
      <c r="E617" s="144"/>
      <c r="F617" s="158"/>
      <c r="G617" s="158"/>
      <c r="H617" s="144"/>
      <c r="I617" s="158"/>
      <c r="J617" s="158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</row>
    <row r="618" spans="1:23" ht="19.5" customHeight="1" x14ac:dyDescent="0.25">
      <c r="A618" s="144"/>
      <c r="B618" s="144"/>
      <c r="C618" s="158"/>
      <c r="D618" s="158"/>
      <c r="E618" s="144"/>
      <c r="F618" s="158"/>
      <c r="G618" s="158"/>
      <c r="H618" s="144"/>
      <c r="I618" s="158"/>
      <c r="J618" s="158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</row>
    <row r="619" spans="1:23" ht="19.5" customHeight="1" x14ac:dyDescent="0.25">
      <c r="A619" s="144"/>
      <c r="B619" s="144"/>
      <c r="C619" s="158"/>
      <c r="D619" s="158"/>
      <c r="E619" s="144"/>
      <c r="F619" s="158"/>
      <c r="G619" s="158"/>
      <c r="H619" s="144"/>
      <c r="I619" s="158"/>
      <c r="J619" s="158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</row>
    <row r="620" spans="1:23" ht="19.5" customHeight="1" x14ac:dyDescent="0.25">
      <c r="A620" s="144"/>
      <c r="B620" s="144"/>
      <c r="C620" s="158"/>
      <c r="D620" s="158"/>
      <c r="E620" s="144"/>
      <c r="F620" s="158"/>
      <c r="G620" s="158"/>
      <c r="H620" s="144"/>
      <c r="I620" s="158"/>
      <c r="J620" s="158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</row>
    <row r="621" spans="1:23" ht="19.5" customHeight="1" x14ac:dyDescent="0.25">
      <c r="A621" s="144"/>
      <c r="B621" s="144"/>
      <c r="C621" s="158"/>
      <c r="D621" s="158"/>
      <c r="E621" s="144"/>
      <c r="F621" s="158"/>
      <c r="G621" s="158"/>
      <c r="H621" s="144"/>
      <c r="I621" s="158"/>
      <c r="J621" s="158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</row>
    <row r="622" spans="1:23" ht="19.5" customHeight="1" x14ac:dyDescent="0.25">
      <c r="A622" s="144"/>
      <c r="B622" s="144"/>
      <c r="C622" s="158"/>
      <c r="D622" s="158"/>
      <c r="E622" s="144"/>
      <c r="F622" s="158"/>
      <c r="G622" s="158"/>
      <c r="H622" s="144"/>
      <c r="I622" s="158"/>
      <c r="J622" s="158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</row>
    <row r="623" spans="1:23" ht="19.5" customHeight="1" x14ac:dyDescent="0.25">
      <c r="A623" s="144"/>
      <c r="B623" s="144"/>
      <c r="C623" s="158"/>
      <c r="D623" s="158"/>
      <c r="E623" s="144"/>
      <c r="F623" s="158"/>
      <c r="G623" s="158"/>
      <c r="H623" s="144"/>
      <c r="I623" s="158"/>
      <c r="J623" s="158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</row>
    <row r="624" spans="1:23" ht="19.5" customHeight="1" x14ac:dyDescent="0.25">
      <c r="A624" s="144"/>
      <c r="B624" s="144"/>
      <c r="C624" s="158"/>
      <c r="D624" s="158"/>
      <c r="E624" s="144"/>
      <c r="F624" s="158"/>
      <c r="G624" s="158"/>
      <c r="H624" s="144"/>
      <c r="I624" s="158"/>
      <c r="J624" s="158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</row>
    <row r="625" spans="1:23" ht="19.5" customHeight="1" x14ac:dyDescent="0.25">
      <c r="A625" s="144"/>
      <c r="B625" s="144"/>
      <c r="C625" s="158"/>
      <c r="D625" s="158"/>
      <c r="E625" s="144"/>
      <c r="F625" s="158"/>
      <c r="G625" s="158"/>
      <c r="H625" s="144"/>
      <c r="I625" s="158"/>
      <c r="J625" s="158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</row>
    <row r="626" spans="1:23" ht="19.5" customHeight="1" x14ac:dyDescent="0.25">
      <c r="A626" s="144"/>
      <c r="B626" s="144"/>
      <c r="C626" s="158"/>
      <c r="D626" s="158"/>
      <c r="E626" s="144"/>
      <c r="F626" s="158"/>
      <c r="G626" s="158"/>
      <c r="H626" s="144"/>
      <c r="I626" s="158"/>
      <c r="J626" s="158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</row>
    <row r="627" spans="1:23" ht="19.5" customHeight="1" x14ac:dyDescent="0.25">
      <c r="A627" s="144"/>
      <c r="B627" s="144"/>
      <c r="C627" s="158"/>
      <c r="D627" s="158"/>
      <c r="E627" s="144"/>
      <c r="F627" s="158"/>
      <c r="G627" s="158"/>
      <c r="H627" s="144"/>
      <c r="I627" s="158"/>
      <c r="J627" s="158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</row>
    <row r="628" spans="1:23" ht="19.5" customHeight="1" x14ac:dyDescent="0.25">
      <c r="A628" s="144"/>
      <c r="B628" s="144"/>
      <c r="C628" s="158"/>
      <c r="D628" s="158"/>
      <c r="E628" s="144"/>
      <c r="F628" s="158"/>
      <c r="G628" s="158"/>
      <c r="H628" s="144"/>
      <c r="I628" s="158"/>
      <c r="J628" s="158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</row>
    <row r="629" spans="1:23" ht="19.5" customHeight="1" x14ac:dyDescent="0.25">
      <c r="A629" s="144"/>
      <c r="B629" s="144"/>
      <c r="C629" s="158"/>
      <c r="D629" s="158"/>
      <c r="E629" s="144"/>
      <c r="F629" s="158"/>
      <c r="G629" s="158"/>
      <c r="H629" s="144"/>
      <c r="I629" s="158"/>
      <c r="J629" s="158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</row>
    <row r="630" spans="1:23" ht="19.5" customHeight="1" x14ac:dyDescent="0.25">
      <c r="A630" s="144"/>
      <c r="B630" s="144"/>
      <c r="C630" s="158"/>
      <c r="D630" s="158"/>
      <c r="E630" s="144"/>
      <c r="F630" s="158"/>
      <c r="G630" s="158"/>
      <c r="H630" s="144"/>
      <c r="I630" s="158"/>
      <c r="J630" s="158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</row>
    <row r="631" spans="1:23" ht="19.5" customHeight="1" x14ac:dyDescent="0.25">
      <c r="A631" s="144"/>
      <c r="B631" s="144"/>
      <c r="C631" s="158"/>
      <c r="D631" s="158"/>
      <c r="E631" s="144"/>
      <c r="F631" s="158"/>
      <c r="G631" s="158"/>
      <c r="H631" s="144"/>
      <c r="I631" s="158"/>
      <c r="J631" s="158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</row>
    <row r="632" spans="1:23" ht="19.5" customHeight="1" x14ac:dyDescent="0.25">
      <c r="A632" s="144"/>
      <c r="B632" s="144"/>
      <c r="C632" s="158"/>
      <c r="D632" s="158"/>
      <c r="E632" s="144"/>
      <c r="F632" s="158"/>
      <c r="G632" s="158"/>
      <c r="H632" s="144"/>
      <c r="I632" s="158"/>
      <c r="J632" s="158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</row>
    <row r="633" spans="1:23" ht="19.5" customHeight="1" x14ac:dyDescent="0.25">
      <c r="A633" s="144"/>
      <c r="B633" s="144"/>
      <c r="C633" s="158"/>
      <c r="D633" s="158"/>
      <c r="E633" s="144"/>
      <c r="F633" s="158"/>
      <c r="G633" s="158"/>
      <c r="H633" s="144"/>
      <c r="I633" s="158"/>
      <c r="J633" s="158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</row>
    <row r="634" spans="1:23" ht="19.5" customHeight="1" x14ac:dyDescent="0.25">
      <c r="A634" s="144"/>
      <c r="B634" s="144"/>
      <c r="C634" s="158"/>
      <c r="D634" s="158"/>
      <c r="E634" s="144"/>
      <c r="F634" s="158"/>
      <c r="G634" s="158"/>
      <c r="H634" s="144"/>
      <c r="I634" s="158"/>
      <c r="J634" s="158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</row>
    <row r="635" spans="1:23" ht="19.5" customHeight="1" x14ac:dyDescent="0.25">
      <c r="A635" s="144"/>
      <c r="B635" s="144"/>
      <c r="C635" s="158"/>
      <c r="D635" s="158"/>
      <c r="E635" s="144"/>
      <c r="F635" s="158"/>
      <c r="G635" s="158"/>
      <c r="H635" s="144"/>
      <c r="I635" s="158"/>
      <c r="J635" s="158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</row>
    <row r="636" spans="1:23" ht="19.5" customHeight="1" x14ac:dyDescent="0.25">
      <c r="A636" s="144"/>
      <c r="B636" s="144"/>
      <c r="C636" s="158"/>
      <c r="D636" s="158"/>
      <c r="E636" s="144"/>
      <c r="F636" s="158"/>
      <c r="G636" s="158"/>
      <c r="H636" s="144"/>
      <c r="I636" s="158"/>
      <c r="J636" s="158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</row>
    <row r="637" spans="1:23" ht="19.5" customHeight="1" x14ac:dyDescent="0.25">
      <c r="A637" s="144"/>
      <c r="B637" s="144"/>
      <c r="C637" s="158"/>
      <c r="D637" s="158"/>
      <c r="E637" s="144"/>
      <c r="F637" s="158"/>
      <c r="G637" s="158"/>
      <c r="H637" s="144"/>
      <c r="I637" s="158"/>
      <c r="J637" s="158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</row>
    <row r="638" spans="1:23" ht="19.5" customHeight="1" x14ac:dyDescent="0.25">
      <c r="A638" s="144"/>
      <c r="B638" s="144"/>
      <c r="C638" s="158"/>
      <c r="D638" s="158"/>
      <c r="E638" s="144"/>
      <c r="F638" s="158"/>
      <c r="G638" s="158"/>
      <c r="H638" s="144"/>
      <c r="I638" s="158"/>
      <c r="J638" s="158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</row>
    <row r="639" spans="1:23" ht="19.5" customHeight="1" x14ac:dyDescent="0.25">
      <c r="A639" s="144"/>
      <c r="B639" s="144"/>
      <c r="C639" s="158"/>
      <c r="D639" s="158"/>
      <c r="E639" s="144"/>
      <c r="F639" s="158"/>
      <c r="G639" s="158"/>
      <c r="H639" s="144"/>
      <c r="I639" s="158"/>
      <c r="J639" s="158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</row>
    <row r="640" spans="1:23" ht="19.5" customHeight="1" x14ac:dyDescent="0.25">
      <c r="A640" s="144"/>
      <c r="B640" s="144"/>
      <c r="C640" s="158"/>
      <c r="D640" s="158"/>
      <c r="E640" s="144"/>
      <c r="F640" s="158"/>
      <c r="G640" s="158"/>
      <c r="H640" s="144"/>
      <c r="I640" s="158"/>
      <c r="J640" s="158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</row>
    <row r="641" spans="1:23" ht="19.5" customHeight="1" x14ac:dyDescent="0.25">
      <c r="A641" s="144"/>
      <c r="B641" s="144"/>
      <c r="C641" s="158"/>
      <c r="D641" s="158"/>
      <c r="E641" s="144"/>
      <c r="F641" s="158"/>
      <c r="G641" s="158"/>
      <c r="H641" s="144"/>
      <c r="I641" s="158"/>
      <c r="J641" s="158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</row>
    <row r="642" spans="1:23" ht="19.5" customHeight="1" x14ac:dyDescent="0.25">
      <c r="A642" s="144"/>
      <c r="B642" s="144"/>
      <c r="C642" s="158"/>
      <c r="D642" s="158"/>
      <c r="E642" s="144"/>
      <c r="F642" s="158"/>
      <c r="G642" s="158"/>
      <c r="H642" s="144"/>
      <c r="I642" s="158"/>
      <c r="J642" s="158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</row>
    <row r="643" spans="1:23" ht="19.5" customHeight="1" x14ac:dyDescent="0.25">
      <c r="A643" s="144"/>
      <c r="B643" s="144"/>
      <c r="C643" s="158"/>
      <c r="D643" s="158"/>
      <c r="E643" s="144"/>
      <c r="F643" s="158"/>
      <c r="G643" s="158"/>
      <c r="H643" s="144"/>
      <c r="I643" s="158"/>
      <c r="J643" s="158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</row>
    <row r="644" spans="1:23" ht="19.5" customHeight="1" x14ac:dyDescent="0.25">
      <c r="A644" s="144"/>
      <c r="B644" s="144"/>
      <c r="C644" s="158"/>
      <c r="D644" s="158"/>
      <c r="E644" s="144"/>
      <c r="F644" s="158"/>
      <c r="G644" s="158"/>
      <c r="H644" s="144"/>
      <c r="I644" s="158"/>
      <c r="J644" s="158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</row>
    <row r="645" spans="1:23" ht="19.5" customHeight="1" x14ac:dyDescent="0.25">
      <c r="A645" s="144"/>
      <c r="B645" s="144"/>
      <c r="C645" s="158"/>
      <c r="D645" s="158"/>
      <c r="E645" s="144"/>
      <c r="F645" s="158"/>
      <c r="G645" s="158"/>
      <c r="H645" s="144"/>
      <c r="I645" s="158"/>
      <c r="J645" s="158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</row>
    <row r="646" spans="1:23" ht="19.5" customHeight="1" x14ac:dyDescent="0.25">
      <c r="A646" s="144"/>
      <c r="B646" s="144"/>
      <c r="C646" s="158"/>
      <c r="D646" s="158"/>
      <c r="E646" s="144"/>
      <c r="F646" s="158"/>
      <c r="G646" s="158"/>
      <c r="H646" s="144"/>
      <c r="I646" s="158"/>
      <c r="J646" s="158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</row>
    <row r="647" spans="1:23" ht="19.5" customHeight="1" x14ac:dyDescent="0.25">
      <c r="A647" s="144"/>
      <c r="B647" s="144"/>
      <c r="C647" s="158"/>
      <c r="D647" s="158"/>
      <c r="E647" s="144"/>
      <c r="F647" s="158"/>
      <c r="G647" s="158"/>
      <c r="H647" s="144"/>
      <c r="I647" s="158"/>
      <c r="J647" s="158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</row>
    <row r="648" spans="1:23" ht="19.5" customHeight="1" x14ac:dyDescent="0.25">
      <c r="A648" s="144"/>
      <c r="B648" s="144"/>
      <c r="C648" s="158"/>
      <c r="D648" s="158"/>
      <c r="E648" s="144"/>
      <c r="F648" s="158"/>
      <c r="G648" s="158"/>
      <c r="H648" s="144"/>
      <c r="I648" s="158"/>
      <c r="J648" s="158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</row>
    <row r="649" spans="1:23" ht="19.5" customHeight="1" x14ac:dyDescent="0.25">
      <c r="A649" s="144"/>
      <c r="B649" s="144"/>
      <c r="C649" s="158"/>
      <c r="D649" s="158"/>
      <c r="E649" s="144"/>
      <c r="F649" s="158"/>
      <c r="G649" s="158"/>
      <c r="H649" s="144"/>
      <c r="I649" s="158"/>
      <c r="J649" s="158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</row>
    <row r="650" spans="1:23" ht="19.5" customHeight="1" x14ac:dyDescent="0.25">
      <c r="A650" s="144"/>
      <c r="B650" s="144"/>
      <c r="C650" s="158"/>
      <c r="D650" s="158"/>
      <c r="E650" s="144"/>
      <c r="F650" s="158"/>
      <c r="G650" s="158"/>
      <c r="H650" s="144"/>
      <c r="I650" s="158"/>
      <c r="J650" s="158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</row>
    <row r="651" spans="1:23" ht="19.5" customHeight="1" x14ac:dyDescent="0.25">
      <c r="A651" s="144"/>
      <c r="B651" s="144"/>
      <c r="C651" s="158"/>
      <c r="D651" s="158"/>
      <c r="E651" s="144"/>
      <c r="F651" s="158"/>
      <c r="G651" s="158"/>
      <c r="H651" s="144"/>
      <c r="I651" s="158"/>
      <c r="J651" s="158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</row>
    <row r="652" spans="1:23" ht="19.5" customHeight="1" x14ac:dyDescent="0.25">
      <c r="A652" s="144"/>
      <c r="B652" s="144"/>
      <c r="C652" s="158"/>
      <c r="D652" s="158"/>
      <c r="E652" s="144"/>
      <c r="F652" s="158"/>
      <c r="G652" s="158"/>
      <c r="H652" s="144"/>
      <c r="I652" s="158"/>
      <c r="J652" s="158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</row>
    <row r="653" spans="1:23" ht="19.5" customHeight="1" x14ac:dyDescent="0.25">
      <c r="A653" s="144"/>
      <c r="B653" s="144"/>
      <c r="C653" s="158"/>
      <c r="D653" s="158"/>
      <c r="E653" s="144"/>
      <c r="F653" s="158"/>
      <c r="G653" s="158"/>
      <c r="H653" s="144"/>
      <c r="I653" s="158"/>
      <c r="J653" s="158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</row>
    <row r="654" spans="1:23" ht="19.5" customHeight="1" x14ac:dyDescent="0.25">
      <c r="A654" s="144"/>
      <c r="B654" s="144"/>
      <c r="C654" s="158"/>
      <c r="D654" s="158"/>
      <c r="E654" s="144"/>
      <c r="F654" s="158"/>
      <c r="G654" s="158"/>
      <c r="H654" s="144"/>
      <c r="I654" s="158"/>
      <c r="J654" s="158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</row>
    <row r="655" spans="1:23" ht="19.5" customHeight="1" x14ac:dyDescent="0.25">
      <c r="A655" s="144"/>
      <c r="B655" s="144"/>
      <c r="C655" s="158"/>
      <c r="D655" s="158"/>
      <c r="E655" s="144"/>
      <c r="F655" s="158"/>
      <c r="G655" s="158"/>
      <c r="H655" s="144"/>
      <c r="I655" s="158"/>
      <c r="J655" s="158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</row>
    <row r="656" spans="1:23" ht="19.5" customHeight="1" x14ac:dyDescent="0.25">
      <c r="A656" s="144"/>
      <c r="B656" s="144"/>
      <c r="C656" s="158"/>
      <c r="D656" s="158"/>
      <c r="E656" s="144"/>
      <c r="F656" s="158"/>
      <c r="G656" s="158"/>
      <c r="H656" s="144"/>
      <c r="I656" s="158"/>
      <c r="J656" s="158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</row>
    <row r="657" spans="1:23" ht="19.5" customHeight="1" x14ac:dyDescent="0.25">
      <c r="A657" s="144"/>
      <c r="B657" s="144"/>
      <c r="C657" s="158"/>
      <c r="D657" s="158"/>
      <c r="E657" s="144"/>
      <c r="F657" s="158"/>
      <c r="G657" s="158"/>
      <c r="H657" s="144"/>
      <c r="I657" s="158"/>
      <c r="J657" s="158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</row>
    <row r="658" spans="1:23" ht="19.5" customHeight="1" x14ac:dyDescent="0.25">
      <c r="A658" s="144"/>
      <c r="B658" s="144"/>
      <c r="C658" s="158"/>
      <c r="D658" s="158"/>
      <c r="E658" s="144"/>
      <c r="F658" s="158"/>
      <c r="G658" s="158"/>
      <c r="H658" s="144"/>
      <c r="I658" s="158"/>
      <c r="J658" s="158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</row>
    <row r="659" spans="1:23" ht="19.5" customHeight="1" x14ac:dyDescent="0.25">
      <c r="A659" s="144"/>
      <c r="B659" s="144"/>
      <c r="C659" s="158"/>
      <c r="D659" s="158"/>
      <c r="E659" s="144"/>
      <c r="F659" s="158"/>
      <c r="G659" s="158"/>
      <c r="H659" s="144"/>
      <c r="I659" s="158"/>
      <c r="J659" s="158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</row>
    <row r="660" spans="1:23" ht="19.5" customHeight="1" x14ac:dyDescent="0.25">
      <c r="A660" s="144"/>
      <c r="B660" s="144"/>
      <c r="C660" s="158"/>
      <c r="D660" s="158"/>
      <c r="E660" s="144"/>
      <c r="F660" s="158"/>
      <c r="G660" s="158"/>
      <c r="H660" s="144"/>
      <c r="I660" s="158"/>
      <c r="J660" s="158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</row>
    <row r="661" spans="1:23" ht="19.5" customHeight="1" x14ac:dyDescent="0.25">
      <c r="A661" s="144"/>
      <c r="B661" s="144"/>
      <c r="C661" s="158"/>
      <c r="D661" s="158"/>
      <c r="E661" s="144"/>
      <c r="F661" s="158"/>
      <c r="G661" s="158"/>
      <c r="H661" s="144"/>
      <c r="I661" s="158"/>
      <c r="J661" s="158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</row>
    <row r="662" spans="1:23" ht="19.5" customHeight="1" x14ac:dyDescent="0.25">
      <c r="A662" s="144"/>
      <c r="B662" s="144"/>
      <c r="C662" s="158"/>
      <c r="D662" s="158"/>
      <c r="E662" s="144"/>
      <c r="F662" s="158"/>
      <c r="G662" s="158"/>
      <c r="H662" s="144"/>
      <c r="I662" s="158"/>
      <c r="J662" s="158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</row>
    <row r="663" spans="1:23" ht="19.5" customHeight="1" x14ac:dyDescent="0.25">
      <c r="A663" s="144"/>
      <c r="B663" s="144"/>
      <c r="C663" s="158"/>
      <c r="D663" s="158"/>
      <c r="E663" s="144"/>
      <c r="F663" s="158"/>
      <c r="G663" s="158"/>
      <c r="H663" s="144"/>
      <c r="I663" s="158"/>
      <c r="J663" s="158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</row>
    <row r="664" spans="1:23" ht="19.5" customHeight="1" x14ac:dyDescent="0.25">
      <c r="A664" s="144"/>
      <c r="B664" s="144"/>
      <c r="C664" s="158"/>
      <c r="D664" s="158"/>
      <c r="E664" s="144"/>
      <c r="F664" s="158"/>
      <c r="G664" s="158"/>
      <c r="H664" s="144"/>
      <c r="I664" s="158"/>
      <c r="J664" s="158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</row>
    <row r="665" spans="1:23" ht="19.5" customHeight="1" x14ac:dyDescent="0.25">
      <c r="A665" s="144"/>
      <c r="B665" s="144"/>
      <c r="C665" s="158"/>
      <c r="D665" s="158"/>
      <c r="E665" s="144"/>
      <c r="F665" s="158"/>
      <c r="G665" s="158"/>
      <c r="H665" s="144"/>
      <c r="I665" s="158"/>
      <c r="J665" s="158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</row>
    <row r="666" spans="1:23" ht="19.5" customHeight="1" x14ac:dyDescent="0.25">
      <c r="A666" s="144"/>
      <c r="B666" s="144"/>
      <c r="C666" s="158"/>
      <c r="D666" s="158"/>
      <c r="E666" s="144"/>
      <c r="F666" s="158"/>
      <c r="G666" s="158"/>
      <c r="H666" s="144"/>
      <c r="I666" s="158"/>
      <c r="J666" s="158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</row>
    <row r="667" spans="1:23" ht="19.5" customHeight="1" x14ac:dyDescent="0.25">
      <c r="A667" s="144"/>
      <c r="B667" s="144"/>
      <c r="C667" s="158"/>
      <c r="D667" s="158"/>
      <c r="E667" s="144"/>
      <c r="F667" s="158"/>
      <c r="G667" s="158"/>
      <c r="H667" s="144"/>
      <c r="I667" s="158"/>
      <c r="J667" s="158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</row>
    <row r="668" spans="1:23" ht="19.5" customHeight="1" x14ac:dyDescent="0.25">
      <c r="A668" s="144"/>
      <c r="B668" s="144"/>
      <c r="C668" s="158"/>
      <c r="D668" s="158"/>
      <c r="E668" s="144"/>
      <c r="F668" s="158"/>
      <c r="G668" s="158"/>
      <c r="H668" s="144"/>
      <c r="I668" s="158"/>
      <c r="J668" s="158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</row>
    <row r="669" spans="1:23" ht="19.5" customHeight="1" x14ac:dyDescent="0.25">
      <c r="A669" s="144"/>
      <c r="B669" s="144"/>
      <c r="C669" s="158"/>
      <c r="D669" s="158"/>
      <c r="E669" s="144"/>
      <c r="F669" s="158"/>
      <c r="G669" s="158"/>
      <c r="H669" s="144"/>
      <c r="I669" s="158"/>
      <c r="J669" s="158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</row>
    <row r="670" spans="1:23" ht="19.5" customHeight="1" x14ac:dyDescent="0.25">
      <c r="A670" s="144"/>
      <c r="B670" s="144"/>
      <c r="C670" s="158"/>
      <c r="D670" s="158"/>
      <c r="E670" s="144"/>
      <c r="F670" s="158"/>
      <c r="G670" s="158"/>
      <c r="H670" s="144"/>
      <c r="I670" s="158"/>
      <c r="J670" s="158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</row>
    <row r="671" spans="1:23" ht="19.5" customHeight="1" x14ac:dyDescent="0.25">
      <c r="A671" s="144"/>
      <c r="B671" s="144"/>
      <c r="C671" s="158"/>
      <c r="D671" s="158"/>
      <c r="E671" s="144"/>
      <c r="F671" s="158"/>
      <c r="G671" s="158"/>
      <c r="H671" s="144"/>
      <c r="I671" s="158"/>
      <c r="J671" s="158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</row>
    <row r="672" spans="1:23" ht="19.5" customHeight="1" x14ac:dyDescent="0.25">
      <c r="A672" s="144"/>
      <c r="B672" s="144"/>
      <c r="C672" s="158"/>
      <c r="D672" s="158"/>
      <c r="E672" s="144"/>
      <c r="F672" s="158"/>
      <c r="G672" s="158"/>
      <c r="H672" s="144"/>
      <c r="I672" s="158"/>
      <c r="J672" s="158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</row>
    <row r="673" spans="1:23" ht="19.5" customHeight="1" x14ac:dyDescent="0.25">
      <c r="A673" s="144"/>
      <c r="B673" s="144"/>
      <c r="C673" s="158"/>
      <c r="D673" s="158"/>
      <c r="E673" s="144"/>
      <c r="F673" s="158"/>
      <c r="G673" s="158"/>
      <c r="H673" s="144"/>
      <c r="I673" s="158"/>
      <c r="J673" s="158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</row>
    <row r="674" spans="1:23" ht="19.5" customHeight="1" x14ac:dyDescent="0.25">
      <c r="A674" s="144"/>
      <c r="B674" s="144"/>
      <c r="C674" s="158"/>
      <c r="D674" s="158"/>
      <c r="E674" s="144"/>
      <c r="F674" s="158"/>
      <c r="G674" s="158"/>
      <c r="H674" s="144"/>
      <c r="I674" s="158"/>
      <c r="J674" s="158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</row>
    <row r="675" spans="1:23" ht="19.5" customHeight="1" x14ac:dyDescent="0.25">
      <c r="A675" s="144"/>
      <c r="B675" s="144"/>
      <c r="C675" s="158"/>
      <c r="D675" s="158"/>
      <c r="E675" s="144"/>
      <c r="F675" s="158"/>
      <c r="G675" s="158"/>
      <c r="H675" s="144"/>
      <c r="I675" s="158"/>
      <c r="J675" s="158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</row>
    <row r="676" spans="1:23" ht="19.5" customHeight="1" x14ac:dyDescent="0.25">
      <c r="A676" s="144"/>
      <c r="B676" s="144"/>
      <c r="C676" s="158"/>
      <c r="D676" s="158"/>
      <c r="E676" s="144"/>
      <c r="F676" s="158"/>
      <c r="G676" s="158"/>
      <c r="H676" s="144"/>
      <c r="I676" s="158"/>
      <c r="J676" s="158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</row>
    <row r="677" spans="1:23" ht="19.5" customHeight="1" x14ac:dyDescent="0.25">
      <c r="A677" s="144"/>
      <c r="B677" s="144"/>
      <c r="C677" s="158"/>
      <c r="D677" s="158"/>
      <c r="E677" s="144"/>
      <c r="F677" s="158"/>
      <c r="G677" s="158"/>
      <c r="H677" s="144"/>
      <c r="I677" s="158"/>
      <c r="J677" s="158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</row>
    <row r="678" spans="1:23" ht="19.5" customHeight="1" x14ac:dyDescent="0.25">
      <c r="A678" s="144"/>
      <c r="B678" s="144"/>
      <c r="C678" s="158"/>
      <c r="D678" s="158"/>
      <c r="E678" s="144"/>
      <c r="F678" s="158"/>
      <c r="G678" s="158"/>
      <c r="H678" s="144"/>
      <c r="I678" s="158"/>
      <c r="J678" s="158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</row>
    <row r="679" spans="1:23" ht="19.5" customHeight="1" x14ac:dyDescent="0.25">
      <c r="A679" s="144"/>
      <c r="B679" s="144"/>
      <c r="C679" s="158"/>
      <c r="D679" s="158"/>
      <c r="E679" s="144"/>
      <c r="F679" s="158"/>
      <c r="G679" s="158"/>
      <c r="H679" s="144"/>
      <c r="I679" s="158"/>
      <c r="J679" s="158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</row>
    <row r="680" spans="1:23" ht="19.5" customHeight="1" x14ac:dyDescent="0.25">
      <c r="A680" s="144"/>
      <c r="B680" s="144"/>
      <c r="C680" s="158"/>
      <c r="D680" s="158"/>
      <c r="E680" s="144"/>
      <c r="F680" s="158"/>
      <c r="G680" s="158"/>
      <c r="H680" s="144"/>
      <c r="I680" s="158"/>
      <c r="J680" s="158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</row>
    <row r="681" spans="1:23" ht="19.5" customHeight="1" x14ac:dyDescent="0.25">
      <c r="A681" s="144"/>
      <c r="B681" s="144"/>
      <c r="C681" s="158"/>
      <c r="D681" s="158"/>
      <c r="E681" s="144"/>
      <c r="F681" s="158"/>
      <c r="G681" s="158"/>
      <c r="H681" s="144"/>
      <c r="I681" s="158"/>
      <c r="J681" s="158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</row>
    <row r="682" spans="1:23" ht="19.5" customHeight="1" x14ac:dyDescent="0.25">
      <c r="A682" s="144"/>
      <c r="B682" s="144"/>
      <c r="C682" s="158"/>
      <c r="D682" s="158"/>
      <c r="E682" s="144"/>
      <c r="F682" s="158"/>
      <c r="G682" s="158"/>
      <c r="H682" s="144"/>
      <c r="I682" s="158"/>
      <c r="J682" s="158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</row>
    <row r="683" spans="1:23" ht="19.5" customHeight="1" x14ac:dyDescent="0.25">
      <c r="A683" s="144"/>
      <c r="B683" s="144"/>
      <c r="C683" s="158"/>
      <c r="D683" s="158"/>
      <c r="E683" s="144"/>
      <c r="F683" s="158"/>
      <c r="G683" s="158"/>
      <c r="H683" s="144"/>
      <c r="I683" s="158"/>
      <c r="J683" s="158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</row>
    <row r="684" spans="1:23" ht="19.5" customHeight="1" x14ac:dyDescent="0.25">
      <c r="A684" s="144"/>
      <c r="B684" s="144"/>
      <c r="C684" s="158"/>
      <c r="D684" s="158"/>
      <c r="E684" s="144"/>
      <c r="F684" s="158"/>
      <c r="G684" s="158"/>
      <c r="H684" s="144"/>
      <c r="I684" s="158"/>
      <c r="J684" s="158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</row>
    <row r="685" spans="1:23" ht="19.5" customHeight="1" x14ac:dyDescent="0.25">
      <c r="A685" s="144"/>
      <c r="B685" s="144"/>
      <c r="C685" s="158"/>
      <c r="D685" s="158"/>
      <c r="E685" s="144"/>
      <c r="F685" s="158"/>
      <c r="G685" s="158"/>
      <c r="H685" s="144"/>
      <c r="I685" s="158"/>
      <c r="J685" s="158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</row>
    <row r="686" spans="1:23" ht="19.5" customHeight="1" x14ac:dyDescent="0.25">
      <c r="A686" s="144"/>
      <c r="B686" s="144"/>
      <c r="C686" s="158"/>
      <c r="D686" s="158"/>
      <c r="E686" s="144"/>
      <c r="F686" s="158"/>
      <c r="G686" s="158"/>
      <c r="H686" s="144"/>
      <c r="I686" s="158"/>
      <c r="J686" s="158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</row>
    <row r="687" spans="1:23" ht="19.5" customHeight="1" x14ac:dyDescent="0.25">
      <c r="A687" s="144"/>
      <c r="B687" s="144"/>
      <c r="C687" s="158"/>
      <c r="D687" s="158"/>
      <c r="E687" s="144"/>
      <c r="F687" s="158"/>
      <c r="G687" s="158"/>
      <c r="H687" s="144"/>
      <c r="I687" s="158"/>
      <c r="J687" s="158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</row>
    <row r="688" spans="1:23" ht="19.5" customHeight="1" x14ac:dyDescent="0.25">
      <c r="A688" s="144"/>
      <c r="B688" s="144"/>
      <c r="C688" s="158"/>
      <c r="D688" s="158"/>
      <c r="E688" s="144"/>
      <c r="F688" s="158"/>
      <c r="G688" s="158"/>
      <c r="H688" s="144"/>
      <c r="I688" s="158"/>
      <c r="J688" s="158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</row>
    <row r="689" spans="1:23" ht="19.5" customHeight="1" x14ac:dyDescent="0.25">
      <c r="A689" s="144"/>
      <c r="B689" s="144"/>
      <c r="C689" s="158"/>
      <c r="D689" s="158"/>
      <c r="E689" s="144"/>
      <c r="F689" s="158"/>
      <c r="G689" s="158"/>
      <c r="H689" s="144"/>
      <c r="I689" s="158"/>
      <c r="J689" s="158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</row>
    <row r="690" spans="1:23" ht="19.5" customHeight="1" x14ac:dyDescent="0.25">
      <c r="A690" s="144"/>
      <c r="B690" s="144"/>
      <c r="C690" s="158"/>
      <c r="D690" s="158"/>
      <c r="E690" s="144"/>
      <c r="F690" s="158"/>
      <c r="G690" s="158"/>
      <c r="H690" s="144"/>
      <c r="I690" s="158"/>
      <c r="J690" s="158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</row>
    <row r="691" spans="1:23" ht="19.5" customHeight="1" x14ac:dyDescent="0.25">
      <c r="A691" s="144"/>
      <c r="B691" s="144"/>
      <c r="C691" s="158"/>
      <c r="D691" s="158"/>
      <c r="E691" s="144"/>
      <c r="F691" s="158"/>
      <c r="G691" s="158"/>
      <c r="H691" s="144"/>
      <c r="I691" s="158"/>
      <c r="J691" s="158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</row>
    <row r="692" spans="1:23" ht="19.5" customHeight="1" x14ac:dyDescent="0.25">
      <c r="A692" s="144"/>
      <c r="B692" s="144"/>
      <c r="C692" s="158"/>
      <c r="D692" s="158"/>
      <c r="E692" s="144"/>
      <c r="F692" s="158"/>
      <c r="G692" s="158"/>
      <c r="H692" s="144"/>
      <c r="I692" s="158"/>
      <c r="J692" s="158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</row>
    <row r="693" spans="1:23" ht="19.5" customHeight="1" x14ac:dyDescent="0.25">
      <c r="A693" s="144"/>
      <c r="B693" s="144"/>
      <c r="C693" s="158"/>
      <c r="D693" s="158"/>
      <c r="E693" s="144"/>
      <c r="F693" s="158"/>
      <c r="G693" s="158"/>
      <c r="H693" s="144"/>
      <c r="I693" s="158"/>
      <c r="J693" s="158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</row>
    <row r="694" spans="1:23" ht="19.5" customHeight="1" x14ac:dyDescent="0.25">
      <c r="A694" s="144"/>
      <c r="B694" s="144"/>
      <c r="C694" s="158"/>
      <c r="D694" s="158"/>
      <c r="E694" s="144"/>
      <c r="F694" s="158"/>
      <c r="G694" s="158"/>
      <c r="H694" s="144"/>
      <c r="I694" s="158"/>
      <c r="J694" s="158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</row>
    <row r="695" spans="1:23" ht="19.5" customHeight="1" x14ac:dyDescent="0.25">
      <c r="A695" s="144"/>
      <c r="B695" s="144"/>
      <c r="C695" s="158"/>
      <c r="D695" s="158"/>
      <c r="E695" s="144"/>
      <c r="F695" s="158"/>
      <c r="G695" s="158"/>
      <c r="H695" s="144"/>
      <c r="I695" s="158"/>
      <c r="J695" s="158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</row>
    <row r="696" spans="1:23" ht="19.5" customHeight="1" x14ac:dyDescent="0.25">
      <c r="A696" s="144"/>
      <c r="B696" s="144"/>
      <c r="C696" s="158"/>
      <c r="D696" s="158"/>
      <c r="E696" s="144"/>
      <c r="F696" s="158"/>
      <c r="G696" s="158"/>
      <c r="H696" s="144"/>
      <c r="I696" s="158"/>
      <c r="J696" s="158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</row>
    <row r="697" spans="1:23" ht="19.5" customHeight="1" x14ac:dyDescent="0.25">
      <c r="A697" s="144"/>
      <c r="B697" s="144"/>
      <c r="C697" s="158"/>
      <c r="D697" s="158"/>
      <c r="E697" s="144"/>
      <c r="F697" s="158"/>
      <c r="G697" s="158"/>
      <c r="H697" s="144"/>
      <c r="I697" s="158"/>
      <c r="J697" s="158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</row>
    <row r="698" spans="1:23" ht="19.5" customHeight="1" x14ac:dyDescent="0.25">
      <c r="A698" s="144"/>
      <c r="B698" s="144"/>
      <c r="C698" s="158"/>
      <c r="D698" s="158"/>
      <c r="E698" s="144"/>
      <c r="F698" s="158"/>
      <c r="G698" s="158"/>
      <c r="H698" s="144"/>
      <c r="I698" s="158"/>
      <c r="J698" s="158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</row>
    <row r="699" spans="1:23" ht="19.5" customHeight="1" x14ac:dyDescent="0.25">
      <c r="A699" s="144"/>
      <c r="B699" s="144"/>
      <c r="C699" s="158"/>
      <c r="D699" s="158"/>
      <c r="E699" s="144"/>
      <c r="F699" s="158"/>
      <c r="G699" s="158"/>
      <c r="H699" s="144"/>
      <c r="I699" s="158"/>
      <c r="J699" s="158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</row>
    <row r="700" spans="1:23" ht="19.5" customHeight="1" x14ac:dyDescent="0.25">
      <c r="A700" s="144"/>
      <c r="B700" s="144"/>
      <c r="C700" s="158"/>
      <c r="D700" s="158"/>
      <c r="E700" s="144"/>
      <c r="F700" s="158"/>
      <c r="G700" s="158"/>
      <c r="H700" s="144"/>
      <c r="I700" s="158"/>
      <c r="J700" s="158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</row>
    <row r="701" spans="1:23" ht="19.5" customHeight="1" x14ac:dyDescent="0.25">
      <c r="A701" s="144"/>
      <c r="B701" s="144"/>
      <c r="C701" s="158"/>
      <c r="D701" s="158"/>
      <c r="E701" s="144"/>
      <c r="F701" s="158"/>
      <c r="G701" s="158"/>
      <c r="H701" s="144"/>
      <c r="I701" s="158"/>
      <c r="J701" s="158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</row>
    <row r="702" spans="1:23" ht="19.5" customHeight="1" x14ac:dyDescent="0.25">
      <c r="A702" s="144"/>
      <c r="B702" s="144"/>
      <c r="C702" s="158"/>
      <c r="D702" s="158"/>
      <c r="E702" s="144"/>
      <c r="F702" s="158"/>
      <c r="G702" s="158"/>
      <c r="H702" s="144"/>
      <c r="I702" s="158"/>
      <c r="J702" s="158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</row>
    <row r="703" spans="1:23" ht="19.5" customHeight="1" x14ac:dyDescent="0.25">
      <c r="A703" s="144"/>
      <c r="B703" s="144"/>
      <c r="C703" s="158"/>
      <c r="D703" s="158"/>
      <c r="E703" s="144"/>
      <c r="F703" s="158"/>
      <c r="G703" s="158"/>
      <c r="H703" s="144"/>
      <c r="I703" s="158"/>
      <c r="J703" s="158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</row>
    <row r="704" spans="1:23" ht="19.5" customHeight="1" x14ac:dyDescent="0.25">
      <c r="A704" s="144"/>
      <c r="B704" s="144"/>
      <c r="C704" s="158"/>
      <c r="D704" s="158"/>
      <c r="E704" s="144"/>
      <c r="F704" s="158"/>
      <c r="G704" s="158"/>
      <c r="H704" s="144"/>
      <c r="I704" s="158"/>
      <c r="J704" s="158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</row>
    <row r="705" spans="1:23" ht="19.5" customHeight="1" x14ac:dyDescent="0.25">
      <c r="A705" s="144"/>
      <c r="B705" s="144"/>
      <c r="C705" s="158"/>
      <c r="D705" s="158"/>
      <c r="E705" s="144"/>
      <c r="F705" s="158"/>
      <c r="G705" s="158"/>
      <c r="H705" s="144"/>
      <c r="I705" s="158"/>
      <c r="J705" s="158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</row>
    <row r="706" spans="1:23" ht="19.5" customHeight="1" x14ac:dyDescent="0.25">
      <c r="A706" s="144"/>
      <c r="B706" s="144"/>
      <c r="C706" s="158"/>
      <c r="D706" s="158"/>
      <c r="E706" s="144"/>
      <c r="F706" s="158"/>
      <c r="G706" s="158"/>
      <c r="H706" s="144"/>
      <c r="I706" s="158"/>
      <c r="J706" s="158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</row>
    <row r="707" spans="1:23" ht="19.5" customHeight="1" x14ac:dyDescent="0.25">
      <c r="A707" s="144"/>
      <c r="B707" s="144"/>
      <c r="C707" s="158"/>
      <c r="D707" s="158"/>
      <c r="E707" s="144"/>
      <c r="F707" s="158"/>
      <c r="G707" s="158"/>
      <c r="H707" s="144"/>
      <c r="I707" s="158"/>
      <c r="J707" s="158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</row>
    <row r="708" spans="1:23" ht="19.5" customHeight="1" x14ac:dyDescent="0.25">
      <c r="A708" s="144"/>
      <c r="B708" s="144"/>
      <c r="C708" s="158"/>
      <c r="D708" s="158"/>
      <c r="E708" s="144"/>
      <c r="F708" s="158"/>
      <c r="G708" s="158"/>
      <c r="H708" s="144"/>
      <c r="I708" s="158"/>
      <c r="J708" s="158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</row>
    <row r="709" spans="1:23" ht="19.5" customHeight="1" x14ac:dyDescent="0.25">
      <c r="A709" s="144"/>
      <c r="B709" s="144"/>
      <c r="C709" s="158"/>
      <c r="D709" s="158"/>
      <c r="E709" s="144"/>
      <c r="F709" s="158"/>
      <c r="G709" s="158"/>
      <c r="H709" s="144"/>
      <c r="I709" s="158"/>
      <c r="J709" s="158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</row>
    <row r="710" spans="1:23" ht="19.5" customHeight="1" x14ac:dyDescent="0.25">
      <c r="A710" s="144"/>
      <c r="B710" s="144"/>
      <c r="C710" s="158"/>
      <c r="D710" s="158"/>
      <c r="E710" s="144"/>
      <c r="F710" s="158"/>
      <c r="G710" s="158"/>
      <c r="H710" s="144"/>
      <c r="I710" s="158"/>
      <c r="J710" s="158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</row>
    <row r="711" spans="1:23" ht="19.5" customHeight="1" x14ac:dyDescent="0.25">
      <c r="A711" s="144"/>
      <c r="B711" s="144"/>
      <c r="C711" s="158"/>
      <c r="D711" s="158"/>
      <c r="E711" s="144"/>
      <c r="F711" s="158"/>
      <c r="G711" s="158"/>
      <c r="H711" s="144"/>
      <c r="I711" s="158"/>
      <c r="J711" s="158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</row>
    <row r="712" spans="1:23" ht="19.5" customHeight="1" x14ac:dyDescent="0.25">
      <c r="A712" s="144"/>
      <c r="B712" s="144"/>
      <c r="C712" s="158"/>
      <c r="D712" s="158"/>
      <c r="E712" s="144"/>
      <c r="F712" s="158"/>
      <c r="G712" s="158"/>
      <c r="H712" s="144"/>
      <c r="I712" s="158"/>
      <c r="J712" s="158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</row>
    <row r="713" spans="1:23" ht="19.5" customHeight="1" x14ac:dyDescent="0.25">
      <c r="A713" s="144"/>
      <c r="B713" s="144"/>
      <c r="C713" s="158"/>
      <c r="D713" s="158"/>
      <c r="E713" s="144"/>
      <c r="F713" s="158"/>
      <c r="G713" s="158"/>
      <c r="H713" s="144"/>
      <c r="I713" s="158"/>
      <c r="J713" s="158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</row>
    <row r="714" spans="1:23" ht="19.5" customHeight="1" x14ac:dyDescent="0.25">
      <c r="A714" s="144"/>
      <c r="B714" s="144"/>
      <c r="C714" s="158"/>
      <c r="D714" s="158"/>
      <c r="E714" s="144"/>
      <c r="F714" s="158"/>
      <c r="G714" s="158"/>
      <c r="H714" s="144"/>
      <c r="I714" s="158"/>
      <c r="J714" s="158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</row>
    <row r="715" spans="1:23" ht="19.5" customHeight="1" x14ac:dyDescent="0.25">
      <c r="A715" s="144"/>
      <c r="B715" s="144"/>
      <c r="C715" s="158"/>
      <c r="D715" s="158"/>
      <c r="E715" s="144"/>
      <c r="F715" s="158"/>
      <c r="G715" s="158"/>
      <c r="H715" s="144"/>
      <c r="I715" s="158"/>
      <c r="J715" s="158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</row>
    <row r="716" spans="1:23" ht="19.5" customHeight="1" x14ac:dyDescent="0.25">
      <c r="A716" s="144"/>
      <c r="B716" s="144"/>
      <c r="C716" s="158"/>
      <c r="D716" s="158"/>
      <c r="E716" s="144"/>
      <c r="F716" s="158"/>
      <c r="G716" s="158"/>
      <c r="H716" s="144"/>
      <c r="I716" s="158"/>
      <c r="J716" s="158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</row>
    <row r="717" spans="1:23" ht="19.5" customHeight="1" x14ac:dyDescent="0.25">
      <c r="A717" s="144"/>
      <c r="B717" s="144"/>
      <c r="C717" s="158"/>
      <c r="D717" s="158"/>
      <c r="E717" s="144"/>
      <c r="F717" s="158"/>
      <c r="G717" s="158"/>
      <c r="H717" s="144"/>
      <c r="I717" s="158"/>
      <c r="J717" s="158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</row>
    <row r="718" spans="1:23" ht="19.5" customHeight="1" x14ac:dyDescent="0.25">
      <c r="A718" s="144"/>
      <c r="B718" s="144"/>
      <c r="C718" s="158"/>
      <c r="D718" s="158"/>
      <c r="E718" s="144"/>
      <c r="F718" s="158"/>
      <c r="G718" s="158"/>
      <c r="H718" s="144"/>
      <c r="I718" s="158"/>
      <c r="J718" s="158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</row>
    <row r="719" spans="1:23" ht="19.5" customHeight="1" x14ac:dyDescent="0.25">
      <c r="A719" s="144"/>
      <c r="B719" s="144"/>
      <c r="C719" s="158"/>
      <c r="D719" s="158"/>
      <c r="E719" s="144"/>
      <c r="F719" s="158"/>
      <c r="G719" s="158"/>
      <c r="H719" s="144"/>
      <c r="I719" s="158"/>
      <c r="J719" s="158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</row>
    <row r="720" spans="1:23" ht="19.5" customHeight="1" x14ac:dyDescent="0.25">
      <c r="A720" s="144"/>
      <c r="B720" s="144"/>
      <c r="C720" s="158"/>
      <c r="D720" s="158"/>
      <c r="E720" s="144"/>
      <c r="F720" s="158"/>
      <c r="G720" s="158"/>
      <c r="H720" s="144"/>
      <c r="I720" s="158"/>
      <c r="J720" s="158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</row>
    <row r="721" spans="1:23" ht="19.5" customHeight="1" x14ac:dyDescent="0.25">
      <c r="A721" s="144"/>
      <c r="B721" s="144"/>
      <c r="C721" s="158"/>
      <c r="D721" s="158"/>
      <c r="E721" s="144"/>
      <c r="F721" s="158"/>
      <c r="G721" s="158"/>
      <c r="H721" s="144"/>
      <c r="I721" s="158"/>
      <c r="J721" s="158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</row>
    <row r="722" spans="1:23" ht="19.5" customHeight="1" x14ac:dyDescent="0.25">
      <c r="A722" s="144"/>
      <c r="B722" s="144"/>
      <c r="C722" s="158"/>
      <c r="D722" s="158"/>
      <c r="E722" s="144"/>
      <c r="F722" s="158"/>
      <c r="G722" s="158"/>
      <c r="H722" s="144"/>
      <c r="I722" s="158"/>
      <c r="J722" s="158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</row>
    <row r="723" spans="1:23" ht="19.5" customHeight="1" x14ac:dyDescent="0.25">
      <c r="A723" s="144"/>
      <c r="B723" s="144"/>
      <c r="C723" s="158"/>
      <c r="D723" s="158"/>
      <c r="E723" s="144"/>
      <c r="F723" s="158"/>
      <c r="G723" s="158"/>
      <c r="H723" s="144"/>
      <c r="I723" s="158"/>
      <c r="J723" s="158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</row>
    <row r="724" spans="1:23" ht="19.5" customHeight="1" x14ac:dyDescent="0.25">
      <c r="A724" s="144"/>
      <c r="B724" s="144"/>
      <c r="C724" s="158"/>
      <c r="D724" s="158"/>
      <c r="E724" s="144"/>
      <c r="F724" s="158"/>
      <c r="G724" s="158"/>
      <c r="H724" s="144"/>
      <c r="I724" s="158"/>
      <c r="J724" s="158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</row>
    <row r="725" spans="1:23" ht="19.5" customHeight="1" x14ac:dyDescent="0.25">
      <c r="A725" s="144"/>
      <c r="B725" s="144"/>
      <c r="C725" s="158"/>
      <c r="D725" s="158"/>
      <c r="E725" s="144"/>
      <c r="F725" s="158"/>
      <c r="G725" s="158"/>
      <c r="H725" s="144"/>
      <c r="I725" s="158"/>
      <c r="J725" s="158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</row>
    <row r="726" spans="1:23" ht="19.5" customHeight="1" x14ac:dyDescent="0.25">
      <c r="A726" s="144"/>
      <c r="B726" s="144"/>
      <c r="C726" s="158"/>
      <c r="D726" s="158"/>
      <c r="E726" s="144"/>
      <c r="F726" s="158"/>
      <c r="G726" s="158"/>
      <c r="H726" s="144"/>
      <c r="I726" s="158"/>
      <c r="J726" s="158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</row>
    <row r="727" spans="1:23" ht="19.5" customHeight="1" x14ac:dyDescent="0.25">
      <c r="A727" s="144"/>
      <c r="B727" s="144"/>
      <c r="C727" s="158"/>
      <c r="D727" s="158"/>
      <c r="E727" s="144"/>
      <c r="F727" s="158"/>
      <c r="G727" s="158"/>
      <c r="H727" s="144"/>
      <c r="I727" s="158"/>
      <c r="J727" s="158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</row>
    <row r="728" spans="1:23" ht="19.5" customHeight="1" x14ac:dyDescent="0.25">
      <c r="A728" s="144"/>
      <c r="B728" s="144"/>
      <c r="C728" s="158"/>
      <c r="D728" s="158"/>
      <c r="E728" s="144"/>
      <c r="F728" s="158"/>
      <c r="G728" s="158"/>
      <c r="H728" s="144"/>
      <c r="I728" s="158"/>
      <c r="J728" s="158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</row>
    <row r="729" spans="1:23" ht="19.5" customHeight="1" x14ac:dyDescent="0.25">
      <c r="A729" s="144"/>
      <c r="B729" s="144"/>
      <c r="C729" s="158"/>
      <c r="D729" s="158"/>
      <c r="E729" s="144"/>
      <c r="F729" s="158"/>
      <c r="G729" s="158"/>
      <c r="H729" s="144"/>
      <c r="I729" s="158"/>
      <c r="J729" s="158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</row>
    <row r="730" spans="1:23" ht="19.5" customHeight="1" x14ac:dyDescent="0.25">
      <c r="A730" s="144"/>
      <c r="B730" s="144"/>
      <c r="C730" s="158"/>
      <c r="D730" s="158"/>
      <c r="E730" s="144"/>
      <c r="F730" s="158"/>
      <c r="G730" s="158"/>
      <c r="H730" s="144"/>
      <c r="I730" s="158"/>
      <c r="J730" s="158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</row>
    <row r="731" spans="1:23" ht="19.5" customHeight="1" x14ac:dyDescent="0.25">
      <c r="A731" s="144"/>
      <c r="B731" s="144"/>
      <c r="C731" s="158"/>
      <c r="D731" s="158"/>
      <c r="E731" s="144"/>
      <c r="F731" s="158"/>
      <c r="G731" s="158"/>
      <c r="H731" s="144"/>
      <c r="I731" s="158"/>
      <c r="J731" s="158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</row>
    <row r="732" spans="1:23" ht="19.5" customHeight="1" x14ac:dyDescent="0.25">
      <c r="A732" s="144"/>
      <c r="B732" s="144"/>
      <c r="C732" s="158"/>
      <c r="D732" s="158"/>
      <c r="E732" s="144"/>
      <c r="F732" s="158"/>
      <c r="G732" s="158"/>
      <c r="H732" s="144"/>
      <c r="I732" s="158"/>
      <c r="J732" s="158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</row>
    <row r="733" spans="1:23" ht="19.5" customHeight="1" x14ac:dyDescent="0.25">
      <c r="A733" s="144"/>
      <c r="B733" s="144"/>
      <c r="C733" s="158"/>
      <c r="D733" s="158"/>
      <c r="E733" s="144"/>
      <c r="F733" s="158"/>
      <c r="G733" s="158"/>
      <c r="H733" s="144"/>
      <c r="I733" s="158"/>
      <c r="J733" s="158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</row>
    <row r="734" spans="1:23" ht="19.5" customHeight="1" x14ac:dyDescent="0.25">
      <c r="A734" s="144"/>
      <c r="B734" s="144"/>
      <c r="C734" s="158"/>
      <c r="D734" s="158"/>
      <c r="E734" s="144"/>
      <c r="F734" s="158"/>
      <c r="G734" s="158"/>
      <c r="H734" s="144"/>
      <c r="I734" s="158"/>
      <c r="J734" s="158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</row>
    <row r="735" spans="1:23" ht="19.5" customHeight="1" x14ac:dyDescent="0.25">
      <c r="A735" s="144"/>
      <c r="B735" s="144"/>
      <c r="C735" s="158"/>
      <c r="D735" s="158"/>
      <c r="E735" s="144"/>
      <c r="F735" s="158"/>
      <c r="G735" s="158"/>
      <c r="H735" s="144"/>
      <c r="I735" s="158"/>
      <c r="J735" s="158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</row>
    <row r="736" spans="1:23" ht="19.5" customHeight="1" x14ac:dyDescent="0.25">
      <c r="A736" s="144"/>
      <c r="B736" s="144"/>
      <c r="C736" s="158"/>
      <c r="D736" s="158"/>
      <c r="E736" s="144"/>
      <c r="F736" s="158"/>
      <c r="G736" s="158"/>
      <c r="H736" s="144"/>
      <c r="I736" s="158"/>
      <c r="J736" s="158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</row>
    <row r="737" spans="1:23" ht="19.5" customHeight="1" x14ac:dyDescent="0.25">
      <c r="A737" s="144"/>
      <c r="B737" s="144"/>
      <c r="C737" s="158"/>
      <c r="D737" s="158"/>
      <c r="E737" s="144"/>
      <c r="F737" s="158"/>
      <c r="G737" s="158"/>
      <c r="H737" s="144"/>
      <c r="I737" s="158"/>
      <c r="J737" s="158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</row>
    <row r="738" spans="1:23" ht="19.5" customHeight="1" x14ac:dyDescent="0.25">
      <c r="A738" s="144"/>
      <c r="B738" s="144"/>
      <c r="C738" s="158"/>
      <c r="D738" s="158"/>
      <c r="E738" s="144"/>
      <c r="F738" s="158"/>
      <c r="G738" s="158"/>
      <c r="H738" s="144"/>
      <c r="I738" s="158"/>
      <c r="J738" s="158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</row>
    <row r="739" spans="1:23" ht="19.5" customHeight="1" x14ac:dyDescent="0.25">
      <c r="A739" s="144"/>
      <c r="B739" s="144"/>
      <c r="C739" s="158"/>
      <c r="D739" s="158"/>
      <c r="E739" s="144"/>
      <c r="F739" s="158"/>
      <c r="G739" s="158"/>
      <c r="H739" s="144"/>
      <c r="I739" s="158"/>
      <c r="J739" s="158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</row>
    <row r="740" spans="1:23" ht="19.5" customHeight="1" x14ac:dyDescent="0.25">
      <c r="A740" s="144"/>
      <c r="B740" s="144"/>
      <c r="C740" s="158"/>
      <c r="D740" s="158"/>
      <c r="E740" s="144"/>
      <c r="F740" s="158"/>
      <c r="G740" s="158"/>
      <c r="H740" s="144"/>
      <c r="I740" s="158"/>
      <c r="J740" s="158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</row>
    <row r="741" spans="1:23" ht="19.5" customHeight="1" x14ac:dyDescent="0.25">
      <c r="A741" s="144"/>
      <c r="B741" s="144"/>
      <c r="C741" s="158"/>
      <c r="D741" s="158"/>
      <c r="E741" s="144"/>
      <c r="F741" s="158"/>
      <c r="G741" s="158"/>
      <c r="H741" s="144"/>
      <c r="I741" s="158"/>
      <c r="J741" s="158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</row>
    <row r="742" spans="1:23" ht="19.5" customHeight="1" x14ac:dyDescent="0.25">
      <c r="A742" s="144"/>
      <c r="B742" s="144"/>
      <c r="C742" s="158"/>
      <c r="D742" s="158"/>
      <c r="E742" s="144"/>
      <c r="F742" s="158"/>
      <c r="G742" s="158"/>
      <c r="H742" s="144"/>
      <c r="I742" s="158"/>
      <c r="J742" s="158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</row>
    <row r="743" spans="1:23" ht="19.5" customHeight="1" x14ac:dyDescent="0.25">
      <c r="A743" s="144"/>
      <c r="B743" s="144"/>
      <c r="C743" s="158"/>
      <c r="D743" s="158"/>
      <c r="E743" s="144"/>
      <c r="F743" s="158"/>
      <c r="G743" s="158"/>
      <c r="H743" s="144"/>
      <c r="I743" s="158"/>
      <c r="J743" s="158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</row>
    <row r="744" spans="1:23" ht="19.5" customHeight="1" x14ac:dyDescent="0.25">
      <c r="A744" s="144"/>
      <c r="B744" s="144"/>
      <c r="C744" s="158"/>
      <c r="D744" s="158"/>
      <c r="E744" s="144"/>
      <c r="F744" s="158"/>
      <c r="G744" s="158"/>
      <c r="H744" s="144"/>
      <c r="I744" s="158"/>
      <c r="J744" s="158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</row>
    <row r="745" spans="1:23" ht="19.5" customHeight="1" x14ac:dyDescent="0.25">
      <c r="A745" s="144"/>
      <c r="B745" s="144"/>
      <c r="C745" s="158"/>
      <c r="D745" s="158"/>
      <c r="E745" s="144"/>
      <c r="F745" s="158"/>
      <c r="G745" s="158"/>
      <c r="H745" s="144"/>
      <c r="I745" s="158"/>
      <c r="J745" s="158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</row>
    <row r="746" spans="1:23" ht="19.5" customHeight="1" x14ac:dyDescent="0.25">
      <c r="A746" s="144"/>
      <c r="B746" s="144"/>
      <c r="C746" s="158"/>
      <c r="D746" s="158"/>
      <c r="E746" s="144"/>
      <c r="F746" s="158"/>
      <c r="G746" s="158"/>
      <c r="H746" s="144"/>
      <c r="I746" s="158"/>
      <c r="J746" s="158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</row>
    <row r="747" spans="1:23" ht="19.5" customHeight="1" x14ac:dyDescent="0.25">
      <c r="A747" s="144"/>
      <c r="B747" s="144"/>
      <c r="C747" s="158"/>
      <c r="D747" s="158"/>
      <c r="E747" s="144"/>
      <c r="F747" s="158"/>
      <c r="G747" s="158"/>
      <c r="H747" s="144"/>
      <c r="I747" s="158"/>
      <c r="J747" s="158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</row>
    <row r="748" spans="1:23" ht="19.5" customHeight="1" x14ac:dyDescent="0.25">
      <c r="A748" s="144"/>
      <c r="B748" s="144"/>
      <c r="C748" s="158"/>
      <c r="D748" s="158"/>
      <c r="E748" s="144"/>
      <c r="F748" s="158"/>
      <c r="G748" s="158"/>
      <c r="H748" s="144"/>
      <c r="I748" s="158"/>
      <c r="J748" s="158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</row>
    <row r="749" spans="1:23" ht="19.5" customHeight="1" x14ac:dyDescent="0.25">
      <c r="A749" s="144"/>
      <c r="B749" s="144"/>
      <c r="C749" s="158"/>
      <c r="D749" s="158"/>
      <c r="E749" s="144"/>
      <c r="F749" s="158"/>
      <c r="G749" s="158"/>
      <c r="H749" s="144"/>
      <c r="I749" s="158"/>
      <c r="J749" s="158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</row>
    <row r="750" spans="1:23" ht="19.5" customHeight="1" x14ac:dyDescent="0.25">
      <c r="A750" s="144"/>
      <c r="B750" s="144"/>
      <c r="C750" s="158"/>
      <c r="D750" s="158"/>
      <c r="E750" s="144"/>
      <c r="F750" s="158"/>
      <c r="G750" s="158"/>
      <c r="H750" s="144"/>
      <c r="I750" s="158"/>
      <c r="J750" s="158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</row>
    <row r="751" spans="1:23" ht="19.5" customHeight="1" x14ac:dyDescent="0.25">
      <c r="A751" s="144"/>
      <c r="B751" s="144"/>
      <c r="C751" s="158"/>
      <c r="D751" s="158"/>
      <c r="E751" s="144"/>
      <c r="F751" s="158"/>
      <c r="G751" s="158"/>
      <c r="H751" s="144"/>
      <c r="I751" s="158"/>
      <c r="J751" s="158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</row>
    <row r="752" spans="1:23" ht="19.5" customHeight="1" x14ac:dyDescent="0.25">
      <c r="A752" s="144"/>
      <c r="B752" s="144"/>
      <c r="C752" s="158"/>
      <c r="D752" s="158"/>
      <c r="E752" s="144"/>
      <c r="F752" s="158"/>
      <c r="G752" s="158"/>
      <c r="H752" s="144"/>
      <c r="I752" s="158"/>
      <c r="J752" s="158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</row>
    <row r="753" spans="1:23" ht="19.5" customHeight="1" x14ac:dyDescent="0.25">
      <c r="A753" s="144"/>
      <c r="B753" s="144"/>
      <c r="C753" s="158"/>
      <c r="D753" s="158"/>
      <c r="E753" s="144"/>
      <c r="F753" s="158"/>
      <c r="G753" s="158"/>
      <c r="H753" s="144"/>
      <c r="I753" s="158"/>
      <c r="J753" s="158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</row>
    <row r="754" spans="1:23" ht="19.5" customHeight="1" x14ac:dyDescent="0.25">
      <c r="A754" s="144"/>
      <c r="B754" s="144"/>
      <c r="C754" s="158"/>
      <c r="D754" s="158"/>
      <c r="E754" s="144"/>
      <c r="F754" s="158"/>
      <c r="G754" s="158"/>
      <c r="H754" s="144"/>
      <c r="I754" s="158"/>
      <c r="J754" s="158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</row>
    <row r="755" spans="1:23" ht="19.5" customHeight="1" x14ac:dyDescent="0.25">
      <c r="A755" s="144"/>
      <c r="B755" s="144"/>
      <c r="C755" s="158"/>
      <c r="D755" s="158"/>
      <c r="E755" s="144"/>
      <c r="F755" s="158"/>
      <c r="G755" s="158"/>
      <c r="H755" s="144"/>
      <c r="I755" s="158"/>
      <c r="J755" s="158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</row>
    <row r="756" spans="1:23" ht="19.5" customHeight="1" x14ac:dyDescent="0.25">
      <c r="A756" s="144"/>
      <c r="B756" s="144"/>
      <c r="C756" s="158"/>
      <c r="D756" s="158"/>
      <c r="E756" s="144"/>
      <c r="F756" s="158"/>
      <c r="G756" s="158"/>
      <c r="H756" s="144"/>
      <c r="I756" s="158"/>
      <c r="J756" s="158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</row>
    <row r="757" spans="1:23" ht="19.5" customHeight="1" x14ac:dyDescent="0.25">
      <c r="A757" s="144"/>
      <c r="B757" s="144"/>
      <c r="C757" s="158"/>
      <c r="D757" s="158"/>
      <c r="E757" s="144"/>
      <c r="F757" s="158"/>
      <c r="G757" s="158"/>
      <c r="H757" s="144"/>
      <c r="I757" s="158"/>
      <c r="J757" s="158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</row>
    <row r="758" spans="1:23" ht="19.5" customHeight="1" x14ac:dyDescent="0.25">
      <c r="A758" s="144"/>
      <c r="B758" s="144"/>
      <c r="C758" s="158"/>
      <c r="D758" s="158"/>
      <c r="E758" s="144"/>
      <c r="F758" s="158"/>
      <c r="G758" s="158"/>
      <c r="H758" s="144"/>
      <c r="I758" s="158"/>
      <c r="J758" s="158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</row>
    <row r="759" spans="1:23" ht="19.5" customHeight="1" x14ac:dyDescent="0.25">
      <c r="A759" s="144"/>
      <c r="B759" s="144"/>
      <c r="C759" s="158"/>
      <c r="D759" s="158"/>
      <c r="E759" s="144"/>
      <c r="F759" s="158"/>
      <c r="G759" s="158"/>
      <c r="H759" s="144"/>
      <c r="I759" s="158"/>
      <c r="J759" s="158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</row>
    <row r="760" spans="1:23" ht="19.5" customHeight="1" x14ac:dyDescent="0.25">
      <c r="A760" s="144"/>
      <c r="B760" s="144"/>
      <c r="C760" s="158"/>
      <c r="D760" s="158"/>
      <c r="E760" s="144"/>
      <c r="F760" s="158"/>
      <c r="G760" s="158"/>
      <c r="H760" s="144"/>
      <c r="I760" s="158"/>
      <c r="J760" s="158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</row>
    <row r="761" spans="1:23" ht="19.5" customHeight="1" x14ac:dyDescent="0.25">
      <c r="A761" s="144"/>
      <c r="B761" s="144"/>
      <c r="C761" s="158"/>
      <c r="D761" s="158"/>
      <c r="E761" s="144"/>
      <c r="F761" s="158"/>
      <c r="G761" s="158"/>
      <c r="H761" s="144"/>
      <c r="I761" s="158"/>
      <c r="J761" s="158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</row>
    <row r="762" spans="1:23" ht="19.5" customHeight="1" x14ac:dyDescent="0.25">
      <c r="A762" s="144"/>
      <c r="B762" s="144"/>
      <c r="C762" s="158"/>
      <c r="D762" s="158"/>
      <c r="E762" s="144"/>
      <c r="F762" s="158"/>
      <c r="G762" s="158"/>
      <c r="H762" s="144"/>
      <c r="I762" s="158"/>
      <c r="J762" s="158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</row>
    <row r="763" spans="1:23" ht="19.5" customHeight="1" x14ac:dyDescent="0.25">
      <c r="A763" s="144"/>
      <c r="B763" s="144"/>
      <c r="C763" s="158"/>
      <c r="D763" s="158"/>
      <c r="E763" s="144"/>
      <c r="F763" s="158"/>
      <c r="G763" s="158"/>
      <c r="H763" s="144"/>
      <c r="I763" s="158"/>
      <c r="J763" s="158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</row>
    <row r="764" spans="1:23" ht="19.5" customHeight="1" x14ac:dyDescent="0.25">
      <c r="A764" s="144"/>
      <c r="B764" s="144"/>
      <c r="C764" s="158"/>
      <c r="D764" s="158"/>
      <c r="E764" s="144"/>
      <c r="F764" s="158"/>
      <c r="G764" s="158"/>
      <c r="H764" s="144"/>
      <c r="I764" s="158"/>
      <c r="J764" s="158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</row>
    <row r="765" spans="1:23" ht="19.5" customHeight="1" x14ac:dyDescent="0.25">
      <c r="A765" s="144"/>
      <c r="B765" s="144"/>
      <c r="C765" s="158"/>
      <c r="D765" s="158"/>
      <c r="E765" s="144"/>
      <c r="F765" s="158"/>
      <c r="G765" s="158"/>
      <c r="H765" s="144"/>
      <c r="I765" s="158"/>
      <c r="J765" s="158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</row>
    <row r="766" spans="1:23" ht="19.5" customHeight="1" x14ac:dyDescent="0.25">
      <c r="A766" s="144"/>
      <c r="B766" s="144"/>
      <c r="C766" s="158"/>
      <c r="D766" s="158"/>
      <c r="E766" s="144"/>
      <c r="F766" s="158"/>
      <c r="G766" s="158"/>
      <c r="H766" s="144"/>
      <c r="I766" s="158"/>
      <c r="J766" s="158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</row>
    <row r="767" spans="1:23" ht="19.5" customHeight="1" x14ac:dyDescent="0.25">
      <c r="A767" s="144"/>
      <c r="B767" s="144"/>
      <c r="C767" s="158"/>
      <c r="D767" s="158"/>
      <c r="E767" s="144"/>
      <c r="F767" s="158"/>
      <c r="G767" s="158"/>
      <c r="H767" s="144"/>
      <c r="I767" s="158"/>
      <c r="J767" s="158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</row>
    <row r="768" spans="1:23" ht="19.5" customHeight="1" x14ac:dyDescent="0.25">
      <c r="A768" s="144"/>
      <c r="B768" s="144"/>
      <c r="C768" s="158"/>
      <c r="D768" s="158"/>
      <c r="E768" s="144"/>
      <c r="F768" s="158"/>
      <c r="G768" s="158"/>
      <c r="H768" s="144"/>
      <c r="I768" s="158"/>
      <c r="J768" s="158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</row>
    <row r="769" spans="1:23" ht="19.5" customHeight="1" x14ac:dyDescent="0.25">
      <c r="A769" s="144"/>
      <c r="B769" s="144"/>
      <c r="C769" s="158"/>
      <c r="D769" s="158"/>
      <c r="E769" s="144"/>
      <c r="F769" s="158"/>
      <c r="G769" s="158"/>
      <c r="H769" s="144"/>
      <c r="I769" s="158"/>
      <c r="J769" s="158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</row>
    <row r="770" spans="1:23" ht="19.5" customHeight="1" x14ac:dyDescent="0.25">
      <c r="A770" s="144"/>
      <c r="B770" s="144"/>
      <c r="C770" s="158"/>
      <c r="D770" s="158"/>
      <c r="E770" s="144"/>
      <c r="F770" s="158"/>
      <c r="G770" s="158"/>
      <c r="H770" s="144"/>
      <c r="I770" s="158"/>
      <c r="J770" s="158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</row>
    <row r="771" spans="1:23" ht="19.5" customHeight="1" x14ac:dyDescent="0.25">
      <c r="A771" s="144"/>
      <c r="B771" s="144"/>
      <c r="C771" s="158"/>
      <c r="D771" s="158"/>
      <c r="E771" s="144"/>
      <c r="F771" s="158"/>
      <c r="G771" s="158"/>
      <c r="H771" s="144"/>
      <c r="I771" s="158"/>
      <c r="J771" s="158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</row>
    <row r="772" spans="1:23" ht="19.5" customHeight="1" x14ac:dyDescent="0.25">
      <c r="A772" s="144"/>
      <c r="B772" s="144"/>
      <c r="C772" s="158"/>
      <c r="D772" s="158"/>
      <c r="E772" s="144"/>
      <c r="F772" s="158"/>
      <c r="G772" s="158"/>
      <c r="H772" s="144"/>
      <c r="I772" s="158"/>
      <c r="J772" s="158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</row>
    <row r="773" spans="1:23" ht="19.5" customHeight="1" x14ac:dyDescent="0.25">
      <c r="A773" s="144"/>
      <c r="B773" s="144"/>
      <c r="C773" s="158"/>
      <c r="D773" s="158"/>
      <c r="E773" s="144"/>
      <c r="F773" s="158"/>
      <c r="G773" s="158"/>
      <c r="H773" s="144"/>
      <c r="I773" s="158"/>
      <c r="J773" s="158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</row>
    <row r="774" spans="1:23" ht="19.5" customHeight="1" x14ac:dyDescent="0.25">
      <c r="A774" s="144"/>
      <c r="B774" s="144"/>
      <c r="C774" s="158"/>
      <c r="D774" s="158"/>
      <c r="E774" s="144"/>
      <c r="F774" s="158"/>
      <c r="G774" s="158"/>
      <c r="H774" s="144"/>
      <c r="I774" s="158"/>
      <c r="J774" s="158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</row>
    <row r="775" spans="1:23" ht="19.5" customHeight="1" x14ac:dyDescent="0.25">
      <c r="A775" s="144"/>
      <c r="B775" s="144"/>
      <c r="C775" s="158"/>
      <c r="D775" s="158"/>
      <c r="E775" s="144"/>
      <c r="F775" s="158"/>
      <c r="G775" s="158"/>
      <c r="H775" s="144"/>
      <c r="I775" s="158"/>
      <c r="J775" s="158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</row>
    <row r="776" spans="1:23" ht="19.5" customHeight="1" x14ac:dyDescent="0.25">
      <c r="A776" s="144"/>
      <c r="B776" s="144"/>
      <c r="C776" s="158"/>
      <c r="D776" s="158"/>
      <c r="E776" s="144"/>
      <c r="F776" s="158"/>
      <c r="G776" s="158"/>
      <c r="H776" s="144"/>
      <c r="I776" s="158"/>
      <c r="J776" s="158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</row>
    <row r="777" spans="1:23" ht="19.5" customHeight="1" x14ac:dyDescent="0.25">
      <c r="A777" s="144"/>
      <c r="B777" s="144"/>
      <c r="C777" s="158"/>
      <c r="D777" s="158"/>
      <c r="E777" s="144"/>
      <c r="F777" s="158"/>
      <c r="G777" s="158"/>
      <c r="H777" s="144"/>
      <c r="I777" s="158"/>
      <c r="J777" s="158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</row>
    <row r="778" spans="1:23" ht="19.5" customHeight="1" x14ac:dyDescent="0.25">
      <c r="A778" s="144"/>
      <c r="B778" s="144"/>
      <c r="C778" s="158"/>
      <c r="D778" s="158"/>
      <c r="E778" s="144"/>
      <c r="F778" s="158"/>
      <c r="G778" s="158"/>
      <c r="H778" s="144"/>
      <c r="I778" s="158"/>
      <c r="J778" s="158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</row>
    <row r="779" spans="1:23" ht="19.5" customHeight="1" x14ac:dyDescent="0.25">
      <c r="A779" s="144"/>
      <c r="B779" s="144"/>
      <c r="C779" s="158"/>
      <c r="D779" s="158"/>
      <c r="E779" s="144"/>
      <c r="F779" s="158"/>
      <c r="G779" s="158"/>
      <c r="H779" s="144"/>
      <c r="I779" s="158"/>
      <c r="J779" s="158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</row>
    <row r="780" spans="1:23" ht="19.5" customHeight="1" x14ac:dyDescent="0.25">
      <c r="A780" s="144"/>
      <c r="B780" s="144"/>
      <c r="C780" s="158"/>
      <c r="D780" s="158"/>
      <c r="E780" s="144"/>
      <c r="F780" s="158"/>
      <c r="G780" s="158"/>
      <c r="H780" s="144"/>
      <c r="I780" s="158"/>
      <c r="J780" s="158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</row>
    <row r="781" spans="1:23" ht="19.5" customHeight="1" x14ac:dyDescent="0.25">
      <c r="A781" s="144"/>
      <c r="B781" s="144"/>
      <c r="C781" s="158"/>
      <c r="D781" s="158"/>
      <c r="E781" s="144"/>
      <c r="F781" s="158"/>
      <c r="G781" s="158"/>
      <c r="H781" s="144"/>
      <c r="I781" s="158"/>
      <c r="J781" s="158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</row>
    <row r="782" spans="1:23" ht="19.5" customHeight="1" x14ac:dyDescent="0.25">
      <c r="A782" s="144"/>
      <c r="B782" s="144"/>
      <c r="C782" s="158"/>
      <c r="D782" s="158"/>
      <c r="E782" s="144"/>
      <c r="F782" s="158"/>
      <c r="G782" s="158"/>
      <c r="H782" s="144"/>
      <c r="I782" s="158"/>
      <c r="J782" s="158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</row>
    <row r="783" spans="1:23" ht="19.5" customHeight="1" x14ac:dyDescent="0.25">
      <c r="A783" s="144"/>
      <c r="B783" s="144"/>
      <c r="C783" s="158"/>
      <c r="D783" s="158"/>
      <c r="E783" s="144"/>
      <c r="F783" s="158"/>
      <c r="G783" s="158"/>
      <c r="H783" s="144"/>
      <c r="I783" s="158"/>
      <c r="J783" s="158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</row>
    <row r="784" spans="1:23" ht="19.5" customHeight="1" x14ac:dyDescent="0.25">
      <c r="A784" s="144"/>
      <c r="B784" s="144"/>
      <c r="C784" s="158"/>
      <c r="D784" s="158"/>
      <c r="E784" s="144"/>
      <c r="F784" s="158"/>
      <c r="G784" s="158"/>
      <c r="H784" s="144"/>
      <c r="I784" s="158"/>
      <c r="J784" s="158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</row>
    <row r="785" spans="1:23" ht="19.5" customHeight="1" x14ac:dyDescent="0.25">
      <c r="A785" s="144"/>
      <c r="B785" s="144"/>
      <c r="C785" s="158"/>
      <c r="D785" s="158"/>
      <c r="E785" s="144"/>
      <c r="F785" s="158"/>
      <c r="G785" s="158"/>
      <c r="H785" s="144"/>
      <c r="I785" s="158"/>
      <c r="J785" s="158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</row>
    <row r="786" spans="1:23" ht="19.5" customHeight="1" x14ac:dyDescent="0.25">
      <c r="A786" s="144"/>
      <c r="B786" s="144"/>
      <c r="C786" s="158"/>
      <c r="D786" s="158"/>
      <c r="E786" s="144"/>
      <c r="F786" s="158"/>
      <c r="G786" s="158"/>
      <c r="H786" s="144"/>
      <c r="I786" s="158"/>
      <c r="J786" s="158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</row>
    <row r="787" spans="1:23" ht="19.5" customHeight="1" x14ac:dyDescent="0.25">
      <c r="A787" s="144"/>
      <c r="B787" s="144"/>
      <c r="C787" s="158"/>
      <c r="D787" s="158"/>
      <c r="E787" s="144"/>
      <c r="F787" s="158"/>
      <c r="G787" s="158"/>
      <c r="H787" s="144"/>
      <c r="I787" s="158"/>
      <c r="J787" s="158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</row>
    <row r="788" spans="1:23" ht="19.5" customHeight="1" x14ac:dyDescent="0.25">
      <c r="A788" s="144"/>
      <c r="B788" s="144"/>
      <c r="C788" s="158"/>
      <c r="D788" s="158"/>
      <c r="E788" s="144"/>
      <c r="F788" s="158"/>
      <c r="G788" s="158"/>
      <c r="H788" s="144"/>
      <c r="I788" s="158"/>
      <c r="J788" s="158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</row>
    <row r="789" spans="1:23" ht="19.5" customHeight="1" x14ac:dyDescent="0.25">
      <c r="A789" s="144"/>
      <c r="B789" s="144"/>
      <c r="C789" s="158"/>
      <c r="D789" s="158"/>
      <c r="E789" s="144"/>
      <c r="F789" s="158"/>
      <c r="G789" s="158"/>
      <c r="H789" s="144"/>
      <c r="I789" s="158"/>
      <c r="J789" s="158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</row>
    <row r="790" spans="1:23" ht="19.5" customHeight="1" x14ac:dyDescent="0.25">
      <c r="A790" s="144"/>
      <c r="B790" s="144"/>
      <c r="C790" s="158"/>
      <c r="D790" s="158"/>
      <c r="E790" s="144"/>
      <c r="F790" s="158"/>
      <c r="G790" s="158"/>
      <c r="H790" s="144"/>
      <c r="I790" s="158"/>
      <c r="J790" s="158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</row>
    <row r="791" spans="1:23" ht="19.5" customHeight="1" x14ac:dyDescent="0.25">
      <c r="A791" s="144"/>
      <c r="B791" s="144"/>
      <c r="C791" s="158"/>
      <c r="D791" s="158"/>
      <c r="E791" s="144"/>
      <c r="F791" s="158"/>
      <c r="G791" s="158"/>
      <c r="H791" s="144"/>
      <c r="I791" s="158"/>
      <c r="J791" s="158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</row>
    <row r="792" spans="1:23" ht="19.5" customHeight="1" x14ac:dyDescent="0.25">
      <c r="A792" s="144"/>
      <c r="B792" s="144"/>
      <c r="C792" s="158"/>
      <c r="D792" s="158"/>
      <c r="E792" s="144"/>
      <c r="F792" s="158"/>
      <c r="G792" s="158"/>
      <c r="H792" s="144"/>
      <c r="I792" s="158"/>
      <c r="J792" s="158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</row>
    <row r="793" spans="1:23" ht="19.5" customHeight="1" x14ac:dyDescent="0.25">
      <c r="A793" s="144"/>
      <c r="B793" s="144"/>
      <c r="C793" s="158"/>
      <c r="D793" s="158"/>
      <c r="E793" s="144"/>
      <c r="F793" s="158"/>
      <c r="G793" s="158"/>
      <c r="H793" s="144"/>
      <c r="I793" s="158"/>
      <c r="J793" s="158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</row>
    <row r="794" spans="1:23" ht="19.5" customHeight="1" x14ac:dyDescent="0.25">
      <c r="A794" s="144"/>
      <c r="B794" s="144"/>
      <c r="C794" s="158"/>
      <c r="D794" s="158"/>
      <c r="E794" s="144"/>
      <c r="F794" s="158"/>
      <c r="G794" s="158"/>
      <c r="H794" s="144"/>
      <c r="I794" s="158"/>
      <c r="J794" s="158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</row>
    <row r="795" spans="1:23" ht="19.5" customHeight="1" x14ac:dyDescent="0.25">
      <c r="A795" s="144"/>
      <c r="B795" s="144"/>
      <c r="C795" s="158"/>
      <c r="D795" s="158"/>
      <c r="E795" s="144"/>
      <c r="F795" s="158"/>
      <c r="G795" s="158"/>
      <c r="H795" s="144"/>
      <c r="I795" s="158"/>
      <c r="J795" s="158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</row>
    <row r="796" spans="1:23" ht="19.5" customHeight="1" x14ac:dyDescent="0.25">
      <c r="A796" s="144"/>
      <c r="B796" s="144"/>
      <c r="C796" s="158"/>
      <c r="D796" s="158"/>
      <c r="E796" s="144"/>
      <c r="F796" s="158"/>
      <c r="G796" s="158"/>
      <c r="H796" s="144"/>
      <c r="I796" s="158"/>
      <c r="J796" s="158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</row>
    <row r="797" spans="1:23" ht="19.5" customHeight="1" x14ac:dyDescent="0.25">
      <c r="A797" s="144"/>
      <c r="B797" s="144"/>
      <c r="C797" s="158"/>
      <c r="D797" s="158"/>
      <c r="E797" s="144"/>
      <c r="F797" s="158"/>
      <c r="G797" s="158"/>
      <c r="H797" s="144"/>
      <c r="I797" s="158"/>
      <c r="J797" s="158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</row>
    <row r="798" spans="1:23" ht="19.5" customHeight="1" x14ac:dyDescent="0.25">
      <c r="A798" s="144"/>
      <c r="B798" s="144"/>
      <c r="C798" s="158"/>
      <c r="D798" s="158"/>
      <c r="E798" s="144"/>
      <c r="F798" s="158"/>
      <c r="G798" s="158"/>
      <c r="H798" s="144"/>
      <c r="I798" s="158"/>
      <c r="J798" s="158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</row>
    <row r="799" spans="1:23" ht="19.5" customHeight="1" x14ac:dyDescent="0.25">
      <c r="A799" s="144"/>
      <c r="B799" s="144"/>
      <c r="C799" s="158"/>
      <c r="D799" s="158"/>
      <c r="E799" s="144"/>
      <c r="F799" s="158"/>
      <c r="G799" s="158"/>
      <c r="H799" s="144"/>
      <c r="I799" s="158"/>
      <c r="J799" s="158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</row>
    <row r="800" spans="1:23" ht="19.5" customHeight="1" x14ac:dyDescent="0.25">
      <c r="A800" s="144"/>
      <c r="B800" s="144"/>
      <c r="C800" s="158"/>
      <c r="D800" s="158"/>
      <c r="E800" s="144"/>
      <c r="F800" s="158"/>
      <c r="G800" s="158"/>
      <c r="H800" s="144"/>
      <c r="I800" s="158"/>
      <c r="J800" s="158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</row>
    <row r="801" spans="1:23" ht="19.5" customHeight="1" x14ac:dyDescent="0.25">
      <c r="A801" s="144"/>
      <c r="B801" s="144"/>
      <c r="C801" s="158"/>
      <c r="D801" s="158"/>
      <c r="E801" s="144"/>
      <c r="F801" s="158"/>
      <c r="G801" s="158"/>
      <c r="H801" s="144"/>
      <c r="I801" s="158"/>
      <c r="J801" s="158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</row>
    <row r="802" spans="1:23" ht="19.5" customHeight="1" x14ac:dyDescent="0.25">
      <c r="A802" s="144"/>
      <c r="B802" s="144"/>
      <c r="C802" s="158"/>
      <c r="D802" s="158"/>
      <c r="E802" s="144"/>
      <c r="F802" s="158"/>
      <c r="G802" s="158"/>
      <c r="H802" s="144"/>
      <c r="I802" s="158"/>
      <c r="J802" s="158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</row>
    <row r="803" spans="1:23" ht="19.5" customHeight="1" x14ac:dyDescent="0.25">
      <c r="A803" s="144"/>
      <c r="B803" s="144"/>
      <c r="C803" s="158"/>
      <c r="D803" s="158"/>
      <c r="E803" s="144"/>
      <c r="F803" s="158"/>
      <c r="G803" s="158"/>
      <c r="H803" s="144"/>
      <c r="I803" s="158"/>
      <c r="J803" s="158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</row>
    <row r="804" spans="1:23" ht="19.5" customHeight="1" x14ac:dyDescent="0.25">
      <c r="A804" s="144"/>
      <c r="B804" s="144"/>
      <c r="C804" s="158"/>
      <c r="D804" s="158"/>
      <c r="E804" s="144"/>
      <c r="F804" s="158"/>
      <c r="G804" s="158"/>
      <c r="H804" s="144"/>
      <c r="I804" s="158"/>
      <c r="J804" s="158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</row>
    <row r="805" spans="1:23" ht="19.5" customHeight="1" x14ac:dyDescent="0.25">
      <c r="A805" s="144"/>
      <c r="B805" s="144"/>
      <c r="C805" s="158"/>
      <c r="D805" s="158"/>
      <c r="E805" s="144"/>
      <c r="F805" s="158"/>
      <c r="G805" s="158"/>
      <c r="H805" s="144"/>
      <c r="I805" s="158"/>
      <c r="J805" s="158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</row>
    <row r="806" spans="1:23" ht="19.5" customHeight="1" x14ac:dyDescent="0.25">
      <c r="A806" s="144"/>
      <c r="B806" s="144"/>
      <c r="C806" s="158"/>
      <c r="D806" s="158"/>
      <c r="E806" s="144"/>
      <c r="F806" s="158"/>
      <c r="G806" s="158"/>
      <c r="H806" s="144"/>
      <c r="I806" s="158"/>
      <c r="J806" s="158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</row>
    <row r="807" spans="1:23" ht="19.5" customHeight="1" x14ac:dyDescent="0.25">
      <c r="A807" s="144"/>
      <c r="B807" s="144"/>
      <c r="C807" s="158"/>
      <c r="D807" s="158"/>
      <c r="E807" s="144"/>
      <c r="F807" s="158"/>
      <c r="G807" s="158"/>
      <c r="H807" s="144"/>
      <c r="I807" s="158"/>
      <c r="J807" s="158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</row>
    <row r="808" spans="1:23" ht="19.5" customHeight="1" x14ac:dyDescent="0.25">
      <c r="A808" s="144"/>
      <c r="B808" s="144"/>
      <c r="C808" s="158"/>
      <c r="D808" s="158"/>
      <c r="E808" s="144"/>
      <c r="F808" s="158"/>
      <c r="G808" s="158"/>
      <c r="H808" s="144"/>
      <c r="I808" s="158"/>
      <c r="J808" s="158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</row>
    <row r="809" spans="1:23" ht="19.5" customHeight="1" x14ac:dyDescent="0.25">
      <c r="A809" s="144"/>
      <c r="B809" s="144"/>
      <c r="C809" s="158"/>
      <c r="D809" s="158"/>
      <c r="E809" s="144"/>
      <c r="F809" s="158"/>
      <c r="G809" s="158"/>
      <c r="H809" s="144"/>
      <c r="I809" s="158"/>
      <c r="J809" s="158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</row>
    <row r="810" spans="1:23" ht="19.5" customHeight="1" x14ac:dyDescent="0.25">
      <c r="A810" s="144"/>
      <c r="B810" s="144"/>
      <c r="C810" s="158"/>
      <c r="D810" s="158"/>
      <c r="E810" s="144"/>
      <c r="F810" s="158"/>
      <c r="G810" s="158"/>
      <c r="H810" s="144"/>
      <c r="I810" s="158"/>
      <c r="J810" s="158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</row>
    <row r="811" spans="1:23" ht="19.5" customHeight="1" x14ac:dyDescent="0.25">
      <c r="A811" s="144"/>
      <c r="B811" s="144"/>
      <c r="C811" s="158"/>
      <c r="D811" s="158"/>
      <c r="E811" s="144"/>
      <c r="F811" s="158"/>
      <c r="G811" s="158"/>
      <c r="H811" s="144"/>
      <c r="I811" s="158"/>
      <c r="J811" s="158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</row>
    <row r="812" spans="1:23" ht="19.5" customHeight="1" x14ac:dyDescent="0.25">
      <c r="A812" s="144"/>
      <c r="B812" s="144"/>
      <c r="C812" s="158"/>
      <c r="D812" s="158"/>
      <c r="E812" s="144"/>
      <c r="F812" s="158"/>
      <c r="G812" s="158"/>
      <c r="H812" s="144"/>
      <c r="I812" s="158"/>
      <c r="J812" s="158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</row>
    <row r="813" spans="1:23" ht="19.5" customHeight="1" x14ac:dyDescent="0.25">
      <c r="A813" s="144"/>
      <c r="B813" s="144"/>
      <c r="C813" s="158"/>
      <c r="D813" s="158"/>
      <c r="E813" s="144"/>
      <c r="F813" s="158"/>
      <c r="G813" s="158"/>
      <c r="H813" s="144"/>
      <c r="I813" s="158"/>
      <c r="J813" s="158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</row>
    <row r="814" spans="1:23" ht="19.5" customHeight="1" x14ac:dyDescent="0.25">
      <c r="A814" s="144"/>
      <c r="B814" s="144"/>
      <c r="C814" s="158"/>
      <c r="D814" s="158"/>
      <c r="E814" s="144"/>
      <c r="F814" s="158"/>
      <c r="G814" s="158"/>
      <c r="H814" s="144"/>
      <c r="I814" s="158"/>
      <c r="J814" s="158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</row>
    <row r="815" spans="1:23" ht="19.5" customHeight="1" x14ac:dyDescent="0.25">
      <c r="A815" s="144"/>
      <c r="B815" s="144"/>
      <c r="C815" s="158"/>
      <c r="D815" s="158"/>
      <c r="E815" s="144"/>
      <c r="F815" s="158"/>
      <c r="G815" s="158"/>
      <c r="H815" s="144"/>
      <c r="I815" s="158"/>
      <c r="J815" s="158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</row>
    <row r="816" spans="1:23" ht="19.5" customHeight="1" x14ac:dyDescent="0.25">
      <c r="A816" s="144"/>
      <c r="B816" s="144"/>
      <c r="C816" s="158"/>
      <c r="D816" s="158"/>
      <c r="E816" s="144"/>
      <c r="F816" s="158"/>
      <c r="G816" s="158"/>
      <c r="H816" s="144"/>
      <c r="I816" s="158"/>
      <c r="J816" s="158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</row>
    <row r="817" spans="1:23" ht="19.5" customHeight="1" x14ac:dyDescent="0.25">
      <c r="A817" s="144"/>
      <c r="B817" s="144"/>
      <c r="C817" s="158"/>
      <c r="D817" s="158"/>
      <c r="E817" s="144"/>
      <c r="F817" s="158"/>
      <c r="G817" s="158"/>
      <c r="H817" s="144"/>
      <c r="I817" s="158"/>
      <c r="J817" s="158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</row>
    <row r="818" spans="1:23" ht="19.5" customHeight="1" x14ac:dyDescent="0.25">
      <c r="A818" s="144"/>
      <c r="B818" s="144"/>
      <c r="C818" s="158"/>
      <c r="D818" s="158"/>
      <c r="E818" s="144"/>
      <c r="F818" s="158"/>
      <c r="G818" s="158"/>
      <c r="H818" s="144"/>
      <c r="I818" s="158"/>
      <c r="J818" s="158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</row>
    <row r="819" spans="1:23" ht="19.5" customHeight="1" x14ac:dyDescent="0.25">
      <c r="A819" s="144"/>
      <c r="B819" s="144"/>
      <c r="C819" s="158"/>
      <c r="D819" s="158"/>
      <c r="E819" s="144"/>
      <c r="F819" s="158"/>
      <c r="G819" s="158"/>
      <c r="H819" s="144"/>
      <c r="I819" s="158"/>
      <c r="J819" s="158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</row>
    <row r="820" spans="1:23" ht="19.5" customHeight="1" x14ac:dyDescent="0.25">
      <c r="A820" s="144"/>
      <c r="B820" s="144"/>
      <c r="C820" s="158"/>
      <c r="D820" s="158"/>
      <c r="E820" s="144"/>
      <c r="F820" s="158"/>
      <c r="G820" s="158"/>
      <c r="H820" s="144"/>
      <c r="I820" s="158"/>
      <c r="J820" s="158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</row>
    <row r="821" spans="1:23" ht="19.5" customHeight="1" x14ac:dyDescent="0.25">
      <c r="A821" s="144"/>
      <c r="B821" s="144"/>
      <c r="C821" s="158"/>
      <c r="D821" s="158"/>
      <c r="E821" s="144"/>
      <c r="F821" s="158"/>
      <c r="G821" s="158"/>
      <c r="H821" s="144"/>
      <c r="I821" s="158"/>
      <c r="J821" s="158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</row>
    <row r="822" spans="1:23" ht="19.5" customHeight="1" x14ac:dyDescent="0.25">
      <c r="A822" s="144"/>
      <c r="B822" s="144"/>
      <c r="C822" s="158"/>
      <c r="D822" s="158"/>
      <c r="E822" s="144"/>
      <c r="F822" s="158"/>
      <c r="G822" s="158"/>
      <c r="H822" s="144"/>
      <c r="I822" s="158"/>
      <c r="J822" s="158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</row>
    <row r="823" spans="1:23" ht="19.5" customHeight="1" x14ac:dyDescent="0.25">
      <c r="A823" s="144"/>
      <c r="B823" s="144"/>
      <c r="C823" s="158"/>
      <c r="D823" s="158"/>
      <c r="E823" s="144"/>
      <c r="F823" s="158"/>
      <c r="G823" s="158"/>
      <c r="H823" s="144"/>
      <c r="I823" s="158"/>
      <c r="J823" s="158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</row>
    <row r="824" spans="1:23" ht="19.5" customHeight="1" x14ac:dyDescent="0.25">
      <c r="A824" s="144"/>
      <c r="B824" s="144"/>
      <c r="C824" s="158"/>
      <c r="D824" s="158"/>
      <c r="E824" s="144"/>
      <c r="F824" s="158"/>
      <c r="G824" s="158"/>
      <c r="H824" s="144"/>
      <c r="I824" s="158"/>
      <c r="J824" s="158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</row>
    <row r="825" spans="1:23" ht="19.5" customHeight="1" x14ac:dyDescent="0.25">
      <c r="A825" s="144"/>
      <c r="B825" s="144"/>
      <c r="C825" s="158"/>
      <c r="D825" s="158"/>
      <c r="E825" s="144"/>
      <c r="F825" s="158"/>
      <c r="G825" s="158"/>
      <c r="H825" s="144"/>
      <c r="I825" s="158"/>
      <c r="J825" s="158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</row>
    <row r="826" spans="1:23" ht="19.5" customHeight="1" x14ac:dyDescent="0.25">
      <c r="A826" s="144"/>
      <c r="B826" s="144"/>
      <c r="C826" s="158"/>
      <c r="D826" s="158"/>
      <c r="E826" s="144"/>
      <c r="F826" s="158"/>
      <c r="G826" s="158"/>
      <c r="H826" s="144"/>
      <c r="I826" s="158"/>
      <c r="J826" s="158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</row>
    <row r="827" spans="1:23" ht="19.5" customHeight="1" x14ac:dyDescent="0.25">
      <c r="A827" s="144"/>
      <c r="B827" s="144"/>
      <c r="C827" s="158"/>
      <c r="D827" s="158"/>
      <c r="E827" s="144"/>
      <c r="F827" s="158"/>
      <c r="G827" s="158"/>
      <c r="H827" s="144"/>
      <c r="I827" s="158"/>
      <c r="J827" s="158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</row>
    <row r="828" spans="1:23" ht="19.5" customHeight="1" x14ac:dyDescent="0.25">
      <c r="A828" s="144"/>
      <c r="B828" s="144"/>
      <c r="C828" s="158"/>
      <c r="D828" s="158"/>
      <c r="E828" s="144"/>
      <c r="F828" s="158"/>
      <c r="G828" s="158"/>
      <c r="H828" s="144"/>
      <c r="I828" s="158"/>
      <c r="J828" s="158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</row>
    <row r="829" spans="1:23" ht="19.5" customHeight="1" x14ac:dyDescent="0.25">
      <c r="A829" s="144"/>
      <c r="B829" s="144"/>
      <c r="C829" s="158"/>
      <c r="D829" s="158"/>
      <c r="E829" s="144"/>
      <c r="F829" s="158"/>
      <c r="G829" s="158"/>
      <c r="H829" s="144"/>
      <c r="I829" s="158"/>
      <c r="J829" s="158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</row>
    <row r="830" spans="1:23" ht="19.5" customHeight="1" x14ac:dyDescent="0.25">
      <c r="A830" s="144"/>
      <c r="B830" s="144"/>
      <c r="C830" s="158"/>
      <c r="D830" s="158"/>
      <c r="E830" s="144"/>
      <c r="F830" s="158"/>
      <c r="G830" s="158"/>
      <c r="H830" s="144"/>
      <c r="I830" s="158"/>
      <c r="J830" s="158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</row>
    <row r="831" spans="1:23" ht="19.5" customHeight="1" x14ac:dyDescent="0.25">
      <c r="A831" s="144"/>
      <c r="B831" s="144"/>
      <c r="C831" s="158"/>
      <c r="D831" s="158"/>
      <c r="E831" s="144"/>
      <c r="F831" s="158"/>
      <c r="G831" s="158"/>
      <c r="H831" s="144"/>
      <c r="I831" s="158"/>
      <c r="J831" s="158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</row>
    <row r="832" spans="1:23" ht="19.5" customHeight="1" x14ac:dyDescent="0.25">
      <c r="A832" s="144"/>
      <c r="B832" s="144"/>
      <c r="C832" s="158"/>
      <c r="D832" s="158"/>
      <c r="E832" s="144"/>
      <c r="F832" s="158"/>
      <c r="G832" s="158"/>
      <c r="H832" s="144"/>
      <c r="I832" s="158"/>
      <c r="J832" s="158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</row>
    <row r="833" spans="1:23" ht="19.5" customHeight="1" x14ac:dyDescent="0.25">
      <c r="A833" s="144"/>
      <c r="B833" s="144"/>
      <c r="C833" s="158"/>
      <c r="D833" s="158"/>
      <c r="E833" s="144"/>
      <c r="F833" s="158"/>
      <c r="G833" s="158"/>
      <c r="H833" s="144"/>
      <c r="I833" s="158"/>
      <c r="J833" s="158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</row>
    <row r="834" spans="1:23" ht="19.5" customHeight="1" x14ac:dyDescent="0.25">
      <c r="A834" s="144"/>
      <c r="B834" s="144"/>
      <c r="C834" s="158"/>
      <c r="D834" s="158"/>
      <c r="E834" s="144"/>
      <c r="F834" s="158"/>
      <c r="G834" s="158"/>
      <c r="H834" s="144"/>
      <c r="I834" s="158"/>
      <c r="J834" s="158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</row>
    <row r="835" spans="1:23" ht="19.5" customHeight="1" x14ac:dyDescent="0.25">
      <c r="A835" s="144"/>
      <c r="B835" s="144"/>
      <c r="C835" s="158"/>
      <c r="D835" s="158"/>
      <c r="E835" s="144"/>
      <c r="F835" s="158"/>
      <c r="G835" s="158"/>
      <c r="H835" s="144"/>
      <c r="I835" s="158"/>
      <c r="J835" s="158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</row>
    <row r="836" spans="1:23" ht="19.5" customHeight="1" x14ac:dyDescent="0.25">
      <c r="A836" s="144"/>
      <c r="B836" s="144"/>
      <c r="C836" s="158"/>
      <c r="D836" s="158"/>
      <c r="E836" s="144"/>
      <c r="F836" s="158"/>
      <c r="G836" s="158"/>
      <c r="H836" s="144"/>
      <c r="I836" s="158"/>
      <c r="J836" s="158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</row>
    <row r="837" spans="1:23" ht="19.5" customHeight="1" x14ac:dyDescent="0.25">
      <c r="A837" s="144"/>
      <c r="B837" s="144"/>
      <c r="C837" s="158"/>
      <c r="D837" s="158"/>
      <c r="E837" s="144"/>
      <c r="F837" s="158"/>
      <c r="G837" s="158"/>
      <c r="H837" s="144"/>
      <c r="I837" s="158"/>
      <c r="J837" s="158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</row>
    <row r="838" spans="1:23" ht="19.5" customHeight="1" x14ac:dyDescent="0.25">
      <c r="A838" s="144"/>
      <c r="B838" s="144"/>
      <c r="C838" s="158"/>
      <c r="D838" s="158"/>
      <c r="E838" s="144"/>
      <c r="F838" s="158"/>
      <c r="G838" s="158"/>
      <c r="H838" s="144"/>
      <c r="I838" s="158"/>
      <c r="J838" s="158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</row>
    <row r="839" spans="1:23" ht="19.5" customHeight="1" x14ac:dyDescent="0.25">
      <c r="A839" s="144"/>
      <c r="B839" s="144"/>
      <c r="C839" s="158"/>
      <c r="D839" s="158"/>
      <c r="E839" s="144"/>
      <c r="F839" s="158"/>
      <c r="G839" s="158"/>
      <c r="H839" s="144"/>
      <c r="I839" s="158"/>
      <c r="J839" s="158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</row>
    <row r="840" spans="1:23" ht="19.5" customHeight="1" x14ac:dyDescent="0.25">
      <c r="A840" s="144"/>
      <c r="B840" s="144"/>
      <c r="C840" s="158"/>
      <c r="D840" s="158"/>
      <c r="E840" s="144"/>
      <c r="F840" s="158"/>
      <c r="G840" s="158"/>
      <c r="H840" s="144"/>
      <c r="I840" s="158"/>
      <c r="J840" s="158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</row>
    <row r="841" spans="1:23" ht="19.5" customHeight="1" x14ac:dyDescent="0.25">
      <c r="A841" s="144"/>
      <c r="B841" s="144"/>
      <c r="C841" s="158"/>
      <c r="D841" s="158"/>
      <c r="E841" s="144"/>
      <c r="F841" s="158"/>
      <c r="G841" s="158"/>
      <c r="H841" s="144"/>
      <c r="I841" s="158"/>
      <c r="J841" s="158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</row>
    <row r="842" spans="1:23" ht="19.5" customHeight="1" x14ac:dyDescent="0.25">
      <c r="A842" s="144"/>
      <c r="B842" s="144"/>
      <c r="C842" s="158"/>
      <c r="D842" s="158"/>
      <c r="E842" s="144"/>
      <c r="F842" s="158"/>
      <c r="G842" s="158"/>
      <c r="H842" s="144"/>
      <c r="I842" s="158"/>
      <c r="J842" s="158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</row>
    <row r="843" spans="1:23" ht="19.5" customHeight="1" x14ac:dyDescent="0.25">
      <c r="A843" s="144"/>
      <c r="B843" s="144"/>
      <c r="C843" s="158"/>
      <c r="D843" s="158"/>
      <c r="E843" s="144"/>
      <c r="F843" s="158"/>
      <c r="G843" s="158"/>
      <c r="H843" s="144"/>
      <c r="I843" s="158"/>
      <c r="J843" s="158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</row>
    <row r="844" spans="1:23" ht="19.5" customHeight="1" x14ac:dyDescent="0.25">
      <c r="A844" s="144"/>
      <c r="B844" s="144"/>
      <c r="C844" s="158"/>
      <c r="D844" s="158"/>
      <c r="E844" s="144"/>
      <c r="F844" s="158"/>
      <c r="G844" s="158"/>
      <c r="H844" s="144"/>
      <c r="I844" s="158"/>
      <c r="J844" s="158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</row>
    <row r="845" spans="1:23" ht="19.5" customHeight="1" x14ac:dyDescent="0.25">
      <c r="A845" s="144"/>
      <c r="B845" s="144"/>
      <c r="C845" s="158"/>
      <c r="D845" s="158"/>
      <c r="E845" s="144"/>
      <c r="F845" s="158"/>
      <c r="G845" s="158"/>
      <c r="H845" s="144"/>
      <c r="I845" s="158"/>
      <c r="J845" s="158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</row>
    <row r="846" spans="1:23" ht="19.5" customHeight="1" x14ac:dyDescent="0.25">
      <c r="A846" s="144"/>
      <c r="B846" s="144"/>
      <c r="C846" s="158"/>
      <c r="D846" s="158"/>
      <c r="E846" s="144"/>
      <c r="F846" s="158"/>
      <c r="G846" s="158"/>
      <c r="H846" s="144"/>
      <c r="I846" s="158"/>
      <c r="J846" s="158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</row>
    <row r="847" spans="1:23" ht="19.5" customHeight="1" x14ac:dyDescent="0.25">
      <c r="A847" s="144"/>
      <c r="B847" s="144"/>
      <c r="C847" s="158"/>
      <c r="D847" s="158"/>
      <c r="E847" s="144"/>
      <c r="F847" s="158"/>
      <c r="G847" s="158"/>
      <c r="H847" s="144"/>
      <c r="I847" s="158"/>
      <c r="J847" s="158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</row>
    <row r="848" spans="1:23" ht="19.5" customHeight="1" x14ac:dyDescent="0.25">
      <c r="A848" s="144"/>
      <c r="B848" s="144"/>
      <c r="C848" s="158"/>
      <c r="D848" s="158"/>
      <c r="E848" s="144"/>
      <c r="F848" s="158"/>
      <c r="G848" s="158"/>
      <c r="H848" s="144"/>
      <c r="I848" s="158"/>
      <c r="J848" s="158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</row>
    <row r="849" spans="1:23" ht="19.5" customHeight="1" x14ac:dyDescent="0.25">
      <c r="A849" s="144"/>
      <c r="B849" s="144"/>
      <c r="C849" s="158"/>
      <c r="D849" s="158"/>
      <c r="E849" s="144"/>
      <c r="F849" s="158"/>
      <c r="G849" s="158"/>
      <c r="H849" s="144"/>
      <c r="I849" s="158"/>
      <c r="J849" s="158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</row>
    <row r="850" spans="1:23" ht="19.5" customHeight="1" x14ac:dyDescent="0.25">
      <c r="A850" s="144"/>
      <c r="B850" s="144"/>
      <c r="C850" s="158"/>
      <c r="D850" s="158"/>
      <c r="E850" s="144"/>
      <c r="F850" s="158"/>
      <c r="G850" s="158"/>
      <c r="H850" s="144"/>
      <c r="I850" s="158"/>
      <c r="J850" s="158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</row>
    <row r="851" spans="1:23" ht="19.5" customHeight="1" x14ac:dyDescent="0.25">
      <c r="A851" s="144"/>
      <c r="B851" s="144"/>
      <c r="C851" s="158"/>
      <c r="D851" s="158"/>
      <c r="E851" s="144"/>
      <c r="F851" s="158"/>
      <c r="G851" s="158"/>
      <c r="H851" s="144"/>
      <c r="I851" s="158"/>
      <c r="J851" s="158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</row>
    <row r="852" spans="1:23" ht="19.5" customHeight="1" x14ac:dyDescent="0.25">
      <c r="A852" s="144"/>
      <c r="B852" s="144"/>
      <c r="C852" s="158"/>
      <c r="D852" s="158"/>
      <c r="E852" s="144"/>
      <c r="F852" s="158"/>
      <c r="G852" s="158"/>
      <c r="H852" s="144"/>
      <c r="I852" s="158"/>
      <c r="J852" s="158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</row>
    <row r="853" spans="1:23" ht="19.5" customHeight="1" x14ac:dyDescent="0.25">
      <c r="A853" s="144"/>
      <c r="B853" s="144"/>
      <c r="C853" s="158"/>
      <c r="D853" s="158"/>
      <c r="E853" s="144"/>
      <c r="F853" s="158"/>
      <c r="G853" s="158"/>
      <c r="H853" s="144"/>
      <c r="I853" s="158"/>
      <c r="J853" s="158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</row>
    <row r="854" spans="1:23" ht="19.5" customHeight="1" x14ac:dyDescent="0.25">
      <c r="A854" s="144"/>
      <c r="B854" s="144"/>
      <c r="C854" s="158"/>
      <c r="D854" s="158"/>
      <c r="E854" s="144"/>
      <c r="F854" s="158"/>
      <c r="G854" s="158"/>
      <c r="H854" s="144"/>
      <c r="I854" s="158"/>
      <c r="J854" s="158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</row>
    <row r="855" spans="1:23" ht="19.5" customHeight="1" x14ac:dyDescent="0.25">
      <c r="A855" s="144"/>
      <c r="B855" s="144"/>
      <c r="C855" s="158"/>
      <c r="D855" s="158"/>
      <c r="E855" s="144"/>
      <c r="F855" s="158"/>
      <c r="G855" s="158"/>
      <c r="H855" s="144"/>
      <c r="I855" s="158"/>
      <c r="J855" s="158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</row>
    <row r="856" spans="1:23" ht="19.5" customHeight="1" x14ac:dyDescent="0.25">
      <c r="A856" s="144"/>
      <c r="B856" s="144"/>
      <c r="C856" s="158"/>
      <c r="D856" s="158"/>
      <c r="E856" s="144"/>
      <c r="F856" s="158"/>
      <c r="G856" s="158"/>
      <c r="H856" s="144"/>
      <c r="I856" s="158"/>
      <c r="J856" s="158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</row>
    <row r="857" spans="1:23" ht="19.5" customHeight="1" x14ac:dyDescent="0.25">
      <c r="A857" s="144"/>
      <c r="B857" s="144"/>
      <c r="C857" s="158"/>
      <c r="D857" s="158"/>
      <c r="E857" s="144"/>
      <c r="F857" s="158"/>
      <c r="G857" s="158"/>
      <c r="H857" s="144"/>
      <c r="I857" s="158"/>
      <c r="J857" s="158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</row>
    <row r="858" spans="1:23" ht="19.5" customHeight="1" x14ac:dyDescent="0.25">
      <c r="A858" s="144"/>
      <c r="B858" s="144"/>
      <c r="C858" s="158"/>
      <c r="D858" s="158"/>
      <c r="E858" s="144"/>
      <c r="F858" s="158"/>
      <c r="G858" s="158"/>
      <c r="H858" s="144"/>
      <c r="I858" s="158"/>
      <c r="J858" s="158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</row>
    <row r="859" spans="1:23" ht="19.5" customHeight="1" x14ac:dyDescent="0.25">
      <c r="A859" s="144"/>
      <c r="B859" s="144"/>
      <c r="C859" s="158"/>
      <c r="D859" s="158"/>
      <c r="E859" s="144"/>
      <c r="F859" s="158"/>
      <c r="G859" s="158"/>
      <c r="H859" s="144"/>
      <c r="I859" s="158"/>
      <c r="J859" s="158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</row>
    <row r="860" spans="1:23" ht="19.5" customHeight="1" x14ac:dyDescent="0.25">
      <c r="A860" s="144"/>
      <c r="B860" s="144"/>
      <c r="C860" s="158"/>
      <c r="D860" s="158"/>
      <c r="E860" s="144"/>
      <c r="F860" s="158"/>
      <c r="G860" s="158"/>
      <c r="H860" s="144"/>
      <c r="I860" s="158"/>
      <c r="J860" s="158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</row>
    <row r="861" spans="1:23" ht="19.5" customHeight="1" x14ac:dyDescent="0.25">
      <c r="A861" s="144"/>
      <c r="B861" s="144"/>
      <c r="C861" s="158"/>
      <c r="D861" s="158"/>
      <c r="E861" s="144"/>
      <c r="F861" s="158"/>
      <c r="G861" s="158"/>
      <c r="H861" s="144"/>
      <c r="I861" s="158"/>
      <c r="J861" s="158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</row>
    <row r="862" spans="1:23" ht="19.5" customHeight="1" x14ac:dyDescent="0.25">
      <c r="A862" s="144"/>
      <c r="B862" s="144"/>
      <c r="C862" s="158"/>
      <c r="D862" s="158"/>
      <c r="E862" s="144"/>
      <c r="F862" s="158"/>
      <c r="G862" s="158"/>
      <c r="H862" s="144"/>
      <c r="I862" s="158"/>
      <c r="J862" s="158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</row>
    <row r="863" spans="1:23" ht="19.5" customHeight="1" x14ac:dyDescent="0.25">
      <c r="A863" s="144"/>
      <c r="B863" s="144"/>
      <c r="C863" s="158"/>
      <c r="D863" s="158"/>
      <c r="E863" s="144"/>
      <c r="F863" s="158"/>
      <c r="G863" s="158"/>
      <c r="H863" s="144"/>
      <c r="I863" s="158"/>
      <c r="J863" s="158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</row>
    <row r="864" spans="1:23" ht="19.5" customHeight="1" x14ac:dyDescent="0.25">
      <c r="A864" s="144"/>
      <c r="B864" s="144"/>
      <c r="C864" s="158"/>
      <c r="D864" s="158"/>
      <c r="E864" s="144"/>
      <c r="F864" s="158"/>
      <c r="G864" s="158"/>
      <c r="H864" s="144"/>
      <c r="I864" s="158"/>
      <c r="J864" s="158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</row>
    <row r="865" spans="1:23" ht="19.5" customHeight="1" x14ac:dyDescent="0.25">
      <c r="A865" s="144"/>
      <c r="B865" s="144"/>
      <c r="C865" s="158"/>
      <c r="D865" s="158"/>
      <c r="E865" s="144"/>
      <c r="F865" s="158"/>
      <c r="G865" s="158"/>
      <c r="H865" s="144"/>
      <c r="I865" s="158"/>
      <c r="J865" s="158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</row>
    <row r="866" spans="1:23" ht="19.5" customHeight="1" x14ac:dyDescent="0.25">
      <c r="A866" s="144"/>
      <c r="B866" s="144"/>
      <c r="C866" s="158"/>
      <c r="D866" s="158"/>
      <c r="E866" s="144"/>
      <c r="F866" s="158"/>
      <c r="G866" s="158"/>
      <c r="H866" s="144"/>
      <c r="I866" s="158"/>
      <c r="J866" s="158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</row>
    <row r="867" spans="1:23" ht="19.5" customHeight="1" x14ac:dyDescent="0.25">
      <c r="A867" s="144"/>
      <c r="B867" s="144"/>
      <c r="C867" s="158"/>
      <c r="D867" s="158"/>
      <c r="E867" s="144"/>
      <c r="F867" s="158"/>
      <c r="G867" s="158"/>
      <c r="H867" s="144"/>
      <c r="I867" s="158"/>
      <c r="J867" s="158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</row>
    <row r="868" spans="1:23" ht="19.5" customHeight="1" x14ac:dyDescent="0.25">
      <c r="A868" s="144"/>
      <c r="B868" s="144"/>
      <c r="C868" s="158"/>
      <c r="D868" s="158"/>
      <c r="E868" s="144"/>
      <c r="F868" s="158"/>
      <c r="G868" s="158"/>
      <c r="H868" s="144"/>
      <c r="I868" s="158"/>
      <c r="J868" s="158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</row>
    <row r="869" spans="1:23" ht="19.5" customHeight="1" x14ac:dyDescent="0.25">
      <c r="A869" s="144"/>
      <c r="B869" s="144"/>
      <c r="C869" s="158"/>
      <c r="D869" s="158"/>
      <c r="E869" s="144"/>
      <c r="F869" s="158"/>
      <c r="G869" s="158"/>
      <c r="H869" s="144"/>
      <c r="I869" s="158"/>
      <c r="J869" s="158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</row>
    <row r="870" spans="1:23" ht="19.5" customHeight="1" x14ac:dyDescent="0.25">
      <c r="A870" s="144"/>
      <c r="B870" s="144"/>
      <c r="C870" s="158"/>
      <c r="D870" s="158"/>
      <c r="E870" s="144"/>
      <c r="F870" s="158"/>
      <c r="G870" s="158"/>
      <c r="H870" s="144"/>
      <c r="I870" s="158"/>
      <c r="J870" s="158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</row>
    <row r="871" spans="1:23" ht="19.5" customHeight="1" x14ac:dyDescent="0.25">
      <c r="A871" s="144"/>
      <c r="B871" s="144"/>
      <c r="C871" s="158"/>
      <c r="D871" s="158"/>
      <c r="E871" s="144"/>
      <c r="F871" s="158"/>
      <c r="G871" s="158"/>
      <c r="H871" s="144"/>
      <c r="I871" s="158"/>
      <c r="J871" s="158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</row>
    <row r="872" spans="1:23" ht="19.5" customHeight="1" x14ac:dyDescent="0.25">
      <c r="A872" s="144"/>
      <c r="B872" s="144"/>
      <c r="C872" s="158"/>
      <c r="D872" s="158"/>
      <c r="E872" s="144"/>
      <c r="F872" s="158"/>
      <c r="G872" s="158"/>
      <c r="H872" s="144"/>
      <c r="I872" s="158"/>
      <c r="J872" s="158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</row>
    <row r="873" spans="1:23" ht="19.5" customHeight="1" x14ac:dyDescent="0.25">
      <c r="A873" s="144"/>
      <c r="B873" s="144"/>
      <c r="C873" s="158"/>
      <c r="D873" s="158"/>
      <c r="E873" s="144"/>
      <c r="F873" s="158"/>
      <c r="G873" s="158"/>
      <c r="H873" s="144"/>
      <c r="I873" s="158"/>
      <c r="J873" s="158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</row>
    <row r="874" spans="1:23" ht="19.5" customHeight="1" x14ac:dyDescent="0.25">
      <c r="A874" s="144"/>
      <c r="B874" s="144"/>
      <c r="C874" s="158"/>
      <c r="D874" s="158"/>
      <c r="E874" s="144"/>
      <c r="F874" s="158"/>
      <c r="G874" s="158"/>
      <c r="H874" s="144"/>
      <c r="I874" s="158"/>
      <c r="J874" s="158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</row>
    <row r="875" spans="1:23" ht="19.5" customHeight="1" x14ac:dyDescent="0.25">
      <c r="A875" s="144"/>
      <c r="B875" s="144"/>
      <c r="C875" s="158"/>
      <c r="D875" s="158"/>
      <c r="E875" s="144"/>
      <c r="F875" s="158"/>
      <c r="G875" s="158"/>
      <c r="H875" s="144"/>
      <c r="I875" s="158"/>
      <c r="J875" s="158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</row>
    <row r="876" spans="1:23" ht="19.5" customHeight="1" x14ac:dyDescent="0.25">
      <c r="A876" s="144"/>
      <c r="B876" s="144"/>
      <c r="C876" s="158"/>
      <c r="D876" s="158"/>
      <c r="E876" s="144"/>
      <c r="F876" s="158"/>
      <c r="G876" s="158"/>
      <c r="H876" s="144"/>
      <c r="I876" s="158"/>
      <c r="J876" s="158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</row>
    <row r="877" spans="1:23" ht="19.5" customHeight="1" x14ac:dyDescent="0.25">
      <c r="A877" s="144"/>
      <c r="B877" s="144"/>
      <c r="C877" s="158"/>
      <c r="D877" s="158"/>
      <c r="E877" s="144"/>
      <c r="F877" s="158"/>
      <c r="G877" s="158"/>
      <c r="H877" s="144"/>
      <c r="I877" s="158"/>
      <c r="J877" s="158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</row>
    <row r="878" spans="1:23" ht="19.5" customHeight="1" x14ac:dyDescent="0.25">
      <c r="A878" s="144"/>
      <c r="B878" s="144"/>
      <c r="C878" s="158"/>
      <c r="D878" s="158"/>
      <c r="E878" s="144"/>
      <c r="F878" s="158"/>
      <c r="G878" s="158"/>
      <c r="H878" s="144"/>
      <c r="I878" s="158"/>
      <c r="J878" s="158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</row>
    <row r="879" spans="1:23" ht="19.5" customHeight="1" x14ac:dyDescent="0.25">
      <c r="A879" s="144"/>
      <c r="B879" s="144"/>
      <c r="C879" s="158"/>
      <c r="D879" s="158"/>
      <c r="E879" s="144"/>
      <c r="F879" s="158"/>
      <c r="G879" s="158"/>
      <c r="H879" s="144"/>
      <c r="I879" s="158"/>
      <c r="J879" s="158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</row>
    <row r="880" spans="1:23" ht="19.5" customHeight="1" x14ac:dyDescent="0.25">
      <c r="A880" s="144"/>
      <c r="B880" s="144"/>
      <c r="C880" s="158"/>
      <c r="D880" s="158"/>
      <c r="E880" s="144"/>
      <c r="F880" s="158"/>
      <c r="G880" s="158"/>
      <c r="H880" s="144"/>
      <c r="I880" s="158"/>
      <c r="J880" s="158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</row>
    <row r="881" spans="1:23" ht="19.5" customHeight="1" x14ac:dyDescent="0.25">
      <c r="A881" s="144"/>
      <c r="B881" s="144"/>
      <c r="C881" s="158"/>
      <c r="D881" s="158"/>
      <c r="E881" s="144"/>
      <c r="F881" s="158"/>
      <c r="G881" s="158"/>
      <c r="H881" s="144"/>
      <c r="I881" s="158"/>
      <c r="J881" s="158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</row>
    <row r="882" spans="1:23" ht="19.5" customHeight="1" x14ac:dyDescent="0.25">
      <c r="A882" s="144"/>
      <c r="B882" s="144"/>
      <c r="C882" s="158"/>
      <c r="D882" s="158"/>
      <c r="E882" s="144"/>
      <c r="F882" s="158"/>
      <c r="G882" s="158"/>
      <c r="H882" s="144"/>
      <c r="I882" s="158"/>
      <c r="J882" s="158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</row>
    <row r="883" spans="1:23" ht="19.5" customHeight="1" x14ac:dyDescent="0.25">
      <c r="A883" s="144"/>
      <c r="B883" s="144"/>
      <c r="C883" s="158"/>
      <c r="D883" s="158"/>
      <c r="E883" s="144"/>
      <c r="F883" s="158"/>
      <c r="G883" s="158"/>
      <c r="H883" s="144"/>
      <c r="I883" s="158"/>
      <c r="J883" s="158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</row>
    <row r="884" spans="1:23" ht="19.5" customHeight="1" x14ac:dyDescent="0.25">
      <c r="A884" s="144"/>
      <c r="B884" s="144"/>
      <c r="C884" s="158"/>
      <c r="D884" s="158"/>
      <c r="E884" s="144"/>
      <c r="F884" s="158"/>
      <c r="G884" s="158"/>
      <c r="H884" s="144"/>
      <c r="I884" s="158"/>
      <c r="J884" s="158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</row>
    <row r="885" spans="1:23" ht="19.5" customHeight="1" x14ac:dyDescent="0.25">
      <c r="A885" s="144"/>
      <c r="B885" s="144"/>
      <c r="C885" s="158"/>
      <c r="D885" s="158"/>
      <c r="E885" s="144"/>
      <c r="F885" s="158"/>
      <c r="G885" s="158"/>
      <c r="H885" s="144"/>
      <c r="I885" s="158"/>
      <c r="J885" s="158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</row>
    <row r="886" spans="1:23" ht="19.5" customHeight="1" x14ac:dyDescent="0.25">
      <c r="A886" s="144"/>
      <c r="B886" s="144"/>
      <c r="C886" s="158"/>
      <c r="D886" s="158"/>
      <c r="E886" s="144"/>
      <c r="F886" s="158"/>
      <c r="G886" s="158"/>
      <c r="H886" s="144"/>
      <c r="I886" s="158"/>
      <c r="J886" s="158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</row>
    <row r="887" spans="1:23" ht="19.5" customHeight="1" x14ac:dyDescent="0.25">
      <c r="A887" s="144"/>
      <c r="B887" s="144"/>
      <c r="C887" s="158"/>
      <c r="D887" s="158"/>
      <c r="E887" s="144"/>
      <c r="F887" s="158"/>
      <c r="G887" s="158"/>
      <c r="H887" s="144"/>
      <c r="I887" s="158"/>
      <c r="J887" s="158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</row>
    <row r="888" spans="1:23" ht="19.5" customHeight="1" x14ac:dyDescent="0.25">
      <c r="A888" s="144"/>
      <c r="B888" s="144"/>
      <c r="C888" s="158"/>
      <c r="D888" s="158"/>
      <c r="E888" s="144"/>
      <c r="F888" s="158"/>
      <c r="G888" s="158"/>
      <c r="H888" s="144"/>
      <c r="I888" s="158"/>
      <c r="J888" s="158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</row>
    <row r="889" spans="1:23" ht="19.5" customHeight="1" x14ac:dyDescent="0.25">
      <c r="A889" s="144"/>
      <c r="B889" s="144"/>
      <c r="C889" s="158"/>
      <c r="D889" s="158"/>
      <c r="E889" s="144"/>
      <c r="F889" s="158"/>
      <c r="G889" s="158"/>
      <c r="H889" s="144"/>
      <c r="I889" s="158"/>
      <c r="J889" s="158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</row>
    <row r="890" spans="1:23" ht="19.5" customHeight="1" x14ac:dyDescent="0.25">
      <c r="A890" s="144"/>
      <c r="B890" s="144"/>
      <c r="C890" s="158"/>
      <c r="D890" s="158"/>
      <c r="E890" s="144"/>
      <c r="F890" s="158"/>
      <c r="G890" s="158"/>
      <c r="H890" s="144"/>
      <c r="I890" s="158"/>
      <c r="J890" s="158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</row>
    <row r="891" spans="1:23" ht="19.5" customHeight="1" x14ac:dyDescent="0.25">
      <c r="A891" s="144"/>
      <c r="B891" s="144"/>
      <c r="C891" s="158"/>
      <c r="D891" s="158"/>
      <c r="E891" s="144"/>
      <c r="F891" s="158"/>
      <c r="G891" s="158"/>
      <c r="H891" s="144"/>
      <c r="I891" s="158"/>
      <c r="J891" s="158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</row>
    <row r="892" spans="1:23" ht="19.5" customHeight="1" x14ac:dyDescent="0.25">
      <c r="A892" s="144"/>
      <c r="B892" s="144"/>
      <c r="C892" s="158"/>
      <c r="D892" s="158"/>
      <c r="E892" s="144"/>
      <c r="F892" s="158"/>
      <c r="G892" s="158"/>
      <c r="H892" s="144"/>
      <c r="I892" s="158"/>
      <c r="J892" s="158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</row>
    <row r="893" spans="1:23" ht="19.5" customHeight="1" x14ac:dyDescent="0.25">
      <c r="A893" s="144"/>
      <c r="B893" s="144"/>
      <c r="C893" s="158"/>
      <c r="D893" s="158"/>
      <c r="E893" s="144"/>
      <c r="F893" s="158"/>
      <c r="G893" s="158"/>
      <c r="H893" s="144"/>
      <c r="I893" s="158"/>
      <c r="J893" s="158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</row>
    <row r="894" spans="1:23" ht="19.5" customHeight="1" x14ac:dyDescent="0.25">
      <c r="A894" s="144"/>
      <c r="B894" s="144"/>
      <c r="C894" s="158"/>
      <c r="D894" s="158"/>
      <c r="E894" s="144"/>
      <c r="F894" s="158"/>
      <c r="G894" s="158"/>
      <c r="H894" s="144"/>
      <c r="I894" s="158"/>
      <c r="J894" s="158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</row>
    <row r="895" spans="1:23" ht="19.5" customHeight="1" x14ac:dyDescent="0.25">
      <c r="A895" s="144"/>
      <c r="B895" s="144"/>
      <c r="C895" s="158"/>
      <c r="D895" s="158"/>
      <c r="E895" s="144"/>
      <c r="F895" s="158"/>
      <c r="G895" s="158"/>
      <c r="H895" s="144"/>
      <c r="I895" s="158"/>
      <c r="J895" s="158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</row>
    <row r="896" spans="1:23" ht="19.5" customHeight="1" x14ac:dyDescent="0.25">
      <c r="A896" s="144"/>
      <c r="B896" s="144"/>
      <c r="C896" s="158"/>
      <c r="D896" s="158"/>
      <c r="E896" s="144"/>
      <c r="F896" s="158"/>
      <c r="G896" s="158"/>
      <c r="H896" s="144"/>
      <c r="I896" s="158"/>
      <c r="J896" s="158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</row>
    <row r="897" spans="1:23" ht="19.5" customHeight="1" x14ac:dyDescent="0.25">
      <c r="A897" s="144"/>
      <c r="B897" s="144"/>
      <c r="C897" s="158"/>
      <c r="D897" s="158"/>
      <c r="E897" s="144"/>
      <c r="F897" s="158"/>
      <c r="G897" s="158"/>
      <c r="H897" s="144"/>
      <c r="I897" s="158"/>
      <c r="J897" s="158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</row>
    <row r="898" spans="1:23" ht="19.5" customHeight="1" x14ac:dyDescent="0.25">
      <c r="A898" s="144"/>
      <c r="B898" s="144"/>
      <c r="C898" s="158"/>
      <c r="D898" s="158"/>
      <c r="E898" s="144"/>
      <c r="F898" s="158"/>
      <c r="G898" s="158"/>
      <c r="H898" s="144"/>
      <c r="I898" s="158"/>
      <c r="J898" s="158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</row>
    <row r="899" spans="1:23" ht="19.5" customHeight="1" x14ac:dyDescent="0.25">
      <c r="A899" s="144"/>
      <c r="B899" s="144"/>
      <c r="C899" s="158"/>
      <c r="D899" s="158"/>
      <c r="E899" s="144"/>
      <c r="F899" s="158"/>
      <c r="G899" s="158"/>
      <c r="H899" s="144"/>
      <c r="I899" s="158"/>
      <c r="J899" s="158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</row>
    <row r="900" spans="1:23" ht="19.5" customHeight="1" x14ac:dyDescent="0.25">
      <c r="A900" s="144"/>
      <c r="B900" s="144"/>
      <c r="C900" s="158"/>
      <c r="D900" s="158"/>
      <c r="E900" s="144"/>
      <c r="F900" s="158"/>
      <c r="G900" s="158"/>
      <c r="H900" s="144"/>
      <c r="I900" s="158"/>
      <c r="J900" s="158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</row>
    <row r="901" spans="1:23" ht="19.5" customHeight="1" x14ac:dyDescent="0.25">
      <c r="A901" s="144"/>
      <c r="B901" s="144"/>
      <c r="C901" s="158"/>
      <c r="D901" s="158"/>
      <c r="E901" s="144"/>
      <c r="F901" s="158"/>
      <c r="G901" s="158"/>
      <c r="H901" s="144"/>
      <c r="I901" s="158"/>
      <c r="J901" s="158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</row>
    <row r="902" spans="1:23" ht="19.5" customHeight="1" x14ac:dyDescent="0.25">
      <c r="A902" s="144"/>
      <c r="B902" s="144"/>
      <c r="C902" s="158"/>
      <c r="D902" s="158"/>
      <c r="E902" s="144"/>
      <c r="F902" s="158"/>
      <c r="G902" s="158"/>
      <c r="H902" s="144"/>
      <c r="I902" s="158"/>
      <c r="J902" s="158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</row>
    <row r="903" spans="1:23" ht="19.5" customHeight="1" x14ac:dyDescent="0.25">
      <c r="A903" s="144"/>
      <c r="B903" s="144"/>
      <c r="C903" s="158"/>
      <c r="D903" s="158"/>
      <c r="E903" s="144"/>
      <c r="F903" s="158"/>
      <c r="G903" s="158"/>
      <c r="H903" s="144"/>
      <c r="I903" s="158"/>
      <c r="J903" s="158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</row>
    <row r="904" spans="1:23" ht="19.5" customHeight="1" x14ac:dyDescent="0.25">
      <c r="A904" s="144"/>
      <c r="B904" s="144"/>
      <c r="C904" s="158"/>
      <c r="D904" s="158"/>
      <c r="E904" s="144"/>
      <c r="F904" s="158"/>
      <c r="G904" s="158"/>
      <c r="H904" s="144"/>
      <c r="I904" s="158"/>
      <c r="J904" s="158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</row>
    <row r="905" spans="1:23" ht="19.5" customHeight="1" x14ac:dyDescent="0.25">
      <c r="A905" s="144"/>
      <c r="B905" s="144"/>
      <c r="C905" s="158"/>
      <c r="D905" s="158"/>
      <c r="E905" s="144"/>
      <c r="F905" s="158"/>
      <c r="G905" s="158"/>
      <c r="H905" s="144"/>
      <c r="I905" s="158"/>
      <c r="J905" s="158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</row>
    <row r="906" spans="1:23" ht="19.5" customHeight="1" x14ac:dyDescent="0.25">
      <c r="A906" s="144"/>
      <c r="B906" s="144"/>
      <c r="C906" s="158"/>
      <c r="D906" s="158"/>
      <c r="E906" s="144"/>
      <c r="F906" s="158"/>
      <c r="G906" s="158"/>
      <c r="H906" s="144"/>
      <c r="I906" s="158"/>
      <c r="J906" s="158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</row>
    <row r="907" spans="1:23" ht="19.5" customHeight="1" x14ac:dyDescent="0.25">
      <c r="A907" s="144"/>
      <c r="B907" s="144"/>
      <c r="C907" s="158"/>
      <c r="D907" s="158"/>
      <c r="E907" s="144"/>
      <c r="F907" s="158"/>
      <c r="G907" s="158"/>
      <c r="H907" s="144"/>
      <c r="I907" s="158"/>
      <c r="J907" s="158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</row>
    <row r="908" spans="1:23" ht="19.5" customHeight="1" x14ac:dyDescent="0.25">
      <c r="A908" s="144"/>
      <c r="B908" s="144"/>
      <c r="C908" s="158"/>
      <c r="D908" s="158"/>
      <c r="E908" s="144"/>
      <c r="F908" s="158"/>
      <c r="G908" s="158"/>
      <c r="H908" s="144"/>
      <c r="I908" s="158"/>
      <c r="J908" s="158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</row>
    <row r="909" spans="1:23" ht="19.5" customHeight="1" x14ac:dyDescent="0.25">
      <c r="A909" s="144"/>
      <c r="B909" s="144"/>
      <c r="C909" s="158"/>
      <c r="D909" s="158"/>
      <c r="E909" s="144"/>
      <c r="F909" s="158"/>
      <c r="G909" s="158"/>
      <c r="H909" s="144"/>
      <c r="I909" s="158"/>
      <c r="J909" s="158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</row>
    <row r="910" spans="1:23" ht="19.5" customHeight="1" x14ac:dyDescent="0.25">
      <c r="A910" s="144"/>
      <c r="B910" s="144"/>
      <c r="C910" s="158"/>
      <c r="D910" s="158"/>
      <c r="E910" s="144"/>
      <c r="F910" s="158"/>
      <c r="G910" s="158"/>
      <c r="H910" s="144"/>
      <c r="I910" s="158"/>
      <c r="J910" s="158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</row>
    <row r="911" spans="1:23" ht="19.5" customHeight="1" x14ac:dyDescent="0.25">
      <c r="A911" s="144"/>
      <c r="B911" s="144"/>
      <c r="C911" s="158"/>
      <c r="D911" s="158"/>
      <c r="E911" s="144"/>
      <c r="F911" s="158"/>
      <c r="G911" s="158"/>
      <c r="H911" s="144"/>
      <c r="I911" s="158"/>
      <c r="J911" s="158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</row>
    <row r="912" spans="1:23" ht="19.5" customHeight="1" x14ac:dyDescent="0.25">
      <c r="A912" s="144"/>
      <c r="B912" s="144"/>
      <c r="C912" s="158"/>
      <c r="D912" s="158"/>
      <c r="E912" s="144"/>
      <c r="F912" s="158"/>
      <c r="G912" s="158"/>
      <c r="H912" s="144"/>
      <c r="I912" s="158"/>
      <c r="J912" s="158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</row>
    <row r="913" spans="1:23" ht="19.5" customHeight="1" x14ac:dyDescent="0.25">
      <c r="A913" s="144"/>
      <c r="B913" s="144"/>
      <c r="C913" s="158"/>
      <c r="D913" s="158"/>
      <c r="E913" s="144"/>
      <c r="F913" s="158"/>
      <c r="G913" s="158"/>
      <c r="H913" s="144"/>
      <c r="I913" s="158"/>
      <c r="J913" s="158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</row>
    <row r="914" spans="1:23" ht="19.5" customHeight="1" x14ac:dyDescent="0.25">
      <c r="A914" s="144"/>
      <c r="B914" s="144"/>
      <c r="C914" s="158"/>
      <c r="D914" s="158"/>
      <c r="E914" s="144"/>
      <c r="F914" s="158"/>
      <c r="G914" s="158"/>
      <c r="H914" s="144"/>
      <c r="I914" s="158"/>
      <c r="J914" s="158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</row>
    <row r="915" spans="1:23" ht="19.5" customHeight="1" x14ac:dyDescent="0.25">
      <c r="A915" s="144"/>
      <c r="B915" s="144"/>
      <c r="C915" s="158"/>
      <c r="D915" s="158"/>
      <c r="E915" s="144"/>
      <c r="F915" s="158"/>
      <c r="G915" s="158"/>
      <c r="H915" s="144"/>
      <c r="I915" s="158"/>
      <c r="J915" s="158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</row>
    <row r="916" spans="1:23" ht="19.5" customHeight="1" x14ac:dyDescent="0.25">
      <c r="A916" s="144"/>
      <c r="B916" s="144"/>
      <c r="C916" s="158"/>
      <c r="D916" s="158"/>
      <c r="E916" s="144"/>
      <c r="F916" s="158"/>
      <c r="G916" s="158"/>
      <c r="H916" s="144"/>
      <c r="I916" s="158"/>
      <c r="J916" s="158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</row>
    <row r="917" spans="1:23" ht="19.5" customHeight="1" x14ac:dyDescent="0.25">
      <c r="A917" s="144"/>
      <c r="B917" s="144"/>
      <c r="C917" s="158"/>
      <c r="D917" s="158"/>
      <c r="E917" s="144"/>
      <c r="F917" s="158"/>
      <c r="G917" s="158"/>
      <c r="H917" s="144"/>
      <c r="I917" s="158"/>
      <c r="J917" s="158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</row>
    <row r="918" spans="1:23" ht="19.5" customHeight="1" x14ac:dyDescent="0.25">
      <c r="A918" s="144"/>
      <c r="B918" s="144"/>
      <c r="C918" s="158"/>
      <c r="D918" s="158"/>
      <c r="E918" s="144"/>
      <c r="F918" s="158"/>
      <c r="G918" s="158"/>
      <c r="H918" s="144"/>
      <c r="I918" s="158"/>
      <c r="J918" s="158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</row>
    <row r="919" spans="1:23" ht="19.5" customHeight="1" x14ac:dyDescent="0.25">
      <c r="A919" s="144"/>
      <c r="B919" s="144"/>
      <c r="C919" s="158"/>
      <c r="D919" s="158"/>
      <c r="E919" s="144"/>
      <c r="F919" s="158"/>
      <c r="G919" s="158"/>
      <c r="H919" s="144"/>
      <c r="I919" s="158"/>
      <c r="J919" s="158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</row>
    <row r="920" spans="1:23" ht="19.5" customHeight="1" x14ac:dyDescent="0.25">
      <c r="A920" s="144"/>
      <c r="B920" s="144"/>
      <c r="C920" s="158"/>
      <c r="D920" s="158"/>
      <c r="E920" s="144"/>
      <c r="F920" s="158"/>
      <c r="G920" s="158"/>
      <c r="H920" s="144"/>
      <c r="I920" s="158"/>
      <c r="J920" s="158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</row>
    <row r="921" spans="1:23" ht="19.5" customHeight="1" x14ac:dyDescent="0.25">
      <c r="A921" s="144"/>
      <c r="B921" s="144"/>
      <c r="C921" s="158"/>
      <c r="D921" s="158"/>
      <c r="E921" s="144"/>
      <c r="F921" s="158"/>
      <c r="G921" s="158"/>
      <c r="H921" s="144"/>
      <c r="I921" s="158"/>
      <c r="J921" s="158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</row>
    <row r="922" spans="1:23" ht="19.5" customHeight="1" x14ac:dyDescent="0.25">
      <c r="A922" s="144"/>
      <c r="B922" s="144"/>
      <c r="C922" s="158"/>
      <c r="D922" s="158"/>
      <c r="E922" s="144"/>
      <c r="F922" s="158"/>
      <c r="G922" s="158"/>
      <c r="H922" s="144"/>
      <c r="I922" s="158"/>
      <c r="J922" s="158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</row>
    <row r="923" spans="1:23" ht="19.5" customHeight="1" x14ac:dyDescent="0.25">
      <c r="A923" s="144"/>
      <c r="B923" s="144"/>
      <c r="C923" s="158"/>
      <c r="D923" s="158"/>
      <c r="E923" s="144"/>
      <c r="F923" s="158"/>
      <c r="G923" s="158"/>
      <c r="H923" s="144"/>
      <c r="I923" s="158"/>
      <c r="J923" s="158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</row>
    <row r="924" spans="1:23" ht="19.5" customHeight="1" x14ac:dyDescent="0.25">
      <c r="A924" s="144"/>
      <c r="B924" s="144"/>
      <c r="C924" s="158"/>
      <c r="D924" s="158"/>
      <c r="E924" s="144"/>
      <c r="F924" s="158"/>
      <c r="G924" s="158"/>
      <c r="H924" s="144"/>
      <c r="I924" s="158"/>
      <c r="J924" s="158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</row>
    <row r="925" spans="1:23" ht="19.5" customHeight="1" x14ac:dyDescent="0.25">
      <c r="A925" s="144"/>
      <c r="B925" s="144"/>
      <c r="C925" s="158"/>
      <c r="D925" s="158"/>
      <c r="E925" s="144"/>
      <c r="F925" s="158"/>
      <c r="G925" s="158"/>
      <c r="H925" s="144"/>
      <c r="I925" s="158"/>
      <c r="J925" s="158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</row>
    <row r="926" spans="1:23" ht="19.5" customHeight="1" x14ac:dyDescent="0.25">
      <c r="A926" s="144"/>
      <c r="B926" s="144"/>
      <c r="C926" s="158"/>
      <c r="D926" s="158"/>
      <c r="E926" s="144"/>
      <c r="F926" s="158"/>
      <c r="G926" s="158"/>
      <c r="H926" s="144"/>
      <c r="I926" s="158"/>
      <c r="J926" s="158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</row>
    <row r="927" spans="1:23" ht="19.5" customHeight="1" x14ac:dyDescent="0.25">
      <c r="A927" s="144"/>
      <c r="B927" s="144"/>
      <c r="C927" s="158"/>
      <c r="D927" s="158"/>
      <c r="E927" s="144"/>
      <c r="F927" s="158"/>
      <c r="G927" s="158"/>
      <c r="H927" s="144"/>
      <c r="I927" s="158"/>
      <c r="J927" s="158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</row>
    <row r="928" spans="1:23" ht="19.5" customHeight="1" x14ac:dyDescent="0.25">
      <c r="A928" s="144"/>
      <c r="B928" s="144"/>
      <c r="C928" s="158"/>
      <c r="D928" s="158"/>
      <c r="E928" s="144"/>
      <c r="F928" s="158"/>
      <c r="G928" s="158"/>
      <c r="H928" s="144"/>
      <c r="I928" s="158"/>
      <c r="J928" s="158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</row>
    <row r="929" spans="1:23" ht="19.5" customHeight="1" x14ac:dyDescent="0.25">
      <c r="A929" s="144"/>
      <c r="B929" s="144"/>
      <c r="C929" s="158"/>
      <c r="D929" s="158"/>
      <c r="E929" s="144"/>
      <c r="F929" s="158"/>
      <c r="G929" s="158"/>
      <c r="H929" s="144"/>
      <c r="I929" s="158"/>
      <c r="J929" s="158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</row>
    <row r="930" spans="1:23" ht="19.5" customHeight="1" x14ac:dyDescent="0.25">
      <c r="A930" s="144"/>
      <c r="B930" s="144"/>
      <c r="C930" s="158"/>
      <c r="D930" s="158"/>
      <c r="E930" s="144"/>
      <c r="F930" s="158"/>
      <c r="G930" s="158"/>
      <c r="H930" s="144"/>
      <c r="I930" s="158"/>
      <c r="J930" s="158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</row>
    <row r="931" spans="1:23" ht="19.5" customHeight="1" x14ac:dyDescent="0.25">
      <c r="A931" s="144"/>
      <c r="B931" s="144"/>
      <c r="C931" s="158"/>
      <c r="D931" s="158"/>
      <c r="E931" s="144"/>
      <c r="F931" s="158"/>
      <c r="G931" s="158"/>
      <c r="H931" s="144"/>
      <c r="I931" s="158"/>
      <c r="J931" s="158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</row>
    <row r="932" spans="1:23" ht="19.5" customHeight="1" x14ac:dyDescent="0.25">
      <c r="A932" s="144"/>
      <c r="B932" s="144"/>
      <c r="C932" s="158"/>
      <c r="D932" s="158"/>
      <c r="E932" s="144"/>
      <c r="F932" s="158"/>
      <c r="G932" s="158"/>
      <c r="H932" s="144"/>
      <c r="I932" s="158"/>
      <c r="J932" s="158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</row>
    <row r="933" spans="1:23" ht="19.5" customHeight="1" x14ac:dyDescent="0.25">
      <c r="A933" s="144"/>
      <c r="B933" s="144"/>
      <c r="C933" s="158"/>
      <c r="D933" s="158"/>
      <c r="E933" s="144"/>
      <c r="F933" s="158"/>
      <c r="G933" s="158"/>
      <c r="H933" s="144"/>
      <c r="I933" s="158"/>
      <c r="J933" s="158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</row>
    <row r="934" spans="1:23" ht="19.5" customHeight="1" x14ac:dyDescent="0.25">
      <c r="A934" s="144"/>
      <c r="B934" s="144"/>
      <c r="C934" s="158"/>
      <c r="D934" s="158"/>
      <c r="E934" s="144"/>
      <c r="F934" s="158"/>
      <c r="G934" s="158"/>
      <c r="H934" s="144"/>
      <c r="I934" s="158"/>
      <c r="J934" s="158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</row>
    <row r="935" spans="1:23" ht="19.5" customHeight="1" x14ac:dyDescent="0.25">
      <c r="A935" s="144"/>
      <c r="B935" s="144"/>
      <c r="C935" s="158"/>
      <c r="D935" s="158"/>
      <c r="E935" s="144"/>
      <c r="F935" s="158"/>
      <c r="G935" s="158"/>
      <c r="H935" s="144"/>
      <c r="I935" s="158"/>
      <c r="J935" s="158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</row>
    <row r="936" spans="1:23" ht="19.5" customHeight="1" x14ac:dyDescent="0.25">
      <c r="A936" s="144"/>
      <c r="B936" s="144"/>
      <c r="C936" s="158"/>
      <c r="D936" s="158"/>
      <c r="E936" s="144"/>
      <c r="F936" s="158"/>
      <c r="G936" s="158"/>
      <c r="H936" s="144"/>
      <c r="I936" s="158"/>
      <c r="J936" s="158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</row>
    <row r="937" spans="1:23" ht="19.5" customHeight="1" x14ac:dyDescent="0.25">
      <c r="A937" s="144"/>
      <c r="B937" s="144"/>
      <c r="C937" s="158"/>
      <c r="D937" s="158"/>
      <c r="E937" s="144"/>
      <c r="F937" s="158"/>
      <c r="G937" s="158"/>
      <c r="H937" s="144"/>
      <c r="I937" s="158"/>
      <c r="J937" s="158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</row>
    <row r="938" spans="1:23" ht="19.5" customHeight="1" x14ac:dyDescent="0.25">
      <c r="A938" s="144"/>
      <c r="B938" s="144"/>
      <c r="C938" s="158"/>
      <c r="D938" s="158"/>
      <c r="E938" s="144"/>
      <c r="F938" s="158"/>
      <c r="G938" s="158"/>
      <c r="H938" s="144"/>
      <c r="I938" s="158"/>
      <c r="J938" s="158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</row>
    <row r="939" spans="1:23" ht="19.5" customHeight="1" x14ac:dyDescent="0.25">
      <c r="A939" s="144"/>
      <c r="B939" s="144"/>
      <c r="C939" s="158"/>
      <c r="D939" s="158"/>
      <c r="E939" s="144"/>
      <c r="F939" s="158"/>
      <c r="G939" s="158"/>
      <c r="H939" s="144"/>
      <c r="I939" s="158"/>
      <c r="J939" s="158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</row>
    <row r="940" spans="1:23" ht="19.5" customHeight="1" x14ac:dyDescent="0.25">
      <c r="A940" s="144"/>
      <c r="B940" s="144"/>
      <c r="C940" s="158"/>
      <c r="D940" s="158"/>
      <c r="E940" s="144"/>
      <c r="F940" s="158"/>
      <c r="G940" s="158"/>
      <c r="H940" s="144"/>
      <c r="I940" s="158"/>
      <c r="J940" s="158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</row>
    <row r="941" spans="1:23" ht="19.5" customHeight="1" x14ac:dyDescent="0.25">
      <c r="A941" s="144"/>
      <c r="B941" s="144"/>
      <c r="C941" s="158"/>
      <c r="D941" s="158"/>
      <c r="E941" s="144"/>
      <c r="F941" s="158"/>
      <c r="G941" s="158"/>
      <c r="H941" s="144"/>
      <c r="I941" s="158"/>
      <c r="J941" s="158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</row>
    <row r="942" spans="1:23" ht="19.5" customHeight="1" x14ac:dyDescent="0.25">
      <c r="A942" s="144"/>
      <c r="B942" s="144"/>
      <c r="C942" s="158"/>
      <c r="D942" s="158"/>
      <c r="E942" s="144"/>
      <c r="F942" s="158"/>
      <c r="G942" s="158"/>
      <c r="H942" s="144"/>
      <c r="I942" s="158"/>
      <c r="J942" s="158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</row>
    <row r="943" spans="1:23" ht="19.5" customHeight="1" x14ac:dyDescent="0.25">
      <c r="A943" s="144"/>
      <c r="B943" s="144"/>
      <c r="C943" s="158"/>
      <c r="D943" s="158"/>
      <c r="E943" s="144"/>
      <c r="F943" s="158"/>
      <c r="G943" s="158"/>
      <c r="H943" s="144"/>
      <c r="I943" s="158"/>
      <c r="J943" s="158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</row>
    <row r="944" spans="1:23" ht="19.5" customHeight="1" x14ac:dyDescent="0.25">
      <c r="A944" s="144"/>
      <c r="B944" s="144"/>
      <c r="C944" s="158"/>
      <c r="D944" s="158"/>
      <c r="E944" s="144"/>
      <c r="F944" s="158"/>
      <c r="G944" s="158"/>
      <c r="H944" s="144"/>
      <c r="I944" s="158"/>
      <c r="J944" s="158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</row>
    <row r="945" spans="1:23" ht="19.5" customHeight="1" x14ac:dyDescent="0.25">
      <c r="A945" s="144"/>
      <c r="B945" s="144"/>
      <c r="C945" s="158"/>
      <c r="D945" s="158"/>
      <c r="E945" s="144"/>
      <c r="F945" s="158"/>
      <c r="G945" s="158"/>
      <c r="H945" s="144"/>
      <c r="I945" s="158"/>
      <c r="J945" s="158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</row>
    <row r="946" spans="1:23" ht="19.5" customHeight="1" x14ac:dyDescent="0.25">
      <c r="A946" s="144"/>
      <c r="B946" s="144"/>
      <c r="C946" s="158"/>
      <c r="D946" s="158"/>
      <c r="E946" s="144"/>
      <c r="F946" s="158"/>
      <c r="G946" s="158"/>
      <c r="H946" s="144"/>
      <c r="I946" s="158"/>
      <c r="J946" s="158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</row>
    <row r="947" spans="1:23" ht="19.5" customHeight="1" x14ac:dyDescent="0.25">
      <c r="A947" s="144"/>
      <c r="B947" s="144"/>
      <c r="C947" s="158"/>
      <c r="D947" s="158"/>
      <c r="E947" s="144"/>
      <c r="F947" s="158"/>
      <c r="G947" s="158"/>
      <c r="H947" s="144"/>
      <c r="I947" s="158"/>
      <c r="J947" s="158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</row>
    <row r="948" spans="1:23" ht="19.5" customHeight="1" x14ac:dyDescent="0.25">
      <c r="A948" s="144"/>
      <c r="B948" s="144"/>
      <c r="C948" s="158"/>
      <c r="D948" s="158"/>
      <c r="E948" s="144"/>
      <c r="F948" s="158"/>
      <c r="G948" s="158"/>
      <c r="H948" s="144"/>
      <c r="I948" s="158"/>
      <c r="J948" s="158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</row>
    <row r="949" spans="1:23" ht="19.5" customHeight="1" x14ac:dyDescent="0.25">
      <c r="A949" s="144"/>
      <c r="B949" s="144"/>
      <c r="C949" s="158"/>
      <c r="D949" s="158"/>
      <c r="E949" s="144"/>
      <c r="F949" s="158"/>
      <c r="G949" s="158"/>
      <c r="H949" s="144"/>
      <c r="I949" s="158"/>
      <c r="J949" s="158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</row>
    <row r="950" spans="1:23" ht="19.5" customHeight="1" x14ac:dyDescent="0.25">
      <c r="A950" s="144"/>
      <c r="B950" s="144"/>
      <c r="C950" s="158"/>
      <c r="D950" s="158"/>
      <c r="E950" s="144"/>
      <c r="F950" s="158"/>
      <c r="G950" s="158"/>
      <c r="H950" s="144"/>
      <c r="I950" s="158"/>
      <c r="J950" s="158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</row>
    <row r="951" spans="1:23" ht="19.5" customHeight="1" x14ac:dyDescent="0.25">
      <c r="A951" s="144"/>
      <c r="B951" s="144"/>
      <c r="C951" s="158"/>
      <c r="D951" s="158"/>
      <c r="E951" s="144"/>
      <c r="F951" s="158"/>
      <c r="G951" s="158"/>
      <c r="H951" s="144"/>
      <c r="I951" s="158"/>
      <c r="J951" s="158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</row>
    <row r="952" spans="1:23" ht="19.5" customHeight="1" x14ac:dyDescent="0.25">
      <c r="A952" s="144"/>
      <c r="B952" s="144"/>
      <c r="C952" s="158"/>
      <c r="D952" s="158"/>
      <c r="E952" s="144"/>
      <c r="F952" s="158"/>
      <c r="G952" s="158"/>
      <c r="H952" s="144"/>
      <c r="I952" s="158"/>
      <c r="J952" s="158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</row>
    <row r="953" spans="1:23" ht="19.5" customHeight="1" x14ac:dyDescent="0.25">
      <c r="A953" s="144"/>
      <c r="B953" s="144"/>
      <c r="C953" s="158"/>
      <c r="D953" s="158"/>
      <c r="E953" s="144"/>
      <c r="F953" s="158"/>
      <c r="G953" s="158"/>
      <c r="H953" s="144"/>
      <c r="I953" s="158"/>
      <c r="J953" s="158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</row>
    <row r="954" spans="1:23" ht="19.5" customHeight="1" x14ac:dyDescent="0.25">
      <c r="A954" s="144"/>
      <c r="B954" s="144"/>
      <c r="C954" s="158"/>
      <c r="D954" s="158"/>
      <c r="E954" s="144"/>
      <c r="F954" s="158"/>
      <c r="G954" s="158"/>
      <c r="H954" s="144"/>
      <c r="I954" s="158"/>
      <c r="J954" s="158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</row>
    <row r="955" spans="1:23" ht="19.5" customHeight="1" x14ac:dyDescent="0.25">
      <c r="A955" s="144"/>
      <c r="B955" s="144"/>
      <c r="C955" s="158"/>
      <c r="D955" s="158"/>
      <c r="E955" s="144"/>
      <c r="F955" s="158"/>
      <c r="G955" s="158"/>
      <c r="H955" s="144"/>
      <c r="I955" s="158"/>
      <c r="J955" s="158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</row>
    <row r="956" spans="1:23" ht="19.5" customHeight="1" x14ac:dyDescent="0.25">
      <c r="A956" s="144"/>
      <c r="B956" s="144"/>
      <c r="C956" s="158"/>
      <c r="D956" s="158"/>
      <c r="E956" s="144"/>
      <c r="F956" s="158"/>
      <c r="G956" s="158"/>
      <c r="H956" s="144"/>
      <c r="I956" s="158"/>
      <c r="J956" s="158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</row>
    <row r="957" spans="1:23" ht="19.5" customHeight="1" x14ac:dyDescent="0.25">
      <c r="A957" s="144"/>
      <c r="B957" s="144"/>
      <c r="C957" s="158"/>
      <c r="D957" s="158"/>
      <c r="E957" s="144"/>
      <c r="F957" s="158"/>
      <c r="G957" s="158"/>
      <c r="H957" s="144"/>
      <c r="I957" s="158"/>
      <c r="J957" s="158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</row>
    <row r="958" spans="1:23" ht="19.5" customHeight="1" x14ac:dyDescent="0.25">
      <c r="A958" s="144"/>
      <c r="B958" s="144"/>
      <c r="C958" s="158"/>
      <c r="D958" s="158"/>
      <c r="E958" s="144"/>
      <c r="F958" s="158"/>
      <c r="G958" s="158"/>
      <c r="H958" s="144"/>
      <c r="I958" s="158"/>
      <c r="J958" s="158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</row>
    <row r="959" spans="1:23" ht="19.5" customHeight="1" x14ac:dyDescent="0.25">
      <c r="A959" s="144"/>
      <c r="B959" s="144"/>
      <c r="C959" s="158"/>
      <c r="D959" s="158"/>
      <c r="E959" s="144"/>
      <c r="F959" s="158"/>
      <c r="G959" s="158"/>
      <c r="H959" s="144"/>
      <c r="I959" s="158"/>
      <c r="J959" s="158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</row>
    <row r="960" spans="1:23" ht="19.5" customHeight="1" x14ac:dyDescent="0.25">
      <c r="A960" s="144"/>
      <c r="B960" s="144"/>
      <c r="C960" s="158"/>
      <c r="D960" s="158"/>
      <c r="E960" s="144"/>
      <c r="F960" s="158"/>
      <c r="G960" s="158"/>
      <c r="H960" s="144"/>
      <c r="I960" s="158"/>
      <c r="J960" s="158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</row>
    <row r="961" spans="1:23" ht="19.5" customHeight="1" x14ac:dyDescent="0.25">
      <c r="A961" s="144"/>
      <c r="B961" s="144"/>
      <c r="C961" s="158"/>
      <c r="D961" s="158"/>
      <c r="E961" s="144"/>
      <c r="F961" s="158"/>
      <c r="G961" s="158"/>
      <c r="H961" s="144"/>
      <c r="I961" s="158"/>
      <c r="J961" s="158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</row>
    <row r="962" spans="1:23" ht="19.5" customHeight="1" x14ac:dyDescent="0.25">
      <c r="A962" s="144"/>
      <c r="B962" s="144"/>
      <c r="C962" s="158"/>
      <c r="D962" s="158"/>
      <c r="E962" s="144"/>
      <c r="F962" s="158"/>
      <c r="G962" s="158"/>
      <c r="H962" s="144"/>
      <c r="I962" s="158"/>
      <c r="J962" s="158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</row>
    <row r="963" spans="1:23" ht="19.5" customHeight="1" x14ac:dyDescent="0.25">
      <c r="A963" s="144"/>
      <c r="B963" s="144"/>
      <c r="C963" s="158"/>
      <c r="D963" s="158"/>
      <c r="E963" s="144"/>
      <c r="F963" s="158"/>
      <c r="G963" s="158"/>
      <c r="H963" s="144"/>
      <c r="I963" s="158"/>
      <c r="J963" s="158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</row>
    <row r="964" spans="1:23" ht="19.5" customHeight="1" x14ac:dyDescent="0.25">
      <c r="A964" s="144"/>
      <c r="B964" s="144"/>
      <c r="C964" s="158"/>
      <c r="D964" s="158"/>
      <c r="E964" s="144"/>
      <c r="F964" s="158"/>
      <c r="G964" s="158"/>
      <c r="H964" s="144"/>
      <c r="I964" s="158"/>
      <c r="J964" s="158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</row>
    <row r="965" spans="1:23" ht="19.5" customHeight="1" x14ac:dyDescent="0.25">
      <c r="A965" s="144"/>
      <c r="B965" s="144"/>
      <c r="C965" s="158"/>
      <c r="D965" s="158"/>
      <c r="E965" s="144"/>
      <c r="F965" s="158"/>
      <c r="G965" s="158"/>
      <c r="H965" s="144"/>
      <c r="I965" s="158"/>
      <c r="J965" s="158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</row>
    <row r="966" spans="1:23" ht="19.5" customHeight="1" x14ac:dyDescent="0.25">
      <c r="A966" s="144"/>
      <c r="B966" s="144"/>
      <c r="C966" s="158"/>
      <c r="D966" s="158"/>
      <c r="E966" s="144"/>
      <c r="F966" s="158"/>
      <c r="G966" s="158"/>
      <c r="H966" s="144"/>
      <c r="I966" s="158"/>
      <c r="J966" s="158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</row>
    <row r="967" spans="1:23" ht="19.5" customHeight="1" x14ac:dyDescent="0.25">
      <c r="A967" s="144"/>
      <c r="B967" s="144"/>
      <c r="C967" s="158"/>
      <c r="D967" s="158"/>
      <c r="E967" s="144"/>
      <c r="F967" s="158"/>
      <c r="G967" s="158"/>
      <c r="H967" s="144"/>
      <c r="I967" s="158"/>
      <c r="J967" s="158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</row>
    <row r="968" spans="1:23" ht="19.5" customHeight="1" x14ac:dyDescent="0.25">
      <c r="A968" s="144"/>
      <c r="B968" s="144"/>
      <c r="C968" s="158"/>
      <c r="D968" s="158"/>
      <c r="E968" s="144"/>
      <c r="F968" s="158"/>
      <c r="G968" s="158"/>
      <c r="H968" s="144"/>
      <c r="I968" s="158"/>
      <c r="J968" s="158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</row>
    <row r="969" spans="1:23" ht="19.5" customHeight="1" x14ac:dyDescent="0.25">
      <c r="A969" s="144"/>
      <c r="B969" s="144"/>
      <c r="C969" s="158"/>
      <c r="D969" s="158"/>
      <c r="E969" s="144"/>
      <c r="F969" s="158"/>
      <c r="G969" s="158"/>
      <c r="H969" s="144"/>
      <c r="I969" s="158"/>
      <c r="J969" s="158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</row>
    <row r="970" spans="1:23" ht="19.5" customHeight="1" x14ac:dyDescent="0.25">
      <c r="A970" s="144"/>
      <c r="B970" s="144"/>
      <c r="C970" s="158"/>
      <c r="D970" s="158"/>
      <c r="E970" s="144"/>
      <c r="F970" s="158"/>
      <c r="G970" s="158"/>
      <c r="H970" s="144"/>
      <c r="I970" s="158"/>
      <c r="J970" s="158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</row>
    <row r="971" spans="1:23" ht="19.5" customHeight="1" x14ac:dyDescent="0.25">
      <c r="A971" s="144"/>
      <c r="B971" s="144"/>
      <c r="C971" s="158"/>
      <c r="D971" s="158"/>
      <c r="E971" s="144"/>
      <c r="F971" s="158"/>
      <c r="G971" s="158"/>
      <c r="H971" s="144"/>
      <c r="I971" s="158"/>
      <c r="J971" s="158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</row>
    <row r="972" spans="1:23" ht="19.5" customHeight="1" x14ac:dyDescent="0.25">
      <c r="A972" s="144"/>
      <c r="B972" s="144"/>
      <c r="C972" s="158"/>
      <c r="D972" s="158"/>
      <c r="E972" s="144"/>
      <c r="F972" s="158"/>
      <c r="G972" s="158"/>
      <c r="H972" s="144"/>
      <c r="I972" s="158"/>
      <c r="J972" s="158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</row>
    <row r="973" spans="1:23" ht="19.5" customHeight="1" x14ac:dyDescent="0.25">
      <c r="A973" s="144"/>
      <c r="B973" s="144"/>
      <c r="C973" s="158"/>
      <c r="D973" s="158"/>
      <c r="E973" s="144"/>
      <c r="F973" s="158"/>
      <c r="G973" s="158"/>
      <c r="H973" s="144"/>
      <c r="I973" s="158"/>
      <c r="J973" s="158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</row>
    <row r="974" spans="1:23" ht="19.5" customHeight="1" x14ac:dyDescent="0.25">
      <c r="A974" s="144"/>
      <c r="B974" s="144"/>
      <c r="C974" s="158"/>
      <c r="D974" s="158"/>
      <c r="E974" s="144"/>
      <c r="F974" s="158"/>
      <c r="G974" s="158"/>
      <c r="H974" s="144"/>
      <c r="I974" s="158"/>
      <c r="J974" s="158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</row>
    <row r="975" spans="1:23" ht="19.5" customHeight="1" x14ac:dyDescent="0.25">
      <c r="A975" s="144"/>
      <c r="B975" s="144"/>
      <c r="C975" s="158"/>
      <c r="D975" s="158"/>
      <c r="E975" s="144"/>
      <c r="F975" s="158"/>
      <c r="G975" s="158"/>
      <c r="H975" s="144"/>
      <c r="I975" s="158"/>
      <c r="J975" s="158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</row>
    <row r="976" spans="1:23" ht="19.5" customHeight="1" x14ac:dyDescent="0.25">
      <c r="A976" s="144"/>
      <c r="B976" s="144"/>
      <c r="C976" s="158"/>
      <c r="D976" s="158"/>
      <c r="E976" s="144"/>
      <c r="F976" s="158"/>
      <c r="G976" s="158"/>
      <c r="H976" s="144"/>
      <c r="I976" s="158"/>
      <c r="J976" s="158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</row>
    <row r="977" spans="1:23" ht="19.5" customHeight="1" x14ac:dyDescent="0.25">
      <c r="A977" s="144"/>
      <c r="B977" s="144"/>
      <c r="C977" s="158"/>
      <c r="D977" s="158"/>
      <c r="E977" s="144"/>
      <c r="F977" s="158"/>
      <c r="G977" s="158"/>
      <c r="H977" s="144"/>
      <c r="I977" s="158"/>
      <c r="J977" s="158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</row>
    <row r="978" spans="1:23" ht="19.5" customHeight="1" x14ac:dyDescent="0.25">
      <c r="A978" s="144"/>
      <c r="B978" s="144"/>
      <c r="C978" s="158"/>
      <c r="D978" s="158"/>
      <c r="E978" s="144"/>
      <c r="F978" s="158"/>
      <c r="G978" s="158"/>
      <c r="H978" s="144"/>
      <c r="I978" s="158"/>
      <c r="J978" s="158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</row>
    <row r="979" spans="1:23" ht="19.5" customHeight="1" x14ac:dyDescent="0.25">
      <c r="A979" s="144"/>
      <c r="B979" s="144"/>
      <c r="C979" s="158"/>
      <c r="D979" s="158"/>
      <c r="E979" s="144"/>
      <c r="F979" s="158"/>
      <c r="G979" s="158"/>
      <c r="H979" s="144"/>
      <c r="I979" s="158"/>
      <c r="J979" s="158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</row>
    <row r="980" spans="1:23" ht="19.5" customHeight="1" x14ac:dyDescent="0.25">
      <c r="A980" s="144"/>
      <c r="B980" s="144"/>
      <c r="C980" s="158"/>
      <c r="D980" s="158"/>
      <c r="E980" s="144"/>
      <c r="F980" s="158"/>
      <c r="G980" s="158"/>
      <c r="H980" s="144"/>
      <c r="I980" s="158"/>
      <c r="J980" s="158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</row>
    <row r="981" spans="1:23" ht="19.5" customHeight="1" x14ac:dyDescent="0.25">
      <c r="A981" s="144"/>
      <c r="B981" s="144"/>
      <c r="C981" s="158"/>
      <c r="D981" s="158"/>
      <c r="E981" s="144"/>
      <c r="F981" s="158"/>
      <c r="G981" s="158"/>
      <c r="H981" s="144"/>
      <c r="I981" s="158"/>
      <c r="J981" s="158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</row>
    <row r="982" spans="1:23" ht="19.5" customHeight="1" x14ac:dyDescent="0.25">
      <c r="A982" s="144"/>
      <c r="B982" s="144"/>
      <c r="C982" s="158"/>
      <c r="D982" s="158"/>
      <c r="E982" s="144"/>
      <c r="F982" s="158"/>
      <c r="G982" s="158"/>
      <c r="H982" s="144"/>
      <c r="I982" s="158"/>
      <c r="J982" s="158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</row>
    <row r="983" spans="1:23" ht="19.5" customHeight="1" x14ac:dyDescent="0.25">
      <c r="A983" s="144"/>
      <c r="B983" s="144"/>
      <c r="C983" s="158"/>
      <c r="D983" s="158"/>
      <c r="E983" s="144"/>
      <c r="F983" s="158"/>
      <c r="G983" s="158"/>
      <c r="H983" s="144"/>
      <c r="I983" s="158"/>
      <c r="J983" s="158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</row>
    <row r="984" spans="1:23" ht="19.5" customHeight="1" x14ac:dyDescent="0.25">
      <c r="A984" s="144"/>
      <c r="B984" s="144"/>
      <c r="C984" s="158"/>
      <c r="D984" s="158"/>
      <c r="E984" s="144"/>
      <c r="F984" s="158"/>
      <c r="G984" s="158"/>
      <c r="H984" s="144"/>
      <c r="I984" s="158"/>
      <c r="J984" s="158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</row>
    <row r="985" spans="1:23" ht="19.5" customHeight="1" x14ac:dyDescent="0.25">
      <c r="A985" s="144"/>
      <c r="B985" s="144"/>
      <c r="C985" s="158"/>
      <c r="D985" s="158"/>
      <c r="E985" s="144"/>
      <c r="F985" s="158"/>
      <c r="G985" s="158"/>
      <c r="H985" s="144"/>
      <c r="I985" s="158"/>
      <c r="J985" s="158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</row>
    <row r="986" spans="1:23" ht="19.5" customHeight="1" x14ac:dyDescent="0.25">
      <c r="A986" s="144"/>
      <c r="B986" s="144"/>
      <c r="C986" s="158"/>
      <c r="D986" s="158"/>
      <c r="E986" s="144"/>
      <c r="F986" s="158"/>
      <c r="G986" s="158"/>
      <c r="H986" s="144"/>
      <c r="I986" s="158"/>
      <c r="J986" s="158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</row>
    <row r="987" spans="1:23" ht="19.5" customHeight="1" x14ac:dyDescent="0.25">
      <c r="A987" s="144"/>
      <c r="B987" s="144"/>
      <c r="C987" s="158"/>
      <c r="D987" s="158"/>
      <c r="E987" s="144"/>
      <c r="F987" s="158"/>
      <c r="G987" s="158"/>
      <c r="H987" s="144"/>
      <c r="I987" s="158"/>
      <c r="J987" s="158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</row>
    <row r="988" spans="1:23" ht="19.5" customHeight="1" x14ac:dyDescent="0.25">
      <c r="A988" s="144"/>
      <c r="B988" s="144"/>
      <c r="C988" s="158"/>
      <c r="D988" s="158"/>
      <c r="E988" s="144"/>
      <c r="F988" s="158"/>
      <c r="G988" s="158"/>
      <c r="H988" s="144"/>
      <c r="I988" s="158"/>
      <c r="J988" s="158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</row>
    <row r="989" spans="1:23" ht="19.5" customHeight="1" x14ac:dyDescent="0.25">
      <c r="A989" s="144"/>
      <c r="B989" s="144"/>
      <c r="C989" s="158"/>
      <c r="D989" s="158"/>
      <c r="E989" s="144"/>
      <c r="F989" s="158"/>
      <c r="G989" s="158"/>
      <c r="H989" s="144"/>
      <c r="I989" s="158"/>
      <c r="J989" s="158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</row>
    <row r="990" spans="1:23" ht="19.5" customHeight="1" x14ac:dyDescent="0.25">
      <c r="A990" s="144"/>
      <c r="B990" s="144"/>
      <c r="C990" s="158"/>
      <c r="D990" s="158"/>
      <c r="E990" s="144"/>
      <c r="F990" s="158"/>
      <c r="G990" s="158"/>
      <c r="H990" s="144"/>
      <c r="I990" s="158"/>
      <c r="J990" s="158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</row>
    <row r="991" spans="1:23" ht="19.5" customHeight="1" x14ac:dyDescent="0.25">
      <c r="A991" s="144"/>
      <c r="B991" s="144"/>
      <c r="C991" s="158"/>
      <c r="D991" s="158"/>
      <c r="E991" s="144"/>
      <c r="F991" s="158"/>
      <c r="G991" s="158"/>
      <c r="H991" s="144"/>
      <c r="I991" s="158"/>
      <c r="J991" s="158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</row>
    <row r="992" spans="1:23" ht="19.5" customHeight="1" x14ac:dyDescent="0.25">
      <c r="A992" s="144"/>
      <c r="B992" s="144"/>
      <c r="C992" s="158"/>
      <c r="D992" s="158"/>
      <c r="E992" s="144"/>
      <c r="F992" s="158"/>
      <c r="G992" s="158"/>
      <c r="H992" s="144"/>
      <c r="I992" s="158"/>
      <c r="J992" s="158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</row>
    <row r="993" spans="1:23" ht="19.5" customHeight="1" x14ac:dyDescent="0.25">
      <c r="A993" s="144"/>
      <c r="B993" s="144"/>
      <c r="C993" s="158"/>
      <c r="D993" s="158"/>
      <c r="E993" s="144"/>
      <c r="F993" s="158"/>
      <c r="G993" s="158"/>
      <c r="H993" s="144"/>
      <c r="I993" s="158"/>
      <c r="J993" s="158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</row>
    <row r="994" spans="1:23" ht="19.5" customHeight="1" x14ac:dyDescent="0.25">
      <c r="A994" s="144"/>
      <c r="B994" s="144"/>
      <c r="C994" s="158"/>
      <c r="D994" s="158"/>
      <c r="E994" s="144"/>
      <c r="F994" s="158"/>
      <c r="G994" s="158"/>
      <c r="H994" s="144"/>
      <c r="I994" s="158"/>
      <c r="J994" s="158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</row>
    <row r="995" spans="1:23" ht="19.5" customHeight="1" x14ac:dyDescent="0.25">
      <c r="A995" s="144"/>
      <c r="B995" s="144"/>
      <c r="C995" s="158"/>
      <c r="D995" s="158"/>
      <c r="E995" s="144"/>
      <c r="F995" s="158"/>
      <c r="G995" s="158"/>
      <c r="H995" s="144"/>
      <c r="I995" s="158"/>
      <c r="J995" s="158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</row>
    <row r="996" spans="1:23" ht="19.5" customHeight="1" x14ac:dyDescent="0.25">
      <c r="A996" s="144"/>
      <c r="B996" s="144"/>
      <c r="C996" s="158"/>
      <c r="D996" s="158"/>
      <c r="E996" s="144"/>
      <c r="F996" s="158"/>
      <c r="G996" s="158"/>
      <c r="H996" s="144"/>
      <c r="I996" s="158"/>
      <c r="J996" s="158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</row>
    <row r="997" spans="1:23" ht="19.5" customHeight="1" x14ac:dyDescent="0.25">
      <c r="A997" s="144"/>
      <c r="B997" s="144"/>
      <c r="C997" s="158"/>
      <c r="D997" s="158"/>
      <c r="E997" s="144"/>
      <c r="F997" s="158"/>
      <c r="G997" s="158"/>
      <c r="H997" s="144"/>
      <c r="I997" s="158"/>
      <c r="J997" s="158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</row>
  </sheetData>
  <mergeCells count="12">
    <mergeCell ref="H60:I60"/>
    <mergeCell ref="B1:D1"/>
    <mergeCell ref="E1:G1"/>
    <mergeCell ref="H1:J1"/>
    <mergeCell ref="B21:D21"/>
    <mergeCell ref="E21:G21"/>
    <mergeCell ref="H21:J21"/>
    <mergeCell ref="B41:D41"/>
    <mergeCell ref="E41:G41"/>
    <mergeCell ref="H41:J41"/>
    <mergeCell ref="H19:I19"/>
    <mergeCell ref="H39:I39"/>
  </mergeCells>
  <pageMargins left="0.511811024" right="0.511811024" top="0.78740157499999996" bottom="0.78740157499999996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1341A-0471-4D44-BFF9-71FB0A84AACB}">
  <dimension ref="A1:Y824"/>
  <sheetViews>
    <sheetView zoomScale="85" zoomScaleNormal="85" workbookViewId="0">
      <selection activeCell="C23" sqref="C23"/>
    </sheetView>
  </sheetViews>
  <sheetFormatPr defaultColWidth="14.42578125" defaultRowHeight="15" customHeight="1" x14ac:dyDescent="0.25"/>
  <cols>
    <col min="1" max="1" width="64.28515625" style="195" customWidth="1"/>
    <col min="2" max="2" width="22.85546875" style="195" bestFit="1" customWidth="1"/>
    <col min="3" max="3" width="14.28515625" style="219" customWidth="1"/>
    <col min="4" max="4" width="16.7109375" style="219" bestFit="1" customWidth="1"/>
    <col min="5" max="5" width="23.140625" style="195" bestFit="1" customWidth="1"/>
    <col min="6" max="7" width="17.7109375" style="195" customWidth="1"/>
    <col min="8" max="8" width="23.5703125" style="195" bestFit="1" customWidth="1"/>
    <col min="9" max="13" width="17.7109375" style="195" customWidth="1"/>
    <col min="14" max="14" width="25.140625" style="195" customWidth="1"/>
    <col min="15" max="15" width="14.28515625" style="195" customWidth="1"/>
    <col min="16" max="25" width="9.140625" style="195" customWidth="1"/>
    <col min="26" max="16384" width="14.42578125" style="195"/>
  </cols>
  <sheetData>
    <row r="1" spans="1:25" ht="28.5" customHeight="1" x14ac:dyDescent="0.25">
      <c r="A1" s="233" t="s">
        <v>669</v>
      </c>
    </row>
    <row r="2" spans="1:25" ht="15" customHeight="1" x14ac:dyDescent="0.25">
      <c r="A2" s="220"/>
      <c r="B2" s="221" t="s">
        <v>169</v>
      </c>
      <c r="C2" s="222"/>
      <c r="D2" s="223"/>
      <c r="E2" s="221" t="s">
        <v>170</v>
      </c>
      <c r="F2" s="222"/>
      <c r="G2" s="223"/>
      <c r="H2" s="221" t="s">
        <v>656</v>
      </c>
      <c r="I2" s="222"/>
      <c r="J2" s="223"/>
    </row>
    <row r="3" spans="1:25" ht="22.5" customHeight="1" thickBot="1" x14ac:dyDescent="0.3">
      <c r="A3" s="220" t="s">
        <v>157</v>
      </c>
      <c r="B3" s="224" t="s">
        <v>657</v>
      </c>
      <c r="C3" s="224" t="s">
        <v>658</v>
      </c>
      <c r="D3" s="224" t="s">
        <v>659</v>
      </c>
      <c r="E3" s="224" t="s">
        <v>657</v>
      </c>
      <c r="F3" s="224" t="s">
        <v>658</v>
      </c>
      <c r="G3" s="224" t="s">
        <v>659</v>
      </c>
      <c r="H3" s="224" t="s">
        <v>657</v>
      </c>
      <c r="I3" s="224" t="s">
        <v>658</v>
      </c>
      <c r="J3" s="224" t="s">
        <v>659</v>
      </c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</row>
    <row r="4" spans="1:25" ht="19.5" customHeight="1" thickBot="1" x14ac:dyDescent="0.3">
      <c r="A4" s="197" t="s">
        <v>26</v>
      </c>
      <c r="B4" s="198">
        <v>137245.95486800003</v>
      </c>
      <c r="C4" s="199">
        <f t="shared" ref="C4:C18" si="0">B4/B$19</f>
        <v>4.0762259911725253E-3</v>
      </c>
      <c r="D4" s="200">
        <f>B4/CUB!O$4</f>
        <v>22.68839441906907</v>
      </c>
      <c r="E4" s="198">
        <v>150402.20465600002</v>
      </c>
      <c r="F4" s="199">
        <f>E4/E$19</f>
        <v>2.0346284558841231E-3</v>
      </c>
      <c r="G4" s="200">
        <f>E4/CUB!O$5</f>
        <v>6.992108175997708</v>
      </c>
      <c r="H4" s="198">
        <f>E4+B4</f>
        <v>287648.15952400002</v>
      </c>
      <c r="I4" s="199">
        <f>H4/H$19</f>
        <v>2.67353184875163E-3</v>
      </c>
      <c r="J4" s="200">
        <f>H4/CUB!O$6</f>
        <v>10.437369378706759</v>
      </c>
      <c r="K4" s="196"/>
      <c r="L4" s="196"/>
      <c r="M4" s="196"/>
      <c r="N4" s="201" t="s">
        <v>660</v>
      </c>
      <c r="O4" s="202">
        <f>[5]OBRA!$E$15</f>
        <v>6049.1699999999992</v>
      </c>
      <c r="P4" s="203" t="s">
        <v>185</v>
      </c>
      <c r="Q4" s="196"/>
      <c r="R4" s="196"/>
      <c r="S4" s="196"/>
      <c r="T4" s="196"/>
      <c r="U4" s="196"/>
      <c r="V4" s="196"/>
      <c r="W4" s="196"/>
      <c r="X4" s="196"/>
      <c r="Y4" s="196"/>
    </row>
    <row r="5" spans="1:25" ht="19.5" customHeight="1" thickBot="1" x14ac:dyDescent="0.3">
      <c r="A5" s="204" t="s">
        <v>32</v>
      </c>
      <c r="B5" s="205">
        <v>2200957.6281000003</v>
      </c>
      <c r="C5" s="206">
        <f t="shared" si="0"/>
        <v>6.5368780433341961E-2</v>
      </c>
      <c r="D5" s="207">
        <f>B5/CUB!O$4</f>
        <v>363.84456513868855</v>
      </c>
      <c r="E5" s="205">
        <v>4184719.8349000001</v>
      </c>
      <c r="F5" s="206">
        <f>E5/E$19</f>
        <v>5.6610540220898196E-2</v>
      </c>
      <c r="G5" s="207">
        <f>E5/CUB!O$5</f>
        <v>194.54511214637833</v>
      </c>
      <c r="H5" s="205">
        <f>E5+B5</f>
        <v>6385677.4630000005</v>
      </c>
      <c r="I5" s="206">
        <f>H5/H$19</f>
        <v>5.9351369052516305E-2</v>
      </c>
      <c r="J5" s="207">
        <f>H5/CUB!O$6</f>
        <v>231.70554793364889</v>
      </c>
      <c r="K5" s="196"/>
      <c r="L5" s="196"/>
      <c r="M5" s="196"/>
      <c r="N5" s="201" t="s">
        <v>661</v>
      </c>
      <c r="O5" s="202">
        <f>[5]OBRA!$F$15</f>
        <v>21510.280000000006</v>
      </c>
      <c r="P5" s="203" t="s">
        <v>185</v>
      </c>
      <c r="Q5" s="196"/>
      <c r="R5" s="196"/>
      <c r="S5" s="196"/>
      <c r="T5" s="196"/>
      <c r="U5" s="196"/>
      <c r="V5" s="196"/>
      <c r="W5" s="196"/>
      <c r="X5" s="196"/>
      <c r="Y5" s="196"/>
    </row>
    <row r="6" spans="1:25" ht="19.5" customHeight="1" x14ac:dyDescent="0.25">
      <c r="A6" s="197" t="s">
        <v>40</v>
      </c>
      <c r="B6" s="198">
        <v>4644536.7089</v>
      </c>
      <c r="C6" s="199">
        <f t="shared" si="0"/>
        <v>0.1379434553680042</v>
      </c>
      <c r="D6" s="200">
        <f>B6/CUB!O$4</f>
        <v>767.79735218220026</v>
      </c>
      <c r="E6" s="198">
        <v>15149857.504004356</v>
      </c>
      <c r="F6" s="199">
        <f>E6/E$19</f>
        <v>0.20494600628187801</v>
      </c>
      <c r="G6" s="200">
        <f>E6/CUB!O$5</f>
        <v>704.30777767673646</v>
      </c>
      <c r="H6" s="198">
        <f t="shared" ref="H6:H18" si="1">E6+B6</f>
        <v>19794394.212904356</v>
      </c>
      <c r="I6" s="199">
        <f>H6/H$19</f>
        <v>0.18397803567566115</v>
      </c>
      <c r="J6" s="200">
        <f>H6/CUB!O$6</f>
        <v>718.24344146578949</v>
      </c>
      <c r="K6" s="196"/>
      <c r="L6" s="196"/>
      <c r="M6" s="196"/>
      <c r="N6" s="208"/>
      <c r="O6" s="209">
        <f>O4+O5</f>
        <v>27559.450000000004</v>
      </c>
      <c r="P6" s="196"/>
      <c r="Q6" s="196"/>
      <c r="R6" s="196"/>
      <c r="S6" s="196"/>
      <c r="T6" s="196"/>
      <c r="U6" s="196"/>
      <c r="V6" s="196"/>
      <c r="W6" s="196"/>
      <c r="X6" s="196"/>
      <c r="Y6" s="196"/>
    </row>
    <row r="7" spans="1:25" ht="19.5" customHeight="1" x14ac:dyDescent="0.25">
      <c r="A7" s="204" t="s">
        <v>662</v>
      </c>
      <c r="B7" s="205">
        <v>2968837.6899737972</v>
      </c>
      <c r="C7" s="206">
        <f t="shared" si="0"/>
        <v>8.8174936500553927E-2</v>
      </c>
      <c r="D7" s="207">
        <f>B7/CUB!O$4</f>
        <v>490.78430428865408</v>
      </c>
      <c r="E7" s="205">
        <v>6993312.5498940032</v>
      </c>
      <c r="F7" s="206">
        <f>E7/E$19</f>
        <v>9.4604947762900127E-2</v>
      </c>
      <c r="G7" s="207">
        <f>E7/CUB!O$5</f>
        <v>325.11490087037458</v>
      </c>
      <c r="H7" s="205">
        <f t="shared" si="1"/>
        <v>9962150.2398678008</v>
      </c>
      <c r="I7" s="206">
        <f>H7/H$19</f>
        <v>9.2592721581842855E-2</v>
      </c>
      <c r="J7" s="207">
        <f>H7/CUB!O$6</f>
        <v>361.4785578038676</v>
      </c>
      <c r="K7" s="196"/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</row>
    <row r="8" spans="1:25" ht="19.5" customHeight="1" x14ac:dyDescent="0.25">
      <c r="A8" s="197" t="s">
        <v>663</v>
      </c>
      <c r="B8" s="198">
        <v>2884186.0123600001</v>
      </c>
      <c r="C8" s="199">
        <f t="shared" si="0"/>
        <v>8.5660768641708185E-2</v>
      </c>
      <c r="D8" s="200">
        <f>B8/CUB!O$4</f>
        <v>476.79037163114947</v>
      </c>
      <c r="E8" s="198">
        <v>7800237.5719840024</v>
      </c>
      <c r="F8" s="199">
        <f>E8/E$19</f>
        <v>0.10552096202920923</v>
      </c>
      <c r="G8" s="200">
        <f>E8/CUB!O$5</f>
        <v>362.62836057847693</v>
      </c>
      <c r="H8" s="198">
        <f t="shared" si="1"/>
        <v>10684423.584344003</v>
      </c>
      <c r="I8" s="199">
        <f>H8/H$19</f>
        <v>9.9305856104090234E-2</v>
      </c>
      <c r="J8" s="200">
        <f>H8/CUB!O$6</f>
        <v>387.68638649697294</v>
      </c>
      <c r="K8" s="196"/>
      <c r="L8" s="196"/>
      <c r="M8" s="196"/>
      <c r="N8" s="210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</row>
    <row r="9" spans="1:25" ht="19.5" customHeight="1" x14ac:dyDescent="0.25">
      <c r="A9" s="204" t="s">
        <v>90</v>
      </c>
      <c r="B9" s="205">
        <v>0</v>
      </c>
      <c r="C9" s="206">
        <f t="shared" si="0"/>
        <v>0</v>
      </c>
      <c r="D9" s="207">
        <f>B9/CUB!O$4</f>
        <v>0</v>
      </c>
      <c r="E9" s="205">
        <v>13200.000000000002</v>
      </c>
      <c r="F9" s="206">
        <f>E9/E$19</f>
        <v>1.7856849691198336E-4</v>
      </c>
      <c r="G9" s="207">
        <f>E9/CUB!O$5</f>
        <v>0.61366007323010197</v>
      </c>
      <c r="H9" s="205">
        <f t="shared" si="1"/>
        <v>13200.000000000002</v>
      </c>
      <c r="I9" s="206">
        <f>H9/H$19</f>
        <v>1.2268675892771369E-4</v>
      </c>
      <c r="J9" s="207">
        <f>H9/CUB!O$6</f>
        <v>0.47896456569343726</v>
      </c>
      <c r="K9" s="211"/>
      <c r="L9" s="211"/>
      <c r="M9" s="211"/>
      <c r="N9" s="212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</row>
    <row r="10" spans="1:25" ht="19.5" customHeight="1" x14ac:dyDescent="0.25">
      <c r="A10" s="197" t="s">
        <v>664</v>
      </c>
      <c r="B10" s="198">
        <v>493452.24824999995</v>
      </c>
      <c r="C10" s="199">
        <f t="shared" si="0"/>
        <v>1.4655607749268143E-2</v>
      </c>
      <c r="D10" s="200">
        <f>B10/CUB!O$4</f>
        <v>81.573546164184506</v>
      </c>
      <c r="E10" s="198">
        <v>1276413.3426000006</v>
      </c>
      <c r="F10" s="199">
        <f>E10/E$19</f>
        <v>1.7267213032309284E-2</v>
      </c>
      <c r="G10" s="200">
        <f>E10/CUB!O$5</f>
        <v>59.339689794832992</v>
      </c>
      <c r="H10" s="198">
        <f t="shared" si="1"/>
        <v>1769865.5908500005</v>
      </c>
      <c r="I10" s="199">
        <f>H10/H$19</f>
        <v>1.6449929778717388E-2</v>
      </c>
      <c r="J10" s="200">
        <f>H10/CUB!O$6</f>
        <v>64.219916974032515</v>
      </c>
      <c r="K10" s="196"/>
      <c r="L10" s="196"/>
      <c r="M10" s="196"/>
      <c r="N10" s="210"/>
      <c r="O10" s="213"/>
      <c r="P10" s="196"/>
      <c r="Q10" s="196"/>
      <c r="R10" s="196"/>
      <c r="S10" s="196"/>
      <c r="T10" s="196"/>
      <c r="U10" s="196"/>
      <c r="V10" s="196"/>
      <c r="W10" s="196"/>
      <c r="X10" s="196"/>
      <c r="Y10" s="196"/>
    </row>
    <row r="11" spans="1:25" ht="19.5" customHeight="1" x14ac:dyDescent="0.25">
      <c r="A11" s="204" t="s">
        <v>97</v>
      </c>
      <c r="B11" s="205">
        <v>2569648.4159897305</v>
      </c>
      <c r="C11" s="206">
        <f t="shared" si="0"/>
        <v>7.6318953600539613E-2</v>
      </c>
      <c r="D11" s="207">
        <f>B11/CUB!O$4</f>
        <v>424.79355283282348</v>
      </c>
      <c r="E11" s="205">
        <v>2958539.6660600007</v>
      </c>
      <c r="F11" s="206">
        <f>E11/E$19</f>
        <v>4.0022877365364806E-2</v>
      </c>
      <c r="G11" s="207">
        <f>E11/CUB!O$5</f>
        <v>137.54073243398039</v>
      </c>
      <c r="H11" s="205">
        <f t="shared" si="1"/>
        <v>5528188.0820497312</v>
      </c>
      <c r="I11" s="206">
        <f>H11/H$19</f>
        <v>5.1381475646173874E-2</v>
      </c>
      <c r="J11" s="207">
        <f>H11/CUB!O$6</f>
        <v>200.59137907504433</v>
      </c>
      <c r="K11" s="196"/>
      <c r="L11" s="196"/>
      <c r="M11" s="196"/>
      <c r="N11" s="214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196"/>
    </row>
    <row r="12" spans="1:25" ht="19.5" customHeight="1" x14ac:dyDescent="0.25">
      <c r="A12" s="197" t="s">
        <v>101</v>
      </c>
      <c r="B12" s="198">
        <v>831199.7699500001</v>
      </c>
      <c r="C12" s="199">
        <f t="shared" si="0"/>
        <v>2.4686761146333717E-2</v>
      </c>
      <c r="D12" s="200">
        <f>B12/CUB!O$4</f>
        <v>137.40724263824629</v>
      </c>
      <c r="E12" s="198">
        <v>2442171.8032000009</v>
      </c>
      <c r="F12" s="199">
        <f>E12/E$19</f>
        <v>3.3037496068049406E-2</v>
      </c>
      <c r="G12" s="200">
        <f>E12/CUB!O$5</f>
        <v>113.53510057516687</v>
      </c>
      <c r="H12" s="198">
        <f t="shared" si="1"/>
        <v>3273371.573150001</v>
      </c>
      <c r="I12" s="199">
        <f>H12/H$19</f>
        <v>3.042419311180947E-2</v>
      </c>
      <c r="J12" s="200">
        <f>H12/CUB!O$6</f>
        <v>118.77492377932072</v>
      </c>
      <c r="K12" s="196"/>
      <c r="L12" s="196"/>
      <c r="M12" s="196"/>
      <c r="N12" s="196"/>
      <c r="O12" s="215"/>
      <c r="P12" s="196"/>
      <c r="Q12" s="196"/>
      <c r="R12" s="196"/>
      <c r="S12" s="196"/>
      <c r="T12" s="196"/>
      <c r="U12" s="196"/>
      <c r="V12" s="196"/>
      <c r="W12" s="196"/>
      <c r="X12" s="196"/>
      <c r="Y12" s="196"/>
    </row>
    <row r="13" spans="1:25" ht="19.5" customHeight="1" x14ac:dyDescent="0.25">
      <c r="A13" s="204" t="s">
        <v>104</v>
      </c>
      <c r="B13" s="205">
        <v>3231121.7147836005</v>
      </c>
      <c r="C13" s="206">
        <f t="shared" si="0"/>
        <v>9.5964812420957724E-2</v>
      </c>
      <c r="D13" s="207">
        <f>B13/CUB!O$4</f>
        <v>534.14298404303418</v>
      </c>
      <c r="E13" s="205">
        <v>7331642.2581452597</v>
      </c>
      <c r="F13" s="206">
        <f>E13/E$19</f>
        <v>9.9181843782831708E-2</v>
      </c>
      <c r="G13" s="207">
        <f>E13/CUB!O$5</f>
        <v>340.84364583563104</v>
      </c>
      <c r="H13" s="205">
        <f t="shared" si="1"/>
        <v>10562763.972928859</v>
      </c>
      <c r="I13" s="206">
        <f>H13/H$19</f>
        <v>9.8175096754322871E-2</v>
      </c>
      <c r="J13" s="207">
        <f>H13/CUB!O$6</f>
        <v>383.2719438497088</v>
      </c>
      <c r="K13" s="196"/>
      <c r="L13" s="196"/>
      <c r="M13" s="196"/>
      <c r="N13" s="196"/>
      <c r="O13" s="214"/>
      <c r="P13" s="196"/>
      <c r="Q13" s="196"/>
      <c r="R13" s="196"/>
      <c r="S13" s="196"/>
      <c r="T13" s="196"/>
      <c r="U13" s="196"/>
      <c r="V13" s="196"/>
      <c r="W13" s="196"/>
      <c r="X13" s="196"/>
      <c r="Y13" s="196"/>
    </row>
    <row r="14" spans="1:25" ht="19.5" customHeight="1" x14ac:dyDescent="0.25">
      <c r="A14" s="197" t="s">
        <v>113</v>
      </c>
      <c r="B14" s="198">
        <v>890237.64839746011</v>
      </c>
      <c r="C14" s="199">
        <f t="shared" si="0"/>
        <v>2.6440195226213697E-2</v>
      </c>
      <c r="D14" s="200">
        <f>B14/CUB!O$4</f>
        <v>147.166908583733</v>
      </c>
      <c r="E14" s="198">
        <v>3699799.5191454012</v>
      </c>
      <c r="F14" s="199">
        <f>E14/E$19</f>
        <v>5.005057871283887E-2</v>
      </c>
      <c r="G14" s="200">
        <f>E14/CUB!O$5</f>
        <v>172.00145786783807</v>
      </c>
      <c r="H14" s="198">
        <f t="shared" si="1"/>
        <v>4590037.1675428618</v>
      </c>
      <c r="I14" s="199">
        <f>H14/H$19</f>
        <v>4.26618775336043E-2</v>
      </c>
      <c r="J14" s="200">
        <f>H14/CUB!O$6</f>
        <v>166.55039079309859</v>
      </c>
      <c r="K14" s="196"/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</row>
    <row r="15" spans="1:25" ht="19.5" customHeight="1" x14ac:dyDescent="0.25">
      <c r="A15" s="204" t="s">
        <v>117</v>
      </c>
      <c r="B15" s="205">
        <v>10170063.206222227</v>
      </c>
      <c r="C15" s="206">
        <f t="shared" si="0"/>
        <v>0.30205244309707591</v>
      </c>
      <c r="D15" s="207">
        <f>B15/CUB!O$4</f>
        <v>1681.2328313177227</v>
      </c>
      <c r="E15" s="205">
        <v>17129486.265701953</v>
      </c>
      <c r="F15" s="206">
        <f>E15/E$19</f>
        <v>0.23172625873794397</v>
      </c>
      <c r="G15" s="207">
        <f>E15/CUB!O$5</f>
        <v>796.33953001550651</v>
      </c>
      <c r="H15" s="205">
        <f t="shared" si="1"/>
        <v>27299549.471924178</v>
      </c>
      <c r="I15" s="206">
        <f>H15/H$19</f>
        <v>0.25373433673463291</v>
      </c>
      <c r="J15" s="207">
        <f>H15/CUB!O$6</f>
        <v>990.56945882171715</v>
      </c>
      <c r="K15" s="196"/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</row>
    <row r="16" spans="1:25" ht="19.5" customHeight="1" x14ac:dyDescent="0.25">
      <c r="A16" s="197" t="s">
        <v>132</v>
      </c>
      <c r="B16" s="198">
        <v>1393694.4545797338</v>
      </c>
      <c r="C16" s="199">
        <f t="shared" si="0"/>
        <v>4.1392939886459999E-2</v>
      </c>
      <c r="D16" s="200">
        <f>B16/CUB!O$4</f>
        <v>230.39432758208713</v>
      </c>
      <c r="E16" s="198">
        <v>1138286.0528894998</v>
      </c>
      <c r="F16" s="199">
        <f>E16/E$19</f>
        <v>1.5398638600026694E-2</v>
      </c>
      <c r="G16" s="200">
        <f>E16/CUB!O$5</f>
        <v>52.91823504340713</v>
      </c>
      <c r="H16" s="198">
        <f t="shared" si="1"/>
        <v>2531980.5074692336</v>
      </c>
      <c r="I16" s="199">
        <f>H16/H$19</f>
        <v>2.353336985829909E-2</v>
      </c>
      <c r="J16" s="200">
        <f>H16/CUB!O$6</f>
        <v>91.873404856382592</v>
      </c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</row>
    <row r="17" spans="1:25" ht="19.5" customHeight="1" x14ac:dyDescent="0.25">
      <c r="A17" s="204" t="s">
        <v>665</v>
      </c>
      <c r="B17" s="205">
        <v>1254677.6685917224</v>
      </c>
      <c r="C17" s="206">
        <f t="shared" si="0"/>
        <v>3.7264119938370421E-2</v>
      </c>
      <c r="D17" s="207">
        <f>B17/CUB!O$4</f>
        <v>207.4131936433796</v>
      </c>
      <c r="E17" s="205">
        <v>3653145.0130340005</v>
      </c>
      <c r="F17" s="206">
        <f>E17/E$19</f>
        <v>4.9419440452953732E-2</v>
      </c>
      <c r="G17" s="207">
        <f>E17/CUB!O$5</f>
        <v>169.83251789535049</v>
      </c>
      <c r="H17" s="205">
        <f t="shared" si="1"/>
        <v>4907822.6816257229</v>
      </c>
      <c r="I17" s="206">
        <f>H17/H$19</f>
        <v>4.561551956065002E-2</v>
      </c>
      <c r="J17" s="207">
        <f>H17/CUB!O$6</f>
        <v>178.08129993979279</v>
      </c>
      <c r="K17" s="196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</row>
    <row r="18" spans="1:25" ht="19.5" customHeight="1" x14ac:dyDescent="0.25">
      <c r="A18" s="197" t="s">
        <v>666</v>
      </c>
      <c r="B18" s="198">
        <v>0</v>
      </c>
      <c r="C18" s="199">
        <f t="shared" si="0"/>
        <v>0</v>
      </c>
      <c r="D18" s="200">
        <f>B18/CUB!O$4</f>
        <v>0</v>
      </c>
      <c r="E18" s="198">
        <v>0</v>
      </c>
      <c r="F18" s="199">
        <f>E18/E$19</f>
        <v>0</v>
      </c>
      <c r="G18" s="200">
        <f>E18/CUB!O$5</f>
        <v>0</v>
      </c>
      <c r="H18" s="198">
        <f t="shared" si="1"/>
        <v>0</v>
      </c>
      <c r="I18" s="199">
        <f>H18/H$19</f>
        <v>0</v>
      </c>
      <c r="J18" s="200">
        <f>H18/CUB!O$6</f>
        <v>0</v>
      </c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</row>
    <row r="19" spans="1:25" ht="19.5" customHeight="1" x14ac:dyDescent="0.25">
      <c r="A19" s="220" t="s">
        <v>656</v>
      </c>
      <c r="B19" s="225">
        <f t="shared" ref="B19:J19" si="2">SUM(B4:B18)</f>
        <v>33669859.120966271</v>
      </c>
      <c r="C19" s="226">
        <f t="shared" si="2"/>
        <v>1</v>
      </c>
      <c r="D19" s="225">
        <f t="shared" si="2"/>
        <v>5566.0295744649729</v>
      </c>
      <c r="E19" s="225">
        <f t="shared" si="2"/>
        <v>73921213.586214468</v>
      </c>
      <c r="F19" s="226">
        <f t="shared" si="2"/>
        <v>1</v>
      </c>
      <c r="G19" s="225">
        <f t="shared" si="2"/>
        <v>3436.5528289829072</v>
      </c>
      <c r="H19" s="225">
        <f t="shared" si="2"/>
        <v>107591072.70718077</v>
      </c>
      <c r="I19" s="226">
        <f t="shared" si="2"/>
        <v>0.99999999999999978</v>
      </c>
      <c r="J19" s="225">
        <f t="shared" si="2"/>
        <v>3903.9629857337763</v>
      </c>
      <c r="K19" s="214"/>
      <c r="L19" s="214"/>
      <c r="M19" s="214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</row>
    <row r="20" spans="1:25" ht="19.5" customHeight="1" x14ac:dyDescent="0.25">
      <c r="A20" s="220" t="s">
        <v>667</v>
      </c>
      <c r="B20" s="227">
        <v>2303.36</v>
      </c>
      <c r="C20" s="228">
        <v>45717</v>
      </c>
      <c r="D20" s="229">
        <f>+D19/B20</f>
        <v>2.4164826924427674</v>
      </c>
      <c r="E20" s="227">
        <v>2303.36</v>
      </c>
      <c r="F20" s="228">
        <v>45717</v>
      </c>
      <c r="G20" s="229">
        <f>+G19/E20</f>
        <v>1.4919738247529293</v>
      </c>
      <c r="H20" s="227">
        <v>2303.36</v>
      </c>
      <c r="I20" s="228">
        <v>45717</v>
      </c>
      <c r="J20" s="229">
        <f>+J19/H20</f>
        <v>1.694899184553772</v>
      </c>
      <c r="K20" s="214"/>
      <c r="L20" s="214"/>
      <c r="M20" s="214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</row>
    <row r="21" spans="1:25" ht="22.5" customHeight="1" x14ac:dyDescent="0.25">
      <c r="A21" s="196"/>
      <c r="B21" s="214"/>
      <c r="C21" s="210"/>
      <c r="D21" s="216">
        <f>1-D20/RESUMOS!$G$19</f>
        <v>0.19205524426019416</v>
      </c>
      <c r="E21" s="217"/>
      <c r="F21" s="216"/>
      <c r="G21" s="216">
        <f>1-G20/RESUMOS!$G$39</f>
        <v>0.15544261596022435</v>
      </c>
      <c r="H21" s="196"/>
      <c r="I21" s="196"/>
      <c r="J21" s="218">
        <f>1-J20/RESUMOS!$G$60</f>
        <v>0.24658526935636416</v>
      </c>
      <c r="K21" s="196"/>
      <c r="L21" s="196"/>
      <c r="M21" s="196"/>
      <c r="N21" s="196"/>
      <c r="O21" s="196"/>
      <c r="P21" s="196"/>
      <c r="Q21" s="196"/>
      <c r="R21" s="196"/>
      <c r="S21" s="196"/>
      <c r="T21" s="196"/>
      <c r="U21" s="196"/>
      <c r="V21" s="196"/>
      <c r="W21" s="196"/>
      <c r="X21" s="196"/>
      <c r="Y21" s="196"/>
    </row>
    <row r="22" spans="1:25" ht="19.5" customHeight="1" x14ac:dyDescent="0.25">
      <c r="A22" s="230" t="s">
        <v>670</v>
      </c>
      <c r="B22" s="196"/>
      <c r="C22" s="210"/>
      <c r="D22" s="210"/>
      <c r="E22" s="196"/>
      <c r="F22" s="196"/>
      <c r="G22" s="196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6"/>
      <c r="W22" s="196"/>
      <c r="X22" s="196"/>
      <c r="Y22" s="196"/>
    </row>
    <row r="23" spans="1:25" ht="19.5" customHeight="1" x14ac:dyDescent="0.25">
      <c r="A23" s="231" t="s">
        <v>706</v>
      </c>
      <c r="B23" s="196"/>
      <c r="C23" s="210"/>
      <c r="D23" s="210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6"/>
      <c r="W23" s="196"/>
      <c r="X23" s="196"/>
      <c r="Y23" s="196"/>
    </row>
    <row r="24" spans="1:25" ht="19.5" customHeight="1" x14ac:dyDescent="0.25">
      <c r="A24" s="232" t="s">
        <v>671</v>
      </c>
      <c r="B24" s="196"/>
      <c r="C24" s="210"/>
      <c r="D24" s="210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96"/>
    </row>
    <row r="25" spans="1:25" ht="19.5" customHeight="1" x14ac:dyDescent="0.25">
      <c r="A25" s="232" t="s">
        <v>672</v>
      </c>
      <c r="B25" s="196"/>
      <c r="C25" s="210"/>
      <c r="D25" s="210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196"/>
      <c r="S25" s="196"/>
      <c r="T25" s="196"/>
      <c r="U25" s="196"/>
      <c r="V25" s="196"/>
      <c r="W25" s="196"/>
      <c r="X25" s="196"/>
      <c r="Y25" s="196"/>
    </row>
    <row r="26" spans="1:25" ht="19.5" customHeight="1" x14ac:dyDescent="0.25">
      <c r="A26" s="232" t="s">
        <v>673</v>
      </c>
      <c r="B26" s="196"/>
      <c r="C26" s="210"/>
      <c r="D26" s="210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</row>
    <row r="27" spans="1:25" ht="19.5" customHeight="1" x14ac:dyDescent="0.25">
      <c r="A27" s="231" t="s">
        <v>707</v>
      </c>
      <c r="B27" s="196"/>
      <c r="C27" s="210"/>
      <c r="D27" s="210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</row>
    <row r="28" spans="1:25" ht="19.5" customHeight="1" x14ac:dyDescent="0.25">
      <c r="A28" s="232" t="s">
        <v>674</v>
      </c>
      <c r="B28" s="196"/>
      <c r="C28" s="210"/>
      <c r="D28" s="210"/>
      <c r="E28" s="196"/>
      <c r="F28" s="196"/>
      <c r="G28" s="196"/>
      <c r="H28" s="196"/>
      <c r="I28" s="196"/>
      <c r="J28" s="196"/>
      <c r="K28" s="196"/>
      <c r="L28" s="196"/>
      <c r="M28" s="196"/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</row>
    <row r="29" spans="1:25" ht="19.5" customHeight="1" x14ac:dyDescent="0.25">
      <c r="A29" s="232" t="s">
        <v>675</v>
      </c>
      <c r="B29" s="196"/>
      <c r="C29" s="210"/>
      <c r="D29" s="210"/>
      <c r="E29" s="196"/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</row>
    <row r="30" spans="1:25" ht="19.5" customHeight="1" x14ac:dyDescent="0.25">
      <c r="A30" s="232" t="s">
        <v>676</v>
      </c>
      <c r="B30" s="196"/>
      <c r="C30" s="210"/>
      <c r="D30" s="210"/>
      <c r="E30" s="196"/>
      <c r="F30" s="196"/>
      <c r="G30" s="196"/>
      <c r="H30" s="196"/>
      <c r="I30" s="196"/>
      <c r="J30" s="196"/>
      <c r="K30" s="196"/>
      <c r="L30" s="196"/>
      <c r="M30" s="196"/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196"/>
      <c r="Y30" s="196"/>
    </row>
    <row r="31" spans="1:25" ht="19.5" customHeight="1" x14ac:dyDescent="0.25">
      <c r="A31" s="232" t="s">
        <v>677</v>
      </c>
      <c r="B31" s="196"/>
      <c r="C31" s="210"/>
      <c r="D31" s="210"/>
      <c r="E31" s="196"/>
      <c r="F31" s="196"/>
      <c r="G31" s="196"/>
      <c r="H31" s="196"/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Y31" s="196"/>
    </row>
    <row r="32" spans="1:25" ht="19.5" customHeight="1" x14ac:dyDescent="0.25">
      <c r="A32" s="232" t="s">
        <v>276</v>
      </c>
      <c r="B32" s="196"/>
      <c r="C32" s="210"/>
      <c r="D32" s="210"/>
      <c r="E32" s="196"/>
      <c r="F32" s="196"/>
      <c r="G32" s="196"/>
      <c r="H32" s="196"/>
      <c r="I32" s="196"/>
      <c r="J32" s="196"/>
      <c r="K32" s="196"/>
      <c r="L32" s="196"/>
      <c r="M32" s="196"/>
      <c r="N32" s="196"/>
      <c r="O32" s="196"/>
      <c r="P32" s="196"/>
      <c r="Q32" s="196"/>
      <c r="R32" s="196"/>
      <c r="S32" s="196"/>
      <c r="T32" s="196"/>
      <c r="U32" s="196"/>
      <c r="V32" s="196"/>
      <c r="W32" s="196"/>
      <c r="X32" s="196"/>
      <c r="Y32" s="196"/>
    </row>
    <row r="33" spans="1:25" ht="19.5" customHeight="1" x14ac:dyDescent="0.25">
      <c r="A33" s="231" t="s">
        <v>708</v>
      </c>
      <c r="B33" s="196"/>
      <c r="C33" s="210"/>
      <c r="D33" s="210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6"/>
    </row>
    <row r="34" spans="1:25" ht="19.5" customHeight="1" x14ac:dyDescent="0.25">
      <c r="A34" s="232" t="s">
        <v>678</v>
      </c>
      <c r="B34" s="196"/>
      <c r="C34" s="210"/>
      <c r="D34" s="210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96"/>
      <c r="R34" s="196"/>
      <c r="S34" s="196"/>
      <c r="T34" s="196"/>
      <c r="U34" s="196"/>
      <c r="V34" s="196"/>
      <c r="W34" s="196"/>
      <c r="X34" s="196"/>
      <c r="Y34" s="196"/>
    </row>
    <row r="35" spans="1:25" ht="19.5" customHeight="1" x14ac:dyDescent="0.25">
      <c r="A35" s="232" t="s">
        <v>679</v>
      </c>
      <c r="B35" s="196"/>
      <c r="C35" s="210"/>
      <c r="D35" s="210"/>
      <c r="E35" s="196"/>
      <c r="F35" s="196"/>
      <c r="G35" s="196"/>
      <c r="H35" s="196"/>
      <c r="I35" s="196"/>
      <c r="J35" s="196"/>
      <c r="K35" s="196"/>
      <c r="L35" s="196"/>
      <c r="M35" s="196"/>
      <c r="N35" s="196"/>
      <c r="O35" s="196"/>
      <c r="P35" s="196"/>
      <c r="Q35" s="196"/>
      <c r="R35" s="196"/>
      <c r="S35" s="196"/>
      <c r="T35" s="196"/>
      <c r="U35" s="196"/>
      <c r="V35" s="196"/>
      <c r="W35" s="196"/>
      <c r="X35" s="196"/>
      <c r="Y35" s="196"/>
    </row>
    <row r="36" spans="1:25" ht="19.5" customHeight="1" x14ac:dyDescent="0.25">
      <c r="A36" s="232" t="s">
        <v>680</v>
      </c>
      <c r="B36" s="196"/>
      <c r="C36" s="210"/>
      <c r="D36" s="210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</row>
    <row r="37" spans="1:25" ht="19.5" customHeight="1" x14ac:dyDescent="0.25">
      <c r="A37" s="232" t="s">
        <v>681</v>
      </c>
      <c r="B37" s="196"/>
      <c r="C37" s="210"/>
      <c r="D37" s="210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</row>
    <row r="38" spans="1:25" ht="19.5" customHeight="1" x14ac:dyDescent="0.25">
      <c r="A38" s="232" t="s">
        <v>682</v>
      </c>
      <c r="B38" s="196"/>
      <c r="C38" s="210"/>
      <c r="D38" s="210"/>
      <c r="E38" s="196"/>
      <c r="F38" s="196"/>
      <c r="G38" s="196"/>
      <c r="H38" s="196"/>
      <c r="I38" s="196"/>
      <c r="J38" s="196"/>
      <c r="K38" s="196"/>
      <c r="L38" s="196"/>
      <c r="M38" s="196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</row>
    <row r="39" spans="1:25" ht="19.5" customHeight="1" x14ac:dyDescent="0.25">
      <c r="A39" s="231" t="s">
        <v>709</v>
      </c>
      <c r="B39" s="196"/>
      <c r="C39" s="210"/>
      <c r="D39" s="210"/>
      <c r="E39" s="196"/>
      <c r="F39" s="196"/>
      <c r="G39" s="196"/>
      <c r="H39" s="196"/>
      <c r="I39" s="196"/>
      <c r="J39" s="196"/>
      <c r="K39" s="196"/>
      <c r="L39" s="196"/>
      <c r="M39" s="196"/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96"/>
    </row>
    <row r="40" spans="1:25" ht="19.5" customHeight="1" x14ac:dyDescent="0.25">
      <c r="A40" s="232" t="s">
        <v>683</v>
      </c>
      <c r="B40" s="196"/>
      <c r="C40" s="210"/>
      <c r="D40" s="210"/>
      <c r="E40" s="196"/>
      <c r="F40" s="196"/>
      <c r="G40" s="196"/>
      <c r="H40" s="196"/>
      <c r="I40" s="196"/>
      <c r="J40" s="196"/>
      <c r="K40" s="196"/>
      <c r="L40" s="196"/>
      <c r="M40" s="196"/>
      <c r="N40" s="196"/>
      <c r="O40" s="196"/>
      <c r="P40" s="196"/>
      <c r="Q40" s="196"/>
      <c r="R40" s="196"/>
      <c r="S40" s="196"/>
      <c r="T40" s="196"/>
      <c r="U40" s="196"/>
      <c r="V40" s="196"/>
      <c r="W40" s="196"/>
      <c r="X40" s="196"/>
      <c r="Y40" s="196"/>
    </row>
    <row r="41" spans="1:25" ht="19.5" customHeight="1" x14ac:dyDescent="0.25">
      <c r="A41" s="232" t="s">
        <v>684</v>
      </c>
      <c r="B41" s="196"/>
      <c r="C41" s="210"/>
      <c r="D41" s="210"/>
      <c r="E41" s="196"/>
      <c r="F41" s="196"/>
      <c r="G41" s="196"/>
      <c r="H41" s="196"/>
      <c r="I41" s="196"/>
      <c r="J41" s="196"/>
      <c r="K41" s="196"/>
      <c r="L41" s="196"/>
      <c r="M41" s="196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</row>
    <row r="42" spans="1:25" ht="19.5" customHeight="1" x14ac:dyDescent="0.25">
      <c r="A42" s="232" t="s">
        <v>685</v>
      </c>
      <c r="B42" s="196"/>
      <c r="C42" s="210"/>
      <c r="D42" s="210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</row>
    <row r="43" spans="1:25" ht="19.5" customHeight="1" x14ac:dyDescent="0.25">
      <c r="A43" s="232" t="s">
        <v>686</v>
      </c>
      <c r="B43" s="196"/>
      <c r="C43" s="210"/>
      <c r="D43" s="210"/>
      <c r="E43" s="196"/>
      <c r="F43" s="196"/>
      <c r="G43" s="196"/>
      <c r="H43" s="196"/>
      <c r="I43" s="196"/>
      <c r="J43" s="196"/>
      <c r="K43" s="196"/>
      <c r="L43" s="196"/>
      <c r="M43" s="196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</row>
    <row r="44" spans="1:25" ht="19.5" customHeight="1" x14ac:dyDescent="0.25">
      <c r="A44" s="231" t="s">
        <v>710</v>
      </c>
      <c r="B44" s="196"/>
      <c r="C44" s="210"/>
      <c r="D44" s="210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</row>
    <row r="45" spans="1:25" ht="19.5" customHeight="1" x14ac:dyDescent="0.25">
      <c r="A45" s="232" t="s">
        <v>687</v>
      </c>
      <c r="B45" s="196"/>
      <c r="C45" s="210"/>
      <c r="D45" s="210"/>
      <c r="E45" s="196"/>
      <c r="F45" s="196"/>
      <c r="G45" s="196"/>
      <c r="H45" s="196"/>
      <c r="I45" s="196"/>
      <c r="J45" s="196"/>
      <c r="K45" s="196"/>
      <c r="L45" s="196"/>
      <c r="M45" s="196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</row>
    <row r="46" spans="1:25" ht="19.5" customHeight="1" x14ac:dyDescent="0.25">
      <c r="A46" s="232" t="s">
        <v>688</v>
      </c>
      <c r="B46" s="196"/>
      <c r="C46" s="210"/>
      <c r="D46" s="210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</row>
    <row r="47" spans="1:25" ht="19.5" customHeight="1" x14ac:dyDescent="0.25">
      <c r="A47" s="232" t="s">
        <v>689</v>
      </c>
      <c r="B47" s="196"/>
      <c r="C47" s="210"/>
      <c r="D47" s="210"/>
      <c r="E47" s="196"/>
      <c r="F47" s="196"/>
      <c r="G47" s="196"/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</row>
    <row r="48" spans="1:25" ht="19.5" customHeight="1" x14ac:dyDescent="0.25">
      <c r="A48" s="232" t="s">
        <v>690</v>
      </c>
      <c r="B48" s="196"/>
      <c r="C48" s="210"/>
      <c r="D48" s="210"/>
      <c r="E48" s="196"/>
      <c r="F48" s="196"/>
      <c r="G48" s="196"/>
      <c r="H48" s="196"/>
      <c r="I48" s="196"/>
      <c r="J48" s="196"/>
      <c r="K48" s="196"/>
      <c r="L48" s="196"/>
      <c r="M48" s="196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</row>
    <row r="49" spans="1:25" ht="19.5" customHeight="1" x14ac:dyDescent="0.25">
      <c r="A49" s="232" t="s">
        <v>691</v>
      </c>
      <c r="B49" s="196"/>
      <c r="C49" s="210"/>
      <c r="D49" s="210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</row>
    <row r="50" spans="1:25" ht="19.5" customHeight="1" x14ac:dyDescent="0.25">
      <c r="A50" s="231" t="s">
        <v>711</v>
      </c>
      <c r="B50" s="196"/>
      <c r="C50" s="210"/>
      <c r="D50" s="210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</row>
    <row r="51" spans="1:25" ht="19.5" customHeight="1" x14ac:dyDescent="0.25">
      <c r="A51" s="232" t="s">
        <v>692</v>
      </c>
      <c r="B51" s="196"/>
      <c r="C51" s="210"/>
      <c r="D51" s="210"/>
      <c r="E51" s="196"/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</row>
    <row r="52" spans="1:25" ht="19.5" customHeight="1" x14ac:dyDescent="0.25">
      <c r="A52" s="232" t="s">
        <v>693</v>
      </c>
      <c r="B52" s="196"/>
      <c r="C52" s="210"/>
      <c r="D52" s="210"/>
      <c r="E52" s="196"/>
      <c r="F52" s="196"/>
      <c r="G52" s="196"/>
      <c r="H52" s="196"/>
      <c r="I52" s="196"/>
      <c r="J52" s="196"/>
      <c r="K52" s="196"/>
      <c r="L52" s="196"/>
      <c r="M52" s="196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96"/>
    </row>
    <row r="53" spans="1:25" ht="19.5" customHeight="1" x14ac:dyDescent="0.25">
      <c r="A53" s="232" t="s">
        <v>694</v>
      </c>
      <c r="B53" s="196"/>
      <c r="C53" s="210"/>
      <c r="D53" s="210"/>
      <c r="E53" s="196"/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</row>
    <row r="54" spans="1:25" ht="19.5" customHeight="1" x14ac:dyDescent="0.25">
      <c r="A54" s="232" t="s">
        <v>695</v>
      </c>
      <c r="B54" s="196"/>
      <c r="C54" s="210"/>
      <c r="D54" s="210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</row>
    <row r="55" spans="1:25" ht="19.5" customHeight="1" x14ac:dyDescent="0.25">
      <c r="A55" s="232" t="s">
        <v>696</v>
      </c>
      <c r="B55" s="196"/>
      <c r="C55" s="210"/>
      <c r="D55" s="210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</row>
    <row r="56" spans="1:25" ht="19.5" customHeight="1" x14ac:dyDescent="0.25">
      <c r="A56" s="231" t="s">
        <v>712</v>
      </c>
      <c r="B56" s="196"/>
      <c r="C56" s="210"/>
      <c r="D56" s="210"/>
      <c r="E56" s="196"/>
      <c r="F56" s="196"/>
      <c r="G56" s="196"/>
      <c r="H56" s="196"/>
      <c r="I56" s="196"/>
      <c r="J56" s="196"/>
      <c r="K56" s="196"/>
      <c r="L56" s="196"/>
      <c r="M56" s="196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</row>
    <row r="57" spans="1:25" ht="19.5" customHeight="1" x14ac:dyDescent="0.25">
      <c r="A57" s="232" t="s">
        <v>697</v>
      </c>
      <c r="B57" s="196"/>
      <c r="C57" s="210"/>
      <c r="D57" s="210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</row>
    <row r="58" spans="1:25" ht="19.5" customHeight="1" x14ac:dyDescent="0.25">
      <c r="A58" s="232" t="s">
        <v>698</v>
      </c>
      <c r="B58" s="196"/>
      <c r="C58" s="210"/>
      <c r="D58" s="210"/>
      <c r="E58" s="196"/>
      <c r="F58" s="196"/>
      <c r="G58" s="196"/>
      <c r="H58" s="196"/>
      <c r="I58" s="196"/>
      <c r="J58" s="196"/>
      <c r="K58" s="196"/>
      <c r="L58" s="196"/>
      <c r="M58" s="196"/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</row>
    <row r="59" spans="1:25" ht="19.5" customHeight="1" x14ac:dyDescent="0.25">
      <c r="A59" s="232" t="s">
        <v>699</v>
      </c>
      <c r="B59" s="196"/>
      <c r="C59" s="210"/>
      <c r="D59" s="210"/>
      <c r="E59" s="196"/>
      <c r="F59" s="196"/>
      <c r="G59" s="196"/>
      <c r="H59" s="196"/>
      <c r="I59" s="196"/>
      <c r="J59" s="196"/>
      <c r="K59" s="196"/>
      <c r="L59" s="196"/>
      <c r="M59" s="196"/>
      <c r="N59" s="196"/>
      <c r="O59" s="196"/>
      <c r="P59" s="196"/>
      <c r="Q59" s="196"/>
      <c r="R59" s="196"/>
      <c r="S59" s="196"/>
      <c r="T59" s="196"/>
      <c r="U59" s="196"/>
      <c r="V59" s="196"/>
      <c r="W59" s="196"/>
      <c r="X59" s="196"/>
      <c r="Y59" s="196"/>
    </row>
    <row r="60" spans="1:25" ht="19.5" customHeight="1" x14ac:dyDescent="0.25">
      <c r="A60" s="232" t="s">
        <v>700</v>
      </c>
      <c r="B60" s="196"/>
      <c r="C60" s="210"/>
      <c r="D60" s="210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96"/>
    </row>
    <row r="61" spans="1:25" ht="19.5" customHeight="1" x14ac:dyDescent="0.25">
      <c r="A61" s="231" t="s">
        <v>94</v>
      </c>
      <c r="B61" s="196"/>
      <c r="C61" s="210"/>
      <c r="D61" s="210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</row>
    <row r="62" spans="1:25" ht="19.5" customHeight="1" x14ac:dyDescent="0.25">
      <c r="A62" s="232" t="s">
        <v>701</v>
      </c>
      <c r="B62" s="196"/>
      <c r="C62" s="210"/>
      <c r="D62" s="210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</row>
    <row r="63" spans="1:25" ht="19.5" customHeight="1" x14ac:dyDescent="0.25">
      <c r="A63" s="232" t="s">
        <v>702</v>
      </c>
      <c r="B63" s="196"/>
      <c r="C63" s="210"/>
      <c r="D63" s="210"/>
      <c r="E63" s="196"/>
      <c r="F63" s="196"/>
      <c r="G63" s="196"/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</row>
    <row r="64" spans="1:25" ht="19.5" customHeight="1" x14ac:dyDescent="0.25">
      <c r="A64" s="231" t="s">
        <v>713</v>
      </c>
      <c r="B64" s="196"/>
      <c r="C64" s="210"/>
      <c r="D64" s="210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</row>
    <row r="65" spans="1:25" ht="19.5" customHeight="1" x14ac:dyDescent="0.25">
      <c r="A65" s="232" t="s">
        <v>703</v>
      </c>
      <c r="B65" s="196"/>
      <c r="C65" s="210"/>
      <c r="D65" s="210"/>
      <c r="E65" s="196"/>
      <c r="F65" s="196"/>
      <c r="G65" s="196"/>
      <c r="H65" s="196"/>
      <c r="I65" s="196"/>
      <c r="J65" s="196"/>
      <c r="K65" s="196"/>
      <c r="L65" s="196"/>
      <c r="M65" s="196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</row>
    <row r="66" spans="1:25" ht="19.5" customHeight="1" x14ac:dyDescent="0.25">
      <c r="A66" s="232" t="s">
        <v>704</v>
      </c>
      <c r="B66" s="196"/>
      <c r="C66" s="210"/>
      <c r="D66" s="210"/>
      <c r="E66" s="196"/>
      <c r="F66" s="196"/>
      <c r="G66" s="196"/>
      <c r="H66" s="196"/>
      <c r="I66" s="196"/>
      <c r="J66" s="196"/>
      <c r="K66" s="196"/>
      <c r="L66" s="196"/>
      <c r="M66" s="196"/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6"/>
    </row>
    <row r="67" spans="1:25" ht="19.5" customHeight="1" x14ac:dyDescent="0.25">
      <c r="A67" s="232" t="s">
        <v>705</v>
      </c>
      <c r="B67" s="196"/>
      <c r="C67" s="210"/>
      <c r="D67" s="210"/>
      <c r="E67" s="196"/>
      <c r="F67" s="196"/>
      <c r="G67" s="196"/>
      <c r="H67" s="196"/>
      <c r="I67" s="196"/>
      <c r="J67" s="196"/>
      <c r="K67" s="196"/>
      <c r="L67" s="196"/>
      <c r="M67" s="196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</row>
    <row r="68" spans="1:25" ht="19.5" customHeight="1" x14ac:dyDescent="0.25">
      <c r="A68" s="196"/>
      <c r="B68" s="196"/>
      <c r="C68" s="210"/>
      <c r="D68" s="210"/>
      <c r="E68" s="196"/>
      <c r="F68" s="196"/>
      <c r="G68" s="196"/>
      <c r="H68" s="196"/>
      <c r="I68" s="196"/>
      <c r="J68" s="196"/>
      <c r="K68" s="196"/>
      <c r="L68" s="196"/>
      <c r="M68" s="196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</row>
    <row r="69" spans="1:25" ht="19.5" customHeight="1" x14ac:dyDescent="0.25">
      <c r="A69" s="196"/>
      <c r="B69" s="196"/>
      <c r="C69" s="210"/>
      <c r="D69" s="210"/>
      <c r="E69" s="196"/>
      <c r="F69" s="196"/>
      <c r="G69" s="196"/>
      <c r="H69" s="196"/>
      <c r="I69" s="196"/>
      <c r="J69" s="196"/>
      <c r="K69" s="196"/>
      <c r="L69" s="196"/>
      <c r="M69" s="196"/>
      <c r="N69" s="196"/>
      <c r="O69" s="196"/>
      <c r="P69" s="196"/>
      <c r="Q69" s="196"/>
      <c r="R69" s="196"/>
      <c r="S69" s="196"/>
      <c r="T69" s="196"/>
      <c r="U69" s="196"/>
      <c r="V69" s="196"/>
      <c r="W69" s="196"/>
      <c r="X69" s="196"/>
      <c r="Y69" s="196"/>
    </row>
    <row r="70" spans="1:25" ht="19.5" customHeight="1" x14ac:dyDescent="0.25">
      <c r="A70" s="196"/>
      <c r="B70" s="196"/>
      <c r="C70" s="210"/>
      <c r="D70" s="210"/>
      <c r="E70" s="196"/>
      <c r="F70" s="196"/>
      <c r="G70" s="196"/>
      <c r="H70" s="196"/>
      <c r="I70" s="196"/>
      <c r="J70" s="196"/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</row>
    <row r="71" spans="1:25" ht="19.5" customHeight="1" x14ac:dyDescent="0.25">
      <c r="A71" s="196"/>
      <c r="B71" s="196"/>
      <c r="C71" s="210"/>
      <c r="D71" s="210"/>
      <c r="E71" s="196"/>
      <c r="F71" s="196"/>
      <c r="G71" s="196"/>
      <c r="H71" s="196"/>
      <c r="I71" s="196"/>
      <c r="J71" s="196"/>
      <c r="K71" s="196"/>
      <c r="L71" s="196"/>
      <c r="M71" s="196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</row>
    <row r="72" spans="1:25" ht="19.5" customHeight="1" x14ac:dyDescent="0.25">
      <c r="A72" s="196"/>
      <c r="B72" s="196"/>
      <c r="C72" s="210"/>
      <c r="D72" s="210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</row>
    <row r="73" spans="1:25" ht="19.5" customHeight="1" x14ac:dyDescent="0.25">
      <c r="A73" s="196"/>
      <c r="B73" s="196"/>
      <c r="C73" s="210"/>
      <c r="D73" s="210"/>
      <c r="E73" s="196"/>
      <c r="F73" s="196"/>
      <c r="G73" s="196"/>
      <c r="H73" s="196"/>
      <c r="I73" s="196"/>
      <c r="J73" s="196"/>
      <c r="K73" s="196"/>
      <c r="L73" s="196"/>
      <c r="M73" s="196"/>
      <c r="N73" s="196"/>
      <c r="O73" s="196"/>
      <c r="P73" s="196"/>
      <c r="Q73" s="196"/>
      <c r="R73" s="196"/>
      <c r="S73" s="196"/>
      <c r="T73" s="196"/>
      <c r="U73" s="196"/>
      <c r="V73" s="196"/>
      <c r="W73" s="196"/>
      <c r="X73" s="196"/>
      <c r="Y73" s="196"/>
    </row>
    <row r="74" spans="1:25" ht="19.5" customHeight="1" x14ac:dyDescent="0.25">
      <c r="A74" s="196"/>
      <c r="B74" s="196"/>
      <c r="C74" s="210"/>
      <c r="D74" s="210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</row>
    <row r="75" spans="1:25" ht="19.5" customHeight="1" x14ac:dyDescent="0.25">
      <c r="A75" s="196"/>
      <c r="B75" s="196"/>
      <c r="C75" s="210"/>
      <c r="D75" s="210"/>
      <c r="E75" s="196"/>
      <c r="F75" s="196"/>
      <c r="G75" s="196"/>
      <c r="H75" s="196"/>
      <c r="I75" s="196"/>
      <c r="J75" s="196"/>
      <c r="K75" s="196"/>
      <c r="L75" s="196"/>
      <c r="M75" s="196"/>
      <c r="N75" s="196"/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96"/>
    </row>
    <row r="76" spans="1:25" ht="19.5" customHeight="1" x14ac:dyDescent="0.25">
      <c r="A76" s="196"/>
      <c r="B76" s="196"/>
      <c r="C76" s="210"/>
      <c r="D76" s="210"/>
      <c r="E76" s="196"/>
      <c r="F76" s="196"/>
      <c r="G76" s="196"/>
      <c r="H76" s="196"/>
      <c r="I76" s="196"/>
      <c r="J76" s="196"/>
      <c r="K76" s="196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</row>
    <row r="77" spans="1:25" ht="19.5" customHeight="1" x14ac:dyDescent="0.25">
      <c r="A77" s="196"/>
      <c r="B77" s="196"/>
      <c r="C77" s="210"/>
      <c r="D77" s="210"/>
      <c r="E77" s="196"/>
      <c r="F77" s="196"/>
      <c r="G77" s="196"/>
      <c r="H77" s="196"/>
      <c r="I77" s="196"/>
      <c r="J77" s="196"/>
      <c r="K77" s="196"/>
      <c r="L77" s="196"/>
      <c r="M77" s="196"/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</row>
    <row r="78" spans="1:25" ht="19.5" customHeight="1" x14ac:dyDescent="0.25">
      <c r="A78" s="196"/>
      <c r="B78" s="196"/>
      <c r="C78" s="210"/>
      <c r="D78" s="210"/>
      <c r="E78" s="196"/>
      <c r="F78" s="196"/>
      <c r="G78" s="196"/>
      <c r="H78" s="196"/>
      <c r="I78" s="196"/>
      <c r="J78" s="196"/>
      <c r="K78" s="196"/>
      <c r="L78" s="196"/>
      <c r="M78" s="196"/>
      <c r="N78" s="196"/>
      <c r="O78" s="196"/>
      <c r="P78" s="196"/>
      <c r="Q78" s="196"/>
      <c r="R78" s="196"/>
      <c r="S78" s="196"/>
      <c r="T78" s="196"/>
      <c r="U78" s="196"/>
      <c r="V78" s="196"/>
      <c r="W78" s="196"/>
      <c r="X78" s="196"/>
      <c r="Y78" s="196"/>
    </row>
    <row r="79" spans="1:25" ht="19.5" customHeight="1" x14ac:dyDescent="0.25">
      <c r="A79" s="196"/>
      <c r="B79" s="196"/>
      <c r="C79" s="210"/>
      <c r="D79" s="210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</row>
    <row r="80" spans="1:25" ht="19.5" customHeight="1" x14ac:dyDescent="0.25">
      <c r="A80" s="196"/>
      <c r="B80" s="196"/>
      <c r="C80" s="210"/>
      <c r="D80" s="210"/>
      <c r="E80" s="196"/>
      <c r="F80" s="196"/>
      <c r="G80" s="196"/>
      <c r="H80" s="196"/>
      <c r="I80" s="196"/>
      <c r="J80" s="196"/>
      <c r="K80" s="196"/>
      <c r="L80" s="196"/>
      <c r="M80" s="196"/>
      <c r="N80" s="196"/>
      <c r="O80" s="196"/>
      <c r="P80" s="196"/>
      <c r="Q80" s="196"/>
      <c r="R80" s="196"/>
      <c r="S80" s="196"/>
      <c r="T80" s="196"/>
      <c r="U80" s="196"/>
      <c r="V80" s="196"/>
      <c r="W80" s="196"/>
      <c r="X80" s="196"/>
      <c r="Y80" s="196"/>
    </row>
    <row r="81" spans="1:25" ht="19.5" customHeight="1" x14ac:dyDescent="0.25">
      <c r="A81" s="196"/>
      <c r="B81" s="196"/>
      <c r="C81" s="210"/>
      <c r="D81" s="210"/>
      <c r="E81" s="196"/>
      <c r="F81" s="196"/>
      <c r="G81" s="196"/>
      <c r="H81" s="196"/>
      <c r="I81" s="196"/>
      <c r="J81" s="196"/>
      <c r="K81" s="196"/>
      <c r="L81" s="196"/>
      <c r="M81" s="196"/>
      <c r="N81" s="196"/>
      <c r="O81" s="196"/>
      <c r="P81" s="196"/>
      <c r="Q81" s="196"/>
      <c r="R81" s="196"/>
      <c r="S81" s="196"/>
      <c r="T81" s="196"/>
      <c r="U81" s="196"/>
      <c r="V81" s="196"/>
      <c r="W81" s="196"/>
      <c r="X81" s="196"/>
      <c r="Y81" s="196"/>
    </row>
    <row r="82" spans="1:25" ht="19.5" customHeight="1" x14ac:dyDescent="0.25">
      <c r="A82" s="196"/>
      <c r="B82" s="196"/>
      <c r="C82" s="210"/>
      <c r="D82" s="210"/>
      <c r="E82" s="196"/>
      <c r="F82" s="196"/>
      <c r="G82" s="196"/>
      <c r="H82" s="196"/>
      <c r="I82" s="196"/>
      <c r="J82" s="196"/>
      <c r="K82" s="196"/>
      <c r="L82" s="196"/>
      <c r="M82" s="196"/>
      <c r="N82" s="196"/>
      <c r="O82" s="196"/>
      <c r="P82" s="196"/>
      <c r="Q82" s="196"/>
      <c r="R82" s="196"/>
      <c r="S82" s="196"/>
      <c r="T82" s="196"/>
      <c r="U82" s="196"/>
      <c r="V82" s="196"/>
      <c r="W82" s="196"/>
      <c r="X82" s="196"/>
      <c r="Y82" s="196"/>
    </row>
    <row r="83" spans="1:25" ht="19.5" customHeight="1" x14ac:dyDescent="0.25">
      <c r="A83" s="196"/>
      <c r="B83" s="196"/>
      <c r="C83" s="210"/>
      <c r="D83" s="210"/>
      <c r="E83" s="196"/>
      <c r="F83" s="196"/>
      <c r="G83" s="196"/>
      <c r="H83" s="196"/>
      <c r="I83" s="196"/>
      <c r="J83" s="196"/>
      <c r="K83" s="196"/>
      <c r="L83" s="196"/>
      <c r="M83" s="196"/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96"/>
    </row>
    <row r="84" spans="1:25" ht="19.5" customHeight="1" x14ac:dyDescent="0.25">
      <c r="A84" s="196"/>
      <c r="B84" s="196"/>
      <c r="C84" s="210"/>
      <c r="D84" s="210"/>
      <c r="E84" s="196"/>
      <c r="F84" s="196"/>
      <c r="G84" s="196"/>
      <c r="H84" s="196"/>
      <c r="I84" s="196"/>
      <c r="J84" s="196"/>
      <c r="K84" s="196"/>
      <c r="L84" s="196"/>
      <c r="M84" s="196"/>
      <c r="N84" s="196"/>
      <c r="O84" s="196"/>
      <c r="P84" s="196"/>
      <c r="Q84" s="196"/>
      <c r="R84" s="196"/>
      <c r="S84" s="196"/>
      <c r="T84" s="196"/>
      <c r="U84" s="196"/>
      <c r="V84" s="196"/>
      <c r="W84" s="196"/>
      <c r="X84" s="196"/>
      <c r="Y84" s="196"/>
    </row>
    <row r="85" spans="1:25" ht="19.5" customHeight="1" x14ac:dyDescent="0.25">
      <c r="A85" s="196"/>
      <c r="B85" s="196"/>
      <c r="C85" s="210"/>
      <c r="D85" s="210"/>
      <c r="E85" s="196"/>
      <c r="F85" s="196"/>
      <c r="G85" s="196"/>
      <c r="H85" s="196"/>
      <c r="I85" s="196"/>
      <c r="J85" s="196"/>
      <c r="K85" s="196"/>
      <c r="L85" s="196"/>
      <c r="M85" s="196"/>
      <c r="N85" s="196"/>
      <c r="O85" s="196"/>
      <c r="P85" s="196"/>
      <c r="Q85" s="196"/>
      <c r="R85" s="196"/>
      <c r="S85" s="196"/>
      <c r="T85" s="196"/>
      <c r="U85" s="196"/>
      <c r="V85" s="196"/>
      <c r="W85" s="196"/>
      <c r="X85" s="196"/>
      <c r="Y85" s="196"/>
    </row>
    <row r="86" spans="1:25" ht="19.5" customHeight="1" x14ac:dyDescent="0.25">
      <c r="A86" s="196"/>
      <c r="B86" s="196"/>
      <c r="C86" s="210"/>
      <c r="D86" s="210"/>
      <c r="E86" s="196"/>
      <c r="F86" s="196"/>
      <c r="G86" s="196"/>
      <c r="H86" s="196"/>
      <c r="I86" s="196"/>
      <c r="J86" s="196"/>
      <c r="K86" s="196"/>
      <c r="L86" s="196"/>
      <c r="M86" s="196"/>
      <c r="N86" s="196"/>
      <c r="O86" s="196"/>
      <c r="P86" s="196"/>
      <c r="Q86" s="196"/>
      <c r="R86" s="196"/>
      <c r="S86" s="196"/>
      <c r="T86" s="196"/>
      <c r="U86" s="196"/>
      <c r="V86" s="196"/>
      <c r="W86" s="196"/>
      <c r="X86" s="196"/>
      <c r="Y86" s="196"/>
    </row>
    <row r="87" spans="1:25" ht="19.5" customHeight="1" x14ac:dyDescent="0.25">
      <c r="A87" s="196"/>
      <c r="B87" s="196"/>
      <c r="C87" s="210"/>
      <c r="D87" s="210"/>
      <c r="E87" s="196"/>
      <c r="F87" s="196"/>
      <c r="G87" s="196"/>
      <c r="H87" s="196"/>
      <c r="I87" s="196"/>
      <c r="J87" s="196"/>
      <c r="K87" s="196"/>
      <c r="L87" s="196"/>
      <c r="M87" s="196"/>
      <c r="N87" s="196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96"/>
    </row>
    <row r="88" spans="1:25" ht="19.5" customHeight="1" x14ac:dyDescent="0.25">
      <c r="A88" s="196"/>
      <c r="B88" s="196"/>
      <c r="C88" s="210"/>
      <c r="D88" s="210"/>
      <c r="E88" s="196"/>
      <c r="F88" s="196"/>
      <c r="G88" s="196"/>
      <c r="H88" s="196"/>
      <c r="I88" s="196"/>
      <c r="J88" s="196"/>
      <c r="K88" s="196"/>
      <c r="L88" s="196"/>
      <c r="M88" s="196"/>
      <c r="N88" s="196"/>
      <c r="O88" s="196"/>
      <c r="P88" s="196"/>
      <c r="Q88" s="196"/>
      <c r="R88" s="196"/>
      <c r="S88" s="196"/>
      <c r="T88" s="196"/>
      <c r="U88" s="196"/>
      <c r="V88" s="196"/>
      <c r="W88" s="196"/>
      <c r="X88" s="196"/>
      <c r="Y88" s="196"/>
    </row>
    <row r="89" spans="1:25" ht="19.5" customHeight="1" x14ac:dyDescent="0.25">
      <c r="A89" s="196"/>
      <c r="B89" s="196"/>
      <c r="C89" s="210"/>
      <c r="D89" s="210"/>
      <c r="E89" s="196"/>
      <c r="F89" s="196"/>
      <c r="G89" s="196"/>
      <c r="H89" s="196"/>
      <c r="I89" s="196"/>
      <c r="J89" s="196"/>
      <c r="K89" s="196"/>
      <c r="L89" s="196"/>
      <c r="M89" s="196"/>
      <c r="N89" s="196"/>
      <c r="O89" s="196"/>
      <c r="P89" s="196"/>
      <c r="Q89" s="196"/>
      <c r="R89" s="196"/>
      <c r="S89" s="196"/>
      <c r="T89" s="196"/>
      <c r="U89" s="196"/>
      <c r="V89" s="196"/>
      <c r="W89" s="196"/>
      <c r="X89" s="196"/>
      <c r="Y89" s="196"/>
    </row>
    <row r="90" spans="1:25" ht="19.5" customHeight="1" x14ac:dyDescent="0.25">
      <c r="A90" s="196"/>
      <c r="B90" s="196"/>
      <c r="C90" s="210"/>
      <c r="D90" s="210"/>
      <c r="E90" s="196"/>
      <c r="F90" s="196"/>
      <c r="G90" s="196"/>
      <c r="H90" s="196"/>
      <c r="I90" s="196"/>
      <c r="J90" s="196"/>
      <c r="K90" s="196"/>
      <c r="L90" s="196"/>
      <c r="M90" s="196"/>
      <c r="N90" s="196"/>
      <c r="O90" s="196"/>
      <c r="P90" s="196"/>
      <c r="Q90" s="196"/>
      <c r="R90" s="196"/>
      <c r="S90" s="196"/>
      <c r="T90" s="196"/>
      <c r="U90" s="196"/>
      <c r="V90" s="196"/>
      <c r="W90" s="196"/>
      <c r="X90" s="196"/>
      <c r="Y90" s="196"/>
    </row>
    <row r="91" spans="1:25" ht="19.5" customHeight="1" x14ac:dyDescent="0.25">
      <c r="A91" s="196"/>
      <c r="B91" s="196"/>
      <c r="C91" s="210"/>
      <c r="D91" s="210"/>
      <c r="E91" s="196"/>
      <c r="F91" s="196"/>
      <c r="G91" s="196"/>
      <c r="H91" s="196"/>
      <c r="I91" s="196"/>
      <c r="J91" s="196"/>
      <c r="K91" s="196"/>
      <c r="L91" s="196"/>
      <c r="M91" s="196"/>
      <c r="N91" s="196"/>
      <c r="O91" s="196"/>
      <c r="P91" s="196"/>
      <c r="Q91" s="196"/>
      <c r="R91" s="196"/>
      <c r="S91" s="196"/>
      <c r="T91" s="196"/>
      <c r="U91" s="196"/>
      <c r="V91" s="196"/>
      <c r="W91" s="196"/>
      <c r="X91" s="196"/>
      <c r="Y91" s="196"/>
    </row>
    <row r="92" spans="1:25" ht="19.5" customHeight="1" x14ac:dyDescent="0.25">
      <c r="A92" s="196"/>
      <c r="B92" s="196"/>
      <c r="C92" s="210"/>
      <c r="D92" s="210"/>
      <c r="E92" s="196"/>
      <c r="F92" s="196"/>
      <c r="G92" s="196"/>
      <c r="H92" s="196"/>
      <c r="I92" s="196"/>
      <c r="J92" s="196"/>
      <c r="K92" s="196"/>
      <c r="L92" s="196"/>
      <c r="M92" s="196"/>
      <c r="N92" s="196"/>
      <c r="O92" s="196"/>
      <c r="P92" s="196"/>
      <c r="Q92" s="196"/>
      <c r="R92" s="196"/>
      <c r="S92" s="196"/>
      <c r="T92" s="196"/>
      <c r="U92" s="196"/>
      <c r="V92" s="196"/>
      <c r="W92" s="196"/>
      <c r="X92" s="196"/>
      <c r="Y92" s="196"/>
    </row>
    <row r="93" spans="1:25" ht="19.5" customHeight="1" x14ac:dyDescent="0.25">
      <c r="A93" s="196"/>
      <c r="B93" s="196"/>
      <c r="C93" s="210"/>
      <c r="D93" s="210"/>
      <c r="E93" s="196"/>
      <c r="F93" s="196"/>
      <c r="G93" s="196"/>
      <c r="H93" s="196"/>
      <c r="I93" s="196"/>
      <c r="J93" s="196"/>
      <c r="K93" s="196"/>
      <c r="L93" s="196"/>
      <c r="M93" s="196"/>
      <c r="N93" s="196"/>
      <c r="O93" s="196"/>
      <c r="P93" s="196"/>
      <c r="Q93" s="196"/>
      <c r="R93" s="196"/>
      <c r="S93" s="196"/>
      <c r="T93" s="196"/>
      <c r="U93" s="196"/>
      <c r="V93" s="196"/>
      <c r="W93" s="196"/>
      <c r="X93" s="196"/>
      <c r="Y93" s="196"/>
    </row>
    <row r="94" spans="1:25" ht="19.5" customHeight="1" x14ac:dyDescent="0.25">
      <c r="A94" s="196"/>
      <c r="B94" s="196"/>
      <c r="C94" s="210"/>
      <c r="D94" s="210"/>
      <c r="E94" s="196"/>
      <c r="F94" s="196"/>
      <c r="G94" s="196"/>
      <c r="H94" s="196"/>
      <c r="I94" s="196"/>
      <c r="J94" s="196"/>
      <c r="K94" s="196"/>
      <c r="L94" s="196"/>
      <c r="M94" s="196"/>
      <c r="N94" s="196"/>
      <c r="O94" s="196"/>
      <c r="P94" s="196"/>
      <c r="Q94" s="196"/>
      <c r="R94" s="196"/>
      <c r="S94" s="196"/>
      <c r="T94" s="196"/>
      <c r="U94" s="196"/>
      <c r="V94" s="196"/>
      <c r="W94" s="196"/>
      <c r="X94" s="196"/>
      <c r="Y94" s="196"/>
    </row>
    <row r="95" spans="1:25" ht="19.5" customHeight="1" x14ac:dyDescent="0.25">
      <c r="A95" s="196"/>
      <c r="B95" s="196"/>
      <c r="C95" s="210"/>
      <c r="D95" s="210"/>
      <c r="E95" s="196"/>
      <c r="F95" s="196"/>
      <c r="G95" s="196"/>
      <c r="H95" s="196"/>
      <c r="I95" s="196"/>
      <c r="J95" s="196"/>
      <c r="K95" s="196"/>
      <c r="L95" s="196"/>
      <c r="M95" s="196"/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6"/>
    </row>
    <row r="96" spans="1:25" ht="19.5" customHeight="1" x14ac:dyDescent="0.25">
      <c r="A96" s="196"/>
      <c r="B96" s="196"/>
      <c r="C96" s="210"/>
      <c r="D96" s="210"/>
      <c r="E96" s="196"/>
      <c r="F96" s="196"/>
      <c r="G96" s="196"/>
      <c r="H96" s="196"/>
      <c r="I96" s="196"/>
      <c r="J96" s="196"/>
      <c r="K96" s="196"/>
      <c r="L96" s="196"/>
      <c r="M96" s="196"/>
      <c r="N96" s="196"/>
      <c r="O96" s="196"/>
      <c r="P96" s="196"/>
      <c r="Q96" s="196"/>
      <c r="R96" s="196"/>
      <c r="S96" s="196"/>
      <c r="T96" s="196"/>
      <c r="U96" s="196"/>
      <c r="V96" s="196"/>
      <c r="W96" s="196"/>
      <c r="X96" s="196"/>
      <c r="Y96" s="196"/>
    </row>
    <row r="97" spans="1:25" ht="19.5" customHeight="1" x14ac:dyDescent="0.25">
      <c r="A97" s="196"/>
      <c r="B97" s="196"/>
      <c r="C97" s="210"/>
      <c r="D97" s="210"/>
      <c r="E97" s="196"/>
      <c r="F97" s="196"/>
      <c r="G97" s="196"/>
      <c r="H97" s="196"/>
      <c r="I97" s="196"/>
      <c r="J97" s="196"/>
      <c r="K97" s="196"/>
      <c r="L97" s="196"/>
      <c r="M97" s="196"/>
      <c r="N97" s="196"/>
      <c r="O97" s="196"/>
      <c r="P97" s="196"/>
      <c r="Q97" s="196"/>
      <c r="R97" s="196"/>
      <c r="S97" s="196"/>
      <c r="T97" s="196"/>
      <c r="U97" s="196"/>
      <c r="V97" s="196"/>
      <c r="W97" s="196"/>
      <c r="X97" s="196"/>
      <c r="Y97" s="196"/>
    </row>
    <row r="98" spans="1:25" ht="19.5" customHeight="1" x14ac:dyDescent="0.25">
      <c r="A98" s="196"/>
      <c r="B98" s="196"/>
      <c r="C98" s="210"/>
      <c r="D98" s="210"/>
      <c r="E98" s="196"/>
      <c r="F98" s="196"/>
      <c r="G98" s="196"/>
      <c r="H98" s="196"/>
      <c r="I98" s="196"/>
      <c r="J98" s="196"/>
      <c r="K98" s="196"/>
      <c r="L98" s="196"/>
      <c r="M98" s="196"/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</row>
    <row r="99" spans="1:25" ht="19.5" customHeight="1" x14ac:dyDescent="0.25">
      <c r="A99" s="196"/>
      <c r="B99" s="196"/>
      <c r="C99" s="210"/>
      <c r="D99" s="210"/>
      <c r="E99" s="196"/>
      <c r="F99" s="196"/>
      <c r="G99" s="196"/>
      <c r="H99" s="196"/>
      <c r="I99" s="196"/>
      <c r="J99" s="196"/>
      <c r="K99" s="196"/>
      <c r="L99" s="196"/>
      <c r="M99" s="196"/>
      <c r="N99" s="196"/>
      <c r="O99" s="196"/>
      <c r="P99" s="196"/>
      <c r="Q99" s="196"/>
      <c r="R99" s="196"/>
      <c r="S99" s="196"/>
      <c r="T99" s="196"/>
      <c r="U99" s="196"/>
      <c r="V99" s="196"/>
      <c r="W99" s="196"/>
      <c r="X99" s="196"/>
      <c r="Y99" s="196"/>
    </row>
    <row r="100" spans="1:25" ht="19.5" customHeight="1" x14ac:dyDescent="0.25">
      <c r="A100" s="196"/>
      <c r="B100" s="196"/>
      <c r="C100" s="210"/>
      <c r="D100" s="210"/>
      <c r="E100" s="196"/>
      <c r="F100" s="196"/>
      <c r="G100" s="196"/>
      <c r="H100" s="196"/>
      <c r="I100" s="196"/>
      <c r="J100" s="196"/>
      <c r="K100" s="196"/>
      <c r="L100" s="196"/>
      <c r="M100" s="196"/>
      <c r="N100" s="196"/>
      <c r="O100" s="196"/>
      <c r="P100" s="196"/>
      <c r="Q100" s="196"/>
      <c r="R100" s="196"/>
      <c r="S100" s="196"/>
      <c r="T100" s="196"/>
      <c r="U100" s="196"/>
      <c r="V100" s="196"/>
      <c r="W100" s="196"/>
      <c r="X100" s="196"/>
      <c r="Y100" s="196"/>
    </row>
    <row r="101" spans="1:25" ht="19.5" customHeight="1" x14ac:dyDescent="0.25">
      <c r="A101" s="196"/>
      <c r="B101" s="196"/>
      <c r="C101" s="210"/>
      <c r="D101" s="210"/>
      <c r="E101" s="196"/>
      <c r="F101" s="196"/>
      <c r="G101" s="196"/>
      <c r="H101" s="196"/>
      <c r="I101" s="196"/>
      <c r="J101" s="196"/>
      <c r="K101" s="196"/>
      <c r="L101" s="196"/>
      <c r="M101" s="196"/>
      <c r="N101" s="196"/>
      <c r="O101" s="196"/>
      <c r="P101" s="196"/>
      <c r="Q101" s="196"/>
      <c r="R101" s="196"/>
      <c r="S101" s="196"/>
      <c r="T101" s="196"/>
      <c r="U101" s="196"/>
      <c r="V101" s="196"/>
      <c r="W101" s="196"/>
      <c r="X101" s="196"/>
      <c r="Y101" s="196"/>
    </row>
    <row r="102" spans="1:25" ht="19.5" customHeight="1" x14ac:dyDescent="0.25">
      <c r="A102" s="196"/>
      <c r="B102" s="196"/>
      <c r="C102" s="210"/>
      <c r="D102" s="210"/>
      <c r="E102" s="196"/>
      <c r="F102" s="196"/>
      <c r="G102" s="196"/>
      <c r="H102" s="196"/>
      <c r="I102" s="196"/>
      <c r="J102" s="196"/>
      <c r="K102" s="196"/>
      <c r="L102" s="196"/>
      <c r="M102" s="196"/>
      <c r="N102" s="196"/>
      <c r="O102" s="196"/>
      <c r="P102" s="196"/>
      <c r="Q102" s="196"/>
      <c r="R102" s="196"/>
      <c r="S102" s="196"/>
      <c r="T102" s="196"/>
      <c r="U102" s="196"/>
      <c r="V102" s="196"/>
      <c r="W102" s="196"/>
      <c r="X102" s="196"/>
      <c r="Y102" s="196"/>
    </row>
    <row r="103" spans="1:25" ht="19.5" customHeight="1" x14ac:dyDescent="0.25">
      <c r="A103" s="196"/>
      <c r="B103" s="196"/>
      <c r="C103" s="210"/>
      <c r="D103" s="210"/>
      <c r="E103" s="196"/>
      <c r="F103" s="196"/>
      <c r="G103" s="196"/>
      <c r="H103" s="196"/>
      <c r="I103" s="196"/>
      <c r="J103" s="196"/>
      <c r="K103" s="196"/>
      <c r="L103" s="196"/>
      <c r="M103" s="196"/>
      <c r="N103" s="196"/>
      <c r="O103" s="196"/>
      <c r="P103" s="196"/>
      <c r="Q103" s="196"/>
      <c r="R103" s="196"/>
      <c r="S103" s="196"/>
      <c r="T103" s="196"/>
      <c r="U103" s="196"/>
      <c r="V103" s="196"/>
      <c r="W103" s="196"/>
      <c r="X103" s="196"/>
      <c r="Y103" s="196"/>
    </row>
    <row r="104" spans="1:25" ht="19.5" customHeight="1" x14ac:dyDescent="0.25">
      <c r="A104" s="196"/>
      <c r="B104" s="196"/>
      <c r="C104" s="210"/>
      <c r="D104" s="210"/>
      <c r="E104" s="196"/>
      <c r="F104" s="196"/>
      <c r="G104" s="196"/>
      <c r="H104" s="196"/>
      <c r="I104" s="196"/>
      <c r="J104" s="196"/>
      <c r="K104" s="196"/>
      <c r="L104" s="196"/>
      <c r="M104" s="196"/>
      <c r="N104" s="196"/>
      <c r="O104" s="196"/>
      <c r="P104" s="196"/>
      <c r="Q104" s="196"/>
      <c r="R104" s="196"/>
      <c r="S104" s="196"/>
      <c r="T104" s="196"/>
      <c r="U104" s="196"/>
      <c r="V104" s="196"/>
      <c r="W104" s="196"/>
      <c r="X104" s="196"/>
      <c r="Y104" s="196"/>
    </row>
    <row r="105" spans="1:25" ht="19.5" customHeight="1" x14ac:dyDescent="0.25">
      <c r="A105" s="196"/>
      <c r="B105" s="196"/>
      <c r="C105" s="210"/>
      <c r="D105" s="210"/>
      <c r="E105" s="196"/>
      <c r="F105" s="196"/>
      <c r="G105" s="196"/>
      <c r="H105" s="196"/>
      <c r="I105" s="196"/>
      <c r="J105" s="196"/>
      <c r="K105" s="196"/>
      <c r="L105" s="196"/>
      <c r="M105" s="196"/>
      <c r="N105" s="196"/>
      <c r="O105" s="196"/>
      <c r="P105" s="196"/>
      <c r="Q105" s="196"/>
      <c r="R105" s="196"/>
      <c r="S105" s="196"/>
      <c r="T105" s="196"/>
      <c r="U105" s="196"/>
      <c r="V105" s="196"/>
      <c r="W105" s="196"/>
      <c r="X105" s="196"/>
      <c r="Y105" s="196"/>
    </row>
    <row r="106" spans="1:25" ht="19.5" customHeight="1" x14ac:dyDescent="0.25">
      <c r="A106" s="196"/>
      <c r="B106" s="196"/>
      <c r="C106" s="210"/>
      <c r="D106" s="210"/>
      <c r="E106" s="196"/>
      <c r="F106" s="196"/>
      <c r="G106" s="196"/>
      <c r="H106" s="196"/>
      <c r="I106" s="196"/>
      <c r="J106" s="196"/>
      <c r="K106" s="196"/>
      <c r="L106" s="196"/>
      <c r="M106" s="196"/>
      <c r="N106" s="196"/>
      <c r="O106" s="196"/>
      <c r="P106" s="196"/>
      <c r="Q106" s="196"/>
      <c r="R106" s="196"/>
      <c r="S106" s="196"/>
      <c r="T106" s="196"/>
      <c r="U106" s="196"/>
      <c r="V106" s="196"/>
      <c r="W106" s="196"/>
      <c r="X106" s="196"/>
      <c r="Y106" s="196"/>
    </row>
    <row r="107" spans="1:25" ht="19.5" customHeight="1" x14ac:dyDescent="0.25">
      <c r="A107" s="196"/>
      <c r="B107" s="196"/>
      <c r="C107" s="210"/>
      <c r="D107" s="210"/>
      <c r="E107" s="196"/>
      <c r="F107" s="196"/>
      <c r="G107" s="196"/>
      <c r="H107" s="196"/>
      <c r="I107" s="196"/>
      <c r="J107" s="196"/>
      <c r="K107" s="196"/>
      <c r="L107" s="196"/>
      <c r="M107" s="196"/>
      <c r="N107" s="196"/>
      <c r="O107" s="196"/>
      <c r="P107" s="196"/>
      <c r="Q107" s="196"/>
      <c r="R107" s="196"/>
      <c r="S107" s="196"/>
      <c r="T107" s="196"/>
      <c r="U107" s="196"/>
      <c r="V107" s="196"/>
      <c r="W107" s="196"/>
      <c r="X107" s="196"/>
      <c r="Y107" s="196"/>
    </row>
    <row r="108" spans="1:25" ht="19.5" customHeight="1" x14ac:dyDescent="0.25">
      <c r="A108" s="196"/>
      <c r="B108" s="196"/>
      <c r="C108" s="210"/>
      <c r="D108" s="210"/>
      <c r="E108" s="196"/>
      <c r="F108" s="196"/>
      <c r="G108" s="196"/>
      <c r="H108" s="196"/>
      <c r="I108" s="196"/>
      <c r="J108" s="196"/>
      <c r="K108" s="196"/>
      <c r="L108" s="196"/>
      <c r="M108" s="196"/>
      <c r="N108" s="196"/>
      <c r="O108" s="196"/>
      <c r="P108" s="196"/>
      <c r="Q108" s="196"/>
      <c r="R108" s="196"/>
      <c r="S108" s="196"/>
      <c r="T108" s="196"/>
      <c r="U108" s="196"/>
      <c r="V108" s="196"/>
      <c r="W108" s="196"/>
      <c r="X108" s="196"/>
      <c r="Y108" s="196"/>
    </row>
    <row r="109" spans="1:25" ht="19.5" customHeight="1" x14ac:dyDescent="0.25">
      <c r="A109" s="196"/>
      <c r="B109" s="196"/>
      <c r="C109" s="210"/>
      <c r="D109" s="210"/>
      <c r="E109" s="196"/>
      <c r="F109" s="196"/>
      <c r="G109" s="196"/>
      <c r="H109" s="196"/>
      <c r="I109" s="196"/>
      <c r="J109" s="196"/>
      <c r="K109" s="196"/>
      <c r="L109" s="196"/>
      <c r="M109" s="196"/>
      <c r="N109" s="196"/>
      <c r="O109" s="196"/>
      <c r="P109" s="196"/>
      <c r="Q109" s="196"/>
      <c r="R109" s="196"/>
      <c r="S109" s="196"/>
      <c r="T109" s="196"/>
      <c r="U109" s="196"/>
      <c r="V109" s="196"/>
      <c r="W109" s="196"/>
      <c r="X109" s="196"/>
      <c r="Y109" s="196"/>
    </row>
    <row r="110" spans="1:25" ht="19.5" customHeight="1" x14ac:dyDescent="0.25">
      <c r="A110" s="196"/>
      <c r="B110" s="196"/>
      <c r="C110" s="210"/>
      <c r="D110" s="210"/>
      <c r="E110" s="196"/>
      <c r="F110" s="196"/>
      <c r="G110" s="196"/>
      <c r="H110" s="196"/>
      <c r="I110" s="196"/>
      <c r="J110" s="196"/>
      <c r="K110" s="196"/>
      <c r="L110" s="196"/>
      <c r="M110" s="196"/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  <c r="X110" s="196"/>
      <c r="Y110" s="196"/>
    </row>
    <row r="111" spans="1:25" ht="19.5" customHeight="1" x14ac:dyDescent="0.25">
      <c r="A111" s="196"/>
      <c r="B111" s="196"/>
      <c r="C111" s="210"/>
      <c r="D111" s="210"/>
      <c r="E111" s="196"/>
      <c r="F111" s="196"/>
      <c r="G111" s="196"/>
      <c r="H111" s="196"/>
      <c r="I111" s="196"/>
      <c r="J111" s="196"/>
      <c r="K111" s="196"/>
      <c r="L111" s="196"/>
      <c r="M111" s="196"/>
      <c r="N111" s="196"/>
      <c r="O111" s="196"/>
      <c r="P111" s="196"/>
      <c r="Q111" s="196"/>
      <c r="R111" s="196"/>
      <c r="S111" s="196"/>
      <c r="T111" s="196"/>
      <c r="U111" s="196"/>
      <c r="V111" s="196"/>
      <c r="W111" s="196"/>
      <c r="X111" s="196"/>
      <c r="Y111" s="196"/>
    </row>
    <row r="112" spans="1:25" ht="19.5" customHeight="1" x14ac:dyDescent="0.25">
      <c r="A112" s="196"/>
      <c r="B112" s="196"/>
      <c r="C112" s="210"/>
      <c r="D112" s="210"/>
      <c r="E112" s="196"/>
      <c r="F112" s="196"/>
      <c r="G112" s="196"/>
      <c r="H112" s="196"/>
      <c r="I112" s="196"/>
      <c r="J112" s="196"/>
      <c r="K112" s="196"/>
      <c r="L112" s="196"/>
      <c r="M112" s="196"/>
      <c r="N112" s="196"/>
      <c r="O112" s="196"/>
      <c r="P112" s="196"/>
      <c r="Q112" s="196"/>
      <c r="R112" s="196"/>
      <c r="S112" s="196"/>
      <c r="T112" s="196"/>
      <c r="U112" s="196"/>
      <c r="V112" s="196"/>
      <c r="W112" s="196"/>
      <c r="X112" s="196"/>
      <c r="Y112" s="196"/>
    </row>
    <row r="113" spans="1:25" ht="19.5" customHeight="1" x14ac:dyDescent="0.25">
      <c r="A113" s="196"/>
      <c r="B113" s="196"/>
      <c r="C113" s="210"/>
      <c r="D113" s="210"/>
      <c r="E113" s="196"/>
      <c r="F113" s="196"/>
      <c r="G113" s="196"/>
      <c r="H113" s="196"/>
      <c r="I113" s="196"/>
      <c r="J113" s="196"/>
      <c r="K113" s="196"/>
      <c r="L113" s="196"/>
      <c r="M113" s="196"/>
      <c r="N113" s="196"/>
      <c r="O113" s="196"/>
      <c r="P113" s="196"/>
      <c r="Q113" s="196"/>
      <c r="R113" s="196"/>
      <c r="S113" s="196"/>
      <c r="T113" s="196"/>
      <c r="U113" s="196"/>
      <c r="V113" s="196"/>
      <c r="W113" s="196"/>
      <c r="X113" s="196"/>
      <c r="Y113" s="196"/>
    </row>
    <row r="114" spans="1:25" ht="19.5" customHeight="1" x14ac:dyDescent="0.25">
      <c r="A114" s="196"/>
      <c r="B114" s="196"/>
      <c r="C114" s="210"/>
      <c r="D114" s="210"/>
      <c r="E114" s="196"/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96"/>
    </row>
    <row r="115" spans="1:25" ht="19.5" customHeight="1" x14ac:dyDescent="0.25">
      <c r="A115" s="196"/>
      <c r="B115" s="196"/>
      <c r="C115" s="210"/>
      <c r="D115" s="210"/>
      <c r="E115" s="196"/>
      <c r="F115" s="196"/>
      <c r="G115" s="196"/>
      <c r="H115" s="196"/>
      <c r="I115" s="196"/>
      <c r="J115" s="196"/>
      <c r="K115" s="196"/>
      <c r="L115" s="196"/>
      <c r="M115" s="196"/>
      <c r="N115" s="196"/>
      <c r="O115" s="196"/>
      <c r="P115" s="196"/>
      <c r="Q115" s="196"/>
      <c r="R115" s="196"/>
      <c r="S115" s="196"/>
      <c r="T115" s="196"/>
      <c r="U115" s="196"/>
      <c r="V115" s="196"/>
      <c r="W115" s="196"/>
      <c r="X115" s="196"/>
      <c r="Y115" s="196"/>
    </row>
    <row r="116" spans="1:25" ht="19.5" customHeight="1" x14ac:dyDescent="0.25">
      <c r="A116" s="196"/>
      <c r="B116" s="196"/>
      <c r="C116" s="210"/>
      <c r="D116" s="210"/>
      <c r="E116" s="196"/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96"/>
    </row>
    <row r="117" spans="1:25" ht="19.5" customHeight="1" x14ac:dyDescent="0.25">
      <c r="A117" s="196"/>
      <c r="B117" s="196"/>
      <c r="C117" s="210"/>
      <c r="D117" s="210"/>
      <c r="E117" s="196"/>
      <c r="F117" s="196"/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6"/>
      <c r="X117" s="196"/>
      <c r="Y117" s="196"/>
    </row>
    <row r="118" spans="1:25" ht="19.5" customHeight="1" x14ac:dyDescent="0.25">
      <c r="A118" s="196"/>
      <c r="B118" s="196"/>
      <c r="C118" s="210"/>
      <c r="D118" s="210"/>
      <c r="E118" s="19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  <c r="V118" s="196"/>
      <c r="W118" s="196"/>
      <c r="X118" s="196"/>
      <c r="Y118" s="196"/>
    </row>
    <row r="119" spans="1:25" ht="19.5" customHeight="1" x14ac:dyDescent="0.25">
      <c r="A119" s="196"/>
      <c r="B119" s="196"/>
      <c r="C119" s="210"/>
      <c r="D119" s="210"/>
      <c r="E119" s="19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6"/>
      <c r="X119" s="196"/>
      <c r="Y119" s="196"/>
    </row>
    <row r="120" spans="1:25" ht="19.5" customHeight="1" x14ac:dyDescent="0.25">
      <c r="A120" s="196"/>
      <c r="B120" s="196"/>
      <c r="C120" s="210"/>
      <c r="D120" s="210"/>
      <c r="E120" s="196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96"/>
    </row>
    <row r="121" spans="1:25" ht="19.5" customHeight="1" x14ac:dyDescent="0.25">
      <c r="A121" s="196"/>
      <c r="B121" s="196"/>
      <c r="C121" s="210"/>
      <c r="D121" s="210"/>
      <c r="E121" s="196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96"/>
      <c r="V121" s="196"/>
      <c r="W121" s="196"/>
      <c r="X121" s="196"/>
      <c r="Y121" s="196"/>
    </row>
    <row r="122" spans="1:25" ht="19.5" customHeight="1" x14ac:dyDescent="0.25">
      <c r="A122" s="196"/>
      <c r="B122" s="196"/>
      <c r="C122" s="210"/>
      <c r="D122" s="210"/>
      <c r="E122" s="196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6"/>
      <c r="X122" s="196"/>
      <c r="Y122" s="196"/>
    </row>
    <row r="123" spans="1:25" ht="19.5" customHeight="1" x14ac:dyDescent="0.25">
      <c r="A123" s="196"/>
      <c r="B123" s="196"/>
      <c r="C123" s="210"/>
      <c r="D123" s="210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6"/>
      <c r="X123" s="196"/>
      <c r="Y123" s="196"/>
    </row>
    <row r="124" spans="1:25" ht="19.5" customHeight="1" x14ac:dyDescent="0.25">
      <c r="A124" s="196"/>
      <c r="B124" s="196"/>
      <c r="C124" s="210"/>
      <c r="D124" s="210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196"/>
      <c r="X124" s="196"/>
      <c r="Y124" s="196"/>
    </row>
    <row r="125" spans="1:25" ht="19.5" customHeight="1" x14ac:dyDescent="0.25">
      <c r="A125" s="196"/>
      <c r="B125" s="196"/>
      <c r="C125" s="210"/>
      <c r="D125" s="210"/>
      <c r="E125" s="196"/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196"/>
      <c r="S125" s="196"/>
      <c r="T125" s="196"/>
      <c r="U125" s="196"/>
      <c r="V125" s="196"/>
      <c r="W125" s="196"/>
      <c r="X125" s="196"/>
      <c r="Y125" s="196"/>
    </row>
    <row r="126" spans="1:25" ht="19.5" customHeight="1" x14ac:dyDescent="0.25">
      <c r="A126" s="196"/>
      <c r="B126" s="196"/>
      <c r="C126" s="210"/>
      <c r="D126" s="210"/>
      <c r="E126" s="196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6"/>
      <c r="S126" s="196"/>
      <c r="T126" s="196"/>
      <c r="U126" s="196"/>
      <c r="V126" s="196"/>
      <c r="W126" s="196"/>
      <c r="X126" s="196"/>
      <c r="Y126" s="196"/>
    </row>
    <row r="127" spans="1:25" ht="19.5" customHeight="1" x14ac:dyDescent="0.25">
      <c r="A127" s="196"/>
      <c r="B127" s="196"/>
      <c r="C127" s="210"/>
      <c r="D127" s="210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6"/>
      <c r="W127" s="196"/>
      <c r="X127" s="196"/>
      <c r="Y127" s="196"/>
    </row>
    <row r="128" spans="1:25" ht="19.5" customHeight="1" x14ac:dyDescent="0.25">
      <c r="A128" s="196"/>
      <c r="B128" s="196"/>
      <c r="C128" s="210"/>
      <c r="D128" s="210"/>
      <c r="E128" s="196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6"/>
      <c r="X128" s="196"/>
      <c r="Y128" s="196"/>
    </row>
    <row r="129" spans="1:25" ht="19.5" customHeight="1" x14ac:dyDescent="0.25">
      <c r="A129" s="196"/>
      <c r="B129" s="196"/>
      <c r="C129" s="210"/>
      <c r="D129" s="210"/>
      <c r="E129" s="196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6"/>
      <c r="W129" s="196"/>
      <c r="X129" s="196"/>
      <c r="Y129" s="196"/>
    </row>
    <row r="130" spans="1:25" ht="19.5" customHeight="1" x14ac:dyDescent="0.25">
      <c r="A130" s="196"/>
      <c r="B130" s="196"/>
      <c r="C130" s="210"/>
      <c r="D130" s="210"/>
      <c r="E130" s="19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96"/>
      <c r="V130" s="196"/>
      <c r="W130" s="196"/>
      <c r="X130" s="196"/>
      <c r="Y130" s="196"/>
    </row>
    <row r="131" spans="1:25" ht="19.5" customHeight="1" x14ac:dyDescent="0.25">
      <c r="A131" s="196"/>
      <c r="B131" s="196"/>
      <c r="C131" s="210"/>
      <c r="D131" s="210"/>
      <c r="E131" s="19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6"/>
      <c r="X131" s="196"/>
      <c r="Y131" s="196"/>
    </row>
    <row r="132" spans="1:25" ht="19.5" customHeight="1" x14ac:dyDescent="0.25">
      <c r="A132" s="196"/>
      <c r="B132" s="196"/>
      <c r="C132" s="210"/>
      <c r="D132" s="210"/>
      <c r="E132" s="196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6"/>
      <c r="X132" s="196"/>
      <c r="Y132" s="196"/>
    </row>
    <row r="133" spans="1:25" ht="19.5" customHeight="1" x14ac:dyDescent="0.25">
      <c r="A133" s="196"/>
      <c r="B133" s="196"/>
      <c r="C133" s="210"/>
      <c r="D133" s="210"/>
      <c r="E133" s="196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6"/>
      <c r="W133" s="196"/>
      <c r="X133" s="196"/>
      <c r="Y133" s="196"/>
    </row>
    <row r="134" spans="1:25" ht="19.5" customHeight="1" x14ac:dyDescent="0.25">
      <c r="A134" s="196"/>
      <c r="B134" s="196"/>
      <c r="C134" s="210"/>
      <c r="D134" s="210"/>
      <c r="E134" s="196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6"/>
      <c r="X134" s="196"/>
      <c r="Y134" s="196"/>
    </row>
    <row r="135" spans="1:25" ht="19.5" customHeight="1" x14ac:dyDescent="0.25">
      <c r="A135" s="196"/>
      <c r="B135" s="196"/>
      <c r="C135" s="210"/>
      <c r="D135" s="210"/>
      <c r="E135" s="196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  <c r="R135" s="196"/>
      <c r="S135" s="196"/>
      <c r="T135" s="196"/>
      <c r="U135" s="196"/>
      <c r="V135" s="196"/>
      <c r="W135" s="196"/>
      <c r="X135" s="196"/>
      <c r="Y135" s="196"/>
    </row>
    <row r="136" spans="1:25" ht="19.5" customHeight="1" x14ac:dyDescent="0.25">
      <c r="A136" s="196"/>
      <c r="B136" s="196"/>
      <c r="C136" s="210"/>
      <c r="D136" s="210"/>
      <c r="E136" s="196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6"/>
      <c r="X136" s="196"/>
      <c r="Y136" s="196"/>
    </row>
    <row r="137" spans="1:25" ht="19.5" customHeight="1" x14ac:dyDescent="0.25">
      <c r="A137" s="196"/>
      <c r="B137" s="196"/>
      <c r="C137" s="210"/>
      <c r="D137" s="210"/>
      <c r="E137" s="196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196"/>
      <c r="V137" s="196"/>
      <c r="W137" s="196"/>
      <c r="X137" s="196"/>
      <c r="Y137" s="196"/>
    </row>
    <row r="138" spans="1:25" ht="19.5" customHeight="1" x14ac:dyDescent="0.25">
      <c r="A138" s="196"/>
      <c r="B138" s="196"/>
      <c r="C138" s="210"/>
      <c r="D138" s="210"/>
      <c r="E138" s="196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6"/>
      <c r="X138" s="196"/>
      <c r="Y138" s="196"/>
    </row>
    <row r="139" spans="1:25" ht="19.5" customHeight="1" x14ac:dyDescent="0.25">
      <c r="A139" s="196"/>
      <c r="B139" s="196"/>
      <c r="C139" s="210"/>
      <c r="D139" s="210"/>
      <c r="E139" s="196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6"/>
      <c r="S139" s="196"/>
      <c r="T139" s="196"/>
      <c r="U139" s="196"/>
      <c r="V139" s="196"/>
      <c r="W139" s="196"/>
      <c r="X139" s="196"/>
      <c r="Y139" s="196"/>
    </row>
    <row r="140" spans="1:25" ht="19.5" customHeight="1" x14ac:dyDescent="0.25">
      <c r="A140" s="196"/>
      <c r="B140" s="196"/>
      <c r="C140" s="210"/>
      <c r="D140" s="210"/>
      <c r="E140" s="196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6"/>
      <c r="X140" s="196"/>
      <c r="Y140" s="196"/>
    </row>
    <row r="141" spans="1:25" ht="19.5" customHeight="1" x14ac:dyDescent="0.25">
      <c r="A141" s="196"/>
      <c r="B141" s="196"/>
      <c r="C141" s="210"/>
      <c r="D141" s="210"/>
      <c r="E141" s="196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6"/>
      <c r="X141" s="196"/>
      <c r="Y141" s="196"/>
    </row>
    <row r="142" spans="1:25" ht="19.5" customHeight="1" x14ac:dyDescent="0.25">
      <c r="A142" s="196"/>
      <c r="B142" s="196"/>
      <c r="C142" s="210"/>
      <c r="D142" s="210"/>
      <c r="E142" s="196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6"/>
      <c r="X142" s="196"/>
      <c r="Y142" s="196"/>
    </row>
    <row r="143" spans="1:25" ht="19.5" customHeight="1" x14ac:dyDescent="0.25">
      <c r="A143" s="196"/>
      <c r="B143" s="196"/>
      <c r="C143" s="210"/>
      <c r="D143" s="210"/>
      <c r="E143" s="196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6"/>
      <c r="S143" s="196"/>
      <c r="T143" s="196"/>
      <c r="U143" s="196"/>
      <c r="V143" s="196"/>
      <c r="W143" s="196"/>
      <c r="X143" s="196"/>
      <c r="Y143" s="196"/>
    </row>
    <row r="144" spans="1:25" ht="19.5" customHeight="1" x14ac:dyDescent="0.25">
      <c r="A144" s="196"/>
      <c r="B144" s="196"/>
      <c r="C144" s="210"/>
      <c r="D144" s="210"/>
      <c r="E144" s="196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6"/>
      <c r="S144" s="196"/>
      <c r="T144" s="196"/>
      <c r="U144" s="196"/>
      <c r="V144" s="196"/>
      <c r="W144" s="196"/>
      <c r="X144" s="196"/>
      <c r="Y144" s="196"/>
    </row>
    <row r="145" spans="1:25" ht="19.5" customHeight="1" x14ac:dyDescent="0.25">
      <c r="A145" s="196"/>
      <c r="B145" s="196"/>
      <c r="C145" s="210"/>
      <c r="D145" s="210"/>
      <c r="E145" s="196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6"/>
      <c r="S145" s="196"/>
      <c r="T145" s="196"/>
      <c r="U145" s="196"/>
      <c r="V145" s="196"/>
      <c r="W145" s="196"/>
      <c r="X145" s="196"/>
      <c r="Y145" s="196"/>
    </row>
    <row r="146" spans="1:25" ht="19.5" customHeight="1" x14ac:dyDescent="0.25">
      <c r="A146" s="196"/>
      <c r="B146" s="196"/>
      <c r="C146" s="210"/>
      <c r="D146" s="210"/>
      <c r="E146" s="196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196"/>
      <c r="V146" s="196"/>
      <c r="W146" s="196"/>
      <c r="X146" s="196"/>
      <c r="Y146" s="196"/>
    </row>
    <row r="147" spans="1:25" ht="19.5" customHeight="1" x14ac:dyDescent="0.25">
      <c r="A147" s="196"/>
      <c r="B147" s="196"/>
      <c r="C147" s="210"/>
      <c r="D147" s="210"/>
      <c r="E147" s="196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196"/>
      <c r="T147" s="196"/>
      <c r="U147" s="196"/>
      <c r="V147" s="196"/>
      <c r="W147" s="196"/>
      <c r="X147" s="196"/>
      <c r="Y147" s="196"/>
    </row>
    <row r="148" spans="1:25" ht="19.5" customHeight="1" x14ac:dyDescent="0.25">
      <c r="A148" s="196"/>
      <c r="B148" s="196"/>
      <c r="C148" s="210"/>
      <c r="D148" s="210"/>
      <c r="E148" s="196"/>
      <c r="F148" s="196"/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  <c r="S148" s="196"/>
      <c r="T148" s="196"/>
      <c r="U148" s="196"/>
      <c r="V148" s="196"/>
      <c r="W148" s="196"/>
      <c r="X148" s="196"/>
      <c r="Y148" s="196"/>
    </row>
    <row r="149" spans="1:25" ht="19.5" customHeight="1" x14ac:dyDescent="0.25">
      <c r="A149" s="196"/>
      <c r="B149" s="196"/>
      <c r="C149" s="210"/>
      <c r="D149" s="210"/>
      <c r="E149" s="196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6"/>
      <c r="X149" s="196"/>
      <c r="Y149" s="196"/>
    </row>
    <row r="150" spans="1:25" ht="19.5" customHeight="1" x14ac:dyDescent="0.25">
      <c r="A150" s="196"/>
      <c r="B150" s="196"/>
      <c r="C150" s="210"/>
      <c r="D150" s="210"/>
      <c r="E150" s="196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6"/>
      <c r="X150" s="196"/>
      <c r="Y150" s="196"/>
    </row>
    <row r="151" spans="1:25" ht="19.5" customHeight="1" x14ac:dyDescent="0.25">
      <c r="A151" s="196"/>
      <c r="B151" s="196"/>
      <c r="C151" s="210"/>
      <c r="D151" s="210"/>
      <c r="E151" s="19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6"/>
      <c r="X151" s="196"/>
      <c r="Y151" s="196"/>
    </row>
    <row r="152" spans="1:25" ht="19.5" customHeight="1" x14ac:dyDescent="0.25">
      <c r="A152" s="196"/>
      <c r="B152" s="196"/>
      <c r="C152" s="210"/>
      <c r="D152" s="210"/>
      <c r="E152" s="196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96"/>
    </row>
    <row r="153" spans="1:25" ht="19.5" customHeight="1" x14ac:dyDescent="0.25">
      <c r="A153" s="196"/>
      <c r="B153" s="196"/>
      <c r="C153" s="210"/>
      <c r="D153" s="210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6"/>
    </row>
    <row r="154" spans="1:25" ht="19.5" customHeight="1" x14ac:dyDescent="0.25">
      <c r="A154" s="196"/>
      <c r="B154" s="196"/>
      <c r="C154" s="210"/>
      <c r="D154" s="210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96"/>
    </row>
    <row r="155" spans="1:25" ht="19.5" customHeight="1" x14ac:dyDescent="0.25">
      <c r="A155" s="196"/>
      <c r="B155" s="196"/>
      <c r="C155" s="210"/>
      <c r="D155" s="210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  <c r="Y155" s="196"/>
    </row>
    <row r="156" spans="1:25" ht="19.5" customHeight="1" x14ac:dyDescent="0.25">
      <c r="A156" s="196"/>
      <c r="B156" s="196"/>
      <c r="C156" s="210"/>
      <c r="D156" s="210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6"/>
      <c r="X156" s="196"/>
      <c r="Y156" s="196"/>
    </row>
    <row r="157" spans="1:25" ht="19.5" customHeight="1" x14ac:dyDescent="0.25">
      <c r="A157" s="196"/>
      <c r="B157" s="196"/>
      <c r="C157" s="210"/>
      <c r="D157" s="210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96"/>
    </row>
    <row r="158" spans="1:25" ht="19.5" customHeight="1" x14ac:dyDescent="0.25">
      <c r="A158" s="196"/>
      <c r="B158" s="196"/>
      <c r="C158" s="210"/>
      <c r="D158" s="210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6"/>
      <c r="X158" s="196"/>
      <c r="Y158" s="196"/>
    </row>
    <row r="159" spans="1:25" ht="19.5" customHeight="1" x14ac:dyDescent="0.25">
      <c r="A159" s="196"/>
      <c r="B159" s="196"/>
      <c r="C159" s="210"/>
      <c r="D159" s="210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196"/>
      <c r="T159" s="196"/>
      <c r="U159" s="196"/>
      <c r="V159" s="196"/>
      <c r="W159" s="196"/>
      <c r="X159" s="196"/>
      <c r="Y159" s="196"/>
    </row>
    <row r="160" spans="1:25" ht="19.5" customHeight="1" x14ac:dyDescent="0.25">
      <c r="A160" s="196"/>
      <c r="B160" s="196"/>
      <c r="C160" s="210"/>
      <c r="D160" s="210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6"/>
      <c r="S160" s="196"/>
      <c r="T160" s="196"/>
      <c r="U160" s="196"/>
      <c r="V160" s="196"/>
      <c r="W160" s="196"/>
      <c r="X160" s="196"/>
      <c r="Y160" s="196"/>
    </row>
    <row r="161" spans="1:25" ht="19.5" customHeight="1" x14ac:dyDescent="0.25">
      <c r="A161" s="196"/>
      <c r="B161" s="196"/>
      <c r="C161" s="210"/>
      <c r="D161" s="210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  <c r="R161" s="196"/>
      <c r="S161" s="196"/>
      <c r="T161" s="196"/>
      <c r="U161" s="196"/>
      <c r="V161" s="196"/>
      <c r="W161" s="196"/>
      <c r="X161" s="196"/>
      <c r="Y161" s="196"/>
    </row>
    <row r="162" spans="1:25" ht="19.5" customHeight="1" x14ac:dyDescent="0.25">
      <c r="A162" s="196"/>
      <c r="B162" s="196"/>
      <c r="C162" s="210"/>
      <c r="D162" s="210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  <c r="R162" s="196"/>
      <c r="S162" s="196"/>
      <c r="T162" s="196"/>
      <c r="U162" s="196"/>
      <c r="V162" s="196"/>
      <c r="W162" s="196"/>
      <c r="X162" s="196"/>
      <c r="Y162" s="196"/>
    </row>
    <row r="163" spans="1:25" ht="19.5" customHeight="1" x14ac:dyDescent="0.25">
      <c r="A163" s="196"/>
      <c r="B163" s="196"/>
      <c r="C163" s="210"/>
      <c r="D163" s="210"/>
      <c r="E163" s="196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  <c r="P163" s="196"/>
      <c r="Q163" s="196"/>
      <c r="R163" s="196"/>
      <c r="S163" s="196"/>
      <c r="T163" s="196"/>
      <c r="U163" s="196"/>
      <c r="V163" s="196"/>
      <c r="W163" s="196"/>
      <c r="X163" s="196"/>
      <c r="Y163" s="196"/>
    </row>
    <row r="164" spans="1:25" ht="19.5" customHeight="1" x14ac:dyDescent="0.25">
      <c r="A164" s="196"/>
      <c r="B164" s="196"/>
      <c r="C164" s="210"/>
      <c r="D164" s="210"/>
      <c r="E164" s="196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  <c r="P164" s="196"/>
      <c r="Q164" s="196"/>
      <c r="R164" s="196"/>
      <c r="S164" s="196"/>
      <c r="T164" s="196"/>
      <c r="U164" s="196"/>
      <c r="V164" s="196"/>
      <c r="W164" s="196"/>
      <c r="X164" s="196"/>
      <c r="Y164" s="196"/>
    </row>
    <row r="165" spans="1:25" ht="19.5" customHeight="1" x14ac:dyDescent="0.25">
      <c r="A165" s="196"/>
      <c r="B165" s="196"/>
      <c r="C165" s="210"/>
      <c r="D165" s="210"/>
      <c r="E165" s="196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/>
      <c r="S165" s="196"/>
      <c r="T165" s="196"/>
      <c r="U165" s="196"/>
      <c r="V165" s="196"/>
      <c r="W165" s="196"/>
      <c r="X165" s="196"/>
      <c r="Y165" s="196"/>
    </row>
    <row r="166" spans="1:25" ht="19.5" customHeight="1" x14ac:dyDescent="0.25">
      <c r="A166" s="196"/>
      <c r="B166" s="196"/>
      <c r="C166" s="210"/>
      <c r="D166" s="210"/>
      <c r="E166" s="196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6"/>
      <c r="Q166" s="196"/>
      <c r="R166" s="196"/>
      <c r="S166" s="196"/>
      <c r="T166" s="196"/>
      <c r="U166" s="196"/>
      <c r="V166" s="196"/>
      <c r="W166" s="196"/>
      <c r="X166" s="196"/>
      <c r="Y166" s="196"/>
    </row>
    <row r="167" spans="1:25" ht="19.5" customHeight="1" x14ac:dyDescent="0.25">
      <c r="A167" s="196"/>
      <c r="B167" s="196"/>
      <c r="C167" s="210"/>
      <c r="D167" s="210"/>
      <c r="E167" s="196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  <c r="Q167" s="196"/>
      <c r="R167" s="196"/>
      <c r="S167" s="196"/>
      <c r="T167" s="196"/>
      <c r="U167" s="196"/>
      <c r="V167" s="196"/>
      <c r="W167" s="196"/>
      <c r="X167" s="196"/>
      <c r="Y167" s="196"/>
    </row>
    <row r="168" spans="1:25" ht="19.5" customHeight="1" x14ac:dyDescent="0.25">
      <c r="A168" s="196"/>
      <c r="B168" s="196"/>
      <c r="C168" s="210"/>
      <c r="D168" s="210"/>
      <c r="E168" s="196"/>
      <c r="F168" s="196"/>
      <c r="G168" s="196"/>
      <c r="H168" s="196"/>
      <c r="I168" s="196"/>
      <c r="J168" s="196"/>
      <c r="K168" s="196"/>
      <c r="L168" s="196"/>
      <c r="M168" s="196"/>
      <c r="N168" s="196"/>
      <c r="O168" s="196"/>
      <c r="P168" s="196"/>
      <c r="Q168" s="196"/>
      <c r="R168" s="196"/>
      <c r="S168" s="196"/>
      <c r="T168" s="196"/>
      <c r="U168" s="196"/>
      <c r="V168" s="196"/>
      <c r="W168" s="196"/>
      <c r="X168" s="196"/>
      <c r="Y168" s="196"/>
    </row>
    <row r="169" spans="1:25" ht="19.5" customHeight="1" x14ac:dyDescent="0.25">
      <c r="A169" s="196"/>
      <c r="B169" s="196"/>
      <c r="C169" s="210"/>
      <c r="D169" s="210"/>
      <c r="E169" s="196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196"/>
      <c r="Q169" s="196"/>
      <c r="R169" s="196"/>
      <c r="S169" s="196"/>
      <c r="T169" s="196"/>
      <c r="U169" s="196"/>
      <c r="V169" s="196"/>
      <c r="W169" s="196"/>
      <c r="X169" s="196"/>
      <c r="Y169" s="196"/>
    </row>
    <row r="170" spans="1:25" ht="19.5" customHeight="1" x14ac:dyDescent="0.25">
      <c r="A170" s="196"/>
      <c r="B170" s="196"/>
      <c r="C170" s="210"/>
      <c r="D170" s="210"/>
      <c r="E170" s="196"/>
      <c r="F170" s="196"/>
      <c r="G170" s="196"/>
      <c r="H170" s="196"/>
      <c r="I170" s="196"/>
      <c r="J170" s="196"/>
      <c r="K170" s="196"/>
      <c r="L170" s="196"/>
      <c r="M170" s="196"/>
      <c r="N170" s="196"/>
      <c r="O170" s="196"/>
      <c r="P170" s="196"/>
      <c r="Q170" s="196"/>
      <c r="R170" s="196"/>
      <c r="S170" s="196"/>
      <c r="T170" s="196"/>
      <c r="U170" s="196"/>
      <c r="V170" s="196"/>
      <c r="W170" s="196"/>
      <c r="X170" s="196"/>
      <c r="Y170" s="196"/>
    </row>
    <row r="171" spans="1:25" ht="19.5" customHeight="1" x14ac:dyDescent="0.25">
      <c r="A171" s="196"/>
      <c r="B171" s="196"/>
      <c r="C171" s="210"/>
      <c r="D171" s="210"/>
      <c r="E171" s="196"/>
      <c r="F171" s="196"/>
      <c r="G171" s="196"/>
      <c r="H171" s="196"/>
      <c r="I171" s="196"/>
      <c r="J171" s="196"/>
      <c r="K171" s="196"/>
      <c r="L171" s="196"/>
      <c r="M171" s="196"/>
      <c r="N171" s="196"/>
      <c r="O171" s="196"/>
      <c r="P171" s="196"/>
      <c r="Q171" s="196"/>
      <c r="R171" s="196"/>
      <c r="S171" s="196"/>
      <c r="T171" s="196"/>
      <c r="U171" s="196"/>
      <c r="V171" s="196"/>
      <c r="W171" s="196"/>
      <c r="X171" s="196"/>
      <c r="Y171" s="196"/>
    </row>
    <row r="172" spans="1:25" ht="19.5" customHeight="1" x14ac:dyDescent="0.25">
      <c r="A172" s="196"/>
      <c r="B172" s="196"/>
      <c r="C172" s="210"/>
      <c r="D172" s="210"/>
      <c r="E172" s="196"/>
      <c r="F172" s="196"/>
      <c r="G172" s="196"/>
      <c r="H172" s="196"/>
      <c r="I172" s="196"/>
      <c r="J172" s="196"/>
      <c r="K172" s="196"/>
      <c r="L172" s="196"/>
      <c r="M172" s="196"/>
      <c r="N172" s="196"/>
      <c r="O172" s="196"/>
      <c r="P172" s="196"/>
      <c r="Q172" s="196"/>
      <c r="R172" s="196"/>
      <c r="S172" s="196"/>
      <c r="T172" s="196"/>
      <c r="U172" s="196"/>
      <c r="V172" s="196"/>
      <c r="W172" s="196"/>
      <c r="X172" s="196"/>
      <c r="Y172" s="196"/>
    </row>
    <row r="173" spans="1:25" ht="19.5" customHeight="1" x14ac:dyDescent="0.25">
      <c r="A173" s="196"/>
      <c r="B173" s="196"/>
      <c r="C173" s="210"/>
      <c r="D173" s="210"/>
      <c r="E173" s="196"/>
      <c r="F173" s="196"/>
      <c r="G173" s="196"/>
      <c r="H173" s="196"/>
      <c r="I173" s="196"/>
      <c r="J173" s="196"/>
      <c r="K173" s="196"/>
      <c r="L173" s="196"/>
      <c r="M173" s="196"/>
      <c r="N173" s="196"/>
      <c r="O173" s="196"/>
      <c r="P173" s="196"/>
      <c r="Q173" s="196"/>
      <c r="R173" s="196"/>
      <c r="S173" s="196"/>
      <c r="T173" s="196"/>
      <c r="U173" s="196"/>
      <c r="V173" s="196"/>
      <c r="W173" s="196"/>
      <c r="X173" s="196"/>
      <c r="Y173" s="196"/>
    </row>
    <row r="174" spans="1:25" ht="19.5" customHeight="1" x14ac:dyDescent="0.25">
      <c r="A174" s="196"/>
      <c r="B174" s="196"/>
      <c r="C174" s="210"/>
      <c r="D174" s="210"/>
      <c r="E174" s="196"/>
      <c r="F174" s="196"/>
      <c r="G174" s="196"/>
      <c r="H174" s="196"/>
      <c r="I174" s="196"/>
      <c r="J174" s="196"/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6"/>
      <c r="X174" s="196"/>
      <c r="Y174" s="196"/>
    </row>
    <row r="175" spans="1:25" ht="19.5" customHeight="1" x14ac:dyDescent="0.25">
      <c r="A175" s="196"/>
      <c r="B175" s="196"/>
      <c r="C175" s="210"/>
      <c r="D175" s="210"/>
      <c r="E175" s="196"/>
      <c r="F175" s="196"/>
      <c r="G175" s="196"/>
      <c r="H175" s="196"/>
      <c r="I175" s="196"/>
      <c r="J175" s="196"/>
      <c r="K175" s="196"/>
      <c r="L175" s="196"/>
      <c r="M175" s="196"/>
      <c r="N175" s="196"/>
      <c r="O175" s="196"/>
      <c r="P175" s="196"/>
      <c r="Q175" s="196"/>
      <c r="R175" s="196"/>
      <c r="S175" s="196"/>
      <c r="T175" s="196"/>
      <c r="U175" s="196"/>
      <c r="V175" s="196"/>
      <c r="W175" s="196"/>
      <c r="X175" s="196"/>
      <c r="Y175" s="196"/>
    </row>
    <row r="176" spans="1:25" ht="19.5" customHeight="1" x14ac:dyDescent="0.25">
      <c r="A176" s="196"/>
      <c r="B176" s="196"/>
      <c r="C176" s="210"/>
      <c r="D176" s="210"/>
      <c r="E176" s="196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6"/>
      <c r="X176" s="196"/>
      <c r="Y176" s="196"/>
    </row>
    <row r="177" spans="1:25" ht="19.5" customHeight="1" x14ac:dyDescent="0.25">
      <c r="A177" s="196"/>
      <c r="B177" s="196"/>
      <c r="C177" s="210"/>
      <c r="D177" s="210"/>
      <c r="E177" s="196"/>
      <c r="F177" s="196"/>
      <c r="G177" s="196"/>
      <c r="H177" s="196"/>
      <c r="I177" s="196"/>
      <c r="J177" s="196"/>
      <c r="K177" s="196"/>
      <c r="L177" s="196"/>
      <c r="M177" s="196"/>
      <c r="N177" s="196"/>
      <c r="O177" s="196"/>
      <c r="P177" s="196"/>
      <c r="Q177" s="196"/>
      <c r="R177" s="196"/>
      <c r="S177" s="196"/>
      <c r="T177" s="196"/>
      <c r="U177" s="196"/>
      <c r="V177" s="196"/>
      <c r="W177" s="196"/>
      <c r="X177" s="196"/>
      <c r="Y177" s="196"/>
    </row>
    <row r="178" spans="1:25" ht="19.5" customHeight="1" x14ac:dyDescent="0.25">
      <c r="A178" s="196"/>
      <c r="B178" s="196"/>
      <c r="C178" s="210"/>
      <c r="D178" s="210"/>
      <c r="E178" s="196"/>
      <c r="F178" s="196"/>
      <c r="G178" s="196"/>
      <c r="H178" s="196"/>
      <c r="I178" s="196"/>
      <c r="J178" s="196"/>
      <c r="K178" s="196"/>
      <c r="L178" s="196"/>
      <c r="M178" s="196"/>
      <c r="N178" s="196"/>
      <c r="O178" s="196"/>
      <c r="P178" s="196"/>
      <c r="Q178" s="196"/>
      <c r="R178" s="196"/>
      <c r="S178" s="196"/>
      <c r="T178" s="196"/>
      <c r="U178" s="196"/>
      <c r="V178" s="196"/>
      <c r="W178" s="196"/>
      <c r="X178" s="196"/>
      <c r="Y178" s="196"/>
    </row>
    <row r="179" spans="1:25" ht="19.5" customHeight="1" x14ac:dyDescent="0.25">
      <c r="A179" s="196"/>
      <c r="B179" s="196"/>
      <c r="C179" s="210"/>
      <c r="D179" s="210"/>
      <c r="E179" s="196"/>
      <c r="F179" s="196"/>
      <c r="G179" s="196"/>
      <c r="H179" s="196"/>
      <c r="I179" s="196"/>
      <c r="J179" s="196"/>
      <c r="K179" s="196"/>
      <c r="L179" s="196"/>
      <c r="M179" s="196"/>
      <c r="N179" s="196"/>
      <c r="O179" s="196"/>
      <c r="P179" s="196"/>
      <c r="Q179" s="196"/>
      <c r="R179" s="196"/>
      <c r="S179" s="196"/>
      <c r="T179" s="196"/>
      <c r="U179" s="196"/>
      <c r="V179" s="196"/>
      <c r="W179" s="196"/>
      <c r="X179" s="196"/>
      <c r="Y179" s="196"/>
    </row>
    <row r="180" spans="1:25" ht="19.5" customHeight="1" x14ac:dyDescent="0.25">
      <c r="A180" s="196"/>
      <c r="B180" s="196"/>
      <c r="C180" s="210"/>
      <c r="D180" s="210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</row>
    <row r="181" spans="1:25" ht="19.5" customHeight="1" x14ac:dyDescent="0.25">
      <c r="A181" s="196"/>
      <c r="B181" s="196"/>
      <c r="C181" s="210"/>
      <c r="D181" s="210"/>
      <c r="E181" s="196"/>
      <c r="F181" s="196"/>
      <c r="G181" s="196"/>
      <c r="H181" s="196"/>
      <c r="I181" s="196"/>
      <c r="J181" s="196"/>
      <c r="K181" s="196"/>
      <c r="L181" s="196"/>
      <c r="M181" s="196"/>
      <c r="N181" s="196"/>
      <c r="O181" s="196"/>
      <c r="P181" s="196"/>
      <c r="Q181" s="196"/>
      <c r="R181" s="196"/>
      <c r="S181" s="196"/>
      <c r="T181" s="196"/>
      <c r="U181" s="196"/>
      <c r="V181" s="196"/>
      <c r="W181" s="196"/>
      <c r="X181" s="196"/>
      <c r="Y181" s="196"/>
    </row>
    <row r="182" spans="1:25" ht="19.5" customHeight="1" x14ac:dyDescent="0.25">
      <c r="A182" s="196"/>
      <c r="B182" s="196"/>
      <c r="C182" s="210"/>
      <c r="D182" s="210"/>
      <c r="E182" s="196"/>
      <c r="F182" s="196"/>
      <c r="G182" s="196"/>
      <c r="H182" s="196"/>
      <c r="I182" s="196"/>
      <c r="J182" s="196"/>
      <c r="K182" s="196"/>
      <c r="L182" s="196"/>
      <c r="M182" s="196"/>
      <c r="N182" s="196"/>
      <c r="O182" s="196"/>
      <c r="P182" s="196"/>
      <c r="Q182" s="196"/>
      <c r="R182" s="196"/>
      <c r="S182" s="196"/>
      <c r="T182" s="196"/>
      <c r="U182" s="196"/>
      <c r="V182" s="196"/>
      <c r="W182" s="196"/>
      <c r="X182" s="196"/>
      <c r="Y182" s="196"/>
    </row>
    <row r="183" spans="1:25" ht="19.5" customHeight="1" x14ac:dyDescent="0.25">
      <c r="A183" s="196"/>
      <c r="B183" s="196"/>
      <c r="C183" s="210"/>
      <c r="D183" s="210"/>
      <c r="E183" s="196"/>
      <c r="F183" s="196"/>
      <c r="G183" s="196"/>
      <c r="H183" s="196"/>
      <c r="I183" s="196"/>
      <c r="J183" s="196"/>
      <c r="K183" s="196"/>
      <c r="L183" s="196"/>
      <c r="M183" s="196"/>
      <c r="N183" s="196"/>
      <c r="O183" s="196"/>
      <c r="P183" s="196"/>
      <c r="Q183" s="196"/>
      <c r="R183" s="196"/>
      <c r="S183" s="196"/>
      <c r="T183" s="196"/>
      <c r="U183" s="196"/>
      <c r="V183" s="196"/>
      <c r="W183" s="196"/>
      <c r="X183" s="196"/>
      <c r="Y183" s="196"/>
    </row>
    <row r="184" spans="1:25" ht="19.5" customHeight="1" x14ac:dyDescent="0.25">
      <c r="A184" s="196"/>
      <c r="B184" s="196"/>
      <c r="C184" s="210"/>
      <c r="D184" s="210"/>
      <c r="E184" s="196"/>
      <c r="F184" s="196"/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/>
      <c r="S184" s="196"/>
      <c r="T184" s="196"/>
      <c r="U184" s="196"/>
      <c r="V184" s="196"/>
      <c r="W184" s="196"/>
      <c r="X184" s="196"/>
      <c r="Y184" s="196"/>
    </row>
    <row r="185" spans="1:25" ht="19.5" customHeight="1" x14ac:dyDescent="0.25">
      <c r="A185" s="196"/>
      <c r="B185" s="196"/>
      <c r="C185" s="210"/>
      <c r="D185" s="210"/>
      <c r="E185" s="196"/>
      <c r="F185" s="196"/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/>
      <c r="S185" s="196"/>
      <c r="T185" s="196"/>
      <c r="U185" s="196"/>
      <c r="V185" s="196"/>
      <c r="W185" s="196"/>
      <c r="X185" s="196"/>
      <c r="Y185" s="196"/>
    </row>
    <row r="186" spans="1:25" ht="19.5" customHeight="1" x14ac:dyDescent="0.25">
      <c r="A186" s="196"/>
      <c r="B186" s="196"/>
      <c r="C186" s="210"/>
      <c r="D186" s="210"/>
      <c r="E186" s="196"/>
      <c r="F186" s="196"/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6"/>
      <c r="W186" s="196"/>
      <c r="X186" s="196"/>
      <c r="Y186" s="196"/>
    </row>
    <row r="187" spans="1:25" ht="19.5" customHeight="1" x14ac:dyDescent="0.25">
      <c r="A187" s="196"/>
      <c r="B187" s="196"/>
      <c r="C187" s="210"/>
      <c r="D187" s="210"/>
      <c r="E187" s="196"/>
      <c r="F187" s="196"/>
      <c r="G187" s="196"/>
      <c r="H187" s="196"/>
      <c r="I187" s="196"/>
      <c r="J187" s="196"/>
      <c r="K187" s="196"/>
      <c r="L187" s="196"/>
      <c r="M187" s="196"/>
      <c r="N187" s="196"/>
      <c r="O187" s="196"/>
      <c r="P187" s="196"/>
      <c r="Q187" s="196"/>
      <c r="R187" s="196"/>
      <c r="S187" s="196"/>
      <c r="T187" s="196"/>
      <c r="U187" s="196"/>
      <c r="V187" s="196"/>
      <c r="W187" s="196"/>
      <c r="X187" s="196"/>
      <c r="Y187" s="196"/>
    </row>
    <row r="188" spans="1:25" ht="19.5" customHeight="1" x14ac:dyDescent="0.25">
      <c r="A188" s="196"/>
      <c r="B188" s="196"/>
      <c r="C188" s="210"/>
      <c r="D188" s="210"/>
      <c r="E188" s="196"/>
      <c r="F188" s="196"/>
      <c r="G188" s="196"/>
      <c r="H188" s="196"/>
      <c r="I188" s="196"/>
      <c r="J188" s="196"/>
      <c r="K188" s="196"/>
      <c r="L188" s="196"/>
      <c r="M188" s="196"/>
      <c r="N188" s="196"/>
      <c r="O188" s="196"/>
      <c r="P188" s="196"/>
      <c r="Q188" s="196"/>
      <c r="R188" s="196"/>
      <c r="S188" s="196"/>
      <c r="T188" s="196"/>
      <c r="U188" s="196"/>
      <c r="V188" s="196"/>
      <c r="W188" s="196"/>
      <c r="X188" s="196"/>
      <c r="Y188" s="196"/>
    </row>
    <row r="189" spans="1:25" ht="19.5" customHeight="1" x14ac:dyDescent="0.25">
      <c r="A189" s="196"/>
      <c r="B189" s="196"/>
      <c r="C189" s="210"/>
      <c r="D189" s="210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6"/>
      <c r="S189" s="196"/>
      <c r="T189" s="196"/>
      <c r="U189" s="196"/>
      <c r="V189" s="196"/>
      <c r="W189" s="196"/>
      <c r="X189" s="196"/>
      <c r="Y189" s="196"/>
    </row>
    <row r="190" spans="1:25" ht="19.5" customHeight="1" x14ac:dyDescent="0.25">
      <c r="A190" s="196"/>
      <c r="B190" s="196"/>
      <c r="C190" s="210"/>
      <c r="D190" s="210"/>
      <c r="E190" s="196"/>
      <c r="F190" s="196"/>
      <c r="G190" s="196"/>
      <c r="H190" s="196"/>
      <c r="I190" s="196"/>
      <c r="J190" s="196"/>
      <c r="K190" s="196"/>
      <c r="L190" s="196"/>
      <c r="M190" s="196"/>
      <c r="N190" s="196"/>
      <c r="O190" s="196"/>
      <c r="P190" s="196"/>
      <c r="Q190" s="196"/>
      <c r="R190" s="196"/>
      <c r="S190" s="196"/>
      <c r="T190" s="196"/>
      <c r="U190" s="196"/>
      <c r="V190" s="196"/>
      <c r="W190" s="196"/>
      <c r="X190" s="196"/>
      <c r="Y190" s="196"/>
    </row>
    <row r="191" spans="1:25" ht="19.5" customHeight="1" x14ac:dyDescent="0.25">
      <c r="A191" s="196"/>
      <c r="B191" s="196"/>
      <c r="C191" s="210"/>
      <c r="D191" s="210"/>
      <c r="E191" s="196"/>
      <c r="F191" s="196"/>
      <c r="G191" s="196"/>
      <c r="H191" s="196"/>
      <c r="I191" s="196"/>
      <c r="J191" s="196"/>
      <c r="K191" s="196"/>
      <c r="L191" s="196"/>
      <c r="M191" s="196"/>
      <c r="N191" s="196"/>
      <c r="O191" s="196"/>
      <c r="P191" s="196"/>
      <c r="Q191" s="196"/>
      <c r="R191" s="196"/>
      <c r="S191" s="196"/>
      <c r="T191" s="196"/>
      <c r="U191" s="196"/>
      <c r="V191" s="196"/>
      <c r="W191" s="196"/>
      <c r="X191" s="196"/>
      <c r="Y191" s="196"/>
    </row>
    <row r="192" spans="1:25" ht="19.5" customHeight="1" x14ac:dyDescent="0.25">
      <c r="A192" s="196"/>
      <c r="B192" s="196"/>
      <c r="C192" s="210"/>
      <c r="D192" s="210"/>
      <c r="E192" s="196"/>
      <c r="F192" s="196"/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6"/>
      <c r="X192" s="196"/>
      <c r="Y192" s="196"/>
    </row>
    <row r="193" spans="1:25" ht="19.5" customHeight="1" x14ac:dyDescent="0.25">
      <c r="A193" s="196"/>
      <c r="B193" s="196"/>
      <c r="C193" s="210"/>
      <c r="D193" s="210"/>
      <c r="E193" s="196"/>
      <c r="F193" s="196"/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6"/>
      <c r="X193" s="196"/>
      <c r="Y193" s="196"/>
    </row>
    <row r="194" spans="1:25" ht="19.5" customHeight="1" x14ac:dyDescent="0.25">
      <c r="A194" s="196"/>
      <c r="B194" s="196"/>
      <c r="C194" s="210"/>
      <c r="D194" s="210"/>
      <c r="E194" s="196"/>
      <c r="F194" s="196"/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6"/>
      <c r="X194" s="196"/>
      <c r="Y194" s="196"/>
    </row>
    <row r="195" spans="1:25" ht="19.5" customHeight="1" x14ac:dyDescent="0.25">
      <c r="A195" s="196"/>
      <c r="B195" s="196"/>
      <c r="C195" s="210"/>
      <c r="D195" s="210"/>
      <c r="E195" s="196"/>
      <c r="F195" s="196"/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6"/>
      <c r="X195" s="196"/>
      <c r="Y195" s="196"/>
    </row>
    <row r="196" spans="1:25" ht="19.5" customHeight="1" x14ac:dyDescent="0.25">
      <c r="A196" s="196"/>
      <c r="B196" s="196"/>
      <c r="C196" s="210"/>
      <c r="D196" s="210"/>
      <c r="E196" s="196"/>
      <c r="F196" s="196"/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6"/>
      <c r="X196" s="196"/>
      <c r="Y196" s="196"/>
    </row>
    <row r="197" spans="1:25" ht="19.5" customHeight="1" x14ac:dyDescent="0.25">
      <c r="A197" s="196"/>
      <c r="B197" s="196"/>
      <c r="C197" s="210"/>
      <c r="D197" s="210"/>
      <c r="E197" s="196"/>
      <c r="F197" s="196"/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6"/>
      <c r="X197" s="196"/>
      <c r="Y197" s="196"/>
    </row>
    <row r="198" spans="1:25" ht="19.5" customHeight="1" x14ac:dyDescent="0.25">
      <c r="A198" s="196"/>
      <c r="B198" s="196"/>
      <c r="C198" s="210"/>
      <c r="D198" s="210"/>
      <c r="E198" s="196"/>
      <c r="F198" s="196"/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196"/>
    </row>
    <row r="199" spans="1:25" ht="19.5" customHeight="1" x14ac:dyDescent="0.25">
      <c r="A199" s="196"/>
      <c r="B199" s="196"/>
      <c r="C199" s="210"/>
      <c r="D199" s="210"/>
      <c r="E199" s="196"/>
      <c r="F199" s="196"/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196"/>
    </row>
    <row r="200" spans="1:25" ht="19.5" customHeight="1" x14ac:dyDescent="0.25">
      <c r="A200" s="196"/>
      <c r="B200" s="196"/>
      <c r="C200" s="210"/>
      <c r="D200" s="210"/>
      <c r="E200" s="196"/>
      <c r="F200" s="196"/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196"/>
    </row>
    <row r="201" spans="1:25" ht="19.5" customHeight="1" x14ac:dyDescent="0.25">
      <c r="A201" s="196"/>
      <c r="B201" s="196"/>
      <c r="C201" s="210"/>
      <c r="D201" s="210"/>
      <c r="E201" s="196"/>
      <c r="F201" s="196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6"/>
      <c r="X201" s="196"/>
      <c r="Y201" s="196"/>
    </row>
    <row r="202" spans="1:25" ht="19.5" customHeight="1" x14ac:dyDescent="0.25">
      <c r="A202" s="196"/>
      <c r="B202" s="196"/>
      <c r="C202" s="210"/>
      <c r="D202" s="210"/>
      <c r="E202" s="196"/>
      <c r="F202" s="196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6"/>
      <c r="X202" s="196"/>
      <c r="Y202" s="196"/>
    </row>
    <row r="203" spans="1:25" ht="19.5" customHeight="1" x14ac:dyDescent="0.25">
      <c r="A203" s="196"/>
      <c r="B203" s="196"/>
      <c r="C203" s="210"/>
      <c r="D203" s="210"/>
      <c r="E203" s="196"/>
      <c r="F203" s="196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6"/>
      <c r="X203" s="196"/>
      <c r="Y203" s="196"/>
    </row>
    <row r="204" spans="1:25" ht="19.5" customHeight="1" x14ac:dyDescent="0.25">
      <c r="A204" s="196"/>
      <c r="B204" s="196"/>
      <c r="C204" s="210"/>
      <c r="D204" s="210"/>
      <c r="E204" s="196"/>
      <c r="F204" s="196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6"/>
      <c r="X204" s="196"/>
      <c r="Y204" s="196"/>
    </row>
    <row r="205" spans="1:25" ht="19.5" customHeight="1" x14ac:dyDescent="0.25">
      <c r="A205" s="196"/>
      <c r="B205" s="196"/>
      <c r="C205" s="210"/>
      <c r="D205" s="210"/>
      <c r="E205" s="196"/>
      <c r="F205" s="196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6"/>
      <c r="X205" s="196"/>
      <c r="Y205" s="196"/>
    </row>
    <row r="206" spans="1:25" ht="19.5" customHeight="1" x14ac:dyDescent="0.25">
      <c r="A206" s="196"/>
      <c r="B206" s="196"/>
      <c r="C206" s="210"/>
      <c r="D206" s="210"/>
      <c r="E206" s="196"/>
      <c r="F206" s="196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196"/>
    </row>
    <row r="207" spans="1:25" ht="19.5" customHeight="1" x14ac:dyDescent="0.25">
      <c r="A207" s="196"/>
      <c r="B207" s="196"/>
      <c r="C207" s="210"/>
      <c r="D207" s="210"/>
      <c r="E207" s="196"/>
      <c r="F207" s="196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196"/>
    </row>
    <row r="208" spans="1:25" ht="19.5" customHeight="1" x14ac:dyDescent="0.25">
      <c r="A208" s="196"/>
      <c r="B208" s="196"/>
      <c r="C208" s="210"/>
      <c r="D208" s="210"/>
      <c r="E208" s="196"/>
      <c r="F208" s="196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196"/>
    </row>
    <row r="209" spans="1:25" ht="19.5" customHeight="1" x14ac:dyDescent="0.25">
      <c r="A209" s="196"/>
      <c r="B209" s="196"/>
      <c r="C209" s="210"/>
      <c r="D209" s="210"/>
      <c r="E209" s="196"/>
      <c r="F209" s="196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196"/>
    </row>
    <row r="210" spans="1:25" ht="19.5" customHeight="1" x14ac:dyDescent="0.25">
      <c r="A210" s="196"/>
      <c r="B210" s="196"/>
      <c r="C210" s="210"/>
      <c r="D210" s="210"/>
      <c r="E210" s="196"/>
      <c r="F210" s="196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196"/>
    </row>
    <row r="211" spans="1:25" ht="19.5" customHeight="1" x14ac:dyDescent="0.25">
      <c r="A211" s="196"/>
      <c r="B211" s="196"/>
      <c r="C211" s="210"/>
      <c r="D211" s="210"/>
      <c r="E211" s="196"/>
      <c r="F211" s="196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196"/>
    </row>
    <row r="212" spans="1:25" ht="19.5" customHeight="1" x14ac:dyDescent="0.25">
      <c r="A212" s="196"/>
      <c r="B212" s="196"/>
      <c r="C212" s="210"/>
      <c r="D212" s="210"/>
      <c r="E212" s="196"/>
      <c r="F212" s="196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196"/>
    </row>
    <row r="213" spans="1:25" ht="19.5" customHeight="1" x14ac:dyDescent="0.25">
      <c r="A213" s="196"/>
      <c r="B213" s="196"/>
      <c r="C213" s="210"/>
      <c r="D213" s="210"/>
      <c r="E213" s="196"/>
      <c r="F213" s="196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196"/>
    </row>
    <row r="214" spans="1:25" ht="19.5" customHeight="1" x14ac:dyDescent="0.25">
      <c r="A214" s="196"/>
      <c r="B214" s="196"/>
      <c r="C214" s="210"/>
      <c r="D214" s="210"/>
      <c r="E214" s="196"/>
      <c r="F214" s="196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196"/>
    </row>
    <row r="215" spans="1:25" ht="19.5" customHeight="1" x14ac:dyDescent="0.25">
      <c r="A215" s="196"/>
      <c r="B215" s="196"/>
      <c r="C215" s="210"/>
      <c r="D215" s="210"/>
      <c r="E215" s="196"/>
      <c r="F215" s="196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196"/>
    </row>
    <row r="216" spans="1:25" ht="19.5" customHeight="1" x14ac:dyDescent="0.25">
      <c r="A216" s="196"/>
      <c r="B216" s="196"/>
      <c r="C216" s="210"/>
      <c r="D216" s="210"/>
      <c r="E216" s="196"/>
      <c r="F216" s="196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196"/>
    </row>
    <row r="217" spans="1:25" ht="19.5" customHeight="1" x14ac:dyDescent="0.25">
      <c r="A217" s="196"/>
      <c r="B217" s="196"/>
      <c r="C217" s="210"/>
      <c r="D217" s="210"/>
      <c r="E217" s="196"/>
      <c r="F217" s="196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196"/>
    </row>
    <row r="218" spans="1:25" ht="19.5" customHeight="1" x14ac:dyDescent="0.25">
      <c r="A218" s="196"/>
      <c r="B218" s="196"/>
      <c r="C218" s="210"/>
      <c r="D218" s="210"/>
      <c r="E218" s="196"/>
      <c r="F218" s="196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196"/>
    </row>
    <row r="219" spans="1:25" ht="19.5" customHeight="1" x14ac:dyDescent="0.25">
      <c r="A219" s="196"/>
      <c r="B219" s="196"/>
      <c r="C219" s="210"/>
      <c r="D219" s="210"/>
      <c r="E219" s="196"/>
      <c r="F219" s="196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196"/>
    </row>
    <row r="220" spans="1:25" ht="19.5" customHeight="1" x14ac:dyDescent="0.25">
      <c r="A220" s="196"/>
      <c r="B220" s="196"/>
      <c r="C220" s="210"/>
      <c r="D220" s="210"/>
      <c r="E220" s="196"/>
      <c r="F220" s="196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196"/>
    </row>
    <row r="221" spans="1:25" ht="19.5" customHeight="1" x14ac:dyDescent="0.25">
      <c r="A221" s="196"/>
      <c r="B221" s="196"/>
      <c r="C221" s="210"/>
      <c r="D221" s="210"/>
      <c r="E221" s="196"/>
      <c r="F221" s="196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196"/>
    </row>
    <row r="222" spans="1:25" ht="19.5" customHeight="1" x14ac:dyDescent="0.25">
      <c r="A222" s="196"/>
      <c r="B222" s="196"/>
      <c r="C222" s="210"/>
      <c r="D222" s="210"/>
      <c r="E222" s="196"/>
      <c r="F222" s="196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196"/>
    </row>
    <row r="223" spans="1:25" ht="19.5" customHeight="1" x14ac:dyDescent="0.25">
      <c r="A223" s="196"/>
      <c r="B223" s="196"/>
      <c r="C223" s="210"/>
      <c r="D223" s="210"/>
      <c r="E223" s="196"/>
      <c r="F223" s="196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196"/>
    </row>
    <row r="224" spans="1:25" ht="19.5" customHeight="1" x14ac:dyDescent="0.25">
      <c r="A224" s="196"/>
      <c r="B224" s="196"/>
      <c r="C224" s="210"/>
      <c r="D224" s="210"/>
      <c r="E224" s="196"/>
      <c r="F224" s="196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196"/>
    </row>
    <row r="225" spans="1:25" ht="19.5" customHeight="1" x14ac:dyDescent="0.25">
      <c r="A225" s="196"/>
      <c r="B225" s="196"/>
      <c r="C225" s="210"/>
      <c r="D225" s="210"/>
      <c r="E225" s="196"/>
      <c r="F225" s="196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196"/>
    </row>
    <row r="226" spans="1:25" ht="19.5" customHeight="1" x14ac:dyDescent="0.25">
      <c r="A226" s="196"/>
      <c r="B226" s="196"/>
      <c r="C226" s="210"/>
      <c r="D226" s="210"/>
      <c r="E226" s="196"/>
      <c r="F226" s="196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196"/>
    </row>
    <row r="227" spans="1:25" ht="19.5" customHeight="1" x14ac:dyDescent="0.25">
      <c r="A227" s="196"/>
      <c r="B227" s="196"/>
      <c r="C227" s="210"/>
      <c r="D227" s="210"/>
      <c r="E227" s="196"/>
      <c r="F227" s="196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196"/>
    </row>
    <row r="228" spans="1:25" ht="19.5" customHeight="1" x14ac:dyDescent="0.25">
      <c r="A228" s="196"/>
      <c r="B228" s="196"/>
      <c r="C228" s="210"/>
      <c r="D228" s="210"/>
      <c r="E228" s="196"/>
      <c r="F228" s="196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196"/>
    </row>
    <row r="229" spans="1:25" ht="19.5" customHeight="1" x14ac:dyDescent="0.25">
      <c r="A229" s="196"/>
      <c r="B229" s="196"/>
      <c r="C229" s="210"/>
      <c r="D229" s="210"/>
      <c r="E229" s="196"/>
      <c r="F229" s="196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196"/>
    </row>
    <row r="230" spans="1:25" ht="19.5" customHeight="1" x14ac:dyDescent="0.25">
      <c r="A230" s="196"/>
      <c r="B230" s="196"/>
      <c r="C230" s="210"/>
      <c r="D230" s="210"/>
      <c r="E230" s="196"/>
      <c r="F230" s="196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196"/>
    </row>
    <row r="231" spans="1:25" ht="19.5" customHeight="1" x14ac:dyDescent="0.25">
      <c r="A231" s="196"/>
      <c r="B231" s="196"/>
      <c r="C231" s="210"/>
      <c r="D231" s="210"/>
      <c r="E231" s="196"/>
      <c r="F231" s="196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196"/>
    </row>
    <row r="232" spans="1:25" ht="19.5" customHeight="1" x14ac:dyDescent="0.25">
      <c r="A232" s="196"/>
      <c r="B232" s="196"/>
      <c r="C232" s="210"/>
      <c r="D232" s="210"/>
      <c r="E232" s="196"/>
      <c r="F232" s="196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196"/>
    </row>
    <row r="233" spans="1:25" ht="19.5" customHeight="1" x14ac:dyDescent="0.25">
      <c r="A233" s="196"/>
      <c r="B233" s="196"/>
      <c r="C233" s="210"/>
      <c r="D233" s="210"/>
      <c r="E233" s="196"/>
      <c r="F233" s="196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196"/>
    </row>
    <row r="234" spans="1:25" ht="19.5" customHeight="1" x14ac:dyDescent="0.25">
      <c r="A234" s="196"/>
      <c r="B234" s="196"/>
      <c r="C234" s="210"/>
      <c r="D234" s="210"/>
      <c r="E234" s="196"/>
      <c r="F234" s="196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196"/>
    </row>
    <row r="235" spans="1:25" ht="19.5" customHeight="1" x14ac:dyDescent="0.25">
      <c r="A235" s="196"/>
      <c r="B235" s="196"/>
      <c r="C235" s="210"/>
      <c r="D235" s="210"/>
      <c r="E235" s="196"/>
      <c r="F235" s="196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196"/>
    </row>
    <row r="236" spans="1:25" ht="19.5" customHeight="1" x14ac:dyDescent="0.25">
      <c r="A236" s="196"/>
      <c r="B236" s="196"/>
      <c r="C236" s="210"/>
      <c r="D236" s="210"/>
      <c r="E236" s="196"/>
      <c r="F236" s="196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196"/>
    </row>
    <row r="237" spans="1:25" ht="19.5" customHeight="1" x14ac:dyDescent="0.25">
      <c r="A237" s="196"/>
      <c r="B237" s="196"/>
      <c r="C237" s="210"/>
      <c r="D237" s="210"/>
      <c r="E237" s="196"/>
      <c r="F237" s="196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196"/>
    </row>
    <row r="238" spans="1:25" ht="19.5" customHeight="1" x14ac:dyDescent="0.25">
      <c r="A238" s="196"/>
      <c r="B238" s="196"/>
      <c r="C238" s="210"/>
      <c r="D238" s="210"/>
      <c r="E238" s="196"/>
      <c r="F238" s="196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196"/>
    </row>
    <row r="239" spans="1:25" ht="19.5" customHeight="1" x14ac:dyDescent="0.25">
      <c r="A239" s="196"/>
      <c r="B239" s="196"/>
      <c r="C239" s="210"/>
      <c r="D239" s="210"/>
      <c r="E239" s="196"/>
      <c r="F239" s="196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196"/>
    </row>
    <row r="240" spans="1:25" ht="19.5" customHeight="1" x14ac:dyDescent="0.25">
      <c r="A240" s="196"/>
      <c r="B240" s="196"/>
      <c r="C240" s="210"/>
      <c r="D240" s="210"/>
      <c r="E240" s="196"/>
      <c r="F240" s="196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196"/>
    </row>
    <row r="241" spans="1:25" ht="19.5" customHeight="1" x14ac:dyDescent="0.25">
      <c r="A241" s="196"/>
      <c r="B241" s="196"/>
      <c r="C241" s="210"/>
      <c r="D241" s="210"/>
      <c r="E241" s="196"/>
      <c r="F241" s="196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196"/>
    </row>
    <row r="242" spans="1:25" ht="19.5" customHeight="1" x14ac:dyDescent="0.25">
      <c r="A242" s="196"/>
      <c r="B242" s="196"/>
      <c r="C242" s="210"/>
      <c r="D242" s="210"/>
      <c r="E242" s="196"/>
      <c r="F242" s="196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196"/>
    </row>
    <row r="243" spans="1:25" ht="19.5" customHeight="1" x14ac:dyDescent="0.25">
      <c r="A243" s="196"/>
      <c r="B243" s="196"/>
      <c r="C243" s="210"/>
      <c r="D243" s="210"/>
      <c r="E243" s="196"/>
      <c r="F243" s="196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196"/>
    </row>
    <row r="244" spans="1:25" ht="19.5" customHeight="1" x14ac:dyDescent="0.25">
      <c r="A244" s="196"/>
      <c r="B244" s="196"/>
      <c r="C244" s="210"/>
      <c r="D244" s="210"/>
      <c r="E244" s="196"/>
      <c r="F244" s="196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196"/>
    </row>
    <row r="245" spans="1:25" ht="19.5" customHeight="1" x14ac:dyDescent="0.25">
      <c r="A245" s="196"/>
      <c r="B245" s="196"/>
      <c r="C245" s="210"/>
      <c r="D245" s="210"/>
      <c r="E245" s="196"/>
      <c r="F245" s="196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196"/>
    </row>
    <row r="246" spans="1:25" ht="19.5" customHeight="1" x14ac:dyDescent="0.25">
      <c r="A246" s="196"/>
      <c r="B246" s="196"/>
      <c r="C246" s="210"/>
      <c r="D246" s="210"/>
      <c r="E246" s="196"/>
      <c r="F246" s="196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196"/>
    </row>
    <row r="247" spans="1:25" ht="19.5" customHeight="1" x14ac:dyDescent="0.25">
      <c r="A247" s="196"/>
      <c r="B247" s="196"/>
      <c r="C247" s="210"/>
      <c r="D247" s="210"/>
      <c r="E247" s="196"/>
      <c r="F247" s="196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196"/>
    </row>
    <row r="248" spans="1:25" ht="19.5" customHeight="1" x14ac:dyDescent="0.25">
      <c r="A248" s="196"/>
      <c r="B248" s="196"/>
      <c r="C248" s="210"/>
      <c r="D248" s="210"/>
      <c r="E248" s="196"/>
      <c r="F248" s="196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196"/>
    </row>
    <row r="249" spans="1:25" ht="19.5" customHeight="1" x14ac:dyDescent="0.25">
      <c r="A249" s="196"/>
      <c r="B249" s="196"/>
      <c r="C249" s="210"/>
      <c r="D249" s="210"/>
      <c r="E249" s="196"/>
      <c r="F249" s="196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196"/>
    </row>
    <row r="250" spans="1:25" ht="19.5" customHeight="1" x14ac:dyDescent="0.25">
      <c r="A250" s="196"/>
      <c r="B250" s="196"/>
      <c r="C250" s="210"/>
      <c r="D250" s="210"/>
      <c r="E250" s="196"/>
      <c r="F250" s="196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196"/>
    </row>
    <row r="251" spans="1:25" ht="19.5" customHeight="1" x14ac:dyDescent="0.25">
      <c r="A251" s="196"/>
      <c r="B251" s="196"/>
      <c r="C251" s="210"/>
      <c r="D251" s="210"/>
      <c r="E251" s="196"/>
      <c r="F251" s="196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196"/>
    </row>
    <row r="252" spans="1:25" ht="19.5" customHeight="1" x14ac:dyDescent="0.25">
      <c r="A252" s="196"/>
      <c r="B252" s="196"/>
      <c r="C252" s="210"/>
      <c r="D252" s="210"/>
      <c r="E252" s="196"/>
      <c r="F252" s="196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196"/>
    </row>
    <row r="253" spans="1:25" ht="19.5" customHeight="1" x14ac:dyDescent="0.25">
      <c r="A253" s="196"/>
      <c r="B253" s="196"/>
      <c r="C253" s="210"/>
      <c r="D253" s="210"/>
      <c r="E253" s="196"/>
      <c r="F253" s="196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196"/>
    </row>
    <row r="254" spans="1:25" ht="19.5" customHeight="1" x14ac:dyDescent="0.25">
      <c r="A254" s="196"/>
      <c r="B254" s="196"/>
      <c r="C254" s="210"/>
      <c r="D254" s="210"/>
      <c r="E254" s="196"/>
      <c r="F254" s="196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196"/>
    </row>
    <row r="255" spans="1:25" ht="19.5" customHeight="1" x14ac:dyDescent="0.25">
      <c r="A255" s="196"/>
      <c r="B255" s="196"/>
      <c r="C255" s="210"/>
      <c r="D255" s="210"/>
      <c r="E255" s="196"/>
      <c r="F255" s="196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196"/>
    </row>
    <row r="256" spans="1:25" ht="19.5" customHeight="1" x14ac:dyDescent="0.25">
      <c r="A256" s="196"/>
      <c r="B256" s="196"/>
      <c r="C256" s="210"/>
      <c r="D256" s="210"/>
      <c r="E256" s="196"/>
      <c r="F256" s="196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196"/>
    </row>
    <row r="257" spans="1:25" ht="19.5" customHeight="1" x14ac:dyDescent="0.25">
      <c r="A257" s="196"/>
      <c r="B257" s="196"/>
      <c r="C257" s="210"/>
      <c r="D257" s="210"/>
      <c r="E257" s="196"/>
      <c r="F257" s="196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196"/>
    </row>
    <row r="258" spans="1:25" ht="19.5" customHeight="1" x14ac:dyDescent="0.25">
      <c r="A258" s="196"/>
      <c r="B258" s="196"/>
      <c r="C258" s="210"/>
      <c r="D258" s="210"/>
      <c r="E258" s="196"/>
      <c r="F258" s="196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196"/>
    </row>
    <row r="259" spans="1:25" ht="19.5" customHeight="1" x14ac:dyDescent="0.25">
      <c r="A259" s="196"/>
      <c r="B259" s="196"/>
      <c r="C259" s="210"/>
      <c r="D259" s="210"/>
      <c r="E259" s="196"/>
      <c r="F259" s="196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196"/>
    </row>
    <row r="260" spans="1:25" ht="19.5" customHeight="1" x14ac:dyDescent="0.25">
      <c r="A260" s="196"/>
      <c r="B260" s="196"/>
      <c r="C260" s="210"/>
      <c r="D260" s="210"/>
      <c r="E260" s="196"/>
      <c r="F260" s="196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196"/>
    </row>
    <row r="261" spans="1:25" ht="19.5" customHeight="1" x14ac:dyDescent="0.25">
      <c r="A261" s="196"/>
      <c r="B261" s="196"/>
      <c r="C261" s="210"/>
      <c r="D261" s="210"/>
      <c r="E261" s="196"/>
      <c r="F261" s="196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196"/>
    </row>
    <row r="262" spans="1:25" ht="19.5" customHeight="1" x14ac:dyDescent="0.25">
      <c r="A262" s="196"/>
      <c r="B262" s="196"/>
      <c r="C262" s="210"/>
      <c r="D262" s="210"/>
      <c r="E262" s="196"/>
      <c r="F262" s="196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196"/>
    </row>
    <row r="263" spans="1:25" ht="19.5" customHeight="1" x14ac:dyDescent="0.25">
      <c r="A263" s="196"/>
      <c r="B263" s="196"/>
      <c r="C263" s="210"/>
      <c r="D263" s="210"/>
      <c r="E263" s="196"/>
      <c r="F263" s="196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196"/>
    </row>
    <row r="264" spans="1:25" ht="19.5" customHeight="1" x14ac:dyDescent="0.25">
      <c r="A264" s="196"/>
      <c r="B264" s="196"/>
      <c r="C264" s="210"/>
      <c r="D264" s="210"/>
      <c r="E264" s="196"/>
      <c r="F264" s="196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196"/>
    </row>
    <row r="265" spans="1:25" ht="19.5" customHeight="1" x14ac:dyDescent="0.25">
      <c r="A265" s="196"/>
      <c r="B265" s="196"/>
      <c r="C265" s="210"/>
      <c r="D265" s="210"/>
      <c r="E265" s="196"/>
      <c r="F265" s="196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196"/>
    </row>
    <row r="266" spans="1:25" ht="19.5" customHeight="1" x14ac:dyDescent="0.25">
      <c r="A266" s="196"/>
      <c r="B266" s="196"/>
      <c r="C266" s="210"/>
      <c r="D266" s="210"/>
      <c r="E266" s="196"/>
      <c r="F266" s="196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196"/>
    </row>
    <row r="267" spans="1:25" ht="19.5" customHeight="1" x14ac:dyDescent="0.25">
      <c r="A267" s="196"/>
      <c r="B267" s="196"/>
      <c r="C267" s="210"/>
      <c r="D267" s="210"/>
      <c r="E267" s="196"/>
      <c r="F267" s="196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196"/>
    </row>
    <row r="268" spans="1:25" ht="19.5" customHeight="1" x14ac:dyDescent="0.25">
      <c r="A268" s="196"/>
      <c r="B268" s="196"/>
      <c r="C268" s="210"/>
      <c r="D268" s="210"/>
      <c r="E268" s="196"/>
      <c r="F268" s="196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196"/>
    </row>
    <row r="269" spans="1:25" ht="19.5" customHeight="1" x14ac:dyDescent="0.25">
      <c r="A269" s="196"/>
      <c r="B269" s="196"/>
      <c r="C269" s="210"/>
      <c r="D269" s="210"/>
      <c r="E269" s="196"/>
      <c r="F269" s="196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196"/>
    </row>
    <row r="270" spans="1:25" ht="19.5" customHeight="1" x14ac:dyDescent="0.25">
      <c r="A270" s="196"/>
      <c r="B270" s="196"/>
      <c r="C270" s="210"/>
      <c r="D270" s="210"/>
      <c r="E270" s="196"/>
      <c r="F270" s="196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196"/>
    </row>
    <row r="271" spans="1:25" ht="19.5" customHeight="1" x14ac:dyDescent="0.25">
      <c r="A271" s="196"/>
      <c r="B271" s="196"/>
      <c r="C271" s="210"/>
      <c r="D271" s="210"/>
      <c r="E271" s="196"/>
      <c r="F271" s="196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196"/>
    </row>
    <row r="272" spans="1:25" ht="19.5" customHeight="1" x14ac:dyDescent="0.25">
      <c r="A272" s="196"/>
      <c r="B272" s="196"/>
      <c r="C272" s="210"/>
      <c r="D272" s="210"/>
      <c r="E272" s="196"/>
      <c r="F272" s="196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196"/>
    </row>
    <row r="273" spans="1:25" ht="19.5" customHeight="1" x14ac:dyDescent="0.25">
      <c r="A273" s="196"/>
      <c r="B273" s="196"/>
      <c r="C273" s="210"/>
      <c r="D273" s="210"/>
      <c r="E273" s="196"/>
      <c r="F273" s="196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196"/>
    </row>
    <row r="274" spans="1:25" ht="19.5" customHeight="1" x14ac:dyDescent="0.25">
      <c r="A274" s="196"/>
      <c r="B274" s="196"/>
      <c r="C274" s="210"/>
      <c r="D274" s="210"/>
      <c r="E274" s="196"/>
      <c r="F274" s="196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196"/>
    </row>
    <row r="275" spans="1:25" ht="19.5" customHeight="1" x14ac:dyDescent="0.25">
      <c r="A275" s="196"/>
      <c r="B275" s="196"/>
      <c r="C275" s="210"/>
      <c r="D275" s="210"/>
      <c r="E275" s="196"/>
      <c r="F275" s="196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196"/>
    </row>
    <row r="276" spans="1:25" ht="19.5" customHeight="1" x14ac:dyDescent="0.25">
      <c r="A276" s="196"/>
      <c r="B276" s="196"/>
      <c r="C276" s="210"/>
      <c r="D276" s="210"/>
      <c r="E276" s="196"/>
      <c r="F276" s="196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196"/>
    </row>
    <row r="277" spans="1:25" ht="19.5" customHeight="1" x14ac:dyDescent="0.25">
      <c r="A277" s="196"/>
      <c r="B277" s="196"/>
      <c r="C277" s="210"/>
      <c r="D277" s="210"/>
      <c r="E277" s="196"/>
      <c r="F277" s="196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196"/>
    </row>
    <row r="278" spans="1:25" ht="19.5" customHeight="1" x14ac:dyDescent="0.25">
      <c r="A278" s="196"/>
      <c r="B278" s="196"/>
      <c r="C278" s="210"/>
      <c r="D278" s="210"/>
      <c r="E278" s="196"/>
      <c r="F278" s="196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196"/>
    </row>
    <row r="279" spans="1:25" ht="19.5" customHeight="1" x14ac:dyDescent="0.25">
      <c r="A279" s="196"/>
      <c r="B279" s="196"/>
      <c r="C279" s="210"/>
      <c r="D279" s="210"/>
      <c r="E279" s="196"/>
      <c r="F279" s="196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196"/>
    </row>
    <row r="280" spans="1:25" ht="19.5" customHeight="1" x14ac:dyDescent="0.25">
      <c r="A280" s="196"/>
      <c r="B280" s="196"/>
      <c r="C280" s="210"/>
      <c r="D280" s="210"/>
      <c r="E280" s="196"/>
      <c r="F280" s="196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196"/>
    </row>
    <row r="281" spans="1:25" ht="19.5" customHeight="1" x14ac:dyDescent="0.25">
      <c r="A281" s="196"/>
      <c r="B281" s="196"/>
      <c r="C281" s="210"/>
      <c r="D281" s="210"/>
      <c r="E281" s="196"/>
      <c r="F281" s="196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196"/>
    </row>
    <row r="282" spans="1:25" ht="19.5" customHeight="1" x14ac:dyDescent="0.25">
      <c r="A282" s="196"/>
      <c r="B282" s="196"/>
      <c r="C282" s="210"/>
      <c r="D282" s="210"/>
      <c r="E282" s="196"/>
      <c r="F282" s="196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196"/>
    </row>
    <row r="283" spans="1:25" ht="19.5" customHeight="1" x14ac:dyDescent="0.25">
      <c r="A283" s="196"/>
      <c r="B283" s="196"/>
      <c r="C283" s="210"/>
      <c r="D283" s="210"/>
      <c r="E283" s="196"/>
      <c r="F283" s="196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196"/>
    </row>
    <row r="284" spans="1:25" ht="19.5" customHeight="1" x14ac:dyDescent="0.25">
      <c r="A284" s="196"/>
      <c r="B284" s="196"/>
      <c r="C284" s="210"/>
      <c r="D284" s="210"/>
      <c r="E284" s="196"/>
      <c r="F284" s="196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196"/>
    </row>
    <row r="285" spans="1:25" ht="19.5" customHeight="1" x14ac:dyDescent="0.25">
      <c r="A285" s="196"/>
      <c r="B285" s="196"/>
      <c r="C285" s="210"/>
      <c r="D285" s="210"/>
      <c r="E285" s="196"/>
      <c r="F285" s="196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196"/>
    </row>
    <row r="286" spans="1:25" ht="19.5" customHeight="1" x14ac:dyDescent="0.25">
      <c r="A286" s="196"/>
      <c r="B286" s="196"/>
      <c r="C286" s="210"/>
      <c r="D286" s="210"/>
      <c r="E286" s="196"/>
      <c r="F286" s="196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196"/>
    </row>
    <row r="287" spans="1:25" ht="19.5" customHeight="1" x14ac:dyDescent="0.25">
      <c r="A287" s="196"/>
      <c r="B287" s="196"/>
      <c r="C287" s="210"/>
      <c r="D287" s="210"/>
      <c r="E287" s="196"/>
      <c r="F287" s="196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196"/>
    </row>
    <row r="288" spans="1:25" ht="19.5" customHeight="1" x14ac:dyDescent="0.25">
      <c r="A288" s="196"/>
      <c r="B288" s="196"/>
      <c r="C288" s="210"/>
      <c r="D288" s="210"/>
      <c r="E288" s="196"/>
      <c r="F288" s="196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196"/>
    </row>
    <row r="289" spans="1:25" ht="19.5" customHeight="1" x14ac:dyDescent="0.25">
      <c r="A289" s="196"/>
      <c r="B289" s="196"/>
      <c r="C289" s="210"/>
      <c r="D289" s="210"/>
      <c r="E289" s="196"/>
      <c r="F289" s="196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196"/>
    </row>
    <row r="290" spans="1:25" ht="19.5" customHeight="1" x14ac:dyDescent="0.25">
      <c r="A290" s="196"/>
      <c r="B290" s="196"/>
      <c r="C290" s="210"/>
      <c r="D290" s="210"/>
      <c r="E290" s="196"/>
      <c r="F290" s="196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196"/>
    </row>
    <row r="291" spans="1:25" ht="19.5" customHeight="1" x14ac:dyDescent="0.25">
      <c r="A291" s="196"/>
      <c r="B291" s="196"/>
      <c r="C291" s="210"/>
      <c r="D291" s="210"/>
      <c r="E291" s="196"/>
      <c r="F291" s="196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196"/>
    </row>
    <row r="292" spans="1:25" ht="19.5" customHeight="1" x14ac:dyDescent="0.25">
      <c r="A292" s="196"/>
      <c r="B292" s="196"/>
      <c r="C292" s="210"/>
      <c r="D292" s="210"/>
      <c r="E292" s="196"/>
      <c r="F292" s="196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196"/>
    </row>
    <row r="293" spans="1:25" ht="19.5" customHeight="1" x14ac:dyDescent="0.25">
      <c r="A293" s="196"/>
      <c r="B293" s="196"/>
      <c r="C293" s="210"/>
      <c r="D293" s="210"/>
      <c r="E293" s="196"/>
      <c r="F293" s="196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196"/>
    </row>
    <row r="294" spans="1:25" ht="19.5" customHeight="1" x14ac:dyDescent="0.25">
      <c r="A294" s="196"/>
      <c r="B294" s="196"/>
      <c r="C294" s="210"/>
      <c r="D294" s="210"/>
      <c r="E294" s="196"/>
      <c r="F294" s="196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196"/>
    </row>
    <row r="295" spans="1:25" ht="19.5" customHeight="1" x14ac:dyDescent="0.25">
      <c r="A295" s="196"/>
      <c r="B295" s="196"/>
      <c r="C295" s="210"/>
      <c r="D295" s="210"/>
      <c r="E295" s="196"/>
      <c r="F295" s="196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196"/>
    </row>
    <row r="296" spans="1:25" ht="19.5" customHeight="1" x14ac:dyDescent="0.25">
      <c r="A296" s="196"/>
      <c r="B296" s="196"/>
      <c r="C296" s="210"/>
      <c r="D296" s="210"/>
      <c r="E296" s="196"/>
      <c r="F296" s="196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196"/>
    </row>
    <row r="297" spans="1:25" ht="19.5" customHeight="1" x14ac:dyDescent="0.25">
      <c r="A297" s="196"/>
      <c r="B297" s="196"/>
      <c r="C297" s="210"/>
      <c r="D297" s="210"/>
      <c r="E297" s="196"/>
      <c r="F297" s="196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196"/>
    </row>
    <row r="298" spans="1:25" ht="19.5" customHeight="1" x14ac:dyDescent="0.25">
      <c r="A298" s="196"/>
      <c r="B298" s="196"/>
      <c r="C298" s="210"/>
      <c r="D298" s="210"/>
      <c r="E298" s="196"/>
      <c r="F298" s="196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196"/>
    </row>
    <row r="299" spans="1:25" ht="19.5" customHeight="1" x14ac:dyDescent="0.25">
      <c r="A299" s="196"/>
      <c r="B299" s="196"/>
      <c r="C299" s="210"/>
      <c r="D299" s="210"/>
      <c r="E299" s="196"/>
      <c r="F299" s="196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196"/>
    </row>
    <row r="300" spans="1:25" ht="19.5" customHeight="1" x14ac:dyDescent="0.25">
      <c r="A300" s="196"/>
      <c r="B300" s="196"/>
      <c r="C300" s="210"/>
      <c r="D300" s="210"/>
      <c r="E300" s="196"/>
      <c r="F300" s="196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196"/>
    </row>
    <row r="301" spans="1:25" ht="19.5" customHeight="1" x14ac:dyDescent="0.25">
      <c r="A301" s="196"/>
      <c r="B301" s="196"/>
      <c r="C301" s="210"/>
      <c r="D301" s="210"/>
      <c r="E301" s="196"/>
      <c r="F301" s="196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196"/>
    </row>
    <row r="302" spans="1:25" ht="19.5" customHeight="1" x14ac:dyDescent="0.25">
      <c r="A302" s="196"/>
      <c r="B302" s="196"/>
      <c r="C302" s="210"/>
      <c r="D302" s="210"/>
      <c r="E302" s="196"/>
      <c r="F302" s="196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196"/>
    </row>
    <row r="303" spans="1:25" ht="19.5" customHeight="1" x14ac:dyDescent="0.25">
      <c r="A303" s="196"/>
      <c r="B303" s="196"/>
      <c r="C303" s="210"/>
      <c r="D303" s="210"/>
      <c r="E303" s="196"/>
      <c r="F303" s="196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196"/>
    </row>
    <row r="304" spans="1:25" ht="19.5" customHeight="1" x14ac:dyDescent="0.25">
      <c r="A304" s="196"/>
      <c r="B304" s="196"/>
      <c r="C304" s="210"/>
      <c r="D304" s="210"/>
      <c r="E304" s="196"/>
      <c r="F304" s="196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196"/>
    </row>
    <row r="305" spans="1:25" ht="19.5" customHeight="1" x14ac:dyDescent="0.25">
      <c r="A305" s="196"/>
      <c r="B305" s="196"/>
      <c r="C305" s="210"/>
      <c r="D305" s="210"/>
      <c r="E305" s="196"/>
      <c r="F305" s="196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196"/>
    </row>
    <row r="306" spans="1:25" ht="19.5" customHeight="1" x14ac:dyDescent="0.25">
      <c r="A306" s="196"/>
      <c r="B306" s="196"/>
      <c r="C306" s="210"/>
      <c r="D306" s="210"/>
      <c r="E306" s="196"/>
      <c r="F306" s="196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196"/>
    </row>
    <row r="307" spans="1:25" ht="19.5" customHeight="1" x14ac:dyDescent="0.25">
      <c r="A307" s="196"/>
      <c r="B307" s="196"/>
      <c r="C307" s="210"/>
      <c r="D307" s="210"/>
      <c r="E307" s="196"/>
      <c r="F307" s="196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196"/>
    </row>
    <row r="308" spans="1:25" ht="19.5" customHeight="1" x14ac:dyDescent="0.25">
      <c r="A308" s="196"/>
      <c r="B308" s="196"/>
      <c r="C308" s="210"/>
      <c r="D308" s="210"/>
      <c r="E308" s="196"/>
      <c r="F308" s="196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196"/>
    </row>
    <row r="309" spans="1:25" ht="19.5" customHeight="1" x14ac:dyDescent="0.25">
      <c r="A309" s="196"/>
      <c r="B309" s="196"/>
      <c r="C309" s="210"/>
      <c r="D309" s="210"/>
      <c r="E309" s="196"/>
      <c r="F309" s="196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196"/>
    </row>
    <row r="310" spans="1:25" ht="19.5" customHeight="1" x14ac:dyDescent="0.25">
      <c r="A310" s="196"/>
      <c r="B310" s="196"/>
      <c r="C310" s="210"/>
      <c r="D310" s="210"/>
      <c r="E310" s="196"/>
      <c r="F310" s="196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196"/>
    </row>
    <row r="311" spans="1:25" ht="19.5" customHeight="1" x14ac:dyDescent="0.25">
      <c r="A311" s="196"/>
      <c r="B311" s="196"/>
      <c r="C311" s="210"/>
      <c r="D311" s="210"/>
      <c r="E311" s="196"/>
      <c r="F311" s="196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196"/>
    </row>
    <row r="312" spans="1:25" ht="19.5" customHeight="1" x14ac:dyDescent="0.25">
      <c r="A312" s="196"/>
      <c r="B312" s="196"/>
      <c r="C312" s="210"/>
      <c r="D312" s="210"/>
      <c r="E312" s="196"/>
      <c r="F312" s="196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196"/>
    </row>
    <row r="313" spans="1:25" ht="19.5" customHeight="1" x14ac:dyDescent="0.25">
      <c r="A313" s="196"/>
      <c r="B313" s="196"/>
      <c r="C313" s="210"/>
      <c r="D313" s="210"/>
      <c r="E313" s="196"/>
      <c r="F313" s="196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196"/>
    </row>
    <row r="314" spans="1:25" ht="19.5" customHeight="1" x14ac:dyDescent="0.25">
      <c r="A314" s="196"/>
      <c r="B314" s="196"/>
      <c r="C314" s="210"/>
      <c r="D314" s="210"/>
      <c r="E314" s="196"/>
      <c r="F314" s="196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196"/>
    </row>
    <row r="315" spans="1:25" ht="19.5" customHeight="1" x14ac:dyDescent="0.25">
      <c r="A315" s="196"/>
      <c r="B315" s="196"/>
      <c r="C315" s="210"/>
      <c r="D315" s="210"/>
      <c r="E315" s="196"/>
      <c r="F315" s="196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196"/>
    </row>
    <row r="316" spans="1:25" ht="19.5" customHeight="1" x14ac:dyDescent="0.25">
      <c r="A316" s="196"/>
      <c r="B316" s="196"/>
      <c r="C316" s="210"/>
      <c r="D316" s="210"/>
      <c r="E316" s="196"/>
      <c r="F316" s="196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196"/>
    </row>
    <row r="317" spans="1:25" ht="19.5" customHeight="1" x14ac:dyDescent="0.25">
      <c r="A317" s="196"/>
      <c r="B317" s="196"/>
      <c r="C317" s="210"/>
      <c r="D317" s="210"/>
      <c r="E317" s="196"/>
      <c r="F317" s="196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196"/>
    </row>
    <row r="318" spans="1:25" ht="19.5" customHeight="1" x14ac:dyDescent="0.25">
      <c r="A318" s="196"/>
      <c r="B318" s="196"/>
      <c r="C318" s="210"/>
      <c r="D318" s="210"/>
      <c r="E318" s="196"/>
      <c r="F318" s="196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196"/>
    </row>
    <row r="319" spans="1:25" ht="19.5" customHeight="1" x14ac:dyDescent="0.25">
      <c r="A319" s="196"/>
      <c r="B319" s="196"/>
      <c r="C319" s="210"/>
      <c r="D319" s="210"/>
      <c r="E319" s="196"/>
      <c r="F319" s="196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196"/>
    </row>
    <row r="320" spans="1:25" ht="19.5" customHeight="1" x14ac:dyDescent="0.25">
      <c r="A320" s="196"/>
      <c r="B320" s="196"/>
      <c r="C320" s="210"/>
      <c r="D320" s="210"/>
      <c r="E320" s="196"/>
      <c r="F320" s="196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196"/>
    </row>
    <row r="321" spans="1:25" ht="19.5" customHeight="1" x14ac:dyDescent="0.25">
      <c r="A321" s="196"/>
      <c r="B321" s="196"/>
      <c r="C321" s="210"/>
      <c r="D321" s="210"/>
      <c r="E321" s="196"/>
      <c r="F321" s="196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196"/>
    </row>
    <row r="322" spans="1:25" ht="19.5" customHeight="1" x14ac:dyDescent="0.25">
      <c r="A322" s="196"/>
      <c r="B322" s="196"/>
      <c r="C322" s="210"/>
      <c r="D322" s="210"/>
      <c r="E322" s="196"/>
      <c r="F322" s="196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196"/>
    </row>
    <row r="323" spans="1:25" ht="19.5" customHeight="1" x14ac:dyDescent="0.25">
      <c r="A323" s="196"/>
      <c r="B323" s="196"/>
      <c r="C323" s="210"/>
      <c r="D323" s="210"/>
      <c r="E323" s="196"/>
      <c r="F323" s="196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196"/>
    </row>
    <row r="324" spans="1:25" ht="19.5" customHeight="1" x14ac:dyDescent="0.25">
      <c r="A324" s="196"/>
      <c r="B324" s="196"/>
      <c r="C324" s="210"/>
      <c r="D324" s="210"/>
      <c r="E324" s="196"/>
      <c r="F324" s="196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196"/>
    </row>
    <row r="325" spans="1:25" ht="19.5" customHeight="1" x14ac:dyDescent="0.25">
      <c r="A325" s="196"/>
      <c r="B325" s="196"/>
      <c r="C325" s="210"/>
      <c r="D325" s="210"/>
      <c r="E325" s="196"/>
      <c r="F325" s="196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196"/>
    </row>
    <row r="326" spans="1:25" ht="19.5" customHeight="1" x14ac:dyDescent="0.25">
      <c r="A326" s="196"/>
      <c r="B326" s="196"/>
      <c r="C326" s="210"/>
      <c r="D326" s="210"/>
      <c r="E326" s="196"/>
      <c r="F326" s="196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196"/>
    </row>
    <row r="327" spans="1:25" ht="19.5" customHeight="1" x14ac:dyDescent="0.25">
      <c r="A327" s="196"/>
      <c r="B327" s="196"/>
      <c r="C327" s="210"/>
      <c r="D327" s="210"/>
      <c r="E327" s="196"/>
      <c r="F327" s="196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196"/>
    </row>
    <row r="328" spans="1:25" ht="19.5" customHeight="1" x14ac:dyDescent="0.25">
      <c r="A328" s="196"/>
      <c r="B328" s="196"/>
      <c r="C328" s="210"/>
      <c r="D328" s="210"/>
      <c r="E328" s="196"/>
      <c r="F328" s="196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196"/>
    </row>
    <row r="329" spans="1:25" ht="19.5" customHeight="1" x14ac:dyDescent="0.25">
      <c r="A329" s="196"/>
      <c r="B329" s="196"/>
      <c r="C329" s="210"/>
      <c r="D329" s="210"/>
      <c r="E329" s="196"/>
      <c r="F329" s="196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196"/>
    </row>
    <row r="330" spans="1:25" ht="19.5" customHeight="1" x14ac:dyDescent="0.25">
      <c r="A330" s="196"/>
      <c r="B330" s="196"/>
      <c r="C330" s="210"/>
      <c r="D330" s="210"/>
      <c r="E330" s="196"/>
      <c r="F330" s="196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196"/>
    </row>
    <row r="331" spans="1:25" ht="19.5" customHeight="1" x14ac:dyDescent="0.25">
      <c r="A331" s="196"/>
      <c r="B331" s="196"/>
      <c r="C331" s="210"/>
      <c r="D331" s="210"/>
      <c r="E331" s="196"/>
      <c r="F331" s="196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196"/>
    </row>
    <row r="332" spans="1:25" ht="19.5" customHeight="1" x14ac:dyDescent="0.25">
      <c r="A332" s="196"/>
      <c r="B332" s="196"/>
      <c r="C332" s="210"/>
      <c r="D332" s="210"/>
      <c r="E332" s="196"/>
      <c r="F332" s="196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196"/>
    </row>
    <row r="333" spans="1:25" ht="19.5" customHeight="1" x14ac:dyDescent="0.25">
      <c r="A333" s="196"/>
      <c r="B333" s="196"/>
      <c r="C333" s="210"/>
      <c r="D333" s="210"/>
      <c r="E333" s="196"/>
      <c r="F333" s="196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196"/>
    </row>
    <row r="334" spans="1:25" ht="19.5" customHeight="1" x14ac:dyDescent="0.25">
      <c r="A334" s="196"/>
      <c r="B334" s="196"/>
      <c r="C334" s="210"/>
      <c r="D334" s="210"/>
      <c r="E334" s="196"/>
      <c r="F334" s="196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196"/>
    </row>
    <row r="335" spans="1:25" ht="19.5" customHeight="1" x14ac:dyDescent="0.25">
      <c r="A335" s="196"/>
      <c r="B335" s="196"/>
      <c r="C335" s="210"/>
      <c r="D335" s="210"/>
      <c r="E335" s="196"/>
      <c r="F335" s="196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196"/>
    </row>
    <row r="336" spans="1:25" ht="19.5" customHeight="1" x14ac:dyDescent="0.25">
      <c r="A336" s="196"/>
      <c r="B336" s="196"/>
      <c r="C336" s="210"/>
      <c r="D336" s="210"/>
      <c r="E336" s="196"/>
      <c r="F336" s="196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196"/>
    </row>
    <row r="337" spans="1:25" ht="19.5" customHeight="1" x14ac:dyDescent="0.25">
      <c r="A337" s="196"/>
      <c r="B337" s="196"/>
      <c r="C337" s="210"/>
      <c r="D337" s="210"/>
      <c r="E337" s="196"/>
      <c r="F337" s="196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196"/>
    </row>
    <row r="338" spans="1:25" ht="19.5" customHeight="1" x14ac:dyDescent="0.25">
      <c r="A338" s="196"/>
      <c r="B338" s="196"/>
      <c r="C338" s="210"/>
      <c r="D338" s="210"/>
      <c r="E338" s="196"/>
      <c r="F338" s="196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196"/>
    </row>
    <row r="339" spans="1:25" ht="19.5" customHeight="1" x14ac:dyDescent="0.25">
      <c r="A339" s="196"/>
      <c r="B339" s="196"/>
      <c r="C339" s="210"/>
      <c r="D339" s="210"/>
      <c r="E339" s="196"/>
      <c r="F339" s="196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196"/>
    </row>
    <row r="340" spans="1:25" ht="19.5" customHeight="1" x14ac:dyDescent="0.25">
      <c r="A340" s="196"/>
      <c r="B340" s="196"/>
      <c r="C340" s="210"/>
      <c r="D340" s="210"/>
      <c r="E340" s="196"/>
      <c r="F340" s="196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196"/>
    </row>
    <row r="341" spans="1:25" ht="19.5" customHeight="1" x14ac:dyDescent="0.25">
      <c r="A341" s="196"/>
      <c r="B341" s="196"/>
      <c r="C341" s="210"/>
      <c r="D341" s="210"/>
      <c r="E341" s="196"/>
      <c r="F341" s="196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196"/>
    </row>
    <row r="342" spans="1:25" ht="19.5" customHeight="1" x14ac:dyDescent="0.25">
      <c r="A342" s="196"/>
      <c r="B342" s="196"/>
      <c r="C342" s="210"/>
      <c r="D342" s="210"/>
      <c r="E342" s="196"/>
      <c r="F342" s="196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196"/>
    </row>
    <row r="343" spans="1:25" ht="19.5" customHeight="1" x14ac:dyDescent="0.25">
      <c r="A343" s="196"/>
      <c r="B343" s="196"/>
      <c r="C343" s="210"/>
      <c r="D343" s="210"/>
      <c r="E343" s="196"/>
      <c r="F343" s="196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196"/>
    </row>
    <row r="344" spans="1:25" ht="19.5" customHeight="1" x14ac:dyDescent="0.25">
      <c r="A344" s="196"/>
      <c r="B344" s="196"/>
      <c r="C344" s="210"/>
      <c r="D344" s="210"/>
      <c r="E344" s="196"/>
      <c r="F344" s="196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196"/>
    </row>
    <row r="345" spans="1:25" ht="19.5" customHeight="1" x14ac:dyDescent="0.25">
      <c r="A345" s="196"/>
      <c r="B345" s="196"/>
      <c r="C345" s="210"/>
      <c r="D345" s="210"/>
      <c r="E345" s="196"/>
      <c r="F345" s="196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196"/>
    </row>
    <row r="346" spans="1:25" ht="19.5" customHeight="1" x14ac:dyDescent="0.25">
      <c r="A346" s="196"/>
      <c r="B346" s="196"/>
      <c r="C346" s="210"/>
      <c r="D346" s="210"/>
      <c r="E346" s="196"/>
      <c r="F346" s="196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196"/>
    </row>
    <row r="347" spans="1:25" ht="19.5" customHeight="1" x14ac:dyDescent="0.25">
      <c r="A347" s="196"/>
      <c r="B347" s="196"/>
      <c r="C347" s="210"/>
      <c r="D347" s="210"/>
      <c r="E347" s="196"/>
      <c r="F347" s="196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196"/>
    </row>
    <row r="348" spans="1:25" ht="19.5" customHeight="1" x14ac:dyDescent="0.25">
      <c r="A348" s="196"/>
      <c r="B348" s="196"/>
      <c r="C348" s="210"/>
      <c r="D348" s="210"/>
      <c r="E348" s="196"/>
      <c r="F348" s="196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196"/>
    </row>
    <row r="349" spans="1:25" ht="19.5" customHeight="1" x14ac:dyDescent="0.25">
      <c r="A349" s="196"/>
      <c r="B349" s="196"/>
      <c r="C349" s="210"/>
      <c r="D349" s="210"/>
      <c r="E349" s="196"/>
      <c r="F349" s="196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196"/>
    </row>
    <row r="350" spans="1:25" ht="19.5" customHeight="1" x14ac:dyDescent="0.25">
      <c r="A350" s="196"/>
      <c r="B350" s="196"/>
      <c r="C350" s="210"/>
      <c r="D350" s="210"/>
      <c r="E350" s="196"/>
      <c r="F350" s="196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196"/>
    </row>
    <row r="351" spans="1:25" ht="19.5" customHeight="1" x14ac:dyDescent="0.25">
      <c r="A351" s="196"/>
      <c r="B351" s="196"/>
      <c r="C351" s="210"/>
      <c r="D351" s="210"/>
      <c r="E351" s="196"/>
      <c r="F351" s="196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196"/>
    </row>
    <row r="352" spans="1:25" ht="19.5" customHeight="1" x14ac:dyDescent="0.25">
      <c r="A352" s="196"/>
      <c r="B352" s="196"/>
      <c r="C352" s="210"/>
      <c r="D352" s="210"/>
      <c r="E352" s="196"/>
      <c r="F352" s="196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196"/>
    </row>
    <row r="353" spans="1:25" ht="19.5" customHeight="1" x14ac:dyDescent="0.25">
      <c r="A353" s="196"/>
      <c r="B353" s="196"/>
      <c r="C353" s="210"/>
      <c r="D353" s="210"/>
      <c r="E353" s="196"/>
      <c r="F353" s="196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196"/>
    </row>
    <row r="354" spans="1:25" ht="19.5" customHeight="1" x14ac:dyDescent="0.25">
      <c r="A354" s="196"/>
      <c r="B354" s="196"/>
      <c r="C354" s="210"/>
      <c r="D354" s="210"/>
      <c r="E354" s="196"/>
      <c r="F354" s="196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196"/>
    </row>
    <row r="355" spans="1:25" ht="19.5" customHeight="1" x14ac:dyDescent="0.25">
      <c r="A355" s="196"/>
      <c r="B355" s="196"/>
      <c r="C355" s="210"/>
      <c r="D355" s="210"/>
      <c r="E355" s="196"/>
      <c r="F355" s="196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196"/>
    </row>
    <row r="356" spans="1:25" ht="19.5" customHeight="1" x14ac:dyDescent="0.25">
      <c r="A356" s="196"/>
      <c r="B356" s="196"/>
      <c r="C356" s="210"/>
      <c r="D356" s="210"/>
      <c r="E356" s="196"/>
      <c r="F356" s="196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196"/>
    </row>
    <row r="357" spans="1:25" ht="19.5" customHeight="1" x14ac:dyDescent="0.25">
      <c r="A357" s="196"/>
      <c r="B357" s="196"/>
      <c r="C357" s="210"/>
      <c r="D357" s="210"/>
      <c r="E357" s="196"/>
      <c r="F357" s="196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196"/>
    </row>
    <row r="358" spans="1:25" ht="19.5" customHeight="1" x14ac:dyDescent="0.25">
      <c r="A358" s="196"/>
      <c r="B358" s="196"/>
      <c r="C358" s="210"/>
      <c r="D358" s="210"/>
      <c r="E358" s="196"/>
      <c r="F358" s="196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196"/>
    </row>
    <row r="359" spans="1:25" ht="19.5" customHeight="1" x14ac:dyDescent="0.25">
      <c r="A359" s="196"/>
      <c r="B359" s="196"/>
      <c r="C359" s="210"/>
      <c r="D359" s="210"/>
      <c r="E359" s="196"/>
      <c r="F359" s="196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196"/>
    </row>
    <row r="360" spans="1:25" ht="19.5" customHeight="1" x14ac:dyDescent="0.25">
      <c r="A360" s="196"/>
      <c r="B360" s="196"/>
      <c r="C360" s="210"/>
      <c r="D360" s="210"/>
      <c r="E360" s="196"/>
      <c r="F360" s="196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196"/>
    </row>
    <row r="361" spans="1:25" ht="19.5" customHeight="1" x14ac:dyDescent="0.25">
      <c r="A361" s="196"/>
      <c r="B361" s="196"/>
      <c r="C361" s="210"/>
      <c r="D361" s="210"/>
      <c r="E361" s="196"/>
      <c r="F361" s="196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196"/>
    </row>
    <row r="362" spans="1:25" ht="19.5" customHeight="1" x14ac:dyDescent="0.25">
      <c r="A362" s="196"/>
      <c r="B362" s="196"/>
      <c r="C362" s="210"/>
      <c r="D362" s="210"/>
      <c r="E362" s="196"/>
      <c r="F362" s="196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196"/>
    </row>
    <row r="363" spans="1:25" ht="19.5" customHeight="1" x14ac:dyDescent="0.25">
      <c r="A363" s="196"/>
      <c r="B363" s="196"/>
      <c r="C363" s="210"/>
      <c r="D363" s="210"/>
      <c r="E363" s="196"/>
      <c r="F363" s="196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196"/>
    </row>
    <row r="364" spans="1:25" ht="19.5" customHeight="1" x14ac:dyDescent="0.25">
      <c r="A364" s="196"/>
      <c r="B364" s="196"/>
      <c r="C364" s="210"/>
      <c r="D364" s="210"/>
      <c r="E364" s="196"/>
      <c r="F364" s="196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196"/>
    </row>
    <row r="365" spans="1:25" ht="19.5" customHeight="1" x14ac:dyDescent="0.25">
      <c r="A365" s="196"/>
      <c r="B365" s="196"/>
      <c r="C365" s="210"/>
      <c r="D365" s="210"/>
      <c r="E365" s="196"/>
      <c r="F365" s="196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196"/>
    </row>
    <row r="366" spans="1:25" ht="19.5" customHeight="1" x14ac:dyDescent="0.25">
      <c r="A366" s="196"/>
      <c r="B366" s="196"/>
      <c r="C366" s="210"/>
      <c r="D366" s="210"/>
      <c r="E366" s="196"/>
      <c r="F366" s="196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196"/>
    </row>
    <row r="367" spans="1:25" ht="19.5" customHeight="1" x14ac:dyDescent="0.25">
      <c r="A367" s="196"/>
      <c r="B367" s="196"/>
      <c r="C367" s="210"/>
      <c r="D367" s="210"/>
      <c r="E367" s="196"/>
      <c r="F367" s="196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196"/>
    </row>
    <row r="368" spans="1:25" ht="19.5" customHeight="1" x14ac:dyDescent="0.25">
      <c r="A368" s="196"/>
      <c r="B368" s="196"/>
      <c r="C368" s="210"/>
      <c r="D368" s="210"/>
      <c r="E368" s="196"/>
      <c r="F368" s="196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196"/>
    </row>
    <row r="369" spans="1:25" ht="19.5" customHeight="1" x14ac:dyDescent="0.25">
      <c r="A369" s="196"/>
      <c r="B369" s="196"/>
      <c r="C369" s="210"/>
      <c r="D369" s="210"/>
      <c r="E369" s="196"/>
      <c r="F369" s="196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196"/>
    </row>
    <row r="370" spans="1:25" ht="19.5" customHeight="1" x14ac:dyDescent="0.25">
      <c r="A370" s="196"/>
      <c r="B370" s="196"/>
      <c r="C370" s="210"/>
      <c r="D370" s="210"/>
      <c r="E370" s="196"/>
      <c r="F370" s="196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196"/>
    </row>
    <row r="371" spans="1:25" ht="19.5" customHeight="1" x14ac:dyDescent="0.25">
      <c r="A371" s="196"/>
      <c r="B371" s="196"/>
      <c r="C371" s="210"/>
      <c r="D371" s="210"/>
      <c r="E371" s="196"/>
      <c r="F371" s="196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196"/>
    </row>
    <row r="372" spans="1:25" ht="19.5" customHeight="1" x14ac:dyDescent="0.25">
      <c r="A372" s="196"/>
      <c r="B372" s="196"/>
      <c r="C372" s="210"/>
      <c r="D372" s="210"/>
      <c r="E372" s="196"/>
      <c r="F372" s="196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196"/>
    </row>
    <row r="373" spans="1:25" ht="19.5" customHeight="1" x14ac:dyDescent="0.25">
      <c r="A373" s="196"/>
      <c r="B373" s="196"/>
      <c r="C373" s="210"/>
      <c r="D373" s="210"/>
      <c r="E373" s="196"/>
      <c r="F373" s="196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196"/>
    </row>
    <row r="374" spans="1:25" ht="19.5" customHeight="1" x14ac:dyDescent="0.25">
      <c r="A374" s="196"/>
      <c r="B374" s="196"/>
      <c r="C374" s="210"/>
      <c r="D374" s="210"/>
      <c r="E374" s="196"/>
      <c r="F374" s="196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196"/>
    </row>
    <row r="375" spans="1:25" ht="19.5" customHeight="1" x14ac:dyDescent="0.25">
      <c r="A375" s="196"/>
      <c r="B375" s="196"/>
      <c r="C375" s="210"/>
      <c r="D375" s="210"/>
      <c r="E375" s="196"/>
      <c r="F375" s="196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196"/>
    </row>
    <row r="376" spans="1:25" ht="19.5" customHeight="1" x14ac:dyDescent="0.25">
      <c r="A376" s="196"/>
      <c r="B376" s="196"/>
      <c r="C376" s="210"/>
      <c r="D376" s="210"/>
      <c r="E376" s="196"/>
      <c r="F376" s="196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196"/>
    </row>
    <row r="377" spans="1:25" ht="19.5" customHeight="1" x14ac:dyDescent="0.25">
      <c r="A377" s="196"/>
      <c r="B377" s="196"/>
      <c r="C377" s="210"/>
      <c r="D377" s="210"/>
      <c r="E377" s="196"/>
      <c r="F377" s="196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196"/>
    </row>
    <row r="378" spans="1:25" ht="19.5" customHeight="1" x14ac:dyDescent="0.25">
      <c r="A378" s="196"/>
      <c r="B378" s="196"/>
      <c r="C378" s="210"/>
      <c r="D378" s="210"/>
      <c r="E378" s="196"/>
      <c r="F378" s="196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196"/>
    </row>
    <row r="379" spans="1:25" ht="19.5" customHeight="1" x14ac:dyDescent="0.25">
      <c r="A379" s="196"/>
      <c r="B379" s="196"/>
      <c r="C379" s="210"/>
      <c r="D379" s="210"/>
      <c r="E379" s="196"/>
      <c r="F379" s="196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196"/>
    </row>
    <row r="380" spans="1:25" ht="19.5" customHeight="1" x14ac:dyDescent="0.25">
      <c r="A380" s="196"/>
      <c r="B380" s="196"/>
      <c r="C380" s="210"/>
      <c r="D380" s="210"/>
      <c r="E380" s="196"/>
      <c r="F380" s="196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196"/>
    </row>
    <row r="381" spans="1:25" ht="19.5" customHeight="1" x14ac:dyDescent="0.25">
      <c r="A381" s="196"/>
      <c r="B381" s="196"/>
      <c r="C381" s="210"/>
      <c r="D381" s="210"/>
      <c r="E381" s="196"/>
      <c r="F381" s="196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196"/>
    </row>
    <row r="382" spans="1:25" ht="19.5" customHeight="1" x14ac:dyDescent="0.25">
      <c r="A382" s="196"/>
      <c r="B382" s="196"/>
      <c r="C382" s="210"/>
      <c r="D382" s="210"/>
      <c r="E382" s="196"/>
      <c r="F382" s="196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196"/>
    </row>
    <row r="383" spans="1:25" ht="19.5" customHeight="1" x14ac:dyDescent="0.25">
      <c r="A383" s="196"/>
      <c r="B383" s="196"/>
      <c r="C383" s="210"/>
      <c r="D383" s="210"/>
      <c r="E383" s="196"/>
      <c r="F383" s="196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196"/>
    </row>
    <row r="384" spans="1:25" ht="19.5" customHeight="1" x14ac:dyDescent="0.25">
      <c r="A384" s="196"/>
      <c r="B384" s="196"/>
      <c r="C384" s="210"/>
      <c r="D384" s="210"/>
      <c r="E384" s="196"/>
      <c r="F384" s="196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196"/>
    </row>
    <row r="385" spans="1:25" ht="19.5" customHeight="1" x14ac:dyDescent="0.25">
      <c r="A385" s="196"/>
      <c r="B385" s="196"/>
      <c r="C385" s="210"/>
      <c r="D385" s="210"/>
      <c r="E385" s="196"/>
      <c r="F385" s="196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196"/>
    </row>
    <row r="386" spans="1:25" ht="19.5" customHeight="1" x14ac:dyDescent="0.25">
      <c r="A386" s="196"/>
      <c r="B386" s="196"/>
      <c r="C386" s="210"/>
      <c r="D386" s="210"/>
      <c r="E386" s="196"/>
      <c r="F386" s="196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196"/>
    </row>
    <row r="387" spans="1:25" ht="19.5" customHeight="1" x14ac:dyDescent="0.25">
      <c r="A387" s="196"/>
      <c r="B387" s="196"/>
      <c r="C387" s="210"/>
      <c r="D387" s="210"/>
      <c r="E387" s="196"/>
      <c r="F387" s="196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196"/>
    </row>
    <row r="388" spans="1:25" ht="19.5" customHeight="1" x14ac:dyDescent="0.25">
      <c r="A388" s="196"/>
      <c r="B388" s="196"/>
      <c r="C388" s="210"/>
      <c r="D388" s="210"/>
      <c r="E388" s="196"/>
      <c r="F388" s="196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196"/>
    </row>
    <row r="389" spans="1:25" ht="19.5" customHeight="1" x14ac:dyDescent="0.25">
      <c r="A389" s="196"/>
      <c r="B389" s="196"/>
      <c r="C389" s="210"/>
      <c r="D389" s="210"/>
      <c r="E389" s="196"/>
      <c r="F389" s="196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196"/>
    </row>
    <row r="390" spans="1:25" ht="19.5" customHeight="1" x14ac:dyDescent="0.25">
      <c r="A390" s="196"/>
      <c r="B390" s="196"/>
      <c r="C390" s="210"/>
      <c r="D390" s="210"/>
      <c r="E390" s="196"/>
      <c r="F390" s="196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196"/>
    </row>
    <row r="391" spans="1:25" ht="19.5" customHeight="1" x14ac:dyDescent="0.25">
      <c r="A391" s="196"/>
      <c r="B391" s="196"/>
      <c r="C391" s="210"/>
      <c r="D391" s="210"/>
      <c r="E391" s="196"/>
      <c r="F391" s="196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196"/>
    </row>
    <row r="392" spans="1:25" ht="19.5" customHeight="1" x14ac:dyDescent="0.25">
      <c r="A392" s="196"/>
      <c r="B392" s="196"/>
      <c r="C392" s="210"/>
      <c r="D392" s="210"/>
      <c r="E392" s="196"/>
      <c r="F392" s="196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196"/>
    </row>
    <row r="393" spans="1:25" ht="19.5" customHeight="1" x14ac:dyDescent="0.25">
      <c r="A393" s="196"/>
      <c r="B393" s="196"/>
      <c r="C393" s="210"/>
      <c r="D393" s="210"/>
      <c r="E393" s="196"/>
      <c r="F393" s="196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196"/>
    </row>
    <row r="394" spans="1:25" ht="19.5" customHeight="1" x14ac:dyDescent="0.25">
      <c r="A394" s="196"/>
      <c r="B394" s="196"/>
      <c r="C394" s="210"/>
      <c r="D394" s="210"/>
      <c r="E394" s="196"/>
      <c r="F394" s="196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196"/>
    </row>
    <row r="395" spans="1:25" ht="19.5" customHeight="1" x14ac:dyDescent="0.25">
      <c r="A395" s="196"/>
      <c r="B395" s="196"/>
      <c r="C395" s="210"/>
      <c r="D395" s="210"/>
      <c r="E395" s="196"/>
      <c r="F395" s="196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196"/>
    </row>
    <row r="396" spans="1:25" ht="19.5" customHeight="1" x14ac:dyDescent="0.25">
      <c r="A396" s="196"/>
      <c r="B396" s="196"/>
      <c r="C396" s="210"/>
      <c r="D396" s="210"/>
      <c r="E396" s="196"/>
      <c r="F396" s="196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196"/>
    </row>
    <row r="397" spans="1:25" ht="19.5" customHeight="1" x14ac:dyDescent="0.25">
      <c r="A397" s="196"/>
      <c r="B397" s="196"/>
      <c r="C397" s="210"/>
      <c r="D397" s="210"/>
      <c r="E397" s="196"/>
      <c r="F397" s="196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196"/>
    </row>
    <row r="398" spans="1:25" ht="19.5" customHeight="1" x14ac:dyDescent="0.25">
      <c r="A398" s="196"/>
      <c r="B398" s="196"/>
      <c r="C398" s="210"/>
      <c r="D398" s="210"/>
      <c r="E398" s="196"/>
      <c r="F398" s="196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196"/>
    </row>
    <row r="399" spans="1:25" ht="19.5" customHeight="1" x14ac:dyDescent="0.25">
      <c r="A399" s="196"/>
      <c r="B399" s="196"/>
      <c r="C399" s="210"/>
      <c r="D399" s="210"/>
      <c r="E399" s="196"/>
      <c r="F399" s="196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196"/>
    </row>
    <row r="400" spans="1:25" ht="19.5" customHeight="1" x14ac:dyDescent="0.25">
      <c r="A400" s="196"/>
      <c r="B400" s="196"/>
      <c r="C400" s="210"/>
      <c r="D400" s="210"/>
      <c r="E400" s="196"/>
      <c r="F400" s="196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196"/>
    </row>
    <row r="401" spans="1:25" ht="19.5" customHeight="1" x14ac:dyDescent="0.25">
      <c r="A401" s="196"/>
      <c r="B401" s="196"/>
      <c r="C401" s="210"/>
      <c r="D401" s="210"/>
      <c r="E401" s="196"/>
      <c r="F401" s="196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196"/>
    </row>
    <row r="402" spans="1:25" ht="19.5" customHeight="1" x14ac:dyDescent="0.25">
      <c r="A402" s="196"/>
      <c r="B402" s="196"/>
      <c r="C402" s="210"/>
      <c r="D402" s="210"/>
      <c r="E402" s="196"/>
      <c r="F402" s="196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196"/>
    </row>
    <row r="403" spans="1:25" ht="19.5" customHeight="1" x14ac:dyDescent="0.25">
      <c r="A403" s="196"/>
      <c r="B403" s="196"/>
      <c r="C403" s="210"/>
      <c r="D403" s="210"/>
      <c r="E403" s="196"/>
      <c r="F403" s="196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196"/>
    </row>
    <row r="404" spans="1:25" ht="19.5" customHeight="1" x14ac:dyDescent="0.25">
      <c r="A404" s="196"/>
      <c r="B404" s="196"/>
      <c r="C404" s="210"/>
      <c r="D404" s="210"/>
      <c r="E404" s="196"/>
      <c r="F404" s="196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196"/>
    </row>
    <row r="405" spans="1:25" ht="19.5" customHeight="1" x14ac:dyDescent="0.25">
      <c r="A405" s="196"/>
      <c r="B405" s="196"/>
      <c r="C405" s="210"/>
      <c r="D405" s="210"/>
      <c r="E405" s="196"/>
      <c r="F405" s="196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196"/>
    </row>
    <row r="406" spans="1:25" ht="19.5" customHeight="1" x14ac:dyDescent="0.25">
      <c r="A406" s="196"/>
      <c r="B406" s="196"/>
      <c r="C406" s="210"/>
      <c r="D406" s="210"/>
      <c r="E406" s="196"/>
      <c r="F406" s="196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196"/>
    </row>
    <row r="407" spans="1:25" ht="19.5" customHeight="1" x14ac:dyDescent="0.25">
      <c r="A407" s="196"/>
      <c r="B407" s="196"/>
      <c r="C407" s="210"/>
      <c r="D407" s="210"/>
      <c r="E407" s="196"/>
      <c r="F407" s="196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196"/>
    </row>
    <row r="408" spans="1:25" ht="19.5" customHeight="1" x14ac:dyDescent="0.25">
      <c r="A408" s="196"/>
      <c r="B408" s="196"/>
      <c r="C408" s="210"/>
      <c r="D408" s="210"/>
      <c r="E408" s="196"/>
      <c r="F408" s="196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196"/>
    </row>
    <row r="409" spans="1:25" ht="19.5" customHeight="1" x14ac:dyDescent="0.25">
      <c r="A409" s="196"/>
      <c r="B409" s="196"/>
      <c r="C409" s="210"/>
      <c r="D409" s="210"/>
      <c r="E409" s="196"/>
      <c r="F409" s="196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196"/>
    </row>
    <row r="410" spans="1:25" ht="19.5" customHeight="1" x14ac:dyDescent="0.25">
      <c r="A410" s="196"/>
      <c r="B410" s="196"/>
      <c r="C410" s="210"/>
      <c r="D410" s="210"/>
      <c r="E410" s="196"/>
      <c r="F410" s="196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196"/>
    </row>
    <row r="411" spans="1:25" ht="19.5" customHeight="1" x14ac:dyDescent="0.25">
      <c r="A411" s="196"/>
      <c r="B411" s="196"/>
      <c r="C411" s="210"/>
      <c r="D411" s="210"/>
      <c r="E411" s="196"/>
      <c r="F411" s="196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196"/>
    </row>
    <row r="412" spans="1:25" ht="19.5" customHeight="1" x14ac:dyDescent="0.25">
      <c r="A412" s="196"/>
      <c r="B412" s="196"/>
      <c r="C412" s="210"/>
      <c r="D412" s="210"/>
      <c r="E412" s="196"/>
      <c r="F412" s="196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196"/>
    </row>
    <row r="413" spans="1:25" ht="19.5" customHeight="1" x14ac:dyDescent="0.25">
      <c r="A413" s="196"/>
      <c r="B413" s="196"/>
      <c r="C413" s="210"/>
      <c r="D413" s="210"/>
      <c r="E413" s="196"/>
      <c r="F413" s="196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196"/>
    </row>
    <row r="414" spans="1:25" ht="19.5" customHeight="1" x14ac:dyDescent="0.25">
      <c r="A414" s="196"/>
      <c r="B414" s="196"/>
      <c r="C414" s="210"/>
      <c r="D414" s="210"/>
      <c r="E414" s="196"/>
      <c r="F414" s="196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196"/>
    </row>
    <row r="415" spans="1:25" ht="19.5" customHeight="1" x14ac:dyDescent="0.25">
      <c r="A415" s="196"/>
      <c r="B415" s="196"/>
      <c r="C415" s="210"/>
      <c r="D415" s="210"/>
      <c r="E415" s="196"/>
      <c r="F415" s="196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196"/>
    </row>
    <row r="416" spans="1:25" ht="19.5" customHeight="1" x14ac:dyDescent="0.25">
      <c r="A416" s="196"/>
      <c r="B416" s="196"/>
      <c r="C416" s="210"/>
      <c r="D416" s="210"/>
      <c r="E416" s="196"/>
      <c r="F416" s="196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196"/>
    </row>
    <row r="417" spans="1:25" ht="19.5" customHeight="1" x14ac:dyDescent="0.25">
      <c r="A417" s="196"/>
      <c r="B417" s="196"/>
      <c r="C417" s="210"/>
      <c r="D417" s="210"/>
      <c r="E417" s="196"/>
      <c r="F417" s="196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196"/>
    </row>
    <row r="418" spans="1:25" ht="19.5" customHeight="1" x14ac:dyDescent="0.25">
      <c r="A418" s="196"/>
      <c r="B418" s="196"/>
      <c r="C418" s="210"/>
      <c r="D418" s="210"/>
      <c r="E418" s="196"/>
      <c r="F418" s="196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196"/>
    </row>
    <row r="419" spans="1:25" ht="19.5" customHeight="1" x14ac:dyDescent="0.25">
      <c r="A419" s="196"/>
      <c r="B419" s="196"/>
      <c r="C419" s="210"/>
      <c r="D419" s="210"/>
      <c r="E419" s="196"/>
      <c r="F419" s="196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196"/>
    </row>
    <row r="420" spans="1:25" ht="19.5" customHeight="1" x14ac:dyDescent="0.25">
      <c r="A420" s="196"/>
      <c r="B420" s="196"/>
      <c r="C420" s="210"/>
      <c r="D420" s="210"/>
      <c r="E420" s="196"/>
      <c r="F420" s="196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196"/>
    </row>
    <row r="421" spans="1:25" ht="19.5" customHeight="1" x14ac:dyDescent="0.25">
      <c r="A421" s="196"/>
      <c r="B421" s="196"/>
      <c r="C421" s="210"/>
      <c r="D421" s="210"/>
      <c r="E421" s="196"/>
      <c r="F421" s="196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196"/>
    </row>
    <row r="422" spans="1:25" ht="19.5" customHeight="1" x14ac:dyDescent="0.25">
      <c r="A422" s="196"/>
      <c r="B422" s="196"/>
      <c r="C422" s="210"/>
      <c r="D422" s="210"/>
      <c r="E422" s="196"/>
      <c r="F422" s="196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196"/>
    </row>
    <row r="423" spans="1:25" ht="19.5" customHeight="1" x14ac:dyDescent="0.25">
      <c r="A423" s="196"/>
      <c r="B423" s="196"/>
      <c r="C423" s="210"/>
      <c r="D423" s="210"/>
      <c r="E423" s="196"/>
      <c r="F423" s="196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196"/>
    </row>
    <row r="424" spans="1:25" ht="19.5" customHeight="1" x14ac:dyDescent="0.25">
      <c r="A424" s="196"/>
      <c r="B424" s="196"/>
      <c r="C424" s="210"/>
      <c r="D424" s="210"/>
      <c r="E424" s="196"/>
      <c r="F424" s="196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196"/>
    </row>
    <row r="425" spans="1:25" ht="19.5" customHeight="1" x14ac:dyDescent="0.25">
      <c r="A425" s="196"/>
      <c r="B425" s="196"/>
      <c r="C425" s="210"/>
      <c r="D425" s="210"/>
      <c r="E425" s="196"/>
      <c r="F425" s="196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196"/>
    </row>
    <row r="426" spans="1:25" ht="19.5" customHeight="1" x14ac:dyDescent="0.25">
      <c r="A426" s="196"/>
      <c r="B426" s="196"/>
      <c r="C426" s="210"/>
      <c r="D426" s="210"/>
      <c r="E426" s="196"/>
      <c r="F426" s="196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196"/>
    </row>
    <row r="427" spans="1:25" ht="19.5" customHeight="1" x14ac:dyDescent="0.25">
      <c r="A427" s="196"/>
      <c r="B427" s="196"/>
      <c r="C427" s="210"/>
      <c r="D427" s="210"/>
      <c r="E427" s="196"/>
      <c r="F427" s="196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196"/>
    </row>
    <row r="428" spans="1:25" ht="19.5" customHeight="1" x14ac:dyDescent="0.25">
      <c r="A428" s="196"/>
      <c r="B428" s="196"/>
      <c r="C428" s="210"/>
      <c r="D428" s="210"/>
      <c r="E428" s="196"/>
      <c r="F428" s="196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196"/>
    </row>
    <row r="429" spans="1:25" ht="19.5" customHeight="1" x14ac:dyDescent="0.25">
      <c r="A429" s="196"/>
      <c r="B429" s="196"/>
      <c r="C429" s="210"/>
      <c r="D429" s="210"/>
      <c r="E429" s="196"/>
      <c r="F429" s="196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196"/>
    </row>
    <row r="430" spans="1:25" ht="19.5" customHeight="1" x14ac:dyDescent="0.25">
      <c r="A430" s="196"/>
      <c r="B430" s="196"/>
      <c r="C430" s="210"/>
      <c r="D430" s="210"/>
      <c r="E430" s="196"/>
      <c r="F430" s="196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196"/>
    </row>
    <row r="431" spans="1:25" ht="19.5" customHeight="1" x14ac:dyDescent="0.25">
      <c r="A431" s="196"/>
      <c r="B431" s="196"/>
      <c r="C431" s="210"/>
      <c r="D431" s="210"/>
      <c r="E431" s="196"/>
      <c r="F431" s="196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196"/>
    </row>
    <row r="432" spans="1:25" ht="19.5" customHeight="1" x14ac:dyDescent="0.25">
      <c r="A432" s="196"/>
      <c r="B432" s="196"/>
      <c r="C432" s="210"/>
      <c r="D432" s="210"/>
      <c r="E432" s="196"/>
      <c r="F432" s="196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196"/>
    </row>
    <row r="433" spans="1:25" ht="19.5" customHeight="1" x14ac:dyDescent="0.25">
      <c r="A433" s="196"/>
      <c r="B433" s="196"/>
      <c r="C433" s="210"/>
      <c r="D433" s="210"/>
      <c r="E433" s="196"/>
      <c r="F433" s="196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196"/>
    </row>
    <row r="434" spans="1:25" ht="19.5" customHeight="1" x14ac:dyDescent="0.25">
      <c r="A434" s="196"/>
      <c r="B434" s="196"/>
      <c r="C434" s="210"/>
      <c r="D434" s="210"/>
      <c r="E434" s="196"/>
      <c r="F434" s="196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196"/>
    </row>
    <row r="435" spans="1:25" ht="19.5" customHeight="1" x14ac:dyDescent="0.25">
      <c r="A435" s="196"/>
      <c r="B435" s="196"/>
      <c r="C435" s="210"/>
      <c r="D435" s="210"/>
      <c r="E435" s="196"/>
      <c r="F435" s="196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196"/>
    </row>
    <row r="436" spans="1:25" ht="19.5" customHeight="1" x14ac:dyDescent="0.25">
      <c r="A436" s="196"/>
      <c r="B436" s="196"/>
      <c r="C436" s="210"/>
      <c r="D436" s="210"/>
      <c r="E436" s="196"/>
      <c r="F436" s="196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196"/>
    </row>
    <row r="437" spans="1:25" ht="19.5" customHeight="1" x14ac:dyDescent="0.25">
      <c r="A437" s="196"/>
      <c r="B437" s="196"/>
      <c r="C437" s="210"/>
      <c r="D437" s="210"/>
      <c r="E437" s="196"/>
      <c r="F437" s="196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196"/>
    </row>
    <row r="438" spans="1:25" ht="19.5" customHeight="1" x14ac:dyDescent="0.25">
      <c r="A438" s="196"/>
      <c r="B438" s="196"/>
      <c r="C438" s="210"/>
      <c r="D438" s="210"/>
      <c r="E438" s="196"/>
      <c r="F438" s="196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196"/>
    </row>
    <row r="439" spans="1:25" ht="19.5" customHeight="1" x14ac:dyDescent="0.25">
      <c r="A439" s="196"/>
      <c r="B439" s="196"/>
      <c r="C439" s="210"/>
      <c r="D439" s="210"/>
      <c r="E439" s="196"/>
      <c r="F439" s="196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196"/>
    </row>
    <row r="440" spans="1:25" ht="19.5" customHeight="1" x14ac:dyDescent="0.25">
      <c r="A440" s="196"/>
      <c r="B440" s="196"/>
      <c r="C440" s="210"/>
      <c r="D440" s="210"/>
      <c r="E440" s="196"/>
      <c r="F440" s="196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196"/>
    </row>
    <row r="441" spans="1:25" ht="19.5" customHeight="1" x14ac:dyDescent="0.25">
      <c r="A441" s="196"/>
      <c r="B441" s="196"/>
      <c r="C441" s="210"/>
      <c r="D441" s="210"/>
      <c r="E441" s="196"/>
      <c r="F441" s="196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196"/>
    </row>
    <row r="442" spans="1:25" ht="19.5" customHeight="1" x14ac:dyDescent="0.25">
      <c r="A442" s="196"/>
      <c r="B442" s="196"/>
      <c r="C442" s="210"/>
      <c r="D442" s="210"/>
      <c r="E442" s="196"/>
      <c r="F442" s="196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196"/>
    </row>
    <row r="443" spans="1:25" ht="19.5" customHeight="1" x14ac:dyDescent="0.25">
      <c r="A443" s="196"/>
      <c r="B443" s="196"/>
      <c r="C443" s="210"/>
      <c r="D443" s="210"/>
      <c r="E443" s="196"/>
      <c r="F443" s="196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196"/>
    </row>
    <row r="444" spans="1:25" ht="19.5" customHeight="1" x14ac:dyDescent="0.25">
      <c r="A444" s="196"/>
      <c r="B444" s="196"/>
      <c r="C444" s="210"/>
      <c r="D444" s="210"/>
      <c r="E444" s="196"/>
      <c r="F444" s="196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196"/>
    </row>
    <row r="445" spans="1:25" ht="19.5" customHeight="1" x14ac:dyDescent="0.25">
      <c r="A445" s="196"/>
      <c r="B445" s="196"/>
      <c r="C445" s="210"/>
      <c r="D445" s="210"/>
      <c r="E445" s="196"/>
      <c r="F445" s="196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196"/>
    </row>
    <row r="446" spans="1:25" ht="19.5" customHeight="1" x14ac:dyDescent="0.25">
      <c r="A446" s="196"/>
      <c r="B446" s="196"/>
      <c r="C446" s="210"/>
      <c r="D446" s="210"/>
      <c r="E446" s="196"/>
      <c r="F446" s="196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196"/>
    </row>
    <row r="447" spans="1:25" ht="19.5" customHeight="1" x14ac:dyDescent="0.25">
      <c r="A447" s="196"/>
      <c r="B447" s="196"/>
      <c r="C447" s="210"/>
      <c r="D447" s="210"/>
      <c r="E447" s="196"/>
      <c r="F447" s="196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196"/>
    </row>
    <row r="448" spans="1:25" ht="19.5" customHeight="1" x14ac:dyDescent="0.25">
      <c r="A448" s="196"/>
      <c r="B448" s="196"/>
      <c r="C448" s="210"/>
      <c r="D448" s="210"/>
      <c r="E448" s="196"/>
      <c r="F448" s="196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196"/>
    </row>
    <row r="449" spans="1:25" ht="19.5" customHeight="1" x14ac:dyDescent="0.25">
      <c r="A449" s="196"/>
      <c r="B449" s="196"/>
      <c r="C449" s="210"/>
      <c r="D449" s="210"/>
      <c r="E449" s="196"/>
      <c r="F449" s="196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196"/>
    </row>
    <row r="450" spans="1:25" ht="19.5" customHeight="1" x14ac:dyDescent="0.25">
      <c r="A450" s="196"/>
      <c r="B450" s="196"/>
      <c r="C450" s="210"/>
      <c r="D450" s="210"/>
      <c r="E450" s="196"/>
      <c r="F450" s="196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196"/>
    </row>
    <row r="451" spans="1:25" ht="19.5" customHeight="1" x14ac:dyDescent="0.25">
      <c r="A451" s="196"/>
      <c r="B451" s="196"/>
      <c r="C451" s="210"/>
      <c r="D451" s="210"/>
      <c r="E451" s="196"/>
      <c r="F451" s="196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196"/>
    </row>
    <row r="452" spans="1:25" ht="19.5" customHeight="1" x14ac:dyDescent="0.25">
      <c r="A452" s="196"/>
      <c r="B452" s="196"/>
      <c r="C452" s="210"/>
      <c r="D452" s="210"/>
      <c r="E452" s="196"/>
      <c r="F452" s="196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196"/>
    </row>
    <row r="453" spans="1:25" ht="19.5" customHeight="1" x14ac:dyDescent="0.25">
      <c r="A453" s="196"/>
      <c r="B453" s="196"/>
      <c r="C453" s="210"/>
      <c r="D453" s="210"/>
      <c r="E453" s="196"/>
      <c r="F453" s="196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196"/>
    </row>
    <row r="454" spans="1:25" ht="19.5" customHeight="1" x14ac:dyDescent="0.25">
      <c r="A454" s="196"/>
      <c r="B454" s="196"/>
      <c r="C454" s="210"/>
      <c r="D454" s="210"/>
      <c r="E454" s="196"/>
      <c r="F454" s="196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196"/>
    </row>
    <row r="455" spans="1:25" ht="19.5" customHeight="1" x14ac:dyDescent="0.25">
      <c r="A455" s="196"/>
      <c r="B455" s="196"/>
      <c r="C455" s="210"/>
      <c r="D455" s="210"/>
      <c r="E455" s="196"/>
      <c r="F455" s="196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196"/>
    </row>
    <row r="456" spans="1:25" ht="19.5" customHeight="1" x14ac:dyDescent="0.25">
      <c r="A456" s="196"/>
      <c r="B456" s="196"/>
      <c r="C456" s="210"/>
      <c r="D456" s="210"/>
      <c r="E456" s="196"/>
      <c r="F456" s="196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196"/>
    </row>
    <row r="457" spans="1:25" ht="19.5" customHeight="1" x14ac:dyDescent="0.25">
      <c r="A457" s="196"/>
      <c r="B457" s="196"/>
      <c r="C457" s="210"/>
      <c r="D457" s="210"/>
      <c r="E457" s="196"/>
      <c r="F457" s="196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196"/>
    </row>
    <row r="458" spans="1:25" ht="19.5" customHeight="1" x14ac:dyDescent="0.25">
      <c r="A458" s="196"/>
      <c r="B458" s="196"/>
      <c r="C458" s="210"/>
      <c r="D458" s="210"/>
      <c r="E458" s="196"/>
      <c r="F458" s="196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196"/>
    </row>
    <row r="459" spans="1:25" ht="19.5" customHeight="1" x14ac:dyDescent="0.25">
      <c r="A459" s="196"/>
      <c r="B459" s="196"/>
      <c r="C459" s="210"/>
      <c r="D459" s="210"/>
      <c r="E459" s="196"/>
      <c r="F459" s="196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196"/>
    </row>
    <row r="460" spans="1:25" ht="19.5" customHeight="1" x14ac:dyDescent="0.25">
      <c r="A460" s="196"/>
      <c r="B460" s="196"/>
      <c r="C460" s="210"/>
      <c r="D460" s="210"/>
      <c r="E460" s="196"/>
      <c r="F460" s="196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196"/>
    </row>
    <row r="461" spans="1:25" ht="19.5" customHeight="1" x14ac:dyDescent="0.25">
      <c r="A461" s="196"/>
      <c r="B461" s="196"/>
      <c r="C461" s="210"/>
      <c r="D461" s="210"/>
      <c r="E461" s="196"/>
      <c r="F461" s="196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196"/>
    </row>
    <row r="462" spans="1:25" ht="19.5" customHeight="1" x14ac:dyDescent="0.25">
      <c r="A462" s="196"/>
      <c r="B462" s="196"/>
      <c r="C462" s="210"/>
      <c r="D462" s="210"/>
      <c r="E462" s="196"/>
      <c r="F462" s="196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196"/>
    </row>
    <row r="463" spans="1:25" ht="19.5" customHeight="1" x14ac:dyDescent="0.25">
      <c r="A463" s="196"/>
      <c r="B463" s="196"/>
      <c r="C463" s="210"/>
      <c r="D463" s="210"/>
      <c r="E463" s="196"/>
      <c r="F463" s="196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196"/>
    </row>
    <row r="464" spans="1:25" ht="19.5" customHeight="1" x14ac:dyDescent="0.25">
      <c r="A464" s="196"/>
      <c r="B464" s="196"/>
      <c r="C464" s="210"/>
      <c r="D464" s="210"/>
      <c r="E464" s="196"/>
      <c r="F464" s="196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196"/>
    </row>
    <row r="465" spans="1:25" ht="19.5" customHeight="1" x14ac:dyDescent="0.25">
      <c r="A465" s="196"/>
      <c r="B465" s="196"/>
      <c r="C465" s="210"/>
      <c r="D465" s="210"/>
      <c r="E465" s="196"/>
      <c r="F465" s="196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196"/>
    </row>
    <row r="466" spans="1:25" ht="19.5" customHeight="1" x14ac:dyDescent="0.25">
      <c r="A466" s="196"/>
      <c r="B466" s="196"/>
      <c r="C466" s="210"/>
      <c r="D466" s="210"/>
      <c r="E466" s="196"/>
      <c r="F466" s="196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196"/>
    </row>
    <row r="467" spans="1:25" ht="19.5" customHeight="1" x14ac:dyDescent="0.25">
      <c r="A467" s="196"/>
      <c r="B467" s="196"/>
      <c r="C467" s="210"/>
      <c r="D467" s="210"/>
      <c r="E467" s="196"/>
      <c r="F467" s="196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196"/>
    </row>
    <row r="468" spans="1:25" ht="19.5" customHeight="1" x14ac:dyDescent="0.25">
      <c r="A468" s="196"/>
      <c r="B468" s="196"/>
      <c r="C468" s="210"/>
      <c r="D468" s="210"/>
      <c r="E468" s="196"/>
      <c r="F468" s="196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196"/>
    </row>
    <row r="469" spans="1:25" ht="19.5" customHeight="1" x14ac:dyDescent="0.25">
      <c r="A469" s="196"/>
      <c r="B469" s="196"/>
      <c r="C469" s="210"/>
      <c r="D469" s="210"/>
      <c r="E469" s="196"/>
      <c r="F469" s="196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196"/>
    </row>
    <row r="470" spans="1:25" ht="19.5" customHeight="1" x14ac:dyDescent="0.25">
      <c r="A470" s="196"/>
      <c r="B470" s="196"/>
      <c r="C470" s="210"/>
      <c r="D470" s="210"/>
      <c r="E470" s="196"/>
      <c r="F470" s="196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196"/>
    </row>
    <row r="471" spans="1:25" ht="19.5" customHeight="1" x14ac:dyDescent="0.25">
      <c r="A471" s="196"/>
      <c r="B471" s="196"/>
      <c r="C471" s="210"/>
      <c r="D471" s="210"/>
      <c r="E471" s="196"/>
      <c r="F471" s="196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196"/>
    </row>
    <row r="472" spans="1:25" ht="19.5" customHeight="1" x14ac:dyDescent="0.25">
      <c r="A472" s="196"/>
      <c r="B472" s="196"/>
      <c r="C472" s="210"/>
      <c r="D472" s="210"/>
      <c r="E472" s="196"/>
      <c r="F472" s="196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196"/>
    </row>
    <row r="473" spans="1:25" ht="19.5" customHeight="1" x14ac:dyDescent="0.25">
      <c r="A473" s="196"/>
      <c r="B473" s="196"/>
      <c r="C473" s="210"/>
      <c r="D473" s="210"/>
      <c r="E473" s="196"/>
      <c r="F473" s="196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196"/>
    </row>
    <row r="474" spans="1:25" ht="19.5" customHeight="1" x14ac:dyDescent="0.25">
      <c r="A474" s="196"/>
      <c r="B474" s="196"/>
      <c r="C474" s="210"/>
      <c r="D474" s="210"/>
      <c r="E474" s="196"/>
      <c r="F474" s="196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196"/>
    </row>
    <row r="475" spans="1:25" ht="19.5" customHeight="1" x14ac:dyDescent="0.25">
      <c r="A475" s="196"/>
      <c r="B475" s="196"/>
      <c r="C475" s="210"/>
      <c r="D475" s="210"/>
      <c r="E475" s="196"/>
      <c r="F475" s="196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196"/>
    </row>
    <row r="476" spans="1:25" ht="19.5" customHeight="1" x14ac:dyDescent="0.25">
      <c r="A476" s="196"/>
      <c r="B476" s="196"/>
      <c r="C476" s="210"/>
      <c r="D476" s="210"/>
      <c r="E476" s="196"/>
      <c r="F476" s="196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196"/>
    </row>
    <row r="477" spans="1:25" ht="19.5" customHeight="1" x14ac:dyDescent="0.25">
      <c r="A477" s="196"/>
      <c r="B477" s="196"/>
      <c r="C477" s="210"/>
      <c r="D477" s="210"/>
      <c r="E477" s="196"/>
      <c r="F477" s="196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196"/>
    </row>
    <row r="478" spans="1:25" ht="19.5" customHeight="1" x14ac:dyDescent="0.25">
      <c r="A478" s="196"/>
      <c r="B478" s="196"/>
      <c r="C478" s="210"/>
      <c r="D478" s="210"/>
      <c r="E478" s="196"/>
      <c r="F478" s="196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196"/>
    </row>
    <row r="479" spans="1:25" ht="19.5" customHeight="1" x14ac:dyDescent="0.25">
      <c r="A479" s="196"/>
      <c r="B479" s="196"/>
      <c r="C479" s="210"/>
      <c r="D479" s="210"/>
      <c r="E479" s="196"/>
      <c r="F479" s="196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196"/>
    </row>
    <row r="480" spans="1:25" ht="19.5" customHeight="1" x14ac:dyDescent="0.25">
      <c r="A480" s="196"/>
      <c r="B480" s="196"/>
      <c r="C480" s="210"/>
      <c r="D480" s="210"/>
      <c r="E480" s="196"/>
      <c r="F480" s="196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196"/>
    </row>
    <row r="481" spans="1:25" ht="19.5" customHeight="1" x14ac:dyDescent="0.25">
      <c r="A481" s="196"/>
      <c r="B481" s="196"/>
      <c r="C481" s="210"/>
      <c r="D481" s="210"/>
      <c r="E481" s="196"/>
      <c r="F481" s="196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196"/>
    </row>
    <row r="482" spans="1:25" ht="19.5" customHeight="1" x14ac:dyDescent="0.25">
      <c r="A482" s="196"/>
      <c r="B482" s="196"/>
      <c r="C482" s="210"/>
      <c r="D482" s="210"/>
      <c r="E482" s="196"/>
      <c r="F482" s="196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196"/>
    </row>
    <row r="483" spans="1:25" ht="19.5" customHeight="1" x14ac:dyDescent="0.25">
      <c r="A483" s="196"/>
      <c r="B483" s="196"/>
      <c r="C483" s="210"/>
      <c r="D483" s="210"/>
      <c r="E483" s="196"/>
      <c r="F483" s="196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196"/>
    </row>
    <row r="484" spans="1:25" ht="19.5" customHeight="1" x14ac:dyDescent="0.25">
      <c r="A484" s="196"/>
      <c r="B484" s="196"/>
      <c r="C484" s="210"/>
      <c r="D484" s="210"/>
      <c r="E484" s="196"/>
      <c r="F484" s="196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196"/>
    </row>
    <row r="485" spans="1:25" ht="19.5" customHeight="1" x14ac:dyDescent="0.25">
      <c r="A485" s="196"/>
      <c r="B485" s="196"/>
      <c r="C485" s="210"/>
      <c r="D485" s="210"/>
      <c r="E485" s="196"/>
      <c r="F485" s="196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196"/>
    </row>
    <row r="486" spans="1:25" ht="19.5" customHeight="1" x14ac:dyDescent="0.25">
      <c r="A486" s="196"/>
      <c r="B486" s="196"/>
      <c r="C486" s="210"/>
      <c r="D486" s="210"/>
      <c r="E486" s="196"/>
      <c r="F486" s="196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196"/>
    </row>
    <row r="487" spans="1:25" ht="19.5" customHeight="1" x14ac:dyDescent="0.25">
      <c r="A487" s="196"/>
      <c r="B487" s="196"/>
      <c r="C487" s="210"/>
      <c r="D487" s="210"/>
      <c r="E487" s="196"/>
      <c r="F487" s="196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196"/>
    </row>
    <row r="488" spans="1:25" ht="19.5" customHeight="1" x14ac:dyDescent="0.25">
      <c r="A488" s="196"/>
      <c r="B488" s="196"/>
      <c r="C488" s="210"/>
      <c r="D488" s="210"/>
      <c r="E488" s="196"/>
      <c r="F488" s="196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196"/>
    </row>
    <row r="489" spans="1:25" ht="19.5" customHeight="1" x14ac:dyDescent="0.25">
      <c r="A489" s="196"/>
      <c r="B489" s="196"/>
      <c r="C489" s="210"/>
      <c r="D489" s="210"/>
      <c r="E489" s="196"/>
      <c r="F489" s="196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196"/>
    </row>
    <row r="490" spans="1:25" ht="19.5" customHeight="1" x14ac:dyDescent="0.25">
      <c r="A490" s="196"/>
      <c r="B490" s="196"/>
      <c r="C490" s="210"/>
      <c r="D490" s="210"/>
      <c r="E490" s="196"/>
      <c r="F490" s="196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196"/>
    </row>
    <row r="491" spans="1:25" ht="19.5" customHeight="1" x14ac:dyDescent="0.25">
      <c r="A491" s="196"/>
      <c r="B491" s="196"/>
      <c r="C491" s="210"/>
      <c r="D491" s="210"/>
      <c r="E491" s="196"/>
      <c r="F491" s="196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196"/>
    </row>
    <row r="492" spans="1:25" ht="19.5" customHeight="1" x14ac:dyDescent="0.25">
      <c r="A492" s="196"/>
      <c r="B492" s="196"/>
      <c r="C492" s="210"/>
      <c r="D492" s="210"/>
      <c r="E492" s="196"/>
      <c r="F492" s="196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196"/>
    </row>
    <row r="493" spans="1:25" ht="19.5" customHeight="1" x14ac:dyDescent="0.25">
      <c r="A493" s="196"/>
      <c r="B493" s="196"/>
      <c r="C493" s="210"/>
      <c r="D493" s="210"/>
      <c r="E493" s="196"/>
      <c r="F493" s="196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196"/>
    </row>
    <row r="494" spans="1:25" ht="19.5" customHeight="1" x14ac:dyDescent="0.25">
      <c r="A494" s="196"/>
      <c r="B494" s="196"/>
      <c r="C494" s="210"/>
      <c r="D494" s="210"/>
      <c r="E494" s="196"/>
      <c r="F494" s="196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196"/>
    </row>
    <row r="495" spans="1:25" ht="19.5" customHeight="1" x14ac:dyDescent="0.25">
      <c r="A495" s="196"/>
      <c r="B495" s="196"/>
      <c r="C495" s="210"/>
      <c r="D495" s="210"/>
      <c r="E495" s="196"/>
      <c r="F495" s="196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196"/>
    </row>
    <row r="496" spans="1:25" ht="19.5" customHeight="1" x14ac:dyDescent="0.25">
      <c r="A496" s="196"/>
      <c r="B496" s="196"/>
      <c r="C496" s="210"/>
      <c r="D496" s="210"/>
      <c r="E496" s="196"/>
      <c r="F496" s="196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196"/>
    </row>
    <row r="497" spans="1:25" ht="19.5" customHeight="1" x14ac:dyDescent="0.25">
      <c r="A497" s="196"/>
      <c r="B497" s="196"/>
      <c r="C497" s="210"/>
      <c r="D497" s="210"/>
      <c r="E497" s="196"/>
      <c r="F497" s="196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196"/>
    </row>
    <row r="498" spans="1:25" ht="19.5" customHeight="1" x14ac:dyDescent="0.25">
      <c r="A498" s="196"/>
      <c r="B498" s="196"/>
      <c r="C498" s="210"/>
      <c r="D498" s="210"/>
      <c r="E498" s="196"/>
      <c r="F498" s="196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196"/>
    </row>
    <row r="499" spans="1:25" ht="19.5" customHeight="1" x14ac:dyDescent="0.25">
      <c r="A499" s="196"/>
      <c r="B499" s="196"/>
      <c r="C499" s="210"/>
      <c r="D499" s="210"/>
      <c r="E499" s="196"/>
      <c r="F499" s="196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196"/>
    </row>
    <row r="500" spans="1:25" ht="19.5" customHeight="1" x14ac:dyDescent="0.25">
      <c r="A500" s="196"/>
      <c r="B500" s="196"/>
      <c r="C500" s="210"/>
      <c r="D500" s="210"/>
      <c r="E500" s="196"/>
      <c r="F500" s="196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196"/>
    </row>
    <row r="501" spans="1:25" ht="19.5" customHeight="1" x14ac:dyDescent="0.25">
      <c r="A501" s="196"/>
      <c r="B501" s="196"/>
      <c r="C501" s="210"/>
      <c r="D501" s="210"/>
      <c r="E501" s="196"/>
      <c r="F501" s="196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196"/>
    </row>
    <row r="502" spans="1:25" ht="19.5" customHeight="1" x14ac:dyDescent="0.25">
      <c r="A502" s="196"/>
      <c r="B502" s="196"/>
      <c r="C502" s="210"/>
      <c r="D502" s="210"/>
      <c r="E502" s="196"/>
      <c r="F502" s="196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196"/>
    </row>
    <row r="503" spans="1:25" ht="19.5" customHeight="1" x14ac:dyDescent="0.25">
      <c r="A503" s="196"/>
      <c r="B503" s="196"/>
      <c r="C503" s="210"/>
      <c r="D503" s="210"/>
      <c r="E503" s="196"/>
      <c r="F503" s="196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196"/>
    </row>
    <row r="504" spans="1:25" ht="19.5" customHeight="1" x14ac:dyDescent="0.25">
      <c r="A504" s="196"/>
      <c r="B504" s="196"/>
      <c r="C504" s="210"/>
      <c r="D504" s="210"/>
      <c r="E504" s="196"/>
      <c r="F504" s="196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196"/>
    </row>
    <row r="505" spans="1:25" ht="19.5" customHeight="1" x14ac:dyDescent="0.25">
      <c r="A505" s="196"/>
      <c r="B505" s="196"/>
      <c r="C505" s="210"/>
      <c r="D505" s="210"/>
      <c r="E505" s="196"/>
      <c r="F505" s="196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196"/>
    </row>
    <row r="506" spans="1:25" ht="19.5" customHeight="1" x14ac:dyDescent="0.25">
      <c r="A506" s="196"/>
      <c r="B506" s="196"/>
      <c r="C506" s="210"/>
      <c r="D506" s="210"/>
      <c r="E506" s="196"/>
      <c r="F506" s="196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196"/>
    </row>
    <row r="507" spans="1:25" ht="19.5" customHeight="1" x14ac:dyDescent="0.25">
      <c r="A507" s="196"/>
      <c r="B507" s="196"/>
      <c r="C507" s="210"/>
      <c r="D507" s="210"/>
      <c r="E507" s="196"/>
      <c r="F507" s="196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196"/>
    </row>
    <row r="508" spans="1:25" ht="19.5" customHeight="1" x14ac:dyDescent="0.25">
      <c r="A508" s="196"/>
      <c r="B508" s="196"/>
      <c r="C508" s="210"/>
      <c r="D508" s="210"/>
      <c r="E508" s="196"/>
      <c r="F508" s="196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196"/>
    </row>
    <row r="509" spans="1:25" ht="19.5" customHeight="1" x14ac:dyDescent="0.25">
      <c r="A509" s="196"/>
      <c r="B509" s="196"/>
      <c r="C509" s="210"/>
      <c r="D509" s="210"/>
      <c r="E509" s="196"/>
      <c r="F509" s="196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196"/>
    </row>
    <row r="510" spans="1:25" ht="19.5" customHeight="1" x14ac:dyDescent="0.25">
      <c r="A510" s="196"/>
      <c r="B510" s="196"/>
      <c r="C510" s="210"/>
      <c r="D510" s="210"/>
      <c r="E510" s="196"/>
      <c r="F510" s="196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196"/>
    </row>
    <row r="511" spans="1:25" ht="19.5" customHeight="1" x14ac:dyDescent="0.25">
      <c r="A511" s="196"/>
      <c r="B511" s="196"/>
      <c r="C511" s="210"/>
      <c r="D511" s="210"/>
      <c r="E511" s="196"/>
      <c r="F511" s="196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196"/>
    </row>
    <row r="512" spans="1:25" ht="19.5" customHeight="1" x14ac:dyDescent="0.25">
      <c r="A512" s="196"/>
      <c r="B512" s="196"/>
      <c r="C512" s="210"/>
      <c r="D512" s="210"/>
      <c r="E512" s="196"/>
      <c r="F512" s="196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196"/>
    </row>
    <row r="513" spans="1:25" ht="19.5" customHeight="1" x14ac:dyDescent="0.25">
      <c r="A513" s="196"/>
      <c r="B513" s="196"/>
      <c r="C513" s="210"/>
      <c r="D513" s="210"/>
      <c r="E513" s="196"/>
      <c r="F513" s="196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196"/>
    </row>
    <row r="514" spans="1:25" ht="19.5" customHeight="1" x14ac:dyDescent="0.25">
      <c r="A514" s="196"/>
      <c r="B514" s="196"/>
      <c r="C514" s="210"/>
      <c r="D514" s="210"/>
      <c r="E514" s="196"/>
      <c r="F514" s="196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196"/>
    </row>
    <row r="515" spans="1:25" ht="19.5" customHeight="1" x14ac:dyDescent="0.25">
      <c r="A515" s="196"/>
      <c r="B515" s="196"/>
      <c r="C515" s="210"/>
      <c r="D515" s="210"/>
      <c r="E515" s="196"/>
      <c r="F515" s="196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196"/>
    </row>
    <row r="516" spans="1:25" ht="19.5" customHeight="1" x14ac:dyDescent="0.25">
      <c r="A516" s="196"/>
      <c r="B516" s="196"/>
      <c r="C516" s="210"/>
      <c r="D516" s="210"/>
      <c r="E516" s="196"/>
      <c r="F516" s="196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196"/>
    </row>
    <row r="517" spans="1:25" ht="19.5" customHeight="1" x14ac:dyDescent="0.25">
      <c r="A517" s="196"/>
      <c r="B517" s="196"/>
      <c r="C517" s="210"/>
      <c r="D517" s="210"/>
      <c r="E517" s="196"/>
      <c r="F517" s="196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196"/>
    </row>
    <row r="518" spans="1:25" ht="19.5" customHeight="1" x14ac:dyDescent="0.25">
      <c r="A518" s="196"/>
      <c r="B518" s="196"/>
      <c r="C518" s="210"/>
      <c r="D518" s="210"/>
      <c r="E518" s="196"/>
      <c r="F518" s="196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196"/>
    </row>
    <row r="519" spans="1:25" ht="19.5" customHeight="1" x14ac:dyDescent="0.25">
      <c r="A519" s="196"/>
      <c r="B519" s="196"/>
      <c r="C519" s="210"/>
      <c r="D519" s="210"/>
      <c r="E519" s="196"/>
      <c r="F519" s="196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196"/>
    </row>
    <row r="520" spans="1:25" ht="19.5" customHeight="1" x14ac:dyDescent="0.25">
      <c r="A520" s="196"/>
      <c r="B520" s="196"/>
      <c r="C520" s="210"/>
      <c r="D520" s="210"/>
      <c r="E520" s="196"/>
      <c r="F520" s="196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196"/>
    </row>
    <row r="521" spans="1:25" ht="19.5" customHeight="1" x14ac:dyDescent="0.25">
      <c r="A521" s="196"/>
      <c r="B521" s="196"/>
      <c r="C521" s="210"/>
      <c r="D521" s="210"/>
      <c r="E521" s="196"/>
      <c r="F521" s="196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196"/>
    </row>
    <row r="522" spans="1:25" ht="19.5" customHeight="1" x14ac:dyDescent="0.25">
      <c r="A522" s="196"/>
      <c r="B522" s="196"/>
      <c r="C522" s="210"/>
      <c r="D522" s="210"/>
      <c r="E522" s="196"/>
      <c r="F522" s="196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196"/>
    </row>
    <row r="523" spans="1:25" ht="19.5" customHeight="1" x14ac:dyDescent="0.25">
      <c r="A523" s="196"/>
      <c r="B523" s="196"/>
      <c r="C523" s="210"/>
      <c r="D523" s="210"/>
      <c r="E523" s="196"/>
      <c r="F523" s="196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196"/>
    </row>
    <row r="524" spans="1:25" ht="19.5" customHeight="1" x14ac:dyDescent="0.25">
      <c r="A524" s="196"/>
      <c r="B524" s="196"/>
      <c r="C524" s="210"/>
      <c r="D524" s="210"/>
      <c r="E524" s="196"/>
      <c r="F524" s="196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196"/>
    </row>
    <row r="525" spans="1:25" ht="19.5" customHeight="1" x14ac:dyDescent="0.25">
      <c r="A525" s="196"/>
      <c r="B525" s="196"/>
      <c r="C525" s="210"/>
      <c r="D525" s="210"/>
      <c r="E525" s="196"/>
      <c r="F525" s="196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196"/>
    </row>
    <row r="526" spans="1:25" ht="19.5" customHeight="1" x14ac:dyDescent="0.25">
      <c r="A526" s="196"/>
      <c r="B526" s="196"/>
      <c r="C526" s="210"/>
      <c r="D526" s="210"/>
      <c r="E526" s="196"/>
      <c r="F526" s="196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196"/>
    </row>
    <row r="527" spans="1:25" ht="19.5" customHeight="1" x14ac:dyDescent="0.25">
      <c r="A527" s="196"/>
      <c r="B527" s="196"/>
      <c r="C527" s="210"/>
      <c r="D527" s="210"/>
      <c r="E527" s="196"/>
      <c r="F527" s="196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196"/>
    </row>
    <row r="528" spans="1:25" ht="19.5" customHeight="1" x14ac:dyDescent="0.25">
      <c r="A528" s="196"/>
      <c r="B528" s="196"/>
      <c r="C528" s="210"/>
      <c r="D528" s="210"/>
      <c r="E528" s="196"/>
      <c r="F528" s="196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196"/>
    </row>
    <row r="529" spans="1:25" ht="19.5" customHeight="1" x14ac:dyDescent="0.25">
      <c r="A529" s="196"/>
      <c r="B529" s="196"/>
      <c r="C529" s="210"/>
      <c r="D529" s="210"/>
      <c r="E529" s="196"/>
      <c r="F529" s="196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196"/>
    </row>
    <row r="530" spans="1:25" ht="19.5" customHeight="1" x14ac:dyDescent="0.25">
      <c r="A530" s="196"/>
      <c r="B530" s="196"/>
      <c r="C530" s="210"/>
      <c r="D530" s="210"/>
      <c r="E530" s="196"/>
      <c r="F530" s="196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196"/>
    </row>
    <row r="531" spans="1:25" ht="19.5" customHeight="1" x14ac:dyDescent="0.25">
      <c r="A531" s="196"/>
      <c r="B531" s="196"/>
      <c r="C531" s="210"/>
      <c r="D531" s="210"/>
      <c r="E531" s="196"/>
      <c r="F531" s="196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196"/>
    </row>
    <row r="532" spans="1:25" ht="19.5" customHeight="1" x14ac:dyDescent="0.25">
      <c r="A532" s="196"/>
      <c r="B532" s="196"/>
      <c r="C532" s="210"/>
      <c r="D532" s="210"/>
      <c r="E532" s="196"/>
      <c r="F532" s="196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196"/>
    </row>
    <row r="533" spans="1:25" ht="19.5" customHeight="1" x14ac:dyDescent="0.25">
      <c r="A533" s="196"/>
      <c r="B533" s="196"/>
      <c r="C533" s="210"/>
      <c r="D533" s="210"/>
      <c r="E533" s="196"/>
      <c r="F533" s="196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196"/>
    </row>
    <row r="534" spans="1:25" ht="19.5" customHeight="1" x14ac:dyDescent="0.25">
      <c r="A534" s="196"/>
      <c r="B534" s="196"/>
      <c r="C534" s="210"/>
      <c r="D534" s="210"/>
      <c r="E534" s="196"/>
      <c r="F534" s="196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196"/>
    </row>
    <row r="535" spans="1:25" ht="19.5" customHeight="1" x14ac:dyDescent="0.25">
      <c r="A535" s="196"/>
      <c r="B535" s="196"/>
      <c r="C535" s="210"/>
      <c r="D535" s="210"/>
      <c r="E535" s="196"/>
      <c r="F535" s="196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196"/>
    </row>
    <row r="536" spans="1:25" ht="19.5" customHeight="1" x14ac:dyDescent="0.25">
      <c r="A536" s="196"/>
      <c r="B536" s="196"/>
      <c r="C536" s="210"/>
      <c r="D536" s="210"/>
      <c r="E536" s="196"/>
      <c r="F536" s="196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196"/>
    </row>
    <row r="537" spans="1:25" ht="19.5" customHeight="1" x14ac:dyDescent="0.25">
      <c r="A537" s="196"/>
      <c r="B537" s="196"/>
      <c r="C537" s="210"/>
      <c r="D537" s="210"/>
      <c r="E537" s="196"/>
      <c r="F537" s="196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196"/>
    </row>
    <row r="538" spans="1:25" ht="19.5" customHeight="1" x14ac:dyDescent="0.25">
      <c r="A538" s="196"/>
      <c r="B538" s="196"/>
      <c r="C538" s="210"/>
      <c r="D538" s="210"/>
      <c r="E538" s="196"/>
      <c r="F538" s="196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196"/>
    </row>
    <row r="539" spans="1:25" ht="19.5" customHeight="1" x14ac:dyDescent="0.25">
      <c r="A539" s="196"/>
      <c r="B539" s="196"/>
      <c r="C539" s="210"/>
      <c r="D539" s="210"/>
      <c r="E539" s="196"/>
      <c r="F539" s="196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196"/>
    </row>
    <row r="540" spans="1:25" ht="19.5" customHeight="1" x14ac:dyDescent="0.25">
      <c r="A540" s="196"/>
      <c r="B540" s="196"/>
      <c r="C540" s="210"/>
      <c r="D540" s="210"/>
      <c r="E540" s="196"/>
      <c r="F540" s="196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196"/>
    </row>
    <row r="541" spans="1:25" ht="19.5" customHeight="1" x14ac:dyDescent="0.25">
      <c r="A541" s="196"/>
      <c r="B541" s="196"/>
      <c r="C541" s="210"/>
      <c r="D541" s="210"/>
      <c r="E541" s="196"/>
      <c r="F541" s="196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196"/>
    </row>
    <row r="542" spans="1:25" ht="19.5" customHeight="1" x14ac:dyDescent="0.25">
      <c r="A542" s="196"/>
      <c r="B542" s="196"/>
      <c r="C542" s="210"/>
      <c r="D542" s="210"/>
      <c r="E542" s="196"/>
      <c r="F542" s="196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196"/>
    </row>
    <row r="543" spans="1:25" ht="19.5" customHeight="1" x14ac:dyDescent="0.25">
      <c r="A543" s="196"/>
      <c r="B543" s="196"/>
      <c r="C543" s="210"/>
      <c r="D543" s="210"/>
      <c r="E543" s="196"/>
      <c r="F543" s="196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196"/>
    </row>
    <row r="544" spans="1:25" ht="19.5" customHeight="1" x14ac:dyDescent="0.25">
      <c r="A544" s="196"/>
      <c r="B544" s="196"/>
      <c r="C544" s="210"/>
      <c r="D544" s="210"/>
      <c r="E544" s="196"/>
      <c r="F544" s="196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196"/>
    </row>
    <row r="545" spans="1:25" ht="19.5" customHeight="1" x14ac:dyDescent="0.25">
      <c r="A545" s="196"/>
      <c r="B545" s="196"/>
      <c r="C545" s="210"/>
      <c r="D545" s="210"/>
      <c r="E545" s="196"/>
      <c r="F545" s="196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196"/>
    </row>
    <row r="546" spans="1:25" ht="19.5" customHeight="1" x14ac:dyDescent="0.25">
      <c r="A546" s="196"/>
      <c r="B546" s="196"/>
      <c r="C546" s="210"/>
      <c r="D546" s="210"/>
      <c r="E546" s="196"/>
      <c r="F546" s="196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196"/>
    </row>
    <row r="547" spans="1:25" ht="19.5" customHeight="1" x14ac:dyDescent="0.25">
      <c r="A547" s="196"/>
      <c r="B547" s="196"/>
      <c r="C547" s="210"/>
      <c r="D547" s="210"/>
      <c r="E547" s="196"/>
      <c r="F547" s="196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196"/>
    </row>
    <row r="548" spans="1:25" ht="19.5" customHeight="1" x14ac:dyDescent="0.25">
      <c r="A548" s="196"/>
      <c r="B548" s="196"/>
      <c r="C548" s="210"/>
      <c r="D548" s="210"/>
      <c r="E548" s="196"/>
      <c r="F548" s="196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196"/>
    </row>
    <row r="549" spans="1:25" ht="19.5" customHeight="1" x14ac:dyDescent="0.25">
      <c r="A549" s="196"/>
      <c r="B549" s="196"/>
      <c r="C549" s="210"/>
      <c r="D549" s="210"/>
      <c r="E549" s="196"/>
      <c r="F549" s="196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196"/>
    </row>
    <row r="550" spans="1:25" ht="19.5" customHeight="1" x14ac:dyDescent="0.25">
      <c r="A550" s="196"/>
      <c r="B550" s="196"/>
      <c r="C550" s="210"/>
      <c r="D550" s="210"/>
      <c r="E550" s="196"/>
      <c r="F550" s="196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196"/>
    </row>
    <row r="551" spans="1:25" ht="19.5" customHeight="1" x14ac:dyDescent="0.25">
      <c r="A551" s="196"/>
      <c r="B551" s="196"/>
      <c r="C551" s="210"/>
      <c r="D551" s="210"/>
      <c r="E551" s="196"/>
      <c r="F551" s="196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196"/>
    </row>
    <row r="552" spans="1:25" ht="19.5" customHeight="1" x14ac:dyDescent="0.25">
      <c r="A552" s="196"/>
      <c r="B552" s="196"/>
      <c r="C552" s="210"/>
      <c r="D552" s="210"/>
      <c r="E552" s="196"/>
      <c r="F552" s="196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196"/>
    </row>
    <row r="553" spans="1:25" ht="19.5" customHeight="1" x14ac:dyDescent="0.25">
      <c r="A553" s="196"/>
      <c r="B553" s="196"/>
      <c r="C553" s="210"/>
      <c r="D553" s="210"/>
      <c r="E553" s="196"/>
      <c r="F553" s="196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196"/>
    </row>
    <row r="554" spans="1:25" ht="19.5" customHeight="1" x14ac:dyDescent="0.25">
      <c r="A554" s="196"/>
      <c r="B554" s="196"/>
      <c r="C554" s="210"/>
      <c r="D554" s="210"/>
      <c r="E554" s="196"/>
      <c r="F554" s="196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196"/>
    </row>
    <row r="555" spans="1:25" ht="19.5" customHeight="1" x14ac:dyDescent="0.25">
      <c r="A555" s="196"/>
      <c r="B555" s="196"/>
      <c r="C555" s="210"/>
      <c r="D555" s="210"/>
      <c r="E555" s="196"/>
      <c r="F555" s="196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196"/>
    </row>
    <row r="556" spans="1:25" ht="19.5" customHeight="1" x14ac:dyDescent="0.25">
      <c r="A556" s="196"/>
      <c r="B556" s="196"/>
      <c r="C556" s="210"/>
      <c r="D556" s="210"/>
      <c r="E556" s="196"/>
      <c r="F556" s="196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196"/>
    </row>
    <row r="557" spans="1:25" ht="19.5" customHeight="1" x14ac:dyDescent="0.25">
      <c r="A557" s="196"/>
      <c r="B557" s="196"/>
      <c r="C557" s="210"/>
      <c r="D557" s="210"/>
      <c r="E557" s="196"/>
      <c r="F557" s="196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196"/>
    </row>
    <row r="558" spans="1:25" ht="19.5" customHeight="1" x14ac:dyDescent="0.25">
      <c r="A558" s="196"/>
      <c r="B558" s="196"/>
      <c r="C558" s="210"/>
      <c r="D558" s="210"/>
      <c r="E558" s="196"/>
      <c r="F558" s="196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196"/>
    </row>
    <row r="559" spans="1:25" ht="19.5" customHeight="1" x14ac:dyDescent="0.25">
      <c r="A559" s="196"/>
      <c r="B559" s="196"/>
      <c r="C559" s="210"/>
      <c r="D559" s="210"/>
      <c r="E559" s="196"/>
      <c r="F559" s="196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196"/>
    </row>
    <row r="560" spans="1:25" ht="19.5" customHeight="1" x14ac:dyDescent="0.25">
      <c r="A560" s="196"/>
      <c r="B560" s="196"/>
      <c r="C560" s="210"/>
      <c r="D560" s="210"/>
      <c r="E560" s="196"/>
      <c r="F560" s="196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196"/>
    </row>
    <row r="561" spans="1:25" ht="19.5" customHeight="1" x14ac:dyDescent="0.25">
      <c r="A561" s="196"/>
      <c r="B561" s="196"/>
      <c r="C561" s="210"/>
      <c r="D561" s="210"/>
      <c r="E561" s="196"/>
      <c r="F561" s="196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196"/>
    </row>
    <row r="562" spans="1:25" ht="19.5" customHeight="1" x14ac:dyDescent="0.25">
      <c r="A562" s="196"/>
      <c r="B562" s="196"/>
      <c r="C562" s="210"/>
      <c r="D562" s="210"/>
      <c r="E562" s="196"/>
      <c r="F562" s="196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196"/>
    </row>
    <row r="563" spans="1:25" ht="19.5" customHeight="1" x14ac:dyDescent="0.25">
      <c r="A563" s="196"/>
      <c r="B563" s="196"/>
      <c r="C563" s="210"/>
      <c r="D563" s="210"/>
      <c r="E563" s="196"/>
      <c r="F563" s="196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196"/>
    </row>
    <row r="564" spans="1:25" ht="19.5" customHeight="1" x14ac:dyDescent="0.25">
      <c r="A564" s="196"/>
      <c r="B564" s="196"/>
      <c r="C564" s="210"/>
      <c r="D564" s="210"/>
      <c r="E564" s="196"/>
      <c r="F564" s="196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196"/>
    </row>
    <row r="565" spans="1:25" ht="19.5" customHeight="1" x14ac:dyDescent="0.25">
      <c r="A565" s="196"/>
      <c r="B565" s="196"/>
      <c r="C565" s="210"/>
      <c r="D565" s="210"/>
      <c r="E565" s="196"/>
      <c r="F565" s="196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196"/>
    </row>
    <row r="566" spans="1:25" ht="19.5" customHeight="1" x14ac:dyDescent="0.25">
      <c r="A566" s="196"/>
      <c r="B566" s="196"/>
      <c r="C566" s="210"/>
      <c r="D566" s="210"/>
      <c r="E566" s="196"/>
      <c r="F566" s="196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196"/>
    </row>
    <row r="567" spans="1:25" ht="19.5" customHeight="1" x14ac:dyDescent="0.25">
      <c r="A567" s="196"/>
      <c r="B567" s="196"/>
      <c r="C567" s="210"/>
      <c r="D567" s="210"/>
      <c r="E567" s="196"/>
      <c r="F567" s="196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196"/>
    </row>
    <row r="568" spans="1:25" ht="19.5" customHeight="1" x14ac:dyDescent="0.25">
      <c r="A568" s="196"/>
      <c r="B568" s="196"/>
      <c r="C568" s="210"/>
      <c r="D568" s="210"/>
      <c r="E568" s="196"/>
      <c r="F568" s="196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196"/>
    </row>
    <row r="569" spans="1:25" ht="19.5" customHeight="1" x14ac:dyDescent="0.25">
      <c r="A569" s="196"/>
      <c r="B569" s="196"/>
      <c r="C569" s="210"/>
      <c r="D569" s="210"/>
      <c r="E569" s="196"/>
      <c r="F569" s="196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196"/>
    </row>
    <row r="570" spans="1:25" ht="19.5" customHeight="1" x14ac:dyDescent="0.25">
      <c r="A570" s="196"/>
      <c r="B570" s="196"/>
      <c r="C570" s="210"/>
      <c r="D570" s="210"/>
      <c r="E570" s="196"/>
      <c r="F570" s="196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196"/>
    </row>
    <row r="571" spans="1:25" ht="19.5" customHeight="1" x14ac:dyDescent="0.25">
      <c r="A571" s="196"/>
      <c r="B571" s="196"/>
      <c r="C571" s="210"/>
      <c r="D571" s="210"/>
      <c r="E571" s="196"/>
      <c r="F571" s="196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196"/>
    </row>
    <row r="572" spans="1:25" ht="19.5" customHeight="1" x14ac:dyDescent="0.25">
      <c r="A572" s="196"/>
      <c r="B572" s="196"/>
      <c r="C572" s="210"/>
      <c r="D572" s="210"/>
      <c r="E572" s="196"/>
      <c r="F572" s="196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196"/>
    </row>
    <row r="573" spans="1:25" ht="19.5" customHeight="1" x14ac:dyDescent="0.25">
      <c r="A573" s="196"/>
      <c r="B573" s="196"/>
      <c r="C573" s="210"/>
      <c r="D573" s="210"/>
      <c r="E573" s="196"/>
      <c r="F573" s="196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196"/>
    </row>
    <row r="574" spans="1:25" ht="19.5" customHeight="1" x14ac:dyDescent="0.25">
      <c r="A574" s="196"/>
      <c r="B574" s="196"/>
      <c r="C574" s="210"/>
      <c r="D574" s="210"/>
      <c r="E574" s="196"/>
      <c r="F574" s="196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196"/>
    </row>
    <row r="575" spans="1:25" ht="19.5" customHeight="1" x14ac:dyDescent="0.25">
      <c r="A575" s="196"/>
      <c r="B575" s="196"/>
      <c r="C575" s="210"/>
      <c r="D575" s="210"/>
      <c r="E575" s="196"/>
      <c r="F575" s="196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196"/>
    </row>
    <row r="576" spans="1:25" ht="19.5" customHeight="1" x14ac:dyDescent="0.25">
      <c r="A576" s="196"/>
      <c r="B576" s="196"/>
      <c r="C576" s="210"/>
      <c r="D576" s="210"/>
      <c r="E576" s="196"/>
      <c r="F576" s="196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196"/>
    </row>
    <row r="577" spans="1:25" ht="19.5" customHeight="1" x14ac:dyDescent="0.25">
      <c r="A577" s="196"/>
      <c r="B577" s="196"/>
      <c r="C577" s="210"/>
      <c r="D577" s="210"/>
      <c r="E577" s="196"/>
      <c r="F577" s="196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196"/>
    </row>
    <row r="578" spans="1:25" ht="19.5" customHeight="1" x14ac:dyDescent="0.25">
      <c r="A578" s="196"/>
      <c r="B578" s="196"/>
      <c r="C578" s="210"/>
      <c r="D578" s="210"/>
      <c r="E578" s="196"/>
      <c r="F578" s="196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196"/>
    </row>
    <row r="579" spans="1:25" ht="19.5" customHeight="1" x14ac:dyDescent="0.25">
      <c r="A579" s="196"/>
      <c r="B579" s="196"/>
      <c r="C579" s="210"/>
      <c r="D579" s="210"/>
      <c r="E579" s="196"/>
      <c r="F579" s="196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196"/>
    </row>
    <row r="580" spans="1:25" ht="19.5" customHeight="1" x14ac:dyDescent="0.25">
      <c r="A580" s="196"/>
      <c r="B580" s="196"/>
      <c r="C580" s="210"/>
      <c r="D580" s="210"/>
      <c r="E580" s="196"/>
      <c r="F580" s="196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196"/>
    </row>
    <row r="581" spans="1:25" ht="19.5" customHeight="1" x14ac:dyDescent="0.25">
      <c r="A581" s="196"/>
      <c r="B581" s="196"/>
      <c r="C581" s="210"/>
      <c r="D581" s="210"/>
      <c r="E581" s="196"/>
      <c r="F581" s="196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196"/>
    </row>
    <row r="582" spans="1:25" ht="19.5" customHeight="1" x14ac:dyDescent="0.25">
      <c r="A582" s="196"/>
      <c r="B582" s="196"/>
      <c r="C582" s="210"/>
      <c r="D582" s="210"/>
      <c r="E582" s="196"/>
      <c r="F582" s="196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196"/>
    </row>
    <row r="583" spans="1:25" ht="19.5" customHeight="1" x14ac:dyDescent="0.25">
      <c r="A583" s="196"/>
      <c r="B583" s="196"/>
      <c r="C583" s="210"/>
      <c r="D583" s="210"/>
      <c r="E583" s="196"/>
      <c r="F583" s="196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196"/>
    </row>
    <row r="584" spans="1:25" ht="19.5" customHeight="1" x14ac:dyDescent="0.25">
      <c r="A584" s="196"/>
      <c r="B584" s="196"/>
      <c r="C584" s="210"/>
      <c r="D584" s="210"/>
      <c r="E584" s="196"/>
      <c r="F584" s="196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196"/>
    </row>
    <row r="585" spans="1:25" ht="19.5" customHeight="1" x14ac:dyDescent="0.25">
      <c r="A585" s="196"/>
      <c r="B585" s="196"/>
      <c r="C585" s="210"/>
      <c r="D585" s="210"/>
      <c r="E585" s="196"/>
      <c r="F585" s="196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196"/>
    </row>
    <row r="586" spans="1:25" ht="19.5" customHeight="1" x14ac:dyDescent="0.25">
      <c r="A586" s="196"/>
      <c r="B586" s="196"/>
      <c r="C586" s="210"/>
      <c r="D586" s="210"/>
      <c r="E586" s="196"/>
      <c r="F586" s="196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196"/>
    </row>
    <row r="587" spans="1:25" ht="19.5" customHeight="1" x14ac:dyDescent="0.25">
      <c r="A587" s="196"/>
      <c r="B587" s="196"/>
      <c r="C587" s="210"/>
      <c r="D587" s="210"/>
      <c r="E587" s="196"/>
      <c r="F587" s="196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196"/>
    </row>
    <row r="588" spans="1:25" ht="19.5" customHeight="1" x14ac:dyDescent="0.25">
      <c r="A588" s="196"/>
      <c r="B588" s="196"/>
      <c r="C588" s="210"/>
      <c r="D588" s="210"/>
      <c r="E588" s="196"/>
      <c r="F588" s="196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196"/>
    </row>
    <row r="589" spans="1:25" ht="19.5" customHeight="1" x14ac:dyDescent="0.25">
      <c r="A589" s="196"/>
      <c r="B589" s="196"/>
      <c r="C589" s="210"/>
      <c r="D589" s="210"/>
      <c r="E589" s="196"/>
      <c r="F589" s="196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196"/>
    </row>
    <row r="590" spans="1:25" ht="19.5" customHeight="1" x14ac:dyDescent="0.25">
      <c r="A590" s="196"/>
      <c r="B590" s="196"/>
      <c r="C590" s="210"/>
      <c r="D590" s="210"/>
      <c r="E590" s="196"/>
      <c r="F590" s="196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196"/>
    </row>
    <row r="591" spans="1:25" ht="19.5" customHeight="1" x14ac:dyDescent="0.25">
      <c r="A591" s="196"/>
      <c r="B591" s="196"/>
      <c r="C591" s="210"/>
      <c r="D591" s="210"/>
      <c r="E591" s="196"/>
      <c r="F591" s="196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196"/>
    </row>
    <row r="592" spans="1:25" ht="19.5" customHeight="1" x14ac:dyDescent="0.25">
      <c r="A592" s="196"/>
      <c r="B592" s="196"/>
      <c r="C592" s="210"/>
      <c r="D592" s="210"/>
      <c r="E592" s="196"/>
      <c r="F592" s="196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196"/>
    </row>
    <row r="593" spans="1:25" ht="19.5" customHeight="1" x14ac:dyDescent="0.25">
      <c r="A593" s="196"/>
      <c r="B593" s="196"/>
      <c r="C593" s="210"/>
      <c r="D593" s="210"/>
      <c r="E593" s="196"/>
      <c r="F593" s="196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196"/>
    </row>
    <row r="594" spans="1:25" ht="19.5" customHeight="1" x14ac:dyDescent="0.25">
      <c r="A594" s="196"/>
      <c r="B594" s="196"/>
      <c r="C594" s="210"/>
      <c r="D594" s="210"/>
      <c r="E594" s="196"/>
      <c r="F594" s="196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196"/>
    </row>
    <row r="595" spans="1:25" ht="19.5" customHeight="1" x14ac:dyDescent="0.25">
      <c r="A595" s="196"/>
      <c r="B595" s="196"/>
      <c r="C595" s="210"/>
      <c r="D595" s="210"/>
      <c r="E595" s="196"/>
      <c r="F595" s="196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196"/>
    </row>
    <row r="596" spans="1:25" ht="19.5" customHeight="1" x14ac:dyDescent="0.25">
      <c r="A596" s="196"/>
      <c r="B596" s="196"/>
      <c r="C596" s="210"/>
      <c r="D596" s="210"/>
      <c r="E596" s="196"/>
      <c r="F596" s="196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196"/>
    </row>
    <row r="597" spans="1:25" ht="19.5" customHeight="1" x14ac:dyDescent="0.25">
      <c r="A597" s="196"/>
      <c r="B597" s="196"/>
      <c r="C597" s="210"/>
      <c r="D597" s="210"/>
      <c r="E597" s="196"/>
      <c r="F597" s="196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196"/>
    </row>
    <row r="598" spans="1:25" ht="19.5" customHeight="1" x14ac:dyDescent="0.25">
      <c r="A598" s="196"/>
      <c r="B598" s="196"/>
      <c r="C598" s="210"/>
      <c r="D598" s="210"/>
      <c r="E598" s="196"/>
      <c r="F598" s="196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196"/>
    </row>
    <row r="599" spans="1:25" ht="19.5" customHeight="1" x14ac:dyDescent="0.25">
      <c r="A599" s="196"/>
      <c r="B599" s="196"/>
      <c r="C599" s="210"/>
      <c r="D599" s="210"/>
      <c r="E599" s="196"/>
      <c r="F599" s="196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196"/>
    </row>
    <row r="600" spans="1:25" ht="19.5" customHeight="1" x14ac:dyDescent="0.25">
      <c r="A600" s="196"/>
      <c r="B600" s="196"/>
      <c r="C600" s="210"/>
      <c r="D600" s="210"/>
      <c r="E600" s="196"/>
      <c r="F600" s="196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196"/>
    </row>
    <row r="601" spans="1:25" ht="19.5" customHeight="1" x14ac:dyDescent="0.25">
      <c r="A601" s="196"/>
      <c r="B601" s="196"/>
      <c r="C601" s="210"/>
      <c r="D601" s="210"/>
      <c r="E601" s="196"/>
      <c r="F601" s="196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196"/>
    </row>
    <row r="602" spans="1:25" ht="19.5" customHeight="1" x14ac:dyDescent="0.25">
      <c r="A602" s="196"/>
      <c r="B602" s="196"/>
      <c r="C602" s="210"/>
      <c r="D602" s="210"/>
      <c r="E602" s="196"/>
      <c r="F602" s="196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196"/>
    </row>
    <row r="603" spans="1:25" ht="19.5" customHeight="1" x14ac:dyDescent="0.25">
      <c r="A603" s="196"/>
      <c r="B603" s="196"/>
      <c r="C603" s="210"/>
      <c r="D603" s="210"/>
      <c r="E603" s="196"/>
      <c r="F603" s="196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196"/>
    </row>
    <row r="604" spans="1:25" ht="19.5" customHeight="1" x14ac:dyDescent="0.25">
      <c r="A604" s="196"/>
      <c r="B604" s="196"/>
      <c r="C604" s="210"/>
      <c r="D604" s="210"/>
      <c r="E604" s="196"/>
      <c r="F604" s="196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196"/>
    </row>
    <row r="605" spans="1:25" ht="19.5" customHeight="1" x14ac:dyDescent="0.25">
      <c r="A605" s="196"/>
      <c r="B605" s="196"/>
      <c r="C605" s="210"/>
      <c r="D605" s="210"/>
      <c r="E605" s="196"/>
      <c r="F605" s="196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196"/>
    </row>
    <row r="606" spans="1:25" ht="19.5" customHeight="1" x14ac:dyDescent="0.25">
      <c r="A606" s="196"/>
      <c r="B606" s="196"/>
      <c r="C606" s="210"/>
      <c r="D606" s="210"/>
      <c r="E606" s="196"/>
      <c r="F606" s="196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196"/>
    </row>
    <row r="607" spans="1:25" ht="19.5" customHeight="1" x14ac:dyDescent="0.25">
      <c r="A607" s="196"/>
      <c r="B607" s="196"/>
      <c r="C607" s="210"/>
      <c r="D607" s="210"/>
      <c r="E607" s="196"/>
      <c r="F607" s="196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196"/>
    </row>
    <row r="608" spans="1:25" ht="19.5" customHeight="1" x14ac:dyDescent="0.25">
      <c r="A608" s="196"/>
      <c r="B608" s="196"/>
      <c r="C608" s="210"/>
      <c r="D608" s="210"/>
      <c r="E608" s="196"/>
      <c r="F608" s="196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196"/>
    </row>
    <row r="609" spans="1:25" ht="19.5" customHeight="1" x14ac:dyDescent="0.25">
      <c r="A609" s="196"/>
      <c r="B609" s="196"/>
      <c r="C609" s="210"/>
      <c r="D609" s="210"/>
      <c r="E609" s="196"/>
      <c r="F609" s="196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196"/>
    </row>
    <row r="610" spans="1:25" ht="19.5" customHeight="1" x14ac:dyDescent="0.25">
      <c r="A610" s="196"/>
      <c r="B610" s="196"/>
      <c r="C610" s="210"/>
      <c r="D610" s="210"/>
      <c r="E610" s="196"/>
      <c r="F610" s="196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196"/>
    </row>
    <row r="611" spans="1:25" ht="19.5" customHeight="1" x14ac:dyDescent="0.25">
      <c r="A611" s="196"/>
      <c r="B611" s="196"/>
      <c r="C611" s="210"/>
      <c r="D611" s="210"/>
      <c r="E611" s="196"/>
      <c r="F611" s="196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196"/>
    </row>
    <row r="612" spans="1:25" ht="19.5" customHeight="1" x14ac:dyDescent="0.25">
      <c r="A612" s="196"/>
      <c r="B612" s="196"/>
      <c r="C612" s="210"/>
      <c r="D612" s="210"/>
      <c r="E612" s="196"/>
      <c r="F612" s="196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196"/>
    </row>
    <row r="613" spans="1:25" ht="19.5" customHeight="1" x14ac:dyDescent="0.25">
      <c r="A613" s="196"/>
      <c r="B613" s="196"/>
      <c r="C613" s="210"/>
      <c r="D613" s="210"/>
      <c r="E613" s="196"/>
      <c r="F613" s="196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196"/>
    </row>
    <row r="614" spans="1:25" ht="19.5" customHeight="1" x14ac:dyDescent="0.25">
      <c r="A614" s="196"/>
      <c r="B614" s="196"/>
      <c r="C614" s="210"/>
      <c r="D614" s="210"/>
      <c r="E614" s="196"/>
      <c r="F614" s="196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196"/>
    </row>
    <row r="615" spans="1:25" ht="19.5" customHeight="1" x14ac:dyDescent="0.25">
      <c r="A615" s="196"/>
      <c r="B615" s="196"/>
      <c r="C615" s="210"/>
      <c r="D615" s="210"/>
      <c r="E615" s="196"/>
      <c r="F615" s="196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196"/>
    </row>
    <row r="616" spans="1:25" ht="19.5" customHeight="1" x14ac:dyDescent="0.25">
      <c r="A616" s="196"/>
      <c r="B616" s="196"/>
      <c r="C616" s="210"/>
      <c r="D616" s="210"/>
      <c r="E616" s="196"/>
      <c r="F616" s="196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196"/>
    </row>
    <row r="617" spans="1:25" ht="19.5" customHeight="1" x14ac:dyDescent="0.25">
      <c r="A617" s="196"/>
      <c r="B617" s="196"/>
      <c r="C617" s="210"/>
      <c r="D617" s="210"/>
      <c r="E617" s="196"/>
      <c r="F617" s="196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196"/>
    </row>
    <row r="618" spans="1:25" ht="19.5" customHeight="1" x14ac:dyDescent="0.25">
      <c r="A618" s="196"/>
      <c r="B618" s="196"/>
      <c r="C618" s="210"/>
      <c r="D618" s="210"/>
      <c r="E618" s="196"/>
      <c r="F618" s="196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196"/>
    </row>
    <row r="619" spans="1:25" ht="19.5" customHeight="1" x14ac:dyDescent="0.25">
      <c r="A619" s="196"/>
      <c r="B619" s="196"/>
      <c r="C619" s="210"/>
      <c r="D619" s="210"/>
      <c r="E619" s="196"/>
      <c r="F619" s="196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196"/>
    </row>
    <row r="620" spans="1:25" ht="19.5" customHeight="1" x14ac:dyDescent="0.25">
      <c r="A620" s="196"/>
      <c r="B620" s="196"/>
      <c r="C620" s="210"/>
      <c r="D620" s="210"/>
      <c r="E620" s="196"/>
      <c r="F620" s="196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196"/>
    </row>
    <row r="621" spans="1:25" ht="19.5" customHeight="1" x14ac:dyDescent="0.25">
      <c r="A621" s="196"/>
      <c r="B621" s="196"/>
      <c r="C621" s="210"/>
      <c r="D621" s="210"/>
      <c r="E621" s="196"/>
      <c r="F621" s="196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196"/>
    </row>
    <row r="622" spans="1:25" ht="19.5" customHeight="1" x14ac:dyDescent="0.25">
      <c r="A622" s="196"/>
      <c r="B622" s="196"/>
      <c r="C622" s="210"/>
      <c r="D622" s="210"/>
      <c r="E622" s="196"/>
      <c r="F622" s="196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196"/>
    </row>
    <row r="623" spans="1:25" ht="19.5" customHeight="1" x14ac:dyDescent="0.25">
      <c r="A623" s="196"/>
      <c r="B623" s="196"/>
      <c r="C623" s="210"/>
      <c r="D623" s="210"/>
      <c r="E623" s="196"/>
      <c r="F623" s="196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196"/>
    </row>
    <row r="624" spans="1:25" ht="19.5" customHeight="1" x14ac:dyDescent="0.25">
      <c r="A624" s="196"/>
      <c r="B624" s="196"/>
      <c r="C624" s="210"/>
      <c r="D624" s="210"/>
      <c r="E624" s="196"/>
      <c r="F624" s="196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196"/>
    </row>
    <row r="625" spans="1:25" ht="19.5" customHeight="1" x14ac:dyDescent="0.25">
      <c r="A625" s="196"/>
      <c r="B625" s="196"/>
      <c r="C625" s="210"/>
      <c r="D625" s="210"/>
      <c r="E625" s="196"/>
      <c r="F625" s="196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196"/>
    </row>
    <row r="626" spans="1:25" ht="19.5" customHeight="1" x14ac:dyDescent="0.25">
      <c r="A626" s="196"/>
      <c r="B626" s="196"/>
      <c r="C626" s="210"/>
      <c r="D626" s="210"/>
      <c r="E626" s="196"/>
      <c r="F626" s="196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196"/>
    </row>
    <row r="627" spans="1:25" ht="19.5" customHeight="1" x14ac:dyDescent="0.25">
      <c r="A627" s="196"/>
      <c r="B627" s="196"/>
      <c r="C627" s="210"/>
      <c r="D627" s="210"/>
      <c r="E627" s="196"/>
      <c r="F627" s="196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196"/>
    </row>
    <row r="628" spans="1:25" ht="19.5" customHeight="1" x14ac:dyDescent="0.25">
      <c r="A628" s="196"/>
      <c r="B628" s="196"/>
      <c r="C628" s="210"/>
      <c r="D628" s="210"/>
      <c r="E628" s="196"/>
      <c r="F628" s="196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196"/>
    </row>
    <row r="629" spans="1:25" ht="19.5" customHeight="1" x14ac:dyDescent="0.25">
      <c r="A629" s="196"/>
      <c r="B629" s="196"/>
      <c r="C629" s="210"/>
      <c r="D629" s="210"/>
      <c r="E629" s="196"/>
      <c r="F629" s="196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196"/>
    </row>
    <row r="630" spans="1:25" ht="19.5" customHeight="1" x14ac:dyDescent="0.25">
      <c r="A630" s="196"/>
      <c r="B630" s="196"/>
      <c r="C630" s="210"/>
      <c r="D630" s="210"/>
      <c r="E630" s="196"/>
      <c r="F630" s="196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196"/>
    </row>
    <row r="631" spans="1:25" ht="19.5" customHeight="1" x14ac:dyDescent="0.25">
      <c r="A631" s="196"/>
      <c r="B631" s="196"/>
      <c r="C631" s="210"/>
      <c r="D631" s="210"/>
      <c r="E631" s="196"/>
      <c r="F631" s="196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196"/>
    </row>
    <row r="632" spans="1:25" ht="19.5" customHeight="1" x14ac:dyDescent="0.25">
      <c r="A632" s="196"/>
      <c r="B632" s="196"/>
      <c r="C632" s="210"/>
      <c r="D632" s="210"/>
      <c r="E632" s="196"/>
      <c r="F632" s="196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196"/>
    </row>
    <row r="633" spans="1:25" ht="19.5" customHeight="1" x14ac:dyDescent="0.25">
      <c r="A633" s="196"/>
      <c r="B633" s="196"/>
      <c r="C633" s="210"/>
      <c r="D633" s="210"/>
      <c r="E633" s="196"/>
      <c r="F633" s="196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196"/>
    </row>
    <row r="634" spans="1:25" ht="19.5" customHeight="1" x14ac:dyDescent="0.25">
      <c r="A634" s="196"/>
      <c r="B634" s="196"/>
      <c r="C634" s="210"/>
      <c r="D634" s="210"/>
      <c r="E634" s="196"/>
      <c r="F634" s="196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196"/>
    </row>
    <row r="635" spans="1:25" ht="19.5" customHeight="1" x14ac:dyDescent="0.25">
      <c r="A635" s="196"/>
      <c r="B635" s="196"/>
      <c r="C635" s="210"/>
      <c r="D635" s="210"/>
      <c r="E635" s="196"/>
      <c r="F635" s="196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196"/>
    </row>
    <row r="636" spans="1:25" ht="19.5" customHeight="1" x14ac:dyDescent="0.25">
      <c r="A636" s="196"/>
      <c r="B636" s="196"/>
      <c r="C636" s="210"/>
      <c r="D636" s="210"/>
      <c r="E636" s="196"/>
      <c r="F636" s="196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196"/>
    </row>
    <row r="637" spans="1:25" ht="19.5" customHeight="1" x14ac:dyDescent="0.25">
      <c r="A637" s="196"/>
      <c r="B637" s="196"/>
      <c r="C637" s="210"/>
      <c r="D637" s="210"/>
      <c r="E637" s="196"/>
      <c r="F637" s="196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196"/>
    </row>
    <row r="638" spans="1:25" ht="19.5" customHeight="1" x14ac:dyDescent="0.25">
      <c r="A638" s="196"/>
      <c r="B638" s="196"/>
      <c r="C638" s="210"/>
      <c r="D638" s="210"/>
      <c r="E638" s="196"/>
      <c r="F638" s="196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196"/>
    </row>
    <row r="639" spans="1:25" ht="19.5" customHeight="1" x14ac:dyDescent="0.25">
      <c r="A639" s="196"/>
      <c r="B639" s="196"/>
      <c r="C639" s="210"/>
      <c r="D639" s="210"/>
      <c r="E639" s="196"/>
      <c r="F639" s="196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196"/>
    </row>
    <row r="640" spans="1:25" ht="19.5" customHeight="1" x14ac:dyDescent="0.25">
      <c r="A640" s="196"/>
      <c r="B640" s="196"/>
      <c r="C640" s="210"/>
      <c r="D640" s="210"/>
      <c r="E640" s="196"/>
      <c r="F640" s="196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196"/>
    </row>
    <row r="641" spans="1:25" ht="19.5" customHeight="1" x14ac:dyDescent="0.25">
      <c r="A641" s="196"/>
      <c r="B641" s="196"/>
      <c r="C641" s="210"/>
      <c r="D641" s="210"/>
      <c r="E641" s="196"/>
      <c r="F641" s="196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196"/>
    </row>
    <row r="642" spans="1:25" ht="19.5" customHeight="1" x14ac:dyDescent="0.25">
      <c r="A642" s="196"/>
      <c r="B642" s="196"/>
      <c r="C642" s="210"/>
      <c r="D642" s="210"/>
      <c r="E642" s="196"/>
      <c r="F642" s="196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196"/>
    </row>
    <row r="643" spans="1:25" ht="19.5" customHeight="1" x14ac:dyDescent="0.25">
      <c r="A643" s="196"/>
      <c r="B643" s="196"/>
      <c r="C643" s="210"/>
      <c r="D643" s="210"/>
      <c r="E643" s="196"/>
      <c r="F643" s="196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196"/>
    </row>
    <row r="644" spans="1:25" ht="19.5" customHeight="1" x14ac:dyDescent="0.25">
      <c r="A644" s="196"/>
      <c r="B644" s="196"/>
      <c r="C644" s="210"/>
      <c r="D644" s="210"/>
      <c r="E644" s="196"/>
      <c r="F644" s="196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196"/>
    </row>
    <row r="645" spans="1:25" ht="19.5" customHeight="1" x14ac:dyDescent="0.25">
      <c r="A645" s="196"/>
      <c r="B645" s="196"/>
      <c r="C645" s="210"/>
      <c r="D645" s="210"/>
      <c r="E645" s="196"/>
      <c r="F645" s="196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196"/>
    </row>
    <row r="646" spans="1:25" ht="19.5" customHeight="1" x14ac:dyDescent="0.25">
      <c r="A646" s="196"/>
      <c r="B646" s="196"/>
      <c r="C646" s="210"/>
      <c r="D646" s="210"/>
      <c r="E646" s="196"/>
      <c r="F646" s="196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196"/>
    </row>
    <row r="647" spans="1:25" ht="19.5" customHeight="1" x14ac:dyDescent="0.25">
      <c r="A647" s="196"/>
      <c r="B647" s="196"/>
      <c r="C647" s="210"/>
      <c r="D647" s="210"/>
      <c r="E647" s="196"/>
      <c r="F647" s="196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196"/>
    </row>
    <row r="648" spans="1:25" ht="19.5" customHeight="1" x14ac:dyDescent="0.25">
      <c r="A648" s="196"/>
      <c r="B648" s="196"/>
      <c r="C648" s="210"/>
      <c r="D648" s="210"/>
      <c r="E648" s="196"/>
      <c r="F648" s="196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196"/>
    </row>
    <row r="649" spans="1:25" ht="19.5" customHeight="1" x14ac:dyDescent="0.25">
      <c r="A649" s="196"/>
      <c r="B649" s="196"/>
      <c r="C649" s="210"/>
      <c r="D649" s="210"/>
      <c r="E649" s="196"/>
      <c r="F649" s="196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196"/>
    </row>
    <row r="650" spans="1:25" ht="19.5" customHeight="1" x14ac:dyDescent="0.25">
      <c r="A650" s="196"/>
      <c r="B650" s="196"/>
      <c r="C650" s="210"/>
      <c r="D650" s="210"/>
      <c r="E650" s="196"/>
      <c r="F650" s="196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196"/>
    </row>
    <row r="651" spans="1:25" ht="19.5" customHeight="1" x14ac:dyDescent="0.25">
      <c r="A651" s="196"/>
      <c r="B651" s="196"/>
      <c r="C651" s="210"/>
      <c r="D651" s="210"/>
      <c r="E651" s="196"/>
      <c r="F651" s="196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196"/>
    </row>
    <row r="652" spans="1:25" ht="19.5" customHeight="1" x14ac:dyDescent="0.25">
      <c r="A652" s="196"/>
      <c r="B652" s="196"/>
      <c r="C652" s="210"/>
      <c r="D652" s="210"/>
      <c r="E652" s="196"/>
      <c r="F652" s="196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196"/>
    </row>
    <row r="653" spans="1:25" ht="19.5" customHeight="1" x14ac:dyDescent="0.25">
      <c r="A653" s="196"/>
      <c r="B653" s="196"/>
      <c r="C653" s="210"/>
      <c r="D653" s="210"/>
      <c r="E653" s="196"/>
      <c r="F653" s="196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196"/>
    </row>
    <row r="654" spans="1:25" ht="19.5" customHeight="1" x14ac:dyDescent="0.25">
      <c r="A654" s="196"/>
      <c r="B654" s="196"/>
      <c r="C654" s="210"/>
      <c r="D654" s="210"/>
      <c r="E654" s="196"/>
      <c r="F654" s="196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196"/>
    </row>
    <row r="655" spans="1:25" ht="19.5" customHeight="1" x14ac:dyDescent="0.25">
      <c r="A655" s="196"/>
      <c r="B655" s="196"/>
      <c r="C655" s="210"/>
      <c r="D655" s="210"/>
      <c r="E655" s="196"/>
      <c r="F655" s="196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196"/>
    </row>
    <row r="656" spans="1:25" ht="19.5" customHeight="1" x14ac:dyDescent="0.25">
      <c r="A656" s="196"/>
      <c r="B656" s="196"/>
      <c r="C656" s="210"/>
      <c r="D656" s="210"/>
      <c r="E656" s="196"/>
      <c r="F656" s="196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196"/>
    </row>
    <row r="657" spans="1:25" ht="19.5" customHeight="1" x14ac:dyDescent="0.25">
      <c r="A657" s="196"/>
      <c r="B657" s="196"/>
      <c r="C657" s="210"/>
      <c r="D657" s="210"/>
      <c r="E657" s="196"/>
      <c r="F657" s="196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196"/>
    </row>
    <row r="658" spans="1:25" ht="19.5" customHeight="1" x14ac:dyDescent="0.25">
      <c r="A658" s="196"/>
      <c r="B658" s="196"/>
      <c r="C658" s="210"/>
      <c r="D658" s="210"/>
      <c r="E658" s="196"/>
      <c r="F658" s="196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196"/>
    </row>
    <row r="659" spans="1:25" ht="19.5" customHeight="1" x14ac:dyDescent="0.25">
      <c r="A659" s="196"/>
      <c r="B659" s="196"/>
      <c r="C659" s="210"/>
      <c r="D659" s="210"/>
      <c r="E659" s="196"/>
      <c r="F659" s="196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196"/>
    </row>
    <row r="660" spans="1:25" ht="19.5" customHeight="1" x14ac:dyDescent="0.25">
      <c r="A660" s="196"/>
      <c r="B660" s="196"/>
      <c r="C660" s="210"/>
      <c r="D660" s="210"/>
      <c r="E660" s="196"/>
      <c r="F660" s="196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196"/>
    </row>
    <row r="661" spans="1:25" ht="19.5" customHeight="1" x14ac:dyDescent="0.25">
      <c r="A661" s="196"/>
      <c r="B661" s="196"/>
      <c r="C661" s="210"/>
      <c r="D661" s="210"/>
      <c r="E661" s="196"/>
      <c r="F661" s="196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196"/>
    </row>
    <row r="662" spans="1:25" ht="19.5" customHeight="1" x14ac:dyDescent="0.25">
      <c r="A662" s="196"/>
      <c r="B662" s="196"/>
      <c r="C662" s="210"/>
      <c r="D662" s="210"/>
      <c r="E662" s="196"/>
      <c r="F662" s="196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196"/>
    </row>
    <row r="663" spans="1:25" ht="19.5" customHeight="1" x14ac:dyDescent="0.25">
      <c r="A663" s="196"/>
      <c r="B663" s="196"/>
      <c r="C663" s="210"/>
      <c r="D663" s="210"/>
      <c r="E663" s="196"/>
      <c r="F663" s="196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196"/>
    </row>
    <row r="664" spans="1:25" ht="19.5" customHeight="1" x14ac:dyDescent="0.25">
      <c r="A664" s="196"/>
      <c r="B664" s="196"/>
      <c r="C664" s="210"/>
      <c r="D664" s="210"/>
      <c r="E664" s="196"/>
      <c r="F664" s="196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196"/>
    </row>
    <row r="665" spans="1:25" ht="19.5" customHeight="1" x14ac:dyDescent="0.25">
      <c r="A665" s="196"/>
      <c r="B665" s="196"/>
      <c r="C665" s="210"/>
      <c r="D665" s="210"/>
      <c r="E665" s="196"/>
      <c r="F665" s="196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196"/>
    </row>
    <row r="666" spans="1:25" ht="19.5" customHeight="1" x14ac:dyDescent="0.25">
      <c r="A666" s="196"/>
      <c r="B666" s="196"/>
      <c r="C666" s="210"/>
      <c r="D666" s="210"/>
      <c r="E666" s="196"/>
      <c r="F666" s="196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196"/>
    </row>
    <row r="667" spans="1:25" ht="19.5" customHeight="1" x14ac:dyDescent="0.25">
      <c r="A667" s="196"/>
      <c r="B667" s="196"/>
      <c r="C667" s="210"/>
      <c r="D667" s="210"/>
      <c r="E667" s="196"/>
      <c r="F667" s="196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196"/>
    </row>
    <row r="668" spans="1:25" ht="19.5" customHeight="1" x14ac:dyDescent="0.25">
      <c r="A668" s="196"/>
      <c r="B668" s="196"/>
      <c r="C668" s="210"/>
      <c r="D668" s="210"/>
      <c r="E668" s="196"/>
      <c r="F668" s="196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196"/>
    </row>
    <row r="669" spans="1:25" ht="19.5" customHeight="1" x14ac:dyDescent="0.25">
      <c r="A669" s="196"/>
      <c r="B669" s="196"/>
      <c r="C669" s="210"/>
      <c r="D669" s="210"/>
      <c r="E669" s="196"/>
      <c r="F669" s="196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196"/>
    </row>
    <row r="670" spans="1:25" ht="19.5" customHeight="1" x14ac:dyDescent="0.25">
      <c r="A670" s="196"/>
      <c r="B670" s="196"/>
      <c r="C670" s="210"/>
      <c r="D670" s="210"/>
      <c r="E670" s="196"/>
      <c r="F670" s="196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196"/>
    </row>
    <row r="671" spans="1:25" ht="19.5" customHeight="1" x14ac:dyDescent="0.25">
      <c r="A671" s="196"/>
      <c r="B671" s="196"/>
      <c r="C671" s="210"/>
      <c r="D671" s="210"/>
      <c r="E671" s="196"/>
      <c r="F671" s="196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196"/>
    </row>
    <row r="672" spans="1:25" ht="19.5" customHeight="1" x14ac:dyDescent="0.25">
      <c r="A672" s="196"/>
      <c r="B672" s="196"/>
      <c r="C672" s="210"/>
      <c r="D672" s="210"/>
      <c r="E672" s="196"/>
      <c r="F672" s="196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196"/>
    </row>
    <row r="673" spans="1:25" ht="19.5" customHeight="1" x14ac:dyDescent="0.25">
      <c r="A673" s="196"/>
      <c r="B673" s="196"/>
      <c r="C673" s="210"/>
      <c r="D673" s="210"/>
      <c r="E673" s="196"/>
      <c r="F673" s="196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196"/>
    </row>
    <row r="674" spans="1:25" ht="19.5" customHeight="1" x14ac:dyDescent="0.25">
      <c r="A674" s="196"/>
      <c r="B674" s="196"/>
      <c r="C674" s="210"/>
      <c r="D674" s="210"/>
      <c r="E674" s="196"/>
      <c r="F674" s="196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196"/>
    </row>
    <row r="675" spans="1:25" ht="19.5" customHeight="1" x14ac:dyDescent="0.25">
      <c r="A675" s="196"/>
      <c r="B675" s="196"/>
      <c r="C675" s="210"/>
      <c r="D675" s="210"/>
      <c r="E675" s="196"/>
      <c r="F675" s="196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196"/>
    </row>
    <row r="676" spans="1:25" ht="19.5" customHeight="1" x14ac:dyDescent="0.25">
      <c r="A676" s="196"/>
      <c r="B676" s="196"/>
      <c r="C676" s="210"/>
      <c r="D676" s="210"/>
      <c r="E676" s="196"/>
      <c r="F676" s="196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196"/>
    </row>
    <row r="677" spans="1:25" ht="19.5" customHeight="1" x14ac:dyDescent="0.25">
      <c r="A677" s="196"/>
      <c r="B677" s="196"/>
      <c r="C677" s="210"/>
      <c r="D677" s="210"/>
      <c r="E677" s="196"/>
      <c r="F677" s="196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196"/>
    </row>
    <row r="678" spans="1:25" ht="19.5" customHeight="1" x14ac:dyDescent="0.25">
      <c r="A678" s="196"/>
      <c r="B678" s="196"/>
      <c r="C678" s="210"/>
      <c r="D678" s="210"/>
      <c r="E678" s="196"/>
      <c r="F678" s="196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196"/>
    </row>
    <row r="679" spans="1:25" ht="19.5" customHeight="1" x14ac:dyDescent="0.25">
      <c r="A679" s="196"/>
      <c r="B679" s="196"/>
      <c r="C679" s="210"/>
      <c r="D679" s="210"/>
      <c r="E679" s="196"/>
      <c r="F679" s="196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196"/>
    </row>
    <row r="680" spans="1:25" ht="19.5" customHeight="1" x14ac:dyDescent="0.25">
      <c r="A680" s="196"/>
      <c r="B680" s="196"/>
      <c r="C680" s="210"/>
      <c r="D680" s="210"/>
      <c r="E680" s="196"/>
      <c r="F680" s="196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196"/>
    </row>
    <row r="681" spans="1:25" ht="19.5" customHeight="1" x14ac:dyDescent="0.25">
      <c r="A681" s="196"/>
      <c r="B681" s="196"/>
      <c r="C681" s="210"/>
      <c r="D681" s="210"/>
      <c r="E681" s="196"/>
      <c r="F681" s="196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196"/>
    </row>
    <row r="682" spans="1:25" ht="19.5" customHeight="1" x14ac:dyDescent="0.25">
      <c r="A682" s="196"/>
      <c r="B682" s="196"/>
      <c r="C682" s="210"/>
      <c r="D682" s="210"/>
      <c r="E682" s="196"/>
      <c r="F682" s="196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196"/>
    </row>
    <row r="683" spans="1:25" ht="19.5" customHeight="1" x14ac:dyDescent="0.25">
      <c r="A683" s="196"/>
      <c r="B683" s="196"/>
      <c r="C683" s="210"/>
      <c r="D683" s="210"/>
      <c r="E683" s="196"/>
      <c r="F683" s="196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196"/>
    </row>
    <row r="684" spans="1:25" ht="19.5" customHeight="1" x14ac:dyDescent="0.25">
      <c r="A684" s="196"/>
      <c r="B684" s="196"/>
      <c r="C684" s="210"/>
      <c r="D684" s="210"/>
      <c r="E684" s="196"/>
      <c r="F684" s="196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196"/>
    </row>
    <row r="685" spans="1:25" ht="19.5" customHeight="1" x14ac:dyDescent="0.25">
      <c r="A685" s="196"/>
      <c r="B685" s="196"/>
      <c r="C685" s="210"/>
      <c r="D685" s="210"/>
      <c r="E685" s="196"/>
      <c r="F685" s="196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196"/>
    </row>
    <row r="686" spans="1:25" ht="19.5" customHeight="1" x14ac:dyDescent="0.25">
      <c r="A686" s="196"/>
      <c r="B686" s="196"/>
      <c r="C686" s="210"/>
      <c r="D686" s="210"/>
      <c r="E686" s="196"/>
      <c r="F686" s="196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196"/>
    </row>
    <row r="687" spans="1:25" ht="19.5" customHeight="1" x14ac:dyDescent="0.25">
      <c r="A687" s="196"/>
      <c r="B687" s="196"/>
      <c r="C687" s="210"/>
      <c r="D687" s="210"/>
      <c r="E687" s="196"/>
      <c r="F687" s="196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196"/>
    </row>
    <row r="688" spans="1:25" ht="19.5" customHeight="1" x14ac:dyDescent="0.25">
      <c r="A688" s="196"/>
      <c r="B688" s="196"/>
      <c r="C688" s="210"/>
      <c r="D688" s="210"/>
      <c r="E688" s="196"/>
      <c r="F688" s="196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196"/>
    </row>
    <row r="689" spans="1:25" ht="19.5" customHeight="1" x14ac:dyDescent="0.25">
      <c r="A689" s="196"/>
      <c r="B689" s="196"/>
      <c r="C689" s="210"/>
      <c r="D689" s="210"/>
      <c r="E689" s="196"/>
      <c r="F689" s="196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196"/>
    </row>
    <row r="690" spans="1:25" ht="19.5" customHeight="1" x14ac:dyDescent="0.25">
      <c r="A690" s="196"/>
      <c r="B690" s="196"/>
      <c r="C690" s="210"/>
      <c r="D690" s="210"/>
      <c r="E690" s="196"/>
      <c r="F690" s="196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196"/>
    </row>
    <row r="691" spans="1:25" ht="19.5" customHeight="1" x14ac:dyDescent="0.25">
      <c r="A691" s="196"/>
      <c r="B691" s="196"/>
      <c r="C691" s="210"/>
      <c r="D691" s="210"/>
      <c r="E691" s="196"/>
      <c r="F691" s="196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196"/>
    </row>
    <row r="692" spans="1:25" ht="19.5" customHeight="1" x14ac:dyDescent="0.25">
      <c r="A692" s="196"/>
      <c r="B692" s="196"/>
      <c r="C692" s="210"/>
      <c r="D692" s="210"/>
      <c r="E692" s="196"/>
      <c r="F692" s="196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196"/>
    </row>
    <row r="693" spans="1:25" ht="19.5" customHeight="1" x14ac:dyDescent="0.25">
      <c r="A693" s="196"/>
      <c r="B693" s="196"/>
      <c r="C693" s="210"/>
      <c r="D693" s="210"/>
      <c r="E693" s="196"/>
      <c r="F693" s="196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196"/>
    </row>
    <row r="694" spans="1:25" ht="19.5" customHeight="1" x14ac:dyDescent="0.25">
      <c r="A694" s="196"/>
      <c r="B694" s="196"/>
      <c r="C694" s="210"/>
      <c r="D694" s="210"/>
      <c r="E694" s="196"/>
      <c r="F694" s="196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196"/>
    </row>
    <row r="695" spans="1:25" ht="19.5" customHeight="1" x14ac:dyDescent="0.25">
      <c r="A695" s="196"/>
      <c r="B695" s="196"/>
      <c r="C695" s="210"/>
      <c r="D695" s="210"/>
      <c r="E695" s="196"/>
      <c r="F695" s="196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196"/>
    </row>
    <row r="696" spans="1:25" ht="19.5" customHeight="1" x14ac:dyDescent="0.25">
      <c r="A696" s="196"/>
      <c r="B696" s="196"/>
      <c r="C696" s="210"/>
      <c r="D696" s="210"/>
      <c r="E696" s="196"/>
      <c r="F696" s="196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196"/>
    </row>
    <row r="697" spans="1:25" ht="19.5" customHeight="1" x14ac:dyDescent="0.25">
      <c r="A697" s="196"/>
      <c r="B697" s="196"/>
      <c r="C697" s="210"/>
      <c r="D697" s="210"/>
      <c r="E697" s="196"/>
      <c r="F697" s="196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196"/>
    </row>
    <row r="698" spans="1:25" ht="19.5" customHeight="1" x14ac:dyDescent="0.25">
      <c r="A698" s="196"/>
      <c r="B698" s="196"/>
      <c r="C698" s="210"/>
      <c r="D698" s="210"/>
      <c r="E698" s="196"/>
      <c r="F698" s="196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196"/>
    </row>
    <row r="699" spans="1:25" ht="19.5" customHeight="1" x14ac:dyDescent="0.25">
      <c r="A699" s="196"/>
      <c r="B699" s="196"/>
      <c r="C699" s="210"/>
      <c r="D699" s="210"/>
      <c r="E699" s="196"/>
      <c r="F699" s="196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196"/>
    </row>
    <row r="700" spans="1:25" ht="19.5" customHeight="1" x14ac:dyDescent="0.25">
      <c r="A700" s="196"/>
      <c r="B700" s="196"/>
      <c r="C700" s="210"/>
      <c r="D700" s="210"/>
      <c r="E700" s="196"/>
      <c r="F700" s="196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196"/>
    </row>
    <row r="701" spans="1:25" ht="19.5" customHeight="1" x14ac:dyDescent="0.25">
      <c r="A701" s="196"/>
      <c r="B701" s="196"/>
      <c r="C701" s="210"/>
      <c r="D701" s="210"/>
      <c r="E701" s="196"/>
      <c r="F701" s="196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196"/>
    </row>
    <row r="702" spans="1:25" ht="19.5" customHeight="1" x14ac:dyDescent="0.25">
      <c r="A702" s="196"/>
      <c r="B702" s="196"/>
      <c r="C702" s="210"/>
      <c r="D702" s="210"/>
      <c r="E702" s="196"/>
      <c r="F702" s="196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196"/>
    </row>
    <row r="703" spans="1:25" ht="19.5" customHeight="1" x14ac:dyDescent="0.25">
      <c r="A703" s="196"/>
      <c r="B703" s="196"/>
      <c r="C703" s="210"/>
      <c r="D703" s="210"/>
      <c r="E703" s="196"/>
      <c r="F703" s="196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196"/>
    </row>
    <row r="704" spans="1:25" ht="19.5" customHeight="1" x14ac:dyDescent="0.25">
      <c r="A704" s="196"/>
      <c r="B704" s="196"/>
      <c r="C704" s="210"/>
      <c r="D704" s="210"/>
      <c r="E704" s="196"/>
      <c r="F704" s="196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196"/>
    </row>
    <row r="705" spans="1:25" ht="19.5" customHeight="1" x14ac:dyDescent="0.25">
      <c r="A705" s="196"/>
      <c r="B705" s="196"/>
      <c r="C705" s="210"/>
      <c r="D705" s="210"/>
      <c r="E705" s="196"/>
      <c r="F705" s="196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196"/>
    </row>
    <row r="706" spans="1:25" ht="19.5" customHeight="1" x14ac:dyDescent="0.25">
      <c r="A706" s="196"/>
      <c r="B706" s="196"/>
      <c r="C706" s="210"/>
      <c r="D706" s="210"/>
      <c r="E706" s="196"/>
      <c r="F706" s="196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196"/>
    </row>
    <row r="707" spans="1:25" ht="19.5" customHeight="1" x14ac:dyDescent="0.25">
      <c r="A707" s="196"/>
      <c r="B707" s="196"/>
      <c r="C707" s="210"/>
      <c r="D707" s="210"/>
      <c r="E707" s="196"/>
      <c r="F707" s="196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196"/>
    </row>
    <row r="708" spans="1:25" ht="19.5" customHeight="1" x14ac:dyDescent="0.25">
      <c r="A708" s="196"/>
      <c r="B708" s="196"/>
      <c r="C708" s="210"/>
      <c r="D708" s="210"/>
      <c r="E708" s="196"/>
      <c r="F708" s="196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196"/>
    </row>
    <row r="709" spans="1:25" ht="19.5" customHeight="1" x14ac:dyDescent="0.25">
      <c r="A709" s="196"/>
      <c r="B709" s="196"/>
      <c r="C709" s="210"/>
      <c r="D709" s="210"/>
      <c r="E709" s="196"/>
      <c r="F709" s="196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196"/>
    </row>
    <row r="710" spans="1:25" ht="19.5" customHeight="1" x14ac:dyDescent="0.25">
      <c r="A710" s="196"/>
      <c r="B710" s="196"/>
      <c r="C710" s="210"/>
      <c r="D710" s="210"/>
      <c r="E710" s="196"/>
      <c r="F710" s="196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196"/>
    </row>
    <row r="711" spans="1:25" ht="19.5" customHeight="1" x14ac:dyDescent="0.25">
      <c r="A711" s="196"/>
      <c r="B711" s="196"/>
      <c r="C711" s="210"/>
      <c r="D711" s="210"/>
      <c r="E711" s="196"/>
      <c r="F711" s="196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196"/>
    </row>
    <row r="712" spans="1:25" ht="19.5" customHeight="1" x14ac:dyDescent="0.25">
      <c r="A712" s="196"/>
      <c r="B712" s="196"/>
      <c r="C712" s="210"/>
      <c r="D712" s="210"/>
      <c r="E712" s="196"/>
      <c r="F712" s="196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196"/>
    </row>
    <row r="713" spans="1:25" ht="19.5" customHeight="1" x14ac:dyDescent="0.25">
      <c r="A713" s="196"/>
      <c r="B713" s="196"/>
      <c r="C713" s="210"/>
      <c r="D713" s="210"/>
      <c r="E713" s="196"/>
      <c r="F713" s="196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196"/>
    </row>
    <row r="714" spans="1:25" ht="19.5" customHeight="1" x14ac:dyDescent="0.25">
      <c r="A714" s="196"/>
      <c r="B714" s="196"/>
      <c r="C714" s="210"/>
      <c r="D714" s="210"/>
      <c r="E714" s="196"/>
      <c r="F714" s="196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196"/>
    </row>
    <row r="715" spans="1:25" ht="19.5" customHeight="1" x14ac:dyDescent="0.25">
      <c r="A715" s="196"/>
      <c r="B715" s="196"/>
      <c r="C715" s="210"/>
      <c r="D715" s="210"/>
      <c r="E715" s="196"/>
      <c r="F715" s="196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196"/>
    </row>
    <row r="716" spans="1:25" ht="19.5" customHeight="1" x14ac:dyDescent="0.25">
      <c r="A716" s="196"/>
      <c r="B716" s="196"/>
      <c r="C716" s="210"/>
      <c r="D716" s="210"/>
      <c r="E716" s="196"/>
      <c r="F716" s="196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196"/>
    </row>
    <row r="717" spans="1:25" ht="19.5" customHeight="1" x14ac:dyDescent="0.25">
      <c r="A717" s="196"/>
      <c r="B717" s="196"/>
      <c r="C717" s="210"/>
      <c r="D717" s="210"/>
      <c r="E717" s="196"/>
      <c r="F717" s="196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196"/>
    </row>
    <row r="718" spans="1:25" ht="19.5" customHeight="1" x14ac:dyDescent="0.25">
      <c r="A718" s="196"/>
      <c r="B718" s="196"/>
      <c r="C718" s="210"/>
      <c r="D718" s="210"/>
      <c r="E718" s="196"/>
      <c r="F718" s="196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196"/>
    </row>
    <row r="719" spans="1:25" ht="19.5" customHeight="1" x14ac:dyDescent="0.25">
      <c r="A719" s="196"/>
      <c r="B719" s="196"/>
      <c r="C719" s="210"/>
      <c r="D719" s="210"/>
      <c r="E719" s="196"/>
      <c r="F719" s="196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196"/>
    </row>
    <row r="720" spans="1:25" ht="19.5" customHeight="1" x14ac:dyDescent="0.25">
      <c r="A720" s="196"/>
      <c r="B720" s="196"/>
      <c r="C720" s="210"/>
      <c r="D720" s="210"/>
      <c r="E720" s="196"/>
      <c r="F720" s="196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196"/>
    </row>
    <row r="721" spans="1:25" ht="19.5" customHeight="1" x14ac:dyDescent="0.25">
      <c r="A721" s="196"/>
      <c r="B721" s="196"/>
      <c r="C721" s="210"/>
      <c r="D721" s="210"/>
      <c r="E721" s="196"/>
      <c r="F721" s="196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196"/>
    </row>
    <row r="722" spans="1:25" ht="19.5" customHeight="1" x14ac:dyDescent="0.25">
      <c r="A722" s="196"/>
      <c r="B722" s="196"/>
      <c r="C722" s="210"/>
      <c r="D722" s="210"/>
      <c r="E722" s="196"/>
      <c r="F722" s="196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196"/>
    </row>
    <row r="723" spans="1:25" ht="19.5" customHeight="1" x14ac:dyDescent="0.25">
      <c r="A723" s="196"/>
      <c r="B723" s="196"/>
      <c r="C723" s="210"/>
      <c r="D723" s="210"/>
      <c r="E723" s="196"/>
      <c r="F723" s="196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196"/>
    </row>
    <row r="724" spans="1:25" ht="19.5" customHeight="1" x14ac:dyDescent="0.25">
      <c r="A724" s="196"/>
      <c r="B724" s="196"/>
      <c r="C724" s="210"/>
      <c r="D724" s="210"/>
      <c r="E724" s="196"/>
      <c r="F724" s="196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196"/>
    </row>
    <row r="725" spans="1:25" ht="19.5" customHeight="1" x14ac:dyDescent="0.25">
      <c r="A725" s="196"/>
      <c r="B725" s="196"/>
      <c r="C725" s="210"/>
      <c r="D725" s="210"/>
      <c r="E725" s="196"/>
      <c r="F725" s="196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196"/>
    </row>
    <row r="726" spans="1:25" ht="19.5" customHeight="1" x14ac:dyDescent="0.25">
      <c r="A726" s="196"/>
      <c r="B726" s="196"/>
      <c r="C726" s="210"/>
      <c r="D726" s="210"/>
      <c r="E726" s="196"/>
      <c r="F726" s="196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196"/>
    </row>
    <row r="727" spans="1:25" ht="19.5" customHeight="1" x14ac:dyDescent="0.25">
      <c r="A727" s="196"/>
      <c r="B727" s="196"/>
      <c r="C727" s="210"/>
      <c r="D727" s="210"/>
      <c r="E727" s="196"/>
      <c r="F727" s="196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196"/>
    </row>
    <row r="728" spans="1:25" ht="19.5" customHeight="1" x14ac:dyDescent="0.25">
      <c r="A728" s="196"/>
      <c r="B728" s="196"/>
      <c r="C728" s="210"/>
      <c r="D728" s="210"/>
      <c r="E728" s="196"/>
      <c r="F728" s="196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196"/>
    </row>
    <row r="729" spans="1:25" ht="19.5" customHeight="1" x14ac:dyDescent="0.25">
      <c r="A729" s="196"/>
      <c r="B729" s="196"/>
      <c r="C729" s="210"/>
      <c r="D729" s="210"/>
      <c r="E729" s="196"/>
      <c r="F729" s="196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196"/>
    </row>
    <row r="730" spans="1:25" ht="19.5" customHeight="1" x14ac:dyDescent="0.25">
      <c r="A730" s="196"/>
      <c r="B730" s="196"/>
      <c r="C730" s="210"/>
      <c r="D730" s="210"/>
      <c r="E730" s="196"/>
      <c r="F730" s="196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196"/>
    </row>
    <row r="731" spans="1:25" ht="19.5" customHeight="1" x14ac:dyDescent="0.25">
      <c r="A731" s="196"/>
      <c r="B731" s="196"/>
      <c r="C731" s="210"/>
      <c r="D731" s="210"/>
      <c r="E731" s="196"/>
      <c r="F731" s="196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196"/>
    </row>
    <row r="732" spans="1:25" ht="19.5" customHeight="1" x14ac:dyDescent="0.25">
      <c r="A732" s="196"/>
      <c r="B732" s="196"/>
      <c r="C732" s="210"/>
      <c r="D732" s="210"/>
      <c r="E732" s="196"/>
      <c r="F732" s="196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196"/>
    </row>
    <row r="733" spans="1:25" ht="19.5" customHeight="1" x14ac:dyDescent="0.25">
      <c r="A733" s="196"/>
      <c r="B733" s="196"/>
      <c r="C733" s="210"/>
      <c r="D733" s="210"/>
      <c r="E733" s="196"/>
      <c r="F733" s="196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196"/>
    </row>
    <row r="734" spans="1:25" ht="19.5" customHeight="1" x14ac:dyDescent="0.25">
      <c r="A734" s="196"/>
      <c r="B734" s="196"/>
      <c r="C734" s="210"/>
      <c r="D734" s="210"/>
      <c r="E734" s="196"/>
      <c r="F734" s="196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196"/>
    </row>
    <row r="735" spans="1:25" ht="19.5" customHeight="1" x14ac:dyDescent="0.25">
      <c r="A735" s="196"/>
      <c r="B735" s="196"/>
      <c r="C735" s="210"/>
      <c r="D735" s="210"/>
      <c r="E735" s="196"/>
      <c r="F735" s="196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196"/>
    </row>
    <row r="736" spans="1:25" ht="19.5" customHeight="1" x14ac:dyDescent="0.25">
      <c r="A736" s="196"/>
      <c r="B736" s="196"/>
      <c r="C736" s="210"/>
      <c r="D736" s="210"/>
      <c r="E736" s="196"/>
      <c r="F736" s="196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196"/>
    </row>
    <row r="737" spans="1:25" ht="19.5" customHeight="1" x14ac:dyDescent="0.25">
      <c r="A737" s="196"/>
      <c r="B737" s="196"/>
      <c r="C737" s="210"/>
      <c r="D737" s="210"/>
      <c r="E737" s="196"/>
      <c r="F737" s="196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196"/>
    </row>
    <row r="738" spans="1:25" ht="19.5" customHeight="1" x14ac:dyDescent="0.25">
      <c r="A738" s="196"/>
      <c r="B738" s="196"/>
      <c r="C738" s="210"/>
      <c r="D738" s="210"/>
      <c r="E738" s="196"/>
      <c r="F738" s="196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196"/>
    </row>
    <row r="739" spans="1:25" ht="19.5" customHeight="1" x14ac:dyDescent="0.25">
      <c r="A739" s="196"/>
      <c r="B739" s="196"/>
      <c r="C739" s="210"/>
      <c r="D739" s="210"/>
      <c r="E739" s="196"/>
      <c r="F739" s="196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196"/>
    </row>
    <row r="740" spans="1:25" ht="19.5" customHeight="1" x14ac:dyDescent="0.25">
      <c r="A740" s="196"/>
      <c r="B740" s="196"/>
      <c r="C740" s="210"/>
      <c r="D740" s="210"/>
      <c r="E740" s="196"/>
      <c r="F740" s="196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196"/>
    </row>
    <row r="741" spans="1:25" ht="19.5" customHeight="1" x14ac:dyDescent="0.25">
      <c r="A741" s="196"/>
      <c r="B741" s="196"/>
      <c r="C741" s="210"/>
      <c r="D741" s="210"/>
      <c r="E741" s="196"/>
      <c r="F741" s="196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196"/>
    </row>
    <row r="742" spans="1:25" ht="19.5" customHeight="1" x14ac:dyDescent="0.25">
      <c r="A742" s="196"/>
      <c r="B742" s="196"/>
      <c r="C742" s="210"/>
      <c r="D742" s="210"/>
      <c r="E742" s="196"/>
      <c r="F742" s="196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196"/>
    </row>
    <row r="743" spans="1:25" ht="19.5" customHeight="1" x14ac:dyDescent="0.25">
      <c r="A743" s="196"/>
      <c r="B743" s="196"/>
      <c r="C743" s="210"/>
      <c r="D743" s="210"/>
      <c r="E743" s="196"/>
      <c r="F743" s="196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196"/>
    </row>
    <row r="744" spans="1:25" ht="19.5" customHeight="1" x14ac:dyDescent="0.25">
      <c r="A744" s="196"/>
      <c r="B744" s="196"/>
      <c r="C744" s="210"/>
      <c r="D744" s="210"/>
      <c r="E744" s="196"/>
      <c r="F744" s="196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196"/>
    </row>
    <row r="745" spans="1:25" ht="19.5" customHeight="1" x14ac:dyDescent="0.25">
      <c r="A745" s="196"/>
      <c r="B745" s="196"/>
      <c r="C745" s="210"/>
      <c r="D745" s="210"/>
      <c r="E745" s="196"/>
      <c r="F745" s="196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196"/>
    </row>
    <row r="746" spans="1:25" ht="19.5" customHeight="1" x14ac:dyDescent="0.25">
      <c r="A746" s="196"/>
      <c r="B746" s="196"/>
      <c r="C746" s="210"/>
      <c r="D746" s="210"/>
      <c r="E746" s="196"/>
      <c r="F746" s="196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196"/>
    </row>
    <row r="747" spans="1:25" ht="19.5" customHeight="1" x14ac:dyDescent="0.25">
      <c r="A747" s="196"/>
      <c r="B747" s="196"/>
      <c r="C747" s="210"/>
      <c r="D747" s="210"/>
      <c r="E747" s="196"/>
      <c r="F747" s="196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196"/>
    </row>
    <row r="748" spans="1:25" ht="19.5" customHeight="1" x14ac:dyDescent="0.25">
      <c r="A748" s="196"/>
      <c r="B748" s="196"/>
      <c r="C748" s="210"/>
      <c r="D748" s="210"/>
      <c r="E748" s="196"/>
      <c r="F748" s="196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196"/>
    </row>
    <row r="749" spans="1:25" ht="19.5" customHeight="1" x14ac:dyDescent="0.25">
      <c r="A749" s="196"/>
      <c r="B749" s="196"/>
      <c r="C749" s="210"/>
      <c r="D749" s="210"/>
      <c r="E749" s="196"/>
      <c r="F749" s="196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196"/>
    </row>
    <row r="750" spans="1:25" ht="19.5" customHeight="1" x14ac:dyDescent="0.25">
      <c r="A750" s="196"/>
      <c r="B750" s="196"/>
      <c r="C750" s="210"/>
      <c r="D750" s="210"/>
      <c r="E750" s="196"/>
      <c r="F750" s="196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196"/>
    </row>
    <row r="751" spans="1:25" ht="19.5" customHeight="1" x14ac:dyDescent="0.25">
      <c r="A751" s="196"/>
      <c r="B751" s="196"/>
      <c r="C751" s="210"/>
      <c r="D751" s="210"/>
      <c r="E751" s="196"/>
      <c r="F751" s="196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196"/>
    </row>
    <row r="752" spans="1:25" ht="19.5" customHeight="1" x14ac:dyDescent="0.25">
      <c r="A752" s="196"/>
      <c r="B752" s="196"/>
      <c r="C752" s="210"/>
      <c r="D752" s="210"/>
      <c r="E752" s="196"/>
      <c r="F752" s="196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196"/>
    </row>
    <row r="753" spans="1:25" ht="19.5" customHeight="1" x14ac:dyDescent="0.25">
      <c r="A753" s="196"/>
      <c r="B753" s="196"/>
      <c r="C753" s="210"/>
      <c r="D753" s="210"/>
      <c r="E753" s="196"/>
      <c r="F753" s="196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196"/>
    </row>
    <row r="754" spans="1:25" ht="19.5" customHeight="1" x14ac:dyDescent="0.25">
      <c r="A754" s="196"/>
      <c r="B754" s="196"/>
      <c r="C754" s="210"/>
      <c r="D754" s="210"/>
      <c r="E754" s="196"/>
      <c r="F754" s="196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196"/>
    </row>
    <row r="755" spans="1:25" ht="19.5" customHeight="1" x14ac:dyDescent="0.25">
      <c r="A755" s="196"/>
      <c r="B755" s="196"/>
      <c r="C755" s="210"/>
      <c r="D755" s="210"/>
      <c r="E755" s="196"/>
      <c r="F755" s="196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196"/>
    </row>
    <row r="756" spans="1:25" ht="19.5" customHeight="1" x14ac:dyDescent="0.25">
      <c r="A756" s="196"/>
      <c r="B756" s="196"/>
      <c r="C756" s="210"/>
      <c r="D756" s="210"/>
      <c r="E756" s="196"/>
      <c r="F756" s="196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196"/>
    </row>
    <row r="757" spans="1:25" ht="19.5" customHeight="1" x14ac:dyDescent="0.25">
      <c r="A757" s="196"/>
      <c r="B757" s="196"/>
      <c r="C757" s="210"/>
      <c r="D757" s="210"/>
      <c r="E757" s="196"/>
      <c r="F757" s="196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196"/>
    </row>
    <row r="758" spans="1:25" ht="19.5" customHeight="1" x14ac:dyDescent="0.25">
      <c r="A758" s="196"/>
      <c r="B758" s="196"/>
      <c r="C758" s="210"/>
      <c r="D758" s="210"/>
      <c r="E758" s="196"/>
      <c r="F758" s="196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196"/>
    </row>
    <row r="759" spans="1:25" ht="19.5" customHeight="1" x14ac:dyDescent="0.25">
      <c r="A759" s="196"/>
      <c r="B759" s="196"/>
      <c r="C759" s="210"/>
      <c r="D759" s="210"/>
      <c r="E759" s="196"/>
      <c r="F759" s="196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196"/>
    </row>
    <row r="760" spans="1:25" ht="19.5" customHeight="1" x14ac:dyDescent="0.25">
      <c r="A760" s="196"/>
      <c r="B760" s="196"/>
      <c r="C760" s="210"/>
      <c r="D760" s="210"/>
      <c r="E760" s="196"/>
      <c r="F760" s="196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196"/>
    </row>
    <row r="761" spans="1:25" ht="19.5" customHeight="1" x14ac:dyDescent="0.25">
      <c r="A761" s="196"/>
      <c r="B761" s="196"/>
      <c r="C761" s="210"/>
      <c r="D761" s="210"/>
      <c r="E761" s="196"/>
      <c r="F761" s="196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196"/>
    </row>
    <row r="762" spans="1:25" ht="19.5" customHeight="1" x14ac:dyDescent="0.25">
      <c r="A762" s="196"/>
      <c r="B762" s="196"/>
      <c r="C762" s="210"/>
      <c r="D762" s="210"/>
      <c r="E762" s="196"/>
      <c r="F762" s="196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196"/>
    </row>
    <row r="763" spans="1:25" ht="19.5" customHeight="1" x14ac:dyDescent="0.25">
      <c r="A763" s="196"/>
      <c r="B763" s="196"/>
      <c r="C763" s="210"/>
      <c r="D763" s="210"/>
      <c r="E763" s="196"/>
      <c r="F763" s="196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196"/>
    </row>
    <row r="764" spans="1:25" ht="19.5" customHeight="1" x14ac:dyDescent="0.25">
      <c r="A764" s="196"/>
      <c r="B764" s="196"/>
      <c r="C764" s="210"/>
      <c r="D764" s="210"/>
      <c r="E764" s="196"/>
      <c r="F764" s="196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196"/>
    </row>
    <row r="765" spans="1:25" ht="19.5" customHeight="1" x14ac:dyDescent="0.25">
      <c r="A765" s="196"/>
      <c r="B765" s="196"/>
      <c r="C765" s="210"/>
      <c r="D765" s="210"/>
      <c r="E765" s="196"/>
      <c r="F765" s="196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196"/>
    </row>
    <row r="766" spans="1:25" ht="19.5" customHeight="1" x14ac:dyDescent="0.25">
      <c r="A766" s="196"/>
      <c r="B766" s="196"/>
      <c r="C766" s="210"/>
      <c r="D766" s="210"/>
      <c r="E766" s="196"/>
      <c r="F766" s="196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196"/>
    </row>
    <row r="767" spans="1:25" ht="19.5" customHeight="1" x14ac:dyDescent="0.25">
      <c r="A767" s="196"/>
      <c r="B767" s="196"/>
      <c r="C767" s="210"/>
      <c r="D767" s="210"/>
      <c r="E767" s="196"/>
      <c r="F767" s="196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196"/>
    </row>
    <row r="768" spans="1:25" ht="19.5" customHeight="1" x14ac:dyDescent="0.25">
      <c r="A768" s="196"/>
      <c r="B768" s="196"/>
      <c r="C768" s="210"/>
      <c r="D768" s="210"/>
      <c r="E768" s="196"/>
      <c r="F768" s="196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196"/>
    </row>
    <row r="769" spans="1:25" ht="19.5" customHeight="1" x14ac:dyDescent="0.25">
      <c r="A769" s="196"/>
      <c r="B769" s="196"/>
      <c r="C769" s="210"/>
      <c r="D769" s="210"/>
      <c r="E769" s="196"/>
      <c r="F769" s="196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196"/>
    </row>
    <row r="770" spans="1:25" ht="19.5" customHeight="1" x14ac:dyDescent="0.25">
      <c r="A770" s="196"/>
      <c r="B770" s="196"/>
      <c r="C770" s="210"/>
      <c r="D770" s="210"/>
      <c r="E770" s="196"/>
      <c r="F770" s="196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196"/>
    </row>
    <row r="771" spans="1:25" ht="19.5" customHeight="1" x14ac:dyDescent="0.25">
      <c r="A771" s="196"/>
      <c r="B771" s="196"/>
      <c r="C771" s="210"/>
      <c r="D771" s="210"/>
      <c r="E771" s="196"/>
      <c r="F771" s="196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196"/>
    </row>
    <row r="772" spans="1:25" ht="19.5" customHeight="1" x14ac:dyDescent="0.25">
      <c r="A772" s="196"/>
      <c r="B772" s="196"/>
      <c r="C772" s="210"/>
      <c r="D772" s="210"/>
      <c r="E772" s="196"/>
      <c r="F772" s="196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196"/>
    </row>
    <row r="773" spans="1:25" ht="19.5" customHeight="1" x14ac:dyDescent="0.25">
      <c r="A773" s="196"/>
      <c r="B773" s="196"/>
      <c r="C773" s="210"/>
      <c r="D773" s="210"/>
      <c r="E773" s="196"/>
      <c r="F773" s="196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196"/>
    </row>
    <row r="774" spans="1:25" ht="19.5" customHeight="1" x14ac:dyDescent="0.25">
      <c r="A774" s="196"/>
      <c r="B774" s="196"/>
      <c r="C774" s="210"/>
      <c r="D774" s="210"/>
      <c r="E774" s="196"/>
      <c r="F774" s="196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196"/>
    </row>
    <row r="775" spans="1:25" ht="19.5" customHeight="1" x14ac:dyDescent="0.25">
      <c r="A775" s="196"/>
      <c r="B775" s="196"/>
      <c r="C775" s="210"/>
      <c r="D775" s="210"/>
      <c r="E775" s="196"/>
      <c r="F775" s="196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196"/>
    </row>
    <row r="776" spans="1:25" ht="19.5" customHeight="1" x14ac:dyDescent="0.25">
      <c r="A776" s="196"/>
      <c r="B776" s="196"/>
      <c r="C776" s="210"/>
      <c r="D776" s="210"/>
      <c r="E776" s="196"/>
      <c r="F776" s="196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196"/>
    </row>
    <row r="777" spans="1:25" ht="19.5" customHeight="1" x14ac:dyDescent="0.25">
      <c r="A777" s="196"/>
      <c r="B777" s="196"/>
      <c r="C777" s="210"/>
      <c r="D777" s="210"/>
      <c r="E777" s="196"/>
      <c r="F777" s="196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196"/>
    </row>
    <row r="778" spans="1:25" ht="19.5" customHeight="1" x14ac:dyDescent="0.25">
      <c r="A778" s="196"/>
      <c r="B778" s="196"/>
      <c r="C778" s="210"/>
      <c r="D778" s="210"/>
      <c r="E778" s="196"/>
      <c r="F778" s="196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196"/>
    </row>
    <row r="779" spans="1:25" ht="19.5" customHeight="1" x14ac:dyDescent="0.25">
      <c r="A779" s="196"/>
      <c r="B779" s="196"/>
      <c r="C779" s="210"/>
      <c r="D779" s="210"/>
      <c r="E779" s="196"/>
      <c r="F779" s="196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196"/>
    </row>
    <row r="780" spans="1:25" ht="19.5" customHeight="1" x14ac:dyDescent="0.25">
      <c r="A780" s="196"/>
      <c r="B780" s="196"/>
      <c r="C780" s="210"/>
      <c r="D780" s="210"/>
      <c r="E780" s="196"/>
      <c r="F780" s="196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196"/>
    </row>
    <row r="781" spans="1:25" ht="19.5" customHeight="1" x14ac:dyDescent="0.25">
      <c r="A781" s="196"/>
      <c r="B781" s="196"/>
      <c r="C781" s="210"/>
      <c r="D781" s="210"/>
      <c r="E781" s="196"/>
      <c r="F781" s="196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196"/>
    </row>
    <row r="782" spans="1:25" ht="19.5" customHeight="1" x14ac:dyDescent="0.25">
      <c r="A782" s="196"/>
      <c r="B782" s="196"/>
      <c r="C782" s="210"/>
      <c r="D782" s="210"/>
      <c r="E782" s="196"/>
      <c r="F782" s="196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196"/>
    </row>
    <row r="783" spans="1:25" ht="19.5" customHeight="1" x14ac:dyDescent="0.25">
      <c r="A783" s="196"/>
      <c r="B783" s="196"/>
      <c r="C783" s="210"/>
      <c r="D783" s="210"/>
      <c r="E783" s="196"/>
      <c r="F783" s="196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196"/>
    </row>
    <row r="784" spans="1:25" ht="19.5" customHeight="1" x14ac:dyDescent="0.25">
      <c r="A784" s="196"/>
      <c r="B784" s="196"/>
      <c r="C784" s="210"/>
      <c r="D784" s="210"/>
      <c r="E784" s="196"/>
      <c r="F784" s="196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196"/>
    </row>
    <row r="785" spans="1:25" ht="19.5" customHeight="1" x14ac:dyDescent="0.25">
      <c r="A785" s="196"/>
      <c r="B785" s="196"/>
      <c r="C785" s="210"/>
      <c r="D785" s="210"/>
      <c r="E785" s="196"/>
      <c r="F785" s="196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196"/>
    </row>
    <row r="786" spans="1:25" ht="19.5" customHeight="1" x14ac:dyDescent="0.25">
      <c r="A786" s="196"/>
      <c r="B786" s="196"/>
      <c r="C786" s="210"/>
      <c r="D786" s="210"/>
      <c r="E786" s="196"/>
      <c r="F786" s="196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196"/>
    </row>
    <row r="787" spans="1:25" ht="19.5" customHeight="1" x14ac:dyDescent="0.25">
      <c r="A787" s="196"/>
      <c r="B787" s="196"/>
      <c r="C787" s="210"/>
      <c r="D787" s="210"/>
      <c r="E787" s="196"/>
      <c r="F787" s="196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196"/>
    </row>
    <row r="788" spans="1:25" ht="19.5" customHeight="1" x14ac:dyDescent="0.25">
      <c r="A788" s="196"/>
      <c r="B788" s="196"/>
      <c r="C788" s="210"/>
      <c r="D788" s="210"/>
      <c r="E788" s="196"/>
      <c r="F788" s="196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196"/>
    </row>
    <row r="789" spans="1:25" ht="19.5" customHeight="1" x14ac:dyDescent="0.25">
      <c r="A789" s="196"/>
      <c r="B789" s="196"/>
      <c r="C789" s="210"/>
      <c r="D789" s="210"/>
      <c r="E789" s="196"/>
      <c r="F789" s="196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196"/>
    </row>
    <row r="790" spans="1:25" ht="19.5" customHeight="1" x14ac:dyDescent="0.25">
      <c r="A790" s="196"/>
      <c r="B790" s="196"/>
      <c r="C790" s="210"/>
      <c r="D790" s="210"/>
      <c r="E790" s="196"/>
      <c r="F790" s="196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196"/>
    </row>
    <row r="791" spans="1:25" ht="19.5" customHeight="1" x14ac:dyDescent="0.25">
      <c r="A791" s="196"/>
      <c r="B791" s="196"/>
      <c r="C791" s="210"/>
      <c r="D791" s="210"/>
      <c r="E791" s="196"/>
      <c r="F791" s="196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196"/>
    </row>
    <row r="792" spans="1:25" ht="19.5" customHeight="1" x14ac:dyDescent="0.25">
      <c r="A792" s="196"/>
      <c r="B792" s="196"/>
      <c r="C792" s="210"/>
      <c r="D792" s="210"/>
      <c r="E792" s="196"/>
      <c r="F792" s="196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196"/>
    </row>
    <row r="793" spans="1:25" ht="19.5" customHeight="1" x14ac:dyDescent="0.25">
      <c r="A793" s="196"/>
      <c r="B793" s="196"/>
      <c r="C793" s="210"/>
      <c r="D793" s="210"/>
      <c r="E793" s="196"/>
      <c r="F793" s="196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196"/>
    </row>
    <row r="794" spans="1:25" ht="19.5" customHeight="1" x14ac:dyDescent="0.25">
      <c r="A794" s="196"/>
      <c r="B794" s="196"/>
      <c r="C794" s="210"/>
      <c r="D794" s="210"/>
      <c r="E794" s="196"/>
      <c r="F794" s="196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196"/>
    </row>
    <row r="795" spans="1:25" ht="19.5" customHeight="1" x14ac:dyDescent="0.25">
      <c r="A795" s="196"/>
      <c r="B795" s="196"/>
      <c r="C795" s="210"/>
      <c r="D795" s="210"/>
      <c r="E795" s="196"/>
      <c r="F795" s="196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196"/>
    </row>
    <row r="796" spans="1:25" ht="19.5" customHeight="1" x14ac:dyDescent="0.25">
      <c r="A796" s="196"/>
      <c r="B796" s="196"/>
      <c r="C796" s="210"/>
      <c r="D796" s="210"/>
      <c r="E796" s="196"/>
      <c r="F796" s="196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196"/>
    </row>
    <row r="797" spans="1:25" ht="19.5" customHeight="1" x14ac:dyDescent="0.25">
      <c r="A797" s="196"/>
      <c r="B797" s="196"/>
      <c r="C797" s="210"/>
      <c r="D797" s="210"/>
      <c r="E797" s="196"/>
      <c r="F797" s="196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196"/>
    </row>
    <row r="798" spans="1:25" ht="19.5" customHeight="1" x14ac:dyDescent="0.25">
      <c r="A798" s="196"/>
      <c r="B798" s="196"/>
      <c r="C798" s="210"/>
      <c r="D798" s="210"/>
      <c r="E798" s="196"/>
      <c r="F798" s="196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196"/>
    </row>
    <row r="799" spans="1:25" ht="19.5" customHeight="1" x14ac:dyDescent="0.25">
      <c r="A799" s="196"/>
      <c r="B799" s="196"/>
      <c r="C799" s="210"/>
      <c r="D799" s="210"/>
      <c r="E799" s="196"/>
      <c r="F799" s="196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196"/>
    </row>
    <row r="800" spans="1:25" ht="19.5" customHeight="1" x14ac:dyDescent="0.25">
      <c r="A800" s="196"/>
      <c r="B800" s="196"/>
      <c r="C800" s="210"/>
      <c r="D800" s="210"/>
      <c r="E800" s="196"/>
      <c r="F800" s="196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196"/>
    </row>
    <row r="801" spans="1:25" ht="19.5" customHeight="1" x14ac:dyDescent="0.25">
      <c r="A801" s="196"/>
      <c r="B801" s="196"/>
      <c r="C801" s="210"/>
      <c r="D801" s="210"/>
      <c r="E801" s="196"/>
      <c r="F801" s="196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196"/>
    </row>
    <row r="802" spans="1:25" ht="19.5" customHeight="1" x14ac:dyDescent="0.25">
      <c r="A802" s="196"/>
      <c r="B802" s="196"/>
      <c r="C802" s="210"/>
      <c r="D802" s="210"/>
      <c r="E802" s="196"/>
      <c r="F802" s="196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196"/>
    </row>
    <row r="803" spans="1:25" ht="19.5" customHeight="1" x14ac:dyDescent="0.25">
      <c r="A803" s="196"/>
      <c r="B803" s="196"/>
      <c r="C803" s="210"/>
      <c r="D803" s="210"/>
      <c r="E803" s="196"/>
      <c r="F803" s="196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196"/>
    </row>
    <row r="804" spans="1:25" ht="19.5" customHeight="1" x14ac:dyDescent="0.25">
      <c r="A804" s="196"/>
      <c r="B804" s="196"/>
      <c r="C804" s="210"/>
      <c r="D804" s="210"/>
      <c r="E804" s="196"/>
      <c r="F804" s="196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196"/>
    </row>
    <row r="805" spans="1:25" ht="19.5" customHeight="1" x14ac:dyDescent="0.25">
      <c r="A805" s="196"/>
      <c r="B805" s="196"/>
      <c r="C805" s="210"/>
      <c r="D805" s="210"/>
      <c r="E805" s="196"/>
      <c r="F805" s="196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196"/>
    </row>
    <row r="806" spans="1:25" ht="19.5" customHeight="1" x14ac:dyDescent="0.25">
      <c r="A806" s="196"/>
      <c r="B806" s="196"/>
      <c r="C806" s="210"/>
      <c r="D806" s="210"/>
      <c r="E806" s="196"/>
      <c r="F806" s="196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196"/>
    </row>
    <row r="807" spans="1:25" ht="19.5" customHeight="1" x14ac:dyDescent="0.25">
      <c r="A807" s="196"/>
      <c r="B807" s="196"/>
      <c r="C807" s="210"/>
      <c r="D807" s="210"/>
      <c r="E807" s="196"/>
      <c r="F807" s="196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196"/>
    </row>
    <row r="808" spans="1:25" ht="19.5" customHeight="1" x14ac:dyDescent="0.25">
      <c r="A808" s="196"/>
      <c r="B808" s="196"/>
      <c r="C808" s="210"/>
      <c r="D808" s="210"/>
      <c r="E808" s="196"/>
      <c r="F808" s="196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196"/>
    </row>
    <row r="809" spans="1:25" ht="19.5" customHeight="1" x14ac:dyDescent="0.25">
      <c r="A809" s="196"/>
      <c r="B809" s="196"/>
      <c r="C809" s="210"/>
      <c r="D809" s="210"/>
      <c r="E809" s="196"/>
      <c r="F809" s="196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196"/>
    </row>
    <row r="810" spans="1:25" ht="19.5" customHeight="1" x14ac:dyDescent="0.25">
      <c r="A810" s="196"/>
      <c r="B810" s="196"/>
      <c r="C810" s="210"/>
      <c r="D810" s="210"/>
      <c r="E810" s="196"/>
      <c r="F810" s="196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196"/>
    </row>
    <row r="811" spans="1:25" ht="19.5" customHeight="1" x14ac:dyDescent="0.25">
      <c r="A811" s="196"/>
      <c r="B811" s="196"/>
      <c r="C811" s="210"/>
      <c r="D811" s="210"/>
      <c r="E811" s="196"/>
      <c r="F811" s="196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196"/>
    </row>
    <row r="812" spans="1:25" ht="19.5" customHeight="1" x14ac:dyDescent="0.25">
      <c r="A812" s="196"/>
      <c r="B812" s="196"/>
      <c r="C812" s="210"/>
      <c r="D812" s="210"/>
      <c r="E812" s="196"/>
      <c r="F812" s="196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196"/>
    </row>
    <row r="813" spans="1:25" ht="19.5" customHeight="1" x14ac:dyDescent="0.25">
      <c r="A813" s="196"/>
      <c r="B813" s="196"/>
      <c r="C813" s="210"/>
      <c r="D813" s="210"/>
      <c r="E813" s="196"/>
      <c r="F813" s="196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196"/>
    </row>
    <row r="814" spans="1:25" ht="19.5" customHeight="1" x14ac:dyDescent="0.25">
      <c r="A814" s="196"/>
      <c r="B814" s="196"/>
      <c r="C814" s="210"/>
      <c r="D814" s="210"/>
      <c r="E814" s="196"/>
      <c r="F814" s="196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196"/>
    </row>
    <row r="815" spans="1:25" ht="19.5" customHeight="1" x14ac:dyDescent="0.25">
      <c r="A815" s="196"/>
      <c r="B815" s="196"/>
      <c r="C815" s="210"/>
      <c r="D815" s="210"/>
      <c r="E815" s="196"/>
      <c r="F815" s="196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196"/>
    </row>
    <row r="816" spans="1:25" ht="19.5" customHeight="1" x14ac:dyDescent="0.25">
      <c r="A816" s="196"/>
      <c r="B816" s="196"/>
      <c r="C816" s="210"/>
      <c r="D816" s="210"/>
      <c r="E816" s="196"/>
      <c r="F816" s="196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196"/>
    </row>
    <row r="817" spans="1:25" ht="19.5" customHeight="1" x14ac:dyDescent="0.25">
      <c r="A817" s="196"/>
      <c r="B817" s="196"/>
      <c r="C817" s="210"/>
      <c r="D817" s="210"/>
      <c r="E817" s="196"/>
      <c r="F817" s="196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196"/>
    </row>
    <row r="818" spans="1:25" ht="19.5" customHeight="1" x14ac:dyDescent="0.25">
      <c r="A818" s="196"/>
      <c r="B818" s="196"/>
      <c r="C818" s="210"/>
      <c r="D818" s="210"/>
      <c r="E818" s="196"/>
      <c r="F818" s="196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196"/>
    </row>
    <row r="819" spans="1:25" ht="19.5" customHeight="1" x14ac:dyDescent="0.25">
      <c r="A819" s="196"/>
      <c r="B819" s="196"/>
      <c r="C819" s="210"/>
      <c r="D819" s="210"/>
      <c r="E819" s="196"/>
      <c r="F819" s="196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196"/>
    </row>
    <row r="820" spans="1:25" ht="19.5" customHeight="1" x14ac:dyDescent="0.25">
      <c r="A820" s="196"/>
      <c r="B820" s="196"/>
      <c r="C820" s="210"/>
      <c r="D820" s="210"/>
      <c r="E820" s="196"/>
      <c r="F820" s="196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196"/>
    </row>
    <row r="821" spans="1:25" ht="19.5" customHeight="1" x14ac:dyDescent="0.25">
      <c r="A821" s="196"/>
      <c r="B821" s="196"/>
      <c r="C821" s="210"/>
      <c r="D821" s="210"/>
      <c r="E821" s="196"/>
      <c r="F821" s="196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196"/>
    </row>
    <row r="822" spans="1:25" ht="19.5" customHeight="1" x14ac:dyDescent="0.25">
      <c r="A822" s="196"/>
      <c r="B822" s="196"/>
      <c r="C822" s="210"/>
      <c r="D822" s="210"/>
      <c r="E822" s="196"/>
      <c r="F822" s="196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196"/>
    </row>
    <row r="823" spans="1:25" ht="19.5" customHeight="1" x14ac:dyDescent="0.25">
      <c r="A823" s="196"/>
      <c r="B823" s="196"/>
      <c r="C823" s="210"/>
      <c r="D823" s="210"/>
      <c r="E823" s="196"/>
      <c r="F823" s="196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196"/>
    </row>
    <row r="824" spans="1:25" ht="19.5" customHeight="1" x14ac:dyDescent="0.25">
      <c r="A824" s="196"/>
      <c r="B824" s="196"/>
      <c r="C824" s="210"/>
      <c r="D824" s="210"/>
      <c r="E824" s="196"/>
      <c r="F824" s="196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196"/>
    </row>
  </sheetData>
  <mergeCells count="3">
    <mergeCell ref="B2:D2"/>
    <mergeCell ref="E2:G2"/>
    <mergeCell ref="H2:J2"/>
  </mergeCells>
  <pageMargins left="0.511811024" right="0.511811024" top="0.78740157499999996" bottom="0.78740157499999996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696B2-3937-4BC6-878F-7A1DCAF6F943}">
  <sheetPr>
    <tabColor rgb="FF1851D6"/>
    <outlinePr summaryBelow="0" summaryRight="0"/>
    <pageSetUpPr fitToPage="1"/>
  </sheetPr>
  <dimension ref="A1:P287"/>
  <sheetViews>
    <sheetView showGridLines="0" zoomScale="90" zoomScaleNormal="90" workbookViewId="0">
      <pane xSplit="9" ySplit="3" topLeftCell="J4" activePane="bottomRight" state="frozen"/>
      <selection activeCell="B1" sqref="B1:D3"/>
      <selection pane="topRight" activeCell="B1" sqref="B1:D3"/>
      <selection pane="bottomLeft" activeCell="B1" sqref="B1:D3"/>
      <selection pane="bottomRight" activeCell="G3" sqref="G3:I3"/>
    </sheetView>
  </sheetViews>
  <sheetFormatPr defaultColWidth="8.85546875" defaultRowHeight="18.75" outlineLevelRow="1" x14ac:dyDescent="0.55000000000000004"/>
  <cols>
    <col min="1" max="1" width="7" style="89" hidden="1" customWidth="1"/>
    <col min="2" max="4" width="6.7109375" style="89" hidden="1" customWidth="1"/>
    <col min="5" max="5" width="6.7109375" style="90" hidden="1" customWidth="1"/>
    <col min="6" max="6" width="2" style="90" customWidth="1"/>
    <col min="7" max="7" width="22.140625" style="58" bestFit="1" customWidth="1"/>
    <col min="8" max="8" width="14.7109375" style="92" bestFit="1" customWidth="1"/>
    <col min="9" max="9" width="59.85546875" style="58" bestFit="1" customWidth="1"/>
    <col min="10" max="10" width="11.42578125" style="99" bestFit="1" customWidth="1"/>
    <col min="11" max="11" width="8.42578125" style="99" bestFit="1" customWidth="1"/>
    <col min="12" max="12" width="16.42578125" style="122" bestFit="1" customWidth="1"/>
    <col min="13" max="13" width="65.28515625" style="104" customWidth="1"/>
    <col min="14" max="14" width="9.140625" style="58" customWidth="1"/>
    <col min="15" max="16" width="8.85546875" style="59"/>
    <col min="17" max="17" width="53" style="59" customWidth="1"/>
    <col min="18" max="16384" width="8.85546875" style="59"/>
  </cols>
  <sheetData>
    <row r="1" spans="1:16" s="58" customFormat="1" ht="19.5" thickBot="1" x14ac:dyDescent="0.6">
      <c r="A1" s="55"/>
      <c r="B1" s="55"/>
      <c r="C1" s="55"/>
      <c r="D1" s="55"/>
      <c r="E1" s="55"/>
      <c r="F1" s="56"/>
      <c r="G1" s="177" t="s">
        <v>655</v>
      </c>
      <c r="H1" s="178"/>
      <c r="I1" s="179"/>
      <c r="J1" s="93"/>
      <c r="K1" s="93"/>
      <c r="L1" s="109"/>
      <c r="M1" s="100"/>
    </row>
    <row r="2" spans="1:16" s="58" customFormat="1" x14ac:dyDescent="0.55000000000000004">
      <c r="A2" s="55"/>
      <c r="B2" s="55"/>
      <c r="C2" s="55"/>
      <c r="D2" s="55"/>
      <c r="E2" s="55"/>
      <c r="F2" s="56"/>
      <c r="G2" s="180"/>
      <c r="H2" s="181"/>
      <c r="I2" s="182"/>
      <c r="J2" s="183" t="s">
        <v>551</v>
      </c>
      <c r="K2" s="184"/>
      <c r="L2" s="185"/>
      <c r="M2" s="186" t="s">
        <v>171</v>
      </c>
      <c r="P2" s="59" t="s">
        <v>165</v>
      </c>
    </row>
    <row r="3" spans="1:16" s="58" customFormat="1" ht="19.5" thickBot="1" x14ac:dyDescent="0.6">
      <c r="A3" s="55" t="s">
        <v>150</v>
      </c>
      <c r="B3" s="55" t="s">
        <v>151</v>
      </c>
      <c r="C3" s="55" t="s">
        <v>152</v>
      </c>
      <c r="D3" s="55" t="s">
        <v>153</v>
      </c>
      <c r="E3" s="55" t="s">
        <v>154</v>
      </c>
      <c r="F3" s="56"/>
      <c r="G3" s="188" t="s">
        <v>240</v>
      </c>
      <c r="H3" s="189"/>
      <c r="I3" s="190"/>
      <c r="J3" s="60" t="s">
        <v>166</v>
      </c>
      <c r="K3" s="61" t="s">
        <v>167</v>
      </c>
      <c r="L3" s="62" t="s">
        <v>168</v>
      </c>
      <c r="M3" s="187"/>
    </row>
    <row r="4" spans="1:16" x14ac:dyDescent="0.55000000000000004">
      <c r="A4" s="63">
        <f>IF($G4="UNIDADE CONSTRUTIVA",1,LARGE(A$3:A3,1))</f>
        <v>1</v>
      </c>
      <c r="B4" s="63">
        <f ca="1">IF(G4="UNIDADE CONSTRUTIVA",0,IF(G4="CÉLULA CONSTRUTIVA",OFFSET(B4,-1,0)+1,OFFSET(B4,-1,0)))</f>
        <v>0</v>
      </c>
      <c r="C4" s="63" t="str">
        <f ca="1">IF(G4="CÉLULA CONSTRUTIVA",0,IF(G4="ETAPA",OFFSET(C4,-1,0)+1,OFFSET(C4,-1,0)))</f>
        <v>Etapa</v>
      </c>
      <c r="D4" s="64" t="str">
        <f ca="1">IF(G4="ETAPA",0,IF(G4="SUBETAPA",OFFSET(D4,-1,0)+1,OFFSET(D4,-1,0)))</f>
        <v>Subetapa</v>
      </c>
      <c r="E4" s="64" t="str">
        <f ca="1">IF(G4="Subetapa",0,IF(G4="serviço",OFFSET(E4,-1,0)+1,OFFSET(E4,-1,0)))</f>
        <v>Serviço</v>
      </c>
      <c r="F4" s="65"/>
      <c r="G4" s="66" t="s">
        <v>155</v>
      </c>
      <c r="H4" s="67" t="str">
        <f>IF(G4="Unidade Construtiva",TEXT(A4,"00"),IF(G4="Célula Construtiva",TEXT(B4,"00"),IF(G4="Etapa",CONCATENATE(TEXT(B4,"00"),".",TEXT(C4,"000")),IF(G4="Subetapa",CONCATENATE(TEXT(B4,"00"),".",TEXT(C4,"000"),".",TEXT(D4,"000")),IF(G4="Serviço",CONCATENATE(TEXT(B4,"00"),".",TEXT(C4,"000"),".",TEXT(D4,"000"),".",TEXT(E4,"000")),"")))))</f>
        <v>01</v>
      </c>
      <c r="I4" s="68" t="s">
        <v>0</v>
      </c>
      <c r="J4" s="94"/>
      <c r="K4" s="110"/>
      <c r="L4" s="111">
        <f>L5+L14+L68</f>
        <v>13604537.975015631</v>
      </c>
      <c r="M4" s="69"/>
      <c r="N4" s="70"/>
    </row>
    <row r="5" spans="1:16" x14ac:dyDescent="0.55000000000000004">
      <c r="A5" s="63">
        <f ca="1">IF($G5="UNIDADE CONSTRUTIVA",OFFSET(A5,0,0)+1,LARGE(A$3:A4,1))</f>
        <v>1</v>
      </c>
      <c r="B5" s="63">
        <f t="shared" ref="B5:B89" ca="1" si="0">IF(G5="UNIDADE CONSTRUTIVA",0,IF(G5="CÉLULA CONSTRUTIVA",OFFSET(B5,-1,0)+1,OFFSET(B5,-1,0)))</f>
        <v>1</v>
      </c>
      <c r="C5" s="63">
        <f t="shared" ref="C5:C89" ca="1" si="1">IF(G5="CÉLULA CONSTRUTIVA",0,IF(G5="ETAPA",OFFSET(C5,-1,0)+1,OFFSET(C5,-1,0)))</f>
        <v>0</v>
      </c>
      <c r="D5" s="64" t="str">
        <f t="shared" ref="D5:D89" ca="1" si="2">IF(G5="ETAPA",0,IF(G5="SUBETAPA",OFFSET(D5,-1,0)+1,OFFSET(D5,-1,0)))</f>
        <v>Subetapa</v>
      </c>
      <c r="E5" s="64" t="str">
        <f t="shared" ref="E5:E89" ca="1" si="3">IF(G5="Subetapa",0,IF(G5="serviço",OFFSET(E5,-1,0)+1,OFFSET(E5,-1,0)))</f>
        <v>Serviço</v>
      </c>
      <c r="F5" s="65"/>
      <c r="G5" s="71" t="s">
        <v>156</v>
      </c>
      <c r="H5" s="67" t="str">
        <f ca="1">IF(G5="Unidade Construtiva",TEXT(A5,"00"),IF(G5="Célula Construtiva",TEXT(B5,"00"),IF(G5="Etapa",CONCATENATE(TEXT(B5,"00"),".",TEXT(C5,"000")),IF(G5="Subetapa",CONCATENATE(TEXT(B5,"00"),".",TEXT(C5,"000"),".",TEXT(D5,"000")),IF(G5="Serviço",CONCATENATE(TEXT(B5,"00"),".",TEXT(C5,"000"),".",TEXT(D5,"000"),".",TEXT(E5,"000")),"")))))</f>
        <v>01</v>
      </c>
      <c r="I5" s="72" t="s">
        <v>1</v>
      </c>
      <c r="J5" s="95"/>
      <c r="K5" s="112"/>
      <c r="L5" s="113">
        <f>L6+L11</f>
        <v>4293333.3498829119</v>
      </c>
      <c r="M5" s="72"/>
      <c r="N5" s="70"/>
    </row>
    <row r="6" spans="1:16" outlineLevel="1" x14ac:dyDescent="0.55000000000000004">
      <c r="A6" s="63">
        <f ca="1">IF($G6="UNIDADE CONSTRUTIVA",OFFSET(A6,0,0)+1,LARGE(A$3:A5,1))</f>
        <v>1</v>
      </c>
      <c r="B6" s="63">
        <f t="shared" ca="1" si="0"/>
        <v>1</v>
      </c>
      <c r="C6" s="63">
        <f t="shared" ca="1" si="1"/>
        <v>1</v>
      </c>
      <c r="D6" s="64">
        <f t="shared" ca="1" si="2"/>
        <v>0</v>
      </c>
      <c r="E6" s="64" t="str">
        <f t="shared" ca="1" si="3"/>
        <v>Serviço</v>
      </c>
      <c r="F6" s="65"/>
      <c r="G6" s="71" t="s">
        <v>157</v>
      </c>
      <c r="H6" s="67" t="str">
        <f t="shared" ref="H6:H89" ca="1" si="4">IF(G6="Unidade Construtiva",TEXT(A6,"00"),IF(G6="Célula Construtiva",TEXT(B6,"00"),IF(G6="Etapa",CONCATENATE(TEXT(B6,"00"),".",TEXT(C6,"000")),IF(G6="Subetapa",CONCATENATE(TEXT(B6,"00"),".",TEXT(C6,"000"),".",TEXT(D6,"000")),IF(G6="Serviço",CONCATENATE(TEXT(B6,"00"),".",TEXT(C6,"000"),".",TEXT(D6,"000"),".",TEXT(E6,"000")),"")))))</f>
        <v>01.001</v>
      </c>
      <c r="I6" s="72" t="s">
        <v>2</v>
      </c>
      <c r="J6" s="95"/>
      <c r="K6" s="112"/>
      <c r="L6" s="113">
        <f>SUM(L7:L10)</f>
        <v>1480076.3375111991</v>
      </c>
      <c r="M6" s="72"/>
      <c r="N6" s="70"/>
    </row>
    <row r="7" spans="1:16" outlineLevel="1" x14ac:dyDescent="0.55000000000000004">
      <c r="A7" s="63">
        <f ca="1">IF($G7="UNIDADE CONSTRUTIVA",OFFSET(A7,0,0)+1,LARGE(A$3:A6,1))</f>
        <v>1</v>
      </c>
      <c r="B7" s="63">
        <f t="shared" ca="1" si="0"/>
        <v>1</v>
      </c>
      <c r="C7" s="63">
        <f t="shared" ca="1" si="1"/>
        <v>1</v>
      </c>
      <c r="D7" s="64">
        <f t="shared" ca="1" si="2"/>
        <v>1</v>
      </c>
      <c r="E7" s="64">
        <f t="shared" ca="1" si="3"/>
        <v>0</v>
      </c>
      <c r="F7" s="65"/>
      <c r="G7" s="73" t="s">
        <v>153</v>
      </c>
      <c r="H7" s="67" t="str">
        <f t="shared" ca="1" si="4"/>
        <v>01.001.001</v>
      </c>
      <c r="I7" s="74" t="s">
        <v>3</v>
      </c>
      <c r="J7" s="96">
        <v>1</v>
      </c>
      <c r="K7" s="114" t="s">
        <v>217</v>
      </c>
      <c r="L7" s="115">
        <v>54376.895105980911</v>
      </c>
      <c r="M7" s="74" t="s">
        <v>552</v>
      </c>
      <c r="N7" s="70"/>
    </row>
    <row r="8" spans="1:16" outlineLevel="1" x14ac:dyDescent="0.55000000000000004">
      <c r="A8" s="63">
        <f ca="1">IF($G8="UNIDADE CONSTRUTIVA",OFFSET(A8,0,0)+1,LARGE(A$3:A7,1))</f>
        <v>1</v>
      </c>
      <c r="B8" s="63">
        <f t="shared" ca="1" si="0"/>
        <v>1</v>
      </c>
      <c r="C8" s="63">
        <f t="shared" ca="1" si="1"/>
        <v>1</v>
      </c>
      <c r="D8" s="64">
        <f t="shared" ca="1" si="2"/>
        <v>2</v>
      </c>
      <c r="E8" s="64">
        <f t="shared" ca="1" si="3"/>
        <v>0</v>
      </c>
      <c r="F8" s="65"/>
      <c r="G8" s="73" t="s">
        <v>153</v>
      </c>
      <c r="H8" s="67" t="str">
        <f t="shared" ca="1" si="4"/>
        <v>01.001.002</v>
      </c>
      <c r="I8" s="74" t="s">
        <v>4</v>
      </c>
      <c r="J8" s="96">
        <v>1</v>
      </c>
      <c r="K8" s="114" t="s">
        <v>217</v>
      </c>
      <c r="L8" s="115">
        <v>1256710.9200000002</v>
      </c>
      <c r="M8" s="74" t="s">
        <v>552</v>
      </c>
      <c r="N8" s="70"/>
    </row>
    <row r="9" spans="1:16" outlineLevel="1" x14ac:dyDescent="0.55000000000000004">
      <c r="A9" s="63">
        <f ca="1">IF($G9="UNIDADE CONSTRUTIVA",OFFSET(A9,0,0)+1,LARGE(A$3:A8,1))</f>
        <v>1</v>
      </c>
      <c r="B9" s="63">
        <f t="shared" ca="1" si="0"/>
        <v>1</v>
      </c>
      <c r="C9" s="63">
        <f t="shared" ca="1" si="1"/>
        <v>1</v>
      </c>
      <c r="D9" s="64">
        <f t="shared" ca="1" si="2"/>
        <v>3</v>
      </c>
      <c r="E9" s="64">
        <f t="shared" ca="1" si="3"/>
        <v>0</v>
      </c>
      <c r="F9" s="65"/>
      <c r="G9" s="73" t="s">
        <v>153</v>
      </c>
      <c r="H9" s="67" t="str">
        <f t="shared" ca="1" si="4"/>
        <v>01.001.003</v>
      </c>
      <c r="I9" s="74" t="s">
        <v>5</v>
      </c>
      <c r="J9" s="96">
        <v>1</v>
      </c>
      <c r="K9" s="114" t="s">
        <v>217</v>
      </c>
      <c r="L9" s="115">
        <v>119868.78185919428</v>
      </c>
      <c r="M9" s="74" t="s">
        <v>552</v>
      </c>
      <c r="N9" s="70"/>
    </row>
    <row r="10" spans="1:16" outlineLevel="1" x14ac:dyDescent="0.55000000000000004">
      <c r="A10" s="63">
        <f ca="1">IF($G10="UNIDADE CONSTRUTIVA",OFFSET(A10,0,0)+1,LARGE(A$3:A9,1))</f>
        <v>1</v>
      </c>
      <c r="B10" s="63">
        <f t="shared" ca="1" si="0"/>
        <v>1</v>
      </c>
      <c r="C10" s="63">
        <f t="shared" ca="1" si="1"/>
        <v>1</v>
      </c>
      <c r="D10" s="64">
        <f t="shared" ca="1" si="2"/>
        <v>4</v>
      </c>
      <c r="E10" s="64">
        <f t="shared" ca="1" si="3"/>
        <v>0</v>
      </c>
      <c r="F10" s="65"/>
      <c r="G10" s="73" t="s">
        <v>153</v>
      </c>
      <c r="H10" s="67" t="str">
        <f t="shared" ca="1" si="4"/>
        <v>01.001.004</v>
      </c>
      <c r="I10" s="74" t="s">
        <v>6</v>
      </c>
      <c r="J10" s="96">
        <v>1</v>
      </c>
      <c r="K10" s="114" t="s">
        <v>217</v>
      </c>
      <c r="L10" s="115">
        <v>49119.740546023939</v>
      </c>
      <c r="M10" s="74"/>
      <c r="N10" s="70"/>
    </row>
    <row r="11" spans="1:16" outlineLevel="1" x14ac:dyDescent="0.55000000000000004">
      <c r="A11" s="63">
        <f ca="1">IF($G11="UNIDADE CONSTRUTIVA",OFFSET(A11,0,0)+1,LARGE(A$3:A10,1))</f>
        <v>1</v>
      </c>
      <c r="B11" s="63">
        <f t="shared" ca="1" si="0"/>
        <v>1</v>
      </c>
      <c r="C11" s="63">
        <f t="shared" ca="1" si="1"/>
        <v>2</v>
      </c>
      <c r="D11" s="64">
        <f t="shared" ca="1" si="2"/>
        <v>0</v>
      </c>
      <c r="E11" s="64">
        <f t="shared" ca="1" si="3"/>
        <v>0</v>
      </c>
      <c r="F11" s="65"/>
      <c r="G11" s="71" t="s">
        <v>157</v>
      </c>
      <c r="H11" s="67" t="str">
        <f t="shared" ca="1" si="4"/>
        <v>01.002</v>
      </c>
      <c r="I11" s="72" t="s">
        <v>7</v>
      </c>
      <c r="J11" s="95"/>
      <c r="K11" s="112"/>
      <c r="L11" s="113">
        <f>L12+L13</f>
        <v>2813257.0123717133</v>
      </c>
      <c r="M11" s="72"/>
      <c r="N11" s="70"/>
    </row>
    <row r="12" spans="1:16" ht="37.5" outlineLevel="1" x14ac:dyDescent="0.55000000000000004">
      <c r="A12" s="63">
        <f ca="1">IF($G12="UNIDADE CONSTRUTIVA",OFFSET(A12,0,0)+1,LARGE(A$3:A11,1))</f>
        <v>1</v>
      </c>
      <c r="B12" s="63">
        <f t="shared" ca="1" si="0"/>
        <v>1</v>
      </c>
      <c r="C12" s="63">
        <f t="shared" ca="1" si="1"/>
        <v>2</v>
      </c>
      <c r="D12" s="64">
        <f t="shared" ca="1" si="2"/>
        <v>1</v>
      </c>
      <c r="E12" s="64">
        <f t="shared" ca="1" si="3"/>
        <v>0</v>
      </c>
      <c r="F12" s="65"/>
      <c r="G12" s="73" t="s">
        <v>153</v>
      </c>
      <c r="H12" s="67" t="str">
        <f t="shared" ca="1" si="4"/>
        <v>01.002.001</v>
      </c>
      <c r="I12" s="74" t="s">
        <v>8</v>
      </c>
      <c r="J12" s="96">
        <v>1</v>
      </c>
      <c r="K12" s="114" t="s">
        <v>217</v>
      </c>
      <c r="L12" s="115">
        <v>2685165.1</v>
      </c>
      <c r="M12" s="74" t="s">
        <v>646</v>
      </c>
      <c r="N12" s="70"/>
    </row>
    <row r="13" spans="1:16" outlineLevel="1" x14ac:dyDescent="0.55000000000000004">
      <c r="A13" s="63">
        <f ca="1">IF($G13="UNIDADE CONSTRUTIVA",OFFSET(A13,0,0)+1,LARGE(A$3:A12,1))</f>
        <v>1</v>
      </c>
      <c r="B13" s="63">
        <f t="shared" ca="1" si="0"/>
        <v>1</v>
      </c>
      <c r="C13" s="63">
        <f t="shared" ca="1" si="1"/>
        <v>2</v>
      </c>
      <c r="D13" s="64">
        <f t="shared" ca="1" si="2"/>
        <v>2</v>
      </c>
      <c r="E13" s="64">
        <f t="shared" ca="1" si="3"/>
        <v>0</v>
      </c>
      <c r="F13" s="65"/>
      <c r="G13" s="73" t="s">
        <v>153</v>
      </c>
      <c r="H13" s="67" t="str">
        <f t="shared" ca="1" si="4"/>
        <v>01.002.002</v>
      </c>
      <c r="I13" s="74" t="s">
        <v>9</v>
      </c>
      <c r="J13" s="96">
        <v>1</v>
      </c>
      <c r="K13" s="114" t="s">
        <v>217</v>
      </c>
      <c r="L13" s="115">
        <v>128091.91237171325</v>
      </c>
      <c r="M13" s="74" t="s">
        <v>647</v>
      </c>
      <c r="N13" s="70"/>
    </row>
    <row r="14" spans="1:16" x14ac:dyDescent="0.55000000000000004">
      <c r="A14" s="63">
        <f ca="1">IF($G14="UNIDADE CONSTRUTIVA",OFFSET(A14,0,0)+1,LARGE(A$3:A13,1))</f>
        <v>1</v>
      </c>
      <c r="B14" s="63">
        <f t="shared" ca="1" si="0"/>
        <v>2</v>
      </c>
      <c r="C14" s="63">
        <f t="shared" ca="1" si="1"/>
        <v>0</v>
      </c>
      <c r="D14" s="64">
        <f t="shared" ca="1" si="2"/>
        <v>2</v>
      </c>
      <c r="E14" s="64">
        <f t="shared" ca="1" si="3"/>
        <v>0</v>
      </c>
      <c r="F14" s="65"/>
      <c r="G14" s="71" t="s">
        <v>156</v>
      </c>
      <c r="H14" s="67" t="str">
        <f t="shared" ca="1" si="4"/>
        <v>02</v>
      </c>
      <c r="I14" s="72" t="s">
        <v>10</v>
      </c>
      <c r="J14" s="95"/>
      <c r="K14" s="112"/>
      <c r="L14" s="113">
        <f>L15+L37+L65</f>
        <v>6315343.9986827187</v>
      </c>
      <c r="M14" s="72"/>
      <c r="N14" s="70"/>
    </row>
    <row r="15" spans="1:16" outlineLevel="1" x14ac:dyDescent="0.55000000000000004">
      <c r="A15" s="63">
        <f ca="1">IF($G15="UNIDADE CONSTRUTIVA",OFFSET(A15,0,0)+1,LARGE(A$3:A14,1))</f>
        <v>1</v>
      </c>
      <c r="B15" s="63">
        <f t="shared" ca="1" si="0"/>
        <v>2</v>
      </c>
      <c r="C15" s="63">
        <f t="shared" ca="1" si="1"/>
        <v>1</v>
      </c>
      <c r="D15" s="64">
        <f t="shared" ca="1" si="2"/>
        <v>0</v>
      </c>
      <c r="E15" s="64">
        <f t="shared" ca="1" si="3"/>
        <v>0</v>
      </c>
      <c r="F15" s="65"/>
      <c r="G15" s="71" t="s">
        <v>157</v>
      </c>
      <c r="H15" s="67" t="str">
        <f t="shared" ca="1" si="4"/>
        <v>02.001</v>
      </c>
      <c r="I15" s="72" t="s">
        <v>11</v>
      </c>
      <c r="J15" s="95"/>
      <c r="K15" s="112"/>
      <c r="L15" s="113">
        <f>SUM(L16:L36)/2</f>
        <v>1572839.2969038226</v>
      </c>
      <c r="M15" s="72"/>
      <c r="N15" s="70"/>
    </row>
    <row r="16" spans="1:16" outlineLevel="1" x14ac:dyDescent="0.55000000000000004">
      <c r="A16" s="63">
        <f ca="1">IF($G16="UNIDADE CONSTRUTIVA",OFFSET(A16,0,0)+1,LARGE(A$3:A15,1))</f>
        <v>1</v>
      </c>
      <c r="B16" s="63">
        <f t="shared" ca="1" si="0"/>
        <v>2</v>
      </c>
      <c r="C16" s="63">
        <f t="shared" ca="1" si="1"/>
        <v>1</v>
      </c>
      <c r="D16" s="64">
        <f t="shared" ca="1" si="2"/>
        <v>1</v>
      </c>
      <c r="E16" s="64">
        <f t="shared" ca="1" si="3"/>
        <v>0</v>
      </c>
      <c r="F16" s="65"/>
      <c r="G16" s="73" t="s">
        <v>153</v>
      </c>
      <c r="H16" s="67" t="str">
        <f t="shared" ca="1" si="4"/>
        <v>02.001.001</v>
      </c>
      <c r="I16" s="74" t="s">
        <v>12</v>
      </c>
      <c r="J16" s="96"/>
      <c r="K16" s="114"/>
      <c r="L16" s="115">
        <f>L17</f>
        <v>252000</v>
      </c>
      <c r="M16" s="74"/>
      <c r="N16" s="70"/>
    </row>
    <row r="17" spans="1:14" outlineLevel="1" x14ac:dyDescent="0.55000000000000004">
      <c r="A17" s="63">
        <f ca="1">IF($G17="UNIDADE CONSTRUTIVA",OFFSET(A17,0,0)+1,LARGE(A$3:A16,1))</f>
        <v>1</v>
      </c>
      <c r="B17" s="63">
        <f t="shared" ref="B17" ca="1" si="5">IF(G17="UNIDADE CONSTRUTIVA",0,IF(G17="CÉLULA CONSTRUTIVA",OFFSET(B17,-1,0)+1,OFFSET(B17,-1,0)))</f>
        <v>2</v>
      </c>
      <c r="C17" s="63">
        <f t="shared" ref="C17" ca="1" si="6">IF(G17="CÉLULA CONSTRUTIVA",0,IF(G17="ETAPA",OFFSET(C17,-1,0)+1,OFFSET(C17,-1,0)))</f>
        <v>1</v>
      </c>
      <c r="D17" s="64">
        <f t="shared" ref="D17" ca="1" si="7">IF(G17="ETAPA",0,IF(G17="SUBETAPA",OFFSET(D17,-1,0)+1,OFFSET(D17,-1,0)))</f>
        <v>1</v>
      </c>
      <c r="E17" s="64">
        <f t="shared" ref="E17" ca="1" si="8">IF(G17="Subetapa",0,IF(G17="serviço",OFFSET(E17,-1,0)+1,OFFSET(E17,-1,0)))</f>
        <v>1</v>
      </c>
      <c r="F17" s="65"/>
      <c r="G17" s="73" t="s">
        <v>154</v>
      </c>
      <c r="H17" s="67" t="str">
        <f t="shared" ref="H17" ca="1" si="9">IF(G17="Unidade Construtiva",TEXT(A17,"00"),IF(G17="Célula Construtiva",TEXT(B17,"00"),IF(G17="Etapa",CONCATENATE(TEXT(B17,"00"),".",TEXT(C17,"000")),IF(G17="Subetapa",CONCATENATE(TEXT(B17,"00"),".",TEXT(C17,"000"),".",TEXT(D17,"000")),IF(G17="Serviço",CONCATENATE(TEXT(B17,"00"),".",TEXT(C17,"000"),".",TEXT(D17,"000"),".",TEXT(E17,"000")),"")))))</f>
        <v>02.001.001.001</v>
      </c>
      <c r="I17" s="74" t="s">
        <v>553</v>
      </c>
      <c r="J17" s="96">
        <v>36</v>
      </c>
      <c r="K17" s="114" t="s">
        <v>554</v>
      </c>
      <c r="L17" s="115">
        <v>252000</v>
      </c>
      <c r="M17" s="74" t="s">
        <v>555</v>
      </c>
      <c r="N17" s="70"/>
    </row>
    <row r="18" spans="1:14" outlineLevel="1" x14ac:dyDescent="0.55000000000000004">
      <c r="A18" s="63">
        <f ca="1">IF($G18="UNIDADE CONSTRUTIVA",OFFSET(A18,0,0)+1,LARGE(A$3:A16,1))</f>
        <v>1</v>
      </c>
      <c r="B18" s="63">
        <f t="shared" ca="1" si="0"/>
        <v>2</v>
      </c>
      <c r="C18" s="63">
        <f t="shared" ca="1" si="1"/>
        <v>1</v>
      </c>
      <c r="D18" s="64">
        <f t="shared" ca="1" si="2"/>
        <v>2</v>
      </c>
      <c r="E18" s="64">
        <f t="shared" ca="1" si="3"/>
        <v>0</v>
      </c>
      <c r="F18" s="65"/>
      <c r="G18" s="73" t="s">
        <v>153</v>
      </c>
      <c r="H18" s="67" t="str">
        <f t="shared" ca="1" si="4"/>
        <v>02.001.002</v>
      </c>
      <c r="I18" s="74" t="s">
        <v>556</v>
      </c>
      <c r="J18" s="96"/>
      <c r="K18" s="114"/>
      <c r="L18" s="115">
        <f>SUM(L19:L20)</f>
        <v>118315.395</v>
      </c>
      <c r="M18" s="74"/>
      <c r="N18" s="70"/>
    </row>
    <row r="19" spans="1:14" outlineLevel="1" x14ac:dyDescent="0.55000000000000004">
      <c r="A19" s="63">
        <f ca="1">IF($G19="UNIDADE CONSTRUTIVA",OFFSET(A19,0,0)+1,LARGE(A$3:A17,1))</f>
        <v>1</v>
      </c>
      <c r="B19" s="63">
        <f t="shared" ref="B19:B27" ca="1" si="10">IF(G19="UNIDADE CONSTRUTIVA",0,IF(G19="CÉLULA CONSTRUTIVA",OFFSET(B19,-1,0)+1,OFFSET(B19,-1,0)))</f>
        <v>2</v>
      </c>
      <c r="C19" s="63">
        <f t="shared" ref="C19:C27" ca="1" si="11">IF(G19="CÉLULA CONSTRUTIVA",0,IF(G19="ETAPA",OFFSET(C19,-1,0)+1,OFFSET(C19,-1,0)))</f>
        <v>1</v>
      </c>
      <c r="D19" s="64">
        <f t="shared" ref="D19:D27" ca="1" si="12">IF(G19="ETAPA",0,IF(G19="SUBETAPA",OFFSET(D19,-1,0)+1,OFFSET(D19,-1,0)))</f>
        <v>2</v>
      </c>
      <c r="E19" s="64">
        <f t="shared" ref="E19:E27" ca="1" si="13">IF(G19="Subetapa",0,IF(G19="serviço",OFFSET(E19,-1,0)+1,OFFSET(E19,-1,0)))</f>
        <v>1</v>
      </c>
      <c r="F19" s="65"/>
      <c r="G19" s="73" t="s">
        <v>154</v>
      </c>
      <c r="H19" s="67" t="str">
        <f t="shared" ref="H19:H27" ca="1" si="14">IF(G19="Unidade Construtiva",TEXT(A19,"00"),IF(G19="Célula Construtiva",TEXT(B19,"00"),IF(G19="Etapa",CONCATENATE(TEXT(B19,"00"),".",TEXT(C19,"000")),IF(G19="Subetapa",CONCATENATE(TEXT(B19,"00"),".",TEXT(C19,"000"),".",TEXT(D19,"000")),IF(G19="Serviço",CONCATENATE(TEXT(B19,"00"),".",TEXT(C19,"000"),".",TEXT(D19,"000"),".",TEXT(E19,"000")),"")))))</f>
        <v>02.001.002.001</v>
      </c>
      <c r="I19" s="74" t="s">
        <v>557</v>
      </c>
      <c r="J19" s="96">
        <v>1</v>
      </c>
      <c r="K19" s="114" t="s">
        <v>217</v>
      </c>
      <c r="L19" s="115">
        <v>30315.395000000008</v>
      </c>
      <c r="M19" s="74"/>
      <c r="N19" s="70"/>
    </row>
    <row r="20" spans="1:14" outlineLevel="1" x14ac:dyDescent="0.55000000000000004">
      <c r="A20" s="63">
        <f ca="1">IF($G20="UNIDADE CONSTRUTIVA",OFFSET(A20,0,0)+1,LARGE(A$3:A18,1))</f>
        <v>1</v>
      </c>
      <c r="B20" s="63">
        <f t="shared" ca="1" si="10"/>
        <v>2</v>
      </c>
      <c r="C20" s="63">
        <f t="shared" ca="1" si="11"/>
        <v>1</v>
      </c>
      <c r="D20" s="64">
        <f t="shared" ca="1" si="12"/>
        <v>2</v>
      </c>
      <c r="E20" s="64">
        <f t="shared" ca="1" si="13"/>
        <v>2</v>
      </c>
      <c r="F20" s="65"/>
      <c r="G20" s="73" t="s">
        <v>154</v>
      </c>
      <c r="H20" s="67" t="str">
        <f t="shared" ca="1" si="14"/>
        <v>02.001.002.002</v>
      </c>
      <c r="I20" s="74" t="s">
        <v>558</v>
      </c>
      <c r="J20" s="96">
        <v>1</v>
      </c>
      <c r="K20" s="114" t="s">
        <v>217</v>
      </c>
      <c r="L20" s="115">
        <v>88000</v>
      </c>
      <c r="M20" s="74"/>
      <c r="N20" s="70"/>
    </row>
    <row r="21" spans="1:14" outlineLevel="1" x14ac:dyDescent="0.55000000000000004">
      <c r="A21" s="63">
        <f ca="1">IF($G21="UNIDADE CONSTRUTIVA",OFFSET(A21,0,0)+1,LARGE(A$3:A19,1))</f>
        <v>1</v>
      </c>
      <c r="B21" s="63">
        <f t="shared" ca="1" si="10"/>
        <v>2</v>
      </c>
      <c r="C21" s="63">
        <f t="shared" ca="1" si="11"/>
        <v>1</v>
      </c>
      <c r="D21" s="64">
        <f t="shared" ca="1" si="12"/>
        <v>3</v>
      </c>
      <c r="E21" s="64">
        <f t="shared" ca="1" si="13"/>
        <v>0</v>
      </c>
      <c r="F21" s="65"/>
      <c r="G21" s="73" t="s">
        <v>153</v>
      </c>
      <c r="H21" s="67" t="str">
        <f t="shared" ca="1" si="14"/>
        <v>02.001.003</v>
      </c>
      <c r="I21" s="74" t="s">
        <v>559</v>
      </c>
      <c r="J21" s="96"/>
      <c r="K21" s="114"/>
      <c r="L21" s="115">
        <f>SUM(L22:L27)</f>
        <v>420021.28944999998</v>
      </c>
      <c r="M21" s="74"/>
      <c r="N21" s="70"/>
    </row>
    <row r="22" spans="1:14" outlineLevel="1" x14ac:dyDescent="0.55000000000000004">
      <c r="A22" s="63">
        <f ca="1">IF($G22="UNIDADE CONSTRUTIVA",OFFSET(A22,0,0)+1,LARGE(A$3:A20,1))</f>
        <v>1</v>
      </c>
      <c r="B22" s="63">
        <f t="shared" ref="B22:B23" ca="1" si="15">IF(G22="UNIDADE CONSTRUTIVA",0,IF(G22="CÉLULA CONSTRUTIVA",OFFSET(B22,-1,0)+1,OFFSET(B22,-1,0)))</f>
        <v>2</v>
      </c>
      <c r="C22" s="63">
        <f t="shared" ref="C22:C23" ca="1" si="16">IF(G22="CÉLULA CONSTRUTIVA",0,IF(G22="ETAPA",OFFSET(C22,-1,0)+1,OFFSET(C22,-1,0)))</f>
        <v>1</v>
      </c>
      <c r="D22" s="64">
        <f t="shared" ref="D22:D23" ca="1" si="17">IF(G22="ETAPA",0,IF(G22="SUBETAPA",OFFSET(D22,-1,0)+1,OFFSET(D22,-1,0)))</f>
        <v>3</v>
      </c>
      <c r="E22" s="64">
        <f t="shared" ref="E22:E23" ca="1" si="18">IF(G22="Subetapa",0,IF(G22="serviço",OFFSET(E22,-1,0)+1,OFFSET(E22,-1,0)))</f>
        <v>1</v>
      </c>
      <c r="F22" s="65"/>
      <c r="G22" s="73" t="s">
        <v>154</v>
      </c>
      <c r="H22" s="67" t="str">
        <f t="shared" ref="H22:H23" ca="1" si="19">IF(G22="Unidade Construtiva",TEXT(A22,"00"),IF(G22="Célula Construtiva",TEXT(B22,"00"),IF(G22="Etapa",CONCATENATE(TEXT(B22,"00"),".",TEXT(C22,"000")),IF(G22="Subetapa",CONCATENATE(TEXT(B22,"00"),".",TEXT(C22,"000"),".",TEXT(D22,"000")),IF(G22="Serviço",CONCATENATE(TEXT(B22,"00"),".",TEXT(C22,"000"),".",TEXT(D22,"000"),".",TEXT(E22,"000")),"")))))</f>
        <v>02.001.003.001</v>
      </c>
      <c r="I22" s="74" t="s">
        <v>560</v>
      </c>
      <c r="J22" s="96">
        <v>226.19</v>
      </c>
      <c r="K22" s="114" t="s">
        <v>183</v>
      </c>
      <c r="L22" s="115">
        <v>66574.502699999997</v>
      </c>
      <c r="M22" s="74"/>
      <c r="N22" s="70"/>
    </row>
    <row r="23" spans="1:14" outlineLevel="1" x14ac:dyDescent="0.55000000000000004">
      <c r="A23" s="63">
        <f ca="1">IF($G23="UNIDADE CONSTRUTIVA",OFFSET(A23,0,0)+1,LARGE(A$3:A21,1))</f>
        <v>1</v>
      </c>
      <c r="B23" s="63">
        <f t="shared" ca="1" si="15"/>
        <v>2</v>
      </c>
      <c r="C23" s="63">
        <f t="shared" ca="1" si="16"/>
        <v>1</v>
      </c>
      <c r="D23" s="64">
        <f t="shared" ca="1" si="17"/>
        <v>3</v>
      </c>
      <c r="E23" s="64">
        <f t="shared" ca="1" si="18"/>
        <v>2</v>
      </c>
      <c r="F23" s="65"/>
      <c r="G23" s="73" t="s">
        <v>154</v>
      </c>
      <c r="H23" s="67" t="str">
        <f t="shared" ca="1" si="19"/>
        <v>02.001.003.002</v>
      </c>
      <c r="I23" s="74" t="s">
        <v>561</v>
      </c>
      <c r="J23" s="96">
        <v>226.19</v>
      </c>
      <c r="K23" s="114" t="s">
        <v>183</v>
      </c>
      <c r="L23" s="115">
        <v>47513.471400000002</v>
      </c>
      <c r="M23" s="74"/>
      <c r="N23" s="70"/>
    </row>
    <row r="24" spans="1:14" outlineLevel="1" x14ac:dyDescent="0.55000000000000004">
      <c r="A24" s="63">
        <f ca="1">IF($G24="UNIDADE CONSTRUTIVA",OFFSET(A24,0,0)+1,LARGE(A$3:A19,1))</f>
        <v>1</v>
      </c>
      <c r="B24" s="63">
        <f t="shared" ca="1" si="10"/>
        <v>2</v>
      </c>
      <c r="C24" s="63">
        <f t="shared" ca="1" si="11"/>
        <v>1</v>
      </c>
      <c r="D24" s="64">
        <f t="shared" ca="1" si="12"/>
        <v>3</v>
      </c>
      <c r="E24" s="64">
        <f t="shared" ca="1" si="13"/>
        <v>3</v>
      </c>
      <c r="F24" s="65"/>
      <c r="G24" s="73" t="s">
        <v>154</v>
      </c>
      <c r="H24" s="67" t="str">
        <f t="shared" ca="1" si="14"/>
        <v>02.001.003.003</v>
      </c>
      <c r="I24" s="74" t="s">
        <v>562</v>
      </c>
      <c r="J24" s="96">
        <v>904.76</v>
      </c>
      <c r="K24" s="114" t="s">
        <v>183</v>
      </c>
      <c r="L24" s="115">
        <v>44333.24</v>
      </c>
      <c r="M24" s="74"/>
      <c r="N24" s="70"/>
    </row>
    <row r="25" spans="1:14" outlineLevel="1" x14ac:dyDescent="0.55000000000000004">
      <c r="A25" s="63">
        <f ca="1">IF($G25="UNIDADE CONSTRUTIVA",OFFSET(A25,0,0)+1,LARGE(A$3:A18,1))</f>
        <v>1</v>
      </c>
      <c r="B25" s="63">
        <f t="shared" ref="B25:B26" ca="1" si="20">IF(G25="UNIDADE CONSTRUTIVA",0,IF(G25="CÉLULA CONSTRUTIVA",OFFSET(B25,-1,0)+1,OFFSET(B25,-1,0)))</f>
        <v>2</v>
      </c>
      <c r="C25" s="63">
        <f t="shared" ref="C25:C26" ca="1" si="21">IF(G25="CÉLULA CONSTRUTIVA",0,IF(G25="ETAPA",OFFSET(C25,-1,0)+1,OFFSET(C25,-1,0)))</f>
        <v>1</v>
      </c>
      <c r="D25" s="64">
        <f t="shared" ref="D25:D26" ca="1" si="22">IF(G25="ETAPA",0,IF(G25="SUBETAPA",OFFSET(D25,-1,0)+1,OFFSET(D25,-1,0)))</f>
        <v>3</v>
      </c>
      <c r="E25" s="64">
        <f t="shared" ref="E25:E26" ca="1" si="23">IF(G25="Subetapa",0,IF(G25="serviço",OFFSET(E25,-1,0)+1,OFFSET(E25,-1,0)))</f>
        <v>4</v>
      </c>
      <c r="F25" s="65"/>
      <c r="G25" s="73" t="s">
        <v>154</v>
      </c>
      <c r="H25" s="67" t="str">
        <f t="shared" ref="H25:H26" ca="1" si="24">IF(G25="Unidade Construtiva",TEXT(A25,"00"),IF(G25="Célula Construtiva",TEXT(B25,"00"),IF(G25="Etapa",CONCATENATE(TEXT(B25,"00"),".",TEXT(C25,"000")),IF(G25="Subetapa",CONCATENATE(TEXT(B25,"00"),".",TEXT(C25,"000"),".",TEXT(D25,"000")),IF(G25="Serviço",CONCATENATE(TEXT(B25,"00"),".",TEXT(C25,"000"),".",TEXT(D25,"000"),".",TEXT(E25,"000")),"")))))</f>
        <v>02.001.003.004</v>
      </c>
      <c r="I25" s="74" t="s">
        <v>563</v>
      </c>
      <c r="J25" s="96">
        <v>33</v>
      </c>
      <c r="K25" s="114" t="s">
        <v>339</v>
      </c>
      <c r="L25" s="115">
        <v>656.37</v>
      </c>
      <c r="M25" s="74"/>
      <c r="N25" s="70"/>
    </row>
    <row r="26" spans="1:14" outlineLevel="1" x14ac:dyDescent="0.55000000000000004">
      <c r="A26" s="63">
        <f ca="1">IF($G26="UNIDADE CONSTRUTIVA",OFFSET(A26,0,0)+1,LARGE(A$3:A19,1))</f>
        <v>1</v>
      </c>
      <c r="B26" s="63">
        <f t="shared" ca="1" si="20"/>
        <v>2</v>
      </c>
      <c r="C26" s="63">
        <f t="shared" ca="1" si="21"/>
        <v>1</v>
      </c>
      <c r="D26" s="64">
        <f t="shared" ca="1" si="22"/>
        <v>3</v>
      </c>
      <c r="E26" s="64">
        <f t="shared" ca="1" si="23"/>
        <v>5</v>
      </c>
      <c r="F26" s="65"/>
      <c r="G26" s="73" t="s">
        <v>154</v>
      </c>
      <c r="H26" s="67" t="str">
        <f t="shared" ca="1" si="24"/>
        <v>02.001.003.005</v>
      </c>
      <c r="I26" s="74" t="s">
        <v>564</v>
      </c>
      <c r="J26" s="96">
        <v>904.76</v>
      </c>
      <c r="K26" s="114" t="s">
        <v>183</v>
      </c>
      <c r="L26" s="115">
        <v>220761.44</v>
      </c>
      <c r="M26" s="74"/>
      <c r="N26" s="70"/>
    </row>
    <row r="27" spans="1:14" outlineLevel="1" x14ac:dyDescent="0.55000000000000004">
      <c r="A27" s="63">
        <f ca="1">IF($G27="UNIDADE CONSTRUTIVA",OFFSET(A27,0,0)+1,LARGE(A$3:A20,1))</f>
        <v>1</v>
      </c>
      <c r="B27" s="63">
        <f t="shared" ca="1" si="10"/>
        <v>2</v>
      </c>
      <c r="C27" s="63">
        <f t="shared" ca="1" si="11"/>
        <v>1</v>
      </c>
      <c r="D27" s="64">
        <f t="shared" ca="1" si="12"/>
        <v>3</v>
      </c>
      <c r="E27" s="64">
        <f t="shared" ca="1" si="13"/>
        <v>6</v>
      </c>
      <c r="F27" s="65"/>
      <c r="G27" s="73" t="s">
        <v>154</v>
      </c>
      <c r="H27" s="67" t="str">
        <f t="shared" ca="1" si="14"/>
        <v>02.001.003.006</v>
      </c>
      <c r="I27" s="74" t="s">
        <v>565</v>
      </c>
      <c r="J27" s="96">
        <v>2678.8176899999999</v>
      </c>
      <c r="K27" s="114" t="s">
        <v>339</v>
      </c>
      <c r="L27" s="115">
        <v>40182.265350000001</v>
      </c>
      <c r="M27" s="74"/>
      <c r="N27" s="70"/>
    </row>
    <row r="28" spans="1:14" outlineLevel="1" x14ac:dyDescent="0.55000000000000004">
      <c r="A28" s="63">
        <f ca="1">IF($G28="UNIDADE CONSTRUTIVA",OFFSET(A28,0,0)+1,LARGE(A$3:A26,1))</f>
        <v>1</v>
      </c>
      <c r="B28" s="63">
        <f t="shared" ref="B28:B34" ca="1" si="25">IF(G28="UNIDADE CONSTRUTIVA",0,IF(G28="CÉLULA CONSTRUTIVA",OFFSET(B28,-1,0)+1,OFFSET(B28,-1,0)))</f>
        <v>2</v>
      </c>
      <c r="C28" s="63">
        <f t="shared" ref="C28:C34" ca="1" si="26">IF(G28="CÉLULA CONSTRUTIVA",0,IF(G28="ETAPA",OFFSET(C28,-1,0)+1,OFFSET(C28,-1,0)))</f>
        <v>1</v>
      </c>
      <c r="D28" s="64">
        <f t="shared" ref="D28:D34" ca="1" si="27">IF(G28="ETAPA",0,IF(G28="SUBETAPA",OFFSET(D28,-1,0)+1,OFFSET(D28,-1,0)))</f>
        <v>4</v>
      </c>
      <c r="E28" s="64">
        <f t="shared" ref="E28:E34" ca="1" si="28">IF(G28="Subetapa",0,IF(G28="serviço",OFFSET(E28,-1,0)+1,OFFSET(E28,-1,0)))</f>
        <v>0</v>
      </c>
      <c r="F28" s="65"/>
      <c r="G28" s="73" t="s">
        <v>153</v>
      </c>
      <c r="H28" s="67" t="str">
        <f t="shared" ref="H28:H34" ca="1" si="29">IF(G28="Unidade Construtiva",TEXT(A28,"00"),IF(G28="Célula Construtiva",TEXT(B28,"00"),IF(G28="Etapa",CONCATENATE(TEXT(B28,"00"),".",TEXT(C28,"000")),IF(G28="Subetapa",CONCATENATE(TEXT(B28,"00"),".",TEXT(C28,"000"),".",TEXT(D28,"000")),IF(G28="Serviço",CONCATENATE(TEXT(B28,"00"),".",TEXT(C28,"000"),".",TEXT(D28,"000"),".",TEXT(E28,"000")),"")))))</f>
        <v>02.001.004</v>
      </c>
      <c r="I28" s="74" t="s">
        <v>566</v>
      </c>
      <c r="J28" s="96"/>
      <c r="K28" s="114"/>
      <c r="L28" s="115">
        <f>SUM(L29:L34)</f>
        <v>613917.50489999994</v>
      </c>
      <c r="M28" s="74"/>
      <c r="N28" s="70"/>
    </row>
    <row r="29" spans="1:14" outlineLevel="1" x14ac:dyDescent="0.55000000000000004">
      <c r="A29" s="63">
        <f ca="1">IF($G29="UNIDADE CONSTRUTIVA",OFFSET(A29,0,0)+1,LARGE(A$3:A27,1))</f>
        <v>1</v>
      </c>
      <c r="B29" s="63">
        <f t="shared" ca="1" si="25"/>
        <v>2</v>
      </c>
      <c r="C29" s="63">
        <f t="shared" ca="1" si="26"/>
        <v>1</v>
      </c>
      <c r="D29" s="64">
        <f t="shared" ca="1" si="27"/>
        <v>4</v>
      </c>
      <c r="E29" s="64">
        <f t="shared" ca="1" si="28"/>
        <v>1</v>
      </c>
      <c r="F29" s="65"/>
      <c r="G29" s="73" t="s">
        <v>154</v>
      </c>
      <c r="H29" s="67" t="str">
        <f t="shared" ca="1" si="29"/>
        <v>02.001.004.001</v>
      </c>
      <c r="I29" s="74" t="s">
        <v>560</v>
      </c>
      <c r="J29" s="96">
        <v>426.23</v>
      </c>
      <c r="K29" s="114" t="s">
        <v>183</v>
      </c>
      <c r="L29" s="115">
        <v>125452.27589999999</v>
      </c>
      <c r="M29" s="74"/>
      <c r="N29" s="70"/>
    </row>
    <row r="30" spans="1:14" outlineLevel="1" x14ac:dyDescent="0.55000000000000004">
      <c r="A30" s="63">
        <f ca="1">IF($G30="UNIDADE CONSTRUTIVA",OFFSET(A30,0,0)+1,LARGE(A$3:A28,1))</f>
        <v>1</v>
      </c>
      <c r="B30" s="63">
        <f t="shared" ca="1" si="25"/>
        <v>2</v>
      </c>
      <c r="C30" s="63">
        <f t="shared" ca="1" si="26"/>
        <v>1</v>
      </c>
      <c r="D30" s="64">
        <f t="shared" ca="1" si="27"/>
        <v>4</v>
      </c>
      <c r="E30" s="64">
        <f t="shared" ca="1" si="28"/>
        <v>2</v>
      </c>
      <c r="F30" s="65"/>
      <c r="G30" s="73" t="s">
        <v>154</v>
      </c>
      <c r="H30" s="67" t="str">
        <f t="shared" ca="1" si="29"/>
        <v>02.001.004.002</v>
      </c>
      <c r="I30" s="74" t="s">
        <v>561</v>
      </c>
      <c r="J30" s="96">
        <v>202.8</v>
      </c>
      <c r="K30" s="114" t="s">
        <v>183</v>
      </c>
      <c r="L30" s="115">
        <v>42600.168000000005</v>
      </c>
      <c r="M30" s="74"/>
      <c r="N30" s="70"/>
    </row>
    <row r="31" spans="1:14" outlineLevel="1" x14ac:dyDescent="0.55000000000000004">
      <c r="A31" s="63">
        <f ca="1">IF($G31="UNIDADE CONSTRUTIVA",OFFSET(A31,0,0)+1,LARGE(A$3:A26,1))</f>
        <v>1</v>
      </c>
      <c r="B31" s="63">
        <f t="shared" ca="1" si="25"/>
        <v>2</v>
      </c>
      <c r="C31" s="63">
        <f t="shared" ca="1" si="26"/>
        <v>1</v>
      </c>
      <c r="D31" s="64">
        <f t="shared" ca="1" si="27"/>
        <v>4</v>
      </c>
      <c r="E31" s="64">
        <f t="shared" ca="1" si="28"/>
        <v>3</v>
      </c>
      <c r="F31" s="65"/>
      <c r="G31" s="73" t="s">
        <v>154</v>
      </c>
      <c r="H31" s="67" t="str">
        <f t="shared" ca="1" si="29"/>
        <v>02.001.004.003</v>
      </c>
      <c r="I31" s="74" t="s">
        <v>562</v>
      </c>
      <c r="J31" s="96">
        <v>811.2</v>
      </c>
      <c r="K31" s="114" t="s">
        <v>183</v>
      </c>
      <c r="L31" s="115">
        <v>39748.800000000003</v>
      </c>
      <c r="M31" s="74"/>
      <c r="N31" s="70"/>
    </row>
    <row r="32" spans="1:14" outlineLevel="1" x14ac:dyDescent="0.55000000000000004">
      <c r="A32" s="63">
        <f ca="1">IF($G32="UNIDADE CONSTRUTIVA",OFFSET(A32,0,0)+1,LARGE(A$3:A25,1))</f>
        <v>1</v>
      </c>
      <c r="B32" s="63">
        <f t="shared" ca="1" si="25"/>
        <v>2</v>
      </c>
      <c r="C32" s="63">
        <f t="shared" ca="1" si="26"/>
        <v>1</v>
      </c>
      <c r="D32" s="64">
        <f t="shared" ca="1" si="27"/>
        <v>4</v>
      </c>
      <c r="E32" s="64">
        <f t="shared" ca="1" si="28"/>
        <v>4</v>
      </c>
      <c r="F32" s="65"/>
      <c r="G32" s="73" t="s">
        <v>154</v>
      </c>
      <c r="H32" s="67" t="str">
        <f t="shared" ca="1" si="29"/>
        <v>02.001.004.004</v>
      </c>
      <c r="I32" s="74" t="s">
        <v>563</v>
      </c>
      <c r="J32" s="96">
        <v>303.60000000000002</v>
      </c>
      <c r="K32" s="114" t="s">
        <v>339</v>
      </c>
      <c r="L32" s="115">
        <v>6038.6040000000003</v>
      </c>
      <c r="M32" s="74"/>
      <c r="N32" s="70"/>
    </row>
    <row r="33" spans="1:14" outlineLevel="1" x14ac:dyDescent="0.55000000000000004">
      <c r="A33" s="63">
        <f ca="1">IF($G33="UNIDADE CONSTRUTIVA",OFFSET(A33,0,0)+1,LARGE(A$3:A26,1))</f>
        <v>1</v>
      </c>
      <c r="B33" s="63">
        <f t="shared" ca="1" si="25"/>
        <v>2</v>
      </c>
      <c r="C33" s="63">
        <f t="shared" ca="1" si="26"/>
        <v>1</v>
      </c>
      <c r="D33" s="64">
        <f t="shared" ca="1" si="27"/>
        <v>4</v>
      </c>
      <c r="E33" s="64">
        <f t="shared" ca="1" si="28"/>
        <v>5</v>
      </c>
      <c r="F33" s="65"/>
      <c r="G33" s="73" t="s">
        <v>154</v>
      </c>
      <c r="H33" s="67" t="str">
        <f t="shared" ca="1" si="29"/>
        <v>02.001.004.005</v>
      </c>
      <c r="I33" s="74" t="s">
        <v>564</v>
      </c>
      <c r="J33" s="96">
        <v>811.2</v>
      </c>
      <c r="K33" s="114" t="s">
        <v>183</v>
      </c>
      <c r="L33" s="115">
        <v>197932.80000000002</v>
      </c>
      <c r="M33" s="74"/>
      <c r="N33" s="70"/>
    </row>
    <row r="34" spans="1:14" outlineLevel="1" x14ac:dyDescent="0.55000000000000004">
      <c r="A34" s="63">
        <f ca="1">IF($G34="UNIDADE CONSTRUTIVA",OFFSET(A34,0,0)+1,LARGE(A$3:A27,1))</f>
        <v>1</v>
      </c>
      <c r="B34" s="63">
        <f t="shared" ca="1" si="25"/>
        <v>2</v>
      </c>
      <c r="C34" s="63">
        <f t="shared" ca="1" si="26"/>
        <v>1</v>
      </c>
      <c r="D34" s="64">
        <f t="shared" ca="1" si="27"/>
        <v>4</v>
      </c>
      <c r="E34" s="64">
        <f t="shared" ca="1" si="28"/>
        <v>6</v>
      </c>
      <c r="F34" s="65"/>
      <c r="G34" s="73" t="s">
        <v>154</v>
      </c>
      <c r="H34" s="67" t="str">
        <f t="shared" ca="1" si="29"/>
        <v>02.001.004.006</v>
      </c>
      <c r="I34" s="74" t="s">
        <v>565</v>
      </c>
      <c r="J34" s="96">
        <v>13476.3238</v>
      </c>
      <c r="K34" s="114" t="s">
        <v>339</v>
      </c>
      <c r="L34" s="115">
        <v>202144.85699999999</v>
      </c>
      <c r="M34" s="74"/>
      <c r="N34" s="70"/>
    </row>
    <row r="35" spans="1:14" outlineLevel="1" x14ac:dyDescent="0.55000000000000004">
      <c r="A35" s="63">
        <f ca="1">IF($G35="UNIDADE CONSTRUTIVA",OFFSET(A35,0,0)+1,LARGE(A$3:A18,1))</f>
        <v>1</v>
      </c>
      <c r="B35" s="63">
        <f t="shared" ca="1" si="0"/>
        <v>2</v>
      </c>
      <c r="C35" s="63">
        <f t="shared" ca="1" si="1"/>
        <v>1</v>
      </c>
      <c r="D35" s="64">
        <f t="shared" ca="1" si="2"/>
        <v>5</v>
      </c>
      <c r="E35" s="64">
        <f t="shared" ca="1" si="3"/>
        <v>0</v>
      </c>
      <c r="F35" s="65"/>
      <c r="G35" s="73" t="s">
        <v>153</v>
      </c>
      <c r="H35" s="67" t="str">
        <f t="shared" ca="1" si="4"/>
        <v>02.001.005</v>
      </c>
      <c r="I35" s="74" t="s">
        <v>13</v>
      </c>
      <c r="J35" s="96"/>
      <c r="K35" s="114"/>
      <c r="L35" s="115">
        <f>L36</f>
        <v>168585.10755382269</v>
      </c>
      <c r="M35" s="74"/>
      <c r="N35" s="70"/>
    </row>
    <row r="36" spans="1:14" outlineLevel="1" x14ac:dyDescent="0.55000000000000004">
      <c r="A36" s="63">
        <f ca="1">IF($G36="UNIDADE CONSTRUTIVA",OFFSET(A36,0,0)+1,LARGE(A$3:A19,1))</f>
        <v>1</v>
      </c>
      <c r="B36" s="63">
        <f t="shared" ref="B36" ca="1" si="30">IF(G36="UNIDADE CONSTRUTIVA",0,IF(G36="CÉLULA CONSTRUTIVA",OFFSET(B36,-1,0)+1,OFFSET(B36,-1,0)))</f>
        <v>2</v>
      </c>
      <c r="C36" s="63">
        <f t="shared" ref="C36" ca="1" si="31">IF(G36="CÉLULA CONSTRUTIVA",0,IF(G36="ETAPA",OFFSET(C36,-1,0)+1,OFFSET(C36,-1,0)))</f>
        <v>1</v>
      </c>
      <c r="D36" s="64">
        <f t="shared" ref="D36" ca="1" si="32">IF(G36="ETAPA",0,IF(G36="SUBETAPA",OFFSET(D36,-1,0)+1,OFFSET(D36,-1,0)))</f>
        <v>5</v>
      </c>
      <c r="E36" s="64">
        <f t="shared" ref="E36" ca="1" si="33">IF(G36="Subetapa",0,IF(G36="serviço",OFFSET(E36,-1,0)+1,OFFSET(E36,-1,0)))</f>
        <v>1</v>
      </c>
      <c r="F36" s="65"/>
      <c r="G36" s="73" t="s">
        <v>154</v>
      </c>
      <c r="H36" s="67" t="str">
        <f t="shared" ref="H36" ca="1" si="34">IF(G36="Unidade Construtiva",TEXT(A36,"00"),IF(G36="Célula Construtiva",TEXT(B36,"00"),IF(G36="Etapa",CONCATENATE(TEXT(B36,"00"),".",TEXT(C36,"000")),IF(G36="Subetapa",CONCATENATE(TEXT(B36,"00"),".",TEXT(C36,"000"),".",TEXT(D36,"000")),IF(G36="Serviço",CONCATENATE(TEXT(B36,"00"),".",TEXT(C36,"000"),".",TEXT(D36,"000"),".",TEXT(E36,"000")),"")))))</f>
        <v>02.001.005.001</v>
      </c>
      <c r="I36" s="74" t="s">
        <v>13</v>
      </c>
      <c r="J36" s="96">
        <v>1</v>
      </c>
      <c r="K36" s="114" t="s">
        <v>217</v>
      </c>
      <c r="L36" s="115">
        <v>168585.10755382269</v>
      </c>
      <c r="M36" s="74"/>
      <c r="N36" s="70"/>
    </row>
    <row r="37" spans="1:14" outlineLevel="1" x14ac:dyDescent="0.55000000000000004">
      <c r="A37" s="63">
        <f ca="1">IF($G37="UNIDADE CONSTRUTIVA",OFFSET(A37,0,0)+1,LARGE(A$3:A35,1))</f>
        <v>1</v>
      </c>
      <c r="B37" s="63">
        <f t="shared" ca="1" si="0"/>
        <v>2</v>
      </c>
      <c r="C37" s="63">
        <f t="shared" ca="1" si="1"/>
        <v>2</v>
      </c>
      <c r="D37" s="64">
        <f t="shared" ca="1" si="2"/>
        <v>0</v>
      </c>
      <c r="E37" s="64">
        <f t="shared" ca="1" si="3"/>
        <v>1</v>
      </c>
      <c r="F37" s="65"/>
      <c r="G37" s="71" t="s">
        <v>157</v>
      </c>
      <c r="H37" s="67" t="str">
        <f t="shared" ca="1" si="4"/>
        <v>02.002</v>
      </c>
      <c r="I37" s="72" t="s">
        <v>14</v>
      </c>
      <c r="J37" s="95"/>
      <c r="K37" s="112"/>
      <c r="L37" s="113">
        <f>SUM(L38:L64)/2</f>
        <v>4742504.7017788962</v>
      </c>
      <c r="M37" s="72"/>
      <c r="N37" s="70"/>
    </row>
    <row r="38" spans="1:14" outlineLevel="1" x14ac:dyDescent="0.55000000000000004">
      <c r="A38" s="63">
        <f ca="1">IF($G38="UNIDADE CONSTRUTIVA",OFFSET(A38,0,0)+1,LARGE(A$3:A37,1))</f>
        <v>1</v>
      </c>
      <c r="B38" s="63">
        <f t="shared" ca="1" si="0"/>
        <v>2</v>
      </c>
      <c r="C38" s="63">
        <f t="shared" ca="1" si="1"/>
        <v>2</v>
      </c>
      <c r="D38" s="64">
        <f t="shared" ca="1" si="2"/>
        <v>1</v>
      </c>
      <c r="E38" s="64">
        <f t="shared" ca="1" si="3"/>
        <v>0</v>
      </c>
      <c r="F38" s="65"/>
      <c r="G38" s="73" t="s">
        <v>153</v>
      </c>
      <c r="H38" s="67" t="str">
        <f t="shared" ca="1" si="4"/>
        <v>02.002.001</v>
      </c>
      <c r="I38" s="75" t="s">
        <v>567</v>
      </c>
      <c r="J38" s="97"/>
      <c r="K38" s="116"/>
      <c r="L38" s="117">
        <f>SUM(L39:L44)</f>
        <v>1185234.24</v>
      </c>
      <c r="M38" s="101"/>
      <c r="N38" s="70"/>
    </row>
    <row r="39" spans="1:14" outlineLevel="1" x14ac:dyDescent="0.55000000000000004">
      <c r="A39" s="63">
        <f ca="1">IF($G39="UNIDADE CONSTRUTIVA",OFFSET(A39,0,0)+1,LARGE(A$3:A32,1))</f>
        <v>1</v>
      </c>
      <c r="B39" s="63">
        <f t="shared" ca="1" si="0"/>
        <v>2</v>
      </c>
      <c r="C39" s="63">
        <f t="shared" ca="1" si="1"/>
        <v>2</v>
      </c>
      <c r="D39" s="64">
        <f t="shared" ca="1" si="2"/>
        <v>1</v>
      </c>
      <c r="E39" s="64">
        <f t="shared" ca="1" si="3"/>
        <v>1</v>
      </c>
      <c r="F39" s="65"/>
      <c r="G39" s="73" t="s">
        <v>154</v>
      </c>
      <c r="H39" s="67" t="str">
        <f t="shared" ca="1" si="4"/>
        <v>02.002.001.001</v>
      </c>
      <c r="I39" s="74" t="s">
        <v>650</v>
      </c>
      <c r="J39" s="96">
        <v>24</v>
      </c>
      <c r="K39" s="114" t="s">
        <v>554</v>
      </c>
      <c r="L39" s="115">
        <v>288000</v>
      </c>
      <c r="M39" s="74"/>
      <c r="N39" s="70"/>
    </row>
    <row r="40" spans="1:14" outlineLevel="1" x14ac:dyDescent="0.55000000000000004">
      <c r="A40" s="63">
        <f ca="1">IF($G40="UNIDADE CONSTRUTIVA",OFFSET(A40,0,0)+1,LARGE(A$3:A33,1))</f>
        <v>1</v>
      </c>
      <c r="B40" s="63">
        <f t="shared" ca="1" si="0"/>
        <v>2</v>
      </c>
      <c r="C40" s="63">
        <f t="shared" ca="1" si="1"/>
        <v>2</v>
      </c>
      <c r="D40" s="64">
        <f t="shared" ca="1" si="2"/>
        <v>1</v>
      </c>
      <c r="E40" s="64">
        <f t="shared" ca="1" si="3"/>
        <v>2</v>
      </c>
      <c r="F40" s="65"/>
      <c r="G40" s="73" t="s">
        <v>154</v>
      </c>
      <c r="H40" s="67" t="str">
        <f t="shared" ca="1" si="4"/>
        <v>02.002.001.002</v>
      </c>
      <c r="I40" s="74" t="s">
        <v>568</v>
      </c>
      <c r="J40" s="96">
        <v>24</v>
      </c>
      <c r="K40" s="114" t="s">
        <v>554</v>
      </c>
      <c r="L40" s="115">
        <v>102106.75199999998</v>
      </c>
      <c r="M40" s="74"/>
      <c r="N40" s="70"/>
    </row>
    <row r="41" spans="1:14" outlineLevel="1" x14ac:dyDescent="0.55000000000000004">
      <c r="A41" s="63">
        <f ca="1">IF($G41="UNIDADE CONSTRUTIVA",OFFSET(A41,0,0)+1,LARGE(A$3:A34,1))</f>
        <v>1</v>
      </c>
      <c r="B41" s="63">
        <f t="shared" ca="1" si="0"/>
        <v>2</v>
      </c>
      <c r="C41" s="63">
        <f t="shared" ca="1" si="1"/>
        <v>2</v>
      </c>
      <c r="D41" s="64">
        <f t="shared" ca="1" si="2"/>
        <v>1</v>
      </c>
      <c r="E41" s="64">
        <f t="shared" ca="1" si="3"/>
        <v>3</v>
      </c>
      <c r="F41" s="65"/>
      <c r="G41" s="73" t="s">
        <v>154</v>
      </c>
      <c r="H41" s="67" t="str">
        <f t="shared" ca="1" si="4"/>
        <v>02.002.001.003</v>
      </c>
      <c r="I41" s="74" t="s">
        <v>569</v>
      </c>
      <c r="J41" s="96">
        <v>24</v>
      </c>
      <c r="K41" s="114" t="s">
        <v>554</v>
      </c>
      <c r="L41" s="115">
        <v>200875.00800000003</v>
      </c>
      <c r="M41" s="74"/>
      <c r="N41" s="70"/>
    </row>
    <row r="42" spans="1:14" outlineLevel="1" x14ac:dyDescent="0.55000000000000004">
      <c r="A42" s="63">
        <f ca="1">IF($G42="UNIDADE CONSTRUTIVA",OFFSET(A42,0,0)+1,LARGE(A$3:A35,1))</f>
        <v>1</v>
      </c>
      <c r="B42" s="63">
        <f t="shared" ca="1" si="0"/>
        <v>2</v>
      </c>
      <c r="C42" s="63">
        <f t="shared" ca="1" si="1"/>
        <v>2</v>
      </c>
      <c r="D42" s="64">
        <f t="shared" ca="1" si="2"/>
        <v>1</v>
      </c>
      <c r="E42" s="64">
        <f t="shared" ca="1" si="3"/>
        <v>4</v>
      </c>
      <c r="F42" s="65"/>
      <c r="G42" s="73" t="s">
        <v>154</v>
      </c>
      <c r="H42" s="67" t="str">
        <f t="shared" ca="1" si="4"/>
        <v>02.002.001.004</v>
      </c>
      <c r="I42" s="74" t="s">
        <v>570</v>
      </c>
      <c r="J42" s="96">
        <v>24</v>
      </c>
      <c r="K42" s="114" t="s">
        <v>554</v>
      </c>
      <c r="L42" s="115">
        <v>72000</v>
      </c>
      <c r="M42" s="74"/>
      <c r="N42" s="70"/>
    </row>
    <row r="43" spans="1:14" outlineLevel="1" x14ac:dyDescent="0.55000000000000004">
      <c r="A43" s="63">
        <f ca="1">IF($G43="UNIDADE CONSTRUTIVA",OFFSET(A43,0,0)+1,LARGE(A$3:A36,1))</f>
        <v>1</v>
      </c>
      <c r="B43" s="63">
        <f t="shared" ref="B43:B50" ca="1" si="35">IF(G43="UNIDADE CONSTRUTIVA",0,IF(G43="CÉLULA CONSTRUTIVA",OFFSET(B43,-1,0)+1,OFFSET(B43,-1,0)))</f>
        <v>2</v>
      </c>
      <c r="C43" s="63">
        <f t="shared" ref="C43:C50" ca="1" si="36">IF(G43="CÉLULA CONSTRUTIVA",0,IF(G43="ETAPA",OFFSET(C43,-1,0)+1,OFFSET(C43,-1,0)))</f>
        <v>2</v>
      </c>
      <c r="D43" s="64">
        <f t="shared" ref="D43:D50" ca="1" si="37">IF(G43="ETAPA",0,IF(G43="SUBETAPA",OFFSET(D43,-1,0)+1,OFFSET(D43,-1,0)))</f>
        <v>1</v>
      </c>
      <c r="E43" s="64">
        <f t="shared" ref="E43:E50" ca="1" si="38">IF(G43="Subetapa",0,IF(G43="serviço",OFFSET(E43,-1,0)+1,OFFSET(E43,-1,0)))</f>
        <v>5</v>
      </c>
      <c r="F43" s="65"/>
      <c r="G43" s="73" t="s">
        <v>154</v>
      </c>
      <c r="H43" s="67" t="str">
        <f t="shared" ref="H43:H50" ca="1" si="39">IF(G43="Unidade Construtiva",TEXT(A43,"00"),IF(G43="Célula Construtiva",TEXT(B43,"00"),IF(G43="Etapa",CONCATENATE(TEXT(B43,"00"),".",TEXT(C43,"000")),IF(G43="Subetapa",CONCATENATE(TEXT(B43,"00"),".",TEXT(C43,"000"),".",TEXT(D43,"000")),IF(G43="Serviço",CONCATENATE(TEXT(B43,"00"),".",TEXT(C43,"000"),".",TEXT(D43,"000"),".",TEXT(E43,"000")),"")))))</f>
        <v>02.002.001.005</v>
      </c>
      <c r="I43" s="74" t="s">
        <v>571</v>
      </c>
      <c r="J43" s="96">
        <v>24</v>
      </c>
      <c r="K43" s="114" t="s">
        <v>554</v>
      </c>
      <c r="L43" s="115">
        <v>366252.48</v>
      </c>
      <c r="M43" s="74"/>
      <c r="N43" s="70"/>
    </row>
    <row r="44" spans="1:14" outlineLevel="1" x14ac:dyDescent="0.55000000000000004">
      <c r="A44" s="63">
        <f ca="1">IF($G44="UNIDADE CONSTRUTIVA",OFFSET(A44,0,0)+1,LARGE(A$3:A37,1))</f>
        <v>1</v>
      </c>
      <c r="B44" s="63">
        <f t="shared" ca="1" si="35"/>
        <v>2</v>
      </c>
      <c r="C44" s="63">
        <f t="shared" ca="1" si="36"/>
        <v>2</v>
      </c>
      <c r="D44" s="64">
        <f t="shared" ca="1" si="37"/>
        <v>1</v>
      </c>
      <c r="E44" s="64">
        <f t="shared" ca="1" si="38"/>
        <v>6</v>
      </c>
      <c r="F44" s="65"/>
      <c r="G44" s="73" t="s">
        <v>154</v>
      </c>
      <c r="H44" s="67" t="str">
        <f t="shared" ca="1" si="39"/>
        <v>02.002.001.006</v>
      </c>
      <c r="I44" s="74" t="s">
        <v>572</v>
      </c>
      <c r="J44" s="96">
        <v>10</v>
      </c>
      <c r="K44" s="114" t="s">
        <v>554</v>
      </c>
      <c r="L44" s="115">
        <v>156000</v>
      </c>
      <c r="M44" s="74"/>
      <c r="N44" s="70"/>
    </row>
    <row r="45" spans="1:14" outlineLevel="1" x14ac:dyDescent="0.55000000000000004">
      <c r="A45" s="63">
        <f ca="1">IF($G45="UNIDADE CONSTRUTIVA",OFFSET(A45,0,0)+1,LARGE(A$3:A44,1))</f>
        <v>1</v>
      </c>
      <c r="B45" s="63">
        <f t="shared" ca="1" si="35"/>
        <v>2</v>
      </c>
      <c r="C45" s="63">
        <f t="shared" ca="1" si="36"/>
        <v>2</v>
      </c>
      <c r="D45" s="64">
        <f t="shared" ca="1" si="37"/>
        <v>2</v>
      </c>
      <c r="E45" s="64">
        <f t="shared" ca="1" si="38"/>
        <v>0</v>
      </c>
      <c r="F45" s="65"/>
      <c r="G45" s="73" t="s">
        <v>153</v>
      </c>
      <c r="H45" s="67" t="str">
        <f t="shared" ca="1" si="39"/>
        <v>02.002.002</v>
      </c>
      <c r="I45" s="75" t="s">
        <v>573</v>
      </c>
      <c r="J45" s="97"/>
      <c r="K45" s="116"/>
      <c r="L45" s="117">
        <f>SUM(L46:L52)</f>
        <v>2264911.392</v>
      </c>
      <c r="M45" s="101"/>
      <c r="N45" s="70"/>
    </row>
    <row r="46" spans="1:14" outlineLevel="1" x14ac:dyDescent="0.55000000000000004">
      <c r="A46" s="63">
        <f ca="1">IF($G46="UNIDADE CONSTRUTIVA",OFFSET(A46,0,0)+1,LARGE(A$3:A39,1))</f>
        <v>1</v>
      </c>
      <c r="B46" s="63">
        <f t="shared" ca="1" si="35"/>
        <v>2</v>
      </c>
      <c r="C46" s="63">
        <f t="shared" ca="1" si="36"/>
        <v>2</v>
      </c>
      <c r="D46" s="64">
        <f t="shared" ca="1" si="37"/>
        <v>2</v>
      </c>
      <c r="E46" s="64">
        <f t="shared" ca="1" si="38"/>
        <v>1</v>
      </c>
      <c r="F46" s="65"/>
      <c r="G46" s="73" t="s">
        <v>154</v>
      </c>
      <c r="H46" s="67" t="str">
        <f t="shared" ca="1" si="39"/>
        <v>02.002.002.001</v>
      </c>
      <c r="I46" s="74" t="s">
        <v>648</v>
      </c>
      <c r="J46" s="96">
        <v>36</v>
      </c>
      <c r="K46" s="114" t="s">
        <v>554</v>
      </c>
      <c r="L46" s="115">
        <v>648000</v>
      </c>
      <c r="M46" s="74"/>
      <c r="N46" s="70"/>
    </row>
    <row r="47" spans="1:14" outlineLevel="1" x14ac:dyDescent="0.55000000000000004">
      <c r="A47" s="63">
        <f ca="1">IF($G47="UNIDADE CONSTRUTIVA",OFFSET(A47,0,0)+1,LARGE(A$3:A40,1))</f>
        <v>1</v>
      </c>
      <c r="B47" s="63">
        <f t="shared" ref="B47" ca="1" si="40">IF(G47="UNIDADE CONSTRUTIVA",0,IF(G47="CÉLULA CONSTRUTIVA",OFFSET(B47,-1,0)+1,OFFSET(B47,-1,0)))</f>
        <v>2</v>
      </c>
      <c r="C47" s="63">
        <f t="shared" ref="C47" ca="1" si="41">IF(G47="CÉLULA CONSTRUTIVA",0,IF(G47="ETAPA",OFFSET(C47,-1,0)+1,OFFSET(C47,-1,0)))</f>
        <v>2</v>
      </c>
      <c r="D47" s="64">
        <f t="shared" ref="D47" ca="1" si="42">IF(G47="ETAPA",0,IF(G47="SUBETAPA",OFFSET(D47,-1,0)+1,OFFSET(D47,-1,0)))</f>
        <v>2</v>
      </c>
      <c r="E47" s="64">
        <f t="shared" ref="E47" ca="1" si="43">IF(G47="Subetapa",0,IF(G47="serviço",OFFSET(E47,-1,0)+1,OFFSET(E47,-1,0)))</f>
        <v>2</v>
      </c>
      <c r="F47" s="65"/>
      <c r="G47" s="73" t="s">
        <v>154</v>
      </c>
      <c r="H47" s="67" t="str">
        <f t="shared" ref="H47" ca="1" si="44">IF(G47="Unidade Construtiva",TEXT(A47,"00"),IF(G47="Célula Construtiva",TEXT(B47,"00"),IF(G47="Etapa",CONCATENATE(TEXT(B47,"00"),".",TEXT(C47,"000")),IF(G47="Subetapa",CONCATENATE(TEXT(B47,"00"),".",TEXT(C47,"000"),".",TEXT(D47,"000")),IF(G47="Serviço",CONCATENATE(TEXT(B47,"00"),".",TEXT(C47,"000"),".",TEXT(D47,"000"),".",TEXT(E47,"000")),"")))))</f>
        <v>02.002.002.002</v>
      </c>
      <c r="I47" s="74" t="s">
        <v>649</v>
      </c>
      <c r="J47" s="96">
        <v>36</v>
      </c>
      <c r="K47" s="114" t="s">
        <v>554</v>
      </c>
      <c r="L47" s="115">
        <v>180000</v>
      </c>
      <c r="M47" s="74"/>
      <c r="N47" s="70"/>
    </row>
    <row r="48" spans="1:14" outlineLevel="1" x14ac:dyDescent="0.55000000000000004">
      <c r="A48" s="63">
        <f ca="1">IF($G48="UNIDADE CONSTRUTIVA",OFFSET(A48,0,0)+1,LARGE(A$3:A40,1))</f>
        <v>1</v>
      </c>
      <c r="B48" s="63">
        <f t="shared" ca="1" si="35"/>
        <v>2</v>
      </c>
      <c r="C48" s="63">
        <f t="shared" ca="1" si="36"/>
        <v>2</v>
      </c>
      <c r="D48" s="64">
        <f t="shared" ca="1" si="37"/>
        <v>2</v>
      </c>
      <c r="E48" s="64">
        <f t="shared" ca="1" si="38"/>
        <v>3</v>
      </c>
      <c r="F48" s="65"/>
      <c r="G48" s="73" t="s">
        <v>154</v>
      </c>
      <c r="H48" s="67" t="str">
        <f t="shared" ca="1" si="39"/>
        <v>02.002.002.003</v>
      </c>
      <c r="I48" s="74" t="s">
        <v>568</v>
      </c>
      <c r="J48" s="96">
        <v>36</v>
      </c>
      <c r="K48" s="114" t="s">
        <v>554</v>
      </c>
      <c r="L48" s="115">
        <v>153160.12799999997</v>
      </c>
      <c r="M48" s="74"/>
      <c r="N48" s="70"/>
    </row>
    <row r="49" spans="1:14" outlineLevel="1" x14ac:dyDescent="0.55000000000000004">
      <c r="A49" s="63">
        <f ca="1">IF($G49="UNIDADE CONSTRUTIVA",OFFSET(A49,0,0)+1,LARGE(A$3:A41,1))</f>
        <v>1</v>
      </c>
      <c r="B49" s="63">
        <f t="shared" ca="1" si="35"/>
        <v>2</v>
      </c>
      <c r="C49" s="63">
        <f t="shared" ca="1" si="36"/>
        <v>2</v>
      </c>
      <c r="D49" s="64">
        <f t="shared" ca="1" si="37"/>
        <v>2</v>
      </c>
      <c r="E49" s="64">
        <f t="shared" ca="1" si="38"/>
        <v>4</v>
      </c>
      <c r="F49" s="65"/>
      <c r="G49" s="73" t="s">
        <v>154</v>
      </c>
      <c r="H49" s="67" t="str">
        <f t="shared" ca="1" si="39"/>
        <v>02.002.002.004</v>
      </c>
      <c r="I49" s="74" t="s">
        <v>569</v>
      </c>
      <c r="J49" s="96">
        <v>36</v>
      </c>
      <c r="K49" s="114" t="s">
        <v>554</v>
      </c>
      <c r="L49" s="115">
        <v>602625.02400000009</v>
      </c>
      <c r="M49" s="74"/>
      <c r="N49" s="70"/>
    </row>
    <row r="50" spans="1:14" outlineLevel="1" x14ac:dyDescent="0.55000000000000004">
      <c r="A50" s="63">
        <f ca="1">IF($G50="UNIDADE CONSTRUTIVA",OFFSET(A50,0,0)+1,LARGE(A$3:A42,1))</f>
        <v>1</v>
      </c>
      <c r="B50" s="63">
        <f t="shared" ca="1" si="35"/>
        <v>2</v>
      </c>
      <c r="C50" s="63">
        <f t="shared" ca="1" si="36"/>
        <v>2</v>
      </c>
      <c r="D50" s="64">
        <f t="shared" ca="1" si="37"/>
        <v>2</v>
      </c>
      <c r="E50" s="64">
        <f t="shared" ca="1" si="38"/>
        <v>5</v>
      </c>
      <c r="F50" s="65"/>
      <c r="G50" s="73" t="s">
        <v>154</v>
      </c>
      <c r="H50" s="67" t="str">
        <f t="shared" ca="1" si="39"/>
        <v>02.002.002.005</v>
      </c>
      <c r="I50" s="74" t="s">
        <v>570</v>
      </c>
      <c r="J50" s="96">
        <v>36</v>
      </c>
      <c r="K50" s="114" t="s">
        <v>554</v>
      </c>
      <c r="L50" s="115">
        <v>108000</v>
      </c>
      <c r="M50" s="74"/>
      <c r="N50" s="70"/>
    </row>
    <row r="51" spans="1:14" outlineLevel="1" x14ac:dyDescent="0.55000000000000004">
      <c r="A51" s="63">
        <f ca="1">IF($G51="UNIDADE CONSTRUTIVA",OFFSET(A51,0,0)+1,LARGE(A$3:A43,1))</f>
        <v>1</v>
      </c>
      <c r="B51" s="63">
        <f t="shared" ref="B51:B52" ca="1" si="45">IF(G51="UNIDADE CONSTRUTIVA",0,IF(G51="CÉLULA CONSTRUTIVA",OFFSET(B51,-1,0)+1,OFFSET(B51,-1,0)))</f>
        <v>2</v>
      </c>
      <c r="C51" s="63">
        <f t="shared" ref="C51:C52" ca="1" si="46">IF(G51="CÉLULA CONSTRUTIVA",0,IF(G51="ETAPA",OFFSET(C51,-1,0)+1,OFFSET(C51,-1,0)))</f>
        <v>2</v>
      </c>
      <c r="D51" s="64">
        <f t="shared" ref="D51:D52" ca="1" si="47">IF(G51="ETAPA",0,IF(G51="SUBETAPA",OFFSET(D51,-1,0)+1,OFFSET(D51,-1,0)))</f>
        <v>2</v>
      </c>
      <c r="E51" s="64">
        <f t="shared" ref="E51:E52" ca="1" si="48">IF(G51="Subetapa",0,IF(G51="serviço",OFFSET(E51,-1,0)+1,OFFSET(E51,-1,0)))</f>
        <v>6</v>
      </c>
      <c r="F51" s="65"/>
      <c r="G51" s="73" t="s">
        <v>154</v>
      </c>
      <c r="H51" s="67" t="str">
        <f t="shared" ref="H51:H52" ca="1" si="49">IF(G51="Unidade Construtiva",TEXT(A51,"00"),IF(G51="Célula Construtiva",TEXT(B51,"00"),IF(G51="Etapa",CONCATENATE(TEXT(B51,"00"),".",TEXT(C51,"000")),IF(G51="Subetapa",CONCATENATE(TEXT(B51,"00"),".",TEXT(C51,"000"),".",TEXT(D51,"000")),IF(G51="Serviço",CONCATENATE(TEXT(B51,"00"),".",TEXT(C51,"000"),".",TEXT(D51,"000"),".",TEXT(E51,"000")),"")))))</f>
        <v>02.002.002.006</v>
      </c>
      <c r="I51" s="74" t="s">
        <v>571</v>
      </c>
      <c r="J51" s="96">
        <v>12</v>
      </c>
      <c r="K51" s="114" t="s">
        <v>554</v>
      </c>
      <c r="L51" s="115">
        <v>183126.24</v>
      </c>
      <c r="M51" s="74"/>
      <c r="N51" s="70"/>
    </row>
    <row r="52" spans="1:14" outlineLevel="1" x14ac:dyDescent="0.55000000000000004">
      <c r="A52" s="63">
        <f ca="1">IF($G52="UNIDADE CONSTRUTIVA",OFFSET(A52,0,0)+1,LARGE(A$3:A44,1))</f>
        <v>1</v>
      </c>
      <c r="B52" s="63">
        <f t="shared" ca="1" si="45"/>
        <v>2</v>
      </c>
      <c r="C52" s="63">
        <f t="shared" ca="1" si="46"/>
        <v>2</v>
      </c>
      <c r="D52" s="64">
        <f t="shared" ca="1" si="47"/>
        <v>2</v>
      </c>
      <c r="E52" s="64">
        <f t="shared" ca="1" si="48"/>
        <v>7</v>
      </c>
      <c r="F52" s="65"/>
      <c r="G52" s="73" t="s">
        <v>154</v>
      </c>
      <c r="H52" s="67" t="str">
        <f t="shared" ca="1" si="49"/>
        <v>02.002.002.007</v>
      </c>
      <c r="I52" s="74" t="s">
        <v>572</v>
      </c>
      <c r="J52" s="96">
        <v>25</v>
      </c>
      <c r="K52" s="114" t="s">
        <v>554</v>
      </c>
      <c r="L52" s="115">
        <v>390000</v>
      </c>
      <c r="M52" s="74"/>
      <c r="N52" s="70"/>
    </row>
    <row r="53" spans="1:14" outlineLevel="1" x14ac:dyDescent="0.55000000000000004">
      <c r="A53" s="63">
        <f ca="1">IF($G53="UNIDADE CONSTRUTIVA",OFFSET(A53,0,0)+1,LARGE(A$3:A38,1))</f>
        <v>1</v>
      </c>
      <c r="B53" s="63">
        <f t="shared" ca="1" si="0"/>
        <v>2</v>
      </c>
      <c r="C53" s="63">
        <f t="shared" ca="1" si="1"/>
        <v>2</v>
      </c>
      <c r="D53" s="64">
        <f t="shared" ca="1" si="2"/>
        <v>3</v>
      </c>
      <c r="E53" s="64">
        <f t="shared" ca="1" si="3"/>
        <v>0</v>
      </c>
      <c r="F53" s="65"/>
      <c r="G53" s="73" t="s">
        <v>153</v>
      </c>
      <c r="H53" s="67" t="str">
        <f t="shared" ca="1" si="4"/>
        <v>02.002.003</v>
      </c>
      <c r="I53" s="76" t="s">
        <v>15</v>
      </c>
      <c r="J53" s="98"/>
      <c r="K53" s="118"/>
      <c r="L53" s="119">
        <f>L54</f>
        <v>81552.253600000011</v>
      </c>
      <c r="M53" s="102"/>
      <c r="N53" s="70"/>
    </row>
    <row r="54" spans="1:14" outlineLevel="1" x14ac:dyDescent="0.55000000000000004">
      <c r="A54" s="63">
        <f ca="1">IF($G54="UNIDADE CONSTRUTIVA",OFFSET(A54,0,0)+1,LARGE(A$3:A46,1))</f>
        <v>1</v>
      </c>
      <c r="B54" s="63">
        <f t="shared" ca="1" si="0"/>
        <v>2</v>
      </c>
      <c r="C54" s="63">
        <f t="shared" ca="1" si="1"/>
        <v>2</v>
      </c>
      <c r="D54" s="64">
        <f t="shared" ca="1" si="2"/>
        <v>3</v>
      </c>
      <c r="E54" s="64">
        <f t="shared" ca="1" si="3"/>
        <v>1</v>
      </c>
      <c r="F54" s="65"/>
      <c r="G54" s="73" t="s">
        <v>154</v>
      </c>
      <c r="H54" s="67" t="str">
        <f t="shared" ca="1" si="4"/>
        <v>02.002.003.001</v>
      </c>
      <c r="I54" s="74" t="s">
        <v>574</v>
      </c>
      <c r="J54" s="96">
        <v>682.96</v>
      </c>
      <c r="K54" s="114" t="s">
        <v>183</v>
      </c>
      <c r="L54" s="115">
        <v>81552.253600000011</v>
      </c>
      <c r="M54" s="74"/>
      <c r="N54" s="70"/>
    </row>
    <row r="55" spans="1:14" outlineLevel="1" x14ac:dyDescent="0.55000000000000004">
      <c r="A55" s="63">
        <f ca="1">IF($G55="UNIDADE CONSTRUTIVA",OFFSET(A55,0,0)+1,LARGE(A$3:A53,1))</f>
        <v>1</v>
      </c>
      <c r="B55" s="63">
        <f t="shared" ca="1" si="0"/>
        <v>2</v>
      </c>
      <c r="C55" s="63">
        <f t="shared" ca="1" si="1"/>
        <v>2</v>
      </c>
      <c r="D55" s="64">
        <f t="shared" ca="1" si="2"/>
        <v>4</v>
      </c>
      <c r="E55" s="64">
        <f t="shared" ca="1" si="3"/>
        <v>0</v>
      </c>
      <c r="F55" s="65"/>
      <c r="G55" s="73" t="s">
        <v>153</v>
      </c>
      <c r="H55" s="67" t="str">
        <f t="shared" ca="1" si="4"/>
        <v>02.002.004</v>
      </c>
      <c r="I55" s="75" t="s">
        <v>16</v>
      </c>
      <c r="J55" s="97"/>
      <c r="K55" s="116"/>
      <c r="L55" s="117">
        <f>L56</f>
        <v>619198.04240498331</v>
      </c>
      <c r="M55" s="101"/>
      <c r="N55" s="70"/>
    </row>
    <row r="56" spans="1:14" outlineLevel="1" x14ac:dyDescent="0.55000000000000004">
      <c r="A56" s="63">
        <f ca="1">IF($G56="UNIDADE CONSTRUTIVA",OFFSET(A56,0,0)+1,LARGE(A$3:A54,1))</f>
        <v>1</v>
      </c>
      <c r="B56" s="63">
        <f t="shared" ref="B56" ca="1" si="50">IF(G56="UNIDADE CONSTRUTIVA",0,IF(G56="CÉLULA CONSTRUTIVA",OFFSET(B56,-1,0)+1,OFFSET(B56,-1,0)))</f>
        <v>2</v>
      </c>
      <c r="C56" s="63">
        <f t="shared" ref="C56" ca="1" si="51">IF(G56="CÉLULA CONSTRUTIVA",0,IF(G56="ETAPA",OFFSET(C56,-1,0)+1,OFFSET(C56,-1,0)))</f>
        <v>2</v>
      </c>
      <c r="D56" s="64">
        <f t="shared" ref="D56" ca="1" si="52">IF(G56="ETAPA",0,IF(G56="SUBETAPA",OFFSET(D56,-1,0)+1,OFFSET(D56,-1,0)))</f>
        <v>4</v>
      </c>
      <c r="E56" s="64">
        <f t="shared" ref="E56" ca="1" si="53">IF(G56="Subetapa",0,IF(G56="serviço",OFFSET(E56,-1,0)+1,OFFSET(E56,-1,0)))</f>
        <v>1</v>
      </c>
      <c r="F56" s="65"/>
      <c r="G56" s="73" t="s">
        <v>154</v>
      </c>
      <c r="H56" s="67" t="str">
        <f t="shared" ref="H56" ca="1" si="54">IF(G56="Unidade Construtiva",TEXT(A56,"00"),IF(G56="Célula Construtiva",TEXT(B56,"00"),IF(G56="Etapa",CONCATENATE(TEXT(B56,"00"),".",TEXT(C56,"000")),IF(G56="Subetapa",CONCATENATE(TEXT(B56,"00"),".",TEXT(C56,"000"),".",TEXT(D56,"000")),IF(G56="Serviço",CONCATENATE(TEXT(B56,"00"),".",TEXT(C56,"000"),".",TEXT(D56,"000"),".",TEXT(E56,"000")),"")))))</f>
        <v>02.002.004.001</v>
      </c>
      <c r="I56" s="75" t="s">
        <v>16</v>
      </c>
      <c r="J56" s="96">
        <v>1</v>
      </c>
      <c r="K56" s="114" t="s">
        <v>217</v>
      </c>
      <c r="L56" s="117">
        <v>619198.04240498331</v>
      </c>
      <c r="M56" s="101"/>
      <c r="N56" s="70"/>
    </row>
    <row r="57" spans="1:14" outlineLevel="1" x14ac:dyDescent="0.55000000000000004">
      <c r="A57" s="63">
        <f ca="1">IF($G57="UNIDADE CONSTRUTIVA",OFFSET(A57,0,0)+1,LARGE(A$3:A55,1))</f>
        <v>1</v>
      </c>
      <c r="B57" s="63">
        <f t="shared" ca="1" si="0"/>
        <v>2</v>
      </c>
      <c r="C57" s="63">
        <f t="shared" ca="1" si="1"/>
        <v>2</v>
      </c>
      <c r="D57" s="64">
        <f t="shared" ca="1" si="2"/>
        <v>5</v>
      </c>
      <c r="E57" s="64">
        <f t="shared" ca="1" si="3"/>
        <v>0</v>
      </c>
      <c r="F57" s="65"/>
      <c r="G57" s="73" t="s">
        <v>153</v>
      </c>
      <c r="H57" s="67" t="str">
        <f t="shared" ca="1" si="4"/>
        <v>02.002.005</v>
      </c>
      <c r="I57" s="75" t="s">
        <v>17</v>
      </c>
      <c r="J57" s="97"/>
      <c r="K57" s="116"/>
      <c r="L57" s="117">
        <f>SUM(L58:L61)</f>
        <v>544694.5</v>
      </c>
      <c r="M57" s="101"/>
      <c r="N57" s="70"/>
    </row>
    <row r="58" spans="1:14" outlineLevel="1" x14ac:dyDescent="0.55000000000000004">
      <c r="A58" s="63">
        <f ca="1">IF($G58="UNIDADE CONSTRUTIVA",OFFSET(A58,0,0)+1,LARGE(A$3:A50,1))</f>
        <v>1</v>
      </c>
      <c r="B58" s="63">
        <f t="shared" ref="B58:B61" ca="1" si="55">IF(G58="UNIDADE CONSTRUTIVA",0,IF(G58="CÉLULA CONSTRUTIVA",OFFSET(B58,-1,0)+1,OFFSET(B58,-1,0)))</f>
        <v>2</v>
      </c>
      <c r="C58" s="63">
        <f t="shared" ref="C58:C61" ca="1" si="56">IF(G58="CÉLULA CONSTRUTIVA",0,IF(G58="ETAPA",OFFSET(C58,-1,0)+1,OFFSET(C58,-1,0)))</f>
        <v>2</v>
      </c>
      <c r="D58" s="64">
        <f t="shared" ref="D58:D61" ca="1" si="57">IF(G58="ETAPA",0,IF(G58="SUBETAPA",OFFSET(D58,-1,0)+1,OFFSET(D58,-1,0)))</f>
        <v>5</v>
      </c>
      <c r="E58" s="64">
        <f t="shared" ref="E58:E61" ca="1" si="58">IF(G58="Subetapa",0,IF(G58="serviço",OFFSET(E58,-1,0)+1,OFFSET(E58,-1,0)))</f>
        <v>1</v>
      </c>
      <c r="F58" s="65"/>
      <c r="G58" s="73" t="s">
        <v>154</v>
      </c>
      <c r="H58" s="67" t="str">
        <f t="shared" ref="H58:H61" ca="1" si="59">IF(G58="Unidade Construtiva",TEXT(A58,"00"),IF(G58="Célula Construtiva",TEXT(B58,"00"),IF(G58="Etapa",CONCATENATE(TEXT(B58,"00"),".",TEXT(C58,"000")),IF(G58="Subetapa",CONCATENATE(TEXT(B58,"00"),".",TEXT(C58,"000"),".",TEXT(D58,"000")),IF(G58="Serviço",CONCATENATE(TEXT(B58,"00"),".",TEXT(C58,"000"),".",TEXT(D58,"000"),".",TEXT(E58,"000")),"")))))</f>
        <v>02.002.005.001</v>
      </c>
      <c r="I58" s="74" t="s">
        <v>577</v>
      </c>
      <c r="J58" s="96">
        <v>10</v>
      </c>
      <c r="K58" s="114" t="s">
        <v>554</v>
      </c>
      <c r="L58" s="115">
        <v>171000</v>
      </c>
      <c r="M58" s="74"/>
      <c r="N58" s="70"/>
    </row>
    <row r="59" spans="1:14" outlineLevel="1" x14ac:dyDescent="0.55000000000000004">
      <c r="A59" s="63">
        <f ca="1">IF($G59="UNIDADE CONSTRUTIVA",OFFSET(A59,0,0)+1,LARGE(A$3:A51,1))</f>
        <v>1</v>
      </c>
      <c r="B59" s="63">
        <f t="shared" ca="1" si="55"/>
        <v>2</v>
      </c>
      <c r="C59" s="63">
        <f t="shared" ca="1" si="56"/>
        <v>2</v>
      </c>
      <c r="D59" s="64">
        <f t="shared" ca="1" si="57"/>
        <v>5</v>
      </c>
      <c r="E59" s="64">
        <f t="shared" ca="1" si="58"/>
        <v>2</v>
      </c>
      <c r="F59" s="65"/>
      <c r="G59" s="73" t="s">
        <v>154</v>
      </c>
      <c r="H59" s="67" t="str">
        <f t="shared" ca="1" si="59"/>
        <v>02.002.005.002</v>
      </c>
      <c r="I59" s="74" t="s">
        <v>578</v>
      </c>
      <c r="J59" s="96">
        <v>1</v>
      </c>
      <c r="K59" s="114" t="s">
        <v>217</v>
      </c>
      <c r="L59" s="115">
        <v>275594.50000000006</v>
      </c>
      <c r="M59" s="74"/>
      <c r="N59" s="70"/>
    </row>
    <row r="60" spans="1:14" outlineLevel="1" x14ac:dyDescent="0.55000000000000004">
      <c r="A60" s="63">
        <f ca="1">IF($G60="UNIDADE CONSTRUTIVA",OFFSET(A60,0,0)+1,LARGE(A$3:A51,1))</f>
        <v>1</v>
      </c>
      <c r="B60" s="63">
        <f t="shared" ref="B60" ca="1" si="60">IF(G60="UNIDADE CONSTRUTIVA",0,IF(G60="CÉLULA CONSTRUTIVA",OFFSET(B60,-1,0)+1,OFFSET(B60,-1,0)))</f>
        <v>2</v>
      </c>
      <c r="C60" s="63">
        <f t="shared" ref="C60" ca="1" si="61">IF(G60="CÉLULA CONSTRUTIVA",0,IF(G60="ETAPA",OFFSET(C60,-1,0)+1,OFFSET(C60,-1,0)))</f>
        <v>2</v>
      </c>
      <c r="D60" s="64">
        <f t="shared" ref="D60" ca="1" si="62">IF(G60="ETAPA",0,IF(G60="SUBETAPA",OFFSET(D60,-1,0)+1,OFFSET(D60,-1,0)))</f>
        <v>5</v>
      </c>
      <c r="E60" s="64">
        <f t="shared" ref="E60" ca="1" si="63">IF(G60="Subetapa",0,IF(G60="serviço",OFFSET(E60,-1,0)+1,OFFSET(E60,-1,0)))</f>
        <v>3</v>
      </c>
      <c r="F60" s="65"/>
      <c r="G60" s="73" t="s">
        <v>154</v>
      </c>
      <c r="H60" s="67" t="str">
        <f t="shared" ref="H60" ca="1" si="64">IF(G60="Unidade Construtiva",TEXT(A60,"00"),IF(G60="Célula Construtiva",TEXT(B60,"00"),IF(G60="Etapa",CONCATENATE(TEXT(B60,"00"),".",TEXT(C60,"000")),IF(G60="Subetapa",CONCATENATE(TEXT(B60,"00"),".",TEXT(C60,"000"),".",TEXT(D60,"000")),IF(G60="Serviço",CONCATENATE(TEXT(B60,"00"),".",TEXT(C60,"000"),".",TEXT(D60,"000"),".",TEXT(E60,"000")),"")))))</f>
        <v>02.002.005.003</v>
      </c>
      <c r="I60" s="74" t="s">
        <v>579</v>
      </c>
      <c r="J60" s="96">
        <v>1</v>
      </c>
      <c r="K60" s="114" t="s">
        <v>217</v>
      </c>
      <c r="L60" s="115">
        <v>31600</v>
      </c>
      <c r="M60" s="74"/>
      <c r="N60" s="70"/>
    </row>
    <row r="61" spans="1:14" outlineLevel="1" x14ac:dyDescent="0.55000000000000004">
      <c r="A61" s="63">
        <f ca="1">IF($G61="UNIDADE CONSTRUTIVA",OFFSET(A61,0,0)+1,LARGE(A$3:A52,1))</f>
        <v>1</v>
      </c>
      <c r="B61" s="63">
        <f t="shared" ca="1" si="55"/>
        <v>2</v>
      </c>
      <c r="C61" s="63">
        <f t="shared" ca="1" si="56"/>
        <v>2</v>
      </c>
      <c r="D61" s="64">
        <f t="shared" ca="1" si="57"/>
        <v>5</v>
      </c>
      <c r="E61" s="64">
        <f t="shared" ca="1" si="58"/>
        <v>4</v>
      </c>
      <c r="F61" s="65"/>
      <c r="G61" s="73" t="s">
        <v>154</v>
      </c>
      <c r="H61" s="67" t="str">
        <f t="shared" ca="1" si="59"/>
        <v>02.002.005.004</v>
      </c>
      <c r="I61" s="74" t="s">
        <v>580</v>
      </c>
      <c r="J61" s="96">
        <v>1</v>
      </c>
      <c r="K61" s="114" t="s">
        <v>217</v>
      </c>
      <c r="L61" s="115">
        <v>66500</v>
      </c>
      <c r="M61" s="74"/>
      <c r="N61" s="70"/>
    </row>
    <row r="62" spans="1:14" outlineLevel="1" x14ac:dyDescent="0.55000000000000004">
      <c r="A62" s="63">
        <f ca="1">IF($G62="UNIDADE CONSTRUTIVA",OFFSET(A62,0,0)+1,LARGE(A$3:A57,1))</f>
        <v>1</v>
      </c>
      <c r="B62" s="63">
        <f t="shared" ca="1" si="0"/>
        <v>2</v>
      </c>
      <c r="C62" s="63">
        <f t="shared" ca="1" si="1"/>
        <v>2</v>
      </c>
      <c r="D62" s="64">
        <f t="shared" ca="1" si="2"/>
        <v>6</v>
      </c>
      <c r="E62" s="64">
        <f t="shared" ca="1" si="3"/>
        <v>0</v>
      </c>
      <c r="F62" s="65"/>
      <c r="G62" s="73" t="s">
        <v>153</v>
      </c>
      <c r="H62" s="67" t="str">
        <f t="shared" ca="1" si="4"/>
        <v>02.002.006</v>
      </c>
      <c r="I62" s="75" t="s">
        <v>18</v>
      </c>
      <c r="J62" s="97"/>
      <c r="K62" s="116"/>
      <c r="L62" s="117">
        <f>SUM(L63:L64)</f>
        <v>46914.273773912442</v>
      </c>
      <c r="M62" s="101"/>
      <c r="N62" s="70"/>
    </row>
    <row r="63" spans="1:14" outlineLevel="1" x14ac:dyDescent="0.55000000000000004">
      <c r="A63" s="63">
        <f ca="1">IF($G63="UNIDADE CONSTRUTIVA",OFFSET(A63,0,0)+1,LARGE(A$3:A54,1))</f>
        <v>1</v>
      </c>
      <c r="B63" s="63">
        <f t="shared" ca="1" si="0"/>
        <v>2</v>
      </c>
      <c r="C63" s="63">
        <f t="shared" ca="1" si="1"/>
        <v>2</v>
      </c>
      <c r="D63" s="64">
        <f t="shared" ca="1" si="2"/>
        <v>6</v>
      </c>
      <c r="E63" s="64">
        <f t="shared" ca="1" si="3"/>
        <v>1</v>
      </c>
      <c r="F63" s="65"/>
      <c r="G63" s="73" t="s">
        <v>154</v>
      </c>
      <c r="H63" s="67" t="str">
        <f t="shared" ca="1" si="4"/>
        <v>02.002.006.001</v>
      </c>
      <c r="I63" s="74" t="s">
        <v>575</v>
      </c>
      <c r="J63" s="96">
        <v>1</v>
      </c>
      <c r="K63" s="114" t="s">
        <v>217</v>
      </c>
      <c r="L63" s="115">
        <v>23457.136886956221</v>
      </c>
      <c r="M63" s="74"/>
      <c r="N63" s="70"/>
    </row>
    <row r="64" spans="1:14" outlineLevel="1" x14ac:dyDescent="0.55000000000000004">
      <c r="A64" s="63">
        <f ca="1">IF($G64="UNIDADE CONSTRUTIVA",OFFSET(A64,0,0)+1,LARGE(A$3:A55,1))</f>
        <v>1</v>
      </c>
      <c r="B64" s="63">
        <f t="shared" ca="1" si="0"/>
        <v>2</v>
      </c>
      <c r="C64" s="63">
        <f t="shared" ca="1" si="1"/>
        <v>2</v>
      </c>
      <c r="D64" s="64">
        <f t="shared" ca="1" si="2"/>
        <v>6</v>
      </c>
      <c r="E64" s="64">
        <f t="shared" ca="1" si="3"/>
        <v>2</v>
      </c>
      <c r="F64" s="65"/>
      <c r="G64" s="73" t="s">
        <v>154</v>
      </c>
      <c r="H64" s="67" t="str">
        <f t="shared" ca="1" si="4"/>
        <v>02.002.006.002</v>
      </c>
      <c r="I64" s="74" t="s">
        <v>576</v>
      </c>
      <c r="J64" s="96">
        <v>1</v>
      </c>
      <c r="K64" s="114" t="s">
        <v>217</v>
      </c>
      <c r="L64" s="115">
        <v>23457.136886956221</v>
      </c>
      <c r="M64" s="74"/>
      <c r="N64" s="70"/>
    </row>
    <row r="65" spans="1:14" outlineLevel="1" x14ac:dyDescent="0.55000000000000004">
      <c r="A65" s="63">
        <f ca="1">IF($G65="UNIDADE CONSTRUTIVA",OFFSET(A65,0,0)+1,LARGE(A$3:A62,1))</f>
        <v>1</v>
      </c>
      <c r="B65" s="63">
        <f t="shared" ca="1" si="0"/>
        <v>2</v>
      </c>
      <c r="C65" s="63">
        <f t="shared" ca="1" si="1"/>
        <v>3</v>
      </c>
      <c r="D65" s="64">
        <f t="shared" ca="1" si="2"/>
        <v>0</v>
      </c>
      <c r="E65" s="64">
        <f t="shared" ca="1" si="3"/>
        <v>2</v>
      </c>
      <c r="F65" s="65"/>
      <c r="G65" s="71" t="s">
        <v>157</v>
      </c>
      <c r="H65" s="67" t="str">
        <f t="shared" ca="1" si="4"/>
        <v>02.003</v>
      </c>
      <c r="I65" s="72" t="s">
        <v>19</v>
      </c>
      <c r="J65" s="95"/>
      <c r="K65" s="112"/>
      <c r="L65" s="113"/>
      <c r="M65" s="72"/>
      <c r="N65" s="70"/>
    </row>
    <row r="66" spans="1:14" outlineLevel="1" x14ac:dyDescent="0.55000000000000004">
      <c r="A66" s="63">
        <f ca="1">IF($G66="UNIDADE CONSTRUTIVA",OFFSET(A66,0,0)+1,LARGE(A$3:A65,1))</f>
        <v>1</v>
      </c>
      <c r="B66" s="63">
        <f t="shared" ca="1" si="0"/>
        <v>2</v>
      </c>
      <c r="C66" s="63">
        <f t="shared" ca="1" si="1"/>
        <v>3</v>
      </c>
      <c r="D66" s="64">
        <f t="shared" ca="1" si="2"/>
        <v>1</v>
      </c>
      <c r="E66" s="64">
        <f t="shared" ca="1" si="3"/>
        <v>0</v>
      </c>
      <c r="F66" s="65"/>
      <c r="G66" s="73" t="s">
        <v>153</v>
      </c>
      <c r="H66" s="67" t="str">
        <f t="shared" ca="1" si="4"/>
        <v>02.003.001</v>
      </c>
      <c r="I66" s="75" t="s">
        <v>20</v>
      </c>
      <c r="J66" s="97"/>
      <c r="K66" s="116"/>
      <c r="L66" s="117"/>
      <c r="M66" s="101" t="s">
        <v>581</v>
      </c>
      <c r="N66" s="70"/>
    </row>
    <row r="67" spans="1:14" outlineLevel="1" x14ac:dyDescent="0.55000000000000004">
      <c r="A67" s="63">
        <f ca="1">IF($G67="UNIDADE CONSTRUTIVA",OFFSET(A67,0,0)+1,LARGE(A$3:A66,1))</f>
        <v>1</v>
      </c>
      <c r="B67" s="63">
        <f t="shared" ca="1" si="0"/>
        <v>2</v>
      </c>
      <c r="C67" s="63">
        <f t="shared" ca="1" si="1"/>
        <v>3</v>
      </c>
      <c r="D67" s="64">
        <f t="shared" ca="1" si="2"/>
        <v>2</v>
      </c>
      <c r="E67" s="64">
        <f t="shared" ca="1" si="3"/>
        <v>0</v>
      </c>
      <c r="F67" s="65"/>
      <c r="G67" s="73" t="s">
        <v>153</v>
      </c>
      <c r="H67" s="67" t="str">
        <f t="shared" ca="1" si="4"/>
        <v>02.003.002</v>
      </c>
      <c r="I67" s="75" t="s">
        <v>21</v>
      </c>
      <c r="J67" s="97"/>
      <c r="K67" s="116"/>
      <c r="L67" s="117"/>
      <c r="M67" s="101" t="s">
        <v>581</v>
      </c>
      <c r="N67" s="70"/>
    </row>
    <row r="68" spans="1:14" x14ac:dyDescent="0.55000000000000004">
      <c r="A68" s="63">
        <f ca="1">IF($G68="UNIDADE CONSTRUTIVA",OFFSET(A68,0,0)+1,LARGE(A$3:A67,1))</f>
        <v>1</v>
      </c>
      <c r="B68" s="63">
        <f t="shared" ca="1" si="0"/>
        <v>3</v>
      </c>
      <c r="C68" s="63">
        <f t="shared" ca="1" si="1"/>
        <v>0</v>
      </c>
      <c r="D68" s="64">
        <f t="shared" ca="1" si="2"/>
        <v>2</v>
      </c>
      <c r="E68" s="64">
        <f t="shared" ca="1" si="3"/>
        <v>0</v>
      </c>
      <c r="F68" s="65"/>
      <c r="G68" s="71" t="s">
        <v>156</v>
      </c>
      <c r="H68" s="67" t="str">
        <f t="shared" ca="1" si="4"/>
        <v>03</v>
      </c>
      <c r="I68" s="72" t="s">
        <v>22</v>
      </c>
      <c r="J68" s="95"/>
      <c r="K68" s="112"/>
      <c r="L68" s="113">
        <f>L69</f>
        <v>2995860.6264499999</v>
      </c>
      <c r="M68" s="72"/>
      <c r="N68" s="70"/>
    </row>
    <row r="69" spans="1:14" outlineLevel="1" x14ac:dyDescent="0.55000000000000004">
      <c r="A69" s="63">
        <f ca="1">IF($G69="UNIDADE CONSTRUTIVA",OFFSET(A69,0,0)+1,LARGE(A$3:A68,1))</f>
        <v>1</v>
      </c>
      <c r="B69" s="63">
        <f t="shared" ca="1" si="0"/>
        <v>3</v>
      </c>
      <c r="C69" s="63">
        <f t="shared" ca="1" si="1"/>
        <v>1</v>
      </c>
      <c r="D69" s="64">
        <f t="shared" ca="1" si="2"/>
        <v>0</v>
      </c>
      <c r="E69" s="64">
        <f t="shared" ca="1" si="3"/>
        <v>0</v>
      </c>
      <c r="F69" s="65"/>
      <c r="G69" s="71" t="s">
        <v>157</v>
      </c>
      <c r="H69" s="67" t="str">
        <f t="shared" ca="1" si="4"/>
        <v>03.001</v>
      </c>
      <c r="I69" s="72" t="s">
        <v>22</v>
      </c>
      <c r="J69" s="95"/>
      <c r="K69" s="112"/>
      <c r="L69" s="113">
        <f>SUM(L70:L89)/2</f>
        <v>2995860.6264499999</v>
      </c>
      <c r="M69" s="72"/>
      <c r="N69" s="70"/>
    </row>
    <row r="70" spans="1:14" outlineLevel="1" x14ac:dyDescent="0.55000000000000004">
      <c r="A70" s="63">
        <f ca="1">IF($G70="UNIDADE CONSTRUTIVA",OFFSET(A70,0,0)+1,LARGE(A$3:A69,1))</f>
        <v>1</v>
      </c>
      <c r="B70" s="63">
        <f t="shared" ca="1" si="0"/>
        <v>3</v>
      </c>
      <c r="C70" s="63">
        <f t="shared" ca="1" si="1"/>
        <v>1</v>
      </c>
      <c r="D70" s="64">
        <f t="shared" ca="1" si="2"/>
        <v>1</v>
      </c>
      <c r="E70" s="64">
        <f t="shared" ca="1" si="3"/>
        <v>0</v>
      </c>
      <c r="F70" s="65"/>
      <c r="G70" s="73" t="s">
        <v>153</v>
      </c>
      <c r="H70" s="67" t="str">
        <f t="shared" ca="1" si="4"/>
        <v>03.001.001</v>
      </c>
      <c r="I70" s="75" t="s">
        <v>23</v>
      </c>
      <c r="J70" s="97"/>
      <c r="K70" s="116"/>
      <c r="L70" s="117">
        <f>SUM(L71:L83)</f>
        <v>2208384</v>
      </c>
      <c r="M70" s="101"/>
      <c r="N70" s="70"/>
    </row>
    <row r="71" spans="1:14" outlineLevel="1" x14ac:dyDescent="0.55000000000000004">
      <c r="A71" s="63">
        <f ca="1">IF($G71="UNIDADE CONSTRUTIVA",OFFSET(A71,0,0)+1,LARGE(A$3:A70,1))</f>
        <v>1</v>
      </c>
      <c r="B71" s="63">
        <f t="shared" ca="1" si="0"/>
        <v>3</v>
      </c>
      <c r="C71" s="63">
        <f t="shared" ca="1" si="1"/>
        <v>1</v>
      </c>
      <c r="D71" s="64">
        <f t="shared" ca="1" si="2"/>
        <v>1</v>
      </c>
      <c r="E71" s="64">
        <f t="shared" ca="1" si="3"/>
        <v>1</v>
      </c>
      <c r="F71" s="65"/>
      <c r="G71" s="73" t="s">
        <v>154</v>
      </c>
      <c r="H71" s="67" t="str">
        <f t="shared" ca="1" si="4"/>
        <v>03.001.001.001</v>
      </c>
      <c r="I71" s="75" t="s">
        <v>368</v>
      </c>
      <c r="J71" s="97">
        <v>1</v>
      </c>
      <c r="K71" s="120" t="s">
        <v>217</v>
      </c>
      <c r="L71" s="117">
        <v>132800</v>
      </c>
      <c r="M71" s="101"/>
      <c r="N71" s="70"/>
    </row>
    <row r="72" spans="1:14" outlineLevel="1" x14ac:dyDescent="0.55000000000000004">
      <c r="A72" s="63">
        <f ca="1">IF($G72="UNIDADE CONSTRUTIVA",OFFSET(A72,0,0)+1,LARGE(A$3:A71,1))</f>
        <v>1</v>
      </c>
      <c r="B72" s="63">
        <f t="shared" ca="1" si="0"/>
        <v>3</v>
      </c>
      <c r="C72" s="63">
        <f t="shared" ca="1" si="1"/>
        <v>1</v>
      </c>
      <c r="D72" s="64">
        <f t="shared" ca="1" si="2"/>
        <v>1</v>
      </c>
      <c r="E72" s="64">
        <f t="shared" ca="1" si="3"/>
        <v>2</v>
      </c>
      <c r="F72" s="65"/>
      <c r="G72" s="73" t="s">
        <v>154</v>
      </c>
      <c r="H72" s="67" t="str">
        <f t="shared" ca="1" si="4"/>
        <v>03.001.001.002</v>
      </c>
      <c r="I72" s="75" t="s">
        <v>582</v>
      </c>
      <c r="J72" s="97">
        <v>1</v>
      </c>
      <c r="K72" s="120" t="s">
        <v>592</v>
      </c>
      <c r="L72" s="117">
        <v>24000</v>
      </c>
      <c r="M72" s="101"/>
      <c r="N72" s="70"/>
    </row>
    <row r="73" spans="1:14" outlineLevel="1" x14ac:dyDescent="0.55000000000000004">
      <c r="A73" s="63">
        <f ca="1">IF($G73="UNIDADE CONSTRUTIVA",OFFSET(A73,0,0)+1,LARGE(A$3:A11,1))</f>
        <v>1</v>
      </c>
      <c r="B73" s="63">
        <f t="shared" ca="1" si="0"/>
        <v>3</v>
      </c>
      <c r="C73" s="63">
        <f t="shared" ca="1" si="1"/>
        <v>1</v>
      </c>
      <c r="D73" s="64">
        <f t="shared" ca="1" si="2"/>
        <v>1</v>
      </c>
      <c r="E73" s="64">
        <f t="shared" ca="1" si="3"/>
        <v>3</v>
      </c>
      <c r="F73" s="65"/>
      <c r="G73" s="73" t="s">
        <v>154</v>
      </c>
      <c r="H73" s="67" t="str">
        <f t="shared" ca="1" si="4"/>
        <v>03.001.001.003</v>
      </c>
      <c r="I73" s="75" t="s">
        <v>651</v>
      </c>
      <c r="J73" s="97">
        <v>19</v>
      </c>
      <c r="K73" s="120" t="s">
        <v>554</v>
      </c>
      <c r="L73" s="117">
        <v>501600</v>
      </c>
      <c r="M73" s="101"/>
      <c r="N73" s="70"/>
    </row>
    <row r="74" spans="1:14" outlineLevel="1" x14ac:dyDescent="0.55000000000000004">
      <c r="A74" s="63">
        <f ca="1">IF($G74="UNIDADE CONSTRUTIVA",OFFSET(A74,0,0)+1,LARGE(A$3:A12,1))</f>
        <v>1</v>
      </c>
      <c r="B74" s="63">
        <f t="shared" ca="1" si="0"/>
        <v>3</v>
      </c>
      <c r="C74" s="63">
        <f t="shared" ca="1" si="1"/>
        <v>1</v>
      </c>
      <c r="D74" s="64">
        <f t="shared" ca="1" si="2"/>
        <v>1</v>
      </c>
      <c r="E74" s="64">
        <f t="shared" ca="1" si="3"/>
        <v>4</v>
      </c>
      <c r="F74" s="65"/>
      <c r="G74" s="73" t="s">
        <v>154</v>
      </c>
      <c r="H74" s="67" t="str">
        <f t="shared" ca="1" si="4"/>
        <v>03.001.001.004</v>
      </c>
      <c r="I74" s="75" t="s">
        <v>583</v>
      </c>
      <c r="J74" s="97">
        <v>1</v>
      </c>
      <c r="K74" s="120" t="s">
        <v>592</v>
      </c>
      <c r="L74" s="117">
        <v>15000</v>
      </c>
      <c r="M74" s="101"/>
      <c r="N74" s="70"/>
    </row>
    <row r="75" spans="1:14" outlineLevel="1" x14ac:dyDescent="0.55000000000000004">
      <c r="A75" s="63">
        <f ca="1">IF($G75="UNIDADE CONSTRUTIVA",OFFSET(A75,0,0)+1,LARGE(A$3:A13,1))</f>
        <v>1</v>
      </c>
      <c r="B75" s="63">
        <f t="shared" ca="1" si="0"/>
        <v>3</v>
      </c>
      <c r="C75" s="63">
        <f t="shared" ca="1" si="1"/>
        <v>1</v>
      </c>
      <c r="D75" s="64">
        <f t="shared" ca="1" si="2"/>
        <v>1</v>
      </c>
      <c r="E75" s="64">
        <f t="shared" ca="1" si="3"/>
        <v>5</v>
      </c>
      <c r="F75" s="65"/>
      <c r="G75" s="73" t="s">
        <v>154</v>
      </c>
      <c r="H75" s="67" t="str">
        <f t="shared" ca="1" si="4"/>
        <v>03.001.001.005</v>
      </c>
      <c r="I75" s="75" t="s">
        <v>584</v>
      </c>
      <c r="J75" s="97">
        <v>1</v>
      </c>
      <c r="K75" s="120" t="s">
        <v>592</v>
      </c>
      <c r="L75" s="117">
        <v>40000</v>
      </c>
      <c r="M75" s="101"/>
      <c r="N75" s="70"/>
    </row>
    <row r="76" spans="1:14" outlineLevel="1" x14ac:dyDescent="0.55000000000000004">
      <c r="A76" s="63">
        <f ca="1">IF($G76="UNIDADE CONSTRUTIVA",OFFSET(A76,0,0)+1,LARGE(A$3:A14,1))</f>
        <v>1</v>
      </c>
      <c r="B76" s="63">
        <f t="shared" ca="1" si="0"/>
        <v>3</v>
      </c>
      <c r="C76" s="63">
        <f t="shared" ca="1" si="1"/>
        <v>1</v>
      </c>
      <c r="D76" s="64">
        <f t="shared" ca="1" si="2"/>
        <v>1</v>
      </c>
      <c r="E76" s="64">
        <f t="shared" ca="1" si="3"/>
        <v>6</v>
      </c>
      <c r="F76" s="65"/>
      <c r="G76" s="73" t="s">
        <v>154</v>
      </c>
      <c r="H76" s="67" t="str">
        <f t="shared" ca="1" si="4"/>
        <v>03.001.001.006</v>
      </c>
      <c r="I76" s="75" t="s">
        <v>585</v>
      </c>
      <c r="J76" s="97">
        <v>9</v>
      </c>
      <c r="K76" s="120" t="s">
        <v>592</v>
      </c>
      <c r="L76" s="117">
        <v>81000</v>
      </c>
      <c r="M76" s="101" t="s">
        <v>598</v>
      </c>
      <c r="N76" s="70"/>
    </row>
    <row r="77" spans="1:14" outlineLevel="1" x14ac:dyDescent="0.55000000000000004">
      <c r="A77" s="63">
        <f ca="1">IF($G77="UNIDADE CONSTRUTIVA",OFFSET(A77,0,0)+1,LARGE(A$3:A15,1))</f>
        <v>1</v>
      </c>
      <c r="B77" s="63">
        <f t="shared" ca="1" si="0"/>
        <v>3</v>
      </c>
      <c r="C77" s="63">
        <f t="shared" ca="1" si="1"/>
        <v>1</v>
      </c>
      <c r="D77" s="64">
        <f t="shared" ca="1" si="2"/>
        <v>1</v>
      </c>
      <c r="E77" s="64">
        <f t="shared" ca="1" si="3"/>
        <v>7</v>
      </c>
      <c r="F77" s="65"/>
      <c r="G77" s="73" t="s">
        <v>154</v>
      </c>
      <c r="H77" s="67" t="str">
        <f t="shared" ca="1" si="4"/>
        <v>03.001.001.007</v>
      </c>
      <c r="I77" s="75" t="s">
        <v>597</v>
      </c>
      <c r="J77" s="97">
        <v>3</v>
      </c>
      <c r="K77" s="120" t="s">
        <v>592</v>
      </c>
      <c r="L77" s="117">
        <v>3984</v>
      </c>
      <c r="M77" s="101"/>
      <c r="N77" s="70"/>
    </row>
    <row r="78" spans="1:14" outlineLevel="1" x14ac:dyDescent="0.55000000000000004">
      <c r="A78" s="63">
        <f ca="1">IF($G78="UNIDADE CONSTRUTIVA",OFFSET(A78,0,0)+1,LARGE(A$3:A16,1))</f>
        <v>1</v>
      </c>
      <c r="B78" s="63">
        <f t="shared" ca="1" si="0"/>
        <v>3</v>
      </c>
      <c r="C78" s="63">
        <f t="shared" ca="1" si="1"/>
        <v>1</v>
      </c>
      <c r="D78" s="64">
        <f t="shared" ca="1" si="2"/>
        <v>1</v>
      </c>
      <c r="E78" s="64">
        <f t="shared" ca="1" si="3"/>
        <v>8</v>
      </c>
      <c r="F78" s="65"/>
      <c r="G78" s="73" t="s">
        <v>154</v>
      </c>
      <c r="H78" s="67" t="str">
        <f t="shared" ca="1" si="4"/>
        <v>03.001.001.008</v>
      </c>
      <c r="I78" s="75" t="s">
        <v>586</v>
      </c>
      <c r="J78" s="97">
        <v>25</v>
      </c>
      <c r="K78" s="120" t="s">
        <v>554</v>
      </c>
      <c r="L78" s="117">
        <v>1000000</v>
      </c>
      <c r="M78" s="101"/>
      <c r="N78" s="70"/>
    </row>
    <row r="79" spans="1:14" outlineLevel="1" x14ac:dyDescent="0.55000000000000004">
      <c r="A79" s="63">
        <f ca="1">IF($G79="UNIDADE CONSTRUTIVA",OFFSET(A79,0,0)+1,LARGE(A$3:A18,1))</f>
        <v>1</v>
      </c>
      <c r="B79" s="63">
        <f t="shared" ca="1" si="0"/>
        <v>3</v>
      </c>
      <c r="C79" s="63">
        <f t="shared" ca="1" si="1"/>
        <v>1</v>
      </c>
      <c r="D79" s="64">
        <f t="shared" ca="1" si="2"/>
        <v>1</v>
      </c>
      <c r="E79" s="64">
        <f t="shared" ca="1" si="3"/>
        <v>9</v>
      </c>
      <c r="F79" s="65"/>
      <c r="G79" s="73" t="s">
        <v>154</v>
      </c>
      <c r="H79" s="67" t="str">
        <f t="shared" ca="1" si="4"/>
        <v>03.001.001.009</v>
      </c>
      <c r="I79" s="75" t="s">
        <v>587</v>
      </c>
      <c r="J79" s="97">
        <v>2</v>
      </c>
      <c r="K79" s="120" t="s">
        <v>592</v>
      </c>
      <c r="L79" s="117">
        <v>110000</v>
      </c>
      <c r="M79" s="101" t="s">
        <v>599</v>
      </c>
      <c r="N79" s="70"/>
    </row>
    <row r="80" spans="1:14" outlineLevel="1" x14ac:dyDescent="0.55000000000000004">
      <c r="A80" s="63">
        <f ca="1">IF($G80="UNIDADE CONSTRUTIVA",OFFSET(A80,0,0)+1,LARGE(A$3:A35,1))</f>
        <v>1</v>
      </c>
      <c r="B80" s="63">
        <f t="shared" ca="1" si="0"/>
        <v>3</v>
      </c>
      <c r="C80" s="63">
        <f t="shared" ca="1" si="1"/>
        <v>1</v>
      </c>
      <c r="D80" s="64">
        <f t="shared" ca="1" si="2"/>
        <v>1</v>
      </c>
      <c r="E80" s="64">
        <f t="shared" ca="1" si="3"/>
        <v>10</v>
      </c>
      <c r="F80" s="65"/>
      <c r="G80" s="73" t="s">
        <v>154</v>
      </c>
      <c r="H80" s="67" t="str">
        <f t="shared" ca="1" si="4"/>
        <v>03.001.001.010</v>
      </c>
      <c r="I80" s="75" t="s">
        <v>588</v>
      </c>
      <c r="J80" s="97">
        <v>2</v>
      </c>
      <c r="K80" s="120" t="s">
        <v>592</v>
      </c>
      <c r="L80" s="117">
        <v>30000</v>
      </c>
      <c r="M80" s="101" t="s">
        <v>600</v>
      </c>
      <c r="N80" s="70"/>
    </row>
    <row r="81" spans="1:14" outlineLevel="1" x14ac:dyDescent="0.55000000000000004">
      <c r="A81" s="63">
        <f ca="1">IF($G81="UNIDADE CONSTRUTIVA",OFFSET(A81,0,0)+1,LARGE(A$3:A32,1))</f>
        <v>1</v>
      </c>
      <c r="B81" s="63">
        <f t="shared" ref="B81:B83" ca="1" si="65">IF(G81="UNIDADE CONSTRUTIVA",0,IF(G81="CÉLULA CONSTRUTIVA",OFFSET(B81,-1,0)+1,OFFSET(B81,-1,0)))</f>
        <v>3</v>
      </c>
      <c r="C81" s="63">
        <f t="shared" ref="C81:C83" ca="1" si="66">IF(G81="CÉLULA CONSTRUTIVA",0,IF(G81="ETAPA",OFFSET(C81,-1,0)+1,OFFSET(C81,-1,0)))</f>
        <v>1</v>
      </c>
      <c r="D81" s="64">
        <f t="shared" ref="D81:D83" ca="1" si="67">IF(G81="ETAPA",0,IF(G81="SUBETAPA",OFFSET(D81,-1,0)+1,OFFSET(D81,-1,0)))</f>
        <v>1</v>
      </c>
      <c r="E81" s="64">
        <f t="shared" ref="E81:E83" ca="1" si="68">IF(G81="Subetapa",0,IF(G81="serviço",OFFSET(E81,-1,0)+1,OFFSET(E81,-1,0)))</f>
        <v>11</v>
      </c>
      <c r="F81" s="65"/>
      <c r="G81" s="73" t="s">
        <v>154</v>
      </c>
      <c r="H81" s="67" t="str">
        <f t="shared" ref="H81:H83" ca="1" si="69">IF(G81="Unidade Construtiva",TEXT(A81,"00"),IF(G81="Célula Construtiva",TEXT(B81,"00"),IF(G81="Etapa",CONCATENATE(TEXT(B81,"00"),".",TEXT(C81,"000")),IF(G81="Subetapa",CONCATENATE(TEXT(B81,"00"),".",TEXT(C81,"000"),".",TEXT(D81,"000")),IF(G81="Serviço",CONCATENATE(TEXT(B81,"00"),".",TEXT(C81,"000"),".",TEXT(D81,"000"),".",TEXT(E81,"000")),"")))))</f>
        <v>03.001.001.011</v>
      </c>
      <c r="I81" s="75" t="s">
        <v>589</v>
      </c>
      <c r="J81" s="97">
        <v>10</v>
      </c>
      <c r="K81" s="120" t="s">
        <v>554</v>
      </c>
      <c r="L81" s="117">
        <v>200000</v>
      </c>
      <c r="M81" s="101"/>
      <c r="N81" s="70"/>
    </row>
    <row r="82" spans="1:14" outlineLevel="1" x14ac:dyDescent="0.55000000000000004">
      <c r="A82" s="63">
        <f ca="1">IF($G82="UNIDADE CONSTRUTIVA",OFFSET(A82,0,0)+1,LARGE(A$3:A33,1))</f>
        <v>1</v>
      </c>
      <c r="B82" s="63">
        <f t="shared" ca="1" si="65"/>
        <v>3</v>
      </c>
      <c r="C82" s="63">
        <f t="shared" ca="1" si="66"/>
        <v>1</v>
      </c>
      <c r="D82" s="64">
        <f t="shared" ca="1" si="67"/>
        <v>1</v>
      </c>
      <c r="E82" s="64">
        <f t="shared" ca="1" si="68"/>
        <v>12</v>
      </c>
      <c r="F82" s="65"/>
      <c r="G82" s="73" t="s">
        <v>154</v>
      </c>
      <c r="H82" s="67" t="str">
        <f t="shared" ca="1" si="69"/>
        <v>03.001.001.012</v>
      </c>
      <c r="I82" s="75" t="s">
        <v>590</v>
      </c>
      <c r="J82" s="97">
        <v>1</v>
      </c>
      <c r="K82" s="120" t="s">
        <v>592</v>
      </c>
      <c r="L82" s="117">
        <v>55000</v>
      </c>
      <c r="M82" s="101" t="s">
        <v>599</v>
      </c>
      <c r="N82" s="70"/>
    </row>
    <row r="83" spans="1:14" outlineLevel="1" x14ac:dyDescent="0.55000000000000004">
      <c r="A83" s="63">
        <f ca="1">IF($G83="UNIDADE CONSTRUTIVA",OFFSET(A83,0,0)+1,LARGE(A$3:A34,1))</f>
        <v>1</v>
      </c>
      <c r="B83" s="63">
        <f t="shared" ca="1" si="65"/>
        <v>3</v>
      </c>
      <c r="C83" s="63">
        <f t="shared" ca="1" si="66"/>
        <v>1</v>
      </c>
      <c r="D83" s="64">
        <f t="shared" ca="1" si="67"/>
        <v>1</v>
      </c>
      <c r="E83" s="64">
        <f t="shared" ca="1" si="68"/>
        <v>13</v>
      </c>
      <c r="F83" s="65"/>
      <c r="G83" s="73" t="s">
        <v>154</v>
      </c>
      <c r="H83" s="67" t="str">
        <f t="shared" ca="1" si="69"/>
        <v>03.001.001.013</v>
      </c>
      <c r="I83" s="75" t="s">
        <v>591</v>
      </c>
      <c r="J83" s="97">
        <v>1</v>
      </c>
      <c r="K83" s="120" t="s">
        <v>592</v>
      </c>
      <c r="L83" s="117">
        <v>15000</v>
      </c>
      <c r="M83" s="101" t="s">
        <v>600</v>
      </c>
      <c r="N83" s="70"/>
    </row>
    <row r="84" spans="1:14" outlineLevel="1" x14ac:dyDescent="0.55000000000000004">
      <c r="A84" s="63">
        <f ca="1">IF($G84="UNIDADE CONSTRUTIVA",OFFSET(A84,0,0)+1,LARGE(A$3:A83,1))</f>
        <v>1</v>
      </c>
      <c r="B84" s="63">
        <f t="shared" ca="1" si="0"/>
        <v>3</v>
      </c>
      <c r="C84" s="63">
        <f t="shared" ca="1" si="1"/>
        <v>1</v>
      </c>
      <c r="D84" s="64">
        <f t="shared" ca="1" si="2"/>
        <v>2</v>
      </c>
      <c r="E84" s="64">
        <f t="shared" ca="1" si="3"/>
        <v>0</v>
      </c>
      <c r="F84" s="65"/>
      <c r="G84" s="73" t="s">
        <v>153</v>
      </c>
      <c r="H84" s="67" t="str">
        <f t="shared" ca="1" si="4"/>
        <v>03.001.002</v>
      </c>
      <c r="I84" s="76" t="s">
        <v>24</v>
      </c>
      <c r="J84" s="98"/>
      <c r="K84" s="121"/>
      <c r="L84" s="119">
        <f>SUM(L85:L89)</f>
        <v>787476.62644999987</v>
      </c>
      <c r="M84" s="102"/>
      <c r="N84" s="70"/>
    </row>
    <row r="85" spans="1:14" outlineLevel="1" x14ac:dyDescent="0.55000000000000004">
      <c r="A85" s="63">
        <f ca="1">IF($G85="UNIDADE CONSTRUTIVA",OFFSET(A85,0,0)+1,LARGE(A$3:A35,1))</f>
        <v>1</v>
      </c>
      <c r="B85" s="63">
        <f t="shared" ca="1" si="0"/>
        <v>3</v>
      </c>
      <c r="C85" s="63">
        <f t="shared" ca="1" si="1"/>
        <v>1</v>
      </c>
      <c r="D85" s="64">
        <f t="shared" ca="1" si="2"/>
        <v>2</v>
      </c>
      <c r="E85" s="64">
        <f t="shared" ca="1" si="3"/>
        <v>1</v>
      </c>
      <c r="F85" s="65"/>
      <c r="G85" s="73" t="s">
        <v>154</v>
      </c>
      <c r="H85" s="67" t="str">
        <f t="shared" ca="1" si="4"/>
        <v>03.001.002.001</v>
      </c>
      <c r="I85" s="75" t="s">
        <v>593</v>
      </c>
      <c r="J85" s="97">
        <v>13</v>
      </c>
      <c r="K85" s="120" t="s">
        <v>554</v>
      </c>
      <c r="L85" s="117">
        <v>148200</v>
      </c>
      <c r="M85" s="101"/>
      <c r="N85" s="70"/>
    </row>
    <row r="86" spans="1:14" outlineLevel="1" x14ac:dyDescent="0.55000000000000004">
      <c r="A86" s="63">
        <f ca="1">IF($G86="UNIDADE CONSTRUTIVA",OFFSET(A86,0,0)+1,LARGE(A$3:A37,1))</f>
        <v>1</v>
      </c>
      <c r="B86" s="63">
        <f t="shared" ca="1" si="0"/>
        <v>3</v>
      </c>
      <c r="C86" s="63">
        <f t="shared" ca="1" si="1"/>
        <v>1</v>
      </c>
      <c r="D86" s="64">
        <f t="shared" ca="1" si="2"/>
        <v>2</v>
      </c>
      <c r="E86" s="64">
        <f t="shared" ca="1" si="3"/>
        <v>2</v>
      </c>
      <c r="F86" s="65"/>
      <c r="G86" s="73" t="s">
        <v>154</v>
      </c>
      <c r="H86" s="67" t="str">
        <f t="shared" ca="1" si="4"/>
        <v>03.001.002.002</v>
      </c>
      <c r="I86" s="75" t="s">
        <v>594</v>
      </c>
      <c r="J86" s="97">
        <v>150</v>
      </c>
      <c r="K86" s="120" t="s">
        <v>592</v>
      </c>
      <c r="L86" s="117">
        <v>67500</v>
      </c>
      <c r="M86" s="101"/>
      <c r="N86" s="70"/>
    </row>
    <row r="87" spans="1:14" outlineLevel="1" x14ac:dyDescent="0.55000000000000004">
      <c r="A87" s="63">
        <f ca="1">IF($G87="UNIDADE CONSTRUTIVA",OFFSET(A87,0,0)+1,LARGE(A$3:A41,1))</f>
        <v>1</v>
      </c>
      <c r="B87" s="63">
        <f t="shared" ref="B87:B88" ca="1" si="70">IF(G87="UNIDADE CONSTRUTIVA",0,IF(G87="CÉLULA CONSTRUTIVA",OFFSET(B87,-1,0)+1,OFFSET(B87,-1,0)))</f>
        <v>3</v>
      </c>
      <c r="C87" s="63">
        <f t="shared" ref="C87:C88" ca="1" si="71">IF(G87="CÉLULA CONSTRUTIVA",0,IF(G87="ETAPA",OFFSET(C87,-1,0)+1,OFFSET(C87,-1,0)))</f>
        <v>1</v>
      </c>
      <c r="D87" s="64">
        <f t="shared" ref="D87:D88" ca="1" si="72">IF(G87="ETAPA",0,IF(G87="SUBETAPA",OFFSET(D87,-1,0)+1,OFFSET(D87,-1,0)))</f>
        <v>2</v>
      </c>
      <c r="E87" s="64">
        <f t="shared" ref="E87:E88" ca="1" si="73">IF(G87="Subetapa",0,IF(G87="serviço",OFFSET(E87,-1,0)+1,OFFSET(E87,-1,0)))</f>
        <v>3</v>
      </c>
      <c r="F87" s="65"/>
      <c r="G87" s="73" t="s">
        <v>154</v>
      </c>
      <c r="H87" s="67" t="str">
        <f t="shared" ref="H87:H88" ca="1" si="74">IF(G87="Unidade Construtiva",TEXT(A87,"00"),IF(G87="Célula Construtiva",TEXT(B87,"00"),IF(G87="Etapa",CONCATENATE(TEXT(B87,"00"),".",TEXT(C87,"000")),IF(G87="Subetapa",CONCATENATE(TEXT(B87,"00"),".",TEXT(C87,"000"),".",TEXT(D87,"000")),IF(G87="Serviço",CONCATENATE(TEXT(B87,"00"),".",TEXT(C87,"000"),".",TEXT(D87,"000"),".",TEXT(E87,"000")),"")))))</f>
        <v>03.001.002.003</v>
      </c>
      <c r="I87" s="75" t="s">
        <v>595</v>
      </c>
      <c r="J87" s="97">
        <v>10</v>
      </c>
      <c r="K87" s="120" t="s">
        <v>554</v>
      </c>
      <c r="L87" s="117">
        <v>415216.74195</v>
      </c>
      <c r="M87" s="101"/>
      <c r="N87" s="70"/>
    </row>
    <row r="88" spans="1:14" outlineLevel="1" x14ac:dyDescent="0.55000000000000004">
      <c r="A88" s="63">
        <f ca="1">IF($G88="UNIDADE CONSTRUTIVA",OFFSET(A88,0,0)+1,LARGE(A$3:A42,1))</f>
        <v>1</v>
      </c>
      <c r="B88" s="63">
        <f t="shared" ca="1" si="70"/>
        <v>3</v>
      </c>
      <c r="C88" s="63">
        <f t="shared" ca="1" si="71"/>
        <v>1</v>
      </c>
      <c r="D88" s="64">
        <f t="shared" ca="1" si="72"/>
        <v>2</v>
      </c>
      <c r="E88" s="64">
        <f t="shared" ca="1" si="73"/>
        <v>4</v>
      </c>
      <c r="F88" s="65"/>
      <c r="G88" s="73" t="s">
        <v>154</v>
      </c>
      <c r="H88" s="67" t="str">
        <f t="shared" ca="1" si="74"/>
        <v>03.001.002.004</v>
      </c>
      <c r="I88" s="75" t="s">
        <v>596</v>
      </c>
      <c r="J88" s="97">
        <v>2678.8176899999999</v>
      </c>
      <c r="K88" s="120" t="s">
        <v>339</v>
      </c>
      <c r="L88" s="117">
        <v>133940.88449999999</v>
      </c>
      <c r="M88" s="101"/>
      <c r="N88" s="70"/>
    </row>
    <row r="89" spans="1:14" outlineLevel="1" x14ac:dyDescent="0.55000000000000004">
      <c r="A89" s="63">
        <f ca="1">IF($G89="UNIDADE CONSTRUTIVA",OFFSET(A89,0,0)+1,LARGE(A$3:A53,1))</f>
        <v>1</v>
      </c>
      <c r="B89" s="63">
        <f t="shared" ca="1" si="0"/>
        <v>3</v>
      </c>
      <c r="C89" s="63">
        <f t="shared" ca="1" si="1"/>
        <v>1</v>
      </c>
      <c r="D89" s="64">
        <f t="shared" ca="1" si="2"/>
        <v>2</v>
      </c>
      <c r="E89" s="64">
        <f t="shared" ca="1" si="3"/>
        <v>5</v>
      </c>
      <c r="F89" s="65"/>
      <c r="G89" s="73" t="s">
        <v>154</v>
      </c>
      <c r="H89" s="67" t="str">
        <f t="shared" ca="1" si="4"/>
        <v>03.001.002.005</v>
      </c>
      <c r="I89" s="75" t="s">
        <v>370</v>
      </c>
      <c r="J89" s="97">
        <v>904.76</v>
      </c>
      <c r="K89" s="120" t="s">
        <v>183</v>
      </c>
      <c r="L89" s="117">
        <v>22619</v>
      </c>
      <c r="M89" s="103"/>
      <c r="N89" s="70"/>
    </row>
    <row r="90" spans="1:14" x14ac:dyDescent="0.55000000000000004">
      <c r="G90" s="91"/>
    </row>
    <row r="91" spans="1:14" x14ac:dyDescent="0.55000000000000004">
      <c r="G91" s="91"/>
    </row>
    <row r="92" spans="1:14" x14ac:dyDescent="0.55000000000000004">
      <c r="G92" s="91"/>
    </row>
    <row r="93" spans="1:14" x14ac:dyDescent="0.55000000000000004">
      <c r="G93" s="91"/>
    </row>
    <row r="94" spans="1:14" x14ac:dyDescent="0.55000000000000004">
      <c r="G94" s="91"/>
    </row>
    <row r="95" spans="1:14" x14ac:dyDescent="0.55000000000000004">
      <c r="G95" s="91"/>
    </row>
    <row r="96" spans="1:14" x14ac:dyDescent="0.55000000000000004">
      <c r="G96" s="91"/>
    </row>
    <row r="97" spans="7:7" x14ac:dyDescent="0.55000000000000004">
      <c r="G97" s="91"/>
    </row>
    <row r="98" spans="7:7" x14ac:dyDescent="0.55000000000000004">
      <c r="G98" s="91"/>
    </row>
    <row r="99" spans="7:7" x14ac:dyDescent="0.55000000000000004">
      <c r="G99" s="91"/>
    </row>
    <row r="100" spans="7:7" x14ac:dyDescent="0.55000000000000004">
      <c r="G100" s="91"/>
    </row>
    <row r="101" spans="7:7" x14ac:dyDescent="0.55000000000000004">
      <c r="G101" s="91"/>
    </row>
    <row r="102" spans="7:7" x14ac:dyDescent="0.55000000000000004">
      <c r="G102" s="91"/>
    </row>
    <row r="103" spans="7:7" x14ac:dyDescent="0.55000000000000004">
      <c r="G103" s="91"/>
    </row>
    <row r="104" spans="7:7" x14ac:dyDescent="0.55000000000000004">
      <c r="G104" s="91"/>
    </row>
    <row r="105" spans="7:7" x14ac:dyDescent="0.55000000000000004">
      <c r="G105" s="91"/>
    </row>
    <row r="106" spans="7:7" x14ac:dyDescent="0.55000000000000004">
      <c r="G106" s="91"/>
    </row>
    <row r="107" spans="7:7" x14ac:dyDescent="0.55000000000000004">
      <c r="G107" s="91"/>
    </row>
    <row r="108" spans="7:7" x14ac:dyDescent="0.55000000000000004">
      <c r="G108" s="91"/>
    </row>
    <row r="109" spans="7:7" x14ac:dyDescent="0.55000000000000004">
      <c r="G109" s="91"/>
    </row>
    <row r="110" spans="7:7" x14ac:dyDescent="0.55000000000000004">
      <c r="G110" s="91"/>
    </row>
    <row r="111" spans="7:7" x14ac:dyDescent="0.55000000000000004">
      <c r="G111" s="91"/>
    </row>
    <row r="112" spans="7:7" x14ac:dyDescent="0.55000000000000004">
      <c r="G112" s="91"/>
    </row>
    <row r="113" spans="7:7" x14ac:dyDescent="0.55000000000000004">
      <c r="G113" s="91"/>
    </row>
    <row r="114" spans="7:7" x14ac:dyDescent="0.55000000000000004">
      <c r="G114" s="91"/>
    </row>
    <row r="115" spans="7:7" x14ac:dyDescent="0.55000000000000004">
      <c r="G115" s="91"/>
    </row>
    <row r="116" spans="7:7" x14ac:dyDescent="0.55000000000000004">
      <c r="G116" s="91"/>
    </row>
    <row r="117" spans="7:7" x14ac:dyDescent="0.55000000000000004">
      <c r="G117" s="91"/>
    </row>
    <row r="118" spans="7:7" x14ac:dyDescent="0.55000000000000004">
      <c r="G118" s="91"/>
    </row>
    <row r="119" spans="7:7" x14ac:dyDescent="0.55000000000000004">
      <c r="G119" s="91"/>
    </row>
    <row r="120" spans="7:7" x14ac:dyDescent="0.55000000000000004">
      <c r="G120" s="91"/>
    </row>
    <row r="121" spans="7:7" x14ac:dyDescent="0.55000000000000004">
      <c r="G121" s="91"/>
    </row>
    <row r="122" spans="7:7" x14ac:dyDescent="0.55000000000000004">
      <c r="G122" s="91"/>
    </row>
    <row r="123" spans="7:7" x14ac:dyDescent="0.55000000000000004">
      <c r="G123" s="91"/>
    </row>
    <row r="124" spans="7:7" x14ac:dyDescent="0.55000000000000004">
      <c r="G124" s="91"/>
    </row>
    <row r="125" spans="7:7" x14ac:dyDescent="0.55000000000000004">
      <c r="G125" s="91"/>
    </row>
    <row r="126" spans="7:7" x14ac:dyDescent="0.55000000000000004">
      <c r="G126" s="91"/>
    </row>
    <row r="127" spans="7:7" x14ac:dyDescent="0.55000000000000004">
      <c r="G127" s="91"/>
    </row>
    <row r="128" spans="7:7" x14ac:dyDescent="0.55000000000000004">
      <c r="G128" s="91"/>
    </row>
    <row r="129" spans="7:7" x14ac:dyDescent="0.55000000000000004">
      <c r="G129" s="91"/>
    </row>
    <row r="130" spans="7:7" x14ac:dyDescent="0.55000000000000004">
      <c r="G130" s="91"/>
    </row>
    <row r="131" spans="7:7" x14ac:dyDescent="0.55000000000000004">
      <c r="G131" s="91"/>
    </row>
    <row r="132" spans="7:7" x14ac:dyDescent="0.55000000000000004">
      <c r="G132" s="91"/>
    </row>
    <row r="133" spans="7:7" x14ac:dyDescent="0.55000000000000004">
      <c r="G133" s="91"/>
    </row>
    <row r="134" spans="7:7" x14ac:dyDescent="0.55000000000000004">
      <c r="G134" s="91"/>
    </row>
    <row r="135" spans="7:7" x14ac:dyDescent="0.55000000000000004">
      <c r="G135" s="91"/>
    </row>
    <row r="136" spans="7:7" x14ac:dyDescent="0.55000000000000004">
      <c r="G136" s="91"/>
    </row>
    <row r="137" spans="7:7" x14ac:dyDescent="0.55000000000000004">
      <c r="G137" s="91"/>
    </row>
    <row r="138" spans="7:7" x14ac:dyDescent="0.55000000000000004">
      <c r="G138" s="91"/>
    </row>
    <row r="139" spans="7:7" x14ac:dyDescent="0.55000000000000004">
      <c r="G139" s="91"/>
    </row>
    <row r="140" spans="7:7" x14ac:dyDescent="0.55000000000000004">
      <c r="G140" s="91"/>
    </row>
    <row r="141" spans="7:7" x14ac:dyDescent="0.55000000000000004">
      <c r="G141" s="91"/>
    </row>
    <row r="142" spans="7:7" x14ac:dyDescent="0.55000000000000004">
      <c r="G142" s="91"/>
    </row>
    <row r="143" spans="7:7" x14ac:dyDescent="0.55000000000000004">
      <c r="G143" s="91"/>
    </row>
    <row r="144" spans="7:7" x14ac:dyDescent="0.55000000000000004">
      <c r="G144" s="91"/>
    </row>
    <row r="145" spans="7:7" x14ac:dyDescent="0.55000000000000004">
      <c r="G145" s="91"/>
    </row>
    <row r="146" spans="7:7" x14ac:dyDescent="0.55000000000000004">
      <c r="G146" s="91"/>
    </row>
    <row r="147" spans="7:7" x14ac:dyDescent="0.55000000000000004">
      <c r="G147" s="91"/>
    </row>
    <row r="148" spans="7:7" x14ac:dyDescent="0.55000000000000004">
      <c r="G148" s="91"/>
    </row>
    <row r="149" spans="7:7" x14ac:dyDescent="0.55000000000000004">
      <c r="G149" s="91"/>
    </row>
    <row r="150" spans="7:7" x14ac:dyDescent="0.55000000000000004">
      <c r="G150" s="91"/>
    </row>
    <row r="151" spans="7:7" x14ac:dyDescent="0.55000000000000004">
      <c r="G151" s="91"/>
    </row>
    <row r="152" spans="7:7" x14ac:dyDescent="0.55000000000000004">
      <c r="G152" s="91"/>
    </row>
    <row r="153" spans="7:7" x14ac:dyDescent="0.55000000000000004">
      <c r="G153" s="91"/>
    </row>
    <row r="154" spans="7:7" x14ac:dyDescent="0.55000000000000004">
      <c r="G154" s="91"/>
    </row>
    <row r="155" spans="7:7" x14ac:dyDescent="0.55000000000000004">
      <c r="G155" s="91"/>
    </row>
    <row r="156" spans="7:7" x14ac:dyDescent="0.55000000000000004">
      <c r="G156" s="91"/>
    </row>
    <row r="157" spans="7:7" x14ac:dyDescent="0.55000000000000004">
      <c r="G157" s="91"/>
    </row>
    <row r="158" spans="7:7" x14ac:dyDescent="0.55000000000000004">
      <c r="G158" s="91"/>
    </row>
    <row r="159" spans="7:7" x14ac:dyDescent="0.55000000000000004">
      <c r="G159" s="91"/>
    </row>
    <row r="160" spans="7:7" x14ac:dyDescent="0.55000000000000004">
      <c r="G160" s="91"/>
    </row>
    <row r="161" spans="7:7" x14ac:dyDescent="0.55000000000000004">
      <c r="G161" s="91"/>
    </row>
    <row r="162" spans="7:7" x14ac:dyDescent="0.55000000000000004">
      <c r="G162" s="91"/>
    </row>
    <row r="163" spans="7:7" x14ac:dyDescent="0.55000000000000004">
      <c r="G163" s="91"/>
    </row>
    <row r="164" spans="7:7" x14ac:dyDescent="0.55000000000000004">
      <c r="G164" s="91"/>
    </row>
    <row r="165" spans="7:7" x14ac:dyDescent="0.55000000000000004">
      <c r="G165" s="91"/>
    </row>
    <row r="166" spans="7:7" x14ac:dyDescent="0.55000000000000004">
      <c r="G166" s="91"/>
    </row>
    <row r="167" spans="7:7" x14ac:dyDescent="0.55000000000000004">
      <c r="G167" s="91"/>
    </row>
    <row r="168" spans="7:7" x14ac:dyDescent="0.55000000000000004">
      <c r="G168" s="91"/>
    </row>
    <row r="169" spans="7:7" x14ac:dyDescent="0.55000000000000004">
      <c r="G169" s="91"/>
    </row>
    <row r="170" spans="7:7" x14ac:dyDescent="0.55000000000000004">
      <c r="G170" s="91"/>
    </row>
    <row r="171" spans="7:7" x14ac:dyDescent="0.55000000000000004">
      <c r="G171" s="91"/>
    </row>
    <row r="172" spans="7:7" x14ac:dyDescent="0.55000000000000004">
      <c r="G172" s="91"/>
    </row>
    <row r="173" spans="7:7" x14ac:dyDescent="0.55000000000000004">
      <c r="G173" s="91"/>
    </row>
    <row r="174" spans="7:7" x14ac:dyDescent="0.55000000000000004">
      <c r="G174" s="91"/>
    </row>
    <row r="175" spans="7:7" x14ac:dyDescent="0.55000000000000004">
      <c r="G175" s="91"/>
    </row>
    <row r="176" spans="7:7" x14ac:dyDescent="0.55000000000000004">
      <c r="G176" s="91"/>
    </row>
    <row r="177" spans="7:7" x14ac:dyDescent="0.55000000000000004">
      <c r="G177" s="91"/>
    </row>
    <row r="178" spans="7:7" x14ac:dyDescent="0.55000000000000004">
      <c r="G178" s="91"/>
    </row>
    <row r="179" spans="7:7" x14ac:dyDescent="0.55000000000000004">
      <c r="G179" s="91"/>
    </row>
    <row r="180" spans="7:7" x14ac:dyDescent="0.55000000000000004">
      <c r="G180" s="91"/>
    </row>
    <row r="181" spans="7:7" x14ac:dyDescent="0.55000000000000004">
      <c r="G181" s="91"/>
    </row>
    <row r="182" spans="7:7" x14ac:dyDescent="0.55000000000000004">
      <c r="G182" s="91"/>
    </row>
    <row r="183" spans="7:7" x14ac:dyDescent="0.55000000000000004">
      <c r="G183" s="91"/>
    </row>
    <row r="184" spans="7:7" x14ac:dyDescent="0.55000000000000004">
      <c r="G184" s="91"/>
    </row>
    <row r="185" spans="7:7" x14ac:dyDescent="0.55000000000000004">
      <c r="G185" s="91"/>
    </row>
    <row r="186" spans="7:7" x14ac:dyDescent="0.55000000000000004">
      <c r="G186" s="91"/>
    </row>
    <row r="187" spans="7:7" x14ac:dyDescent="0.55000000000000004">
      <c r="G187" s="91"/>
    </row>
    <row r="188" spans="7:7" x14ac:dyDescent="0.55000000000000004">
      <c r="G188" s="91"/>
    </row>
    <row r="189" spans="7:7" x14ac:dyDescent="0.55000000000000004">
      <c r="G189" s="91"/>
    </row>
    <row r="190" spans="7:7" x14ac:dyDescent="0.55000000000000004">
      <c r="G190" s="91"/>
    </row>
    <row r="191" spans="7:7" x14ac:dyDescent="0.55000000000000004">
      <c r="G191" s="91"/>
    </row>
    <row r="192" spans="7:7" x14ac:dyDescent="0.55000000000000004">
      <c r="G192" s="91"/>
    </row>
    <row r="193" spans="7:7" x14ac:dyDescent="0.55000000000000004">
      <c r="G193" s="91"/>
    </row>
    <row r="194" spans="7:7" x14ac:dyDescent="0.55000000000000004">
      <c r="G194" s="91"/>
    </row>
    <row r="195" spans="7:7" x14ac:dyDescent="0.55000000000000004">
      <c r="G195" s="91"/>
    </row>
    <row r="196" spans="7:7" x14ac:dyDescent="0.55000000000000004">
      <c r="G196" s="91"/>
    </row>
    <row r="197" spans="7:7" x14ac:dyDescent="0.55000000000000004">
      <c r="G197" s="91"/>
    </row>
    <row r="198" spans="7:7" x14ac:dyDescent="0.55000000000000004">
      <c r="G198" s="91"/>
    </row>
    <row r="199" spans="7:7" x14ac:dyDescent="0.55000000000000004">
      <c r="G199" s="91"/>
    </row>
    <row r="200" spans="7:7" x14ac:dyDescent="0.55000000000000004">
      <c r="G200" s="91"/>
    </row>
    <row r="201" spans="7:7" x14ac:dyDescent="0.55000000000000004">
      <c r="G201" s="91"/>
    </row>
    <row r="202" spans="7:7" x14ac:dyDescent="0.55000000000000004">
      <c r="G202" s="91"/>
    </row>
    <row r="203" spans="7:7" x14ac:dyDescent="0.55000000000000004">
      <c r="G203" s="91"/>
    </row>
    <row r="204" spans="7:7" x14ac:dyDescent="0.55000000000000004">
      <c r="G204" s="91"/>
    </row>
    <row r="205" spans="7:7" x14ac:dyDescent="0.55000000000000004">
      <c r="G205" s="91"/>
    </row>
    <row r="206" spans="7:7" x14ac:dyDescent="0.55000000000000004">
      <c r="G206" s="91"/>
    </row>
    <row r="207" spans="7:7" x14ac:dyDescent="0.55000000000000004">
      <c r="G207" s="91"/>
    </row>
    <row r="208" spans="7:7" x14ac:dyDescent="0.55000000000000004">
      <c r="G208" s="91"/>
    </row>
    <row r="209" spans="7:7" x14ac:dyDescent="0.55000000000000004">
      <c r="G209" s="91"/>
    </row>
    <row r="210" spans="7:7" x14ac:dyDescent="0.55000000000000004">
      <c r="G210" s="91"/>
    </row>
    <row r="211" spans="7:7" x14ac:dyDescent="0.55000000000000004">
      <c r="G211" s="91"/>
    </row>
    <row r="212" spans="7:7" x14ac:dyDescent="0.55000000000000004">
      <c r="G212" s="91"/>
    </row>
    <row r="213" spans="7:7" x14ac:dyDescent="0.55000000000000004">
      <c r="G213" s="91"/>
    </row>
    <row r="214" spans="7:7" x14ac:dyDescent="0.55000000000000004">
      <c r="G214" s="91"/>
    </row>
    <row r="215" spans="7:7" x14ac:dyDescent="0.55000000000000004">
      <c r="G215" s="91"/>
    </row>
    <row r="216" spans="7:7" x14ac:dyDescent="0.55000000000000004">
      <c r="G216" s="91"/>
    </row>
    <row r="217" spans="7:7" x14ac:dyDescent="0.55000000000000004">
      <c r="G217" s="91"/>
    </row>
    <row r="218" spans="7:7" x14ac:dyDescent="0.55000000000000004">
      <c r="G218" s="91"/>
    </row>
    <row r="219" spans="7:7" x14ac:dyDescent="0.55000000000000004">
      <c r="G219" s="91"/>
    </row>
    <row r="220" spans="7:7" x14ac:dyDescent="0.55000000000000004">
      <c r="G220" s="91"/>
    </row>
    <row r="221" spans="7:7" x14ac:dyDescent="0.55000000000000004">
      <c r="G221" s="91"/>
    </row>
    <row r="222" spans="7:7" x14ac:dyDescent="0.55000000000000004">
      <c r="G222" s="91"/>
    </row>
    <row r="223" spans="7:7" x14ac:dyDescent="0.55000000000000004">
      <c r="G223" s="91"/>
    </row>
    <row r="224" spans="7:7" x14ac:dyDescent="0.55000000000000004">
      <c r="G224" s="91"/>
    </row>
    <row r="225" spans="7:7" x14ac:dyDescent="0.55000000000000004">
      <c r="G225" s="91"/>
    </row>
    <row r="226" spans="7:7" x14ac:dyDescent="0.55000000000000004">
      <c r="G226" s="91"/>
    </row>
    <row r="227" spans="7:7" x14ac:dyDescent="0.55000000000000004">
      <c r="G227" s="91"/>
    </row>
    <row r="228" spans="7:7" x14ac:dyDescent="0.55000000000000004">
      <c r="G228" s="91"/>
    </row>
    <row r="229" spans="7:7" x14ac:dyDescent="0.55000000000000004">
      <c r="G229" s="91"/>
    </row>
    <row r="230" spans="7:7" x14ac:dyDescent="0.55000000000000004">
      <c r="G230" s="91"/>
    </row>
    <row r="231" spans="7:7" x14ac:dyDescent="0.55000000000000004">
      <c r="G231" s="91"/>
    </row>
    <row r="232" spans="7:7" x14ac:dyDescent="0.55000000000000004">
      <c r="G232" s="91"/>
    </row>
    <row r="233" spans="7:7" x14ac:dyDescent="0.55000000000000004">
      <c r="G233" s="91"/>
    </row>
    <row r="234" spans="7:7" x14ac:dyDescent="0.55000000000000004">
      <c r="G234" s="91"/>
    </row>
    <row r="235" spans="7:7" x14ac:dyDescent="0.55000000000000004">
      <c r="G235" s="91"/>
    </row>
    <row r="236" spans="7:7" x14ac:dyDescent="0.55000000000000004">
      <c r="G236" s="91"/>
    </row>
    <row r="237" spans="7:7" x14ac:dyDescent="0.55000000000000004">
      <c r="G237" s="91"/>
    </row>
    <row r="238" spans="7:7" x14ac:dyDescent="0.55000000000000004">
      <c r="G238" s="91"/>
    </row>
    <row r="239" spans="7:7" x14ac:dyDescent="0.55000000000000004">
      <c r="G239" s="91"/>
    </row>
    <row r="240" spans="7:7" x14ac:dyDescent="0.55000000000000004">
      <c r="G240" s="91"/>
    </row>
    <row r="241" spans="7:7" x14ac:dyDescent="0.55000000000000004">
      <c r="G241" s="91"/>
    </row>
    <row r="242" spans="7:7" x14ac:dyDescent="0.55000000000000004">
      <c r="G242" s="91"/>
    </row>
    <row r="243" spans="7:7" x14ac:dyDescent="0.55000000000000004">
      <c r="G243" s="91"/>
    </row>
    <row r="244" spans="7:7" x14ac:dyDescent="0.55000000000000004">
      <c r="G244" s="91"/>
    </row>
    <row r="245" spans="7:7" x14ac:dyDescent="0.55000000000000004">
      <c r="G245" s="91"/>
    </row>
    <row r="246" spans="7:7" x14ac:dyDescent="0.55000000000000004">
      <c r="G246" s="91"/>
    </row>
    <row r="247" spans="7:7" x14ac:dyDescent="0.55000000000000004">
      <c r="G247" s="91"/>
    </row>
    <row r="248" spans="7:7" x14ac:dyDescent="0.55000000000000004">
      <c r="G248" s="91"/>
    </row>
    <row r="249" spans="7:7" x14ac:dyDescent="0.55000000000000004">
      <c r="G249" s="91"/>
    </row>
    <row r="250" spans="7:7" x14ac:dyDescent="0.55000000000000004">
      <c r="G250" s="91"/>
    </row>
    <row r="251" spans="7:7" x14ac:dyDescent="0.55000000000000004">
      <c r="G251" s="91"/>
    </row>
    <row r="252" spans="7:7" x14ac:dyDescent="0.55000000000000004">
      <c r="G252" s="91"/>
    </row>
    <row r="253" spans="7:7" x14ac:dyDescent="0.55000000000000004">
      <c r="G253" s="91"/>
    </row>
    <row r="254" spans="7:7" x14ac:dyDescent="0.55000000000000004">
      <c r="G254" s="91"/>
    </row>
    <row r="255" spans="7:7" x14ac:dyDescent="0.55000000000000004">
      <c r="G255" s="91"/>
    </row>
    <row r="256" spans="7:7" x14ac:dyDescent="0.55000000000000004">
      <c r="G256" s="91"/>
    </row>
    <row r="257" spans="7:7" x14ac:dyDescent="0.55000000000000004">
      <c r="G257" s="91"/>
    </row>
    <row r="258" spans="7:7" x14ac:dyDescent="0.55000000000000004">
      <c r="G258" s="91"/>
    </row>
    <row r="259" spans="7:7" x14ac:dyDescent="0.55000000000000004">
      <c r="G259" s="91"/>
    </row>
    <row r="260" spans="7:7" x14ac:dyDescent="0.55000000000000004">
      <c r="G260" s="91"/>
    </row>
    <row r="261" spans="7:7" x14ac:dyDescent="0.55000000000000004">
      <c r="G261" s="91"/>
    </row>
    <row r="262" spans="7:7" x14ac:dyDescent="0.55000000000000004">
      <c r="G262" s="91"/>
    </row>
    <row r="263" spans="7:7" x14ac:dyDescent="0.55000000000000004">
      <c r="G263" s="91"/>
    </row>
    <row r="264" spans="7:7" x14ac:dyDescent="0.55000000000000004">
      <c r="G264" s="91"/>
    </row>
    <row r="265" spans="7:7" x14ac:dyDescent="0.55000000000000004">
      <c r="G265" s="91"/>
    </row>
    <row r="266" spans="7:7" x14ac:dyDescent="0.55000000000000004">
      <c r="G266" s="91"/>
    </row>
    <row r="267" spans="7:7" x14ac:dyDescent="0.55000000000000004">
      <c r="G267" s="91"/>
    </row>
    <row r="268" spans="7:7" x14ac:dyDescent="0.55000000000000004">
      <c r="G268" s="91"/>
    </row>
    <row r="269" spans="7:7" x14ac:dyDescent="0.55000000000000004">
      <c r="G269" s="91"/>
    </row>
    <row r="270" spans="7:7" x14ac:dyDescent="0.55000000000000004">
      <c r="G270" s="91"/>
    </row>
    <row r="271" spans="7:7" x14ac:dyDescent="0.55000000000000004">
      <c r="G271" s="91"/>
    </row>
    <row r="272" spans="7:7" x14ac:dyDescent="0.55000000000000004">
      <c r="G272" s="91"/>
    </row>
    <row r="273" spans="7:7" x14ac:dyDescent="0.55000000000000004">
      <c r="G273" s="91"/>
    </row>
    <row r="274" spans="7:7" x14ac:dyDescent="0.55000000000000004">
      <c r="G274" s="91"/>
    </row>
    <row r="275" spans="7:7" x14ac:dyDescent="0.55000000000000004">
      <c r="G275" s="91"/>
    </row>
    <row r="276" spans="7:7" x14ac:dyDescent="0.55000000000000004">
      <c r="G276" s="91"/>
    </row>
    <row r="277" spans="7:7" x14ac:dyDescent="0.55000000000000004">
      <c r="G277" s="91"/>
    </row>
    <row r="278" spans="7:7" x14ac:dyDescent="0.55000000000000004">
      <c r="G278" s="91"/>
    </row>
    <row r="279" spans="7:7" x14ac:dyDescent="0.55000000000000004">
      <c r="G279" s="91"/>
    </row>
    <row r="280" spans="7:7" x14ac:dyDescent="0.55000000000000004">
      <c r="G280" s="91"/>
    </row>
    <row r="281" spans="7:7" x14ac:dyDescent="0.55000000000000004">
      <c r="G281" s="91"/>
    </row>
    <row r="282" spans="7:7" x14ac:dyDescent="0.55000000000000004">
      <c r="G282" s="91"/>
    </row>
    <row r="283" spans="7:7" x14ac:dyDescent="0.55000000000000004">
      <c r="G283" s="91"/>
    </row>
    <row r="284" spans="7:7" x14ac:dyDescent="0.55000000000000004">
      <c r="G284" s="91"/>
    </row>
    <row r="285" spans="7:7" x14ac:dyDescent="0.55000000000000004">
      <c r="G285" s="91"/>
    </row>
    <row r="286" spans="7:7" x14ac:dyDescent="0.55000000000000004">
      <c r="G286" s="91"/>
    </row>
    <row r="287" spans="7:7" x14ac:dyDescent="0.55000000000000004">
      <c r="G287" s="91"/>
    </row>
  </sheetData>
  <mergeCells count="4">
    <mergeCell ref="G1:I2"/>
    <mergeCell ref="J2:L2"/>
    <mergeCell ref="M2:M3"/>
    <mergeCell ref="G3:I3"/>
  </mergeCells>
  <conditionalFormatting sqref="G72:G79 L71:M89 G84:K89 G4:M70">
    <cfRule type="expression" dxfId="723" priority="136">
      <formula>$G4="Célula Construtiva"</formula>
    </cfRule>
  </conditionalFormatting>
  <conditionalFormatting sqref="G72:G79">
    <cfRule type="expression" dxfId="722" priority="135">
      <formula>$G72="Serviço"</formula>
    </cfRule>
    <cfRule type="expression" dxfId="721" priority="138">
      <formula>$G72="Etapa"</formula>
    </cfRule>
  </conditionalFormatting>
  <conditionalFormatting sqref="G71:I71 H72:I72 L71:M89 G84:K89">
    <cfRule type="expression" dxfId="720" priority="32">
      <formula>$G71="Unidade Construtiva"</formula>
    </cfRule>
  </conditionalFormatting>
  <conditionalFormatting sqref="G71:I71 J71:M89 H72:I72 G80:I89">
    <cfRule type="expression" dxfId="719" priority="33">
      <formula>$G71="Etapa"</formula>
    </cfRule>
  </conditionalFormatting>
  <conditionalFormatting sqref="G4:M64 G65:I71 J65:M83 G80:I83 G84:M89">
    <cfRule type="expression" dxfId="718" priority="18">
      <formula>$G4="Serviço"</formula>
    </cfRule>
  </conditionalFormatting>
  <conditionalFormatting sqref="G4:M70 G72:G79">
    <cfRule type="expression" dxfId="717" priority="137">
      <formula>$G4="Unidade Construtiva"</formula>
    </cfRule>
  </conditionalFormatting>
  <conditionalFormatting sqref="G4:M70">
    <cfRule type="expression" dxfId="716" priority="124">
      <formula>$G4="Etapa"</formula>
    </cfRule>
  </conditionalFormatting>
  <conditionalFormatting sqref="H72:I72 G71:I71">
    <cfRule type="expression" dxfId="715" priority="31">
      <formula>$G71="Célula Construtiva"</formula>
    </cfRule>
  </conditionalFormatting>
  <conditionalFormatting sqref="H72:I72">
    <cfRule type="expression" dxfId="714" priority="30">
      <formula>$G72="Serviço"</formula>
    </cfRule>
  </conditionalFormatting>
  <conditionalFormatting sqref="H73:I79">
    <cfRule type="expression" dxfId="713" priority="22">
      <formula>$G73="Serviço"</formula>
    </cfRule>
  </conditionalFormatting>
  <conditionalFormatting sqref="H75:I79">
    <cfRule type="expression" dxfId="712" priority="23">
      <formula>$G75="Célula Construtiva"</formula>
    </cfRule>
    <cfRule type="expression" dxfId="711" priority="24">
      <formula>$G75="Unidade Construtiva"</formula>
    </cfRule>
    <cfRule type="expression" dxfId="710" priority="25">
      <formula>$G75="Etapa"</formula>
    </cfRule>
  </conditionalFormatting>
  <conditionalFormatting sqref="I72:I73">
    <cfRule type="expression" dxfId="709" priority="26">
      <formula>$G72="Serviço"</formula>
    </cfRule>
  </conditionalFormatting>
  <conditionalFormatting sqref="I72:I74 H73:H74">
    <cfRule type="expression" dxfId="708" priority="27">
      <formula>$G72="Célula Construtiva"</formula>
    </cfRule>
    <cfRule type="expression" dxfId="707" priority="28">
      <formula>$G72="Unidade Construtiva"</formula>
    </cfRule>
    <cfRule type="expression" dxfId="706" priority="29">
      <formula>$G72="Etapa"</formula>
    </cfRule>
  </conditionalFormatting>
  <conditionalFormatting sqref="J71:K83 G80:I83">
    <cfRule type="expression" dxfId="705" priority="132">
      <formula>$G71="Célula Construtiva"</formula>
    </cfRule>
    <cfRule type="expression" dxfId="704" priority="133">
      <formula>$G71="Unidade Construtiva"</formula>
    </cfRule>
  </conditionalFormatting>
  <dataValidations count="1">
    <dataValidation type="list" allowBlank="1" showInputMessage="1" showErrorMessage="1" sqref="G4:G89" xr:uid="{3B056118-6F81-4B7B-B385-EB890B38D701}">
      <formula1>"UNIDADE CONSTRUTIVA,CÉLULA CONSTRUTIVA,ETAPA,Subetapa,Serviço"</formula1>
    </dataValidation>
  </dataValidations>
  <pageMargins left="0.511811024" right="0.511811024" top="0.78740157499999996" bottom="0.78740157499999996" header="0.31496062000000002" footer="0.31496062000000002"/>
  <pageSetup paperSize="9" scale="51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B2816-2C57-4712-BC12-8DE1CCA12647}">
  <sheetPr codeName="Planilha3">
    <tabColor rgb="FF1851D6"/>
    <outlinePr summaryBelow="0" summaryRight="0"/>
    <pageSetUpPr fitToPage="1"/>
  </sheetPr>
  <dimension ref="A1:Q648"/>
  <sheetViews>
    <sheetView showGridLines="0" zoomScale="90" zoomScaleNormal="90" workbookViewId="0">
      <pane xSplit="9" ySplit="3" topLeftCell="J4" activePane="bottomRight" state="frozen"/>
      <selection activeCell="B1" sqref="B1:D3"/>
      <selection pane="topRight" activeCell="B1" sqref="B1:D3"/>
      <selection pane="bottomLeft" activeCell="B1" sqref="B1:D3"/>
      <selection pane="bottomRight" activeCell="I369" sqref="I369"/>
    </sheetView>
  </sheetViews>
  <sheetFormatPr defaultColWidth="8.85546875" defaultRowHeight="18.75" outlineLevelRow="1" x14ac:dyDescent="0.55000000000000004"/>
  <cols>
    <col min="1" max="1" width="7" style="89" hidden="1" customWidth="1"/>
    <col min="2" max="4" width="6.7109375" style="89" hidden="1" customWidth="1"/>
    <col min="5" max="5" width="6.7109375" style="90" hidden="1" customWidth="1"/>
    <col min="6" max="6" width="2" style="90" customWidth="1"/>
    <col min="7" max="7" width="22.140625" style="58" bestFit="1" customWidth="1"/>
    <col min="8" max="8" width="14.42578125" style="92" bestFit="1" customWidth="1"/>
    <col min="9" max="9" width="68" style="58" customWidth="1"/>
    <col min="10" max="10" width="13.140625" style="99" customWidth="1"/>
    <col min="11" max="11" width="10.42578125" style="99" bestFit="1" customWidth="1"/>
    <col min="12" max="12" width="22" style="122" bestFit="1" customWidth="1"/>
    <col min="13" max="13" width="60.28515625" style="58" customWidth="1"/>
    <col min="14" max="14" width="9.140625" style="58" customWidth="1"/>
    <col min="15" max="16" width="8.85546875" style="59"/>
    <col min="17" max="17" width="53" style="59" customWidth="1"/>
    <col min="18" max="16384" width="8.85546875" style="59"/>
  </cols>
  <sheetData>
    <row r="1" spans="1:16" s="58" customFormat="1" ht="21.75" customHeight="1" thickBot="1" x14ac:dyDescent="0.6">
      <c r="A1" s="55"/>
      <c r="B1" s="55"/>
      <c r="C1" s="55"/>
      <c r="D1" s="55"/>
      <c r="E1" s="55"/>
      <c r="F1" s="56"/>
      <c r="G1" s="177" t="s">
        <v>654</v>
      </c>
      <c r="H1" s="178"/>
      <c r="I1" s="179"/>
      <c r="J1" s="93"/>
      <c r="K1" s="93"/>
      <c r="L1" s="109"/>
      <c r="M1" s="57"/>
    </row>
    <row r="2" spans="1:16" s="58" customFormat="1" ht="21.75" customHeight="1" x14ac:dyDescent="0.55000000000000004">
      <c r="A2" s="55"/>
      <c r="B2" s="55"/>
      <c r="C2" s="55"/>
      <c r="D2" s="55"/>
      <c r="E2" s="55"/>
      <c r="F2" s="56"/>
      <c r="G2" s="180"/>
      <c r="H2" s="181"/>
      <c r="I2" s="182"/>
      <c r="J2" s="183" t="s">
        <v>169</v>
      </c>
      <c r="K2" s="184"/>
      <c r="L2" s="185"/>
      <c r="M2" s="193" t="s">
        <v>171</v>
      </c>
      <c r="P2" s="59" t="s">
        <v>165</v>
      </c>
    </row>
    <row r="3" spans="1:16" s="58" customFormat="1" ht="21.75" customHeight="1" thickBot="1" x14ac:dyDescent="0.6">
      <c r="A3" s="55" t="s">
        <v>150</v>
      </c>
      <c r="B3" s="55" t="s">
        <v>151</v>
      </c>
      <c r="C3" s="55" t="s">
        <v>152</v>
      </c>
      <c r="D3" s="55" t="s">
        <v>153</v>
      </c>
      <c r="E3" s="55" t="s">
        <v>154</v>
      </c>
      <c r="F3" s="56"/>
      <c r="G3" s="188" t="s">
        <v>240</v>
      </c>
      <c r="H3" s="189"/>
      <c r="I3" s="190"/>
      <c r="J3" s="60" t="s">
        <v>166</v>
      </c>
      <c r="K3" s="61" t="s">
        <v>167</v>
      </c>
      <c r="L3" s="62" t="s">
        <v>168</v>
      </c>
      <c r="M3" s="194"/>
    </row>
    <row r="4" spans="1:16" ht="20.45" customHeight="1" x14ac:dyDescent="0.55000000000000004">
      <c r="A4" s="63">
        <f>IF($G4="UNIDADE CONSTRUTIVA",2,LARGE(A$3:A3,1))</f>
        <v>2</v>
      </c>
      <c r="B4" s="63">
        <f ca="1">IF(G4="UNIDADE CONSTRUTIVA",0,IF(G4="CÉLULA CONSTRUTIVA",OFFSET(B4,-1,0)+1,OFFSET(B4,-1,0)))</f>
        <v>0</v>
      </c>
      <c r="C4" s="63" t="str">
        <f ca="1">IF(G4="CÉLULA CONSTRUTIVA",0,IF(G4="ETAPA",OFFSET(C4,-1,0)+1,OFFSET(C4,-1,0)))</f>
        <v>Etapa</v>
      </c>
      <c r="D4" s="64" t="str">
        <f ca="1">IF(G4="ETAPA",0,IF(G4="SUBETAPA",OFFSET(D4,-1,0)+1,OFFSET(D4,-1,0)))</f>
        <v>Subetapa</v>
      </c>
      <c r="E4" s="64" t="str">
        <f ca="1">IF(G4="Subetapa",0,IF(G4="serviço",OFFSET(E4,-1,0)+1,OFFSET(E4,-1,0)))</f>
        <v>Serviço</v>
      </c>
      <c r="F4" s="65"/>
      <c r="G4" s="66" t="s">
        <v>155</v>
      </c>
      <c r="H4" s="67" t="str">
        <f t="shared" ref="H4:H5" si="0">IF(G4="Unidade Construtiva",TEXT(A4,"00"),IF(G4="Célula Construtiva",TEXT(B4,"00"),IF(G4="Etapa",CONCATENATE(TEXT(B4,"00"),".",TEXT(C4,"000")),IF(G4="Subetapa",CONCATENATE(TEXT(B4,"00"),".",TEXT(C4,"000"),".",TEXT(D4,"000")),IF(G4="Serviço",CONCATENATE(TEXT(B4,"00"),".",TEXT(C4,"000"),".",TEXT(D4,"000"),".",TEXT(E4,"000")),"")))))</f>
        <v>02</v>
      </c>
      <c r="I4" s="77" t="s">
        <v>25</v>
      </c>
      <c r="J4" s="105"/>
      <c r="K4" s="123"/>
      <c r="L4" s="124">
        <f>L5+L22+L40+L54+L74+L108+L131+L154++L168+L180+L191+L210+L225+L249+L264+L303+L322+L369+L380+L398+L428</f>
        <v>41673467.005966276</v>
      </c>
      <c r="M4" s="78"/>
      <c r="N4" s="70"/>
    </row>
    <row r="5" spans="1:16" ht="20.45" customHeight="1" x14ac:dyDescent="0.55000000000000004">
      <c r="A5" s="63">
        <f ca="1">IF($G5="UNIDADE CONSTRUTIVA",OFFSET(A5,0,0)+1,LARGE(A$3:A4,1))</f>
        <v>2</v>
      </c>
      <c r="B5" s="63">
        <f t="shared" ref="B5" ca="1" si="1">IF(G5="UNIDADE CONSTRUTIVA",0,IF(G5="CÉLULA CONSTRUTIVA",OFFSET(B5,-1,0)+1,OFFSET(B5,-1,0)))</f>
        <v>1</v>
      </c>
      <c r="C5" s="63">
        <f t="shared" ref="C5" ca="1" si="2">IF(G5="CÉLULA CONSTRUTIVA",0,IF(G5="ETAPA",OFFSET(C5,-1,0)+1,OFFSET(C5,-1,0)))</f>
        <v>0</v>
      </c>
      <c r="D5" s="64" t="str">
        <f t="shared" ref="D5" ca="1" si="3">IF(G5="ETAPA",0,IF(G5="SUBETAPA",OFFSET(D5,-1,0)+1,OFFSET(D5,-1,0)))</f>
        <v>Subetapa</v>
      </c>
      <c r="E5" s="64" t="str">
        <f t="shared" ref="E5" ca="1" si="4">IF(G5="Subetapa",0,IF(G5="serviço",OFFSET(E5,-1,0)+1,OFFSET(E5,-1,0)))</f>
        <v>Serviço</v>
      </c>
      <c r="F5" s="65"/>
      <c r="G5" s="71" t="s">
        <v>156</v>
      </c>
      <c r="H5" s="67" t="str">
        <f t="shared" ca="1" si="0"/>
        <v>01</v>
      </c>
      <c r="I5" s="72" t="s">
        <v>26</v>
      </c>
      <c r="J5" s="95"/>
      <c r="K5" s="125"/>
      <c r="L5" s="113">
        <f>L6</f>
        <v>137245.95486800003</v>
      </c>
      <c r="M5" s="72"/>
    </row>
    <row r="6" spans="1:16" ht="20.45" customHeight="1" outlineLevel="1" x14ac:dyDescent="0.55000000000000004">
      <c r="A6" s="63">
        <f ca="1">IF($G6="UNIDADE CONSTRUTIVA",OFFSET(A6,0,0)+1,LARGE(A$3:A5,1))</f>
        <v>2</v>
      </c>
      <c r="B6" s="63">
        <f t="shared" ref="B6:B40" ca="1" si="5">IF(G6="UNIDADE CONSTRUTIVA",0,IF(G6="CÉLULA CONSTRUTIVA",OFFSET(B6,-1,0)+1,OFFSET(B6,-1,0)))</f>
        <v>1</v>
      </c>
      <c r="C6" s="63">
        <f t="shared" ref="C6:C40" ca="1" si="6">IF(G6="CÉLULA CONSTRUTIVA",0,IF(G6="ETAPA",OFFSET(C6,-1,0)+1,OFFSET(C6,-1,0)))</f>
        <v>1</v>
      </c>
      <c r="D6" s="64">
        <f t="shared" ref="D6:D40" ca="1" si="7">IF(G6="ETAPA",0,IF(G6="SUBETAPA",OFFSET(D6,-1,0)+1,OFFSET(D6,-1,0)))</f>
        <v>0</v>
      </c>
      <c r="E6" s="64" t="str">
        <f t="shared" ref="E6:E40" ca="1" si="8">IF(G6="Subetapa",0,IF(G6="serviço",OFFSET(E6,-1,0)+1,OFFSET(E6,-1,0)))</f>
        <v>Serviço</v>
      </c>
      <c r="F6" s="65"/>
      <c r="G6" s="71" t="s">
        <v>157</v>
      </c>
      <c r="H6" s="67" t="str">
        <f t="shared" ref="H6:H74" ca="1" si="9">IF(G6="Unidade Construtiva",TEXT(A6,"00"),IF(G6="Célula Construtiva",TEXT(B6,"00"),IF(G6="Etapa",CONCATENATE(TEXT(B6,"00"),".",TEXT(C6,"000")),IF(G6="Subetapa",CONCATENATE(TEXT(B6,"00"),".",TEXT(C6,"000"),".",TEXT(D6,"000")),IF(G6="Serviço",CONCATENATE(TEXT(B6,"00"),".",TEXT(C6,"000"),".",TEXT(D6,"000"),".",TEXT(E6,"000")),"")))))</f>
        <v>01.001</v>
      </c>
      <c r="I6" s="72" t="s">
        <v>26</v>
      </c>
      <c r="J6" s="95"/>
      <c r="K6" s="125"/>
      <c r="L6" s="126">
        <f>SUM(L7:L20)/2</f>
        <v>137245.95486800003</v>
      </c>
      <c r="M6" s="72"/>
    </row>
    <row r="7" spans="1:16" ht="20.45" customHeight="1" outlineLevel="1" x14ac:dyDescent="0.55000000000000004">
      <c r="A7" s="63">
        <f ca="1">IF($G7="UNIDADE CONSTRUTIVA",OFFSET(A7,0,0)+1,LARGE(A$3:A6,1))</f>
        <v>2</v>
      </c>
      <c r="B7" s="63">
        <f t="shared" ca="1" si="5"/>
        <v>1</v>
      </c>
      <c r="C7" s="63">
        <f t="shared" ca="1" si="6"/>
        <v>1</v>
      </c>
      <c r="D7" s="64">
        <f t="shared" ca="1" si="7"/>
        <v>1</v>
      </c>
      <c r="E7" s="64">
        <f t="shared" ca="1" si="8"/>
        <v>0</v>
      </c>
      <c r="F7" s="65"/>
      <c r="G7" s="73" t="s">
        <v>153</v>
      </c>
      <c r="H7" s="67" t="str">
        <f t="shared" ca="1" si="9"/>
        <v>01.001.001</v>
      </c>
      <c r="I7" s="74" t="s">
        <v>27</v>
      </c>
      <c r="J7" s="96"/>
      <c r="K7" s="127"/>
      <c r="L7" s="115">
        <f>SUM(L8:L9)</f>
        <v>2035.5964200000003</v>
      </c>
      <c r="M7" s="74"/>
    </row>
    <row r="8" spans="1:16" ht="20.45" customHeight="1" outlineLevel="1" x14ac:dyDescent="0.55000000000000004">
      <c r="A8" s="63">
        <f ca="1">IF($G8="UNIDADE CONSTRUTIVA",OFFSET(A8,0,0)+1,LARGE(A$3:A7,1))</f>
        <v>2</v>
      </c>
      <c r="B8" s="63">
        <f t="shared" ca="1" si="5"/>
        <v>1</v>
      </c>
      <c r="C8" s="63">
        <f t="shared" ca="1" si="6"/>
        <v>1</v>
      </c>
      <c r="D8" s="64">
        <f t="shared" ca="1" si="7"/>
        <v>1</v>
      </c>
      <c r="E8" s="64">
        <f t="shared" ca="1" si="8"/>
        <v>1</v>
      </c>
      <c r="F8" s="65"/>
      <c r="G8" s="73" t="s">
        <v>154</v>
      </c>
      <c r="H8" s="67" t="str">
        <f t="shared" ref="H8:H11" ca="1" si="10">IF(G8="Unidade Construtiva",TEXT(A8,"00"),IF(G8="Célula Construtiva",TEXT(B8,"00"),IF(G8="Etapa",CONCATENATE(TEXT(B8,"00"),".",TEXT(C8,"000")),IF(G8="Subetapa",CONCATENATE(TEXT(B8,"00"),".",TEXT(C8,"000"),".",TEXT(D8,"000")),IF(G8="Serviço",CONCATENATE(TEXT(B8,"00"),".",TEXT(C8,"000"),".",TEXT(D8,"000"),".",TEXT(E8,"000")),"")))))</f>
        <v>01.001.001.001</v>
      </c>
      <c r="I8" s="74" t="s">
        <v>172</v>
      </c>
      <c r="J8" s="96"/>
      <c r="K8" s="127"/>
      <c r="L8" s="115"/>
      <c r="M8" s="74"/>
    </row>
    <row r="9" spans="1:16" ht="37.5" outlineLevel="1" x14ac:dyDescent="0.55000000000000004">
      <c r="A9" s="63">
        <f ca="1">IF($G9="UNIDADE CONSTRUTIVA",OFFSET(A9,0,0)+1,LARGE(A$3:A8,1))</f>
        <v>2</v>
      </c>
      <c r="B9" s="63">
        <f t="shared" ca="1" si="5"/>
        <v>1</v>
      </c>
      <c r="C9" s="63">
        <f t="shared" ca="1" si="6"/>
        <v>1</v>
      </c>
      <c r="D9" s="64">
        <f t="shared" ca="1" si="7"/>
        <v>1</v>
      </c>
      <c r="E9" s="64">
        <f t="shared" ca="1" si="8"/>
        <v>2</v>
      </c>
      <c r="F9" s="65"/>
      <c r="G9" s="73" t="s">
        <v>154</v>
      </c>
      <c r="H9" s="67" t="str">
        <f t="shared" ca="1" si="10"/>
        <v>01.001.001.002</v>
      </c>
      <c r="I9" s="74" t="s">
        <v>432</v>
      </c>
      <c r="J9" s="96">
        <v>203.58</v>
      </c>
      <c r="K9" s="127" t="s">
        <v>180</v>
      </c>
      <c r="L9" s="115">
        <v>2035.5964200000003</v>
      </c>
      <c r="M9" s="74" t="s">
        <v>434</v>
      </c>
    </row>
    <row r="10" spans="1:16" ht="20.45" customHeight="1" outlineLevel="1" x14ac:dyDescent="0.55000000000000004">
      <c r="A10" s="63">
        <f ca="1">IF($G10="UNIDADE CONSTRUTIVA",OFFSET(A10,0,0)+1,LARGE(A$3:A9,1))</f>
        <v>2</v>
      </c>
      <c r="B10" s="63">
        <f t="shared" ca="1" si="5"/>
        <v>1</v>
      </c>
      <c r="C10" s="63">
        <f t="shared" ca="1" si="6"/>
        <v>1</v>
      </c>
      <c r="D10" s="64">
        <f t="shared" ca="1" si="7"/>
        <v>2</v>
      </c>
      <c r="E10" s="64">
        <f t="shared" ca="1" si="8"/>
        <v>0</v>
      </c>
      <c r="F10" s="65"/>
      <c r="G10" s="73" t="s">
        <v>153</v>
      </c>
      <c r="H10" s="67" t="str">
        <f t="shared" ca="1" si="10"/>
        <v>01.001.002</v>
      </c>
      <c r="I10" s="74" t="s">
        <v>28</v>
      </c>
      <c r="J10" s="96"/>
      <c r="K10" s="127"/>
      <c r="L10" s="115">
        <f>SUM(L11)</f>
        <v>0</v>
      </c>
      <c r="M10" s="74"/>
    </row>
    <row r="11" spans="1:16" ht="20.45" customHeight="1" outlineLevel="1" x14ac:dyDescent="0.55000000000000004">
      <c r="A11" s="63">
        <f ca="1">IF($G11="UNIDADE CONSTRUTIVA",OFFSET(A11,0,0)+1,LARGE(A$3:A10,1))</f>
        <v>2</v>
      </c>
      <c r="B11" s="63">
        <f t="shared" ca="1" si="5"/>
        <v>1</v>
      </c>
      <c r="C11" s="63">
        <f t="shared" ca="1" si="6"/>
        <v>1</v>
      </c>
      <c r="D11" s="64">
        <f t="shared" ca="1" si="7"/>
        <v>2</v>
      </c>
      <c r="E11" s="64">
        <f t="shared" ca="1" si="8"/>
        <v>1</v>
      </c>
      <c r="F11" s="65"/>
      <c r="G11" s="73" t="s">
        <v>154</v>
      </c>
      <c r="H11" s="67" t="str">
        <f t="shared" ca="1" si="10"/>
        <v>01.001.002.001</v>
      </c>
      <c r="I11" s="74" t="s">
        <v>28</v>
      </c>
      <c r="J11" s="96"/>
      <c r="K11" s="127"/>
      <c r="L11" s="115"/>
      <c r="M11" s="74"/>
    </row>
    <row r="12" spans="1:16" ht="20.45" customHeight="1" outlineLevel="1" x14ac:dyDescent="0.55000000000000004">
      <c r="A12" s="63">
        <f ca="1">IF($G12="UNIDADE CONSTRUTIVA",OFFSET(A12,0,0)+1,LARGE(A$3:A10,1))</f>
        <v>2</v>
      </c>
      <c r="B12" s="63">
        <f t="shared" ca="1" si="5"/>
        <v>1</v>
      </c>
      <c r="C12" s="63">
        <f t="shared" ca="1" si="6"/>
        <v>1</v>
      </c>
      <c r="D12" s="64">
        <f t="shared" ca="1" si="7"/>
        <v>3</v>
      </c>
      <c r="E12" s="64">
        <f t="shared" ca="1" si="8"/>
        <v>0</v>
      </c>
      <c r="F12" s="65"/>
      <c r="G12" s="73" t="s">
        <v>153</v>
      </c>
      <c r="H12" s="67" t="str">
        <f t="shared" ca="1" si="9"/>
        <v>01.001.003</v>
      </c>
      <c r="I12" s="74" t="s">
        <v>29</v>
      </c>
      <c r="J12" s="96"/>
      <c r="K12" s="127"/>
      <c r="L12" s="115">
        <f>SUM(L13:L14)</f>
        <v>35418.740643000012</v>
      </c>
      <c r="M12" s="74"/>
    </row>
    <row r="13" spans="1:16" ht="20.45" customHeight="1" outlineLevel="1" x14ac:dyDescent="0.55000000000000004">
      <c r="A13" s="63">
        <f ca="1">IF($G13="UNIDADE CONSTRUTIVA",OFFSET(A13,0,0)+1,LARGE(A$3:A11,1))</f>
        <v>2</v>
      </c>
      <c r="B13" s="63">
        <f t="shared" ca="1" si="5"/>
        <v>1</v>
      </c>
      <c r="C13" s="63">
        <f t="shared" ca="1" si="6"/>
        <v>1</v>
      </c>
      <c r="D13" s="64">
        <f t="shared" ca="1" si="7"/>
        <v>3</v>
      </c>
      <c r="E13" s="64">
        <f t="shared" ca="1" si="8"/>
        <v>1</v>
      </c>
      <c r="F13" s="65"/>
      <c r="G13" s="73" t="s">
        <v>154</v>
      </c>
      <c r="H13" s="67" t="str">
        <f t="shared" ref="H13:H14" ca="1" si="11">IF(G13="Unidade Construtiva",TEXT(A13,"00"),IF(G13="Célula Construtiva",TEXT(B13,"00"),IF(G13="Etapa",CONCATENATE(TEXT(B13,"00"),".",TEXT(C13,"000")),IF(G13="Subetapa",CONCATENATE(TEXT(B13,"00"),".",TEXT(C13,"000"),".",TEXT(D13,"000")),IF(G13="Serviço",CONCATENATE(TEXT(B13,"00"),".",TEXT(C13,"000"),".",TEXT(D13,"000"),".",TEXT(E13,"000")),"")))))</f>
        <v>01.001.003.001</v>
      </c>
      <c r="I13" s="74" t="s">
        <v>173</v>
      </c>
      <c r="J13" s="96">
        <v>810.6930000000001</v>
      </c>
      <c r="K13" s="127" t="s">
        <v>180</v>
      </c>
      <c r="L13" s="115">
        <v>32424.477228000007</v>
      </c>
      <c r="M13" s="74"/>
    </row>
    <row r="14" spans="1:16" outlineLevel="1" x14ac:dyDescent="0.55000000000000004">
      <c r="A14" s="63">
        <f ca="1">IF($G14="UNIDADE CONSTRUTIVA",OFFSET(A14,0,0)+1,LARGE(A$3:A12,1))</f>
        <v>2</v>
      </c>
      <c r="B14" s="63">
        <f t="shared" ca="1" si="5"/>
        <v>1</v>
      </c>
      <c r="C14" s="63">
        <f t="shared" ca="1" si="6"/>
        <v>1</v>
      </c>
      <c r="D14" s="64">
        <f t="shared" ca="1" si="7"/>
        <v>3</v>
      </c>
      <c r="E14" s="64">
        <f t="shared" ca="1" si="8"/>
        <v>2</v>
      </c>
      <c r="F14" s="65"/>
      <c r="G14" s="73" t="s">
        <v>154</v>
      </c>
      <c r="H14" s="67" t="str">
        <f t="shared" ca="1" si="11"/>
        <v>01.001.003.002</v>
      </c>
      <c r="I14" s="74" t="s">
        <v>174</v>
      </c>
      <c r="J14" s="96">
        <v>187.08300000000008</v>
      </c>
      <c r="K14" s="127" t="s">
        <v>180</v>
      </c>
      <c r="L14" s="115">
        <v>2994.2634150000022</v>
      </c>
      <c r="M14" s="74"/>
    </row>
    <row r="15" spans="1:16" ht="20.45" customHeight="1" outlineLevel="1" x14ac:dyDescent="0.55000000000000004">
      <c r="A15" s="63">
        <f ca="1">IF($G15="UNIDADE CONSTRUTIVA",OFFSET(A15,0,0)+1,LARGE(A$3:A12,1))</f>
        <v>2</v>
      </c>
      <c r="B15" s="63">
        <f t="shared" ca="1" si="5"/>
        <v>1</v>
      </c>
      <c r="C15" s="63">
        <f t="shared" ca="1" si="6"/>
        <v>1</v>
      </c>
      <c r="D15" s="64">
        <f t="shared" ca="1" si="7"/>
        <v>4</v>
      </c>
      <c r="E15" s="64">
        <f t="shared" ca="1" si="8"/>
        <v>0</v>
      </c>
      <c r="F15" s="65"/>
      <c r="G15" s="73" t="s">
        <v>153</v>
      </c>
      <c r="H15" s="67" t="str">
        <f t="shared" ca="1" si="9"/>
        <v>01.001.004</v>
      </c>
      <c r="I15" s="74" t="s">
        <v>30</v>
      </c>
      <c r="J15" s="96"/>
      <c r="K15" s="127"/>
      <c r="L15" s="115">
        <f>SUM(L16:L17)</f>
        <v>72492.398000000016</v>
      </c>
      <c r="M15" s="74"/>
    </row>
    <row r="16" spans="1:16" ht="20.45" customHeight="1" outlineLevel="1" x14ac:dyDescent="0.55000000000000004">
      <c r="A16" s="63">
        <f ca="1">IF($G16="UNIDADE CONSTRUTIVA",OFFSET(A16,0,0)+1,LARGE(A$3:A13,1))</f>
        <v>2</v>
      </c>
      <c r="B16" s="63">
        <f t="shared" ca="1" si="5"/>
        <v>1</v>
      </c>
      <c r="C16" s="63">
        <f t="shared" ca="1" si="6"/>
        <v>1</v>
      </c>
      <c r="D16" s="64">
        <f t="shared" ca="1" si="7"/>
        <v>4</v>
      </c>
      <c r="E16" s="64">
        <f t="shared" ca="1" si="8"/>
        <v>1</v>
      </c>
      <c r="F16" s="65"/>
      <c r="G16" s="73" t="s">
        <v>154</v>
      </c>
      <c r="H16" s="67" t="str">
        <f t="shared" ref="H16:H17" ca="1" si="12">IF(G16="Unidade Construtiva",TEXT(A16,"00"),IF(G16="Célula Construtiva",TEXT(B16,"00"),IF(G16="Etapa",CONCATENATE(TEXT(B16,"00"),".",TEXT(C16,"000")),IF(G16="Subetapa",CONCATENATE(TEXT(B16,"00"),".",TEXT(C16,"000"),".",TEXT(D16,"000")),IF(G16="Serviço",CONCATENATE(TEXT(B16,"00"),".",TEXT(C16,"000"),".",TEXT(D16,"000"),".",TEXT(E16,"000")),"")))))</f>
        <v>01.001.004.001</v>
      </c>
      <c r="I16" s="74" t="s">
        <v>175</v>
      </c>
      <c r="J16" s="96">
        <v>3562.2800000000007</v>
      </c>
      <c r="K16" s="127" t="s">
        <v>180</v>
      </c>
      <c r="L16" s="115">
        <v>72492.398000000016</v>
      </c>
      <c r="M16" s="74"/>
    </row>
    <row r="17" spans="1:13" ht="20.45" customHeight="1" outlineLevel="1" x14ac:dyDescent="0.55000000000000004">
      <c r="A17" s="63">
        <f ca="1">IF($G17="UNIDADE CONSTRUTIVA",OFFSET(A17,0,0)+1,LARGE(A$3:A14,1))</f>
        <v>2</v>
      </c>
      <c r="B17" s="63">
        <f t="shared" ca="1" si="5"/>
        <v>1</v>
      </c>
      <c r="C17" s="63">
        <f t="shared" ca="1" si="6"/>
        <v>1</v>
      </c>
      <c r="D17" s="64">
        <f t="shared" ca="1" si="7"/>
        <v>4</v>
      </c>
      <c r="E17" s="64">
        <f t="shared" ca="1" si="8"/>
        <v>2</v>
      </c>
      <c r="F17" s="65"/>
      <c r="G17" s="73" t="s">
        <v>154</v>
      </c>
      <c r="H17" s="67" t="str">
        <f t="shared" ca="1" si="12"/>
        <v>01.001.004.002</v>
      </c>
      <c r="I17" s="74" t="s">
        <v>176</v>
      </c>
      <c r="J17" s="96"/>
      <c r="K17" s="127"/>
      <c r="L17" s="115"/>
      <c r="M17" s="74"/>
    </row>
    <row r="18" spans="1:13" ht="20.45" customHeight="1" outlineLevel="1" x14ac:dyDescent="0.55000000000000004">
      <c r="A18" s="63">
        <f ca="1">IF($G18="UNIDADE CONSTRUTIVA",OFFSET(A18,0,0)+1,LARGE(A$3:A15,1))</f>
        <v>2</v>
      </c>
      <c r="B18" s="63">
        <f t="shared" ca="1" si="5"/>
        <v>1</v>
      </c>
      <c r="C18" s="63">
        <f t="shared" ca="1" si="6"/>
        <v>1</v>
      </c>
      <c r="D18" s="64">
        <f t="shared" ca="1" si="7"/>
        <v>5</v>
      </c>
      <c r="E18" s="64">
        <f t="shared" ca="1" si="8"/>
        <v>0</v>
      </c>
      <c r="F18" s="65"/>
      <c r="G18" s="73" t="s">
        <v>153</v>
      </c>
      <c r="H18" s="67" t="str">
        <f t="shared" ca="1" si="9"/>
        <v>01.001.005</v>
      </c>
      <c r="I18" s="74" t="s">
        <v>31</v>
      </c>
      <c r="J18" s="96"/>
      <c r="K18" s="127"/>
      <c r="L18" s="115">
        <f>SUM(L19:L21)</f>
        <v>27299.219805000004</v>
      </c>
      <c r="M18" s="74"/>
    </row>
    <row r="19" spans="1:13" ht="20.45" customHeight="1" outlineLevel="1" x14ac:dyDescent="0.55000000000000004">
      <c r="A19" s="63">
        <f ca="1">IF($G19="UNIDADE CONSTRUTIVA",OFFSET(A19,0,0)+1,LARGE(A$3:A16,1))</f>
        <v>2</v>
      </c>
      <c r="B19" s="63">
        <f t="shared" ca="1" si="5"/>
        <v>1</v>
      </c>
      <c r="C19" s="63">
        <f t="shared" ca="1" si="6"/>
        <v>1</v>
      </c>
      <c r="D19" s="64">
        <f t="shared" ca="1" si="7"/>
        <v>5</v>
      </c>
      <c r="E19" s="64">
        <f t="shared" ca="1" si="8"/>
        <v>1</v>
      </c>
      <c r="F19" s="65"/>
      <c r="G19" s="73" t="s">
        <v>154</v>
      </c>
      <c r="H19" s="67" t="str">
        <f t="shared" ref="H19:H20" ca="1" si="13">IF(G19="Unidade Construtiva",TEXT(A19,"00"),IF(G19="Célula Construtiva",TEXT(B19,"00"),IF(G19="Etapa",CONCATENATE(TEXT(B19,"00"),".",TEXT(C19,"000")),IF(G19="Subetapa",CONCATENATE(TEXT(B19,"00"),".",TEXT(C19,"000"),".",TEXT(D19,"000")),IF(G19="Serviço",CONCATENATE(TEXT(B19,"00"),".",TEXT(C19,"000"),".",TEXT(D19,"000"),".",TEXT(E19,"000")),"")))))</f>
        <v>01.001.005.001</v>
      </c>
      <c r="I19" s="74" t="s">
        <v>177</v>
      </c>
      <c r="J19" s="96"/>
      <c r="K19" s="127"/>
      <c r="L19" s="115"/>
      <c r="M19" s="74"/>
    </row>
    <row r="20" spans="1:13" outlineLevel="1" x14ac:dyDescent="0.55000000000000004">
      <c r="A20" s="63">
        <f ca="1">IF($G20="UNIDADE CONSTRUTIVA",OFFSET(A20,0,0)+1,LARGE(A$3:A17,1))</f>
        <v>2</v>
      </c>
      <c r="B20" s="63">
        <f t="shared" ca="1" si="5"/>
        <v>1</v>
      </c>
      <c r="C20" s="63">
        <f t="shared" ca="1" si="6"/>
        <v>1</v>
      </c>
      <c r="D20" s="64">
        <f t="shared" ca="1" si="7"/>
        <v>5</v>
      </c>
      <c r="E20" s="64">
        <f t="shared" ca="1" si="8"/>
        <v>2</v>
      </c>
      <c r="F20" s="65"/>
      <c r="G20" s="73" t="s">
        <v>154</v>
      </c>
      <c r="H20" s="67" t="str">
        <f t="shared" ca="1" si="13"/>
        <v>01.001.005.002</v>
      </c>
      <c r="I20" s="74" t="s">
        <v>178</v>
      </c>
      <c r="J20" s="96">
        <v>546.03899999999999</v>
      </c>
      <c r="K20" s="127" t="s">
        <v>180</v>
      </c>
      <c r="L20" s="115">
        <v>27299.219805000004</v>
      </c>
      <c r="M20" s="74" t="s">
        <v>433</v>
      </c>
    </row>
    <row r="21" spans="1:13" ht="20.45" customHeight="1" outlineLevel="1" x14ac:dyDescent="0.55000000000000004">
      <c r="A21" s="63">
        <f ca="1">IF($G21="UNIDADE CONSTRUTIVA",OFFSET(A21,0,0)+1,LARGE(A$3:A18,1))</f>
        <v>2</v>
      </c>
      <c r="B21" s="63">
        <f t="shared" ca="1" si="5"/>
        <v>1</v>
      </c>
      <c r="C21" s="63">
        <f t="shared" ca="1" si="6"/>
        <v>1</v>
      </c>
      <c r="D21" s="64">
        <f t="shared" ca="1" si="7"/>
        <v>5</v>
      </c>
      <c r="E21" s="64">
        <f t="shared" ca="1" si="8"/>
        <v>3</v>
      </c>
      <c r="F21" s="65"/>
      <c r="G21" s="73" t="s">
        <v>154</v>
      </c>
      <c r="H21" s="67" t="str">
        <f t="shared" ref="H21" ca="1" si="14">IF(G21="Unidade Construtiva",TEXT(A21,"00"),IF(G21="Célula Construtiva",TEXT(B21,"00"),IF(G21="Etapa",CONCATENATE(TEXT(B21,"00"),".",TEXT(C21,"000")),IF(G21="Subetapa",CONCATENATE(TEXT(B21,"00"),".",TEXT(C21,"000"),".",TEXT(D21,"000")),IF(G21="Serviço",CONCATENATE(TEXT(B21,"00"),".",TEXT(C21,"000"),".",TEXT(D21,"000"),".",TEXT(E21,"000")),"")))))</f>
        <v>01.001.005.003</v>
      </c>
      <c r="I21" s="74" t="s">
        <v>179</v>
      </c>
      <c r="J21" s="96"/>
      <c r="K21" s="127"/>
      <c r="L21" s="115"/>
      <c r="M21" s="74"/>
    </row>
    <row r="22" spans="1:13" ht="20.45" customHeight="1" x14ac:dyDescent="0.55000000000000004">
      <c r="A22" s="63">
        <f ca="1">IF($G22="UNIDADE CONSTRUTIVA",OFFSET(A22,0,0)+1,LARGE(A$3:A18,1))</f>
        <v>2</v>
      </c>
      <c r="B22" s="63">
        <f t="shared" ca="1" si="5"/>
        <v>2</v>
      </c>
      <c r="C22" s="63">
        <f t="shared" ca="1" si="6"/>
        <v>0</v>
      </c>
      <c r="D22" s="64">
        <f t="shared" ca="1" si="7"/>
        <v>5</v>
      </c>
      <c r="E22" s="64">
        <f t="shared" ca="1" si="8"/>
        <v>3</v>
      </c>
      <c r="F22" s="65"/>
      <c r="G22" s="71" t="s">
        <v>156</v>
      </c>
      <c r="H22" s="67" t="str">
        <f t="shared" ca="1" si="9"/>
        <v>02</v>
      </c>
      <c r="I22" s="72" t="s">
        <v>32</v>
      </c>
      <c r="J22" s="95"/>
      <c r="K22" s="125"/>
      <c r="L22" s="113">
        <f>L23+L31</f>
        <v>2200957.6281000003</v>
      </c>
      <c r="M22" s="72"/>
    </row>
    <row r="23" spans="1:13" ht="20.45" customHeight="1" outlineLevel="1" x14ac:dyDescent="0.55000000000000004">
      <c r="A23" s="63">
        <f ca="1">IF($G23="UNIDADE CONSTRUTIVA",OFFSET(A23,0,0)+1,LARGE(A$3:A22,1))</f>
        <v>2</v>
      </c>
      <c r="B23" s="63">
        <f t="shared" ca="1" si="5"/>
        <v>2</v>
      </c>
      <c r="C23" s="63">
        <f t="shared" ca="1" si="6"/>
        <v>1</v>
      </c>
      <c r="D23" s="64">
        <f t="shared" ca="1" si="7"/>
        <v>0</v>
      </c>
      <c r="E23" s="64">
        <f t="shared" ca="1" si="8"/>
        <v>3</v>
      </c>
      <c r="F23" s="65"/>
      <c r="G23" s="71" t="s">
        <v>157</v>
      </c>
      <c r="H23" s="67" t="str">
        <f t="shared" ca="1" si="9"/>
        <v>02.001</v>
      </c>
      <c r="I23" s="72" t="s">
        <v>33</v>
      </c>
      <c r="J23" s="95"/>
      <c r="K23" s="125"/>
      <c r="L23" s="126">
        <f>SUM(L24:L30)/2</f>
        <v>749943.12800000014</v>
      </c>
      <c r="M23" s="72"/>
    </row>
    <row r="24" spans="1:13" ht="20.45" customHeight="1" outlineLevel="1" x14ac:dyDescent="0.55000000000000004">
      <c r="A24" s="63">
        <f ca="1">IF($G24="UNIDADE CONSTRUTIVA",OFFSET(A24,0,0)+1,LARGE(A$3:A23,1))</f>
        <v>2</v>
      </c>
      <c r="B24" s="63">
        <f t="shared" ca="1" si="5"/>
        <v>2</v>
      </c>
      <c r="C24" s="63">
        <f t="shared" ca="1" si="6"/>
        <v>1</v>
      </c>
      <c r="D24" s="64">
        <f t="shared" ca="1" si="7"/>
        <v>1</v>
      </c>
      <c r="E24" s="64">
        <f t="shared" ca="1" si="8"/>
        <v>0</v>
      </c>
      <c r="F24" s="65"/>
      <c r="G24" s="73" t="s">
        <v>153</v>
      </c>
      <c r="H24" s="67" t="str">
        <f t="shared" ca="1" si="9"/>
        <v>02.001.001</v>
      </c>
      <c r="I24" s="74" t="s">
        <v>34</v>
      </c>
      <c r="J24" s="96"/>
      <c r="K24" s="127"/>
      <c r="L24" s="115">
        <f>SUM(L25:L28)</f>
        <v>733993.12800000014</v>
      </c>
      <c r="M24" s="74"/>
    </row>
    <row r="25" spans="1:13" ht="20.45" customHeight="1" outlineLevel="1" x14ac:dyDescent="0.55000000000000004">
      <c r="A25" s="63">
        <f ca="1">IF($G25="UNIDADE CONSTRUTIVA",OFFSET(A25,0,0)+1,LARGE(A$3:A24,1))</f>
        <v>2</v>
      </c>
      <c r="B25" s="63">
        <f t="shared" ca="1" si="5"/>
        <v>2</v>
      </c>
      <c r="C25" s="63">
        <f t="shared" ca="1" si="6"/>
        <v>1</v>
      </c>
      <c r="D25" s="64">
        <f t="shared" ca="1" si="7"/>
        <v>1</v>
      </c>
      <c r="E25" s="64">
        <f t="shared" ca="1" si="8"/>
        <v>1</v>
      </c>
      <c r="F25" s="65"/>
      <c r="G25" s="73" t="s">
        <v>154</v>
      </c>
      <c r="H25" s="67" t="str">
        <f t="shared" ref="H25" ca="1" si="15">IF(G25="Unidade Construtiva",TEXT(A25,"00"),IF(G25="Célula Construtiva",TEXT(B25,"00"),IF(G25="Etapa",CONCATENATE(TEXT(B25,"00"),".",TEXT(C25,"000")),IF(G25="Subetapa",CONCATENATE(TEXT(B25,"00"),".",TEXT(C25,"000"),".",TEXT(D25,"000")),IF(G25="Serviço",CONCATENATE(TEXT(B25,"00"),".",TEXT(C25,"000"),".",TEXT(D25,"000"),".",TEXT(E25,"000")),"")))))</f>
        <v>02.001.001.001</v>
      </c>
      <c r="I25" s="74" t="s">
        <v>416</v>
      </c>
      <c r="J25" s="128">
        <v>522</v>
      </c>
      <c r="K25" s="127" t="s">
        <v>183</v>
      </c>
      <c r="L25" s="115">
        <v>90809.73000000001</v>
      </c>
      <c r="M25" s="74"/>
    </row>
    <row r="26" spans="1:13" ht="20.45" customHeight="1" outlineLevel="1" x14ac:dyDescent="0.55000000000000004">
      <c r="A26" s="63">
        <f ca="1">IF($G26="UNIDADE CONSTRUTIVA",OFFSET(A26,0,0)+1,LARGE(A$3:A25,1))</f>
        <v>2</v>
      </c>
      <c r="B26" s="63">
        <f t="shared" ref="B26:B27" ca="1" si="16">IF(G26="UNIDADE CONSTRUTIVA",0,IF(G26="CÉLULA CONSTRUTIVA",OFFSET(B26,-1,0)+1,OFFSET(B26,-1,0)))</f>
        <v>2</v>
      </c>
      <c r="C26" s="63">
        <f t="shared" ref="C26:C27" ca="1" si="17">IF(G26="CÉLULA CONSTRUTIVA",0,IF(G26="ETAPA",OFFSET(C26,-1,0)+1,OFFSET(C26,-1,0)))</f>
        <v>1</v>
      </c>
      <c r="D26" s="64">
        <f t="shared" ref="D26:D27" ca="1" si="18">IF(G26="ETAPA",0,IF(G26="SUBETAPA",OFFSET(D26,-1,0)+1,OFFSET(D26,-1,0)))</f>
        <v>1</v>
      </c>
      <c r="E26" s="64">
        <f t="shared" ref="E26:E27" ca="1" si="19">IF(G26="Subetapa",0,IF(G26="serviço",OFFSET(E26,-1,0)+1,OFFSET(E26,-1,0)))</f>
        <v>2</v>
      </c>
      <c r="F26" s="65"/>
      <c r="G26" s="73" t="s">
        <v>154</v>
      </c>
      <c r="H26" s="67" t="str">
        <f t="shared" ref="H26:H27" ca="1" si="20">IF(G26="Unidade Construtiva",TEXT(A26,"00"),IF(G26="Célula Construtiva",TEXT(B26,"00"),IF(G26="Etapa",CONCATENATE(TEXT(B26,"00"),".",TEXT(C26,"000")),IF(G26="Subetapa",CONCATENATE(TEXT(B26,"00"),".",TEXT(C26,"000"),".",TEXT(D26,"000")),IF(G26="Serviço",CONCATENATE(TEXT(B26,"00"),".",TEXT(C26,"000"),".",TEXT(D26,"000"),".",TEXT(E26,"000")),"")))))</f>
        <v>02.001.001.002</v>
      </c>
      <c r="I26" s="74" t="s">
        <v>417</v>
      </c>
      <c r="J26" s="128">
        <v>2844</v>
      </c>
      <c r="K26" s="127" t="s">
        <v>183</v>
      </c>
      <c r="L26" s="115">
        <v>643183.39800000016</v>
      </c>
      <c r="M26" s="74"/>
    </row>
    <row r="27" spans="1:13" ht="20.45" customHeight="1" outlineLevel="1" x14ac:dyDescent="0.55000000000000004">
      <c r="A27" s="63">
        <f ca="1">IF($G27="UNIDADE CONSTRUTIVA",OFFSET(A27,0,0)+1,LARGE(A$3:A26,1))</f>
        <v>2</v>
      </c>
      <c r="B27" s="63">
        <f t="shared" ca="1" si="16"/>
        <v>2</v>
      </c>
      <c r="C27" s="63">
        <f t="shared" ca="1" si="17"/>
        <v>1</v>
      </c>
      <c r="D27" s="64">
        <f t="shared" ca="1" si="18"/>
        <v>1</v>
      </c>
      <c r="E27" s="64">
        <f t="shared" ca="1" si="19"/>
        <v>3</v>
      </c>
      <c r="F27" s="65"/>
      <c r="G27" s="73" t="s">
        <v>154</v>
      </c>
      <c r="H27" s="67" t="str">
        <f t="shared" ca="1" si="20"/>
        <v>02.001.001.003</v>
      </c>
      <c r="I27" s="74" t="s">
        <v>418</v>
      </c>
      <c r="J27" s="128"/>
      <c r="K27" s="127"/>
      <c r="L27" s="115"/>
      <c r="M27" s="74"/>
    </row>
    <row r="28" spans="1:13" ht="20.45" customHeight="1" outlineLevel="1" x14ac:dyDescent="0.55000000000000004">
      <c r="A28" s="63">
        <f ca="1">IF($G28="UNIDADE CONSTRUTIVA",OFFSET(A28,0,0)+1,LARGE(A$3:A27,1))</f>
        <v>2</v>
      </c>
      <c r="B28" s="63">
        <f t="shared" ref="B28" ca="1" si="21">IF(G28="UNIDADE CONSTRUTIVA",0,IF(G28="CÉLULA CONSTRUTIVA",OFFSET(B28,-1,0)+1,OFFSET(B28,-1,0)))</f>
        <v>2</v>
      </c>
      <c r="C28" s="63">
        <f t="shared" ref="C28" ca="1" si="22">IF(G28="CÉLULA CONSTRUTIVA",0,IF(G28="ETAPA",OFFSET(C28,-1,0)+1,OFFSET(C28,-1,0)))</f>
        <v>1</v>
      </c>
      <c r="D28" s="64">
        <f t="shared" ref="D28" ca="1" si="23">IF(G28="ETAPA",0,IF(G28="SUBETAPA",OFFSET(D28,-1,0)+1,OFFSET(D28,-1,0)))</f>
        <v>1</v>
      </c>
      <c r="E28" s="64">
        <f t="shared" ref="E28" ca="1" si="24">IF(G28="Subetapa",0,IF(G28="serviço",OFFSET(E28,-1,0)+1,OFFSET(E28,-1,0)))</f>
        <v>4</v>
      </c>
      <c r="F28" s="65"/>
      <c r="G28" s="73" t="s">
        <v>154</v>
      </c>
      <c r="H28" s="67" t="str">
        <f t="shared" ref="H28" ca="1" si="25">IF(G28="Unidade Construtiva",TEXT(A28,"00"),IF(G28="Célula Construtiva",TEXT(B28,"00"),IF(G28="Etapa",CONCATENATE(TEXT(B28,"00"),".",TEXT(C28,"000")),IF(G28="Subetapa",CONCATENATE(TEXT(B28,"00"),".",TEXT(C28,"000"),".",TEXT(D28,"000")),IF(G28="Serviço",CONCATENATE(TEXT(B28,"00"),".",TEXT(C28,"000"),".",TEXT(D28,"000"),".",TEXT(E28,"000")),"")))))</f>
        <v>02.001.001.004</v>
      </c>
      <c r="I28" s="74" t="s">
        <v>419</v>
      </c>
      <c r="J28" s="128"/>
      <c r="K28" s="127"/>
      <c r="L28" s="115"/>
      <c r="M28" s="74"/>
    </row>
    <row r="29" spans="1:13" ht="20.45" customHeight="1" outlineLevel="1" x14ac:dyDescent="0.55000000000000004">
      <c r="A29" s="63">
        <f ca="1">IF($G29="UNIDADE CONSTRUTIVA",OFFSET(A29,0,0)+1,LARGE(A$3:A25,1))</f>
        <v>2</v>
      </c>
      <c r="B29" s="63">
        <f t="shared" ca="1" si="5"/>
        <v>2</v>
      </c>
      <c r="C29" s="63">
        <f t="shared" ca="1" si="6"/>
        <v>1</v>
      </c>
      <c r="D29" s="64">
        <f t="shared" ca="1" si="7"/>
        <v>2</v>
      </c>
      <c r="E29" s="64">
        <f t="shared" ca="1" si="8"/>
        <v>0</v>
      </c>
      <c r="F29" s="65"/>
      <c r="G29" s="73" t="s">
        <v>153</v>
      </c>
      <c r="H29" s="67" t="str">
        <f t="shared" ref="H29:H30" ca="1" si="26">IF(G29="Unidade Construtiva",TEXT(A29,"00"),IF(G29="Célula Construtiva",TEXT(B29,"00"),IF(G29="Etapa",CONCATENATE(TEXT(B29,"00"),".",TEXT(C29,"000")),IF(G29="Subetapa",CONCATENATE(TEXT(B29,"00"),".",TEXT(C29,"000"),".",TEXT(D29,"000")),IF(G29="Serviço",CONCATENATE(TEXT(B29,"00"),".",TEXT(C29,"000"),".",TEXT(D29,"000"),".",TEXT(E29,"000")),"")))))</f>
        <v>02.001.002</v>
      </c>
      <c r="I29" s="74" t="s">
        <v>39</v>
      </c>
      <c r="J29" s="96"/>
      <c r="K29" s="127"/>
      <c r="L29" s="115">
        <f>SUM(L30)</f>
        <v>15950.000000000002</v>
      </c>
      <c r="M29" s="74"/>
    </row>
    <row r="30" spans="1:13" ht="20.45" customHeight="1" outlineLevel="1" x14ac:dyDescent="0.55000000000000004">
      <c r="A30" s="63">
        <f ca="1">IF($G30="UNIDADE CONSTRUTIVA",OFFSET(A30,0,0)+1,LARGE(A$3:A25,1))</f>
        <v>2</v>
      </c>
      <c r="B30" s="63">
        <f t="shared" ca="1" si="5"/>
        <v>2</v>
      </c>
      <c r="C30" s="63">
        <f t="shared" ca="1" si="6"/>
        <v>1</v>
      </c>
      <c r="D30" s="64">
        <f t="shared" ca="1" si="7"/>
        <v>2</v>
      </c>
      <c r="E30" s="64">
        <f t="shared" ca="1" si="8"/>
        <v>1</v>
      </c>
      <c r="F30" s="65"/>
      <c r="G30" s="73" t="s">
        <v>154</v>
      </c>
      <c r="H30" s="67" t="str">
        <f t="shared" ca="1" si="26"/>
        <v>02.001.002.001</v>
      </c>
      <c r="I30" s="74" t="s">
        <v>181</v>
      </c>
      <c r="J30" s="96">
        <v>1</v>
      </c>
      <c r="K30" s="127" t="s">
        <v>184</v>
      </c>
      <c r="L30" s="115">
        <v>15950.000000000002</v>
      </c>
      <c r="M30" s="74"/>
    </row>
    <row r="31" spans="1:13" ht="20.45" customHeight="1" outlineLevel="1" x14ac:dyDescent="0.55000000000000004">
      <c r="A31" s="63">
        <f ca="1">IF($G31="UNIDADE CONSTRUTIVA",OFFSET(A31,0,0)+1,LARGE(A$3:A29,1))</f>
        <v>2</v>
      </c>
      <c r="B31" s="63">
        <f t="shared" ca="1" si="5"/>
        <v>2</v>
      </c>
      <c r="C31" s="63">
        <f t="shared" ca="1" si="6"/>
        <v>2</v>
      </c>
      <c r="D31" s="64">
        <f t="shared" ca="1" si="7"/>
        <v>0</v>
      </c>
      <c r="E31" s="64">
        <f t="shared" ca="1" si="8"/>
        <v>1</v>
      </c>
      <c r="F31" s="65"/>
      <c r="G31" s="71" t="s">
        <v>157</v>
      </c>
      <c r="H31" s="67" t="str">
        <f t="shared" ca="1" si="9"/>
        <v>02.002</v>
      </c>
      <c r="I31" s="72" t="s">
        <v>37</v>
      </c>
      <c r="J31" s="95"/>
      <c r="K31" s="125"/>
      <c r="L31" s="126">
        <f>SUM(L32:L39)/2</f>
        <v>1451014.5001000001</v>
      </c>
      <c r="M31" s="72"/>
    </row>
    <row r="32" spans="1:13" ht="20.45" customHeight="1" outlineLevel="1" x14ac:dyDescent="0.55000000000000004">
      <c r="A32" s="63">
        <f ca="1">IF($G32="UNIDADE CONSTRUTIVA",OFFSET(A32,0,0)+1,LARGE(A$3:A31,1))</f>
        <v>2</v>
      </c>
      <c r="B32" s="63">
        <f t="shared" ca="1" si="5"/>
        <v>2</v>
      </c>
      <c r="C32" s="63">
        <f t="shared" ca="1" si="6"/>
        <v>2</v>
      </c>
      <c r="D32" s="64">
        <f t="shared" ca="1" si="7"/>
        <v>1</v>
      </c>
      <c r="E32" s="64">
        <f t="shared" ca="1" si="8"/>
        <v>0</v>
      </c>
      <c r="F32" s="65"/>
      <c r="G32" s="73" t="s">
        <v>153</v>
      </c>
      <c r="H32" s="67" t="str">
        <f t="shared" ca="1" si="9"/>
        <v>02.002.001</v>
      </c>
      <c r="I32" s="74" t="s">
        <v>38</v>
      </c>
      <c r="J32" s="96"/>
      <c r="K32" s="127"/>
      <c r="L32" s="115">
        <f>SUM(L33)</f>
        <v>159477.34000000003</v>
      </c>
      <c r="M32" s="74"/>
    </row>
    <row r="33" spans="1:13" ht="37.5" outlineLevel="1" x14ac:dyDescent="0.55000000000000004">
      <c r="A33" s="63">
        <f ca="1">IF($G33="UNIDADE CONSTRUTIVA",OFFSET(A33,0,0)+1,LARGE(A$3:A32,1))</f>
        <v>2</v>
      </c>
      <c r="B33" s="63">
        <f t="shared" ca="1" si="5"/>
        <v>2</v>
      </c>
      <c r="C33" s="63">
        <f t="shared" ca="1" si="6"/>
        <v>2</v>
      </c>
      <c r="D33" s="64">
        <f t="shared" ca="1" si="7"/>
        <v>1</v>
      </c>
      <c r="E33" s="64">
        <f t="shared" ca="1" si="8"/>
        <v>1</v>
      </c>
      <c r="F33" s="65"/>
      <c r="G33" s="73" t="s">
        <v>154</v>
      </c>
      <c r="H33" s="67" t="str">
        <f t="shared" ref="H33" ca="1" si="27">IF(G33="Unidade Construtiva",TEXT(A33,"00"),IF(G33="Célula Construtiva",TEXT(B33,"00"),IF(G33="Etapa",CONCATENATE(TEXT(B33,"00"),".",TEXT(C33,"000")),IF(G33="Subetapa",CONCATENATE(TEXT(B33,"00"),".",TEXT(C33,"000"),".",TEXT(D33,"000")),IF(G33="Serviço",CONCATENATE(TEXT(B33,"00"),".",TEXT(C33,"000"),".",TEXT(D33,"000"),".",TEXT(E33,"000")),"")))))</f>
        <v>02.002.001.001</v>
      </c>
      <c r="I33" s="74" t="s">
        <v>421</v>
      </c>
      <c r="J33" s="96">
        <v>2132.0500000000002</v>
      </c>
      <c r="K33" s="127" t="s">
        <v>185</v>
      </c>
      <c r="L33" s="115">
        <v>159477.34000000003</v>
      </c>
      <c r="M33" s="74" t="s">
        <v>420</v>
      </c>
    </row>
    <row r="34" spans="1:13" ht="20.45" customHeight="1" outlineLevel="1" x14ac:dyDescent="0.55000000000000004">
      <c r="A34" s="63">
        <f ca="1">IF($G34="UNIDADE CONSTRUTIVA",OFFSET(A34,0,0)+1,LARGE(A$3:A32,1))</f>
        <v>2</v>
      </c>
      <c r="B34" s="63">
        <f t="shared" ca="1" si="5"/>
        <v>2</v>
      </c>
      <c r="C34" s="63">
        <f t="shared" ca="1" si="6"/>
        <v>2</v>
      </c>
      <c r="D34" s="64">
        <f t="shared" ca="1" si="7"/>
        <v>2</v>
      </c>
      <c r="E34" s="64">
        <f t="shared" ca="1" si="8"/>
        <v>0</v>
      </c>
      <c r="F34" s="65"/>
      <c r="G34" s="73" t="s">
        <v>153</v>
      </c>
      <c r="H34" s="67" t="str">
        <f t="shared" ca="1" si="9"/>
        <v>02.002.002</v>
      </c>
      <c r="I34" s="74" t="s">
        <v>35</v>
      </c>
      <c r="J34" s="96"/>
      <c r="K34" s="127"/>
      <c r="L34" s="115">
        <f>SUM(L35)</f>
        <v>313625.9412</v>
      </c>
      <c r="M34" s="74"/>
    </row>
    <row r="35" spans="1:13" ht="20.45" customHeight="1" outlineLevel="1" x14ac:dyDescent="0.55000000000000004">
      <c r="A35" s="63">
        <f ca="1">IF($G35="UNIDADE CONSTRUTIVA",OFFSET(A35,0,0)+1,LARGE(A$3:A33,1))</f>
        <v>2</v>
      </c>
      <c r="B35" s="63">
        <f t="shared" ca="1" si="5"/>
        <v>2</v>
      </c>
      <c r="C35" s="63">
        <f t="shared" ca="1" si="6"/>
        <v>2</v>
      </c>
      <c r="D35" s="64">
        <f t="shared" ca="1" si="7"/>
        <v>2</v>
      </c>
      <c r="E35" s="64">
        <f t="shared" ca="1" si="8"/>
        <v>1</v>
      </c>
      <c r="F35" s="65"/>
      <c r="G35" s="73" t="s">
        <v>154</v>
      </c>
      <c r="H35" s="67" t="str">
        <f t="shared" ref="H35" ca="1" si="28">IF(G35="Unidade Construtiva",TEXT(A35,"00"),IF(G35="Célula Construtiva",TEXT(B35,"00"),IF(G35="Etapa",CONCATENATE(TEXT(B35,"00"),".",TEXT(C35,"000")),IF(G35="Subetapa",CONCATENATE(TEXT(B35,"00"),".",TEXT(C35,"000"),".",TEXT(D35,"000")),IF(G35="Serviço",CONCATENATE(TEXT(B35,"00"),".",TEXT(C35,"000"),".",TEXT(D35,"000"),".",TEXT(E35,"000")),"")))))</f>
        <v>02.002.002.001</v>
      </c>
      <c r="I35" s="74" t="s">
        <v>182</v>
      </c>
      <c r="J35" s="96">
        <v>37416.6</v>
      </c>
      <c r="K35" s="127" t="s">
        <v>186</v>
      </c>
      <c r="L35" s="115">
        <v>313625.9412</v>
      </c>
      <c r="M35" s="74" t="s">
        <v>422</v>
      </c>
    </row>
    <row r="36" spans="1:13" ht="20.45" customHeight="1" outlineLevel="1" x14ac:dyDescent="0.55000000000000004">
      <c r="A36" s="63">
        <f ca="1">IF($G36="UNIDADE CONSTRUTIVA",OFFSET(A36,0,0)+1,LARGE(A$3:A34,1))</f>
        <v>2</v>
      </c>
      <c r="B36" s="63">
        <f t="shared" ca="1" si="5"/>
        <v>2</v>
      </c>
      <c r="C36" s="63">
        <f t="shared" ca="1" si="6"/>
        <v>2</v>
      </c>
      <c r="D36" s="64">
        <f t="shared" ca="1" si="7"/>
        <v>3</v>
      </c>
      <c r="E36" s="64">
        <f t="shared" ca="1" si="8"/>
        <v>0</v>
      </c>
      <c r="F36" s="65"/>
      <c r="G36" s="73" t="s">
        <v>153</v>
      </c>
      <c r="H36" s="67" t="str">
        <f t="shared" ca="1" si="9"/>
        <v>02.002.003</v>
      </c>
      <c r="I36" s="74" t="s">
        <v>36</v>
      </c>
      <c r="J36" s="96"/>
      <c r="K36" s="127"/>
      <c r="L36" s="115">
        <f>SUM(L37)</f>
        <v>401910.4089000001</v>
      </c>
      <c r="M36" s="74"/>
    </row>
    <row r="37" spans="1:13" ht="20.45" customHeight="1" outlineLevel="1" x14ac:dyDescent="0.55000000000000004">
      <c r="A37" s="63">
        <f ca="1">IF($G37="UNIDADE CONSTRUTIVA",OFFSET(A37,0,0)+1,LARGE(A$3:A35,1))</f>
        <v>2</v>
      </c>
      <c r="B37" s="63">
        <f t="shared" ca="1" si="5"/>
        <v>2</v>
      </c>
      <c r="C37" s="63">
        <f t="shared" ca="1" si="6"/>
        <v>2</v>
      </c>
      <c r="D37" s="64">
        <f t="shared" ca="1" si="7"/>
        <v>3</v>
      </c>
      <c r="E37" s="64">
        <f t="shared" ca="1" si="8"/>
        <v>1</v>
      </c>
      <c r="F37" s="65"/>
      <c r="G37" s="73" t="s">
        <v>154</v>
      </c>
      <c r="H37" s="67" t="str">
        <f t="shared" ref="H37" ca="1" si="29">IF(G37="Unidade Construtiva",TEXT(A37,"00"),IF(G37="Célula Construtiva",TEXT(B37,"00"),IF(G37="Etapa",CONCATENATE(TEXT(B37,"00"),".",TEXT(C37,"000")),IF(G37="Subetapa",CONCATENATE(TEXT(B37,"00"),".",TEXT(C37,"000"),".",TEXT(D37,"000")),IF(G37="Serviço",CONCATENATE(TEXT(B37,"00"),".",TEXT(C37,"000"),".",TEXT(D37,"000"),".",TEXT(E37,"000")),"")))))</f>
        <v>02.002.003.001</v>
      </c>
      <c r="I37" s="74" t="s">
        <v>187</v>
      </c>
      <c r="J37" s="96">
        <v>623.61</v>
      </c>
      <c r="K37" s="127" t="s">
        <v>180</v>
      </c>
      <c r="L37" s="115">
        <v>401910.4089000001</v>
      </c>
      <c r="M37" s="74" t="s">
        <v>420</v>
      </c>
    </row>
    <row r="38" spans="1:13" ht="20.45" customHeight="1" outlineLevel="1" x14ac:dyDescent="0.55000000000000004">
      <c r="A38" s="63">
        <f ca="1">IF($G38="UNIDADE CONSTRUTIVA",OFFSET(A38,0,0)+1,LARGE(A$3:A36,1))</f>
        <v>2</v>
      </c>
      <c r="B38" s="63">
        <f t="shared" ca="1" si="5"/>
        <v>2</v>
      </c>
      <c r="C38" s="63">
        <f t="shared" ca="1" si="6"/>
        <v>2</v>
      </c>
      <c r="D38" s="64">
        <f t="shared" ca="1" si="7"/>
        <v>4</v>
      </c>
      <c r="E38" s="64">
        <f t="shared" ca="1" si="8"/>
        <v>0</v>
      </c>
      <c r="F38" s="65"/>
      <c r="G38" s="73" t="s">
        <v>153</v>
      </c>
      <c r="H38" s="67" t="str">
        <f t="shared" ca="1" si="9"/>
        <v>02.002.004</v>
      </c>
      <c r="I38" s="74" t="s">
        <v>39</v>
      </c>
      <c r="J38" s="96"/>
      <c r="K38" s="127"/>
      <c r="L38" s="115">
        <f>SUM(L39)</f>
        <v>576000.81000000006</v>
      </c>
      <c r="M38" s="74"/>
    </row>
    <row r="39" spans="1:13" ht="25.5" customHeight="1" outlineLevel="1" x14ac:dyDescent="0.55000000000000004">
      <c r="A39" s="63">
        <f ca="1">IF($G39="UNIDADE CONSTRUTIVA",OFFSET(A39,0,0)+1,LARGE(A$3:A37,1))</f>
        <v>2</v>
      </c>
      <c r="B39" s="63">
        <f t="shared" ca="1" si="5"/>
        <v>2</v>
      </c>
      <c r="C39" s="63">
        <f t="shared" ca="1" si="6"/>
        <v>2</v>
      </c>
      <c r="D39" s="64">
        <f t="shared" ca="1" si="7"/>
        <v>4</v>
      </c>
      <c r="E39" s="64">
        <f t="shared" ca="1" si="8"/>
        <v>1</v>
      </c>
      <c r="F39" s="65"/>
      <c r="G39" s="73" t="s">
        <v>154</v>
      </c>
      <c r="H39" s="67" t="str">
        <f t="shared" ref="H39" ca="1" si="30">IF(G39="Unidade Construtiva",TEXT(A39,"00"),IF(G39="Célula Construtiva",TEXT(B39,"00"),IF(G39="Etapa",CONCATENATE(TEXT(B39,"00"),".",TEXT(C39,"000")),IF(G39="Subetapa",CONCATENATE(TEXT(B39,"00"),".",TEXT(C39,"000"),".",TEXT(D39,"000")),IF(G39="Serviço",CONCATENATE(TEXT(B39,"00"),".",TEXT(C39,"000"),".",TEXT(D39,"000"),".",TEXT(E39,"000")),"")))))</f>
        <v>02.002.004.001</v>
      </c>
      <c r="I39" s="74" t="s">
        <v>188</v>
      </c>
      <c r="J39" s="96">
        <v>1662.34</v>
      </c>
      <c r="K39" s="127" t="s">
        <v>185</v>
      </c>
      <c r="L39" s="115">
        <v>576000.81000000006</v>
      </c>
      <c r="M39" s="74" t="s">
        <v>423</v>
      </c>
    </row>
    <row r="40" spans="1:13" ht="20.45" customHeight="1" x14ac:dyDescent="0.55000000000000004">
      <c r="A40" s="63">
        <f ca="1">IF($G40="UNIDADE CONSTRUTIVA",OFFSET(A40,0,0)+1,LARGE(A$3:A38,1))</f>
        <v>2</v>
      </c>
      <c r="B40" s="63">
        <f t="shared" ca="1" si="5"/>
        <v>3</v>
      </c>
      <c r="C40" s="63">
        <f t="shared" ca="1" si="6"/>
        <v>0</v>
      </c>
      <c r="D40" s="64">
        <f t="shared" ca="1" si="7"/>
        <v>4</v>
      </c>
      <c r="E40" s="64">
        <f t="shared" ca="1" si="8"/>
        <v>1</v>
      </c>
      <c r="F40" s="65"/>
      <c r="G40" s="71" t="s">
        <v>156</v>
      </c>
      <c r="H40" s="67" t="str">
        <f t="shared" ca="1" si="9"/>
        <v>03</v>
      </c>
      <c r="I40" s="72" t="s">
        <v>40</v>
      </c>
      <c r="J40" s="95"/>
      <c r="K40" s="125"/>
      <c r="L40" s="113">
        <f>L41</f>
        <v>4644536.7089</v>
      </c>
      <c r="M40" s="72"/>
    </row>
    <row r="41" spans="1:13" ht="20.45" customHeight="1" outlineLevel="1" x14ac:dyDescent="0.55000000000000004">
      <c r="A41" s="63">
        <f ca="1">IF($G41="UNIDADE CONSTRUTIVA",OFFSET(A41,0,0)+1,LARGE(A$3:A40,1))</f>
        <v>2</v>
      </c>
      <c r="B41" s="63">
        <f t="shared" ref="B41:B107" ca="1" si="31">IF(G41="UNIDADE CONSTRUTIVA",0,IF(G41="CÉLULA CONSTRUTIVA",OFFSET(B41,-1,0)+1,OFFSET(B41,-1,0)))</f>
        <v>3</v>
      </c>
      <c r="C41" s="63">
        <f t="shared" ref="C41:C107" ca="1" si="32">IF(G41="CÉLULA CONSTRUTIVA",0,IF(G41="ETAPA",OFFSET(C41,-1,0)+1,OFFSET(C41,-1,0)))</f>
        <v>1</v>
      </c>
      <c r="D41" s="64">
        <f t="shared" ref="D41:D107" ca="1" si="33">IF(G41="ETAPA",0,IF(G41="SUBETAPA",OFFSET(D41,-1,0)+1,OFFSET(D41,-1,0)))</f>
        <v>0</v>
      </c>
      <c r="E41" s="64">
        <f t="shared" ref="E41:E107" ca="1" si="34">IF(G41="Subetapa",0,IF(G41="serviço",OFFSET(E41,-1,0)+1,OFFSET(E41,-1,0)))</f>
        <v>1</v>
      </c>
      <c r="F41" s="65"/>
      <c r="G41" s="71" t="s">
        <v>157</v>
      </c>
      <c r="H41" s="67" t="str">
        <f t="shared" ca="1" si="9"/>
        <v>03.001</v>
      </c>
      <c r="I41" s="79" t="s">
        <v>41</v>
      </c>
      <c r="J41" s="106"/>
      <c r="K41" s="129"/>
      <c r="L41" s="126">
        <f>SUM(L42:L53)/2</f>
        <v>4644536.7089</v>
      </c>
      <c r="M41" s="79"/>
    </row>
    <row r="42" spans="1:13" ht="20.45" customHeight="1" outlineLevel="1" x14ac:dyDescent="0.55000000000000004">
      <c r="A42" s="63">
        <f ca="1">IF($G42="UNIDADE CONSTRUTIVA",OFFSET(A42,0,0)+1,LARGE(A$3:A41,1))</f>
        <v>2</v>
      </c>
      <c r="B42" s="63">
        <f t="shared" ca="1" si="31"/>
        <v>3</v>
      </c>
      <c r="C42" s="63">
        <f t="shared" ca="1" si="32"/>
        <v>1</v>
      </c>
      <c r="D42" s="64">
        <f t="shared" ca="1" si="33"/>
        <v>1</v>
      </c>
      <c r="E42" s="64">
        <f t="shared" ca="1" si="34"/>
        <v>0</v>
      </c>
      <c r="F42" s="65"/>
      <c r="G42" s="73" t="s">
        <v>153</v>
      </c>
      <c r="H42" s="67" t="str">
        <f t="shared" ref="H42:H53" ca="1" si="35">IF(G42="Unidade Construtiva",TEXT(A42,"00"),IF(G42="Célula Construtiva",TEXT(B42,"00"),IF(G42="Etapa",CONCATENATE(TEXT(B42,"00"),".",TEXT(C42,"000")),IF(G42="Subetapa",CONCATENATE(TEXT(B42,"00"),".",TEXT(C42,"000"),".",TEXT(D42,"000")),IF(G42="Serviço",CONCATENATE(TEXT(B42,"00"),".",TEXT(C42,"000"),".",TEXT(D42,"000"),".",TEXT(E42,"000")),"")))))</f>
        <v>03.001.001</v>
      </c>
      <c r="I42" s="74" t="s">
        <v>38</v>
      </c>
      <c r="J42" s="96"/>
      <c r="K42" s="127"/>
      <c r="L42" s="115">
        <f>SUM(L43:L44)</f>
        <v>582026.13150000002</v>
      </c>
      <c r="M42" s="74"/>
    </row>
    <row r="43" spans="1:13" outlineLevel="1" x14ac:dyDescent="0.55000000000000004">
      <c r="A43" s="63">
        <f ca="1">IF($G43="UNIDADE CONSTRUTIVA",OFFSET(A43,0,0)+1,LARGE(A$3:A42,1))</f>
        <v>2</v>
      </c>
      <c r="B43" s="63">
        <f t="shared" ca="1" si="31"/>
        <v>3</v>
      </c>
      <c r="C43" s="63">
        <f t="shared" ca="1" si="32"/>
        <v>1</v>
      </c>
      <c r="D43" s="64">
        <f t="shared" ca="1" si="33"/>
        <v>1</v>
      </c>
      <c r="E43" s="64">
        <f t="shared" ca="1" si="34"/>
        <v>1</v>
      </c>
      <c r="F43" s="65"/>
      <c r="G43" s="73" t="s">
        <v>154</v>
      </c>
      <c r="H43" s="67" t="str">
        <f t="shared" ca="1" si="35"/>
        <v>03.001.001.001</v>
      </c>
      <c r="I43" s="74" t="s">
        <v>190</v>
      </c>
      <c r="J43" s="96">
        <v>4551.5239999999994</v>
      </c>
      <c r="K43" s="127" t="s">
        <v>185</v>
      </c>
      <c r="L43" s="115">
        <v>550734.40399999998</v>
      </c>
      <c r="M43" s="74" t="s">
        <v>425</v>
      </c>
    </row>
    <row r="44" spans="1:13" ht="20.45" customHeight="1" outlineLevel="1" x14ac:dyDescent="0.55000000000000004">
      <c r="A44" s="63">
        <f ca="1">IF($G44="UNIDADE CONSTRUTIVA",OFFSET(A44,0,0)+1,LARGE(A$3:A43,1))</f>
        <v>2</v>
      </c>
      <c r="B44" s="63">
        <f t="shared" ca="1" si="31"/>
        <v>3</v>
      </c>
      <c r="C44" s="63">
        <f t="shared" ca="1" si="32"/>
        <v>1</v>
      </c>
      <c r="D44" s="64">
        <f t="shared" ca="1" si="33"/>
        <v>1</v>
      </c>
      <c r="E44" s="64">
        <f t="shared" ca="1" si="34"/>
        <v>2</v>
      </c>
      <c r="F44" s="65"/>
      <c r="G44" s="73" t="s">
        <v>154</v>
      </c>
      <c r="H44" s="67" t="str">
        <f t="shared" ref="H44" ca="1" si="36">IF(G44="Unidade Construtiva",TEXT(A44,"00"),IF(G44="Célula Construtiva",TEXT(B44,"00"),IF(G44="Etapa",CONCATENATE(TEXT(B44,"00"),".",TEXT(C44,"000")),IF(G44="Subetapa",CONCATENATE(TEXT(B44,"00"),".",TEXT(C44,"000"),".",TEXT(D44,"000")),IF(G44="Serviço",CONCATENATE(TEXT(B44,"00"),".",TEXT(C44,"000"),".",TEXT(D44,"000"),".",TEXT(E44,"000")),"")))))</f>
        <v>03.001.001.002</v>
      </c>
      <c r="I44" s="74" t="s">
        <v>191</v>
      </c>
      <c r="J44" s="96">
        <v>11378.81</v>
      </c>
      <c r="K44" s="127" t="s">
        <v>185</v>
      </c>
      <c r="L44" s="115">
        <v>31291.727500000001</v>
      </c>
      <c r="M44" s="74" t="s">
        <v>420</v>
      </c>
    </row>
    <row r="45" spans="1:13" ht="20.45" customHeight="1" outlineLevel="1" x14ac:dyDescent="0.55000000000000004">
      <c r="A45" s="63">
        <f ca="1">IF($G45="UNIDADE CONSTRUTIVA",OFFSET(A45,0,0)+1,LARGE(A$3:A42,1))</f>
        <v>2</v>
      </c>
      <c r="B45" s="63">
        <f t="shared" ca="1" si="31"/>
        <v>3</v>
      </c>
      <c r="C45" s="63">
        <f t="shared" ca="1" si="32"/>
        <v>1</v>
      </c>
      <c r="D45" s="64">
        <f t="shared" ca="1" si="33"/>
        <v>2</v>
      </c>
      <c r="E45" s="64">
        <f t="shared" ca="1" si="34"/>
        <v>0</v>
      </c>
      <c r="F45" s="65"/>
      <c r="G45" s="73" t="s">
        <v>153</v>
      </c>
      <c r="H45" s="67" t="str">
        <f t="shared" ca="1" si="35"/>
        <v>03.001.002</v>
      </c>
      <c r="I45" s="74" t="s">
        <v>35</v>
      </c>
      <c r="J45" s="96"/>
      <c r="K45" s="127"/>
      <c r="L45" s="115">
        <f>SUM(L46)</f>
        <v>1364688.5076000004</v>
      </c>
      <c r="M45" s="74"/>
    </row>
    <row r="46" spans="1:13" ht="20.45" customHeight="1" outlineLevel="1" x14ac:dyDescent="0.55000000000000004">
      <c r="A46" s="63">
        <f ca="1">IF($G46="UNIDADE CONSTRUTIVA",OFFSET(A46,0,0)+1,LARGE(A$3:A43,1))</f>
        <v>2</v>
      </c>
      <c r="B46" s="63">
        <f t="shared" ca="1" si="31"/>
        <v>3</v>
      </c>
      <c r="C46" s="63">
        <f t="shared" ca="1" si="32"/>
        <v>1</v>
      </c>
      <c r="D46" s="64">
        <f t="shared" ca="1" si="33"/>
        <v>2</v>
      </c>
      <c r="E46" s="64">
        <f t="shared" ca="1" si="34"/>
        <v>1</v>
      </c>
      <c r="F46" s="65"/>
      <c r="G46" s="73" t="s">
        <v>154</v>
      </c>
      <c r="H46" s="67" t="str">
        <f t="shared" ca="1" si="35"/>
        <v>03.001.002.001</v>
      </c>
      <c r="I46" s="74" t="s">
        <v>192</v>
      </c>
      <c r="J46" s="96">
        <v>162811.80000000002</v>
      </c>
      <c r="K46" s="127" t="s">
        <v>186</v>
      </c>
      <c r="L46" s="115">
        <v>1364688.5076000004</v>
      </c>
      <c r="M46" s="74" t="s">
        <v>426</v>
      </c>
    </row>
    <row r="47" spans="1:13" ht="20.45" customHeight="1" outlineLevel="1" x14ac:dyDescent="0.55000000000000004">
      <c r="A47" s="63">
        <f ca="1">IF($G47="UNIDADE CONSTRUTIVA",OFFSET(A47,0,0)+1,LARGE(A$3:A45,1))</f>
        <v>2</v>
      </c>
      <c r="B47" s="63">
        <f t="shared" ca="1" si="31"/>
        <v>3</v>
      </c>
      <c r="C47" s="63">
        <f t="shared" ca="1" si="32"/>
        <v>1</v>
      </c>
      <c r="D47" s="64">
        <f t="shared" ca="1" si="33"/>
        <v>3</v>
      </c>
      <c r="E47" s="64">
        <f t="shared" ca="1" si="34"/>
        <v>0</v>
      </c>
      <c r="F47" s="65"/>
      <c r="G47" s="73" t="s">
        <v>153</v>
      </c>
      <c r="H47" s="67" t="str">
        <f t="shared" ca="1" si="35"/>
        <v>03.001.003</v>
      </c>
      <c r="I47" s="74" t="s">
        <v>36</v>
      </c>
      <c r="J47" s="96"/>
      <c r="K47" s="127"/>
      <c r="L47" s="115">
        <f>SUM(L48)</f>
        <v>1165895.2998000004</v>
      </c>
      <c r="M47" s="74"/>
    </row>
    <row r="48" spans="1:13" ht="20.45" customHeight="1" outlineLevel="1" x14ac:dyDescent="0.55000000000000004">
      <c r="A48" s="63">
        <f ca="1">IF($G48="UNIDADE CONSTRUTIVA",OFFSET(A48,0,0)+1,LARGE(A$3:A46,1))</f>
        <v>2</v>
      </c>
      <c r="B48" s="63">
        <f t="shared" ca="1" si="31"/>
        <v>3</v>
      </c>
      <c r="C48" s="63">
        <f t="shared" ca="1" si="32"/>
        <v>1</v>
      </c>
      <c r="D48" s="64">
        <f t="shared" ca="1" si="33"/>
        <v>3</v>
      </c>
      <c r="E48" s="64">
        <f t="shared" ca="1" si="34"/>
        <v>1</v>
      </c>
      <c r="F48" s="65"/>
      <c r="G48" s="73" t="s">
        <v>154</v>
      </c>
      <c r="H48" s="67" t="str">
        <f t="shared" ca="1" si="35"/>
        <v>03.001.003.001</v>
      </c>
      <c r="I48" s="74" t="s">
        <v>193</v>
      </c>
      <c r="J48" s="96">
        <v>1809.0200000000002</v>
      </c>
      <c r="K48" s="127" t="s">
        <v>180</v>
      </c>
      <c r="L48" s="115">
        <v>1165895.2998000004</v>
      </c>
      <c r="M48" s="74" t="s">
        <v>420</v>
      </c>
    </row>
    <row r="49" spans="1:13" ht="20.45" customHeight="1" outlineLevel="1" x14ac:dyDescent="0.55000000000000004">
      <c r="A49" s="63">
        <f ca="1">IF($G49="UNIDADE CONSTRUTIVA",OFFSET(A49,0,0)+1,LARGE(A$3:A47,1))</f>
        <v>2</v>
      </c>
      <c r="B49" s="63">
        <f t="shared" ca="1" si="31"/>
        <v>3</v>
      </c>
      <c r="C49" s="63">
        <f t="shared" ca="1" si="32"/>
        <v>1</v>
      </c>
      <c r="D49" s="64">
        <f t="shared" ca="1" si="33"/>
        <v>4</v>
      </c>
      <c r="E49" s="64">
        <f t="shared" ca="1" si="34"/>
        <v>0</v>
      </c>
      <c r="F49" s="65"/>
      <c r="G49" s="73" t="s">
        <v>153</v>
      </c>
      <c r="H49" s="67" t="str">
        <f t="shared" ref="H49:H50" ca="1" si="37">IF(G49="Unidade Construtiva",TEXT(A49,"00"),IF(G49="Célula Construtiva",TEXT(B49,"00"),IF(G49="Etapa",CONCATENATE(TEXT(B49,"00"),".",TEXT(C49,"000")),IF(G49="Subetapa",CONCATENATE(TEXT(B49,"00"),".",TEXT(C49,"000"),".",TEXT(D49,"000")),IF(G49="Serviço",CONCATENATE(TEXT(B49,"00"),".",TEXT(C49,"000"),".",TEXT(D49,"000"),".",TEXT(E49,"000")),"")))))</f>
        <v>03.001.004</v>
      </c>
      <c r="I49" s="74" t="s">
        <v>42</v>
      </c>
      <c r="J49" s="96"/>
      <c r="K49" s="127"/>
      <c r="L49" s="115">
        <f>SUM(L50)</f>
        <v>126318.50000000001</v>
      </c>
      <c r="M49" s="74"/>
    </row>
    <row r="50" spans="1:13" ht="37.5" outlineLevel="1" x14ac:dyDescent="0.55000000000000004">
      <c r="A50" s="63">
        <f ca="1">IF($G50="UNIDADE CONSTRUTIVA",OFFSET(A50,0,0)+1,LARGE(A$3:A48,1))</f>
        <v>2</v>
      </c>
      <c r="B50" s="63">
        <f t="shared" ca="1" si="31"/>
        <v>3</v>
      </c>
      <c r="C50" s="63">
        <f t="shared" ca="1" si="32"/>
        <v>1</v>
      </c>
      <c r="D50" s="64">
        <f t="shared" ca="1" si="33"/>
        <v>4</v>
      </c>
      <c r="E50" s="64">
        <f t="shared" ca="1" si="34"/>
        <v>1</v>
      </c>
      <c r="F50" s="65"/>
      <c r="G50" s="73" t="s">
        <v>154</v>
      </c>
      <c r="H50" s="67" t="str">
        <f t="shared" ca="1" si="37"/>
        <v>03.001.004.001</v>
      </c>
      <c r="I50" s="74" t="s">
        <v>195</v>
      </c>
      <c r="J50" s="96">
        <v>6755</v>
      </c>
      <c r="K50" s="127" t="s">
        <v>184</v>
      </c>
      <c r="L50" s="115">
        <v>126318.50000000001</v>
      </c>
      <c r="M50" s="74" t="s">
        <v>427</v>
      </c>
    </row>
    <row r="51" spans="1:13" ht="20.45" customHeight="1" outlineLevel="1" x14ac:dyDescent="0.55000000000000004">
      <c r="A51" s="63">
        <f ca="1">IF($G51="UNIDADE CONSTRUTIVA",OFFSET(A51,0,0)+1,LARGE(A$3:A47,1))</f>
        <v>2</v>
      </c>
      <c r="B51" s="63">
        <f t="shared" ca="1" si="31"/>
        <v>3</v>
      </c>
      <c r="C51" s="63">
        <f t="shared" ca="1" si="32"/>
        <v>1</v>
      </c>
      <c r="D51" s="64">
        <f t="shared" ca="1" si="33"/>
        <v>5</v>
      </c>
      <c r="E51" s="64">
        <f t="shared" ca="1" si="34"/>
        <v>0</v>
      </c>
      <c r="F51" s="65"/>
      <c r="G51" s="73" t="s">
        <v>153</v>
      </c>
      <c r="H51" s="67" t="str">
        <f t="shared" ca="1" si="35"/>
        <v>03.001.005</v>
      </c>
      <c r="I51" s="74" t="s">
        <v>39</v>
      </c>
      <c r="J51" s="96"/>
      <c r="K51" s="127"/>
      <c r="L51" s="115">
        <f>SUM(L52:L53)</f>
        <v>1405608.2699999998</v>
      </c>
      <c r="M51" s="74"/>
    </row>
    <row r="52" spans="1:13" outlineLevel="1" x14ac:dyDescent="0.55000000000000004">
      <c r="A52" s="63">
        <f ca="1">IF($G52="UNIDADE CONSTRUTIVA",OFFSET(A52,0,0)+1,LARGE(A$3:A47,1))</f>
        <v>2</v>
      </c>
      <c r="B52" s="63">
        <f t="shared" ref="B52" ca="1" si="38">IF(G52="UNIDADE CONSTRUTIVA",0,IF(G52="CÉLULA CONSTRUTIVA",OFFSET(B52,-1,0)+1,OFFSET(B52,-1,0)))</f>
        <v>3</v>
      </c>
      <c r="C52" s="63">
        <f t="shared" ref="C52" ca="1" si="39">IF(G52="CÉLULA CONSTRUTIVA",0,IF(G52="ETAPA",OFFSET(C52,-1,0)+1,OFFSET(C52,-1,0)))</f>
        <v>1</v>
      </c>
      <c r="D52" s="64">
        <f t="shared" ref="D52" ca="1" si="40">IF(G52="ETAPA",0,IF(G52="SUBETAPA",OFFSET(D52,-1,0)+1,OFFSET(D52,-1,0)))</f>
        <v>5</v>
      </c>
      <c r="E52" s="64">
        <f t="shared" ref="E52" ca="1" si="41">IF(G52="Subetapa",0,IF(G52="serviço",OFFSET(E52,-1,0)+1,OFFSET(E52,-1,0)))</f>
        <v>1</v>
      </c>
      <c r="F52" s="65"/>
      <c r="G52" s="73" t="s">
        <v>154</v>
      </c>
      <c r="H52" s="67" t="str">
        <f t="shared" ref="H52" ca="1" si="42">IF(G52="Unidade Construtiva",TEXT(A52,"00"),IF(G52="Célula Construtiva",TEXT(B52,"00"),IF(G52="Etapa",CONCATENATE(TEXT(B52,"00"),".",TEXT(C52,"000")),IF(G52="Subetapa",CONCATENATE(TEXT(B52,"00"),".",TEXT(C52,"000"),".",TEXT(D52,"000")),IF(G52="Serviço",CONCATENATE(TEXT(B52,"00"),".",TEXT(C52,"000"),".",TEXT(D52,"000"),".",TEXT(E52,"000")),"")))))</f>
        <v>03.001.005.001</v>
      </c>
      <c r="I52" s="74" t="s">
        <v>194</v>
      </c>
      <c r="J52" s="96">
        <v>6049.1699999999992</v>
      </c>
      <c r="K52" s="127" t="s">
        <v>185</v>
      </c>
      <c r="L52" s="115">
        <v>1397358.2699999998</v>
      </c>
      <c r="M52" s="74" t="s">
        <v>189</v>
      </c>
    </row>
    <row r="53" spans="1:13" outlineLevel="1" x14ac:dyDescent="0.55000000000000004">
      <c r="A53" s="63">
        <f ca="1">IF($G53="UNIDADE CONSTRUTIVA",OFFSET(A53,0,0)+1,LARGE(A$3:A48,1))</f>
        <v>2</v>
      </c>
      <c r="B53" s="63">
        <f t="shared" ca="1" si="31"/>
        <v>3</v>
      </c>
      <c r="C53" s="63">
        <f t="shared" ca="1" si="32"/>
        <v>1</v>
      </c>
      <c r="D53" s="64">
        <f t="shared" ca="1" si="33"/>
        <v>5</v>
      </c>
      <c r="E53" s="64">
        <f t="shared" ca="1" si="34"/>
        <v>2</v>
      </c>
      <c r="F53" s="65"/>
      <c r="G53" s="73" t="s">
        <v>154</v>
      </c>
      <c r="H53" s="67" t="str">
        <f t="shared" ca="1" si="35"/>
        <v>03.001.005.002</v>
      </c>
      <c r="I53" s="74" t="s">
        <v>424</v>
      </c>
      <c r="J53" s="96">
        <v>1</v>
      </c>
      <c r="K53" s="127" t="s">
        <v>217</v>
      </c>
      <c r="L53" s="115">
        <v>8250</v>
      </c>
      <c r="M53" s="74" t="s">
        <v>428</v>
      </c>
    </row>
    <row r="54" spans="1:13" ht="20.45" customHeight="1" x14ac:dyDescent="0.55000000000000004">
      <c r="A54" s="63">
        <f ca="1">IF($G54="UNIDADE CONSTRUTIVA",OFFSET(A54,0,0)+1,LARGE(A$3:A53,1))</f>
        <v>2</v>
      </c>
      <c r="B54" s="63">
        <f t="shared" ca="1" si="31"/>
        <v>4</v>
      </c>
      <c r="C54" s="63">
        <f t="shared" ca="1" si="32"/>
        <v>0</v>
      </c>
      <c r="D54" s="64">
        <f t="shared" ca="1" si="33"/>
        <v>5</v>
      </c>
      <c r="E54" s="64">
        <f t="shared" ca="1" si="34"/>
        <v>2</v>
      </c>
      <c r="F54" s="65"/>
      <c r="G54" s="71" t="s">
        <v>156</v>
      </c>
      <c r="H54" s="67" t="str">
        <f t="shared" ca="1" si="9"/>
        <v>04</v>
      </c>
      <c r="I54" s="72" t="s">
        <v>43</v>
      </c>
      <c r="J54" s="95"/>
      <c r="K54" s="125"/>
      <c r="L54" s="113">
        <f>L55</f>
        <v>2968837.6899737972</v>
      </c>
      <c r="M54" s="72"/>
    </row>
    <row r="55" spans="1:13" ht="20.45" customHeight="1" outlineLevel="1" x14ac:dyDescent="0.55000000000000004">
      <c r="A55" s="63">
        <f ca="1">IF($G55="UNIDADE CONSTRUTIVA",OFFSET(A55,0,0)+1,LARGE(A$3:A54,1))</f>
        <v>2</v>
      </c>
      <c r="B55" s="63">
        <f t="shared" ca="1" si="31"/>
        <v>4</v>
      </c>
      <c r="C55" s="63">
        <f t="shared" ca="1" si="32"/>
        <v>1</v>
      </c>
      <c r="D55" s="64">
        <f t="shared" ca="1" si="33"/>
        <v>0</v>
      </c>
      <c r="E55" s="64">
        <f t="shared" ca="1" si="34"/>
        <v>2</v>
      </c>
      <c r="F55" s="65"/>
      <c r="G55" s="71" t="s">
        <v>157</v>
      </c>
      <c r="H55" s="67" t="str">
        <f t="shared" ca="1" si="9"/>
        <v>04.001</v>
      </c>
      <c r="I55" s="80" t="s">
        <v>43</v>
      </c>
      <c r="J55" s="107"/>
      <c r="K55" s="130"/>
      <c r="L55" s="126">
        <f>SUM(L56:L73)/2</f>
        <v>2968837.6899737972</v>
      </c>
      <c r="M55" s="80"/>
    </row>
    <row r="56" spans="1:13" ht="20.45" customHeight="1" outlineLevel="1" x14ac:dyDescent="0.55000000000000004">
      <c r="A56" s="63">
        <f ca="1">IF($G56="UNIDADE CONSTRUTIVA",OFFSET(A56,0,0)+1,LARGE(A$3:A55,1))</f>
        <v>2</v>
      </c>
      <c r="B56" s="63">
        <f t="shared" ca="1" si="31"/>
        <v>4</v>
      </c>
      <c r="C56" s="63">
        <f t="shared" ca="1" si="32"/>
        <v>1</v>
      </c>
      <c r="D56" s="64">
        <f t="shared" ca="1" si="33"/>
        <v>1</v>
      </c>
      <c r="E56" s="64">
        <f t="shared" ca="1" si="34"/>
        <v>0</v>
      </c>
      <c r="F56" s="65"/>
      <c r="G56" s="73" t="s">
        <v>153</v>
      </c>
      <c r="H56" s="67" t="str">
        <f t="shared" ca="1" si="9"/>
        <v>04.001.001</v>
      </c>
      <c r="I56" s="74" t="s">
        <v>44</v>
      </c>
      <c r="J56" s="96"/>
      <c r="K56" s="127"/>
      <c r="L56" s="115">
        <f>SUM(L57)</f>
        <v>0</v>
      </c>
      <c r="M56" s="74"/>
    </row>
    <row r="57" spans="1:13" ht="20.45" customHeight="1" outlineLevel="1" x14ac:dyDescent="0.55000000000000004">
      <c r="A57" s="63">
        <f ca="1">IF($G57="UNIDADE CONSTRUTIVA",OFFSET(A57,0,0)+1,LARGE(A$3:A56,1))</f>
        <v>2</v>
      </c>
      <c r="B57" s="63">
        <f t="shared" ca="1" si="31"/>
        <v>4</v>
      </c>
      <c r="C57" s="63">
        <f t="shared" ca="1" si="32"/>
        <v>1</v>
      </c>
      <c r="D57" s="64">
        <f t="shared" ca="1" si="33"/>
        <v>1</v>
      </c>
      <c r="E57" s="64">
        <f t="shared" ca="1" si="34"/>
        <v>1</v>
      </c>
      <c r="F57" s="65"/>
      <c r="G57" s="73" t="s">
        <v>154</v>
      </c>
      <c r="H57" s="67" t="str">
        <f t="shared" ref="H57" ca="1" si="43">IF(G57="Unidade Construtiva",TEXT(A57,"00"),IF(G57="Célula Construtiva",TEXT(B57,"00"),IF(G57="Etapa",CONCATENATE(TEXT(B57,"00"),".",TEXT(C57,"000")),IF(G57="Subetapa",CONCATENATE(TEXT(B57,"00"),".",TEXT(C57,"000"),".",TEXT(D57,"000")),IF(G57="Serviço",CONCATENATE(TEXT(B57,"00"),".",TEXT(C57,"000"),".",TEXT(D57,"000"),".",TEXT(E57,"000")),"")))))</f>
        <v>04.001.001.001</v>
      </c>
      <c r="I57" s="74" t="s">
        <v>44</v>
      </c>
      <c r="J57" s="96"/>
      <c r="K57" s="127"/>
      <c r="L57" s="115"/>
      <c r="M57" s="74" t="s">
        <v>197</v>
      </c>
    </row>
    <row r="58" spans="1:13" ht="20.45" customHeight="1" outlineLevel="1" x14ac:dyDescent="0.55000000000000004">
      <c r="A58" s="63">
        <f ca="1">IF($G58="UNIDADE CONSTRUTIVA",OFFSET(A58,0,0)+1,LARGE(A$3:A56,1))</f>
        <v>2</v>
      </c>
      <c r="B58" s="63">
        <f t="shared" ca="1" si="31"/>
        <v>4</v>
      </c>
      <c r="C58" s="63">
        <f t="shared" ca="1" si="32"/>
        <v>1</v>
      </c>
      <c r="D58" s="64">
        <f t="shared" ca="1" si="33"/>
        <v>2</v>
      </c>
      <c r="E58" s="64">
        <f t="shared" ca="1" si="34"/>
        <v>0</v>
      </c>
      <c r="F58" s="65"/>
      <c r="G58" s="73" t="s">
        <v>153</v>
      </c>
      <c r="H58" s="67" t="str">
        <f t="shared" ca="1" si="9"/>
        <v>04.001.002</v>
      </c>
      <c r="I58" s="74" t="s">
        <v>45</v>
      </c>
      <c r="J58" s="96"/>
      <c r="K58" s="127"/>
      <c r="L58" s="115">
        <f>SUM(L59:L60)</f>
        <v>256936.84968600003</v>
      </c>
      <c r="M58" s="74"/>
    </row>
    <row r="59" spans="1:13" ht="20.45" customHeight="1" outlineLevel="1" x14ac:dyDescent="0.55000000000000004">
      <c r="A59" s="63">
        <f ca="1">IF($G59="UNIDADE CONSTRUTIVA",OFFSET(A59,0,0)+1,LARGE(A$3:A58,1))</f>
        <v>2</v>
      </c>
      <c r="B59" s="63">
        <f t="shared" ca="1" si="31"/>
        <v>4</v>
      </c>
      <c r="C59" s="63">
        <f t="shared" ca="1" si="32"/>
        <v>1</v>
      </c>
      <c r="D59" s="64">
        <f t="shared" ca="1" si="33"/>
        <v>2</v>
      </c>
      <c r="E59" s="64">
        <f t="shared" ca="1" si="34"/>
        <v>1</v>
      </c>
      <c r="F59" s="65"/>
      <c r="G59" s="73" t="s">
        <v>154</v>
      </c>
      <c r="H59" s="67" t="str">
        <f t="shared" ref="H59" ca="1" si="44">IF(G59="Unidade Construtiva",TEXT(A59,"00"),IF(G59="Célula Construtiva",TEXT(B59,"00"),IF(G59="Etapa",CONCATENATE(TEXT(B59,"00"),".",TEXT(C59,"000")),IF(G59="Subetapa",CONCATENATE(TEXT(B59,"00"),".",TEXT(C59,"000"),".",TEXT(D59,"000")),IF(G59="Serviço",CONCATENATE(TEXT(B59,"00"),".",TEXT(C59,"000"),".",TEXT(D59,"000"),".",TEXT(E59,"000")),"")))))</f>
        <v>04.001.002.001</v>
      </c>
      <c r="I59" s="74" t="s">
        <v>45</v>
      </c>
      <c r="J59" s="131">
        <v>2678.8176899999999</v>
      </c>
      <c r="K59" s="127" t="s">
        <v>185</v>
      </c>
      <c r="L59" s="115">
        <v>159121.77078600001</v>
      </c>
      <c r="M59" s="74" t="s">
        <v>198</v>
      </c>
    </row>
    <row r="60" spans="1:13" ht="20.45" customHeight="1" outlineLevel="1" x14ac:dyDescent="0.55000000000000004">
      <c r="A60" s="63">
        <f ca="1">IF($G60="UNIDADE CONSTRUTIVA",OFFSET(A60,0,0)+1,LARGE(A$3:A59,1))</f>
        <v>2</v>
      </c>
      <c r="B60" s="63">
        <f t="shared" ca="1" si="31"/>
        <v>4</v>
      </c>
      <c r="C60" s="63">
        <f t="shared" ca="1" si="32"/>
        <v>1</v>
      </c>
      <c r="D60" s="64">
        <f t="shared" ca="1" si="33"/>
        <v>2</v>
      </c>
      <c r="E60" s="64">
        <f t="shared" ca="1" si="34"/>
        <v>2</v>
      </c>
      <c r="F60" s="65"/>
      <c r="G60" s="73" t="s">
        <v>154</v>
      </c>
      <c r="H60" s="67" t="str">
        <f t="shared" ref="H60" ca="1" si="45">IF(G60="Unidade Construtiva",TEXT(A60,"00"),IF(G60="Célula Construtiva",TEXT(B60,"00"),IF(G60="Etapa",CONCATENATE(TEXT(B60,"00"),".",TEXT(C60,"000")),IF(G60="Subetapa",CONCATENATE(TEXT(B60,"00"),".",TEXT(C60,"000"),".",TEXT(D60,"000")),IF(G60="Serviço",CONCATENATE(TEXT(B60,"00"),".",TEXT(C60,"000"),".",TEXT(D60,"000"),".",TEXT(E60,"000")),"")))))</f>
        <v>04.001.002.002</v>
      </c>
      <c r="I60" s="74" t="s">
        <v>196</v>
      </c>
      <c r="J60" s="131">
        <v>1209.8339999999998</v>
      </c>
      <c r="K60" s="127" t="s">
        <v>185</v>
      </c>
      <c r="L60" s="115">
        <v>97815.078900000008</v>
      </c>
      <c r="M60" s="74" t="s">
        <v>199</v>
      </c>
    </row>
    <row r="61" spans="1:13" ht="20.45" customHeight="1" outlineLevel="1" x14ac:dyDescent="0.55000000000000004">
      <c r="A61" s="63">
        <f ca="1">IF($G61="UNIDADE CONSTRUTIVA",OFFSET(A61,0,0)+1,LARGE(A$3:A58,1))</f>
        <v>2</v>
      </c>
      <c r="B61" s="63">
        <f t="shared" ca="1" si="31"/>
        <v>4</v>
      </c>
      <c r="C61" s="63">
        <f t="shared" ca="1" si="32"/>
        <v>1</v>
      </c>
      <c r="D61" s="64">
        <f t="shared" ca="1" si="33"/>
        <v>3</v>
      </c>
      <c r="E61" s="64">
        <f t="shared" ca="1" si="34"/>
        <v>0</v>
      </c>
      <c r="F61" s="65"/>
      <c r="G61" s="73" t="s">
        <v>153</v>
      </c>
      <c r="H61" s="67" t="str">
        <f t="shared" ca="1" si="9"/>
        <v>04.001.003</v>
      </c>
      <c r="I61" s="74" t="s">
        <v>46</v>
      </c>
      <c r="J61" s="96"/>
      <c r="K61" s="127"/>
      <c r="L61" s="115">
        <f>SUM(L62:L63)</f>
        <v>78865.760737500008</v>
      </c>
      <c r="M61" s="74"/>
    </row>
    <row r="62" spans="1:13" ht="37.5" outlineLevel="1" x14ac:dyDescent="0.55000000000000004">
      <c r="A62" s="63">
        <f ca="1">IF($G62="UNIDADE CONSTRUTIVA",OFFSET(A62,0,0)+1,LARGE(A$3:A61,1))</f>
        <v>2</v>
      </c>
      <c r="B62" s="63">
        <f t="shared" ca="1" si="31"/>
        <v>4</v>
      </c>
      <c r="C62" s="63">
        <f t="shared" ca="1" si="32"/>
        <v>1</v>
      </c>
      <c r="D62" s="64">
        <f t="shared" ca="1" si="33"/>
        <v>3</v>
      </c>
      <c r="E62" s="64">
        <f t="shared" ca="1" si="34"/>
        <v>1</v>
      </c>
      <c r="F62" s="65"/>
      <c r="G62" s="73" t="s">
        <v>154</v>
      </c>
      <c r="H62" s="67" t="str">
        <f t="shared" ref="H62" ca="1" si="46">IF(G62="Unidade Construtiva",TEXT(A62,"00"),IF(G62="Célula Construtiva",TEXT(B62,"00"),IF(G62="Etapa",CONCATENATE(TEXT(B62,"00"),".",TEXT(C62,"000")),IF(G62="Subetapa",CONCATENATE(TEXT(B62,"00"),".",TEXT(C62,"000"),".",TEXT(D62,"000")),IF(G62="Serviço",CONCATENATE(TEXT(B62,"00"),".",TEXT(C62,"000"),".",TEXT(D62,"000"),".",TEXT(E62,"000")),"")))))</f>
        <v>04.001.003.001</v>
      </c>
      <c r="I62" s="74" t="s">
        <v>46</v>
      </c>
      <c r="J62" s="131">
        <v>3888.6516899999997</v>
      </c>
      <c r="K62" s="127" t="s">
        <v>185</v>
      </c>
      <c r="L62" s="115">
        <v>53468.960737500005</v>
      </c>
      <c r="M62" s="74" t="s">
        <v>201</v>
      </c>
    </row>
    <row r="63" spans="1:13" outlineLevel="1" x14ac:dyDescent="0.55000000000000004">
      <c r="A63" s="63">
        <f ca="1">IF($G63="UNIDADE CONSTRUTIVA",OFFSET(A63,0,0)+1,LARGE(A$3:A62,1))</f>
        <v>2</v>
      </c>
      <c r="B63" s="63">
        <f t="shared" ref="B63" ca="1" si="47">IF(G63="UNIDADE CONSTRUTIVA",0,IF(G63="CÉLULA CONSTRUTIVA",OFFSET(B63,-1,0)+1,OFFSET(B63,-1,0)))</f>
        <v>4</v>
      </c>
      <c r="C63" s="63">
        <f t="shared" ref="C63" ca="1" si="48">IF(G63="CÉLULA CONSTRUTIVA",0,IF(G63="ETAPA",OFFSET(C63,-1,0)+1,OFFSET(C63,-1,0)))</f>
        <v>1</v>
      </c>
      <c r="D63" s="64">
        <f t="shared" ref="D63" ca="1" si="49">IF(G63="ETAPA",0,IF(G63="SUBETAPA",OFFSET(D63,-1,0)+1,OFFSET(D63,-1,0)))</f>
        <v>3</v>
      </c>
      <c r="E63" s="64">
        <f t="shared" ref="E63" ca="1" si="50">IF(G63="Subetapa",0,IF(G63="serviço",OFFSET(E63,-1,0)+1,OFFSET(E63,-1,0)))</f>
        <v>2</v>
      </c>
      <c r="F63" s="65"/>
      <c r="G63" s="73" t="s">
        <v>154</v>
      </c>
      <c r="H63" s="67" t="str">
        <f t="shared" ref="H63" ca="1" si="51">IF(G63="Unidade Construtiva",TEXT(A63,"00"),IF(G63="Célula Construtiva",TEXT(B63,"00"),IF(G63="Etapa",CONCATENATE(TEXT(B63,"00"),".",TEXT(C63,"000")),IF(G63="Subetapa",CONCATENATE(TEXT(B63,"00"),".",TEXT(C63,"000"),".",TEXT(D63,"000")),IF(G63="Serviço",CONCATENATE(TEXT(B63,"00"),".",TEXT(C63,"000"),".",TEXT(D63,"000"),".",TEXT(E63,"000")),"")))))</f>
        <v>04.001.003.002</v>
      </c>
      <c r="I63" s="74" t="s">
        <v>639</v>
      </c>
      <c r="J63" s="131">
        <v>35.519999999999996</v>
      </c>
      <c r="K63" s="127" t="s">
        <v>185</v>
      </c>
      <c r="L63" s="115">
        <v>25396.799999999999</v>
      </c>
      <c r="M63" s="74" t="s">
        <v>638</v>
      </c>
    </row>
    <row r="64" spans="1:13" ht="20.45" customHeight="1" outlineLevel="1" x14ac:dyDescent="0.55000000000000004">
      <c r="A64" s="63">
        <f ca="1">IF($G64="UNIDADE CONSTRUTIVA",OFFSET(A64,0,0)+1,LARGE(A$3:A61,1))</f>
        <v>2</v>
      </c>
      <c r="B64" s="63">
        <f t="shared" ca="1" si="31"/>
        <v>4</v>
      </c>
      <c r="C64" s="63">
        <f t="shared" ca="1" si="32"/>
        <v>1</v>
      </c>
      <c r="D64" s="64">
        <f t="shared" ca="1" si="33"/>
        <v>4</v>
      </c>
      <c r="E64" s="64">
        <f t="shared" ca="1" si="34"/>
        <v>0</v>
      </c>
      <c r="F64" s="65"/>
      <c r="G64" s="73" t="s">
        <v>153</v>
      </c>
      <c r="H64" s="67" t="str">
        <f t="shared" ca="1" si="9"/>
        <v>04.001.004</v>
      </c>
      <c r="I64" s="74" t="s">
        <v>47</v>
      </c>
      <c r="J64" s="131"/>
      <c r="K64" s="127"/>
      <c r="L64" s="115">
        <f>SUM(L65:L70)</f>
        <v>2152082.8886662968</v>
      </c>
      <c r="M64" s="74"/>
    </row>
    <row r="65" spans="1:13" ht="20.45" customHeight="1" outlineLevel="1" x14ac:dyDescent="0.55000000000000004">
      <c r="A65" s="63">
        <f ca="1">IF($G65="UNIDADE CONSTRUTIVA",OFFSET(A65,0,0)+1,LARGE(A$3:A64,1))</f>
        <v>2</v>
      </c>
      <c r="B65" s="63">
        <f t="shared" ca="1" si="31"/>
        <v>4</v>
      </c>
      <c r="C65" s="63">
        <f t="shared" ca="1" si="32"/>
        <v>1</v>
      </c>
      <c r="D65" s="64">
        <f t="shared" ca="1" si="33"/>
        <v>4</v>
      </c>
      <c r="E65" s="64">
        <f t="shared" ca="1" si="34"/>
        <v>1</v>
      </c>
      <c r="F65" s="65"/>
      <c r="G65" s="73" t="s">
        <v>154</v>
      </c>
      <c r="H65" s="67" t="str">
        <f t="shared" ref="H65" ca="1" si="52">IF(G65="Unidade Construtiva",TEXT(A65,"00"),IF(G65="Célula Construtiva",TEXT(B65,"00"),IF(G65="Etapa",CONCATENATE(TEXT(B65,"00"),".",TEXT(C65,"000")),IF(G65="Subetapa",CONCATENATE(TEXT(B65,"00"),".",TEXT(C65,"000"),".",TEXT(D65,"000")),IF(G65="Serviço",CONCATENATE(TEXT(B65,"00"),".",TEXT(C65,"000"),".",TEXT(D65,"000"),".",TEXT(E65,"000")),"")))))</f>
        <v>04.001.004.001</v>
      </c>
      <c r="I65" s="74" t="s">
        <v>435</v>
      </c>
      <c r="J65" s="131">
        <v>2661.6347999999998</v>
      </c>
      <c r="K65" s="127" t="s">
        <v>185</v>
      </c>
      <c r="L65" s="115">
        <v>1424738.5972877399</v>
      </c>
      <c r="M65" s="74" t="s">
        <v>445</v>
      </c>
    </row>
    <row r="66" spans="1:13" ht="20.45" customHeight="1" outlineLevel="1" x14ac:dyDescent="0.55000000000000004">
      <c r="A66" s="63">
        <f ca="1">IF($G66="UNIDADE CONSTRUTIVA",OFFSET(A66,0,0)+1,LARGE(A$3:A65,1))</f>
        <v>2</v>
      </c>
      <c r="B66" s="63">
        <f t="shared" ca="1" si="31"/>
        <v>4</v>
      </c>
      <c r="C66" s="63">
        <f t="shared" ca="1" si="32"/>
        <v>1</v>
      </c>
      <c r="D66" s="64">
        <f t="shared" ca="1" si="33"/>
        <v>4</v>
      </c>
      <c r="E66" s="64">
        <f t="shared" ca="1" si="34"/>
        <v>2</v>
      </c>
      <c r="F66" s="65"/>
      <c r="G66" s="73" t="s">
        <v>154</v>
      </c>
      <c r="H66" s="67" t="str">
        <f t="shared" ref="H66" ca="1" si="53">IF(G66="Unidade Construtiva",TEXT(A66,"00"),IF(G66="Célula Construtiva",TEXT(B66,"00"),IF(G66="Etapa",CONCATENATE(TEXT(B66,"00"),".",TEXT(C66,"000")),IF(G66="Subetapa",CONCATENATE(TEXT(B66,"00"),".",TEXT(C66,"000"),".",TEXT(D66,"000")),IF(G66="Serviço",CONCATENATE(TEXT(B66,"00"),".",TEXT(C66,"000"),".",TEXT(D66,"000"),".",TEXT(E66,"000")),"")))))</f>
        <v>04.001.004.002</v>
      </c>
      <c r="I66" s="74" t="s">
        <v>436</v>
      </c>
      <c r="J66" s="131">
        <v>1693.7675999999999</v>
      </c>
      <c r="K66" s="127" t="s">
        <v>185</v>
      </c>
      <c r="L66" s="115">
        <v>356177.30730119999</v>
      </c>
      <c r="M66" s="74" t="s">
        <v>430</v>
      </c>
    </row>
    <row r="67" spans="1:13" ht="20.45" customHeight="1" outlineLevel="1" x14ac:dyDescent="0.55000000000000004">
      <c r="A67" s="63">
        <f ca="1">IF($G67="UNIDADE CONSTRUTIVA",OFFSET(A67,0,0)+1,LARGE(A$3:A65,1))</f>
        <v>2</v>
      </c>
      <c r="B67" s="63">
        <f t="shared" ca="1" si="31"/>
        <v>4</v>
      </c>
      <c r="C67" s="63">
        <f t="shared" ca="1" si="32"/>
        <v>1</v>
      </c>
      <c r="D67" s="64">
        <f t="shared" ca="1" si="33"/>
        <v>4</v>
      </c>
      <c r="E67" s="64">
        <f t="shared" ca="1" si="34"/>
        <v>3</v>
      </c>
      <c r="F67" s="65"/>
      <c r="G67" s="73" t="s">
        <v>154</v>
      </c>
      <c r="H67" s="67" t="str">
        <f t="shared" ref="H67" ca="1" si="54">IF(G67="Unidade Construtiva",TEXT(A67,"00"),IF(G67="Célula Construtiva",TEXT(B67,"00"),IF(G67="Etapa",CONCATENATE(TEXT(B67,"00"),".",TEXT(C67,"000")),IF(G67="Subetapa",CONCATENATE(TEXT(B67,"00"),".",TEXT(C67,"000"),".",TEXT(D67,"000")),IF(G67="Serviço",CONCATENATE(TEXT(B67,"00"),".",TEXT(C67,"000"),".",TEXT(D67,"000"),".",TEXT(E67,"000")),"")))))</f>
        <v>04.001.004.003</v>
      </c>
      <c r="I67" s="74" t="s">
        <v>437</v>
      </c>
      <c r="J67" s="131"/>
      <c r="K67" s="127"/>
      <c r="L67" s="115"/>
      <c r="M67" s="74"/>
    </row>
    <row r="68" spans="1:13" ht="20.45" customHeight="1" outlineLevel="1" x14ac:dyDescent="0.55000000000000004">
      <c r="A68" s="63">
        <f ca="1">IF($G68="UNIDADE CONSTRUTIVA",OFFSET(A68,0,0)+1,LARGE(A$3:A67,1))</f>
        <v>2</v>
      </c>
      <c r="B68" s="63">
        <f t="shared" ca="1" si="31"/>
        <v>4</v>
      </c>
      <c r="C68" s="63">
        <f t="shared" ca="1" si="32"/>
        <v>1</v>
      </c>
      <c r="D68" s="64">
        <f t="shared" ca="1" si="33"/>
        <v>4</v>
      </c>
      <c r="E68" s="64">
        <f t="shared" ca="1" si="34"/>
        <v>4</v>
      </c>
      <c r="F68" s="65"/>
      <c r="G68" s="73" t="s">
        <v>154</v>
      </c>
      <c r="H68" s="67" t="str">
        <f t="shared" ref="H68:H69" ca="1" si="55">IF(G68="Unidade Construtiva",TEXT(A68,"00"),IF(G68="Célula Construtiva",TEXT(B68,"00"),IF(G68="Etapa",CONCATENATE(TEXT(B68,"00"),".",TEXT(C68,"000")),IF(G68="Subetapa",CONCATENATE(TEXT(B68,"00"),".",TEXT(C68,"000"),".",TEXT(D68,"000")),IF(G68="Serviço",CONCATENATE(TEXT(B68,"00"),".",TEXT(C68,"000"),".",TEXT(D68,"000"),".",TEXT(E68,"000")),"")))))</f>
        <v>04.001.004.004</v>
      </c>
      <c r="I68" s="74" t="s">
        <v>200</v>
      </c>
      <c r="J68" s="131"/>
      <c r="K68" s="127"/>
      <c r="L68" s="115"/>
      <c r="M68" s="74"/>
    </row>
    <row r="69" spans="1:13" ht="20.45" customHeight="1" outlineLevel="1" x14ac:dyDescent="0.55000000000000004">
      <c r="A69" s="63">
        <f ca="1">IF($G69="UNIDADE CONSTRUTIVA",OFFSET(A69,0,0)+1,LARGE(A$3:A67,1))</f>
        <v>2</v>
      </c>
      <c r="B69" s="63">
        <f t="shared" ref="B69" ca="1" si="56">IF(G69="UNIDADE CONSTRUTIVA",0,IF(G69="CÉLULA CONSTRUTIVA",OFFSET(B69,-1,0)+1,OFFSET(B69,-1,0)))</f>
        <v>4</v>
      </c>
      <c r="C69" s="63">
        <f t="shared" ref="C69" ca="1" si="57">IF(G69="CÉLULA CONSTRUTIVA",0,IF(G69="ETAPA",OFFSET(C69,-1,0)+1,OFFSET(C69,-1,0)))</f>
        <v>1</v>
      </c>
      <c r="D69" s="64">
        <f t="shared" ref="D69" ca="1" si="58">IF(G69="ETAPA",0,IF(G69="SUBETAPA",OFFSET(D69,-1,0)+1,OFFSET(D69,-1,0)))</f>
        <v>4</v>
      </c>
      <c r="E69" s="64">
        <f t="shared" ref="E69" ca="1" si="59">IF(G69="Subetapa",0,IF(G69="serviço",OFFSET(E69,-1,0)+1,OFFSET(E69,-1,0)))</f>
        <v>5</v>
      </c>
      <c r="F69" s="65"/>
      <c r="G69" s="73" t="s">
        <v>154</v>
      </c>
      <c r="H69" s="67" t="str">
        <f t="shared" ca="1" si="55"/>
        <v>04.001.004.005</v>
      </c>
      <c r="I69" s="74" t="s">
        <v>431</v>
      </c>
      <c r="J69" s="131">
        <v>2678.8176899999999</v>
      </c>
      <c r="K69" s="127" t="s">
        <v>185</v>
      </c>
      <c r="L69" s="115">
        <v>323288.85764559906</v>
      </c>
      <c r="M69" s="74" t="s">
        <v>444</v>
      </c>
    </row>
    <row r="70" spans="1:13" ht="20.45" customHeight="1" outlineLevel="1" x14ac:dyDescent="0.55000000000000004">
      <c r="A70" s="63">
        <f ca="1">IF($G70="UNIDADE CONSTRUTIVA",OFFSET(A70,0,0)+1,LARGE(A$3:A68,1))</f>
        <v>2</v>
      </c>
      <c r="B70" s="63">
        <f t="shared" ca="1" si="31"/>
        <v>4</v>
      </c>
      <c r="C70" s="63">
        <f t="shared" ca="1" si="32"/>
        <v>1</v>
      </c>
      <c r="D70" s="64">
        <f t="shared" ca="1" si="33"/>
        <v>4</v>
      </c>
      <c r="E70" s="64">
        <f t="shared" ca="1" si="34"/>
        <v>6</v>
      </c>
      <c r="F70" s="65"/>
      <c r="G70" s="73" t="s">
        <v>154</v>
      </c>
      <c r="H70" s="67" t="str">
        <f t="shared" ref="H70" ca="1" si="60">IF(G70="Unidade Construtiva",TEXT(A70,"00"),IF(G70="Célula Construtiva",TEXT(B70,"00"),IF(G70="Etapa",CONCATENATE(TEXT(B70,"00"),".",TEXT(C70,"000")),IF(G70="Subetapa",CONCATENATE(TEXT(B70,"00"),".",TEXT(C70,"000"),".",TEXT(D70,"000")),IF(G70="Serviço",CONCATENATE(TEXT(B70,"00"),".",TEXT(C70,"000"),".",TEXT(D70,"000"),".",TEXT(E70,"000")),"")))))</f>
        <v>04.001.004.006</v>
      </c>
      <c r="I70" s="74" t="s">
        <v>429</v>
      </c>
      <c r="J70" s="131">
        <v>396.72500000000002</v>
      </c>
      <c r="K70" s="127" t="s">
        <v>185</v>
      </c>
      <c r="L70" s="115">
        <v>47878.126431758152</v>
      </c>
      <c r="M70" s="74" t="s">
        <v>444</v>
      </c>
    </row>
    <row r="71" spans="1:13" ht="20.45" customHeight="1" outlineLevel="1" x14ac:dyDescent="0.55000000000000004">
      <c r="A71" s="63">
        <f ca="1">IF($G71="UNIDADE CONSTRUTIVA",OFFSET(A71,0,0)+1,LARGE(A$3:A64,1))</f>
        <v>2</v>
      </c>
      <c r="B71" s="63">
        <f t="shared" ca="1" si="31"/>
        <v>4</v>
      </c>
      <c r="C71" s="63">
        <f t="shared" ca="1" si="32"/>
        <v>1</v>
      </c>
      <c r="D71" s="64">
        <f t="shared" ca="1" si="33"/>
        <v>5</v>
      </c>
      <c r="E71" s="64">
        <f t="shared" ca="1" si="34"/>
        <v>0</v>
      </c>
      <c r="F71" s="65"/>
      <c r="G71" s="73" t="s">
        <v>153</v>
      </c>
      <c r="H71" s="67" t="str">
        <f t="shared" ca="1" si="9"/>
        <v>04.001.005</v>
      </c>
      <c r="I71" s="74" t="s">
        <v>39</v>
      </c>
      <c r="J71" s="131"/>
      <c r="K71" s="127"/>
      <c r="L71" s="115">
        <f>SUM(L72:L73)</f>
        <v>480952.19088400004</v>
      </c>
      <c r="M71" s="74"/>
    </row>
    <row r="72" spans="1:13" ht="20.45" customHeight="1" outlineLevel="1" x14ac:dyDescent="0.55000000000000004">
      <c r="A72" s="63">
        <f ca="1">IF($G72="UNIDADE CONSTRUTIVA",OFFSET(A72,0,0)+1,LARGE(A$3:A65,1))</f>
        <v>2</v>
      </c>
      <c r="B72" s="63">
        <f t="shared" ca="1" si="31"/>
        <v>4</v>
      </c>
      <c r="C72" s="63">
        <f t="shared" ca="1" si="32"/>
        <v>1</v>
      </c>
      <c r="D72" s="64">
        <f t="shared" ca="1" si="33"/>
        <v>5</v>
      </c>
      <c r="E72" s="64">
        <f t="shared" ca="1" si="34"/>
        <v>1</v>
      </c>
      <c r="F72" s="65"/>
      <c r="G72" s="73" t="s">
        <v>154</v>
      </c>
      <c r="H72" s="67" t="str">
        <f t="shared" ref="H72" ca="1" si="61">IF(G72="Unidade Construtiva",TEXT(A72,"00"),IF(G72="Célula Construtiva",TEXT(B72,"00"),IF(G72="Etapa",CONCATENATE(TEXT(B72,"00"),".",TEXT(C72,"000")),IF(G72="Subetapa",CONCATENATE(TEXT(B72,"00"),".",TEXT(C72,"000"),".",TEXT(D72,"000")),IF(G72="Serviço",CONCATENATE(TEXT(B72,"00"),".",TEXT(C72,"000"),".",TEXT(D72,"000"),".",TEXT(E72,"000")),"")))))</f>
        <v>04.001.005.001</v>
      </c>
      <c r="I72" s="74" t="s">
        <v>202</v>
      </c>
      <c r="J72" s="131">
        <v>3888.6516899999997</v>
      </c>
      <c r="K72" s="127" t="s">
        <v>185</v>
      </c>
      <c r="L72" s="115">
        <v>153990.60692399999</v>
      </c>
      <c r="M72" s="74"/>
    </row>
    <row r="73" spans="1:13" ht="20.45" customHeight="1" outlineLevel="1" x14ac:dyDescent="0.55000000000000004">
      <c r="A73" s="63">
        <f ca="1">IF($G73="UNIDADE CONSTRUTIVA",OFFSET(A73,0,0)+1,LARGE(A$3:A66,1))</f>
        <v>2</v>
      </c>
      <c r="B73" s="63">
        <f t="shared" ca="1" si="31"/>
        <v>4</v>
      </c>
      <c r="C73" s="63">
        <f t="shared" ca="1" si="32"/>
        <v>1</v>
      </c>
      <c r="D73" s="64">
        <f t="shared" ca="1" si="33"/>
        <v>5</v>
      </c>
      <c r="E73" s="64">
        <f t="shared" ca="1" si="34"/>
        <v>2</v>
      </c>
      <c r="F73" s="65"/>
      <c r="G73" s="73" t="s">
        <v>154</v>
      </c>
      <c r="H73" s="67" t="str">
        <f t="shared" ref="H73" ca="1" si="62">IF(G73="Unidade Construtiva",TEXT(A73,"00"),IF(G73="Célula Construtiva",TEXT(B73,"00"),IF(G73="Etapa",CONCATENATE(TEXT(B73,"00"),".",TEXT(C73,"000")),IF(G73="Subetapa",CONCATENATE(TEXT(B73,"00"),".",TEXT(C73,"000"),".",TEXT(D73,"000")),IF(G73="Serviço",CONCATENATE(TEXT(B73,"00"),".",TEXT(C73,"000"),".",TEXT(D73,"000"),".",TEXT(E73,"000")),"")))))</f>
        <v>04.001.005.002</v>
      </c>
      <c r="I73" s="74" t="s">
        <v>203</v>
      </c>
      <c r="J73" s="131">
        <f>SUM(J65:J70)</f>
        <v>7430.9450900000002</v>
      </c>
      <c r="K73" s="127" t="s">
        <v>185</v>
      </c>
      <c r="L73" s="115">
        <v>326961.58396000002</v>
      </c>
      <c r="M73" s="74"/>
    </row>
    <row r="74" spans="1:13" ht="20.45" customHeight="1" x14ac:dyDescent="0.55000000000000004">
      <c r="A74" s="63">
        <f ca="1">IF($G74="UNIDADE CONSTRUTIVA",OFFSET(A74,0,0)+1,LARGE(A$3:A71,1))</f>
        <v>2</v>
      </c>
      <c r="B74" s="63">
        <f t="shared" ca="1" si="31"/>
        <v>5</v>
      </c>
      <c r="C74" s="63">
        <f t="shared" ca="1" si="32"/>
        <v>0</v>
      </c>
      <c r="D74" s="64">
        <f t="shared" ca="1" si="33"/>
        <v>5</v>
      </c>
      <c r="E74" s="64">
        <f t="shared" ca="1" si="34"/>
        <v>2</v>
      </c>
      <c r="F74" s="65"/>
      <c r="G74" s="71" t="s">
        <v>156</v>
      </c>
      <c r="H74" s="67" t="str">
        <f t="shared" ca="1" si="9"/>
        <v>05</v>
      </c>
      <c r="I74" s="72" t="s">
        <v>48</v>
      </c>
      <c r="J74" s="95"/>
      <c r="K74" s="125"/>
      <c r="L74" s="113">
        <f>L75</f>
        <v>493452.24824999995</v>
      </c>
      <c r="M74" s="72"/>
    </row>
    <row r="75" spans="1:13" ht="20.45" customHeight="1" outlineLevel="1" x14ac:dyDescent="0.55000000000000004">
      <c r="A75" s="63">
        <f ca="1">IF($G75="UNIDADE CONSTRUTIVA",OFFSET(A75,0,0)+1,LARGE(A$3:A74,1))</f>
        <v>2</v>
      </c>
      <c r="B75" s="63">
        <f t="shared" ca="1" si="31"/>
        <v>5</v>
      </c>
      <c r="C75" s="63">
        <f t="shared" ca="1" si="32"/>
        <v>1</v>
      </c>
      <c r="D75" s="64">
        <f t="shared" ca="1" si="33"/>
        <v>0</v>
      </c>
      <c r="E75" s="64">
        <f t="shared" ca="1" si="34"/>
        <v>2</v>
      </c>
      <c r="F75" s="65"/>
      <c r="G75" s="71" t="s">
        <v>157</v>
      </c>
      <c r="H75" s="67" t="str">
        <f t="shared" ref="H75:H150" ca="1" si="63">IF(G75="Unidade Construtiva",TEXT(A75,"00"),IF(G75="Célula Construtiva",TEXT(B75,"00"),IF(G75="Etapa",CONCATENATE(TEXT(B75,"00"),".",TEXT(C75,"000")),IF(G75="Subetapa",CONCATENATE(TEXT(B75,"00"),".",TEXT(C75,"000"),".",TEXT(D75,"000")),IF(G75="Serviço",CONCATENATE(TEXT(B75,"00"),".",TEXT(C75,"000"),".",TEXT(D75,"000"),".",TEXT(E75,"000")),"")))))</f>
        <v>05.001</v>
      </c>
      <c r="I75" s="80" t="s">
        <v>48</v>
      </c>
      <c r="J75" s="107"/>
      <c r="K75" s="130"/>
      <c r="L75" s="126">
        <f>SUM(L76:L107)/2</f>
        <v>493452.24824999995</v>
      </c>
      <c r="M75" s="80"/>
    </row>
    <row r="76" spans="1:13" ht="20.45" customHeight="1" outlineLevel="1" x14ac:dyDescent="0.55000000000000004">
      <c r="A76" s="63">
        <f ca="1">IF($G76="UNIDADE CONSTRUTIVA",OFFSET(A76,0,0)+1,LARGE(A$3:A75,1))</f>
        <v>2</v>
      </c>
      <c r="B76" s="63">
        <f t="shared" ca="1" si="31"/>
        <v>5</v>
      </c>
      <c r="C76" s="63">
        <f t="shared" ca="1" si="32"/>
        <v>1</v>
      </c>
      <c r="D76" s="64">
        <f t="shared" ca="1" si="33"/>
        <v>1</v>
      </c>
      <c r="E76" s="64">
        <f t="shared" ca="1" si="34"/>
        <v>0</v>
      </c>
      <c r="F76" s="65"/>
      <c r="G76" s="73" t="s">
        <v>153</v>
      </c>
      <c r="H76" s="67" t="str">
        <f t="shared" ca="1" si="63"/>
        <v>05.001.001</v>
      </c>
      <c r="I76" s="74" t="s">
        <v>49</v>
      </c>
      <c r="J76" s="96"/>
      <c r="K76" s="127"/>
      <c r="L76" s="115">
        <f>SUM(L77:L78)</f>
        <v>106305.79519999999</v>
      </c>
      <c r="M76" s="74"/>
    </row>
    <row r="77" spans="1:13" ht="20.45" customHeight="1" outlineLevel="1" x14ac:dyDescent="0.55000000000000004">
      <c r="A77" s="63">
        <f ca="1">IF($G77="UNIDADE CONSTRUTIVA",OFFSET(A77,0,0)+1,LARGE(A$3:A76,1))</f>
        <v>2</v>
      </c>
      <c r="B77" s="63">
        <f t="shared" ca="1" si="31"/>
        <v>5</v>
      </c>
      <c r="C77" s="63">
        <f t="shared" ca="1" si="32"/>
        <v>1</v>
      </c>
      <c r="D77" s="64">
        <f t="shared" ca="1" si="33"/>
        <v>1</v>
      </c>
      <c r="E77" s="64">
        <f t="shared" ca="1" si="34"/>
        <v>1</v>
      </c>
      <c r="F77" s="65"/>
      <c r="G77" s="73" t="s">
        <v>154</v>
      </c>
      <c r="H77" s="67" t="str">
        <f t="shared" ref="H77:H78" ca="1" si="64">IF(G77="Unidade Construtiva",TEXT(A77,"00"),IF(G77="Célula Construtiva",TEXT(B77,"00"),IF(G77="Etapa",CONCATENATE(TEXT(B77,"00"),".",TEXT(C77,"000")),IF(G77="Subetapa",CONCATENATE(TEXT(B77,"00"),".",TEXT(C77,"000"),".",TEXT(D77,"000")),IF(G77="Serviço",CONCATENATE(TEXT(B77,"00"),".",TEXT(C77,"000"),".",TEXT(D77,"000"),".",TEXT(E77,"000")),"")))))</f>
        <v>05.001.001.001</v>
      </c>
      <c r="I77" s="74" t="s">
        <v>204</v>
      </c>
      <c r="J77" s="96">
        <v>2949.0931999999998</v>
      </c>
      <c r="K77" s="127" t="s">
        <v>185</v>
      </c>
      <c r="L77" s="115">
        <v>71368.055439999996</v>
      </c>
      <c r="M77" s="74"/>
    </row>
    <row r="78" spans="1:13" ht="20.45" customHeight="1" outlineLevel="1" x14ac:dyDescent="0.55000000000000004">
      <c r="A78" s="63">
        <f ca="1">IF($G78="UNIDADE CONSTRUTIVA",OFFSET(A78,0,0)+1,LARGE(A$3:A77,1))</f>
        <v>2</v>
      </c>
      <c r="B78" s="63">
        <f t="shared" ca="1" si="31"/>
        <v>5</v>
      </c>
      <c r="C78" s="63">
        <f t="shared" ca="1" si="32"/>
        <v>1</v>
      </c>
      <c r="D78" s="64">
        <f t="shared" ca="1" si="33"/>
        <v>1</v>
      </c>
      <c r="E78" s="64">
        <f t="shared" ca="1" si="34"/>
        <v>2</v>
      </c>
      <c r="F78" s="65"/>
      <c r="G78" s="73" t="s">
        <v>154</v>
      </c>
      <c r="H78" s="67" t="str">
        <f t="shared" ca="1" si="64"/>
        <v>05.001.001.002</v>
      </c>
      <c r="I78" s="74" t="s">
        <v>205</v>
      </c>
      <c r="J78" s="96">
        <v>1134.3422</v>
      </c>
      <c r="K78" s="127" t="s">
        <v>185</v>
      </c>
      <c r="L78" s="115">
        <v>34937.739760000004</v>
      </c>
      <c r="M78" s="74"/>
    </row>
    <row r="79" spans="1:13" ht="20.45" customHeight="1" outlineLevel="1" x14ac:dyDescent="0.55000000000000004">
      <c r="A79" s="63">
        <f ca="1">IF($G79="UNIDADE CONSTRUTIVA",OFFSET(A79,0,0)+1,LARGE(A$3:A76,1))</f>
        <v>2</v>
      </c>
      <c r="B79" s="63">
        <f t="shared" ca="1" si="31"/>
        <v>5</v>
      </c>
      <c r="C79" s="63">
        <f t="shared" ca="1" si="32"/>
        <v>1</v>
      </c>
      <c r="D79" s="64">
        <f t="shared" ca="1" si="33"/>
        <v>2</v>
      </c>
      <c r="E79" s="64">
        <f t="shared" ca="1" si="34"/>
        <v>0</v>
      </c>
      <c r="F79" s="65"/>
      <c r="G79" s="73" t="s">
        <v>153</v>
      </c>
      <c r="H79" s="67" t="str">
        <f t="shared" ca="1" si="63"/>
        <v>05.001.002</v>
      </c>
      <c r="I79" s="74" t="s">
        <v>50</v>
      </c>
      <c r="J79" s="96"/>
      <c r="K79" s="127"/>
      <c r="L79" s="115">
        <f>L80</f>
        <v>0</v>
      </c>
      <c r="M79" s="74"/>
    </row>
    <row r="80" spans="1:13" ht="20.45" customHeight="1" outlineLevel="1" x14ac:dyDescent="0.55000000000000004">
      <c r="A80" s="63">
        <f ca="1">IF($G80="UNIDADE CONSTRUTIVA",OFFSET(A80,0,0)+1,LARGE(A$3:A77,1))</f>
        <v>2</v>
      </c>
      <c r="B80" s="63">
        <f t="shared" ca="1" si="31"/>
        <v>5</v>
      </c>
      <c r="C80" s="63">
        <f t="shared" ca="1" si="32"/>
        <v>1</v>
      </c>
      <c r="D80" s="64">
        <f t="shared" ca="1" si="33"/>
        <v>2</v>
      </c>
      <c r="E80" s="64">
        <f t="shared" ca="1" si="34"/>
        <v>1</v>
      </c>
      <c r="F80" s="65"/>
      <c r="G80" s="73" t="s">
        <v>154</v>
      </c>
      <c r="H80" s="67" t="str">
        <f t="shared" ref="H80" ca="1" si="65">IF(G80="Unidade Construtiva",TEXT(A80,"00"),IF(G80="Célula Construtiva",TEXT(B80,"00"),IF(G80="Etapa",CONCATENATE(TEXT(B80,"00"),".",TEXT(C80,"000")),IF(G80="Subetapa",CONCATENATE(TEXT(B80,"00"),".",TEXT(C80,"000"),".",TEXT(D80,"000")),IF(G80="Serviço",CONCATENATE(TEXT(B80,"00"),".",TEXT(C80,"000"),".",TEXT(D80,"000"),".",TEXT(E80,"000")),"")))))</f>
        <v>05.001.002.001</v>
      </c>
      <c r="I80" s="74" t="s">
        <v>50</v>
      </c>
      <c r="J80" s="96"/>
      <c r="K80" s="127"/>
      <c r="L80" s="115"/>
      <c r="M80" s="74"/>
    </row>
    <row r="81" spans="1:13" ht="20.45" customHeight="1" outlineLevel="1" x14ac:dyDescent="0.55000000000000004">
      <c r="A81" s="63">
        <f ca="1">IF($G81="UNIDADE CONSTRUTIVA",OFFSET(A81,0,0)+1,LARGE(A$3:A79,1))</f>
        <v>2</v>
      </c>
      <c r="B81" s="63">
        <f t="shared" ca="1" si="31"/>
        <v>5</v>
      </c>
      <c r="C81" s="63">
        <f t="shared" ca="1" si="32"/>
        <v>1</v>
      </c>
      <c r="D81" s="64">
        <f t="shared" ca="1" si="33"/>
        <v>3</v>
      </c>
      <c r="E81" s="64">
        <f t="shared" ca="1" si="34"/>
        <v>0</v>
      </c>
      <c r="F81" s="65"/>
      <c r="G81" s="73" t="s">
        <v>153</v>
      </c>
      <c r="H81" s="67" t="str">
        <f t="shared" ca="1" si="63"/>
        <v>05.001.003</v>
      </c>
      <c r="I81" s="74" t="s">
        <v>51</v>
      </c>
      <c r="J81" s="96"/>
      <c r="K81" s="127"/>
      <c r="L81" s="115">
        <f>L82</f>
        <v>84803.793250000002</v>
      </c>
      <c r="M81" s="74"/>
    </row>
    <row r="82" spans="1:13" ht="20.45" customHeight="1" outlineLevel="1" x14ac:dyDescent="0.55000000000000004">
      <c r="A82" s="63">
        <f ca="1">IF($G82="UNIDADE CONSTRUTIVA",OFFSET(A82,0,0)+1,LARGE(A$3:A80,1))</f>
        <v>2</v>
      </c>
      <c r="B82" s="63">
        <f t="shared" ca="1" si="31"/>
        <v>5</v>
      </c>
      <c r="C82" s="63">
        <f t="shared" ca="1" si="32"/>
        <v>1</v>
      </c>
      <c r="D82" s="64">
        <f t="shared" ca="1" si="33"/>
        <v>3</v>
      </c>
      <c r="E82" s="64">
        <f t="shared" ca="1" si="34"/>
        <v>1</v>
      </c>
      <c r="F82" s="65"/>
      <c r="G82" s="73" t="s">
        <v>154</v>
      </c>
      <c r="H82" s="67" t="str">
        <f t="shared" ref="H82" ca="1" si="66">IF(G82="Unidade Construtiva",TEXT(A82,"00"),IF(G82="Célula Construtiva",TEXT(B82,"00"),IF(G82="Etapa",CONCATENATE(TEXT(B82,"00"),".",TEXT(C82,"000")),IF(G82="Subetapa",CONCATENATE(TEXT(B82,"00"),".",TEXT(C82,"000"),".",TEXT(D82,"000")),IF(G82="Serviço",CONCATENATE(TEXT(B82,"00"),".",TEXT(C82,"000"),".",TEXT(D82,"000"),".",TEXT(E82,"000")),"")))))</f>
        <v>05.001.003.001</v>
      </c>
      <c r="I82" s="74" t="s">
        <v>51</v>
      </c>
      <c r="J82" s="128">
        <f>[6]IMPERMEABILIZAÇÃO!$D$11+[6]IMPERMEABILIZAÇÃO!$D$12</f>
        <v>2192.3575000000001</v>
      </c>
      <c r="K82" s="127" t="s">
        <v>185</v>
      </c>
      <c r="L82" s="115">
        <f>[6]IMPERMEABILIZAÇÃO!$G$11+[6]IMPERMEABILIZAÇÃO!$G$12</f>
        <v>84803.793250000002</v>
      </c>
      <c r="M82" s="74" t="s">
        <v>216</v>
      </c>
    </row>
    <row r="83" spans="1:13" ht="20.45" customHeight="1" outlineLevel="1" x14ac:dyDescent="0.55000000000000004">
      <c r="A83" s="63">
        <f ca="1">IF($G83="UNIDADE CONSTRUTIVA",OFFSET(A83,0,0)+1,LARGE(A$3:A81,1))</f>
        <v>2</v>
      </c>
      <c r="B83" s="63">
        <f t="shared" ca="1" si="31"/>
        <v>5</v>
      </c>
      <c r="C83" s="63">
        <f t="shared" ca="1" si="32"/>
        <v>1</v>
      </c>
      <c r="D83" s="64">
        <f t="shared" ca="1" si="33"/>
        <v>4</v>
      </c>
      <c r="E83" s="64">
        <f t="shared" ca="1" si="34"/>
        <v>0</v>
      </c>
      <c r="F83" s="65"/>
      <c r="G83" s="73" t="s">
        <v>153</v>
      </c>
      <c r="H83" s="67" t="str">
        <f t="shared" ca="1" si="63"/>
        <v>05.001.004</v>
      </c>
      <c r="I83" s="74" t="s">
        <v>52</v>
      </c>
      <c r="J83" s="96"/>
      <c r="K83" s="127"/>
      <c r="L83" s="115">
        <f>L84</f>
        <v>187166.46300000005</v>
      </c>
      <c r="M83" s="74"/>
    </row>
    <row r="84" spans="1:13" ht="20.45" customHeight="1" outlineLevel="1" x14ac:dyDescent="0.55000000000000004">
      <c r="A84" s="63">
        <f ca="1">IF($G84="UNIDADE CONSTRUTIVA",OFFSET(A84,0,0)+1,LARGE(A$3:A82,1))</f>
        <v>2</v>
      </c>
      <c r="B84" s="63">
        <f t="shared" ca="1" si="31"/>
        <v>5</v>
      </c>
      <c r="C84" s="63">
        <f t="shared" ca="1" si="32"/>
        <v>1</v>
      </c>
      <c r="D84" s="64">
        <f t="shared" ca="1" si="33"/>
        <v>4</v>
      </c>
      <c r="E84" s="64">
        <f t="shared" ca="1" si="34"/>
        <v>1</v>
      </c>
      <c r="F84" s="65"/>
      <c r="G84" s="73" t="s">
        <v>154</v>
      </c>
      <c r="H84" s="67" t="str">
        <f t="shared" ref="H84" ca="1" si="67">IF(G84="Unidade Construtiva",TEXT(A84,"00"),IF(G84="Célula Construtiva",TEXT(B84,"00"),IF(G84="Etapa",CONCATENATE(TEXT(B84,"00"),".",TEXT(C84,"000")),IF(G84="Subetapa",CONCATENATE(TEXT(B84,"00"),".",TEXT(C84,"000"),".",TEXT(D84,"000")),IF(G84="Serviço",CONCATENATE(TEXT(B84,"00"),".",TEXT(C84,"000"),".",TEXT(D84,"000"),".",TEXT(E84,"000")),"")))))</f>
        <v>05.001.004.001</v>
      </c>
      <c r="I84" s="74" t="s">
        <v>52</v>
      </c>
      <c r="J84" s="96">
        <v>1134.3422</v>
      </c>
      <c r="K84" s="127" t="s">
        <v>185</v>
      </c>
      <c r="L84" s="115">
        <v>187166.46300000005</v>
      </c>
      <c r="M84" s="74"/>
    </row>
    <row r="85" spans="1:13" ht="20.45" customHeight="1" outlineLevel="1" x14ac:dyDescent="0.55000000000000004">
      <c r="A85" s="63">
        <f ca="1">IF($G85="UNIDADE CONSTRUTIVA",OFFSET(A85,0,0)+1,LARGE(A$3:A83,1))</f>
        <v>2</v>
      </c>
      <c r="B85" s="63">
        <f t="shared" ca="1" si="31"/>
        <v>5</v>
      </c>
      <c r="C85" s="63">
        <f t="shared" ca="1" si="32"/>
        <v>1</v>
      </c>
      <c r="D85" s="64">
        <f t="shared" ca="1" si="33"/>
        <v>5</v>
      </c>
      <c r="E85" s="64">
        <f t="shared" ca="1" si="34"/>
        <v>0</v>
      </c>
      <c r="F85" s="65"/>
      <c r="G85" s="73" t="s">
        <v>153</v>
      </c>
      <c r="H85" s="67" t="str">
        <f t="shared" ca="1" si="63"/>
        <v>05.001.005</v>
      </c>
      <c r="I85" s="74" t="s">
        <v>53</v>
      </c>
      <c r="J85" s="96"/>
      <c r="K85" s="127"/>
      <c r="L85" s="115">
        <f>L86</f>
        <v>0</v>
      </c>
      <c r="M85" s="74"/>
    </row>
    <row r="86" spans="1:13" ht="20.45" customHeight="1" outlineLevel="1" x14ac:dyDescent="0.55000000000000004">
      <c r="A86" s="63">
        <f ca="1">IF($G86="UNIDADE CONSTRUTIVA",OFFSET(A86,0,0)+1,LARGE(A$3:A84,1))</f>
        <v>2</v>
      </c>
      <c r="B86" s="63">
        <f t="shared" ca="1" si="31"/>
        <v>5</v>
      </c>
      <c r="C86" s="63">
        <f t="shared" ca="1" si="32"/>
        <v>1</v>
      </c>
      <c r="D86" s="64">
        <f t="shared" ca="1" si="33"/>
        <v>5</v>
      </c>
      <c r="E86" s="64">
        <f t="shared" ca="1" si="34"/>
        <v>1</v>
      </c>
      <c r="F86" s="65"/>
      <c r="G86" s="73" t="s">
        <v>154</v>
      </c>
      <c r="H86" s="67" t="str">
        <f t="shared" ref="H86" ca="1" si="68">IF(G86="Unidade Construtiva",TEXT(A86,"00"),IF(G86="Célula Construtiva",TEXT(B86,"00"),IF(G86="Etapa",CONCATENATE(TEXT(B86,"00"),".",TEXT(C86,"000")),IF(G86="Subetapa",CONCATENATE(TEXT(B86,"00"),".",TEXT(C86,"000"),".",TEXT(D86,"000")),IF(G86="Serviço",CONCATENATE(TEXT(B86,"00"),".",TEXT(C86,"000"),".",TEXT(D86,"000"),".",TEXT(E86,"000")),"")))))</f>
        <v>05.001.005.001</v>
      </c>
      <c r="I86" s="74" t="s">
        <v>53</v>
      </c>
      <c r="J86" s="96"/>
      <c r="K86" s="127"/>
      <c r="L86" s="115"/>
      <c r="M86" s="74"/>
    </row>
    <row r="87" spans="1:13" ht="20.45" customHeight="1" outlineLevel="1" x14ac:dyDescent="0.55000000000000004">
      <c r="A87" s="63">
        <f ca="1">IF($G87="UNIDADE CONSTRUTIVA",OFFSET(A87,0,0)+1,LARGE(A$3:A85,1))</f>
        <v>2</v>
      </c>
      <c r="B87" s="63">
        <f t="shared" ca="1" si="31"/>
        <v>5</v>
      </c>
      <c r="C87" s="63">
        <f t="shared" ca="1" si="32"/>
        <v>1</v>
      </c>
      <c r="D87" s="64">
        <f t="shared" ca="1" si="33"/>
        <v>6</v>
      </c>
      <c r="E87" s="64">
        <f t="shared" ca="1" si="34"/>
        <v>0</v>
      </c>
      <c r="F87" s="65"/>
      <c r="G87" s="73" t="s">
        <v>153</v>
      </c>
      <c r="H87" s="67" t="str">
        <f t="shared" ca="1" si="63"/>
        <v>05.001.006</v>
      </c>
      <c r="I87" s="74" t="s">
        <v>54</v>
      </c>
      <c r="J87" s="96"/>
      <c r="K87" s="127"/>
      <c r="L87" s="115">
        <f>L88</f>
        <v>108885.05999999998</v>
      </c>
      <c r="M87" s="74"/>
    </row>
    <row r="88" spans="1:13" ht="20.45" customHeight="1" outlineLevel="1" x14ac:dyDescent="0.55000000000000004">
      <c r="A88" s="63">
        <f ca="1">IF($G88="UNIDADE CONSTRUTIVA",OFFSET(A88,0,0)+1,LARGE(A$3:A86,1))</f>
        <v>2</v>
      </c>
      <c r="B88" s="63">
        <f t="shared" ca="1" si="31"/>
        <v>5</v>
      </c>
      <c r="C88" s="63">
        <f t="shared" ca="1" si="32"/>
        <v>1</v>
      </c>
      <c r="D88" s="64">
        <f t="shared" ca="1" si="33"/>
        <v>6</v>
      </c>
      <c r="E88" s="64">
        <f t="shared" ca="1" si="34"/>
        <v>1</v>
      </c>
      <c r="F88" s="65"/>
      <c r="G88" s="73" t="s">
        <v>154</v>
      </c>
      <c r="H88" s="67" t="str">
        <f t="shared" ref="H88" ca="1" si="69">IF(G88="Unidade Construtiva",TEXT(A88,"00"),IF(G88="Célula Construtiva",TEXT(B88,"00"),IF(G88="Etapa",CONCATENATE(TEXT(B88,"00"),".",TEXT(C88,"000")),IF(G88="Subetapa",CONCATENATE(TEXT(B88,"00"),".",TEXT(C88,"000"),".",TEXT(D88,"000")),IF(G88="Serviço",CONCATENATE(TEXT(B88,"00"),".",TEXT(C88,"000"),".",TEXT(D88,"000"),".",TEXT(E88,"000")),"")))))</f>
        <v>05.001.006.001</v>
      </c>
      <c r="I88" s="74" t="s">
        <v>54</v>
      </c>
      <c r="J88" s="96">
        <v>1814.7509999999997</v>
      </c>
      <c r="K88" s="127" t="s">
        <v>185</v>
      </c>
      <c r="L88" s="115">
        <v>108885.05999999998</v>
      </c>
      <c r="M88" s="74"/>
    </row>
    <row r="89" spans="1:13" ht="20.45" customHeight="1" outlineLevel="1" x14ac:dyDescent="0.55000000000000004">
      <c r="A89" s="63">
        <f ca="1">IF($G89="UNIDADE CONSTRUTIVA",OFFSET(A89,0,0)+1,LARGE(A$3:A87,1))</f>
        <v>2</v>
      </c>
      <c r="B89" s="63">
        <f t="shared" ca="1" si="31"/>
        <v>5</v>
      </c>
      <c r="C89" s="63">
        <f t="shared" ca="1" si="32"/>
        <v>1</v>
      </c>
      <c r="D89" s="64">
        <f t="shared" ca="1" si="33"/>
        <v>7</v>
      </c>
      <c r="E89" s="64">
        <f t="shared" ca="1" si="34"/>
        <v>0</v>
      </c>
      <c r="F89" s="65"/>
      <c r="G89" s="73" t="s">
        <v>153</v>
      </c>
      <c r="H89" s="67" t="str">
        <f t="shared" ca="1" si="63"/>
        <v>05.001.007</v>
      </c>
      <c r="I89" s="74" t="s">
        <v>55</v>
      </c>
      <c r="J89" s="96"/>
      <c r="K89" s="127"/>
      <c r="L89" s="115">
        <f>L90</f>
        <v>3629.5019999999995</v>
      </c>
      <c r="M89" s="74"/>
    </row>
    <row r="90" spans="1:13" ht="20.45" customHeight="1" outlineLevel="1" x14ac:dyDescent="0.55000000000000004">
      <c r="A90" s="63">
        <f ca="1">IF($G90="UNIDADE CONSTRUTIVA",OFFSET(A90,0,0)+1,LARGE(A$3:A88,1))</f>
        <v>2</v>
      </c>
      <c r="B90" s="63">
        <f t="shared" ca="1" si="31"/>
        <v>5</v>
      </c>
      <c r="C90" s="63">
        <f t="shared" ca="1" si="32"/>
        <v>1</v>
      </c>
      <c r="D90" s="64">
        <f t="shared" ca="1" si="33"/>
        <v>7</v>
      </c>
      <c r="E90" s="64">
        <f t="shared" ca="1" si="34"/>
        <v>1</v>
      </c>
      <c r="F90" s="65"/>
      <c r="G90" s="73" t="s">
        <v>154</v>
      </c>
      <c r="H90" s="67" t="str">
        <f t="shared" ref="H90" ca="1" si="70">IF(G90="Unidade Construtiva",TEXT(A90,"00"),IF(G90="Célula Construtiva",TEXT(B90,"00"),IF(G90="Etapa",CONCATENATE(TEXT(B90,"00"),".",TEXT(C90,"000")),IF(G90="Subetapa",CONCATENATE(TEXT(B90,"00"),".",TEXT(C90,"000"),".",TEXT(D90,"000")),IF(G90="Serviço",CONCATENATE(TEXT(B90,"00"),".",TEXT(C90,"000"),".",TEXT(D90,"000"),".",TEXT(E90,"000")),"")))))</f>
        <v>05.001.007.001</v>
      </c>
      <c r="I90" s="74" t="s">
        <v>55</v>
      </c>
      <c r="J90" s="96">
        <v>1</v>
      </c>
      <c r="K90" s="127" t="s">
        <v>217</v>
      </c>
      <c r="L90" s="115">
        <v>3629.5019999999995</v>
      </c>
      <c r="M90" s="74"/>
    </row>
    <row r="91" spans="1:13" ht="20.45" customHeight="1" outlineLevel="1" x14ac:dyDescent="0.55000000000000004">
      <c r="A91" s="63">
        <f ca="1">IF($G91="UNIDADE CONSTRUTIVA",OFFSET(A91,0,0)+1,LARGE(A$3:A89,1))</f>
        <v>2</v>
      </c>
      <c r="B91" s="63">
        <f t="shared" ca="1" si="31"/>
        <v>5</v>
      </c>
      <c r="C91" s="63">
        <f t="shared" ca="1" si="32"/>
        <v>1</v>
      </c>
      <c r="D91" s="64">
        <f t="shared" ca="1" si="33"/>
        <v>8</v>
      </c>
      <c r="E91" s="64">
        <f t="shared" ca="1" si="34"/>
        <v>0</v>
      </c>
      <c r="F91" s="65"/>
      <c r="G91" s="73" t="s">
        <v>153</v>
      </c>
      <c r="H91" s="67" t="str">
        <f t="shared" ca="1" si="63"/>
        <v>05.001.008</v>
      </c>
      <c r="I91" s="74" t="s">
        <v>56</v>
      </c>
      <c r="J91" s="96"/>
      <c r="K91" s="127"/>
      <c r="L91" s="115">
        <f>L92</f>
        <v>2661.6347999999998</v>
      </c>
      <c r="M91" s="74"/>
    </row>
    <row r="92" spans="1:13" ht="20.45" customHeight="1" outlineLevel="1" x14ac:dyDescent="0.55000000000000004">
      <c r="A92" s="63">
        <f ca="1">IF($G92="UNIDADE CONSTRUTIVA",OFFSET(A92,0,0)+1,LARGE(A$3:A90,1))</f>
        <v>2</v>
      </c>
      <c r="B92" s="63">
        <f t="shared" ca="1" si="31"/>
        <v>5</v>
      </c>
      <c r="C92" s="63">
        <f t="shared" ca="1" si="32"/>
        <v>1</v>
      </c>
      <c r="D92" s="64">
        <f t="shared" ca="1" si="33"/>
        <v>8</v>
      </c>
      <c r="E92" s="64">
        <f t="shared" ca="1" si="34"/>
        <v>1</v>
      </c>
      <c r="F92" s="65"/>
      <c r="G92" s="73" t="s">
        <v>154</v>
      </c>
      <c r="H92" s="67" t="str">
        <f t="shared" ref="H92" ca="1" si="71">IF(G92="Unidade Construtiva",TEXT(A92,"00"),IF(G92="Célula Construtiva",TEXT(B92,"00"),IF(G92="Etapa",CONCATENATE(TEXT(B92,"00"),".",TEXT(C92,"000")),IF(G92="Subetapa",CONCATENATE(TEXT(B92,"00"),".",TEXT(C92,"000"),".",TEXT(D92,"000")),IF(G92="Serviço",CONCATENATE(TEXT(B92,"00"),".",TEXT(C92,"000"),".",TEXT(D92,"000"),".",TEXT(E92,"000")),"")))))</f>
        <v>05.001.008.001</v>
      </c>
      <c r="I92" s="74" t="s">
        <v>56</v>
      </c>
      <c r="J92" s="96">
        <v>1</v>
      </c>
      <c r="K92" s="127" t="s">
        <v>217</v>
      </c>
      <c r="L92" s="115">
        <v>2661.6347999999998</v>
      </c>
      <c r="M92" s="74"/>
    </row>
    <row r="93" spans="1:13" ht="20.45" customHeight="1" outlineLevel="1" x14ac:dyDescent="0.55000000000000004">
      <c r="A93" s="63">
        <f ca="1">IF($G93="UNIDADE CONSTRUTIVA",OFFSET(A93,0,0)+1,LARGE(A$3:A91,1))</f>
        <v>2</v>
      </c>
      <c r="B93" s="63">
        <f t="shared" ca="1" si="31"/>
        <v>5</v>
      </c>
      <c r="C93" s="63">
        <f t="shared" ca="1" si="32"/>
        <v>1</v>
      </c>
      <c r="D93" s="64">
        <f t="shared" ca="1" si="33"/>
        <v>9</v>
      </c>
      <c r="E93" s="64">
        <f t="shared" ca="1" si="34"/>
        <v>0</v>
      </c>
      <c r="F93" s="65"/>
      <c r="G93" s="73" t="s">
        <v>153</v>
      </c>
      <c r="H93" s="67" t="str">
        <f t="shared" ca="1" si="63"/>
        <v>05.001.009</v>
      </c>
      <c r="I93" s="74" t="s">
        <v>57</v>
      </c>
      <c r="J93" s="96"/>
      <c r="K93" s="127"/>
      <c r="L93" s="115">
        <f>L94</f>
        <v>0</v>
      </c>
      <c r="M93" s="74"/>
    </row>
    <row r="94" spans="1:13" ht="20.45" customHeight="1" outlineLevel="1" x14ac:dyDescent="0.55000000000000004">
      <c r="A94" s="63">
        <f ca="1">IF($G94="UNIDADE CONSTRUTIVA",OFFSET(A94,0,0)+1,LARGE(A$3:A92,1))</f>
        <v>2</v>
      </c>
      <c r="B94" s="63">
        <f t="shared" ca="1" si="31"/>
        <v>5</v>
      </c>
      <c r="C94" s="63">
        <f t="shared" ca="1" si="32"/>
        <v>1</v>
      </c>
      <c r="D94" s="64">
        <f t="shared" ca="1" si="33"/>
        <v>9</v>
      </c>
      <c r="E94" s="64">
        <f t="shared" ca="1" si="34"/>
        <v>1</v>
      </c>
      <c r="F94" s="65"/>
      <c r="G94" s="73" t="s">
        <v>154</v>
      </c>
      <c r="H94" s="67" t="str">
        <f t="shared" ref="H94" ca="1" si="72">IF(G94="Unidade Construtiva",TEXT(A94,"00"),IF(G94="Célula Construtiva",TEXT(B94,"00"),IF(G94="Etapa",CONCATENATE(TEXT(B94,"00"),".",TEXT(C94,"000")),IF(G94="Subetapa",CONCATENATE(TEXT(B94,"00"),".",TEXT(C94,"000"),".",TEXT(D94,"000")),IF(G94="Serviço",CONCATENATE(TEXT(B94,"00"),".",TEXT(C94,"000"),".",TEXT(D94,"000"),".",TEXT(E94,"000")),"")))))</f>
        <v>05.001.009.001</v>
      </c>
      <c r="I94" s="74" t="s">
        <v>57</v>
      </c>
      <c r="J94" s="96"/>
      <c r="K94" s="127"/>
      <c r="L94" s="115"/>
      <c r="M94" s="74"/>
    </row>
    <row r="95" spans="1:13" ht="20.45" customHeight="1" outlineLevel="1" x14ac:dyDescent="0.55000000000000004">
      <c r="A95" s="63">
        <f ca="1">IF($G95="UNIDADE CONSTRUTIVA",OFFSET(A95,0,0)+1,LARGE(A$3:A93,1))</f>
        <v>2</v>
      </c>
      <c r="B95" s="63">
        <f t="shared" ca="1" si="31"/>
        <v>5</v>
      </c>
      <c r="C95" s="63">
        <f t="shared" ca="1" si="32"/>
        <v>1</v>
      </c>
      <c r="D95" s="64">
        <f t="shared" ca="1" si="33"/>
        <v>10</v>
      </c>
      <c r="E95" s="64">
        <f t="shared" ca="1" si="34"/>
        <v>0</v>
      </c>
      <c r="F95" s="65"/>
      <c r="G95" s="73" t="s">
        <v>153</v>
      </c>
      <c r="H95" s="67" t="str">
        <f t="shared" ca="1" si="63"/>
        <v>05.001.010</v>
      </c>
      <c r="I95" s="74" t="s">
        <v>58</v>
      </c>
      <c r="J95" s="96"/>
      <c r="K95" s="127"/>
      <c r="L95" s="115">
        <f>L96</f>
        <v>0</v>
      </c>
      <c r="M95" s="74"/>
    </row>
    <row r="96" spans="1:13" ht="20.45" customHeight="1" outlineLevel="1" x14ac:dyDescent="0.55000000000000004">
      <c r="A96" s="63">
        <f ca="1">IF($G96="UNIDADE CONSTRUTIVA",OFFSET(A96,0,0)+1,LARGE(A$3:A94,1))</f>
        <v>2</v>
      </c>
      <c r="B96" s="63">
        <f t="shared" ca="1" si="31"/>
        <v>5</v>
      </c>
      <c r="C96" s="63">
        <f t="shared" ca="1" si="32"/>
        <v>1</v>
      </c>
      <c r="D96" s="64">
        <f t="shared" ca="1" si="33"/>
        <v>10</v>
      </c>
      <c r="E96" s="64">
        <f t="shared" ca="1" si="34"/>
        <v>1</v>
      </c>
      <c r="F96" s="65"/>
      <c r="G96" s="73" t="s">
        <v>154</v>
      </c>
      <c r="H96" s="67" t="str">
        <f t="shared" ref="H96" ca="1" si="73">IF(G96="Unidade Construtiva",TEXT(A96,"00"),IF(G96="Célula Construtiva",TEXT(B96,"00"),IF(G96="Etapa",CONCATENATE(TEXT(B96,"00"),".",TEXT(C96,"000")),IF(G96="Subetapa",CONCATENATE(TEXT(B96,"00"),".",TEXT(C96,"000"),".",TEXT(D96,"000")),IF(G96="Serviço",CONCATENATE(TEXT(B96,"00"),".",TEXT(C96,"000"),".",TEXT(D96,"000"),".",TEXT(E96,"000")),"")))))</f>
        <v>05.001.010.001</v>
      </c>
      <c r="I96" s="74" t="s">
        <v>58</v>
      </c>
      <c r="J96" s="96"/>
      <c r="K96" s="127"/>
      <c r="L96" s="115"/>
      <c r="M96" s="74"/>
    </row>
    <row r="97" spans="1:13" ht="20.45" customHeight="1" outlineLevel="1" x14ac:dyDescent="0.55000000000000004">
      <c r="A97" s="63">
        <f ca="1">IF($G97="UNIDADE CONSTRUTIVA",OFFSET(A97,0,0)+1,LARGE(A$3:A95,1))</f>
        <v>2</v>
      </c>
      <c r="B97" s="63">
        <f t="shared" ca="1" si="31"/>
        <v>5</v>
      </c>
      <c r="C97" s="63">
        <f t="shared" ca="1" si="32"/>
        <v>1</v>
      </c>
      <c r="D97" s="64">
        <f t="shared" ca="1" si="33"/>
        <v>11</v>
      </c>
      <c r="E97" s="64">
        <f t="shared" ca="1" si="34"/>
        <v>0</v>
      </c>
      <c r="F97" s="65"/>
      <c r="G97" s="73" t="s">
        <v>153</v>
      </c>
      <c r="H97" s="67" t="str">
        <f t="shared" ca="1" si="63"/>
        <v>05.001.011</v>
      </c>
      <c r="I97" s="74" t="s">
        <v>39</v>
      </c>
      <c r="J97" s="96"/>
      <c r="K97" s="127"/>
      <c r="L97" s="115"/>
      <c r="M97" s="74"/>
    </row>
    <row r="98" spans="1:13" ht="20.45" customHeight="1" outlineLevel="1" x14ac:dyDescent="0.55000000000000004">
      <c r="A98" s="63">
        <f ca="1">IF($G98="UNIDADE CONSTRUTIVA",OFFSET(A98,0,0)+1,LARGE(A$3:A96,1))</f>
        <v>2</v>
      </c>
      <c r="B98" s="63">
        <f t="shared" ca="1" si="31"/>
        <v>5</v>
      </c>
      <c r="C98" s="63">
        <f t="shared" ca="1" si="32"/>
        <v>1</v>
      </c>
      <c r="D98" s="64">
        <f t="shared" ca="1" si="33"/>
        <v>11</v>
      </c>
      <c r="E98" s="64">
        <f t="shared" ca="1" si="34"/>
        <v>1</v>
      </c>
      <c r="F98" s="65"/>
      <c r="G98" s="73" t="s">
        <v>154</v>
      </c>
      <c r="H98" s="67" t="str">
        <f t="shared" ref="H98:H107" ca="1" si="74">IF(G98="Unidade Construtiva",TEXT(A98,"00"),IF(G98="Célula Construtiva",TEXT(B98,"00"),IF(G98="Etapa",CONCATENATE(TEXT(B98,"00"),".",TEXT(C98,"000")),IF(G98="Subetapa",CONCATENATE(TEXT(B98,"00"),".",TEXT(C98,"000"),".",TEXT(D98,"000")),IF(G98="Serviço",CONCATENATE(TEXT(B98,"00"),".",TEXT(C98,"000"),".",TEXT(D98,"000"),".",TEXT(E98,"000")),"")))))</f>
        <v>05.001.011.001</v>
      </c>
      <c r="I98" s="74" t="s">
        <v>206</v>
      </c>
      <c r="J98" s="96"/>
      <c r="K98" s="127" t="s">
        <v>185</v>
      </c>
      <c r="L98" s="115"/>
      <c r="M98" s="74"/>
    </row>
    <row r="99" spans="1:13" ht="20.45" customHeight="1" outlineLevel="1" x14ac:dyDescent="0.55000000000000004">
      <c r="A99" s="63">
        <f ca="1">IF($G99="UNIDADE CONSTRUTIVA",OFFSET(A99,0,0)+1,LARGE(A$3:A97,1))</f>
        <v>2</v>
      </c>
      <c r="B99" s="63">
        <f t="shared" ca="1" si="31"/>
        <v>5</v>
      </c>
      <c r="C99" s="63">
        <f t="shared" ca="1" si="32"/>
        <v>1</v>
      </c>
      <c r="D99" s="64">
        <f t="shared" ca="1" si="33"/>
        <v>11</v>
      </c>
      <c r="E99" s="64">
        <f t="shared" ca="1" si="34"/>
        <v>2</v>
      </c>
      <c r="F99" s="65"/>
      <c r="G99" s="73" t="s">
        <v>154</v>
      </c>
      <c r="H99" s="67" t="str">
        <f t="shared" ca="1" si="74"/>
        <v>05.001.011.002</v>
      </c>
      <c r="I99" s="74" t="s">
        <v>207</v>
      </c>
      <c r="J99" s="96"/>
      <c r="K99" s="127" t="s">
        <v>185</v>
      </c>
      <c r="L99" s="115"/>
      <c r="M99" s="74"/>
    </row>
    <row r="100" spans="1:13" ht="20.45" customHeight="1" outlineLevel="1" x14ac:dyDescent="0.55000000000000004">
      <c r="A100" s="63">
        <f ca="1">IF($G100="UNIDADE CONSTRUTIVA",OFFSET(A100,0,0)+1,LARGE(A$3:A98,1))</f>
        <v>2</v>
      </c>
      <c r="B100" s="63">
        <f t="shared" ca="1" si="31"/>
        <v>5</v>
      </c>
      <c r="C100" s="63">
        <f t="shared" ca="1" si="32"/>
        <v>1</v>
      </c>
      <c r="D100" s="64">
        <f t="shared" ca="1" si="33"/>
        <v>11</v>
      </c>
      <c r="E100" s="64">
        <f t="shared" ca="1" si="34"/>
        <v>3</v>
      </c>
      <c r="F100" s="65"/>
      <c r="G100" s="73" t="s">
        <v>154</v>
      </c>
      <c r="H100" s="67" t="str">
        <f t="shared" ca="1" si="74"/>
        <v>05.001.011.003</v>
      </c>
      <c r="I100" s="74" t="s">
        <v>208</v>
      </c>
      <c r="J100" s="96"/>
      <c r="K100" s="127" t="s">
        <v>185</v>
      </c>
      <c r="L100" s="115"/>
      <c r="M100" s="74"/>
    </row>
    <row r="101" spans="1:13" ht="20.45" customHeight="1" outlineLevel="1" x14ac:dyDescent="0.55000000000000004">
      <c r="A101" s="63">
        <f ca="1">IF($G101="UNIDADE CONSTRUTIVA",OFFSET(A101,0,0)+1,LARGE(A$3:A99,1))</f>
        <v>2</v>
      </c>
      <c r="B101" s="63">
        <f t="shared" ca="1" si="31"/>
        <v>5</v>
      </c>
      <c r="C101" s="63">
        <f t="shared" ca="1" si="32"/>
        <v>1</v>
      </c>
      <c r="D101" s="64">
        <f t="shared" ca="1" si="33"/>
        <v>11</v>
      </c>
      <c r="E101" s="64">
        <f t="shared" ca="1" si="34"/>
        <v>4</v>
      </c>
      <c r="F101" s="65"/>
      <c r="G101" s="73" t="s">
        <v>154</v>
      </c>
      <c r="H101" s="67" t="str">
        <f t="shared" ca="1" si="74"/>
        <v>05.001.011.004</v>
      </c>
      <c r="I101" s="74" t="s">
        <v>209</v>
      </c>
      <c r="J101" s="96"/>
      <c r="K101" s="127" t="s">
        <v>185</v>
      </c>
      <c r="L101" s="115"/>
      <c r="M101" s="74"/>
    </row>
    <row r="102" spans="1:13" ht="20.45" customHeight="1" outlineLevel="1" x14ac:dyDescent="0.55000000000000004">
      <c r="A102" s="63">
        <f ca="1">IF($G102="UNIDADE CONSTRUTIVA",OFFSET(A102,0,0)+1,LARGE(A$3:A100,1))</f>
        <v>2</v>
      </c>
      <c r="B102" s="63">
        <f t="shared" ca="1" si="31"/>
        <v>5</v>
      </c>
      <c r="C102" s="63">
        <f t="shared" ca="1" si="32"/>
        <v>1</v>
      </c>
      <c r="D102" s="64">
        <f t="shared" ca="1" si="33"/>
        <v>11</v>
      </c>
      <c r="E102" s="64">
        <f t="shared" ca="1" si="34"/>
        <v>5</v>
      </c>
      <c r="F102" s="65"/>
      <c r="G102" s="73" t="s">
        <v>154</v>
      </c>
      <c r="H102" s="67" t="str">
        <f t="shared" ca="1" si="74"/>
        <v>05.001.011.005</v>
      </c>
      <c r="I102" s="74" t="s">
        <v>210</v>
      </c>
      <c r="J102" s="96"/>
      <c r="K102" s="127" t="s">
        <v>185</v>
      </c>
      <c r="L102" s="115"/>
      <c r="M102" s="74"/>
    </row>
    <row r="103" spans="1:13" ht="20.45" customHeight="1" outlineLevel="1" x14ac:dyDescent="0.55000000000000004">
      <c r="A103" s="63">
        <f ca="1">IF($G103="UNIDADE CONSTRUTIVA",OFFSET(A103,0,0)+1,LARGE(A$3:A101,1))</f>
        <v>2</v>
      </c>
      <c r="B103" s="63">
        <f t="shared" ca="1" si="31"/>
        <v>5</v>
      </c>
      <c r="C103" s="63">
        <f t="shared" ca="1" si="32"/>
        <v>1</v>
      </c>
      <c r="D103" s="64">
        <f t="shared" ca="1" si="33"/>
        <v>11</v>
      </c>
      <c r="E103" s="64">
        <f t="shared" ca="1" si="34"/>
        <v>6</v>
      </c>
      <c r="F103" s="65"/>
      <c r="G103" s="73" t="s">
        <v>154</v>
      </c>
      <c r="H103" s="67" t="str">
        <f t="shared" ca="1" si="74"/>
        <v>05.001.011.006</v>
      </c>
      <c r="I103" s="74" t="s">
        <v>211</v>
      </c>
      <c r="J103" s="96"/>
      <c r="K103" s="127" t="s">
        <v>185</v>
      </c>
      <c r="L103" s="115"/>
      <c r="M103" s="74"/>
    </row>
    <row r="104" spans="1:13" ht="20.45" customHeight="1" outlineLevel="1" x14ac:dyDescent="0.55000000000000004">
      <c r="A104" s="63">
        <f ca="1">IF($G104="UNIDADE CONSTRUTIVA",OFFSET(A104,0,0)+1,LARGE(A$3:A102,1))</f>
        <v>2</v>
      </c>
      <c r="B104" s="63">
        <f t="shared" ca="1" si="31"/>
        <v>5</v>
      </c>
      <c r="C104" s="63">
        <f t="shared" ca="1" si="32"/>
        <v>1</v>
      </c>
      <c r="D104" s="64">
        <f t="shared" ca="1" si="33"/>
        <v>11</v>
      </c>
      <c r="E104" s="64">
        <f t="shared" ca="1" si="34"/>
        <v>7</v>
      </c>
      <c r="F104" s="65"/>
      <c r="G104" s="73" t="s">
        <v>154</v>
      </c>
      <c r="H104" s="67" t="str">
        <f t="shared" ca="1" si="74"/>
        <v>05.001.011.007</v>
      </c>
      <c r="I104" s="74" t="s">
        <v>212</v>
      </c>
      <c r="J104" s="96"/>
      <c r="K104" s="127" t="s">
        <v>185</v>
      </c>
      <c r="L104" s="115"/>
      <c r="M104" s="74"/>
    </row>
    <row r="105" spans="1:13" ht="20.45" customHeight="1" outlineLevel="1" x14ac:dyDescent="0.55000000000000004">
      <c r="A105" s="63">
        <f ca="1">IF($G105="UNIDADE CONSTRUTIVA",OFFSET(A105,0,0)+1,LARGE(A$3:A103,1))</f>
        <v>2</v>
      </c>
      <c r="B105" s="63">
        <f t="shared" ca="1" si="31"/>
        <v>5</v>
      </c>
      <c r="C105" s="63">
        <f t="shared" ca="1" si="32"/>
        <v>1</v>
      </c>
      <c r="D105" s="64">
        <f t="shared" ca="1" si="33"/>
        <v>11</v>
      </c>
      <c r="E105" s="64">
        <f t="shared" ca="1" si="34"/>
        <v>8</v>
      </c>
      <c r="F105" s="65"/>
      <c r="G105" s="73" t="s">
        <v>154</v>
      </c>
      <c r="H105" s="67" t="str">
        <f t="shared" ca="1" si="74"/>
        <v>05.001.011.008</v>
      </c>
      <c r="I105" s="74" t="s">
        <v>213</v>
      </c>
      <c r="J105" s="96"/>
      <c r="K105" s="127" t="s">
        <v>184</v>
      </c>
      <c r="L105" s="115"/>
      <c r="M105" s="74"/>
    </row>
    <row r="106" spans="1:13" ht="20.45" customHeight="1" outlineLevel="1" x14ac:dyDescent="0.55000000000000004">
      <c r="A106" s="63">
        <f ca="1">IF($G106="UNIDADE CONSTRUTIVA",OFFSET(A106,0,0)+1,LARGE(A$3:A103,1))</f>
        <v>2</v>
      </c>
      <c r="B106" s="63">
        <f t="shared" ca="1" si="31"/>
        <v>5</v>
      </c>
      <c r="C106" s="63">
        <f t="shared" ca="1" si="32"/>
        <v>1</v>
      </c>
      <c r="D106" s="64">
        <f t="shared" ca="1" si="33"/>
        <v>11</v>
      </c>
      <c r="E106" s="64">
        <f t="shared" ca="1" si="34"/>
        <v>9</v>
      </c>
      <c r="F106" s="65"/>
      <c r="G106" s="73" t="s">
        <v>154</v>
      </c>
      <c r="H106" s="67" t="str">
        <f t="shared" ref="H106" ca="1" si="75">IF(G106="Unidade Construtiva",TEXT(A106,"00"),IF(G106="Célula Construtiva",TEXT(B106,"00"),IF(G106="Etapa",CONCATENATE(TEXT(B106,"00"),".",TEXT(C106,"000")),IF(G106="Subetapa",CONCATENATE(TEXT(B106,"00"),".",TEXT(C106,"000"),".",TEXT(D106,"000")),IF(G106="Serviço",CONCATENATE(TEXT(B106,"00"),".",TEXT(C106,"000"),".",TEXT(D106,"000"),".",TEXT(E106,"000")),"")))))</f>
        <v>05.001.011.009</v>
      </c>
      <c r="I106" s="74" t="s">
        <v>214</v>
      </c>
      <c r="J106" s="96"/>
      <c r="K106" s="127" t="s">
        <v>185</v>
      </c>
      <c r="L106" s="115"/>
      <c r="M106" s="74"/>
    </row>
    <row r="107" spans="1:13" ht="20.45" customHeight="1" outlineLevel="1" x14ac:dyDescent="0.55000000000000004">
      <c r="A107" s="63">
        <f ca="1">IF($G107="UNIDADE CONSTRUTIVA",OFFSET(A107,0,0)+1,LARGE(A$3:A104,1))</f>
        <v>2</v>
      </c>
      <c r="B107" s="63">
        <f t="shared" ca="1" si="31"/>
        <v>5</v>
      </c>
      <c r="C107" s="63">
        <f t="shared" ca="1" si="32"/>
        <v>1</v>
      </c>
      <c r="D107" s="64">
        <f t="shared" ca="1" si="33"/>
        <v>11</v>
      </c>
      <c r="E107" s="64">
        <f t="shared" ca="1" si="34"/>
        <v>10</v>
      </c>
      <c r="F107" s="65"/>
      <c r="G107" s="73" t="s">
        <v>154</v>
      </c>
      <c r="H107" s="67" t="str">
        <f t="shared" ca="1" si="74"/>
        <v>05.001.011.010</v>
      </c>
      <c r="I107" s="74" t="s">
        <v>215</v>
      </c>
      <c r="J107" s="96"/>
      <c r="K107" s="127" t="s">
        <v>185</v>
      </c>
      <c r="L107" s="115"/>
      <c r="M107" s="74"/>
    </row>
    <row r="108" spans="1:13" ht="20.45" customHeight="1" x14ac:dyDescent="0.55000000000000004">
      <c r="A108" s="63">
        <f ca="1">IF($G108="UNIDADE CONSTRUTIVA",OFFSET(A108,0,0)+1,LARGE(A$3:A97,1))</f>
        <v>2</v>
      </c>
      <c r="B108" s="63">
        <f t="shared" ref="B108:B227" ca="1" si="76">IF(G108="UNIDADE CONSTRUTIVA",0,IF(G108="CÉLULA CONSTRUTIVA",OFFSET(B108,-1,0)+1,OFFSET(B108,-1,0)))</f>
        <v>6</v>
      </c>
      <c r="C108" s="63">
        <f t="shared" ref="C108:C227" ca="1" si="77">IF(G108="CÉLULA CONSTRUTIVA",0,IF(G108="ETAPA",OFFSET(C108,-1,0)+1,OFFSET(C108,-1,0)))</f>
        <v>0</v>
      </c>
      <c r="D108" s="64">
        <f t="shared" ref="D108:D227" ca="1" si="78">IF(G108="ETAPA",0,IF(G108="SUBETAPA",OFFSET(D108,-1,0)+1,OFFSET(D108,-1,0)))</f>
        <v>11</v>
      </c>
      <c r="E108" s="64">
        <f t="shared" ref="E108:E227" ca="1" si="79">IF(G108="Subetapa",0,IF(G108="serviço",OFFSET(E108,-1,0)+1,OFFSET(E108,-1,0)))</f>
        <v>10</v>
      </c>
      <c r="F108" s="65"/>
      <c r="G108" s="71" t="s">
        <v>156</v>
      </c>
      <c r="H108" s="67" t="str">
        <f t="shared" ca="1" si="63"/>
        <v>06</v>
      </c>
      <c r="I108" s="72" t="s">
        <v>59</v>
      </c>
      <c r="J108" s="95"/>
      <c r="K108" s="125"/>
      <c r="L108" s="113">
        <f>L109</f>
        <v>1126483.71</v>
      </c>
      <c r="M108" s="72"/>
    </row>
    <row r="109" spans="1:13" ht="20.45" customHeight="1" outlineLevel="1" x14ac:dyDescent="0.55000000000000004">
      <c r="A109" s="63">
        <f ca="1">IF($G109="UNIDADE CONSTRUTIVA",OFFSET(A109,0,0)+1,LARGE(A$3:A108,1))</f>
        <v>2</v>
      </c>
      <c r="B109" s="63">
        <f t="shared" ca="1" si="76"/>
        <v>6</v>
      </c>
      <c r="C109" s="63">
        <f t="shared" ca="1" si="77"/>
        <v>1</v>
      </c>
      <c r="D109" s="64">
        <f t="shared" ca="1" si="78"/>
        <v>0</v>
      </c>
      <c r="E109" s="64">
        <f t="shared" ca="1" si="79"/>
        <v>10</v>
      </c>
      <c r="F109" s="65"/>
      <c r="G109" s="71" t="s">
        <v>157</v>
      </c>
      <c r="H109" s="67" t="str">
        <f t="shared" ca="1" si="63"/>
        <v>06.001</v>
      </c>
      <c r="I109" s="80" t="s">
        <v>59</v>
      </c>
      <c r="J109" s="107"/>
      <c r="K109" s="130"/>
      <c r="L109" s="126">
        <f>SUM(L110:L130)/2</f>
        <v>1126483.71</v>
      </c>
      <c r="M109" s="80"/>
    </row>
    <row r="110" spans="1:13" ht="20.45" customHeight="1" outlineLevel="1" x14ac:dyDescent="0.55000000000000004">
      <c r="A110" s="63">
        <f ca="1">IF($G110="UNIDADE CONSTRUTIVA",OFFSET(A110,0,0)+1,LARGE(A$3:A109,1))</f>
        <v>2</v>
      </c>
      <c r="B110" s="63">
        <f t="shared" ca="1" si="76"/>
        <v>6</v>
      </c>
      <c r="C110" s="63">
        <f t="shared" ca="1" si="77"/>
        <v>1</v>
      </c>
      <c r="D110" s="64">
        <f t="shared" ca="1" si="78"/>
        <v>1</v>
      </c>
      <c r="E110" s="64">
        <f t="shared" ca="1" si="79"/>
        <v>0</v>
      </c>
      <c r="F110" s="65"/>
      <c r="G110" s="73" t="s">
        <v>153</v>
      </c>
      <c r="H110" s="67" t="str">
        <f t="shared" ref="H110" ca="1" si="80">IF(G110="Unidade Construtiva",TEXT(A110,"00"),IF(G110="Célula Construtiva",TEXT(B110,"00"),IF(G110="Etapa",CONCATENATE(TEXT(B110,"00"),".",TEXT(C110,"000")),IF(G110="Subetapa",CONCATENATE(TEXT(B110,"00"),".",TEXT(C110,"000"),".",TEXT(D110,"000")),IF(G110="Serviço",CONCATENATE(TEXT(B110,"00"),".",TEXT(C110,"000"),".",TEXT(D110,"000"),".",TEXT(E110,"000")),"")))))</f>
        <v>06.001.001</v>
      </c>
      <c r="I110" s="74" t="s">
        <v>159</v>
      </c>
      <c r="J110" s="96"/>
      <c r="K110" s="127"/>
      <c r="L110" s="115">
        <f>L111</f>
        <v>0</v>
      </c>
      <c r="M110" s="74"/>
    </row>
    <row r="111" spans="1:13" ht="20.45" customHeight="1" outlineLevel="1" x14ac:dyDescent="0.55000000000000004">
      <c r="A111" s="63">
        <f ca="1">IF($G111="UNIDADE CONSTRUTIVA",OFFSET(A111,0,0)+1,LARGE(A$3:A110,1))</f>
        <v>2</v>
      </c>
      <c r="B111" s="63">
        <f t="shared" ref="B111:B112" ca="1" si="81">IF(G111="UNIDADE CONSTRUTIVA",0,IF(G111="CÉLULA CONSTRUTIVA",OFFSET(B111,-1,0)+1,OFFSET(B111,-1,0)))</f>
        <v>6</v>
      </c>
      <c r="C111" s="63">
        <f t="shared" ref="C111:C112" ca="1" si="82">IF(G111="CÉLULA CONSTRUTIVA",0,IF(G111="ETAPA",OFFSET(C111,-1,0)+1,OFFSET(C111,-1,0)))</f>
        <v>1</v>
      </c>
      <c r="D111" s="64">
        <f t="shared" ref="D111:D112" ca="1" si="83">IF(G111="ETAPA",0,IF(G111="SUBETAPA",OFFSET(D111,-1,0)+1,OFFSET(D111,-1,0)))</f>
        <v>1</v>
      </c>
      <c r="E111" s="64">
        <f t="shared" ref="E111:E112" ca="1" si="84">IF(G111="Subetapa",0,IF(G111="serviço",OFFSET(E111,-1,0)+1,OFFSET(E111,-1,0)))</f>
        <v>1</v>
      </c>
      <c r="F111" s="65"/>
      <c r="G111" s="73" t="s">
        <v>154</v>
      </c>
      <c r="H111" s="67" t="str">
        <f t="shared" ref="H111:H112" ca="1" si="85">IF(G111="Unidade Construtiva",TEXT(A111,"00"),IF(G111="Célula Construtiva",TEXT(B111,"00"),IF(G111="Etapa",CONCATENATE(TEXT(B111,"00"),".",TEXT(C111,"000")),IF(G111="Subetapa",CONCATENATE(TEXT(B111,"00"),".",TEXT(C111,"000"),".",TEXT(D111,"000")),IF(G111="Serviço",CONCATENATE(TEXT(B111,"00"),".",TEXT(C111,"000"),".",TEXT(D111,"000"),".",TEXT(E111,"000")),"")))))</f>
        <v>06.001.001.001</v>
      </c>
      <c r="I111" s="74" t="s">
        <v>159</v>
      </c>
      <c r="J111" s="96"/>
      <c r="K111" s="127"/>
      <c r="L111" s="115"/>
      <c r="M111" s="74"/>
    </row>
    <row r="112" spans="1:13" ht="20.45" customHeight="1" outlineLevel="1" x14ac:dyDescent="0.55000000000000004">
      <c r="A112" s="63">
        <f ca="1">IF($G112="UNIDADE CONSTRUTIVA",OFFSET(A112,0,0)+1,LARGE(A$3:A109,1))</f>
        <v>2</v>
      </c>
      <c r="B112" s="63">
        <f t="shared" ca="1" si="81"/>
        <v>6</v>
      </c>
      <c r="C112" s="63">
        <f t="shared" ca="1" si="82"/>
        <v>1</v>
      </c>
      <c r="D112" s="64">
        <f t="shared" ca="1" si="83"/>
        <v>2</v>
      </c>
      <c r="E112" s="64">
        <f t="shared" ca="1" si="84"/>
        <v>0</v>
      </c>
      <c r="F112" s="65"/>
      <c r="G112" s="73" t="s">
        <v>153</v>
      </c>
      <c r="H112" s="67" t="str">
        <f t="shared" ca="1" si="85"/>
        <v>06.001.002</v>
      </c>
      <c r="I112" s="74" t="s">
        <v>60</v>
      </c>
      <c r="J112" s="96"/>
      <c r="K112" s="127"/>
      <c r="L112" s="115">
        <f>L113</f>
        <v>146389.91399999999</v>
      </c>
      <c r="M112" s="74"/>
    </row>
    <row r="113" spans="1:13" ht="20.45" customHeight="1" outlineLevel="1" x14ac:dyDescent="0.55000000000000004">
      <c r="A113" s="63">
        <f ca="1">IF($G113="UNIDADE CONSTRUTIVA",OFFSET(A113,0,0)+1,LARGE(A$3:A110,1))</f>
        <v>2</v>
      </c>
      <c r="B113" s="63">
        <f t="shared" ca="1" si="76"/>
        <v>6</v>
      </c>
      <c r="C113" s="63">
        <f t="shared" ca="1" si="77"/>
        <v>1</v>
      </c>
      <c r="D113" s="64">
        <f t="shared" ca="1" si="78"/>
        <v>2</v>
      </c>
      <c r="E113" s="64">
        <f t="shared" ca="1" si="79"/>
        <v>1</v>
      </c>
      <c r="F113" s="65"/>
      <c r="G113" s="73" t="s">
        <v>154</v>
      </c>
      <c r="H113" s="67" t="str">
        <f t="shared" ca="1" si="63"/>
        <v>06.001.002.001</v>
      </c>
      <c r="I113" s="74" t="s">
        <v>60</v>
      </c>
      <c r="J113" s="96">
        <v>1</v>
      </c>
      <c r="K113" s="127" t="s">
        <v>217</v>
      </c>
      <c r="L113" s="115">
        <v>146389.91399999999</v>
      </c>
      <c r="M113" s="74"/>
    </row>
    <row r="114" spans="1:13" ht="20.45" customHeight="1" outlineLevel="1" x14ac:dyDescent="0.55000000000000004">
      <c r="A114" s="63">
        <f ca="1">IF($G114="UNIDADE CONSTRUTIVA",OFFSET(A114,0,0)+1,LARGE(A$3:A112,1))</f>
        <v>2</v>
      </c>
      <c r="B114" s="63">
        <f t="shared" ref="B114" ca="1" si="86">IF(G114="UNIDADE CONSTRUTIVA",0,IF(G114="CÉLULA CONSTRUTIVA",OFFSET(B114,-1,0)+1,OFFSET(B114,-1,0)))</f>
        <v>6</v>
      </c>
      <c r="C114" s="63">
        <f t="shared" ref="C114" ca="1" si="87">IF(G114="CÉLULA CONSTRUTIVA",0,IF(G114="ETAPA",OFFSET(C114,-1,0)+1,OFFSET(C114,-1,0)))</f>
        <v>1</v>
      </c>
      <c r="D114" s="64">
        <f t="shared" ref="D114" ca="1" si="88">IF(G114="ETAPA",0,IF(G114="SUBETAPA",OFFSET(D114,-1,0)+1,OFFSET(D114,-1,0)))</f>
        <v>3</v>
      </c>
      <c r="E114" s="64">
        <f t="shared" ref="E114" ca="1" si="89">IF(G114="Subetapa",0,IF(G114="serviço",OFFSET(E114,-1,0)+1,OFFSET(E114,-1,0)))</f>
        <v>0</v>
      </c>
      <c r="F114" s="65"/>
      <c r="G114" s="73" t="s">
        <v>153</v>
      </c>
      <c r="H114" s="67" t="str">
        <f t="shared" ref="H114" ca="1" si="90">IF(G114="Unidade Construtiva",TEXT(A114,"00"),IF(G114="Célula Construtiva",TEXT(B114,"00"),IF(G114="Etapa",CONCATENATE(TEXT(B114,"00"),".",TEXT(C114,"000")),IF(G114="Subetapa",CONCATENATE(TEXT(B114,"00"),".",TEXT(C114,"000"),".",TEXT(D114,"000")),IF(G114="Serviço",CONCATENATE(TEXT(B114,"00"),".",TEXT(C114,"000"),".",TEXT(D114,"000"),".",TEXT(E114,"000")),"")))))</f>
        <v>06.001.003</v>
      </c>
      <c r="I114" s="74" t="s">
        <v>61</v>
      </c>
      <c r="J114" s="96"/>
      <c r="K114" s="127"/>
      <c r="L114" s="115">
        <f>SUM(L115:L117)</f>
        <v>211890.13999999998</v>
      </c>
      <c r="M114" s="74"/>
    </row>
    <row r="115" spans="1:13" ht="20.45" customHeight="1" outlineLevel="1" x14ac:dyDescent="0.55000000000000004">
      <c r="A115" s="63">
        <f ca="1">IF($G115="UNIDADE CONSTRUTIVA",OFFSET(A115,0,0)+1,LARGE(A$3:A113,1))</f>
        <v>2</v>
      </c>
      <c r="B115" s="63">
        <f t="shared" ca="1" si="76"/>
        <v>6</v>
      </c>
      <c r="C115" s="63">
        <f t="shared" ca="1" si="77"/>
        <v>1</v>
      </c>
      <c r="D115" s="64">
        <f t="shared" ca="1" si="78"/>
        <v>3</v>
      </c>
      <c r="E115" s="64">
        <f t="shared" ca="1" si="79"/>
        <v>1</v>
      </c>
      <c r="F115" s="65"/>
      <c r="G115" s="73" t="s">
        <v>154</v>
      </c>
      <c r="H115" s="67" t="str">
        <f t="shared" ca="1" si="63"/>
        <v>06.001.003.001</v>
      </c>
      <c r="I115" s="74" t="s">
        <v>61</v>
      </c>
      <c r="J115" s="96">
        <v>1</v>
      </c>
      <c r="K115" s="127" t="s">
        <v>217</v>
      </c>
      <c r="L115" s="115">
        <v>133081.74</v>
      </c>
      <c r="M115" s="74"/>
    </row>
    <row r="116" spans="1:13" ht="20.45" customHeight="1" outlineLevel="1" x14ac:dyDescent="0.55000000000000004">
      <c r="A116" s="63">
        <f ca="1">IF($G116="UNIDADE CONSTRUTIVA",OFFSET(A116,0,0)+1,LARGE(A$3:A114,1))</f>
        <v>2</v>
      </c>
      <c r="B116" s="63">
        <f t="shared" ref="B116" ca="1" si="91">IF(G116="UNIDADE CONSTRUTIVA",0,IF(G116="CÉLULA CONSTRUTIVA",OFFSET(B116,-1,0)+1,OFFSET(B116,-1,0)))</f>
        <v>6</v>
      </c>
      <c r="C116" s="63">
        <f t="shared" ref="C116" ca="1" si="92">IF(G116="CÉLULA CONSTRUTIVA",0,IF(G116="ETAPA",OFFSET(C116,-1,0)+1,OFFSET(C116,-1,0)))</f>
        <v>1</v>
      </c>
      <c r="D116" s="64">
        <f t="shared" ref="D116" ca="1" si="93">IF(G116="ETAPA",0,IF(G116="SUBETAPA",OFFSET(D116,-1,0)+1,OFFSET(D116,-1,0)))</f>
        <v>3</v>
      </c>
      <c r="E116" s="64">
        <f t="shared" ref="E116" ca="1" si="94">IF(G116="Subetapa",0,IF(G116="serviço",OFFSET(E116,-1,0)+1,OFFSET(E116,-1,0)))</f>
        <v>2</v>
      </c>
      <c r="F116" s="65"/>
      <c r="G116" s="73" t="s">
        <v>154</v>
      </c>
      <c r="H116" s="67" t="str">
        <f t="shared" ref="H116" ca="1" si="95">IF(G116="Unidade Construtiva",TEXT(A116,"00"),IF(G116="Célula Construtiva",TEXT(B116,"00"),IF(G116="Etapa",CONCATENATE(TEXT(B116,"00"),".",TEXT(C116,"000")),IF(G116="Subetapa",CONCATENATE(TEXT(B116,"00"),".",TEXT(C116,"000"),".",TEXT(D116,"000")),IF(G116="Serviço",CONCATENATE(TEXT(B116,"00"),".",TEXT(C116,"000"),".",TEXT(D116,"000"),".",TEXT(E116,"000")),"")))))</f>
        <v>06.001.003.002</v>
      </c>
      <c r="I116" s="74" t="s">
        <v>294</v>
      </c>
      <c r="J116" s="96">
        <v>2</v>
      </c>
      <c r="K116" s="127" t="s">
        <v>184</v>
      </c>
      <c r="L116" s="115">
        <v>66000</v>
      </c>
      <c r="M116" s="74"/>
    </row>
    <row r="117" spans="1:13" ht="20.45" customHeight="1" outlineLevel="1" x14ac:dyDescent="0.55000000000000004">
      <c r="A117" s="63">
        <f ca="1">IF($G117="UNIDADE CONSTRUTIVA",OFFSET(A117,0,0)+1,LARGE(A$3:A115,1))</f>
        <v>2</v>
      </c>
      <c r="B117" s="63">
        <f t="shared" ref="B117" ca="1" si="96">IF(G117="UNIDADE CONSTRUTIVA",0,IF(G117="CÉLULA CONSTRUTIVA",OFFSET(B117,-1,0)+1,OFFSET(B117,-1,0)))</f>
        <v>6</v>
      </c>
      <c r="C117" s="63">
        <f t="shared" ref="C117" ca="1" si="97">IF(G117="CÉLULA CONSTRUTIVA",0,IF(G117="ETAPA",OFFSET(C117,-1,0)+1,OFFSET(C117,-1,0)))</f>
        <v>1</v>
      </c>
      <c r="D117" s="64">
        <f t="shared" ref="D117" ca="1" si="98">IF(G117="ETAPA",0,IF(G117="SUBETAPA",OFFSET(D117,-1,0)+1,OFFSET(D117,-1,0)))</f>
        <v>3</v>
      </c>
      <c r="E117" s="64">
        <f t="shared" ref="E117" ca="1" si="99">IF(G117="Subetapa",0,IF(G117="serviço",OFFSET(E117,-1,0)+1,OFFSET(E117,-1,0)))</f>
        <v>3</v>
      </c>
      <c r="F117" s="65"/>
      <c r="G117" s="73" t="s">
        <v>154</v>
      </c>
      <c r="H117" s="67" t="str">
        <f t="shared" ref="H117" ca="1" si="100">IF(G117="Unidade Construtiva",TEXT(A117,"00"),IF(G117="Célula Construtiva",TEXT(B117,"00"),IF(G117="Etapa",CONCATENATE(TEXT(B117,"00"),".",TEXT(C117,"000")),IF(G117="Subetapa",CONCATENATE(TEXT(B117,"00"),".",TEXT(C117,"000"),".",TEXT(D117,"000")),IF(G117="Serviço",CONCATENATE(TEXT(B117,"00"),".",TEXT(C117,"000"),".",TEXT(D117,"000"),".",TEXT(E117,"000")),"")))))</f>
        <v>06.001.003.003</v>
      </c>
      <c r="I117" s="74" t="s">
        <v>478</v>
      </c>
      <c r="J117" s="96">
        <v>2</v>
      </c>
      <c r="K117" s="127" t="s">
        <v>184</v>
      </c>
      <c r="L117" s="115">
        <v>12808.400000000001</v>
      </c>
      <c r="M117" s="74"/>
    </row>
    <row r="118" spans="1:13" ht="20.45" customHeight="1" outlineLevel="1" x14ac:dyDescent="0.55000000000000004">
      <c r="A118" s="63">
        <f ca="1">IF($G118="UNIDADE CONSTRUTIVA",OFFSET(A118,0,0)+1,LARGE(A$3:A114,1))</f>
        <v>2</v>
      </c>
      <c r="B118" s="63">
        <f t="shared" ref="B118" ca="1" si="101">IF(G118="UNIDADE CONSTRUTIVA",0,IF(G118="CÉLULA CONSTRUTIVA",OFFSET(B118,-1,0)+1,OFFSET(B118,-1,0)))</f>
        <v>6</v>
      </c>
      <c r="C118" s="63">
        <f t="shared" ref="C118" ca="1" si="102">IF(G118="CÉLULA CONSTRUTIVA",0,IF(G118="ETAPA",OFFSET(C118,-1,0)+1,OFFSET(C118,-1,0)))</f>
        <v>1</v>
      </c>
      <c r="D118" s="64">
        <f t="shared" ref="D118" ca="1" si="103">IF(G118="ETAPA",0,IF(G118="SUBETAPA",OFFSET(D118,-1,0)+1,OFFSET(D118,-1,0)))</f>
        <v>4</v>
      </c>
      <c r="E118" s="64">
        <f t="shared" ref="E118" ca="1" si="104">IF(G118="Subetapa",0,IF(G118="serviço",OFFSET(E118,-1,0)+1,OFFSET(E118,-1,0)))</f>
        <v>0</v>
      </c>
      <c r="F118" s="65"/>
      <c r="G118" s="73" t="s">
        <v>153</v>
      </c>
      <c r="H118" s="67" t="str">
        <f t="shared" ref="H118" ca="1" si="105">IF(G118="Unidade Construtiva",TEXT(A118,"00"),IF(G118="Célula Construtiva",TEXT(B118,"00"),IF(G118="Etapa",CONCATENATE(TEXT(B118,"00"),".",TEXT(C118,"000")),IF(G118="Subetapa",CONCATENATE(TEXT(B118,"00"),".",TEXT(C118,"000"),".",TEXT(D118,"000")),IF(G118="Serviço",CONCATENATE(TEXT(B118,"00"),".",TEXT(C118,"000"),".",TEXT(D118,"000"),".",TEXT(E118,"000")),"")))))</f>
        <v>06.001.004</v>
      </c>
      <c r="I118" s="74" t="s">
        <v>62</v>
      </c>
      <c r="J118" s="96"/>
      <c r="K118" s="127"/>
      <c r="L118" s="115">
        <f>L119</f>
        <v>166352.17499999999</v>
      </c>
      <c r="M118" s="74"/>
    </row>
    <row r="119" spans="1:13" ht="20.45" customHeight="1" outlineLevel="1" x14ac:dyDescent="0.55000000000000004">
      <c r="A119" s="63">
        <f ca="1">IF($G119="UNIDADE CONSTRUTIVA",OFFSET(A119,0,0)+1,LARGE(A$3:A115,1))</f>
        <v>2</v>
      </c>
      <c r="B119" s="63">
        <f t="shared" ca="1" si="76"/>
        <v>6</v>
      </c>
      <c r="C119" s="63">
        <f t="shared" ca="1" si="77"/>
        <v>1</v>
      </c>
      <c r="D119" s="64">
        <f t="shared" ca="1" si="78"/>
        <v>4</v>
      </c>
      <c r="E119" s="64">
        <f t="shared" ca="1" si="79"/>
        <v>1</v>
      </c>
      <c r="F119" s="65"/>
      <c r="G119" s="73" t="s">
        <v>154</v>
      </c>
      <c r="H119" s="67" t="str">
        <f t="shared" ca="1" si="63"/>
        <v>06.001.004.001</v>
      </c>
      <c r="I119" s="74" t="s">
        <v>62</v>
      </c>
      <c r="J119" s="96">
        <v>1</v>
      </c>
      <c r="K119" s="127" t="s">
        <v>217</v>
      </c>
      <c r="L119" s="115">
        <v>166352.17499999999</v>
      </c>
      <c r="M119" s="74"/>
    </row>
    <row r="120" spans="1:13" ht="20.45" customHeight="1" outlineLevel="1" x14ac:dyDescent="0.55000000000000004">
      <c r="A120" s="63">
        <f ca="1">IF($G120="UNIDADE CONSTRUTIVA",OFFSET(A120,0,0)+1,LARGE(A$3:A119,1))</f>
        <v>2</v>
      </c>
      <c r="B120" s="63">
        <f t="shared" ca="1" si="76"/>
        <v>6</v>
      </c>
      <c r="C120" s="63">
        <f t="shared" ca="1" si="77"/>
        <v>1</v>
      </c>
      <c r="D120" s="64">
        <f t="shared" ca="1" si="78"/>
        <v>5</v>
      </c>
      <c r="E120" s="64">
        <f t="shared" ca="1" si="79"/>
        <v>0</v>
      </c>
      <c r="F120" s="65"/>
      <c r="G120" s="73" t="s">
        <v>153</v>
      </c>
      <c r="H120" s="67" t="str">
        <f t="shared" ref="H120" ca="1" si="106">IF(G120="Unidade Construtiva",TEXT(A120,"00"),IF(G120="Célula Construtiva",TEXT(B120,"00"),IF(G120="Etapa",CONCATENATE(TEXT(B120,"00"),".",TEXT(C120,"000")),IF(G120="Subetapa",CONCATENATE(TEXT(B120,"00"),".",TEXT(C120,"000"),".",TEXT(D120,"000")),IF(G120="Serviço",CONCATENATE(TEXT(B120,"00"),".",TEXT(C120,"000"),".",TEXT(D120,"000"),".",TEXT(E120,"000")),"")))))</f>
        <v>06.001.005</v>
      </c>
      <c r="I120" s="74" t="s">
        <v>295</v>
      </c>
      <c r="J120" s="96"/>
      <c r="K120" s="127"/>
      <c r="L120" s="115">
        <f>L121</f>
        <v>121000.00000000001</v>
      </c>
      <c r="M120" s="74"/>
    </row>
    <row r="121" spans="1:13" ht="20.45" customHeight="1" outlineLevel="1" x14ac:dyDescent="0.55000000000000004">
      <c r="A121" s="63">
        <f ca="1">IF($G121="UNIDADE CONSTRUTIVA",OFFSET(A121,0,0)+1,LARGE(A$3:A120,1))</f>
        <v>2</v>
      </c>
      <c r="B121" s="63">
        <f t="shared" ref="B121" ca="1" si="107">IF(G121="UNIDADE CONSTRUTIVA",0,IF(G121="CÉLULA CONSTRUTIVA",OFFSET(B121,-1,0)+1,OFFSET(B121,-1,0)))</f>
        <v>6</v>
      </c>
      <c r="C121" s="63">
        <f t="shared" ref="C121" ca="1" si="108">IF(G121="CÉLULA CONSTRUTIVA",0,IF(G121="ETAPA",OFFSET(C121,-1,0)+1,OFFSET(C121,-1,0)))</f>
        <v>1</v>
      </c>
      <c r="D121" s="64">
        <f t="shared" ref="D121" ca="1" si="109">IF(G121="ETAPA",0,IF(G121="SUBETAPA",OFFSET(D121,-1,0)+1,OFFSET(D121,-1,0)))</f>
        <v>5</v>
      </c>
      <c r="E121" s="64">
        <f t="shared" ref="E121" ca="1" si="110">IF(G121="Subetapa",0,IF(G121="serviço",OFFSET(E121,-1,0)+1,OFFSET(E121,-1,0)))</f>
        <v>1</v>
      </c>
      <c r="F121" s="65"/>
      <c r="G121" s="73" t="s">
        <v>154</v>
      </c>
      <c r="H121" s="67" t="str">
        <f t="shared" ref="H121" ca="1" si="111">IF(G121="Unidade Construtiva",TEXT(A121,"00"),IF(G121="Célula Construtiva",TEXT(B121,"00"),IF(G121="Etapa",CONCATENATE(TEXT(B121,"00"),".",TEXT(C121,"000")),IF(G121="Subetapa",CONCATENATE(TEXT(B121,"00"),".",TEXT(C121,"000"),".",TEXT(D121,"000")),IF(G121="Serviço",CONCATENATE(TEXT(B121,"00"),".",TEXT(C121,"000"),".",TEXT(D121,"000"),".",TEXT(E121,"000")),"")))))</f>
        <v>06.001.005.001</v>
      </c>
      <c r="I121" s="74" t="s">
        <v>295</v>
      </c>
      <c r="J121" s="96">
        <v>1</v>
      </c>
      <c r="K121" s="127" t="s">
        <v>217</v>
      </c>
      <c r="L121" s="115">
        <v>121000.00000000001</v>
      </c>
      <c r="M121" s="74"/>
    </row>
    <row r="122" spans="1:13" ht="20.45" customHeight="1" outlineLevel="1" x14ac:dyDescent="0.55000000000000004">
      <c r="A122" s="63">
        <f ca="1">IF($G122="UNIDADE CONSTRUTIVA",OFFSET(A122,0,0)+1,LARGE(A$3:A120,1))</f>
        <v>2</v>
      </c>
      <c r="B122" s="63">
        <f t="shared" ca="1" si="76"/>
        <v>6</v>
      </c>
      <c r="C122" s="63">
        <f t="shared" ca="1" si="77"/>
        <v>1</v>
      </c>
      <c r="D122" s="64">
        <f t="shared" ca="1" si="78"/>
        <v>6</v>
      </c>
      <c r="E122" s="64">
        <f t="shared" ca="1" si="79"/>
        <v>0</v>
      </c>
      <c r="F122" s="65"/>
      <c r="G122" s="73" t="s">
        <v>153</v>
      </c>
      <c r="H122" s="67" t="str">
        <f t="shared" ca="1" si="63"/>
        <v>06.001.006</v>
      </c>
      <c r="I122" s="74" t="s">
        <v>296</v>
      </c>
      <c r="J122" s="96"/>
      <c r="K122" s="127"/>
      <c r="L122" s="115">
        <f>L123</f>
        <v>34584</v>
      </c>
      <c r="M122" s="74"/>
    </row>
    <row r="123" spans="1:13" ht="20.45" customHeight="1" outlineLevel="1" x14ac:dyDescent="0.55000000000000004">
      <c r="A123" s="63">
        <f ca="1">IF($G123="UNIDADE CONSTRUTIVA",OFFSET(A123,0,0)+1,LARGE(A$3:A121,1))</f>
        <v>2</v>
      </c>
      <c r="B123" s="63">
        <f t="shared" ref="B123" ca="1" si="112">IF(G123="UNIDADE CONSTRUTIVA",0,IF(G123="CÉLULA CONSTRUTIVA",OFFSET(B123,-1,0)+1,OFFSET(B123,-1,0)))</f>
        <v>6</v>
      </c>
      <c r="C123" s="63">
        <f t="shared" ref="C123" ca="1" si="113">IF(G123="CÉLULA CONSTRUTIVA",0,IF(G123="ETAPA",OFFSET(C123,-1,0)+1,OFFSET(C123,-1,0)))</f>
        <v>1</v>
      </c>
      <c r="D123" s="64">
        <f t="shared" ref="D123" ca="1" si="114">IF(G123="ETAPA",0,IF(G123="SUBETAPA",OFFSET(D123,-1,0)+1,OFFSET(D123,-1,0)))</f>
        <v>6</v>
      </c>
      <c r="E123" s="64">
        <f t="shared" ref="E123" ca="1" si="115">IF(G123="Subetapa",0,IF(G123="serviço",OFFSET(E123,-1,0)+1,OFFSET(E123,-1,0)))</f>
        <v>1</v>
      </c>
      <c r="F123" s="65"/>
      <c r="G123" s="73" t="s">
        <v>154</v>
      </c>
      <c r="H123" s="67" t="str">
        <f t="shared" ref="H123" ca="1" si="116">IF(G123="Unidade Construtiva",TEXT(A123,"00"),IF(G123="Célula Construtiva",TEXT(B123,"00"),IF(G123="Etapa",CONCATENATE(TEXT(B123,"00"),".",TEXT(C123,"000")),IF(G123="Subetapa",CONCATENATE(TEXT(B123,"00"),".",TEXT(C123,"000"),".",TEXT(D123,"000")),IF(G123="Serviço",CONCATENATE(TEXT(B123,"00"),".",TEXT(C123,"000"),".",TEXT(D123,"000"),".",TEXT(E123,"000")),"")))))</f>
        <v>06.001.006.001</v>
      </c>
      <c r="I123" s="74" t="s">
        <v>296</v>
      </c>
      <c r="J123" s="96">
        <v>1</v>
      </c>
      <c r="K123" s="127" t="s">
        <v>217</v>
      </c>
      <c r="L123" s="115">
        <v>34584</v>
      </c>
      <c r="M123" s="74"/>
    </row>
    <row r="124" spans="1:13" ht="20.45" customHeight="1" outlineLevel="1" x14ac:dyDescent="0.55000000000000004">
      <c r="A124" s="63">
        <f ca="1">IF($G124="UNIDADE CONSTRUTIVA",OFFSET(A124,0,0)+1,LARGE(A$3:A122,1))</f>
        <v>2</v>
      </c>
      <c r="B124" s="63">
        <f t="shared" ca="1" si="76"/>
        <v>6</v>
      </c>
      <c r="C124" s="63">
        <f t="shared" ca="1" si="77"/>
        <v>1</v>
      </c>
      <c r="D124" s="64">
        <f t="shared" ca="1" si="78"/>
        <v>7</v>
      </c>
      <c r="E124" s="64">
        <f t="shared" ca="1" si="79"/>
        <v>0</v>
      </c>
      <c r="F124" s="65"/>
      <c r="G124" s="73" t="s">
        <v>153</v>
      </c>
      <c r="H124" s="67" t="str">
        <f t="shared" ca="1" si="63"/>
        <v>06.001.007</v>
      </c>
      <c r="I124" s="74" t="s">
        <v>63</v>
      </c>
      <c r="J124" s="96"/>
      <c r="K124" s="127"/>
      <c r="L124" s="115">
        <f>L125</f>
        <v>19962.260999999999</v>
      </c>
      <c r="M124" s="74"/>
    </row>
    <row r="125" spans="1:13" ht="20.45" customHeight="1" outlineLevel="1" x14ac:dyDescent="0.55000000000000004">
      <c r="A125" s="63">
        <f ca="1">IF($G125="UNIDADE CONSTRUTIVA",OFFSET(A125,0,0)+1,LARGE(A$3:A123,1))</f>
        <v>2</v>
      </c>
      <c r="B125" s="63">
        <f t="shared" ref="B125" ca="1" si="117">IF(G125="UNIDADE CONSTRUTIVA",0,IF(G125="CÉLULA CONSTRUTIVA",OFFSET(B125,-1,0)+1,OFFSET(B125,-1,0)))</f>
        <v>6</v>
      </c>
      <c r="C125" s="63">
        <f t="shared" ref="C125" ca="1" si="118">IF(G125="CÉLULA CONSTRUTIVA",0,IF(G125="ETAPA",OFFSET(C125,-1,0)+1,OFFSET(C125,-1,0)))</f>
        <v>1</v>
      </c>
      <c r="D125" s="64">
        <f t="shared" ref="D125" ca="1" si="119">IF(G125="ETAPA",0,IF(G125="SUBETAPA",OFFSET(D125,-1,0)+1,OFFSET(D125,-1,0)))</f>
        <v>7</v>
      </c>
      <c r="E125" s="64">
        <f t="shared" ref="E125" ca="1" si="120">IF(G125="Subetapa",0,IF(G125="serviço",OFFSET(E125,-1,0)+1,OFFSET(E125,-1,0)))</f>
        <v>1</v>
      </c>
      <c r="F125" s="65"/>
      <c r="G125" s="73" t="s">
        <v>154</v>
      </c>
      <c r="H125" s="67" t="str">
        <f t="shared" ref="H125" ca="1" si="121">IF(G125="Unidade Construtiva",TEXT(A125,"00"),IF(G125="Célula Construtiva",TEXT(B125,"00"),IF(G125="Etapa",CONCATENATE(TEXT(B125,"00"),".",TEXT(C125,"000")),IF(G125="Subetapa",CONCATENATE(TEXT(B125,"00"),".",TEXT(C125,"000"),".",TEXT(D125,"000")),IF(G125="Serviço",CONCATENATE(TEXT(B125,"00"),".",TEXT(C125,"000"),".",TEXT(D125,"000"),".",TEXT(E125,"000")),"")))))</f>
        <v>06.001.007.001</v>
      </c>
      <c r="I125" s="74" t="s">
        <v>63</v>
      </c>
      <c r="J125" s="96">
        <v>1</v>
      </c>
      <c r="K125" s="127" t="s">
        <v>217</v>
      </c>
      <c r="L125" s="115">
        <v>19962.260999999999</v>
      </c>
      <c r="M125" s="74"/>
    </row>
    <row r="126" spans="1:13" ht="20.45" customHeight="1" outlineLevel="1" x14ac:dyDescent="0.55000000000000004">
      <c r="A126" s="63">
        <f ca="1">IF($G126="UNIDADE CONSTRUTIVA",OFFSET(A126,0,0)+1,LARGE(A$3:A124,1))</f>
        <v>2</v>
      </c>
      <c r="B126" s="63">
        <f t="shared" ca="1" si="76"/>
        <v>6</v>
      </c>
      <c r="C126" s="63">
        <f t="shared" ca="1" si="77"/>
        <v>1</v>
      </c>
      <c r="D126" s="64">
        <f t="shared" ca="1" si="78"/>
        <v>8</v>
      </c>
      <c r="E126" s="64">
        <f t="shared" ca="1" si="79"/>
        <v>0</v>
      </c>
      <c r="F126" s="65"/>
      <c r="G126" s="73" t="s">
        <v>153</v>
      </c>
      <c r="H126" s="67" t="str">
        <f t="shared" ca="1" si="63"/>
        <v>06.001.008</v>
      </c>
      <c r="I126" s="74" t="s">
        <v>64</v>
      </c>
      <c r="J126" s="96"/>
      <c r="K126" s="127"/>
      <c r="L126" s="115">
        <f>SUM(L127:L128)</f>
        <v>27060</v>
      </c>
      <c r="M126" s="74"/>
    </row>
    <row r="127" spans="1:13" ht="20.45" customHeight="1" outlineLevel="1" x14ac:dyDescent="0.55000000000000004">
      <c r="A127" s="63">
        <f ca="1">IF($G127="UNIDADE CONSTRUTIVA",OFFSET(A127,0,0)+1,LARGE(A$3:A125,1))</f>
        <v>2</v>
      </c>
      <c r="B127" s="63">
        <f t="shared" ref="B127:B128" ca="1" si="122">IF(G127="UNIDADE CONSTRUTIVA",0,IF(G127="CÉLULA CONSTRUTIVA",OFFSET(B127,-1,0)+1,OFFSET(B127,-1,0)))</f>
        <v>6</v>
      </c>
      <c r="C127" s="63">
        <f t="shared" ref="C127:C128" ca="1" si="123">IF(G127="CÉLULA CONSTRUTIVA",0,IF(G127="ETAPA",OFFSET(C127,-1,0)+1,OFFSET(C127,-1,0)))</f>
        <v>1</v>
      </c>
      <c r="D127" s="64">
        <f t="shared" ref="D127:D128" ca="1" si="124">IF(G127="ETAPA",0,IF(G127="SUBETAPA",OFFSET(D127,-1,0)+1,OFFSET(D127,-1,0)))</f>
        <v>8</v>
      </c>
      <c r="E127" s="64">
        <f t="shared" ref="E127:E128" ca="1" si="125">IF(G127="Subetapa",0,IF(G127="serviço",OFFSET(E127,-1,0)+1,OFFSET(E127,-1,0)))</f>
        <v>1</v>
      </c>
      <c r="F127" s="65"/>
      <c r="G127" s="73" t="s">
        <v>154</v>
      </c>
      <c r="H127" s="67" t="str">
        <f t="shared" ref="H127:H128" ca="1" si="126">IF(G127="Unidade Construtiva",TEXT(A127,"00"),IF(G127="Célula Construtiva",TEXT(B127,"00"),IF(G127="Etapa",CONCATENATE(TEXT(B127,"00"),".",TEXT(C127,"000")),IF(G127="Subetapa",CONCATENATE(TEXT(B127,"00"),".",TEXT(C127,"000"),".",TEXT(D127,"000")),IF(G127="Serviço",CONCATENATE(TEXT(B127,"00"),".",TEXT(C127,"000"),".",TEXT(D127,"000"),".",TEXT(E127,"000")),"")))))</f>
        <v>06.001.008.001</v>
      </c>
      <c r="I127" s="74" t="s">
        <v>298</v>
      </c>
      <c r="J127" s="96">
        <v>1</v>
      </c>
      <c r="K127" s="127" t="s">
        <v>217</v>
      </c>
      <c r="L127" s="115">
        <v>18260</v>
      </c>
      <c r="M127" s="74"/>
    </row>
    <row r="128" spans="1:13" ht="20.45" customHeight="1" outlineLevel="1" x14ac:dyDescent="0.55000000000000004">
      <c r="A128" s="63">
        <f ca="1">IF($G128="UNIDADE CONSTRUTIVA",OFFSET(A128,0,0)+1,LARGE(A$3:A125,1))</f>
        <v>2</v>
      </c>
      <c r="B128" s="63">
        <f t="shared" ca="1" si="122"/>
        <v>6</v>
      </c>
      <c r="C128" s="63">
        <f t="shared" ca="1" si="123"/>
        <v>1</v>
      </c>
      <c r="D128" s="64">
        <f t="shared" ca="1" si="124"/>
        <v>8</v>
      </c>
      <c r="E128" s="64">
        <f t="shared" ca="1" si="125"/>
        <v>2</v>
      </c>
      <c r="F128" s="65"/>
      <c r="G128" s="73" t="s">
        <v>154</v>
      </c>
      <c r="H128" s="67" t="str">
        <f t="shared" ca="1" si="126"/>
        <v>06.001.008.002</v>
      </c>
      <c r="I128" s="74" t="s">
        <v>299</v>
      </c>
      <c r="J128" s="96">
        <v>1</v>
      </c>
      <c r="K128" s="127" t="s">
        <v>217</v>
      </c>
      <c r="L128" s="115">
        <v>8800</v>
      </c>
      <c r="M128" s="74" t="s">
        <v>300</v>
      </c>
    </row>
    <row r="129" spans="1:13" ht="20.45" customHeight="1" outlineLevel="1" x14ac:dyDescent="0.55000000000000004">
      <c r="A129" s="63">
        <f ca="1">IF($G129="UNIDADE CONSTRUTIVA",OFFSET(A129,0,0)+1,LARGE(A$3:A126,1))</f>
        <v>2</v>
      </c>
      <c r="B129" s="63">
        <f t="shared" ref="B129" ca="1" si="127">IF(G129="UNIDADE CONSTRUTIVA",0,IF(G129="CÉLULA CONSTRUTIVA",OFFSET(B129,-1,0)+1,OFFSET(B129,-1,0)))</f>
        <v>6</v>
      </c>
      <c r="C129" s="63">
        <f t="shared" ref="C129" ca="1" si="128">IF(G129="CÉLULA CONSTRUTIVA",0,IF(G129="ETAPA",OFFSET(C129,-1,0)+1,OFFSET(C129,-1,0)))</f>
        <v>1</v>
      </c>
      <c r="D129" s="64">
        <f t="shared" ref="D129" ca="1" si="129">IF(G129="ETAPA",0,IF(G129="SUBETAPA",OFFSET(D129,-1,0)+1,OFFSET(D129,-1,0)))</f>
        <v>9</v>
      </c>
      <c r="E129" s="64">
        <f t="shared" ref="E129" ca="1" si="130">IF(G129="Subetapa",0,IF(G129="serviço",OFFSET(E129,-1,0)+1,OFFSET(E129,-1,0)))</f>
        <v>0</v>
      </c>
      <c r="F129" s="65"/>
      <c r="G129" s="73" t="s">
        <v>153</v>
      </c>
      <c r="H129" s="67" t="str">
        <f t="shared" ref="H129" ca="1" si="131">IF(G129="Unidade Construtiva",TEXT(A129,"00"),IF(G129="Célula Construtiva",TEXT(B129,"00"),IF(G129="Etapa",CONCATENATE(TEXT(B129,"00"),".",TEXT(C129,"000")),IF(G129="Subetapa",CONCATENATE(TEXT(B129,"00"),".",TEXT(C129,"000"),".",TEXT(D129,"000")),IF(G129="Serviço",CONCATENATE(TEXT(B129,"00"),".",TEXT(C129,"000"),".",TEXT(D129,"000"),".",TEXT(E129,"000")),"")))))</f>
        <v>06.001.009</v>
      </c>
      <c r="I129" s="74" t="s">
        <v>39</v>
      </c>
      <c r="J129" s="96"/>
      <c r="K129" s="127"/>
      <c r="L129" s="115">
        <f>L130</f>
        <v>399245.22</v>
      </c>
      <c r="M129" s="74"/>
    </row>
    <row r="130" spans="1:13" ht="20.45" customHeight="1" outlineLevel="1" x14ac:dyDescent="0.55000000000000004">
      <c r="A130" s="63">
        <f ca="1">IF($G130="UNIDADE CONSTRUTIVA",OFFSET(A130,0,0)+1,LARGE(A$3:A128,1))</f>
        <v>2</v>
      </c>
      <c r="B130" s="63">
        <f t="shared" ca="1" si="76"/>
        <v>6</v>
      </c>
      <c r="C130" s="63">
        <f t="shared" ca="1" si="77"/>
        <v>1</v>
      </c>
      <c r="D130" s="64">
        <f t="shared" ca="1" si="78"/>
        <v>9</v>
      </c>
      <c r="E130" s="64">
        <f t="shared" ca="1" si="79"/>
        <v>1</v>
      </c>
      <c r="F130" s="65"/>
      <c r="G130" s="73" t="s">
        <v>154</v>
      </c>
      <c r="H130" s="67" t="str">
        <f t="shared" ca="1" si="63"/>
        <v>06.001.009.001</v>
      </c>
      <c r="I130" s="74" t="s">
        <v>297</v>
      </c>
      <c r="J130" s="128">
        <f>OBRA!E16</f>
        <v>1662.34</v>
      </c>
      <c r="K130" s="127" t="s">
        <v>185</v>
      </c>
      <c r="L130" s="115">
        <v>399245.22</v>
      </c>
      <c r="M130" s="74"/>
    </row>
    <row r="131" spans="1:13" ht="20.45" customHeight="1" x14ac:dyDescent="0.55000000000000004">
      <c r="A131" s="63">
        <f ca="1">IF($G131="UNIDADE CONSTRUTIVA",OFFSET(A131,0,0)+1,LARGE(A$3:A130,1))</f>
        <v>2</v>
      </c>
      <c r="B131" s="63">
        <f t="shared" ca="1" si="76"/>
        <v>7</v>
      </c>
      <c r="C131" s="63">
        <f t="shared" ca="1" si="77"/>
        <v>0</v>
      </c>
      <c r="D131" s="64">
        <f t="shared" ca="1" si="78"/>
        <v>9</v>
      </c>
      <c r="E131" s="64">
        <f t="shared" ca="1" si="79"/>
        <v>1</v>
      </c>
      <c r="F131" s="65"/>
      <c r="G131" s="71" t="s">
        <v>156</v>
      </c>
      <c r="H131" s="67" t="str">
        <f t="shared" ca="1" si="63"/>
        <v>07</v>
      </c>
      <c r="I131" s="72" t="s">
        <v>65</v>
      </c>
      <c r="J131" s="95"/>
      <c r="K131" s="125"/>
      <c r="L131" s="113">
        <f>L132</f>
        <v>1838539.0190000003</v>
      </c>
      <c r="M131" s="72"/>
    </row>
    <row r="132" spans="1:13" ht="20.45" customHeight="1" outlineLevel="1" x14ac:dyDescent="0.55000000000000004">
      <c r="A132" s="63">
        <f ca="1">IF($G132="UNIDADE CONSTRUTIVA",OFFSET(A132,0,0)+1,LARGE(A$3:A131,1))</f>
        <v>2</v>
      </c>
      <c r="B132" s="63">
        <f t="shared" ca="1" si="76"/>
        <v>7</v>
      </c>
      <c r="C132" s="63">
        <f t="shared" ca="1" si="77"/>
        <v>1</v>
      </c>
      <c r="D132" s="64">
        <f t="shared" ca="1" si="78"/>
        <v>0</v>
      </c>
      <c r="E132" s="64">
        <f t="shared" ca="1" si="79"/>
        <v>1</v>
      </c>
      <c r="F132" s="65"/>
      <c r="G132" s="71" t="s">
        <v>157</v>
      </c>
      <c r="H132" s="67" t="str">
        <f t="shared" ca="1" si="63"/>
        <v>07.001</v>
      </c>
      <c r="I132" s="80" t="s">
        <v>66</v>
      </c>
      <c r="J132" s="107"/>
      <c r="K132" s="130"/>
      <c r="L132" s="126">
        <f>SUM(L133:L153)/2</f>
        <v>1838539.0190000003</v>
      </c>
      <c r="M132" s="80"/>
    </row>
    <row r="133" spans="1:13" ht="20.45" customHeight="1" outlineLevel="1" x14ac:dyDescent="0.55000000000000004">
      <c r="A133" s="63">
        <f ca="1">IF($G133="UNIDADE CONSTRUTIVA",OFFSET(A133,0,0)+1,LARGE(A$3:A132,1))</f>
        <v>2</v>
      </c>
      <c r="B133" s="63">
        <f t="shared" ca="1" si="76"/>
        <v>7</v>
      </c>
      <c r="C133" s="63">
        <f t="shared" ca="1" si="77"/>
        <v>1</v>
      </c>
      <c r="D133" s="64">
        <f t="shared" ca="1" si="78"/>
        <v>1</v>
      </c>
      <c r="E133" s="64">
        <f t="shared" ca="1" si="79"/>
        <v>0</v>
      </c>
      <c r="F133" s="65"/>
      <c r="G133" s="73" t="s">
        <v>153</v>
      </c>
      <c r="H133" s="67" t="str">
        <f t="shared" ca="1" si="63"/>
        <v>07.001.001</v>
      </c>
      <c r="I133" s="74" t="s">
        <v>67</v>
      </c>
      <c r="J133" s="96"/>
      <c r="K133" s="127"/>
      <c r="L133" s="115">
        <f>L134</f>
        <v>53232.695999999996</v>
      </c>
      <c r="M133" s="74"/>
    </row>
    <row r="134" spans="1:13" ht="20.45" customHeight="1" outlineLevel="1" x14ac:dyDescent="0.55000000000000004">
      <c r="A134" s="63">
        <f ca="1">IF($G134="UNIDADE CONSTRUTIVA",OFFSET(A134,0,0)+1,LARGE(A$3:A133,1))</f>
        <v>2</v>
      </c>
      <c r="B134" s="63">
        <f t="shared" ref="B134:B135" ca="1" si="132">IF(G134="UNIDADE CONSTRUTIVA",0,IF(G134="CÉLULA CONSTRUTIVA",OFFSET(B134,-1,0)+1,OFFSET(B134,-1,0)))</f>
        <v>7</v>
      </c>
      <c r="C134" s="63">
        <f t="shared" ref="C134:C135" ca="1" si="133">IF(G134="CÉLULA CONSTRUTIVA",0,IF(G134="ETAPA",OFFSET(C134,-1,0)+1,OFFSET(C134,-1,0)))</f>
        <v>1</v>
      </c>
      <c r="D134" s="64">
        <f t="shared" ref="D134:D135" ca="1" si="134">IF(G134="ETAPA",0,IF(G134="SUBETAPA",OFFSET(D134,-1,0)+1,OFFSET(D134,-1,0)))</f>
        <v>1</v>
      </c>
      <c r="E134" s="64">
        <f t="shared" ref="E134:E135" ca="1" si="135">IF(G134="Subetapa",0,IF(G134="serviço",OFFSET(E134,-1,0)+1,OFFSET(E134,-1,0)))</f>
        <v>1</v>
      </c>
      <c r="F134" s="65"/>
      <c r="G134" s="73" t="s">
        <v>154</v>
      </c>
      <c r="H134" s="67" t="str">
        <f t="shared" ref="H134:H135" ca="1" si="136">IF(G134="Unidade Construtiva",TEXT(A134,"00"),IF(G134="Célula Construtiva",TEXT(B134,"00"),IF(G134="Etapa",CONCATENATE(TEXT(B134,"00"),".",TEXT(C134,"000")),IF(G134="Subetapa",CONCATENATE(TEXT(B134,"00"),".",TEXT(C134,"000"),".",TEXT(D134,"000")),IF(G134="Serviço",CONCATENATE(TEXT(B134,"00"),".",TEXT(C134,"000"),".",TEXT(D134,"000"),".",TEXT(E134,"000")),"")))))</f>
        <v>07.001.001.001</v>
      </c>
      <c r="I134" s="74" t="s">
        <v>67</v>
      </c>
      <c r="J134" s="96">
        <v>1</v>
      </c>
      <c r="K134" s="127" t="s">
        <v>217</v>
      </c>
      <c r="L134" s="115">
        <v>53232.695999999996</v>
      </c>
      <c r="M134" s="74"/>
    </row>
    <row r="135" spans="1:13" ht="20.45" customHeight="1" outlineLevel="1" x14ac:dyDescent="0.55000000000000004">
      <c r="A135" s="63">
        <f ca="1">IF($G135="UNIDADE CONSTRUTIVA",OFFSET(A135,0,0)+1,LARGE(A$3:A132,1))</f>
        <v>2</v>
      </c>
      <c r="B135" s="63">
        <f t="shared" ca="1" si="132"/>
        <v>7</v>
      </c>
      <c r="C135" s="63">
        <f t="shared" ca="1" si="133"/>
        <v>1</v>
      </c>
      <c r="D135" s="64">
        <f t="shared" ca="1" si="134"/>
        <v>2</v>
      </c>
      <c r="E135" s="64">
        <f t="shared" ca="1" si="135"/>
        <v>0</v>
      </c>
      <c r="F135" s="65"/>
      <c r="G135" s="73" t="s">
        <v>153</v>
      </c>
      <c r="H135" s="67" t="str">
        <f t="shared" ca="1" si="136"/>
        <v>07.001.002</v>
      </c>
      <c r="I135" s="74" t="s">
        <v>275</v>
      </c>
      <c r="J135" s="96"/>
      <c r="K135" s="127"/>
      <c r="L135" s="115">
        <f>SUM(L136:L139)</f>
        <v>261520.4</v>
      </c>
      <c r="M135" s="74"/>
    </row>
    <row r="136" spans="1:13" ht="20.45" customHeight="1" outlineLevel="1" x14ac:dyDescent="0.55000000000000004">
      <c r="A136" s="63">
        <f ca="1">IF($G136="UNIDADE CONSTRUTIVA",OFFSET(A136,0,0)+1,LARGE(A$3:A133,1))</f>
        <v>2</v>
      </c>
      <c r="B136" s="63">
        <f t="shared" ca="1" si="76"/>
        <v>7</v>
      </c>
      <c r="C136" s="63">
        <f t="shared" ca="1" si="77"/>
        <v>1</v>
      </c>
      <c r="D136" s="64">
        <f t="shared" ca="1" si="78"/>
        <v>2</v>
      </c>
      <c r="E136" s="64">
        <f t="shared" ca="1" si="79"/>
        <v>1</v>
      </c>
      <c r="F136" s="65"/>
      <c r="G136" s="73" t="s">
        <v>154</v>
      </c>
      <c r="H136" s="67" t="str">
        <f t="shared" ca="1" si="63"/>
        <v>07.001.002.001</v>
      </c>
      <c r="I136" s="74" t="s">
        <v>68</v>
      </c>
      <c r="J136" s="96"/>
      <c r="K136" s="127"/>
      <c r="L136" s="115"/>
      <c r="M136" s="74" t="s">
        <v>278</v>
      </c>
    </row>
    <row r="137" spans="1:13" ht="20.45" customHeight="1" outlineLevel="1" x14ac:dyDescent="0.55000000000000004">
      <c r="A137" s="63">
        <f ca="1">IF($G137="UNIDADE CONSTRUTIVA",OFFSET(A137,0,0)+1,LARGE(A$3:A136,1))</f>
        <v>2</v>
      </c>
      <c r="B137" s="63">
        <f t="shared" ca="1" si="76"/>
        <v>7</v>
      </c>
      <c r="C137" s="63">
        <f t="shared" ca="1" si="77"/>
        <v>1</v>
      </c>
      <c r="D137" s="64">
        <f t="shared" ca="1" si="78"/>
        <v>2</v>
      </c>
      <c r="E137" s="64">
        <f t="shared" ca="1" si="79"/>
        <v>2</v>
      </c>
      <c r="F137" s="65"/>
      <c r="G137" s="73" t="s">
        <v>154</v>
      </c>
      <c r="H137" s="67" t="str">
        <f t="shared" ca="1" si="63"/>
        <v>07.001.002.002</v>
      </c>
      <c r="I137" s="74" t="s">
        <v>69</v>
      </c>
      <c r="J137" s="96">
        <v>1</v>
      </c>
      <c r="K137" s="127" t="s">
        <v>265</v>
      </c>
      <c r="L137" s="115">
        <v>185000</v>
      </c>
      <c r="M137" s="74"/>
    </row>
    <row r="138" spans="1:13" ht="20.45" customHeight="1" outlineLevel="1" x14ac:dyDescent="0.55000000000000004">
      <c r="A138" s="63">
        <f ca="1">IF($G138="UNIDADE CONSTRUTIVA",OFFSET(A138,0,0)+1,LARGE(A$3:A137,1))</f>
        <v>2</v>
      </c>
      <c r="B138" s="63">
        <f t="shared" ref="B138" ca="1" si="137">IF(G138="UNIDADE CONSTRUTIVA",0,IF(G138="CÉLULA CONSTRUTIVA",OFFSET(B138,-1,0)+1,OFFSET(B138,-1,0)))</f>
        <v>7</v>
      </c>
      <c r="C138" s="63">
        <f t="shared" ref="C138" ca="1" si="138">IF(G138="CÉLULA CONSTRUTIVA",0,IF(G138="ETAPA",OFFSET(C138,-1,0)+1,OFFSET(C138,-1,0)))</f>
        <v>1</v>
      </c>
      <c r="D138" s="64">
        <f t="shared" ref="D138" ca="1" si="139">IF(G138="ETAPA",0,IF(G138="SUBETAPA",OFFSET(D138,-1,0)+1,OFFSET(D138,-1,0)))</f>
        <v>2</v>
      </c>
      <c r="E138" s="64">
        <f t="shared" ref="E138" ca="1" si="140">IF(G138="Subetapa",0,IF(G138="serviço",OFFSET(E138,-1,0)+1,OFFSET(E138,-1,0)))</f>
        <v>3</v>
      </c>
      <c r="F138" s="65"/>
      <c r="G138" s="73" t="s">
        <v>154</v>
      </c>
      <c r="H138" s="67" t="str">
        <f t="shared" ref="H138" ca="1" si="141">IF(G138="Unidade Construtiva",TEXT(A138,"00"),IF(G138="Célula Construtiva",TEXT(B138,"00"),IF(G138="Etapa",CONCATENATE(TEXT(B138,"00"),".",TEXT(C138,"000")),IF(G138="Subetapa",CONCATENATE(TEXT(B138,"00"),".",TEXT(C138,"000"),".",TEXT(D138,"000")),IF(G138="Serviço",CONCATENATE(TEXT(B138,"00"),".",TEXT(C138,"000"),".",TEXT(D138,"000"),".",TEXT(E138,"000")),"")))))</f>
        <v>07.001.002.003</v>
      </c>
      <c r="I138" s="74" t="s">
        <v>276</v>
      </c>
      <c r="J138" s="96">
        <v>12</v>
      </c>
      <c r="K138" s="127" t="s">
        <v>265</v>
      </c>
      <c r="L138" s="115">
        <v>7220.4000000000005</v>
      </c>
      <c r="M138" s="74" t="s">
        <v>280</v>
      </c>
    </row>
    <row r="139" spans="1:13" ht="20.45" customHeight="1" outlineLevel="1" x14ac:dyDescent="0.55000000000000004">
      <c r="A139" s="63">
        <f ca="1">IF($G139="UNIDADE CONSTRUTIVA",OFFSET(A139,0,0)+1,LARGE(A$3:A138,1))</f>
        <v>2</v>
      </c>
      <c r="B139" s="63">
        <f t="shared" ref="B139" ca="1" si="142">IF(G139="UNIDADE CONSTRUTIVA",0,IF(G139="CÉLULA CONSTRUTIVA",OFFSET(B139,-1,0)+1,OFFSET(B139,-1,0)))</f>
        <v>7</v>
      </c>
      <c r="C139" s="63">
        <f t="shared" ref="C139" ca="1" si="143">IF(G139="CÉLULA CONSTRUTIVA",0,IF(G139="ETAPA",OFFSET(C139,-1,0)+1,OFFSET(C139,-1,0)))</f>
        <v>1</v>
      </c>
      <c r="D139" s="64">
        <f t="shared" ref="D139" ca="1" si="144">IF(G139="ETAPA",0,IF(G139="SUBETAPA",OFFSET(D139,-1,0)+1,OFFSET(D139,-1,0)))</f>
        <v>2</v>
      </c>
      <c r="E139" s="64">
        <f t="shared" ref="E139" ca="1" si="145">IF(G139="Subetapa",0,IF(G139="serviço",OFFSET(E139,-1,0)+1,OFFSET(E139,-1,0)))</f>
        <v>4</v>
      </c>
      <c r="F139" s="65"/>
      <c r="G139" s="73" t="s">
        <v>154</v>
      </c>
      <c r="H139" s="67" t="str">
        <f t="shared" ref="H139" ca="1" si="146">IF(G139="Unidade Construtiva",TEXT(A139,"00"),IF(G139="Célula Construtiva",TEXT(B139,"00"),IF(G139="Etapa",CONCATENATE(TEXT(B139,"00"),".",TEXT(C139,"000")),IF(G139="Subetapa",CONCATENATE(TEXT(B139,"00"),".",TEXT(C139,"000"),".",TEXT(D139,"000")),IF(G139="Serviço",CONCATENATE(TEXT(B139,"00"),".",TEXT(C139,"000"),".",TEXT(D139,"000"),".",TEXT(E139,"000")),"")))))</f>
        <v>07.001.002.004</v>
      </c>
      <c r="I139" s="74" t="s">
        <v>277</v>
      </c>
      <c r="J139" s="96">
        <v>6</v>
      </c>
      <c r="K139" s="127" t="s">
        <v>265</v>
      </c>
      <c r="L139" s="115">
        <v>69300</v>
      </c>
      <c r="M139" s="74" t="s">
        <v>279</v>
      </c>
    </row>
    <row r="140" spans="1:13" ht="20.45" customHeight="1" outlineLevel="1" x14ac:dyDescent="0.55000000000000004">
      <c r="A140" s="63">
        <f ca="1">IF($G140="UNIDADE CONSTRUTIVA",OFFSET(A140,0,0)+1,LARGE(A$3:A137,1))</f>
        <v>2</v>
      </c>
      <c r="B140" s="63">
        <f t="shared" ca="1" si="76"/>
        <v>7</v>
      </c>
      <c r="C140" s="63">
        <f t="shared" ca="1" si="77"/>
        <v>1</v>
      </c>
      <c r="D140" s="64">
        <f t="shared" ca="1" si="78"/>
        <v>3</v>
      </c>
      <c r="E140" s="64">
        <f t="shared" ca="1" si="79"/>
        <v>0</v>
      </c>
      <c r="F140" s="65"/>
      <c r="G140" s="73" t="s">
        <v>153</v>
      </c>
      <c r="H140" s="67" t="str">
        <f t="shared" ref="H140" ca="1" si="147">IF(G140="Unidade Construtiva",TEXT(A140,"00"),IF(G140="Célula Construtiva",TEXT(B140,"00"),IF(G140="Etapa",CONCATENATE(TEXT(B140,"00"),".",TEXT(C140,"000")),IF(G140="Subetapa",CONCATENATE(TEXT(B140,"00"),".",TEXT(C140,"000"),".",TEXT(D140,"000")),IF(G140="Serviço",CONCATENATE(TEXT(B140,"00"),".",TEXT(C140,"000"),".",TEXT(D140,"000"),".",TEXT(E140,"000")),"")))))</f>
        <v>07.001.003</v>
      </c>
      <c r="I140" s="74" t="s">
        <v>158</v>
      </c>
      <c r="J140" s="96"/>
      <c r="K140" s="127"/>
      <c r="L140" s="115">
        <f>L141</f>
        <v>0</v>
      </c>
      <c r="M140" s="74"/>
    </row>
    <row r="141" spans="1:13" ht="20.45" customHeight="1" outlineLevel="1" x14ac:dyDescent="0.55000000000000004">
      <c r="A141" s="63">
        <f ca="1">IF($G141="UNIDADE CONSTRUTIVA",OFFSET(A141,0,0)+1,LARGE(A$3:A140,1))</f>
        <v>2</v>
      </c>
      <c r="B141" s="63">
        <f t="shared" ref="B141" ca="1" si="148">IF(G141="UNIDADE CONSTRUTIVA",0,IF(G141="CÉLULA CONSTRUTIVA",OFFSET(B141,-1,0)+1,OFFSET(B141,-1,0)))</f>
        <v>7</v>
      </c>
      <c r="C141" s="63">
        <f t="shared" ref="C141" ca="1" si="149">IF(G141="CÉLULA CONSTRUTIVA",0,IF(G141="ETAPA",OFFSET(C141,-1,0)+1,OFFSET(C141,-1,0)))</f>
        <v>1</v>
      </c>
      <c r="D141" s="64">
        <f t="shared" ref="D141" ca="1" si="150">IF(G141="ETAPA",0,IF(G141="SUBETAPA",OFFSET(D141,-1,0)+1,OFFSET(D141,-1,0)))</f>
        <v>3</v>
      </c>
      <c r="E141" s="64">
        <f t="shared" ref="E141" ca="1" si="151">IF(G141="Subetapa",0,IF(G141="serviço",OFFSET(E141,-1,0)+1,OFFSET(E141,-1,0)))</f>
        <v>1</v>
      </c>
      <c r="F141" s="65"/>
      <c r="G141" s="73" t="s">
        <v>154</v>
      </c>
      <c r="H141" s="67" t="str">
        <f t="shared" ref="H141" ca="1" si="152">IF(G141="Unidade Construtiva",TEXT(A141,"00"),IF(G141="Célula Construtiva",TEXT(B141,"00"),IF(G141="Etapa",CONCATENATE(TEXT(B141,"00"),".",TEXT(C141,"000")),IF(G141="Subetapa",CONCATENATE(TEXT(B141,"00"),".",TEXT(C141,"000"),".",TEXT(D141,"000")),IF(G141="Serviço",CONCATENATE(TEXT(B141,"00"),".",TEXT(C141,"000"),".",TEXT(D141,"000"),".",TEXT(E141,"000")),"")))))</f>
        <v>07.001.003.001</v>
      </c>
      <c r="I141" s="74" t="s">
        <v>158</v>
      </c>
      <c r="J141" s="96"/>
      <c r="K141" s="127"/>
      <c r="L141" s="115"/>
      <c r="M141" s="74"/>
    </row>
    <row r="142" spans="1:13" ht="20.45" customHeight="1" outlineLevel="1" x14ac:dyDescent="0.55000000000000004">
      <c r="A142" s="63">
        <f ca="1">IF($G142="UNIDADE CONSTRUTIVA",OFFSET(A142,0,0)+1,LARGE(A$3:A140,1))</f>
        <v>2</v>
      </c>
      <c r="B142" s="63">
        <f t="shared" ca="1" si="76"/>
        <v>7</v>
      </c>
      <c r="C142" s="63">
        <f t="shared" ca="1" si="77"/>
        <v>1</v>
      </c>
      <c r="D142" s="64">
        <f t="shared" ca="1" si="78"/>
        <v>4</v>
      </c>
      <c r="E142" s="64">
        <f t="shared" ca="1" si="79"/>
        <v>0</v>
      </c>
      <c r="F142" s="65"/>
      <c r="G142" s="73" t="s">
        <v>153</v>
      </c>
      <c r="H142" s="67" t="str">
        <f t="shared" ca="1" si="63"/>
        <v>07.001.004</v>
      </c>
      <c r="I142" s="74" t="s">
        <v>70</v>
      </c>
      <c r="J142" s="96"/>
      <c r="K142" s="127"/>
      <c r="L142" s="115">
        <f>L143</f>
        <v>279471.65399999998</v>
      </c>
      <c r="M142" s="74"/>
    </row>
    <row r="143" spans="1:13" ht="20.45" customHeight="1" outlineLevel="1" x14ac:dyDescent="0.55000000000000004">
      <c r="A143" s="63">
        <f ca="1">IF($G143="UNIDADE CONSTRUTIVA",OFFSET(A143,0,0)+1,LARGE(A$3:A141,1))</f>
        <v>2</v>
      </c>
      <c r="B143" s="63">
        <f t="shared" ref="B143" ca="1" si="153">IF(G143="UNIDADE CONSTRUTIVA",0,IF(G143="CÉLULA CONSTRUTIVA",OFFSET(B143,-1,0)+1,OFFSET(B143,-1,0)))</f>
        <v>7</v>
      </c>
      <c r="C143" s="63">
        <f t="shared" ref="C143" ca="1" si="154">IF(G143="CÉLULA CONSTRUTIVA",0,IF(G143="ETAPA",OFFSET(C143,-1,0)+1,OFFSET(C143,-1,0)))</f>
        <v>1</v>
      </c>
      <c r="D143" s="64">
        <f t="shared" ref="D143" ca="1" si="155">IF(G143="ETAPA",0,IF(G143="SUBETAPA",OFFSET(D143,-1,0)+1,OFFSET(D143,-1,0)))</f>
        <v>4</v>
      </c>
      <c r="E143" s="64">
        <f t="shared" ref="E143" ca="1" si="156">IF(G143="Subetapa",0,IF(G143="serviço",OFFSET(E143,-1,0)+1,OFFSET(E143,-1,0)))</f>
        <v>1</v>
      </c>
      <c r="F143" s="65"/>
      <c r="G143" s="73" t="s">
        <v>154</v>
      </c>
      <c r="H143" s="67" t="str">
        <f t="shared" ref="H143" ca="1" si="157">IF(G143="Unidade Construtiva",TEXT(A143,"00"),IF(G143="Célula Construtiva",TEXT(B143,"00"),IF(G143="Etapa",CONCATENATE(TEXT(B143,"00"),".",TEXT(C143,"000")),IF(G143="Subetapa",CONCATENATE(TEXT(B143,"00"),".",TEXT(C143,"000"),".",TEXT(D143,"000")),IF(G143="Serviço",CONCATENATE(TEXT(B143,"00"),".",TEXT(C143,"000"),".",TEXT(D143,"000"),".",TEXT(E143,"000")),"")))))</f>
        <v>07.001.004.001</v>
      </c>
      <c r="I143" s="74" t="s">
        <v>70</v>
      </c>
      <c r="J143" s="96">
        <v>1</v>
      </c>
      <c r="K143" s="127" t="s">
        <v>217</v>
      </c>
      <c r="L143" s="115">
        <v>279471.65399999998</v>
      </c>
      <c r="M143" s="74"/>
    </row>
    <row r="144" spans="1:13" ht="20.45" customHeight="1" outlineLevel="1" x14ac:dyDescent="0.55000000000000004">
      <c r="A144" s="63">
        <f ca="1">IF($G144="UNIDADE CONSTRUTIVA",OFFSET(A144,0,0)+1,LARGE(A$3:A142,1))</f>
        <v>2</v>
      </c>
      <c r="B144" s="63">
        <f t="shared" ca="1" si="76"/>
        <v>7</v>
      </c>
      <c r="C144" s="63">
        <f t="shared" ca="1" si="77"/>
        <v>1</v>
      </c>
      <c r="D144" s="64">
        <f t="shared" ca="1" si="78"/>
        <v>5</v>
      </c>
      <c r="E144" s="64">
        <f t="shared" ca="1" si="79"/>
        <v>0</v>
      </c>
      <c r="F144" s="65"/>
      <c r="G144" s="73" t="s">
        <v>153</v>
      </c>
      <c r="H144" s="67" t="str">
        <f t="shared" ca="1" si="63"/>
        <v>07.001.005</v>
      </c>
      <c r="I144" s="74" t="s">
        <v>71</v>
      </c>
      <c r="J144" s="96"/>
      <c r="K144" s="127"/>
      <c r="L144" s="115">
        <f>L145</f>
        <v>139735.82699999999</v>
      </c>
      <c r="M144" s="74"/>
    </row>
    <row r="145" spans="1:13" ht="20.45" customHeight="1" outlineLevel="1" x14ac:dyDescent="0.55000000000000004">
      <c r="A145" s="63">
        <f ca="1">IF($G145="UNIDADE CONSTRUTIVA",OFFSET(A145,0,0)+1,LARGE(A$3:A143,1))</f>
        <v>2</v>
      </c>
      <c r="B145" s="63">
        <f t="shared" ref="B145" ca="1" si="158">IF(G145="UNIDADE CONSTRUTIVA",0,IF(G145="CÉLULA CONSTRUTIVA",OFFSET(B145,-1,0)+1,OFFSET(B145,-1,0)))</f>
        <v>7</v>
      </c>
      <c r="C145" s="63">
        <f t="shared" ref="C145" ca="1" si="159">IF(G145="CÉLULA CONSTRUTIVA",0,IF(G145="ETAPA",OFFSET(C145,-1,0)+1,OFFSET(C145,-1,0)))</f>
        <v>1</v>
      </c>
      <c r="D145" s="64">
        <f t="shared" ref="D145" ca="1" si="160">IF(G145="ETAPA",0,IF(G145="SUBETAPA",OFFSET(D145,-1,0)+1,OFFSET(D145,-1,0)))</f>
        <v>5</v>
      </c>
      <c r="E145" s="64">
        <f t="shared" ref="E145" ca="1" si="161">IF(G145="Subetapa",0,IF(G145="serviço",OFFSET(E145,-1,0)+1,OFFSET(E145,-1,0)))</f>
        <v>1</v>
      </c>
      <c r="F145" s="65"/>
      <c r="G145" s="73" t="s">
        <v>154</v>
      </c>
      <c r="H145" s="67" t="str">
        <f t="shared" ref="H145" ca="1" si="162">IF(G145="Unidade Construtiva",TEXT(A145,"00"),IF(G145="Célula Construtiva",TEXT(B145,"00"),IF(G145="Etapa",CONCATENATE(TEXT(B145,"00"),".",TEXT(C145,"000")),IF(G145="Subetapa",CONCATENATE(TEXT(B145,"00"),".",TEXT(C145,"000"),".",TEXT(D145,"000")),IF(G145="Serviço",CONCATENATE(TEXT(B145,"00"),".",TEXT(C145,"000"),".",TEXT(D145,"000"),".",TEXT(E145,"000")),"")))))</f>
        <v>07.001.005.001</v>
      </c>
      <c r="I145" s="74" t="s">
        <v>71</v>
      </c>
      <c r="J145" s="96">
        <v>1</v>
      </c>
      <c r="K145" s="127" t="s">
        <v>217</v>
      </c>
      <c r="L145" s="115">
        <v>139735.82699999999</v>
      </c>
      <c r="M145" s="74"/>
    </row>
    <row r="146" spans="1:13" ht="20.45" customHeight="1" outlineLevel="1" x14ac:dyDescent="0.55000000000000004">
      <c r="A146" s="63">
        <f ca="1">IF($G146="UNIDADE CONSTRUTIVA",OFFSET(A146,0,0)+1,LARGE(A$3:A144,1))</f>
        <v>2</v>
      </c>
      <c r="B146" s="63">
        <f t="shared" ca="1" si="76"/>
        <v>7</v>
      </c>
      <c r="C146" s="63">
        <f t="shared" ca="1" si="77"/>
        <v>1</v>
      </c>
      <c r="D146" s="64">
        <f t="shared" ca="1" si="78"/>
        <v>6</v>
      </c>
      <c r="E146" s="64">
        <f t="shared" ca="1" si="79"/>
        <v>0</v>
      </c>
      <c r="F146" s="65"/>
      <c r="G146" s="73" t="s">
        <v>153</v>
      </c>
      <c r="H146" s="67" t="str">
        <f t="shared" ca="1" si="63"/>
        <v>07.001.006</v>
      </c>
      <c r="I146" s="74" t="s">
        <v>72</v>
      </c>
      <c r="J146" s="96"/>
      <c r="K146" s="127"/>
      <c r="L146" s="115">
        <f>L147</f>
        <v>532326.96</v>
      </c>
      <c r="M146" s="74"/>
    </row>
    <row r="147" spans="1:13" ht="20.45" customHeight="1" outlineLevel="1" x14ac:dyDescent="0.55000000000000004">
      <c r="A147" s="63">
        <f ca="1">IF($G147="UNIDADE CONSTRUTIVA",OFFSET(A147,0,0)+1,LARGE(A$3:A145,1))</f>
        <v>2</v>
      </c>
      <c r="B147" s="63">
        <f t="shared" ref="B147" ca="1" si="163">IF(G147="UNIDADE CONSTRUTIVA",0,IF(G147="CÉLULA CONSTRUTIVA",OFFSET(B147,-1,0)+1,OFFSET(B147,-1,0)))</f>
        <v>7</v>
      </c>
      <c r="C147" s="63">
        <f t="shared" ref="C147" ca="1" si="164">IF(G147="CÉLULA CONSTRUTIVA",0,IF(G147="ETAPA",OFFSET(C147,-1,0)+1,OFFSET(C147,-1,0)))</f>
        <v>1</v>
      </c>
      <c r="D147" s="64">
        <f t="shared" ref="D147" ca="1" si="165">IF(G147="ETAPA",0,IF(G147="SUBETAPA",OFFSET(D147,-1,0)+1,OFFSET(D147,-1,0)))</f>
        <v>6</v>
      </c>
      <c r="E147" s="64">
        <f t="shared" ref="E147" ca="1" si="166">IF(G147="Subetapa",0,IF(G147="serviço",OFFSET(E147,-1,0)+1,OFFSET(E147,-1,0)))</f>
        <v>1</v>
      </c>
      <c r="F147" s="65"/>
      <c r="G147" s="73" t="s">
        <v>154</v>
      </c>
      <c r="H147" s="67" t="str">
        <f t="shared" ref="H147" ca="1" si="167">IF(G147="Unidade Construtiva",TEXT(A147,"00"),IF(G147="Célula Construtiva",TEXT(B147,"00"),IF(G147="Etapa",CONCATENATE(TEXT(B147,"00"),".",TEXT(C147,"000")),IF(G147="Subetapa",CONCATENATE(TEXT(B147,"00"),".",TEXT(C147,"000"),".",TEXT(D147,"000")),IF(G147="Serviço",CONCATENATE(TEXT(B147,"00"),".",TEXT(C147,"000"),".",TEXT(D147,"000"),".",TEXT(E147,"000")),"")))))</f>
        <v>07.001.006.001</v>
      </c>
      <c r="I147" s="74" t="s">
        <v>72</v>
      </c>
      <c r="J147" s="96">
        <v>1</v>
      </c>
      <c r="K147" s="127" t="s">
        <v>217</v>
      </c>
      <c r="L147" s="115">
        <v>532326.96</v>
      </c>
      <c r="M147" s="74"/>
    </row>
    <row r="148" spans="1:13" ht="20.45" customHeight="1" outlineLevel="1" x14ac:dyDescent="0.55000000000000004">
      <c r="A148" s="63">
        <f ca="1">IF($G148="UNIDADE CONSTRUTIVA",OFFSET(A148,0,0)+1,LARGE(A$3:A146,1))</f>
        <v>2</v>
      </c>
      <c r="B148" s="63">
        <f t="shared" ca="1" si="76"/>
        <v>7</v>
      </c>
      <c r="C148" s="63">
        <f t="shared" ca="1" si="77"/>
        <v>1</v>
      </c>
      <c r="D148" s="64">
        <f t="shared" ca="1" si="78"/>
        <v>7</v>
      </c>
      <c r="E148" s="64">
        <f t="shared" ca="1" si="79"/>
        <v>0</v>
      </c>
      <c r="F148" s="65"/>
      <c r="G148" s="73" t="s">
        <v>153</v>
      </c>
      <c r="H148" s="67" t="str">
        <f t="shared" ca="1" si="63"/>
        <v>07.001.007</v>
      </c>
      <c r="I148" s="74" t="s">
        <v>73</v>
      </c>
      <c r="J148" s="96"/>
      <c r="K148" s="127"/>
      <c r="L148" s="115">
        <f>L149</f>
        <v>53232.695999999996</v>
      </c>
      <c r="M148" s="74"/>
    </row>
    <row r="149" spans="1:13" ht="20.45" customHeight="1" outlineLevel="1" x14ac:dyDescent="0.55000000000000004">
      <c r="A149" s="63">
        <f ca="1">IF($G149="UNIDADE CONSTRUTIVA",OFFSET(A149,0,0)+1,LARGE(A$3:A147,1))</f>
        <v>2</v>
      </c>
      <c r="B149" s="63">
        <f t="shared" ref="B149" ca="1" si="168">IF(G149="UNIDADE CONSTRUTIVA",0,IF(G149="CÉLULA CONSTRUTIVA",OFFSET(B149,-1,0)+1,OFFSET(B149,-1,0)))</f>
        <v>7</v>
      </c>
      <c r="C149" s="63">
        <f t="shared" ref="C149" ca="1" si="169">IF(G149="CÉLULA CONSTRUTIVA",0,IF(G149="ETAPA",OFFSET(C149,-1,0)+1,OFFSET(C149,-1,0)))</f>
        <v>1</v>
      </c>
      <c r="D149" s="64">
        <f t="shared" ref="D149" ca="1" si="170">IF(G149="ETAPA",0,IF(G149="SUBETAPA",OFFSET(D149,-1,0)+1,OFFSET(D149,-1,0)))</f>
        <v>7</v>
      </c>
      <c r="E149" s="64">
        <f t="shared" ref="E149" ca="1" si="171">IF(G149="Subetapa",0,IF(G149="serviço",OFFSET(E149,-1,0)+1,OFFSET(E149,-1,0)))</f>
        <v>1</v>
      </c>
      <c r="F149" s="65"/>
      <c r="G149" s="73" t="s">
        <v>154</v>
      </c>
      <c r="H149" s="67" t="str">
        <f t="shared" ref="H149" ca="1" si="172">IF(G149="Unidade Construtiva",TEXT(A149,"00"),IF(G149="Célula Construtiva",TEXT(B149,"00"),IF(G149="Etapa",CONCATENATE(TEXT(B149,"00"),".",TEXT(C149,"000")),IF(G149="Subetapa",CONCATENATE(TEXT(B149,"00"),".",TEXT(C149,"000"),".",TEXT(D149,"000")),IF(G149="Serviço",CONCATENATE(TEXT(B149,"00"),".",TEXT(C149,"000"),".",TEXT(D149,"000"),".",TEXT(E149,"000")),"")))))</f>
        <v>07.001.007.001</v>
      </c>
      <c r="I149" s="74" t="s">
        <v>73</v>
      </c>
      <c r="J149" s="96">
        <v>1</v>
      </c>
      <c r="K149" s="127" t="s">
        <v>217</v>
      </c>
      <c r="L149" s="115">
        <v>53232.695999999996</v>
      </c>
      <c r="M149" s="74"/>
    </row>
    <row r="150" spans="1:13" ht="20.45" customHeight="1" outlineLevel="1" x14ac:dyDescent="0.55000000000000004">
      <c r="A150" s="63">
        <f ca="1">IF($G150="UNIDADE CONSTRUTIVA",OFFSET(A150,0,0)+1,LARGE(A$3:A148,1))</f>
        <v>2</v>
      </c>
      <c r="B150" s="63">
        <f t="shared" ca="1" si="76"/>
        <v>7</v>
      </c>
      <c r="C150" s="63">
        <f t="shared" ca="1" si="77"/>
        <v>1</v>
      </c>
      <c r="D150" s="64">
        <f t="shared" ca="1" si="78"/>
        <v>8</v>
      </c>
      <c r="E150" s="64">
        <f t="shared" ca="1" si="79"/>
        <v>0</v>
      </c>
      <c r="F150" s="65"/>
      <c r="G150" s="73" t="s">
        <v>153</v>
      </c>
      <c r="H150" s="67" t="str">
        <f t="shared" ca="1" si="63"/>
        <v>07.001.008</v>
      </c>
      <c r="I150" s="74" t="s">
        <v>74</v>
      </c>
      <c r="J150" s="96"/>
      <c r="K150" s="127"/>
      <c r="L150" s="115">
        <f>L151</f>
        <v>133081.74</v>
      </c>
      <c r="M150" s="74"/>
    </row>
    <row r="151" spans="1:13" ht="20.45" customHeight="1" outlineLevel="1" x14ac:dyDescent="0.55000000000000004">
      <c r="A151" s="63">
        <f ca="1">IF($G151="UNIDADE CONSTRUTIVA",OFFSET(A151,0,0)+1,LARGE(A$3:A150,1))</f>
        <v>2</v>
      </c>
      <c r="B151" s="63">
        <f t="shared" ref="B151" ca="1" si="173">IF(G151="UNIDADE CONSTRUTIVA",0,IF(G151="CÉLULA CONSTRUTIVA",OFFSET(B151,-1,0)+1,OFFSET(B151,-1,0)))</f>
        <v>7</v>
      </c>
      <c r="C151" s="63">
        <f t="shared" ref="C151" ca="1" si="174">IF(G151="CÉLULA CONSTRUTIVA",0,IF(G151="ETAPA",OFFSET(C151,-1,0)+1,OFFSET(C151,-1,0)))</f>
        <v>1</v>
      </c>
      <c r="D151" s="64">
        <f t="shared" ref="D151" ca="1" si="175">IF(G151="ETAPA",0,IF(G151="SUBETAPA",OFFSET(D151,-1,0)+1,OFFSET(D151,-1,0)))</f>
        <v>8</v>
      </c>
      <c r="E151" s="64">
        <f t="shared" ref="E151" ca="1" si="176">IF(G151="Subetapa",0,IF(G151="serviço",OFFSET(E151,-1,0)+1,OFFSET(E151,-1,0)))</f>
        <v>1</v>
      </c>
      <c r="F151" s="65"/>
      <c r="G151" s="73" t="s">
        <v>154</v>
      </c>
      <c r="H151" s="67" t="str">
        <f t="shared" ref="H151" ca="1" si="177">IF(G151="Unidade Construtiva",TEXT(A151,"00"),IF(G151="Célula Construtiva",TEXT(B151,"00"),IF(G151="Etapa",CONCATENATE(TEXT(B151,"00"),".",TEXT(C151,"000")),IF(G151="Subetapa",CONCATENATE(TEXT(B151,"00"),".",TEXT(C151,"000"),".",TEXT(D151,"000")),IF(G151="Serviço",CONCATENATE(TEXT(B151,"00"),".",TEXT(C151,"000"),".",TEXT(D151,"000"),".",TEXT(E151,"000")),"")))))</f>
        <v>07.001.008.001</v>
      </c>
      <c r="I151" s="74" t="s">
        <v>74</v>
      </c>
      <c r="J151" s="96">
        <v>1</v>
      </c>
      <c r="K151" s="127" t="s">
        <v>217</v>
      </c>
      <c r="L151" s="115">
        <v>133081.74</v>
      </c>
      <c r="M151" s="74"/>
    </row>
    <row r="152" spans="1:13" ht="20.45" customHeight="1" outlineLevel="1" x14ac:dyDescent="0.55000000000000004">
      <c r="A152" s="63">
        <f ca="1">IF($G152="UNIDADE CONSTRUTIVA",OFFSET(A152,0,0)+1,LARGE(A$3:A150,1))</f>
        <v>2</v>
      </c>
      <c r="B152" s="63">
        <f t="shared" ca="1" si="76"/>
        <v>7</v>
      </c>
      <c r="C152" s="63">
        <f t="shared" ca="1" si="77"/>
        <v>1</v>
      </c>
      <c r="D152" s="64">
        <f t="shared" ca="1" si="78"/>
        <v>9</v>
      </c>
      <c r="E152" s="64">
        <f t="shared" ca="1" si="79"/>
        <v>0</v>
      </c>
      <c r="F152" s="65"/>
      <c r="G152" s="73" t="s">
        <v>153</v>
      </c>
      <c r="H152" s="67" t="str">
        <f t="shared" ref="H152:H212" ca="1" si="178">IF(G152="Unidade Construtiva",TEXT(A152,"00"),IF(G152="Célula Construtiva",TEXT(B152,"00"),IF(G152="Etapa",CONCATENATE(TEXT(B152,"00"),".",TEXT(C152,"000")),IF(G152="Subetapa",CONCATENATE(TEXT(B152,"00"),".",TEXT(C152,"000"),".",TEXT(D152,"000")),IF(G152="Serviço",CONCATENATE(TEXT(B152,"00"),".",TEXT(C152,"000"),".",TEXT(D152,"000"),".",TEXT(E152,"000")),"")))))</f>
        <v>07.001.009</v>
      </c>
      <c r="I152" s="74" t="s">
        <v>39</v>
      </c>
      <c r="J152" s="96"/>
      <c r="K152" s="127"/>
      <c r="L152" s="115">
        <f>L153</f>
        <v>385937.04599999997</v>
      </c>
      <c r="M152" s="74"/>
    </row>
    <row r="153" spans="1:13" ht="20.45" customHeight="1" outlineLevel="1" x14ac:dyDescent="0.55000000000000004">
      <c r="A153" s="63">
        <f ca="1">IF($G153="UNIDADE CONSTRUTIVA",OFFSET(A153,0,0)+1,LARGE(A$3:A151,1))</f>
        <v>2</v>
      </c>
      <c r="B153" s="63">
        <f t="shared" ref="B153" ca="1" si="179">IF(G153="UNIDADE CONSTRUTIVA",0,IF(G153="CÉLULA CONSTRUTIVA",OFFSET(B153,-1,0)+1,OFFSET(B153,-1,0)))</f>
        <v>7</v>
      </c>
      <c r="C153" s="63">
        <f t="shared" ref="C153" ca="1" si="180">IF(G153="CÉLULA CONSTRUTIVA",0,IF(G153="ETAPA",OFFSET(C153,-1,0)+1,OFFSET(C153,-1,0)))</f>
        <v>1</v>
      </c>
      <c r="D153" s="64">
        <f t="shared" ref="D153" ca="1" si="181">IF(G153="ETAPA",0,IF(G153="SUBETAPA",OFFSET(D153,-1,0)+1,OFFSET(D153,-1,0)))</f>
        <v>9</v>
      </c>
      <c r="E153" s="64">
        <f t="shared" ref="E153" ca="1" si="182">IF(G153="Subetapa",0,IF(G153="serviço",OFFSET(E153,-1,0)+1,OFFSET(E153,-1,0)))</f>
        <v>1</v>
      </c>
      <c r="F153" s="65"/>
      <c r="G153" s="73" t="s">
        <v>154</v>
      </c>
      <c r="H153" s="67" t="str">
        <f t="shared" ref="H153" ca="1" si="183">IF(G153="Unidade Construtiva",TEXT(A153,"00"),IF(G153="Célula Construtiva",TEXT(B153,"00"),IF(G153="Etapa",CONCATENATE(TEXT(B153,"00"),".",TEXT(C153,"000")),IF(G153="Subetapa",CONCATENATE(TEXT(B153,"00"),".",TEXT(C153,"000"),".",TEXT(D153,"000")),IF(G153="Serviço",CONCATENATE(TEXT(B153,"00"),".",TEXT(C153,"000"),".",TEXT(D153,"000"),".",TEXT(E153,"000")),"")))))</f>
        <v>07.001.009.001</v>
      </c>
      <c r="I153" s="74" t="s">
        <v>281</v>
      </c>
      <c r="J153" s="128">
        <f>OBRA!E16</f>
        <v>1662.34</v>
      </c>
      <c r="K153" s="127" t="s">
        <v>282</v>
      </c>
      <c r="L153" s="115">
        <v>385937.04599999997</v>
      </c>
      <c r="M153" s="74"/>
    </row>
    <row r="154" spans="1:13" ht="20.45" customHeight="1" x14ac:dyDescent="0.55000000000000004">
      <c r="A154" s="63">
        <f ca="1">IF($G154="UNIDADE CONSTRUTIVA",OFFSET(A154,0,0)+1,LARGE(A$3:A152,1))</f>
        <v>2</v>
      </c>
      <c r="B154" s="63">
        <f t="shared" ca="1" si="76"/>
        <v>8</v>
      </c>
      <c r="C154" s="63">
        <f t="shared" ca="1" si="77"/>
        <v>0</v>
      </c>
      <c r="D154" s="64">
        <f t="shared" ca="1" si="78"/>
        <v>9</v>
      </c>
      <c r="E154" s="64">
        <f t="shared" ca="1" si="79"/>
        <v>1</v>
      </c>
      <c r="F154" s="65"/>
      <c r="G154" s="71" t="s">
        <v>156</v>
      </c>
      <c r="H154" s="67" t="str">
        <f t="shared" ca="1" si="178"/>
        <v>08</v>
      </c>
      <c r="I154" s="72" t="s">
        <v>75</v>
      </c>
      <c r="J154" s="95"/>
      <c r="K154" s="125"/>
      <c r="L154" s="113">
        <f>L155</f>
        <v>130827.65299999999</v>
      </c>
      <c r="M154" s="72"/>
    </row>
    <row r="155" spans="1:13" ht="20.45" customHeight="1" outlineLevel="1" x14ac:dyDescent="0.55000000000000004">
      <c r="A155" s="63">
        <f ca="1">IF($G155="UNIDADE CONSTRUTIVA",OFFSET(A155,0,0)+1,LARGE(A$3:A154,1))</f>
        <v>2</v>
      </c>
      <c r="B155" s="63">
        <f t="shared" ca="1" si="76"/>
        <v>8</v>
      </c>
      <c r="C155" s="63">
        <f t="shared" ca="1" si="77"/>
        <v>1</v>
      </c>
      <c r="D155" s="64">
        <f t="shared" ca="1" si="78"/>
        <v>0</v>
      </c>
      <c r="E155" s="64">
        <f t="shared" ca="1" si="79"/>
        <v>1</v>
      </c>
      <c r="F155" s="65"/>
      <c r="G155" s="71" t="s">
        <v>157</v>
      </c>
      <c r="H155" s="67" t="str">
        <f t="shared" ca="1" si="178"/>
        <v>08.001</v>
      </c>
      <c r="I155" s="80" t="s">
        <v>75</v>
      </c>
      <c r="J155" s="107"/>
      <c r="K155" s="130"/>
      <c r="L155" s="126">
        <f>SUM(L156:L167)/2</f>
        <v>130827.65299999999</v>
      </c>
      <c r="M155" s="80"/>
    </row>
    <row r="156" spans="1:13" ht="20.45" customHeight="1" outlineLevel="1" x14ac:dyDescent="0.55000000000000004">
      <c r="A156" s="63">
        <f ca="1">IF($G156="UNIDADE CONSTRUTIVA",OFFSET(A156,0,0)+1,LARGE(A$3:A155,1))</f>
        <v>2</v>
      </c>
      <c r="B156" s="63">
        <f t="shared" ca="1" si="76"/>
        <v>8</v>
      </c>
      <c r="C156" s="63">
        <f t="shared" ca="1" si="77"/>
        <v>1</v>
      </c>
      <c r="D156" s="64">
        <f t="shared" ca="1" si="78"/>
        <v>1</v>
      </c>
      <c r="E156" s="64">
        <f t="shared" ca="1" si="79"/>
        <v>0</v>
      </c>
      <c r="F156" s="65"/>
      <c r="G156" s="73" t="s">
        <v>153</v>
      </c>
      <c r="H156" s="67" t="str">
        <f t="shared" ref="H156" ca="1" si="184">IF(G156="Unidade Construtiva",TEXT(A156,"00"),IF(G156="Célula Construtiva",TEXT(B156,"00"),IF(G156="Etapa",CONCATENATE(TEXT(B156,"00"),".",TEXT(C156,"000")),IF(G156="Subetapa",CONCATENATE(TEXT(B156,"00"),".",TEXT(C156,"000"),".",TEXT(D156,"000")),IF(G156="Serviço",CONCATENATE(TEXT(B156,"00"),".",TEXT(C156,"000"),".",TEXT(D156,"000"),".",TEXT(E156,"000")),"")))))</f>
        <v>08.001.001</v>
      </c>
      <c r="I156" s="74" t="s">
        <v>76</v>
      </c>
      <c r="J156" s="96"/>
      <c r="K156" s="127"/>
      <c r="L156" s="115">
        <f>SUM(L157:L159)</f>
        <v>31016.347999999998</v>
      </c>
      <c r="M156" s="74"/>
    </row>
    <row r="157" spans="1:13" ht="20.45" customHeight="1" outlineLevel="1" x14ac:dyDescent="0.55000000000000004">
      <c r="A157" s="63">
        <f ca="1">IF($G157="UNIDADE CONSTRUTIVA",OFFSET(A157,0,0)+1,LARGE(A$3:A156,1))</f>
        <v>2</v>
      </c>
      <c r="B157" s="63">
        <f t="shared" ref="B157:B158" ca="1" si="185">IF(G157="UNIDADE CONSTRUTIVA",0,IF(G157="CÉLULA CONSTRUTIVA",OFFSET(B157,-1,0)+1,OFFSET(B157,-1,0)))</f>
        <v>8</v>
      </c>
      <c r="C157" s="63">
        <f t="shared" ref="C157:C158" ca="1" si="186">IF(G157="CÉLULA CONSTRUTIVA",0,IF(G157="ETAPA",OFFSET(C157,-1,0)+1,OFFSET(C157,-1,0)))</f>
        <v>1</v>
      </c>
      <c r="D157" s="64">
        <f t="shared" ref="D157:D158" ca="1" si="187">IF(G157="ETAPA",0,IF(G157="SUBETAPA",OFFSET(D157,-1,0)+1,OFFSET(D157,-1,0)))</f>
        <v>1</v>
      </c>
      <c r="E157" s="64">
        <f t="shared" ref="E157:E158" ca="1" si="188">IF(G157="Subetapa",0,IF(G157="serviço",OFFSET(E157,-1,0)+1,OFFSET(E157,-1,0)))</f>
        <v>1</v>
      </c>
      <c r="F157" s="65"/>
      <c r="G157" s="73" t="s">
        <v>154</v>
      </c>
      <c r="H157" s="67" t="str">
        <f t="shared" ref="H157:H158" ca="1" si="189">IF(G157="Unidade Construtiva",TEXT(A157,"00"),IF(G157="Célula Construtiva",TEXT(B157,"00"),IF(G157="Etapa",CONCATENATE(TEXT(B157,"00"),".",TEXT(C157,"000")),IF(G157="Subetapa",CONCATENATE(TEXT(B157,"00"),".",TEXT(C157,"000"),".",TEXT(D157,"000")),IF(G157="Serviço",CONCATENATE(TEXT(B157,"00"),".",TEXT(C157,"000"),".",TEXT(D157,"000"),".",TEXT(E157,"000")),"")))))</f>
        <v>08.001.001.001</v>
      </c>
      <c r="I157" s="74" t="s">
        <v>160</v>
      </c>
      <c r="J157" s="96"/>
      <c r="K157" s="127"/>
      <c r="L157" s="115"/>
      <c r="M157" s="74"/>
    </row>
    <row r="158" spans="1:13" ht="20.45" customHeight="1" outlineLevel="1" x14ac:dyDescent="0.55000000000000004">
      <c r="A158" s="63">
        <f ca="1">IF($G158="UNIDADE CONSTRUTIVA",OFFSET(A158,0,0)+1,LARGE(A$3:A155,1))</f>
        <v>2</v>
      </c>
      <c r="B158" s="63">
        <f t="shared" ca="1" si="185"/>
        <v>8</v>
      </c>
      <c r="C158" s="63">
        <f t="shared" ca="1" si="186"/>
        <v>1</v>
      </c>
      <c r="D158" s="64">
        <f t="shared" ca="1" si="187"/>
        <v>1</v>
      </c>
      <c r="E158" s="64">
        <f t="shared" ca="1" si="188"/>
        <v>2</v>
      </c>
      <c r="F158" s="65"/>
      <c r="G158" s="73" t="s">
        <v>154</v>
      </c>
      <c r="H158" s="67" t="str">
        <f t="shared" ca="1" si="189"/>
        <v>08.001.001.002</v>
      </c>
      <c r="I158" s="74" t="s">
        <v>285</v>
      </c>
      <c r="J158" s="96">
        <v>1</v>
      </c>
      <c r="K158" s="127" t="s">
        <v>217</v>
      </c>
      <c r="L158" s="115">
        <v>26616.347999999998</v>
      </c>
      <c r="M158" s="74"/>
    </row>
    <row r="159" spans="1:13" ht="20.45" customHeight="1" outlineLevel="1" x14ac:dyDescent="0.55000000000000004">
      <c r="A159" s="63">
        <f ca="1">IF($G159="UNIDADE CONSTRUTIVA",OFFSET(A159,0,0)+1,LARGE(A$3:A156,1))</f>
        <v>2</v>
      </c>
      <c r="B159" s="63">
        <f t="shared" ca="1" si="76"/>
        <v>8</v>
      </c>
      <c r="C159" s="63">
        <f t="shared" ca="1" si="77"/>
        <v>1</v>
      </c>
      <c r="D159" s="64">
        <f t="shared" ca="1" si="78"/>
        <v>1</v>
      </c>
      <c r="E159" s="64">
        <f t="shared" ca="1" si="79"/>
        <v>3</v>
      </c>
      <c r="F159" s="65"/>
      <c r="G159" s="73" t="s">
        <v>154</v>
      </c>
      <c r="H159" s="67" t="str">
        <f t="shared" ca="1" si="178"/>
        <v>08.001.001.003</v>
      </c>
      <c r="I159" s="74" t="s">
        <v>64</v>
      </c>
      <c r="J159" s="96">
        <v>1</v>
      </c>
      <c r="K159" s="127" t="s">
        <v>217</v>
      </c>
      <c r="L159" s="115">
        <v>4400</v>
      </c>
      <c r="M159" s="74"/>
    </row>
    <row r="160" spans="1:13" ht="20.45" customHeight="1" outlineLevel="1" x14ac:dyDescent="0.55000000000000004">
      <c r="A160" s="63">
        <f ca="1">IF($G160="UNIDADE CONSTRUTIVA",OFFSET(A160,0,0)+1,LARGE(A$3:A159,1))</f>
        <v>2</v>
      </c>
      <c r="B160" s="63">
        <f t="shared" ca="1" si="76"/>
        <v>8</v>
      </c>
      <c r="C160" s="63">
        <f t="shared" ca="1" si="77"/>
        <v>1</v>
      </c>
      <c r="D160" s="64">
        <f t="shared" ca="1" si="78"/>
        <v>2</v>
      </c>
      <c r="E160" s="64">
        <f t="shared" ca="1" si="79"/>
        <v>0</v>
      </c>
      <c r="F160" s="65"/>
      <c r="G160" s="73" t="s">
        <v>153</v>
      </c>
      <c r="H160" s="67" t="str">
        <f t="shared" ca="1" si="178"/>
        <v>08.001.002</v>
      </c>
      <c r="I160" s="74" t="s">
        <v>77</v>
      </c>
      <c r="J160" s="96"/>
      <c r="K160" s="127"/>
      <c r="L160" s="115">
        <f>L161</f>
        <v>16635.217499999999</v>
      </c>
      <c r="M160" s="74"/>
    </row>
    <row r="161" spans="1:13" ht="20.45" customHeight="1" outlineLevel="1" x14ac:dyDescent="0.55000000000000004">
      <c r="A161" s="63">
        <f ca="1">IF($G161="UNIDADE CONSTRUTIVA",OFFSET(A161,0,0)+1,LARGE(A$3:A160,1))</f>
        <v>2</v>
      </c>
      <c r="B161" s="63">
        <f t="shared" ref="B161:B162" ca="1" si="190">IF(G161="UNIDADE CONSTRUTIVA",0,IF(G161="CÉLULA CONSTRUTIVA",OFFSET(B161,-1,0)+1,OFFSET(B161,-1,0)))</f>
        <v>8</v>
      </c>
      <c r="C161" s="63">
        <f t="shared" ref="C161:C162" ca="1" si="191">IF(G161="CÉLULA CONSTRUTIVA",0,IF(G161="ETAPA",OFFSET(C161,-1,0)+1,OFFSET(C161,-1,0)))</f>
        <v>1</v>
      </c>
      <c r="D161" s="64">
        <f t="shared" ref="D161:D162" ca="1" si="192">IF(G161="ETAPA",0,IF(G161="SUBETAPA",OFFSET(D161,-1,0)+1,OFFSET(D161,-1,0)))</f>
        <v>2</v>
      </c>
      <c r="E161" s="64">
        <f t="shared" ref="E161:E162" ca="1" si="193">IF(G161="Subetapa",0,IF(G161="serviço",OFFSET(E161,-1,0)+1,OFFSET(E161,-1,0)))</f>
        <v>1</v>
      </c>
      <c r="F161" s="65"/>
      <c r="G161" s="73" t="s">
        <v>154</v>
      </c>
      <c r="H161" s="67" t="str">
        <f t="shared" ref="H161:H162" ca="1" si="194">IF(G161="Unidade Construtiva",TEXT(A161,"00"),IF(G161="Célula Construtiva",TEXT(B161,"00"),IF(G161="Etapa",CONCATENATE(TEXT(B161,"00"),".",TEXT(C161,"000")),IF(G161="Subetapa",CONCATENATE(TEXT(B161,"00"),".",TEXT(C161,"000"),".",TEXT(D161,"000")),IF(G161="Serviço",CONCATENATE(TEXT(B161,"00"),".",TEXT(C161,"000"),".",TEXT(D161,"000"),".",TEXT(E161,"000")),"")))))</f>
        <v>08.001.002.001</v>
      </c>
      <c r="I161" s="74" t="s">
        <v>77</v>
      </c>
      <c r="J161" s="96">
        <v>1</v>
      </c>
      <c r="K161" s="127" t="s">
        <v>217</v>
      </c>
      <c r="L161" s="115">
        <v>16635.217499999999</v>
      </c>
      <c r="M161" s="74"/>
    </row>
    <row r="162" spans="1:13" ht="20.45" customHeight="1" outlineLevel="1" x14ac:dyDescent="0.55000000000000004">
      <c r="A162" s="63">
        <f ca="1">IF($G162="UNIDADE CONSTRUTIVA",OFFSET(A162,0,0)+1,LARGE(A$3:A159,1))</f>
        <v>2</v>
      </c>
      <c r="B162" s="63">
        <f t="shared" ca="1" si="190"/>
        <v>8</v>
      </c>
      <c r="C162" s="63">
        <f t="shared" ca="1" si="191"/>
        <v>1</v>
      </c>
      <c r="D162" s="64">
        <f t="shared" ca="1" si="192"/>
        <v>3</v>
      </c>
      <c r="E162" s="64">
        <f t="shared" ca="1" si="193"/>
        <v>0</v>
      </c>
      <c r="F162" s="65"/>
      <c r="G162" s="73" t="s">
        <v>153</v>
      </c>
      <c r="H162" s="67" t="str">
        <f t="shared" ca="1" si="194"/>
        <v>08.001.003</v>
      </c>
      <c r="I162" s="74" t="s">
        <v>78</v>
      </c>
      <c r="J162" s="96"/>
      <c r="K162" s="127"/>
      <c r="L162" s="115">
        <f>L163</f>
        <v>26616.347999999998</v>
      </c>
      <c r="M162" s="74"/>
    </row>
    <row r="163" spans="1:13" ht="20.45" customHeight="1" outlineLevel="1" x14ac:dyDescent="0.55000000000000004">
      <c r="A163" s="63">
        <f ca="1">IF($G163="UNIDADE CONSTRUTIVA",OFFSET(A163,0,0)+1,LARGE(A$3:A160,1))</f>
        <v>2</v>
      </c>
      <c r="B163" s="63">
        <f t="shared" ca="1" si="76"/>
        <v>8</v>
      </c>
      <c r="C163" s="63">
        <f t="shared" ca="1" si="77"/>
        <v>1</v>
      </c>
      <c r="D163" s="64">
        <f t="shared" ca="1" si="78"/>
        <v>3</v>
      </c>
      <c r="E163" s="64">
        <f t="shared" ca="1" si="79"/>
        <v>1</v>
      </c>
      <c r="F163" s="65"/>
      <c r="G163" s="73" t="s">
        <v>154</v>
      </c>
      <c r="H163" s="67" t="str">
        <f t="shared" ca="1" si="178"/>
        <v>08.001.003.001</v>
      </c>
      <c r="I163" s="74" t="s">
        <v>78</v>
      </c>
      <c r="J163" s="96">
        <v>1</v>
      </c>
      <c r="K163" s="127" t="s">
        <v>217</v>
      </c>
      <c r="L163" s="115">
        <v>26616.347999999998</v>
      </c>
      <c r="M163" s="74"/>
    </row>
    <row r="164" spans="1:13" ht="20.45" customHeight="1" outlineLevel="1" x14ac:dyDescent="0.55000000000000004">
      <c r="A164" s="63">
        <f ca="1">IF($G164="UNIDADE CONSTRUTIVA",OFFSET(A164,0,0)+1,LARGE(A$3:A162,1))</f>
        <v>2</v>
      </c>
      <c r="B164" s="63">
        <f t="shared" ref="B164" ca="1" si="195">IF(G164="UNIDADE CONSTRUTIVA",0,IF(G164="CÉLULA CONSTRUTIVA",OFFSET(B164,-1,0)+1,OFFSET(B164,-1,0)))</f>
        <v>8</v>
      </c>
      <c r="C164" s="63">
        <f t="shared" ref="C164" ca="1" si="196">IF(G164="CÉLULA CONSTRUTIVA",0,IF(G164="ETAPA",OFFSET(C164,-1,0)+1,OFFSET(C164,-1,0)))</f>
        <v>1</v>
      </c>
      <c r="D164" s="64">
        <f t="shared" ref="D164" ca="1" si="197">IF(G164="ETAPA",0,IF(G164="SUBETAPA",OFFSET(D164,-1,0)+1,OFFSET(D164,-1,0)))</f>
        <v>4</v>
      </c>
      <c r="E164" s="64">
        <f t="shared" ref="E164" ca="1" si="198">IF(G164="Subetapa",0,IF(G164="serviço",OFFSET(E164,-1,0)+1,OFFSET(E164,-1,0)))</f>
        <v>0</v>
      </c>
      <c r="F164" s="65"/>
      <c r="G164" s="73" t="s">
        <v>153</v>
      </c>
      <c r="H164" s="67" t="str">
        <f t="shared" ref="H164" ca="1" si="199">IF(G164="Unidade Construtiva",TEXT(A164,"00"),IF(G164="Célula Construtiva",TEXT(B164,"00"),IF(G164="Etapa",CONCATENATE(TEXT(B164,"00"),".",TEXT(C164,"000")),IF(G164="Subetapa",CONCATENATE(TEXT(B164,"00"),".",TEXT(C164,"000"),".",TEXT(D164,"000")),IF(G164="Serviço",CONCATENATE(TEXT(B164,"00"),".",TEXT(C164,"000"),".",TEXT(D164,"000"),".",TEXT(E164,"000")),"")))))</f>
        <v>08.001.004</v>
      </c>
      <c r="I164" s="74" t="s">
        <v>79</v>
      </c>
      <c r="J164" s="96"/>
      <c r="K164" s="127"/>
      <c r="L164" s="115">
        <f>L165</f>
        <v>3327.0434999999998</v>
      </c>
      <c r="M164" s="74"/>
    </row>
    <row r="165" spans="1:13" ht="20.45" customHeight="1" outlineLevel="1" x14ac:dyDescent="0.55000000000000004">
      <c r="A165" s="63">
        <f ca="1">IF($G165="UNIDADE CONSTRUTIVA",OFFSET(A165,0,0)+1,LARGE(A$3:A163,1))</f>
        <v>2</v>
      </c>
      <c r="B165" s="63">
        <f t="shared" ca="1" si="76"/>
        <v>8</v>
      </c>
      <c r="C165" s="63">
        <f t="shared" ca="1" si="77"/>
        <v>1</v>
      </c>
      <c r="D165" s="64">
        <f t="shared" ca="1" si="78"/>
        <v>4</v>
      </c>
      <c r="E165" s="64">
        <f t="shared" ca="1" si="79"/>
        <v>1</v>
      </c>
      <c r="F165" s="65"/>
      <c r="G165" s="73" t="s">
        <v>154</v>
      </c>
      <c r="H165" s="67" t="str">
        <f t="shared" ca="1" si="178"/>
        <v>08.001.004.001</v>
      </c>
      <c r="I165" s="74" t="s">
        <v>79</v>
      </c>
      <c r="J165" s="96">
        <v>1</v>
      </c>
      <c r="K165" s="127" t="s">
        <v>217</v>
      </c>
      <c r="L165" s="115">
        <v>3327.0434999999998</v>
      </c>
      <c r="M165" s="74"/>
    </row>
    <row r="166" spans="1:13" ht="20.45" customHeight="1" outlineLevel="1" x14ac:dyDescent="0.55000000000000004">
      <c r="A166" s="63">
        <f ca="1">IF($G166="UNIDADE CONSTRUTIVA",OFFSET(A166,0,0)+1,LARGE(A$3:A165,1))</f>
        <v>2</v>
      </c>
      <c r="B166" s="63">
        <f t="shared" ca="1" si="76"/>
        <v>8</v>
      </c>
      <c r="C166" s="63">
        <f t="shared" ca="1" si="77"/>
        <v>1</v>
      </c>
      <c r="D166" s="64">
        <f t="shared" ca="1" si="78"/>
        <v>5</v>
      </c>
      <c r="E166" s="64">
        <f t="shared" ca="1" si="79"/>
        <v>0</v>
      </c>
      <c r="F166" s="65"/>
      <c r="G166" s="73" t="s">
        <v>153</v>
      </c>
      <c r="H166" s="67" t="str">
        <f t="shared" ca="1" si="178"/>
        <v>08.001.005</v>
      </c>
      <c r="I166" s="74" t="s">
        <v>39</v>
      </c>
      <c r="J166" s="96"/>
      <c r="K166" s="127"/>
      <c r="L166" s="115">
        <f>L167</f>
        <v>53232.695999999996</v>
      </c>
      <c r="M166" s="74"/>
    </row>
    <row r="167" spans="1:13" ht="20.45" customHeight="1" outlineLevel="1" x14ac:dyDescent="0.55000000000000004">
      <c r="A167" s="63">
        <f ca="1">IF($G167="UNIDADE CONSTRUTIVA",OFFSET(A167,0,0)+1,LARGE(A$3:A166,1))</f>
        <v>2</v>
      </c>
      <c r="B167" s="63">
        <f t="shared" ca="1" si="76"/>
        <v>8</v>
      </c>
      <c r="C167" s="63">
        <f t="shared" ca="1" si="77"/>
        <v>1</v>
      </c>
      <c r="D167" s="64">
        <f t="shared" ca="1" si="78"/>
        <v>5</v>
      </c>
      <c r="E167" s="64">
        <f t="shared" ca="1" si="79"/>
        <v>1</v>
      </c>
      <c r="F167" s="65"/>
      <c r="G167" s="73" t="s">
        <v>154</v>
      </c>
      <c r="H167" s="67" t="str">
        <f t="shared" ca="1" si="178"/>
        <v>08.001.005.001</v>
      </c>
      <c r="I167" s="74" t="s">
        <v>286</v>
      </c>
      <c r="J167" s="128">
        <f>OBRA!E16</f>
        <v>1662.34</v>
      </c>
      <c r="K167" s="127" t="s">
        <v>282</v>
      </c>
      <c r="L167" s="115">
        <v>53232.695999999996</v>
      </c>
      <c r="M167" s="74" t="s">
        <v>287</v>
      </c>
    </row>
    <row r="168" spans="1:13" ht="20.45" customHeight="1" x14ac:dyDescent="0.55000000000000004">
      <c r="A168" s="63">
        <f ca="1">IF($G168="UNIDADE CONSTRUTIVA",OFFSET(A168,0,0)+1,LARGE(A$3:A167,1))</f>
        <v>2</v>
      </c>
      <c r="B168" s="63">
        <f t="shared" ca="1" si="76"/>
        <v>9</v>
      </c>
      <c r="C168" s="63">
        <f t="shared" ca="1" si="77"/>
        <v>0</v>
      </c>
      <c r="D168" s="64">
        <f t="shared" ca="1" si="78"/>
        <v>5</v>
      </c>
      <c r="E168" s="64">
        <f t="shared" ca="1" si="79"/>
        <v>1</v>
      </c>
      <c r="F168" s="65"/>
      <c r="G168" s="71" t="s">
        <v>156</v>
      </c>
      <c r="H168" s="67" t="str">
        <f t="shared" ca="1" si="178"/>
        <v>09</v>
      </c>
      <c r="I168" s="72" t="s">
        <v>80</v>
      </c>
      <c r="J168" s="95"/>
      <c r="K168" s="125"/>
      <c r="L168" s="113">
        <f>L169</f>
        <v>113119.47899999999</v>
      </c>
      <c r="M168" s="72"/>
    </row>
    <row r="169" spans="1:13" ht="20.45" customHeight="1" outlineLevel="1" x14ac:dyDescent="0.55000000000000004">
      <c r="A169" s="63">
        <f ca="1">IF($G169="UNIDADE CONSTRUTIVA",OFFSET(A169,0,0)+1,LARGE(A$3:A168,1))</f>
        <v>2</v>
      </c>
      <c r="B169" s="63">
        <f t="shared" ca="1" si="76"/>
        <v>9</v>
      </c>
      <c r="C169" s="63">
        <f t="shared" ca="1" si="77"/>
        <v>1</v>
      </c>
      <c r="D169" s="64">
        <f t="shared" ca="1" si="78"/>
        <v>0</v>
      </c>
      <c r="E169" s="64">
        <f t="shared" ca="1" si="79"/>
        <v>1</v>
      </c>
      <c r="F169" s="65"/>
      <c r="G169" s="71" t="s">
        <v>157</v>
      </c>
      <c r="H169" s="67" t="str">
        <f t="shared" ca="1" si="178"/>
        <v>09.001</v>
      </c>
      <c r="I169" s="80" t="s">
        <v>80</v>
      </c>
      <c r="J169" s="107"/>
      <c r="K169" s="130"/>
      <c r="L169" s="126">
        <f>SUM(L170:L179)/2</f>
        <v>113119.47899999999</v>
      </c>
      <c r="M169" s="80"/>
    </row>
    <row r="170" spans="1:13" ht="20.45" customHeight="1" outlineLevel="1" x14ac:dyDescent="0.55000000000000004">
      <c r="A170" s="63">
        <f ca="1">IF($G170="UNIDADE CONSTRUTIVA",OFFSET(A170,0,0)+1,LARGE(A$3:A169,1))</f>
        <v>2</v>
      </c>
      <c r="B170" s="63">
        <f t="shared" ca="1" si="76"/>
        <v>9</v>
      </c>
      <c r="C170" s="63">
        <f t="shared" ca="1" si="77"/>
        <v>1</v>
      </c>
      <c r="D170" s="64">
        <f t="shared" ca="1" si="78"/>
        <v>1</v>
      </c>
      <c r="E170" s="64">
        <f t="shared" ca="1" si="79"/>
        <v>0</v>
      </c>
      <c r="F170" s="65"/>
      <c r="G170" s="73" t="s">
        <v>153</v>
      </c>
      <c r="H170" s="67" t="str">
        <f t="shared" ca="1" si="178"/>
        <v>09.001.001</v>
      </c>
      <c r="I170" s="74" t="s">
        <v>81</v>
      </c>
      <c r="J170" s="96"/>
      <c r="K170" s="127"/>
      <c r="L170" s="115">
        <f>L171</f>
        <v>0</v>
      </c>
      <c r="M170" s="74"/>
    </row>
    <row r="171" spans="1:13" ht="20.45" customHeight="1" outlineLevel="1" x14ac:dyDescent="0.55000000000000004">
      <c r="A171" s="63">
        <f ca="1">IF($G171="UNIDADE CONSTRUTIVA",OFFSET(A171,0,0)+1,LARGE(A$3:A170,1))</f>
        <v>2</v>
      </c>
      <c r="B171" s="63">
        <f t="shared" ref="B171" ca="1" si="200">IF(G171="UNIDADE CONSTRUTIVA",0,IF(G171="CÉLULA CONSTRUTIVA",OFFSET(B171,-1,0)+1,OFFSET(B171,-1,0)))</f>
        <v>9</v>
      </c>
      <c r="C171" s="63">
        <f t="shared" ref="C171" ca="1" si="201">IF(G171="CÉLULA CONSTRUTIVA",0,IF(G171="ETAPA",OFFSET(C171,-1,0)+1,OFFSET(C171,-1,0)))</f>
        <v>1</v>
      </c>
      <c r="D171" s="64">
        <f t="shared" ref="D171" ca="1" si="202">IF(G171="ETAPA",0,IF(G171="SUBETAPA",OFFSET(D171,-1,0)+1,OFFSET(D171,-1,0)))</f>
        <v>1</v>
      </c>
      <c r="E171" s="64">
        <f t="shared" ref="E171" ca="1" si="203">IF(G171="Subetapa",0,IF(G171="serviço",OFFSET(E171,-1,0)+1,OFFSET(E171,-1,0)))</f>
        <v>1</v>
      </c>
      <c r="F171" s="65"/>
      <c r="G171" s="73" t="s">
        <v>154</v>
      </c>
      <c r="H171" s="67" t="str">
        <f t="shared" ref="H171" ca="1" si="204">IF(G171="Unidade Construtiva",TEXT(A171,"00"),IF(G171="Célula Construtiva",TEXT(B171,"00"),IF(G171="Etapa",CONCATENATE(TEXT(B171,"00"),".",TEXT(C171,"000")),IF(G171="Subetapa",CONCATENATE(TEXT(B171,"00"),".",TEXT(C171,"000"),".",TEXT(D171,"000")),IF(G171="Serviço",CONCATENATE(TEXT(B171,"00"),".",TEXT(C171,"000"),".",TEXT(D171,"000"),".",TEXT(E171,"000")),"")))))</f>
        <v>09.001.001.001</v>
      </c>
      <c r="I171" s="74" t="s">
        <v>81</v>
      </c>
      <c r="J171" s="96"/>
      <c r="K171" s="127"/>
      <c r="L171" s="115"/>
      <c r="M171" s="74"/>
    </row>
    <row r="172" spans="1:13" ht="20.45" customHeight="1" outlineLevel="1" x14ac:dyDescent="0.55000000000000004">
      <c r="A172" s="63">
        <f ca="1">IF($G172="UNIDADE CONSTRUTIVA",OFFSET(A172,0,0)+1,LARGE(A$3:A170,1))</f>
        <v>2</v>
      </c>
      <c r="B172" s="63">
        <f t="shared" ca="1" si="76"/>
        <v>9</v>
      </c>
      <c r="C172" s="63">
        <f t="shared" ca="1" si="77"/>
        <v>1</v>
      </c>
      <c r="D172" s="64">
        <f t="shared" ca="1" si="78"/>
        <v>2</v>
      </c>
      <c r="E172" s="64">
        <f t="shared" ca="1" si="79"/>
        <v>0</v>
      </c>
      <c r="F172" s="65"/>
      <c r="G172" s="73" t="s">
        <v>153</v>
      </c>
      <c r="H172" s="67" t="str">
        <f t="shared" ca="1" si="178"/>
        <v>09.001.002</v>
      </c>
      <c r="I172" s="74" t="s">
        <v>82</v>
      </c>
      <c r="J172" s="96"/>
      <c r="K172" s="127"/>
      <c r="L172" s="115">
        <f>L173</f>
        <v>0</v>
      </c>
      <c r="M172" s="74"/>
    </row>
    <row r="173" spans="1:13" ht="20.45" customHeight="1" outlineLevel="1" x14ac:dyDescent="0.55000000000000004">
      <c r="A173" s="63">
        <f ca="1">IF($G173="UNIDADE CONSTRUTIVA",OFFSET(A173,0,0)+1,LARGE(A$3:A171,1))</f>
        <v>2</v>
      </c>
      <c r="B173" s="63">
        <f t="shared" ref="B173" ca="1" si="205">IF(G173="UNIDADE CONSTRUTIVA",0,IF(G173="CÉLULA CONSTRUTIVA",OFFSET(B173,-1,0)+1,OFFSET(B173,-1,0)))</f>
        <v>9</v>
      </c>
      <c r="C173" s="63">
        <f t="shared" ref="C173" ca="1" si="206">IF(G173="CÉLULA CONSTRUTIVA",0,IF(G173="ETAPA",OFFSET(C173,-1,0)+1,OFFSET(C173,-1,0)))</f>
        <v>1</v>
      </c>
      <c r="D173" s="64">
        <f t="shared" ref="D173" ca="1" si="207">IF(G173="ETAPA",0,IF(G173="SUBETAPA",OFFSET(D173,-1,0)+1,OFFSET(D173,-1,0)))</f>
        <v>2</v>
      </c>
      <c r="E173" s="64">
        <f t="shared" ref="E173" ca="1" si="208">IF(G173="Subetapa",0,IF(G173="serviço",OFFSET(E173,-1,0)+1,OFFSET(E173,-1,0)))</f>
        <v>1</v>
      </c>
      <c r="F173" s="65"/>
      <c r="G173" s="73" t="s">
        <v>154</v>
      </c>
      <c r="H173" s="67" t="str">
        <f t="shared" ref="H173" ca="1" si="209">IF(G173="Unidade Construtiva",TEXT(A173,"00"),IF(G173="Célula Construtiva",TEXT(B173,"00"),IF(G173="Etapa",CONCATENATE(TEXT(B173,"00"),".",TEXT(C173,"000")),IF(G173="Subetapa",CONCATENATE(TEXT(B173,"00"),".",TEXT(C173,"000"),".",TEXT(D173,"000")),IF(G173="Serviço",CONCATENATE(TEXT(B173,"00"),".",TEXT(C173,"000"),".",TEXT(D173,"000"),".",TEXT(E173,"000")),"")))))</f>
        <v>09.001.002.001</v>
      </c>
      <c r="I173" s="74" t="s">
        <v>82</v>
      </c>
      <c r="J173" s="96"/>
      <c r="K173" s="127"/>
      <c r="L173" s="115"/>
      <c r="M173" s="74" t="s">
        <v>479</v>
      </c>
    </row>
    <row r="174" spans="1:13" ht="20.45" customHeight="1" outlineLevel="1" x14ac:dyDescent="0.55000000000000004">
      <c r="A174" s="63">
        <f ca="1">IF($G174="UNIDADE CONSTRUTIVA",OFFSET(A174,0,0)+1,LARGE(A$3:A172,1))</f>
        <v>2</v>
      </c>
      <c r="B174" s="63">
        <f t="shared" ca="1" si="76"/>
        <v>9</v>
      </c>
      <c r="C174" s="63">
        <f t="shared" ca="1" si="77"/>
        <v>1</v>
      </c>
      <c r="D174" s="64">
        <f t="shared" ca="1" si="78"/>
        <v>3</v>
      </c>
      <c r="E174" s="64">
        <f t="shared" ca="1" si="79"/>
        <v>0</v>
      </c>
      <c r="F174" s="65"/>
      <c r="G174" s="73" t="s">
        <v>153</v>
      </c>
      <c r="H174" s="67" t="str">
        <f t="shared" ca="1" si="178"/>
        <v>09.001.003</v>
      </c>
      <c r="I174" s="74" t="s">
        <v>161</v>
      </c>
      <c r="J174" s="96"/>
      <c r="K174" s="127"/>
      <c r="L174" s="115">
        <f>L175</f>
        <v>0</v>
      </c>
      <c r="M174" s="74"/>
    </row>
    <row r="175" spans="1:13" ht="20.45" customHeight="1" outlineLevel="1" x14ac:dyDescent="0.55000000000000004">
      <c r="A175" s="63">
        <f ca="1">IF($G175="UNIDADE CONSTRUTIVA",OFFSET(A175,0,0)+1,LARGE(A$3:A173,1))</f>
        <v>2</v>
      </c>
      <c r="B175" s="63">
        <f t="shared" ref="B175" ca="1" si="210">IF(G175="UNIDADE CONSTRUTIVA",0,IF(G175="CÉLULA CONSTRUTIVA",OFFSET(B175,-1,0)+1,OFFSET(B175,-1,0)))</f>
        <v>9</v>
      </c>
      <c r="C175" s="63">
        <f t="shared" ref="C175" ca="1" si="211">IF(G175="CÉLULA CONSTRUTIVA",0,IF(G175="ETAPA",OFFSET(C175,-1,0)+1,OFFSET(C175,-1,0)))</f>
        <v>1</v>
      </c>
      <c r="D175" s="64">
        <f t="shared" ref="D175" ca="1" si="212">IF(G175="ETAPA",0,IF(G175="SUBETAPA",OFFSET(D175,-1,0)+1,OFFSET(D175,-1,0)))</f>
        <v>3</v>
      </c>
      <c r="E175" s="64">
        <f t="shared" ref="E175" ca="1" si="213">IF(G175="Subetapa",0,IF(G175="serviço",OFFSET(E175,-1,0)+1,OFFSET(E175,-1,0)))</f>
        <v>1</v>
      </c>
      <c r="F175" s="65"/>
      <c r="G175" s="73" t="s">
        <v>154</v>
      </c>
      <c r="H175" s="67" t="str">
        <f t="shared" ref="H175" ca="1" si="214">IF(G175="Unidade Construtiva",TEXT(A175,"00"),IF(G175="Célula Construtiva",TEXT(B175,"00"),IF(G175="Etapa",CONCATENATE(TEXT(B175,"00"),".",TEXT(C175,"000")),IF(G175="Subetapa",CONCATENATE(TEXT(B175,"00"),".",TEXT(C175,"000"),".",TEXT(D175,"000")),IF(G175="Serviço",CONCATENATE(TEXT(B175,"00"),".",TEXT(C175,"000"),".",TEXT(D175,"000"),".",TEXT(E175,"000")),"")))))</f>
        <v>09.001.003.001</v>
      </c>
      <c r="I175" s="74" t="s">
        <v>161</v>
      </c>
      <c r="J175" s="96"/>
      <c r="K175" s="127"/>
      <c r="L175" s="115"/>
      <c r="M175" s="74"/>
    </row>
    <row r="176" spans="1:13" ht="20.45" customHeight="1" outlineLevel="1" x14ac:dyDescent="0.55000000000000004">
      <c r="A176" s="63">
        <f ca="1">IF($G176="UNIDADE CONSTRUTIVA",OFFSET(A176,0,0)+1,LARGE(A$3:A174,1))</f>
        <v>2</v>
      </c>
      <c r="B176" s="63">
        <f t="shared" ca="1" si="76"/>
        <v>9</v>
      </c>
      <c r="C176" s="63">
        <f t="shared" ca="1" si="77"/>
        <v>1</v>
      </c>
      <c r="D176" s="64">
        <f t="shared" ca="1" si="78"/>
        <v>4</v>
      </c>
      <c r="E176" s="64">
        <f t="shared" ca="1" si="79"/>
        <v>0</v>
      </c>
      <c r="F176" s="65"/>
      <c r="G176" s="73" t="s">
        <v>153</v>
      </c>
      <c r="H176" s="67" t="str">
        <f t="shared" ca="1" si="178"/>
        <v>09.001.004</v>
      </c>
      <c r="I176" s="74" t="s">
        <v>83</v>
      </c>
      <c r="J176" s="96"/>
      <c r="K176" s="127"/>
      <c r="L176" s="115">
        <f>L177</f>
        <v>33270.434999999998</v>
      </c>
      <c r="M176" s="74"/>
    </row>
    <row r="177" spans="1:13" ht="20.45" customHeight="1" outlineLevel="1" x14ac:dyDescent="0.55000000000000004">
      <c r="A177" s="63">
        <f ca="1">IF($G177="UNIDADE CONSTRUTIVA",OFFSET(A177,0,0)+1,LARGE(A$3:A175,1))</f>
        <v>2</v>
      </c>
      <c r="B177" s="63">
        <f t="shared" ref="B177:B178" ca="1" si="215">IF(G177="UNIDADE CONSTRUTIVA",0,IF(G177="CÉLULA CONSTRUTIVA",OFFSET(B177,-1,0)+1,OFFSET(B177,-1,0)))</f>
        <v>9</v>
      </c>
      <c r="C177" s="63">
        <f t="shared" ref="C177:C178" ca="1" si="216">IF(G177="CÉLULA CONSTRUTIVA",0,IF(G177="ETAPA",OFFSET(C177,-1,0)+1,OFFSET(C177,-1,0)))</f>
        <v>1</v>
      </c>
      <c r="D177" s="64">
        <f t="shared" ref="D177:D178" ca="1" si="217">IF(G177="ETAPA",0,IF(G177="SUBETAPA",OFFSET(D177,-1,0)+1,OFFSET(D177,-1,0)))</f>
        <v>4</v>
      </c>
      <c r="E177" s="64">
        <f t="shared" ref="E177:E178" ca="1" si="218">IF(G177="Subetapa",0,IF(G177="serviço",OFFSET(E177,-1,0)+1,OFFSET(E177,-1,0)))</f>
        <v>1</v>
      </c>
      <c r="F177" s="65"/>
      <c r="G177" s="73" t="s">
        <v>154</v>
      </c>
      <c r="H177" s="67" t="str">
        <f t="shared" ref="H177:H178" ca="1" si="219">IF(G177="Unidade Construtiva",TEXT(A177,"00"),IF(G177="Célula Construtiva",TEXT(B177,"00"),IF(G177="Etapa",CONCATENATE(TEXT(B177,"00"),".",TEXT(C177,"000")),IF(G177="Subetapa",CONCATENATE(TEXT(B177,"00"),".",TEXT(C177,"000"),".",TEXT(D177,"000")),IF(G177="Serviço",CONCATENATE(TEXT(B177,"00"),".",TEXT(C177,"000"),".",TEXT(D177,"000"),".",TEXT(E177,"000")),"")))))</f>
        <v>09.001.004.001</v>
      </c>
      <c r="I177" s="74" t="s">
        <v>83</v>
      </c>
      <c r="J177" s="96">
        <v>1</v>
      </c>
      <c r="K177" s="127" t="s">
        <v>217</v>
      </c>
      <c r="L177" s="115">
        <v>33270.434999999998</v>
      </c>
      <c r="M177" s="74"/>
    </row>
    <row r="178" spans="1:13" ht="20.45" customHeight="1" outlineLevel="1" x14ac:dyDescent="0.55000000000000004">
      <c r="A178" s="63">
        <f ca="1">IF($G178="UNIDADE CONSTRUTIVA",OFFSET(A178,0,0)+1,LARGE(A$3:A175,1))</f>
        <v>2</v>
      </c>
      <c r="B178" s="63">
        <f t="shared" ca="1" si="215"/>
        <v>9</v>
      </c>
      <c r="C178" s="63">
        <f t="shared" ca="1" si="216"/>
        <v>1</v>
      </c>
      <c r="D178" s="64">
        <f t="shared" ca="1" si="217"/>
        <v>5</v>
      </c>
      <c r="E178" s="64">
        <f t="shared" ca="1" si="218"/>
        <v>0</v>
      </c>
      <c r="F178" s="65"/>
      <c r="G178" s="73" t="s">
        <v>153</v>
      </c>
      <c r="H178" s="67" t="str">
        <f t="shared" ca="1" si="219"/>
        <v>09.001.005</v>
      </c>
      <c r="I178" s="74" t="s">
        <v>39</v>
      </c>
      <c r="J178" s="96"/>
      <c r="K178" s="127"/>
      <c r="L178" s="115">
        <f>L179</f>
        <v>79849.043999999994</v>
      </c>
      <c r="M178" s="74"/>
    </row>
    <row r="179" spans="1:13" ht="20.45" customHeight="1" outlineLevel="1" x14ac:dyDescent="0.55000000000000004">
      <c r="A179" s="63">
        <f ca="1">IF($G179="UNIDADE CONSTRUTIVA",OFFSET(A179,0,0)+1,LARGE(A$3:A176,1))</f>
        <v>2</v>
      </c>
      <c r="B179" s="63">
        <f t="shared" ca="1" si="76"/>
        <v>9</v>
      </c>
      <c r="C179" s="63">
        <f t="shared" ca="1" si="77"/>
        <v>1</v>
      </c>
      <c r="D179" s="64">
        <f t="shared" ca="1" si="78"/>
        <v>5</v>
      </c>
      <c r="E179" s="64">
        <f t="shared" ca="1" si="79"/>
        <v>1</v>
      </c>
      <c r="F179" s="65"/>
      <c r="G179" s="73" t="s">
        <v>154</v>
      </c>
      <c r="H179" s="67" t="str">
        <f t="shared" ca="1" si="178"/>
        <v>09.001.005.001</v>
      </c>
      <c r="I179" s="74" t="s">
        <v>284</v>
      </c>
      <c r="J179" s="128">
        <f>OBRA!E16</f>
        <v>1662.34</v>
      </c>
      <c r="K179" s="127" t="s">
        <v>282</v>
      </c>
      <c r="L179" s="115">
        <v>79849.043999999994</v>
      </c>
      <c r="M179" s="74"/>
    </row>
    <row r="180" spans="1:13" ht="20.45" customHeight="1" x14ac:dyDescent="0.55000000000000004">
      <c r="A180" s="63">
        <f ca="1">IF($G180="UNIDADE CONSTRUTIVA",OFFSET(A180,0,0)+1,LARGE(A$3:A179,1))</f>
        <v>2</v>
      </c>
      <c r="B180" s="63">
        <f t="shared" ca="1" si="76"/>
        <v>10</v>
      </c>
      <c r="C180" s="63">
        <f t="shared" ca="1" si="77"/>
        <v>0</v>
      </c>
      <c r="D180" s="64">
        <f t="shared" ca="1" si="78"/>
        <v>5</v>
      </c>
      <c r="E180" s="64">
        <f t="shared" ca="1" si="79"/>
        <v>1</v>
      </c>
      <c r="F180" s="65"/>
      <c r="G180" s="71" t="s">
        <v>156</v>
      </c>
      <c r="H180" s="67" t="str">
        <f t="shared" ca="1" si="178"/>
        <v>10</v>
      </c>
      <c r="I180" s="72" t="s">
        <v>84</v>
      </c>
      <c r="J180" s="95"/>
      <c r="K180" s="125"/>
      <c r="L180" s="113">
        <f>L181+L188</f>
        <v>192023.61199999999</v>
      </c>
      <c r="M180" s="72"/>
    </row>
    <row r="181" spans="1:13" ht="20.45" customHeight="1" outlineLevel="1" x14ac:dyDescent="0.55000000000000004">
      <c r="A181" s="63">
        <f ca="1">IF($G181="UNIDADE CONSTRUTIVA",OFFSET(A181,0,0)+1,LARGE(A$3:A180,1))</f>
        <v>2</v>
      </c>
      <c r="B181" s="63">
        <f t="shared" ca="1" si="76"/>
        <v>10</v>
      </c>
      <c r="C181" s="63">
        <f t="shared" ca="1" si="77"/>
        <v>1</v>
      </c>
      <c r="D181" s="64">
        <f t="shared" ca="1" si="78"/>
        <v>0</v>
      </c>
      <c r="E181" s="64">
        <f t="shared" ca="1" si="79"/>
        <v>1</v>
      </c>
      <c r="F181" s="65"/>
      <c r="G181" s="71" t="s">
        <v>157</v>
      </c>
      <c r="H181" s="67" t="str">
        <f t="shared" ca="1" si="178"/>
        <v>10.001</v>
      </c>
      <c r="I181" s="72" t="s">
        <v>84</v>
      </c>
      <c r="J181" s="95"/>
      <c r="K181" s="125"/>
      <c r="L181" s="113">
        <f>SUM(L182:L187)/2</f>
        <v>165407.264</v>
      </c>
      <c r="M181" s="72"/>
    </row>
    <row r="182" spans="1:13" ht="20.45" customHeight="1" outlineLevel="1" x14ac:dyDescent="0.55000000000000004">
      <c r="A182" s="63">
        <f ca="1">IF($G182="UNIDADE CONSTRUTIVA",OFFSET(A182,0,0)+1,LARGE(A$3:A181,1))</f>
        <v>2</v>
      </c>
      <c r="B182" s="63">
        <f t="shared" ca="1" si="76"/>
        <v>10</v>
      </c>
      <c r="C182" s="63">
        <f t="shared" ca="1" si="77"/>
        <v>1</v>
      </c>
      <c r="D182" s="64">
        <f t="shared" ca="1" si="78"/>
        <v>1</v>
      </c>
      <c r="E182" s="64">
        <f t="shared" ca="1" si="79"/>
        <v>0</v>
      </c>
      <c r="F182" s="65"/>
      <c r="G182" s="73" t="s">
        <v>153</v>
      </c>
      <c r="H182" s="67" t="str">
        <f t="shared" ca="1" si="178"/>
        <v>10.001.001</v>
      </c>
      <c r="I182" s="74" t="s">
        <v>85</v>
      </c>
      <c r="J182" s="96"/>
      <c r="K182" s="127"/>
      <c r="L182" s="115">
        <f>L183</f>
        <v>58941.872000000003</v>
      </c>
      <c r="M182" s="74"/>
    </row>
    <row r="183" spans="1:13" ht="20.45" customHeight="1" outlineLevel="1" x14ac:dyDescent="0.55000000000000004">
      <c r="A183" s="63">
        <f ca="1">IF($G183="UNIDADE CONSTRUTIVA",OFFSET(A183,0,0)+1,LARGE(A$3:A182,1))</f>
        <v>2</v>
      </c>
      <c r="B183" s="63">
        <f t="shared" ref="B183" ca="1" si="220">IF(G183="UNIDADE CONSTRUTIVA",0,IF(G183="CÉLULA CONSTRUTIVA",OFFSET(B183,-1,0)+1,OFFSET(B183,-1,0)))</f>
        <v>10</v>
      </c>
      <c r="C183" s="63">
        <f t="shared" ref="C183" ca="1" si="221">IF(G183="CÉLULA CONSTRUTIVA",0,IF(G183="ETAPA",OFFSET(C183,-1,0)+1,OFFSET(C183,-1,0)))</f>
        <v>1</v>
      </c>
      <c r="D183" s="64">
        <f t="shared" ref="D183" ca="1" si="222">IF(G183="ETAPA",0,IF(G183="SUBETAPA",OFFSET(D183,-1,0)+1,OFFSET(D183,-1,0)))</f>
        <v>1</v>
      </c>
      <c r="E183" s="64">
        <f t="shared" ref="E183" ca="1" si="223">IF(G183="Subetapa",0,IF(G183="serviço",OFFSET(E183,-1,0)+1,OFFSET(E183,-1,0)))</f>
        <v>1</v>
      </c>
      <c r="F183" s="65"/>
      <c r="G183" s="73" t="s">
        <v>154</v>
      </c>
      <c r="H183" s="67" t="str">
        <f t="shared" ref="H183" ca="1" si="224">IF(G183="Unidade Construtiva",TEXT(A183,"00"),IF(G183="Célula Construtiva",TEXT(B183,"00"),IF(G183="Etapa",CONCATENATE(TEXT(B183,"00"),".",TEXT(C183,"000")),IF(G183="Subetapa",CONCATENATE(TEXT(B183,"00"),".",TEXT(C183,"000"),".",TEXT(D183,"000")),IF(G183="Serviço",CONCATENATE(TEXT(B183,"00"),".",TEXT(C183,"000"),".",TEXT(D183,"000"),".",TEXT(E183,"000")),"")))))</f>
        <v>10.001.001.001</v>
      </c>
      <c r="I183" s="74" t="s">
        <v>85</v>
      </c>
      <c r="J183" s="96">
        <v>1</v>
      </c>
      <c r="K183" s="127" t="s">
        <v>217</v>
      </c>
      <c r="L183" s="115">
        <v>58941.872000000003</v>
      </c>
      <c r="M183" s="74"/>
    </row>
    <row r="184" spans="1:13" ht="20.45" customHeight="1" outlineLevel="1" x14ac:dyDescent="0.55000000000000004">
      <c r="A184" s="63">
        <f ca="1">IF($G184="UNIDADE CONSTRUTIVA",OFFSET(A184,0,0)+1,LARGE(A$3:A182,1))</f>
        <v>2</v>
      </c>
      <c r="B184" s="63">
        <f t="shared" ca="1" si="76"/>
        <v>10</v>
      </c>
      <c r="C184" s="63">
        <f t="shared" ca="1" si="77"/>
        <v>1</v>
      </c>
      <c r="D184" s="64">
        <f t="shared" ca="1" si="78"/>
        <v>2</v>
      </c>
      <c r="E184" s="64">
        <f t="shared" ca="1" si="79"/>
        <v>0</v>
      </c>
      <c r="F184" s="65"/>
      <c r="G184" s="73" t="s">
        <v>153</v>
      </c>
      <c r="H184" s="67" t="str">
        <f ca="1">IF(G184="Unidade Construtiva",TEXT(A184,"00"),IF(G184="Célula Construtiva",TEXT(B184,"00"),IF(G184="Etapa",CONCATENATE(TEXT(B184,"00"),".",TEXT(C184,"000")),IF(G184="Subetapa",CONCATENATE(TEXT(B184,"00"),".",TEXT(C184,"000"),".",TEXT(D184,"000")),IF(G184="Serviço",CONCATENATE(TEXT(B184,"00"),".",TEXT(C184,"000"),".",TEXT(D184,"000"),".",TEXT(E184,"000")),"")))))</f>
        <v>10.001.002</v>
      </c>
      <c r="I184" s="74" t="s">
        <v>86</v>
      </c>
      <c r="J184" s="96"/>
      <c r="K184" s="127"/>
      <c r="L184" s="115">
        <f>L185</f>
        <v>66540.87</v>
      </c>
      <c r="M184" s="74"/>
    </row>
    <row r="185" spans="1:13" ht="20.45" customHeight="1" outlineLevel="1" x14ac:dyDescent="0.55000000000000004">
      <c r="A185" s="63">
        <f ca="1">IF($G185="UNIDADE CONSTRUTIVA",OFFSET(A185,0,0)+1,LARGE(A$3:A183,1))</f>
        <v>2</v>
      </c>
      <c r="B185" s="63">
        <f t="shared" ref="B185" ca="1" si="225">IF(G185="UNIDADE CONSTRUTIVA",0,IF(G185="CÉLULA CONSTRUTIVA",OFFSET(B185,-1,0)+1,OFFSET(B185,-1,0)))</f>
        <v>10</v>
      </c>
      <c r="C185" s="63">
        <f t="shared" ref="C185" ca="1" si="226">IF(G185="CÉLULA CONSTRUTIVA",0,IF(G185="ETAPA",OFFSET(C185,-1,0)+1,OFFSET(C185,-1,0)))</f>
        <v>1</v>
      </c>
      <c r="D185" s="64">
        <f t="shared" ref="D185" ca="1" si="227">IF(G185="ETAPA",0,IF(G185="SUBETAPA",OFFSET(D185,-1,0)+1,OFFSET(D185,-1,0)))</f>
        <v>2</v>
      </c>
      <c r="E185" s="64">
        <f t="shared" ref="E185" ca="1" si="228">IF(G185="Subetapa",0,IF(G185="serviço",OFFSET(E185,-1,0)+1,OFFSET(E185,-1,0)))</f>
        <v>1</v>
      </c>
      <c r="F185" s="65"/>
      <c r="G185" s="73" t="s">
        <v>154</v>
      </c>
      <c r="H185" s="67" t="str">
        <f ca="1">IF(G185="Unidade Construtiva",TEXT(A185,"00"),IF(G185="Célula Construtiva",TEXT(B185,"00"),IF(G185="Etapa",CONCATENATE(TEXT(B185,"00"),".",TEXT(C185,"000")),IF(G185="Subetapa",CONCATENATE(TEXT(B185,"00"),".",TEXT(C185,"000"),".",TEXT(D185,"000")),IF(G185="Serviço",CONCATENATE(TEXT(B185,"00"),".",TEXT(C185,"000"),".",TEXT(D185,"000"),".",TEXT(E185,"000")),"")))))</f>
        <v>10.001.002.001</v>
      </c>
      <c r="I185" s="74" t="s">
        <v>86</v>
      </c>
      <c r="J185" s="96">
        <v>1</v>
      </c>
      <c r="K185" s="127" t="s">
        <v>217</v>
      </c>
      <c r="L185" s="115">
        <v>66540.87</v>
      </c>
      <c r="M185" s="74"/>
    </row>
    <row r="186" spans="1:13" ht="20.45" customHeight="1" outlineLevel="1" x14ac:dyDescent="0.55000000000000004">
      <c r="A186" s="63">
        <f ca="1">IF($G186="UNIDADE CONSTRUTIVA",OFFSET(A186,0,0)+1,LARGE(A$3:A184,1))</f>
        <v>2</v>
      </c>
      <c r="B186" s="63">
        <f t="shared" ca="1" si="76"/>
        <v>10</v>
      </c>
      <c r="C186" s="63">
        <f t="shared" ca="1" si="77"/>
        <v>1</v>
      </c>
      <c r="D186" s="64">
        <f t="shared" ca="1" si="78"/>
        <v>3</v>
      </c>
      <c r="E186" s="64">
        <f t="shared" ca="1" si="79"/>
        <v>0</v>
      </c>
      <c r="F186" s="65"/>
      <c r="G186" s="73" t="s">
        <v>153</v>
      </c>
      <c r="H186" s="67" t="str">
        <f t="shared" ca="1" si="178"/>
        <v>10.001.003</v>
      </c>
      <c r="I186" s="74" t="s">
        <v>87</v>
      </c>
      <c r="J186" s="96"/>
      <c r="K186" s="127"/>
      <c r="L186" s="115">
        <f>L187</f>
        <v>39924.521999999997</v>
      </c>
      <c r="M186" s="74"/>
    </row>
    <row r="187" spans="1:13" ht="20.45" customHeight="1" outlineLevel="1" x14ac:dyDescent="0.55000000000000004">
      <c r="A187" s="63">
        <f ca="1">IF($G187="UNIDADE CONSTRUTIVA",OFFSET(A187,0,0)+1,LARGE(A$3:A185,1))</f>
        <v>2</v>
      </c>
      <c r="B187" s="63">
        <f t="shared" ref="B187" ca="1" si="229">IF(G187="UNIDADE CONSTRUTIVA",0,IF(G187="CÉLULA CONSTRUTIVA",OFFSET(B187,-1,0)+1,OFFSET(B187,-1,0)))</f>
        <v>10</v>
      </c>
      <c r="C187" s="63">
        <f t="shared" ref="C187" ca="1" si="230">IF(G187="CÉLULA CONSTRUTIVA",0,IF(G187="ETAPA",OFFSET(C187,-1,0)+1,OFFSET(C187,-1,0)))</f>
        <v>1</v>
      </c>
      <c r="D187" s="64">
        <f t="shared" ref="D187" ca="1" si="231">IF(G187="ETAPA",0,IF(G187="SUBETAPA",OFFSET(D187,-1,0)+1,OFFSET(D187,-1,0)))</f>
        <v>3</v>
      </c>
      <c r="E187" s="64">
        <f t="shared" ref="E187" ca="1" si="232">IF(G187="Subetapa",0,IF(G187="serviço",OFFSET(E187,-1,0)+1,OFFSET(E187,-1,0)))</f>
        <v>1</v>
      </c>
      <c r="F187" s="65"/>
      <c r="G187" s="73" t="s">
        <v>154</v>
      </c>
      <c r="H187" s="67" t="str">
        <f t="shared" ref="H187" ca="1" si="233">IF(G187="Unidade Construtiva",TEXT(A187,"00"),IF(G187="Célula Construtiva",TEXT(B187,"00"),IF(G187="Etapa",CONCATENATE(TEXT(B187,"00"),".",TEXT(C187,"000")),IF(G187="Subetapa",CONCATENATE(TEXT(B187,"00"),".",TEXT(C187,"000"),".",TEXT(D187,"000")),IF(G187="Serviço",CONCATENATE(TEXT(B187,"00"),".",TEXT(C187,"000"),".",TEXT(D187,"000"),".",TEXT(E187,"000")),"")))))</f>
        <v>10.001.003.001</v>
      </c>
      <c r="I187" s="74" t="s">
        <v>87</v>
      </c>
      <c r="J187" s="96">
        <v>1</v>
      </c>
      <c r="K187" s="127" t="s">
        <v>217</v>
      </c>
      <c r="L187" s="115">
        <v>39924.521999999997</v>
      </c>
      <c r="M187" s="74"/>
    </row>
    <row r="188" spans="1:13" ht="20.45" customHeight="1" outlineLevel="1" x14ac:dyDescent="0.55000000000000004">
      <c r="A188" s="63">
        <f ca="1">IF($G188="UNIDADE CONSTRUTIVA",OFFSET(A188,0,0)+1,LARGE(A$3:A187,1))</f>
        <v>2</v>
      </c>
      <c r="B188" s="63">
        <f t="shared" ca="1" si="76"/>
        <v>10</v>
      </c>
      <c r="C188" s="63">
        <f t="shared" ca="1" si="77"/>
        <v>2</v>
      </c>
      <c r="D188" s="64">
        <f t="shared" ca="1" si="78"/>
        <v>0</v>
      </c>
      <c r="E188" s="64">
        <f t="shared" ca="1" si="79"/>
        <v>1</v>
      </c>
      <c r="F188" s="65"/>
      <c r="G188" s="71" t="s">
        <v>157</v>
      </c>
      <c r="H188" s="67" t="str">
        <f t="shared" ca="1" si="178"/>
        <v>10.002</v>
      </c>
      <c r="I188" s="72" t="s">
        <v>88</v>
      </c>
      <c r="J188" s="95"/>
      <c r="K188" s="127"/>
      <c r="L188" s="113">
        <f>L189</f>
        <v>26616.347999999998</v>
      </c>
      <c r="M188" s="72"/>
    </row>
    <row r="189" spans="1:13" ht="20.45" customHeight="1" outlineLevel="1" x14ac:dyDescent="0.55000000000000004">
      <c r="A189" s="63">
        <f ca="1">IF($G189="UNIDADE CONSTRUTIVA",OFFSET(A189,0,0)+1,LARGE(A$3:A188,1))</f>
        <v>2</v>
      </c>
      <c r="B189" s="63">
        <f t="shared" ca="1" si="76"/>
        <v>10</v>
      </c>
      <c r="C189" s="63">
        <f t="shared" ca="1" si="77"/>
        <v>2</v>
      </c>
      <c r="D189" s="64">
        <f t="shared" ca="1" si="78"/>
        <v>1</v>
      </c>
      <c r="E189" s="64">
        <f t="shared" ca="1" si="79"/>
        <v>0</v>
      </c>
      <c r="F189" s="65"/>
      <c r="G189" s="73" t="s">
        <v>153</v>
      </c>
      <c r="H189" s="67" t="str">
        <f t="shared" ca="1" si="178"/>
        <v>10.002.001</v>
      </c>
      <c r="I189" s="74" t="s">
        <v>89</v>
      </c>
      <c r="J189" s="96"/>
      <c r="K189" s="127"/>
      <c r="L189" s="115">
        <f>L190</f>
        <v>26616.347999999998</v>
      </c>
      <c r="M189" s="74"/>
    </row>
    <row r="190" spans="1:13" ht="20.45" customHeight="1" outlineLevel="1" x14ac:dyDescent="0.55000000000000004">
      <c r="A190" s="63">
        <f ca="1">IF($G190="UNIDADE CONSTRUTIVA",OFFSET(A190,0,0)+1,LARGE(A$3:A189,1))</f>
        <v>2</v>
      </c>
      <c r="B190" s="63">
        <f t="shared" ref="B190" ca="1" si="234">IF(G190="UNIDADE CONSTRUTIVA",0,IF(G190="CÉLULA CONSTRUTIVA",OFFSET(B190,-1,0)+1,OFFSET(B190,-1,0)))</f>
        <v>10</v>
      </c>
      <c r="C190" s="63">
        <f t="shared" ref="C190" ca="1" si="235">IF(G190="CÉLULA CONSTRUTIVA",0,IF(G190="ETAPA",OFFSET(C190,-1,0)+1,OFFSET(C190,-1,0)))</f>
        <v>2</v>
      </c>
      <c r="D190" s="64">
        <f t="shared" ref="D190" ca="1" si="236">IF(G190="ETAPA",0,IF(G190="SUBETAPA",OFFSET(D190,-1,0)+1,OFFSET(D190,-1,0)))</f>
        <v>1</v>
      </c>
      <c r="E190" s="64">
        <f t="shared" ref="E190" ca="1" si="237">IF(G190="Subetapa",0,IF(G190="serviço",OFFSET(E190,-1,0)+1,OFFSET(E190,-1,0)))</f>
        <v>1</v>
      </c>
      <c r="F190" s="65"/>
      <c r="G190" s="73" t="s">
        <v>154</v>
      </c>
      <c r="H190" s="67" t="str">
        <f t="shared" ref="H190" ca="1" si="238">IF(G190="Unidade Construtiva",TEXT(A190,"00"),IF(G190="Célula Construtiva",TEXT(B190,"00"),IF(G190="Etapa",CONCATENATE(TEXT(B190,"00"),".",TEXT(C190,"000")),IF(G190="Subetapa",CONCATENATE(TEXT(B190,"00"),".",TEXT(C190,"000"),".",TEXT(D190,"000")),IF(G190="Serviço",CONCATENATE(TEXT(B190,"00"),".",TEXT(C190,"000"),".",TEXT(D190,"000"),".",TEXT(E190,"000")),"")))))</f>
        <v>10.002.001.001</v>
      </c>
      <c r="I190" s="74" t="s">
        <v>89</v>
      </c>
      <c r="J190" s="96">
        <v>1</v>
      </c>
      <c r="K190" s="127" t="s">
        <v>217</v>
      </c>
      <c r="L190" s="115">
        <v>26616.347999999998</v>
      </c>
      <c r="M190" s="74"/>
    </row>
    <row r="191" spans="1:13" ht="20.45" customHeight="1" x14ac:dyDescent="0.55000000000000004">
      <c r="A191" s="63">
        <f ca="1">IF($G191="UNIDADE CONSTRUTIVA",OFFSET(A191,0,0)+1,LARGE(A$3:A189,1))</f>
        <v>2</v>
      </c>
      <c r="B191" s="63">
        <f t="shared" ca="1" si="76"/>
        <v>11</v>
      </c>
      <c r="C191" s="63">
        <f t="shared" ca="1" si="77"/>
        <v>0</v>
      </c>
      <c r="D191" s="64">
        <f t="shared" ca="1" si="78"/>
        <v>1</v>
      </c>
      <c r="E191" s="64">
        <f t="shared" ca="1" si="79"/>
        <v>1</v>
      </c>
      <c r="F191" s="65"/>
      <c r="G191" s="71" t="s">
        <v>156</v>
      </c>
      <c r="H191" s="67" t="str">
        <f t="shared" ca="1" si="178"/>
        <v>11</v>
      </c>
      <c r="I191" s="72" t="s">
        <v>90</v>
      </c>
      <c r="J191" s="95"/>
      <c r="K191" s="125"/>
      <c r="L191" s="113">
        <f>L192+L202+L207</f>
        <v>1319434.0665</v>
      </c>
      <c r="M191" s="72"/>
    </row>
    <row r="192" spans="1:13" ht="20.45" customHeight="1" outlineLevel="1" x14ac:dyDescent="0.55000000000000004">
      <c r="A192" s="63">
        <f ca="1">IF($G192="UNIDADE CONSTRUTIVA",OFFSET(A192,0,0)+1,LARGE(A$3:A191,1))</f>
        <v>2</v>
      </c>
      <c r="B192" s="63">
        <f t="shared" ca="1" si="76"/>
        <v>11</v>
      </c>
      <c r="C192" s="63">
        <f t="shared" ca="1" si="77"/>
        <v>1</v>
      </c>
      <c r="D192" s="64">
        <f t="shared" ca="1" si="78"/>
        <v>0</v>
      </c>
      <c r="E192" s="64">
        <f t="shared" ca="1" si="79"/>
        <v>1</v>
      </c>
      <c r="F192" s="65"/>
      <c r="G192" s="71" t="s">
        <v>157</v>
      </c>
      <c r="H192" s="67" t="str">
        <f t="shared" ca="1" si="178"/>
        <v>11.001</v>
      </c>
      <c r="I192" s="72" t="s">
        <v>288</v>
      </c>
      <c r="J192" s="95"/>
      <c r="K192" s="125"/>
      <c r="L192" s="113">
        <f>SUM(L193:L201)/2</f>
        <v>618268.86</v>
      </c>
      <c r="M192" s="72"/>
    </row>
    <row r="193" spans="1:17" ht="20.45" customHeight="1" outlineLevel="1" x14ac:dyDescent="0.55000000000000004">
      <c r="A193" s="63">
        <f ca="1">IF($G193="UNIDADE CONSTRUTIVA",OFFSET(A193,0,0)+1,LARGE(A$3:A192,1))</f>
        <v>2</v>
      </c>
      <c r="B193" s="63">
        <f t="shared" ca="1" si="76"/>
        <v>11</v>
      </c>
      <c r="C193" s="63">
        <f t="shared" ca="1" si="77"/>
        <v>1</v>
      </c>
      <c r="D193" s="64">
        <f t="shared" ca="1" si="78"/>
        <v>1</v>
      </c>
      <c r="E193" s="64">
        <f t="shared" ca="1" si="79"/>
        <v>0</v>
      </c>
      <c r="F193" s="65"/>
      <c r="G193" s="73" t="s">
        <v>153</v>
      </c>
      <c r="H193" s="67" t="str">
        <f t="shared" ca="1" si="178"/>
        <v>11.001.001</v>
      </c>
      <c r="I193" s="74" t="s">
        <v>269</v>
      </c>
      <c r="J193" s="96"/>
      <c r="K193" s="127"/>
      <c r="L193" s="115">
        <f>SUM(L194:L198)</f>
        <v>480768.86</v>
      </c>
      <c r="M193" s="74"/>
    </row>
    <row r="194" spans="1:17" ht="20.45" customHeight="1" outlineLevel="1" x14ac:dyDescent="0.55000000000000004">
      <c r="A194" s="63">
        <f ca="1">IF($G194="UNIDADE CONSTRUTIVA",OFFSET(A194,0,0)+1,LARGE(A$3:A193,1))</f>
        <v>2</v>
      </c>
      <c r="B194" s="63">
        <f t="shared" ca="1" si="76"/>
        <v>11</v>
      </c>
      <c r="C194" s="63">
        <f t="shared" ca="1" si="77"/>
        <v>1</v>
      </c>
      <c r="D194" s="64">
        <f t="shared" ca="1" si="78"/>
        <v>1</v>
      </c>
      <c r="E194" s="64">
        <f t="shared" ca="1" si="79"/>
        <v>1</v>
      </c>
      <c r="F194" s="65"/>
      <c r="G194" s="73" t="s">
        <v>154</v>
      </c>
      <c r="H194" s="67" t="str">
        <f t="shared" ref="H194" ca="1" si="239">IF(G194="Unidade Construtiva",TEXT(A194,"00"),IF(G194="Célula Construtiva",TEXT(B194,"00"),IF(G194="Etapa",CONCATENATE(TEXT(B194,"00"),".",TEXT(C194,"000")),IF(G194="Subetapa",CONCATENATE(TEXT(B194,"00"),".",TEXT(C194,"000"),".",TEXT(D194,"000")),IF(G194="Serviço",CONCATENATE(TEXT(B194,"00"),".",TEXT(C194,"000"),".",TEXT(D194,"000"),".",TEXT(E194,"000")),"")))))</f>
        <v>11.001.001.001</v>
      </c>
      <c r="I194" s="74" t="s">
        <v>270</v>
      </c>
      <c r="J194" s="96">
        <v>2</v>
      </c>
      <c r="K194" s="114" t="s">
        <v>265</v>
      </c>
      <c r="L194" s="115">
        <v>83998.860000000015</v>
      </c>
      <c r="M194" s="81" t="s">
        <v>481</v>
      </c>
      <c r="Q194" s="82"/>
    </row>
    <row r="195" spans="1:17" ht="20.45" customHeight="1" outlineLevel="1" x14ac:dyDescent="0.55000000000000004">
      <c r="A195" s="63">
        <f ca="1">IF($G195="UNIDADE CONSTRUTIVA",OFFSET(A195,0,0)+1,LARGE(A$3:A194,1))</f>
        <v>2</v>
      </c>
      <c r="B195" s="63">
        <f t="shared" ref="B195" ca="1" si="240">IF(G195="UNIDADE CONSTRUTIVA",0,IF(G195="CÉLULA CONSTRUTIVA",OFFSET(B195,-1,0)+1,OFFSET(B195,-1,0)))</f>
        <v>11</v>
      </c>
      <c r="C195" s="63">
        <f t="shared" ref="C195" ca="1" si="241">IF(G195="CÉLULA CONSTRUTIVA",0,IF(G195="ETAPA",OFFSET(C195,-1,0)+1,OFFSET(C195,-1,0)))</f>
        <v>1</v>
      </c>
      <c r="D195" s="64">
        <f t="shared" ref="D195" ca="1" si="242">IF(G195="ETAPA",0,IF(G195="SUBETAPA",OFFSET(D195,-1,0)+1,OFFSET(D195,-1,0)))</f>
        <v>1</v>
      </c>
      <c r="E195" s="64">
        <f t="shared" ref="E195" ca="1" si="243">IF(G195="Subetapa",0,IF(G195="serviço",OFFSET(E195,-1,0)+1,OFFSET(E195,-1,0)))</f>
        <v>2</v>
      </c>
      <c r="F195" s="65"/>
      <c r="G195" s="73" t="s">
        <v>154</v>
      </c>
      <c r="H195" s="67" t="str">
        <f t="shared" ref="H195" ca="1" si="244">IF(G195="Unidade Construtiva",TEXT(A195,"00"),IF(G195="Célula Construtiva",TEXT(B195,"00"),IF(G195="Etapa",CONCATENATE(TEXT(B195,"00"),".",TEXT(C195,"000")),IF(G195="Subetapa",CONCATENATE(TEXT(B195,"00"),".",TEXT(C195,"000"),".",TEXT(D195,"000")),IF(G195="Serviço",CONCATENATE(TEXT(B195,"00"),".",TEXT(C195,"000"),".",TEXT(D195,"000"),".",TEXT(E195,"000")),"")))))</f>
        <v>11.001.001.002</v>
      </c>
      <c r="I195" s="74" t="s">
        <v>480</v>
      </c>
      <c r="J195" s="96">
        <v>1</v>
      </c>
      <c r="K195" s="114" t="s">
        <v>265</v>
      </c>
      <c r="L195" s="115">
        <v>55660.000000000007</v>
      </c>
      <c r="M195" s="81" t="s">
        <v>546</v>
      </c>
      <c r="Q195" s="82"/>
    </row>
    <row r="196" spans="1:17" ht="20.45" customHeight="1" outlineLevel="1" x14ac:dyDescent="0.55000000000000004">
      <c r="A196" s="63">
        <f ca="1">IF($G196="UNIDADE CONSTRUTIVA",OFFSET(A196,0,0)+1,LARGE(A$3:A195,1))</f>
        <v>2</v>
      </c>
      <c r="B196" s="63">
        <f t="shared" ref="B196:B197" ca="1" si="245">IF(G196="UNIDADE CONSTRUTIVA",0,IF(G196="CÉLULA CONSTRUTIVA",OFFSET(B196,-1,0)+1,OFFSET(B196,-1,0)))</f>
        <v>11</v>
      </c>
      <c r="C196" s="63">
        <f t="shared" ref="C196:C197" ca="1" si="246">IF(G196="CÉLULA CONSTRUTIVA",0,IF(G196="ETAPA",OFFSET(C196,-1,0)+1,OFFSET(C196,-1,0)))</f>
        <v>1</v>
      </c>
      <c r="D196" s="64">
        <f t="shared" ref="D196:D197" ca="1" si="247">IF(G196="ETAPA",0,IF(G196="SUBETAPA",OFFSET(D196,-1,0)+1,OFFSET(D196,-1,0)))</f>
        <v>1</v>
      </c>
      <c r="E196" s="64">
        <f t="shared" ref="E196:E197" ca="1" si="248">IF(G196="Subetapa",0,IF(G196="serviço",OFFSET(E196,-1,0)+1,OFFSET(E196,-1,0)))</f>
        <v>3</v>
      </c>
      <c r="F196" s="65"/>
      <c r="G196" s="73" t="s">
        <v>154</v>
      </c>
      <c r="H196" s="67" t="str">
        <f t="shared" ref="H196:H197" ca="1" si="249">IF(G196="Unidade Construtiva",TEXT(A196,"00"),IF(G196="Célula Construtiva",TEXT(B196,"00"),IF(G196="Etapa",CONCATENATE(TEXT(B196,"00"),".",TEXT(C196,"000")),IF(G196="Subetapa",CONCATENATE(TEXT(B196,"00"),".",TEXT(C196,"000"),".",TEXT(D196,"000")),IF(G196="Serviço",CONCATENATE(TEXT(B196,"00"),".",TEXT(C196,"000"),".",TEXT(D196,"000"),".",TEXT(E196,"000")),"")))))</f>
        <v>11.001.001.003</v>
      </c>
      <c r="I196" s="74" t="s">
        <v>272</v>
      </c>
      <c r="J196" s="96">
        <v>2</v>
      </c>
      <c r="K196" s="114" t="s">
        <v>265</v>
      </c>
      <c r="L196" s="115">
        <v>54956.000000000007</v>
      </c>
      <c r="M196" s="74" t="s">
        <v>271</v>
      </c>
    </row>
    <row r="197" spans="1:17" ht="20.45" customHeight="1" outlineLevel="1" x14ac:dyDescent="0.55000000000000004">
      <c r="A197" s="63">
        <f ca="1">IF($G197="UNIDADE CONSTRUTIVA",OFFSET(A197,0,0)+1,LARGE(A$3:A196,1))</f>
        <v>2</v>
      </c>
      <c r="B197" s="63">
        <f t="shared" ca="1" si="245"/>
        <v>11</v>
      </c>
      <c r="C197" s="63">
        <f t="shared" ca="1" si="246"/>
        <v>1</v>
      </c>
      <c r="D197" s="64">
        <f t="shared" ca="1" si="247"/>
        <v>1</v>
      </c>
      <c r="E197" s="64">
        <f t="shared" ca="1" si="248"/>
        <v>4</v>
      </c>
      <c r="F197" s="65"/>
      <c r="G197" s="73" t="s">
        <v>154</v>
      </c>
      <c r="H197" s="67" t="str">
        <f t="shared" ca="1" si="249"/>
        <v>11.001.001.004</v>
      </c>
      <c r="I197" s="74" t="s">
        <v>273</v>
      </c>
      <c r="J197" s="128">
        <v>27</v>
      </c>
      <c r="K197" s="114" t="s">
        <v>265</v>
      </c>
      <c r="L197" s="115">
        <v>276804</v>
      </c>
      <c r="M197" s="74" t="s">
        <v>545</v>
      </c>
    </row>
    <row r="198" spans="1:17" ht="20.45" customHeight="1" outlineLevel="1" x14ac:dyDescent="0.55000000000000004">
      <c r="A198" s="63">
        <f ca="1">IF($G198="UNIDADE CONSTRUTIVA",OFFSET(A198,0,0)+1,LARGE(A$3:A197,1))</f>
        <v>2</v>
      </c>
      <c r="B198" s="63">
        <f t="shared" ref="B198:B204" ca="1" si="250">IF(G198="UNIDADE CONSTRUTIVA",0,IF(G198="CÉLULA CONSTRUTIVA",OFFSET(B198,-1,0)+1,OFFSET(B198,-1,0)))</f>
        <v>11</v>
      </c>
      <c r="C198" s="63">
        <f t="shared" ref="C198:C204" ca="1" si="251">IF(G198="CÉLULA CONSTRUTIVA",0,IF(G198="ETAPA",OFFSET(C198,-1,0)+1,OFFSET(C198,-1,0)))</f>
        <v>1</v>
      </c>
      <c r="D198" s="64">
        <f t="shared" ref="D198:D204" ca="1" si="252">IF(G198="ETAPA",0,IF(G198="SUBETAPA",OFFSET(D198,-1,0)+1,OFFSET(D198,-1,0)))</f>
        <v>1</v>
      </c>
      <c r="E198" s="64">
        <f t="shared" ref="E198:E204" ca="1" si="253">IF(G198="Subetapa",0,IF(G198="serviço",OFFSET(E198,-1,0)+1,OFFSET(E198,-1,0)))</f>
        <v>5</v>
      </c>
      <c r="F198" s="65"/>
      <c r="G198" s="73" t="s">
        <v>154</v>
      </c>
      <c r="H198" s="67" t="str">
        <f t="shared" ref="H198:H204" ca="1" si="254">IF(G198="Unidade Construtiva",TEXT(A198,"00"),IF(G198="Célula Construtiva",TEXT(B198,"00"),IF(G198="Etapa",CONCATENATE(TEXT(B198,"00"),".",TEXT(C198,"000")),IF(G198="Subetapa",CONCATENATE(TEXT(B198,"00"),".",TEXT(C198,"000"),".",TEXT(D198,"000")),IF(G198="Serviço",CONCATENATE(TEXT(B198,"00"),".",TEXT(C198,"000"),".",TEXT(D198,"000"),".",TEXT(E198,"000")),"")))))</f>
        <v>11.001.001.005</v>
      </c>
      <c r="I198" s="74" t="s">
        <v>162</v>
      </c>
      <c r="J198" s="96">
        <v>1</v>
      </c>
      <c r="K198" s="114" t="s">
        <v>265</v>
      </c>
      <c r="L198" s="115">
        <v>9350</v>
      </c>
      <c r="M198" s="74"/>
    </row>
    <row r="199" spans="1:17" ht="20.45" customHeight="1" outlineLevel="1" x14ac:dyDescent="0.55000000000000004">
      <c r="A199" s="63">
        <f ca="1">IF($G199="UNIDADE CONSTRUTIVA",OFFSET(A199,0,0)+1,LARGE(A$3:A198,1))</f>
        <v>2</v>
      </c>
      <c r="B199" s="63">
        <f t="shared" ca="1" si="250"/>
        <v>11</v>
      </c>
      <c r="C199" s="63">
        <f t="shared" ca="1" si="251"/>
        <v>1</v>
      </c>
      <c r="D199" s="64">
        <f t="shared" ca="1" si="252"/>
        <v>2</v>
      </c>
      <c r="E199" s="64">
        <f t="shared" ca="1" si="253"/>
        <v>0</v>
      </c>
      <c r="F199" s="65"/>
      <c r="G199" s="73" t="s">
        <v>153</v>
      </c>
      <c r="H199" s="67" t="str">
        <f t="shared" ca="1" si="254"/>
        <v>11.001.002</v>
      </c>
      <c r="I199" s="74" t="s">
        <v>482</v>
      </c>
      <c r="J199" s="96"/>
      <c r="K199" s="127"/>
      <c r="L199" s="115">
        <f>SUM(L200:L201)</f>
        <v>137500</v>
      </c>
      <c r="M199" s="74"/>
    </row>
    <row r="200" spans="1:17" ht="20.45" customHeight="1" outlineLevel="1" x14ac:dyDescent="0.55000000000000004">
      <c r="A200" s="63">
        <f ca="1">IF($G200="UNIDADE CONSTRUTIVA",OFFSET(A200,0,0)+1,LARGE(A$3:A199,1))</f>
        <v>2</v>
      </c>
      <c r="B200" s="63">
        <f t="shared" ref="B200" ca="1" si="255">IF(G200="UNIDADE CONSTRUTIVA",0,IF(G200="CÉLULA CONSTRUTIVA",OFFSET(B200,-1,0)+1,OFFSET(B200,-1,0)))</f>
        <v>11</v>
      </c>
      <c r="C200" s="63">
        <f t="shared" ref="C200" ca="1" si="256">IF(G200="CÉLULA CONSTRUTIVA",0,IF(G200="ETAPA",OFFSET(C200,-1,0)+1,OFFSET(C200,-1,0)))</f>
        <v>1</v>
      </c>
      <c r="D200" s="64">
        <f t="shared" ref="D200" ca="1" si="257">IF(G200="ETAPA",0,IF(G200="SUBETAPA",OFFSET(D200,-1,0)+1,OFFSET(D200,-1,0)))</f>
        <v>2</v>
      </c>
      <c r="E200" s="64">
        <f t="shared" ref="E200" ca="1" si="258">IF(G200="Subetapa",0,IF(G200="serviço",OFFSET(E200,-1,0)+1,OFFSET(E200,-1,0)))</f>
        <v>1</v>
      </c>
      <c r="F200" s="65"/>
      <c r="G200" s="73" t="s">
        <v>154</v>
      </c>
      <c r="H200" s="67" t="str">
        <f t="shared" ref="H200" ca="1" si="259">IF(G200="Unidade Construtiva",TEXT(A200,"00"),IF(G200="Célula Construtiva",TEXT(B200,"00"),IF(G200="Etapa",CONCATENATE(TEXT(B200,"00"),".",TEXT(C200,"000")),IF(G200="Subetapa",CONCATENATE(TEXT(B200,"00"),".",TEXT(C200,"000"),".",TEXT(D200,"000")),IF(G200="Serviço",CONCATENATE(TEXT(B200,"00"),".",TEXT(C200,"000"),".",TEXT(D200,"000"),".",TEXT(E200,"000")),"")))))</f>
        <v>11.001.002.001</v>
      </c>
      <c r="I200" s="74" t="s">
        <v>483</v>
      </c>
      <c r="J200" s="96">
        <v>1</v>
      </c>
      <c r="K200" s="114" t="s">
        <v>265</v>
      </c>
      <c r="L200" s="115">
        <v>110000</v>
      </c>
      <c r="M200" s="74"/>
    </row>
    <row r="201" spans="1:17" ht="20.45" customHeight="1" outlineLevel="1" x14ac:dyDescent="0.55000000000000004">
      <c r="A201" s="63">
        <f ca="1">IF($G201="UNIDADE CONSTRUTIVA",OFFSET(A201,0,0)+1,LARGE(A$3:A200,1))</f>
        <v>2</v>
      </c>
      <c r="B201" s="63">
        <f t="shared" ref="B201" ca="1" si="260">IF(G201="UNIDADE CONSTRUTIVA",0,IF(G201="CÉLULA CONSTRUTIVA",OFFSET(B201,-1,0)+1,OFFSET(B201,-1,0)))</f>
        <v>11</v>
      </c>
      <c r="C201" s="63">
        <f t="shared" ref="C201" ca="1" si="261">IF(G201="CÉLULA CONSTRUTIVA",0,IF(G201="ETAPA",OFFSET(C201,-1,0)+1,OFFSET(C201,-1,0)))</f>
        <v>1</v>
      </c>
      <c r="D201" s="64">
        <f t="shared" ref="D201" ca="1" si="262">IF(G201="ETAPA",0,IF(G201="SUBETAPA",OFFSET(D201,-1,0)+1,OFFSET(D201,-1,0)))</f>
        <v>2</v>
      </c>
      <c r="E201" s="64">
        <f t="shared" ref="E201" ca="1" si="263">IF(G201="Subetapa",0,IF(G201="serviço",OFFSET(E201,-1,0)+1,OFFSET(E201,-1,0)))</f>
        <v>2</v>
      </c>
      <c r="F201" s="65"/>
      <c r="G201" s="73" t="s">
        <v>154</v>
      </c>
      <c r="H201" s="67" t="str">
        <f t="shared" ref="H201" ca="1" si="264">IF(G201="Unidade Construtiva",TEXT(A201,"00"),IF(G201="Célula Construtiva",TEXT(B201,"00"),IF(G201="Etapa",CONCATENATE(TEXT(B201,"00"),".",TEXT(C201,"000")),IF(G201="Subetapa",CONCATENATE(TEXT(B201,"00"),".",TEXT(C201,"000"),".",TEXT(D201,"000")),IF(G201="Serviço",CONCATENATE(TEXT(B201,"00"),".",TEXT(C201,"000"),".",TEXT(D201,"000"),".",TEXT(E201,"000")),"")))))</f>
        <v>11.001.002.002</v>
      </c>
      <c r="I201" s="74" t="s">
        <v>484</v>
      </c>
      <c r="J201" s="96">
        <v>1</v>
      </c>
      <c r="K201" s="114" t="s">
        <v>265</v>
      </c>
      <c r="L201" s="115">
        <v>27500.000000000004</v>
      </c>
      <c r="M201" s="74"/>
    </row>
    <row r="202" spans="1:17" ht="20.45" customHeight="1" outlineLevel="1" x14ac:dyDescent="0.55000000000000004">
      <c r="A202" s="63">
        <f ca="1">IF($G202="UNIDADE CONSTRUTIVA",OFFSET(A202,0,0)+1,LARGE(A$3:A198,1))</f>
        <v>2</v>
      </c>
      <c r="B202" s="63">
        <f t="shared" ca="1" si="250"/>
        <v>11</v>
      </c>
      <c r="C202" s="63">
        <f t="shared" ca="1" si="251"/>
        <v>2</v>
      </c>
      <c r="D202" s="64">
        <f t="shared" ca="1" si="252"/>
        <v>0</v>
      </c>
      <c r="E202" s="64">
        <f t="shared" ca="1" si="253"/>
        <v>2</v>
      </c>
      <c r="F202" s="65"/>
      <c r="G202" s="71" t="s">
        <v>157</v>
      </c>
      <c r="H202" s="67" t="str">
        <f t="shared" ca="1" si="254"/>
        <v>11.002</v>
      </c>
      <c r="I202" s="72" t="s">
        <v>293</v>
      </c>
      <c r="J202" s="95"/>
      <c r="K202" s="125"/>
      <c r="L202" s="113">
        <f>SUM(L203:L206)/2</f>
        <v>200986.58249999999</v>
      </c>
      <c r="M202" s="72"/>
    </row>
    <row r="203" spans="1:17" ht="20.45" customHeight="1" outlineLevel="1" x14ac:dyDescent="0.55000000000000004">
      <c r="A203" s="63">
        <f ca="1">IF($G203="UNIDADE CONSTRUTIVA",OFFSET(A203,0,0)+1,LARGE(A$3:A202,1))</f>
        <v>2</v>
      </c>
      <c r="B203" s="63">
        <f t="shared" ca="1" si="250"/>
        <v>11</v>
      </c>
      <c r="C203" s="63">
        <f t="shared" ca="1" si="251"/>
        <v>2</v>
      </c>
      <c r="D203" s="64">
        <f t="shared" ca="1" si="252"/>
        <v>1</v>
      </c>
      <c r="E203" s="64">
        <f t="shared" ca="1" si="253"/>
        <v>0</v>
      </c>
      <c r="F203" s="65"/>
      <c r="G203" s="73" t="s">
        <v>153</v>
      </c>
      <c r="H203" s="67" t="str">
        <f t="shared" ca="1" si="254"/>
        <v>11.002.001</v>
      </c>
      <c r="I203" s="74" t="s">
        <v>164</v>
      </c>
      <c r="J203" s="96"/>
      <c r="K203" s="127"/>
      <c r="L203" s="115">
        <f>L204</f>
        <v>143062.87049999999</v>
      </c>
      <c r="M203" s="74"/>
    </row>
    <row r="204" spans="1:17" ht="20.45" customHeight="1" outlineLevel="1" x14ac:dyDescent="0.55000000000000004">
      <c r="A204" s="63">
        <f ca="1">IF($G204="UNIDADE CONSTRUTIVA",OFFSET(A204,0,0)+1,LARGE(A$3:A203,1))</f>
        <v>2</v>
      </c>
      <c r="B204" s="63">
        <f t="shared" ca="1" si="250"/>
        <v>11</v>
      </c>
      <c r="C204" s="63">
        <f t="shared" ca="1" si="251"/>
        <v>2</v>
      </c>
      <c r="D204" s="64">
        <f t="shared" ca="1" si="252"/>
        <v>1</v>
      </c>
      <c r="E204" s="64">
        <f t="shared" ca="1" si="253"/>
        <v>1</v>
      </c>
      <c r="F204" s="65"/>
      <c r="G204" s="73" t="s">
        <v>154</v>
      </c>
      <c r="H204" s="67" t="str">
        <f t="shared" ca="1" si="254"/>
        <v>11.002.001.001</v>
      </c>
      <c r="I204" s="74" t="s">
        <v>164</v>
      </c>
      <c r="J204" s="96">
        <v>1</v>
      </c>
      <c r="K204" s="114" t="s">
        <v>217</v>
      </c>
      <c r="L204" s="115">
        <v>143062.87049999999</v>
      </c>
      <c r="M204" s="74" t="s">
        <v>291</v>
      </c>
      <c r="Q204" s="82"/>
    </row>
    <row r="205" spans="1:17" ht="20.45" customHeight="1" outlineLevel="1" x14ac:dyDescent="0.55000000000000004">
      <c r="A205" s="63">
        <f ca="1">IF($G205="UNIDADE CONSTRUTIVA",OFFSET(A205,0,0)+1,LARGE(A$3:A204,1))</f>
        <v>2</v>
      </c>
      <c r="B205" s="63">
        <f t="shared" ref="B205:B206" ca="1" si="265">IF(G205="UNIDADE CONSTRUTIVA",0,IF(G205="CÉLULA CONSTRUTIVA",OFFSET(B205,-1,0)+1,OFFSET(B205,-1,0)))</f>
        <v>11</v>
      </c>
      <c r="C205" s="63">
        <f t="shared" ref="C205:C206" ca="1" si="266">IF(G205="CÉLULA CONSTRUTIVA",0,IF(G205="ETAPA",OFFSET(C205,-1,0)+1,OFFSET(C205,-1,0)))</f>
        <v>2</v>
      </c>
      <c r="D205" s="64">
        <f t="shared" ref="D205:D206" ca="1" si="267">IF(G205="ETAPA",0,IF(G205="SUBETAPA",OFFSET(D205,-1,0)+1,OFFSET(D205,-1,0)))</f>
        <v>2</v>
      </c>
      <c r="E205" s="64">
        <f t="shared" ref="E205:E206" ca="1" si="268">IF(G205="Subetapa",0,IF(G205="serviço",OFFSET(E205,-1,0)+1,OFFSET(E205,-1,0)))</f>
        <v>0</v>
      </c>
      <c r="F205" s="65"/>
      <c r="G205" s="73" t="s">
        <v>153</v>
      </c>
      <c r="H205" s="67" t="str">
        <f t="shared" ref="H205:H206" ca="1" si="269">IF(G205="Unidade Construtiva",TEXT(A205,"00"),IF(G205="Célula Construtiva",TEXT(B205,"00"),IF(G205="Etapa",CONCATENATE(TEXT(B205,"00"),".",TEXT(C205,"000")),IF(G205="Subetapa",CONCATENATE(TEXT(B205,"00"),".",TEXT(C205,"000"),".",TEXT(D205,"000")),IF(G205="Serviço",CONCATENATE(TEXT(B205,"00"),".",TEXT(C205,"000"),".",TEXT(D205,"000"),".",TEXT(E205,"000")),"")))))</f>
        <v>11.002.002</v>
      </c>
      <c r="I205" s="74" t="s">
        <v>290</v>
      </c>
      <c r="J205" s="96"/>
      <c r="K205" s="127"/>
      <c r="L205" s="115">
        <f>L206</f>
        <v>57923.711999999992</v>
      </c>
      <c r="M205" s="74"/>
    </row>
    <row r="206" spans="1:17" ht="20.45" customHeight="1" outlineLevel="1" x14ac:dyDescent="0.55000000000000004">
      <c r="A206" s="63">
        <f ca="1">IF($G206="UNIDADE CONSTRUTIVA",OFFSET(A206,0,0)+1,LARGE(A$3:A205,1))</f>
        <v>2</v>
      </c>
      <c r="B206" s="63">
        <f t="shared" ca="1" si="265"/>
        <v>11</v>
      </c>
      <c r="C206" s="63">
        <f t="shared" ca="1" si="266"/>
        <v>2</v>
      </c>
      <c r="D206" s="64">
        <f t="shared" ca="1" si="267"/>
        <v>2</v>
      </c>
      <c r="E206" s="64">
        <f t="shared" ca="1" si="268"/>
        <v>1</v>
      </c>
      <c r="F206" s="65"/>
      <c r="G206" s="73" t="s">
        <v>154</v>
      </c>
      <c r="H206" s="67" t="str">
        <f t="shared" ca="1" si="269"/>
        <v>11.002.002.001</v>
      </c>
      <c r="I206" s="74" t="s">
        <v>289</v>
      </c>
      <c r="J206" s="96">
        <v>188.06399999999996</v>
      </c>
      <c r="K206" s="114" t="s">
        <v>339</v>
      </c>
      <c r="L206" s="115">
        <v>57923.711999999992</v>
      </c>
      <c r="M206" s="74"/>
      <c r="Q206" s="82"/>
    </row>
    <row r="207" spans="1:17" ht="20.45" customHeight="1" outlineLevel="1" x14ac:dyDescent="0.55000000000000004">
      <c r="A207" s="63">
        <f ca="1">IF($G207="UNIDADE CONSTRUTIVA",OFFSET(A207,0,0)+1,LARGE(A$3:A195,1))</f>
        <v>2</v>
      </c>
      <c r="B207" s="63">
        <f t="shared" ca="1" si="76"/>
        <v>11</v>
      </c>
      <c r="C207" s="63">
        <f t="shared" ca="1" si="77"/>
        <v>3</v>
      </c>
      <c r="D207" s="64">
        <f t="shared" ca="1" si="78"/>
        <v>0</v>
      </c>
      <c r="E207" s="64">
        <f t="shared" ca="1" si="79"/>
        <v>1</v>
      </c>
      <c r="F207" s="65"/>
      <c r="G207" s="71" t="s">
        <v>157</v>
      </c>
      <c r="H207" s="67" t="str">
        <f t="shared" ca="1" si="178"/>
        <v>11.003</v>
      </c>
      <c r="I207" s="72" t="s">
        <v>91</v>
      </c>
      <c r="J207" s="95"/>
      <c r="K207" s="125"/>
      <c r="L207" s="113">
        <f>L208</f>
        <v>500178.62400000001</v>
      </c>
      <c r="M207" s="72"/>
    </row>
    <row r="208" spans="1:17" ht="20.45" customHeight="1" outlineLevel="1" x14ac:dyDescent="0.55000000000000004">
      <c r="A208" s="63">
        <f ca="1">IF($G208="UNIDADE CONSTRUTIVA",OFFSET(A208,0,0)+1,LARGE(A$3:A207,1))</f>
        <v>2</v>
      </c>
      <c r="B208" s="63">
        <f t="shared" ca="1" si="76"/>
        <v>11</v>
      </c>
      <c r="C208" s="63">
        <f t="shared" ca="1" si="77"/>
        <v>3</v>
      </c>
      <c r="D208" s="64">
        <f t="shared" ca="1" si="78"/>
        <v>1</v>
      </c>
      <c r="E208" s="64">
        <f t="shared" ca="1" si="79"/>
        <v>0</v>
      </c>
      <c r="F208" s="65"/>
      <c r="G208" s="73" t="s">
        <v>153</v>
      </c>
      <c r="H208" s="67" t="str">
        <f t="shared" ca="1" si="178"/>
        <v>11.003.001</v>
      </c>
      <c r="I208" s="74" t="s">
        <v>92</v>
      </c>
      <c r="J208" s="96"/>
      <c r="K208" s="127"/>
      <c r="L208" s="115">
        <f>L209</f>
        <v>500178.62400000001</v>
      </c>
      <c r="M208" s="74"/>
    </row>
    <row r="209" spans="1:13" ht="20.45" customHeight="1" outlineLevel="1" x14ac:dyDescent="0.55000000000000004">
      <c r="A209" s="63">
        <f ca="1">IF($G209="UNIDADE CONSTRUTIVA",OFFSET(A209,0,0)+1,LARGE(A$3:A208,1))</f>
        <v>2</v>
      </c>
      <c r="B209" s="63">
        <f t="shared" ref="B209" ca="1" si="270">IF(G209="UNIDADE CONSTRUTIVA",0,IF(G209="CÉLULA CONSTRUTIVA",OFFSET(B209,-1,0)+1,OFFSET(B209,-1,0)))</f>
        <v>11</v>
      </c>
      <c r="C209" s="63">
        <f t="shared" ref="C209" ca="1" si="271">IF(G209="CÉLULA CONSTRUTIVA",0,IF(G209="ETAPA",OFFSET(C209,-1,0)+1,OFFSET(C209,-1,0)))</f>
        <v>3</v>
      </c>
      <c r="D209" s="64">
        <f t="shared" ref="D209" ca="1" si="272">IF(G209="ETAPA",0,IF(G209="SUBETAPA",OFFSET(D209,-1,0)+1,OFFSET(D209,-1,0)))</f>
        <v>1</v>
      </c>
      <c r="E209" s="64">
        <f t="shared" ref="E209" ca="1" si="273">IF(G209="Subetapa",0,IF(G209="serviço",OFFSET(E209,-1,0)+1,OFFSET(E209,-1,0)))</f>
        <v>1</v>
      </c>
      <c r="F209" s="65"/>
      <c r="G209" s="73" t="s">
        <v>154</v>
      </c>
      <c r="H209" s="67" t="str">
        <f t="shared" ref="H209" ca="1" si="274">IF(G209="Unidade Construtiva",TEXT(A209,"00"),IF(G209="Célula Construtiva",TEXT(B209,"00"),IF(G209="Etapa",CONCATENATE(TEXT(B209,"00"),".",TEXT(C209,"000")),IF(G209="Subetapa",CONCATENATE(TEXT(B209,"00"),".",TEXT(C209,"000"),".",TEXT(D209,"000")),IF(G209="Serviço",CONCATENATE(TEXT(B209,"00"),".",TEXT(C209,"000"),".",TEXT(D209,"000"),".",TEXT(E209,"000")),"")))))</f>
        <v>11.003.001.001</v>
      </c>
      <c r="I209" s="74" t="s">
        <v>92</v>
      </c>
      <c r="J209" s="96">
        <v>3</v>
      </c>
      <c r="K209" s="114" t="s">
        <v>265</v>
      </c>
      <c r="L209" s="115">
        <v>500178.62400000001</v>
      </c>
      <c r="M209" s="74"/>
    </row>
    <row r="210" spans="1:13" ht="20.45" customHeight="1" x14ac:dyDescent="0.55000000000000004">
      <c r="A210" s="63">
        <f ca="1">IF($G210="UNIDADE CONSTRUTIVA",OFFSET(A210,0,0)+1,LARGE(A$3:A208,1))</f>
        <v>2</v>
      </c>
      <c r="B210" s="63">
        <f t="shared" ca="1" si="76"/>
        <v>12</v>
      </c>
      <c r="C210" s="63">
        <f t="shared" ca="1" si="77"/>
        <v>0</v>
      </c>
      <c r="D210" s="64">
        <f t="shared" ca="1" si="78"/>
        <v>1</v>
      </c>
      <c r="E210" s="64">
        <f t="shared" ca="1" si="79"/>
        <v>1</v>
      </c>
      <c r="F210" s="65"/>
      <c r="G210" s="71" t="s">
        <v>156</v>
      </c>
      <c r="H210" s="67" t="str">
        <f t="shared" ca="1" si="178"/>
        <v>12</v>
      </c>
      <c r="I210" s="72" t="s">
        <v>93</v>
      </c>
      <c r="J210" s="95"/>
      <c r="K210" s="125"/>
      <c r="L210" s="113">
        <f>L211</f>
        <v>5022804.2699999996</v>
      </c>
      <c r="M210" s="72"/>
    </row>
    <row r="211" spans="1:13" ht="20.45" customHeight="1" outlineLevel="1" x14ac:dyDescent="0.55000000000000004">
      <c r="A211" s="63">
        <f ca="1">IF($G211="UNIDADE CONSTRUTIVA",OFFSET(A211,0,0)+1,LARGE(A$3:A210,1))</f>
        <v>2</v>
      </c>
      <c r="B211" s="63">
        <f t="shared" ca="1" si="76"/>
        <v>12</v>
      </c>
      <c r="C211" s="63">
        <f t="shared" ca="1" si="77"/>
        <v>1</v>
      </c>
      <c r="D211" s="64">
        <f t="shared" ca="1" si="78"/>
        <v>0</v>
      </c>
      <c r="E211" s="64">
        <f t="shared" ca="1" si="79"/>
        <v>1</v>
      </c>
      <c r="F211" s="65"/>
      <c r="G211" s="71" t="s">
        <v>157</v>
      </c>
      <c r="H211" s="67" t="str">
        <f t="shared" ca="1" si="178"/>
        <v>12.001</v>
      </c>
      <c r="I211" s="72" t="s">
        <v>93</v>
      </c>
      <c r="J211" s="95"/>
      <c r="K211" s="125"/>
      <c r="L211" s="113">
        <f>SUM(L212:L224)/2</f>
        <v>5022804.2699999996</v>
      </c>
      <c r="M211" s="72"/>
    </row>
    <row r="212" spans="1:13" ht="20.45" customHeight="1" outlineLevel="1" x14ac:dyDescent="0.55000000000000004">
      <c r="A212" s="63">
        <f ca="1">IF($G212="UNIDADE CONSTRUTIVA",OFFSET(A212,0,0)+1,LARGE(A$3:A211,1))</f>
        <v>2</v>
      </c>
      <c r="B212" s="63">
        <f t="shared" ca="1" si="76"/>
        <v>12</v>
      </c>
      <c r="C212" s="63">
        <f t="shared" ca="1" si="77"/>
        <v>1</v>
      </c>
      <c r="D212" s="64">
        <f t="shared" ca="1" si="78"/>
        <v>1</v>
      </c>
      <c r="E212" s="64">
        <f t="shared" ca="1" si="79"/>
        <v>0</v>
      </c>
      <c r="F212" s="65"/>
      <c r="G212" s="73" t="s">
        <v>153</v>
      </c>
      <c r="H212" s="67" t="str">
        <f t="shared" ca="1" si="178"/>
        <v>12.001.001</v>
      </c>
      <c r="I212" s="74" t="s">
        <v>94</v>
      </c>
      <c r="J212" s="96"/>
      <c r="K212" s="127"/>
      <c r="L212" s="115">
        <f>SUM(L213:L219)</f>
        <v>4313029.2699999996</v>
      </c>
      <c r="M212" s="74"/>
    </row>
    <row r="213" spans="1:13" ht="37.5" outlineLevel="1" x14ac:dyDescent="0.55000000000000004">
      <c r="A213" s="63">
        <f ca="1">IF($G213="UNIDADE CONSTRUTIVA",OFFSET(A213,0,0)+1,LARGE(A$3:A212,1))</f>
        <v>2</v>
      </c>
      <c r="B213" s="63">
        <f t="shared" ref="B213:B214" ca="1" si="275">IF(G213="UNIDADE CONSTRUTIVA",0,IF(G213="CÉLULA CONSTRUTIVA",OFFSET(B213,-1,0)+1,OFFSET(B213,-1,0)))</f>
        <v>12</v>
      </c>
      <c r="C213" s="63">
        <f t="shared" ref="C213:C214" ca="1" si="276">IF(G213="CÉLULA CONSTRUTIVA",0,IF(G213="ETAPA",OFFSET(C213,-1,0)+1,OFFSET(C213,-1,0)))</f>
        <v>1</v>
      </c>
      <c r="D213" s="64">
        <f t="shared" ref="D213:D214" ca="1" si="277">IF(G213="ETAPA",0,IF(G213="SUBETAPA",OFFSET(D213,-1,0)+1,OFFSET(D213,-1,0)))</f>
        <v>1</v>
      </c>
      <c r="E213" s="64">
        <f t="shared" ref="E213:E214" ca="1" si="278">IF(G213="Subetapa",0,IF(G213="serviço",OFFSET(E213,-1,0)+1,OFFSET(E213,-1,0)))</f>
        <v>1</v>
      </c>
      <c r="F213" s="65"/>
      <c r="G213" s="73" t="s">
        <v>154</v>
      </c>
      <c r="H213" s="67" t="str">
        <f t="shared" ref="H213:H214" ca="1" si="279">IF(G213="Unidade Construtiva",TEXT(A213,"00"),IF(G213="Célula Construtiva",TEXT(B213,"00"),IF(G213="Etapa",CONCATENATE(TEXT(B213,"00"),".",TEXT(C213,"000")),IF(G213="Subetapa",CONCATENATE(TEXT(B213,"00"),".",TEXT(C213,"000"),".",TEXT(D213,"000")),IF(G213="Serviço",CONCATENATE(TEXT(B213,"00"),".",TEXT(C213,"000"),".",TEXT(D213,"000"),".",TEXT(E213,"000")),"")))))</f>
        <v>12.001.001.001</v>
      </c>
      <c r="I213" s="74" t="s">
        <v>261</v>
      </c>
      <c r="J213" s="128">
        <f>OBRA!E16</f>
        <v>1662.34</v>
      </c>
      <c r="K213" s="127" t="s">
        <v>185</v>
      </c>
      <c r="L213" s="115">
        <v>1397358.2699999998</v>
      </c>
      <c r="M213" s="74" t="s">
        <v>163</v>
      </c>
    </row>
    <row r="214" spans="1:13" ht="20.45" customHeight="1" outlineLevel="1" x14ac:dyDescent="0.55000000000000004">
      <c r="A214" s="63">
        <f ca="1">IF($G214="UNIDADE CONSTRUTIVA",OFFSET(A214,0,0)+1,LARGE(A$3:A212,1))</f>
        <v>2</v>
      </c>
      <c r="B214" s="63">
        <f t="shared" ca="1" si="275"/>
        <v>12</v>
      </c>
      <c r="C214" s="63">
        <f t="shared" ca="1" si="276"/>
        <v>1</v>
      </c>
      <c r="D214" s="64">
        <f t="shared" ca="1" si="277"/>
        <v>1</v>
      </c>
      <c r="E214" s="64">
        <f t="shared" ca="1" si="278"/>
        <v>2</v>
      </c>
      <c r="F214" s="65"/>
      <c r="G214" s="73" t="s">
        <v>154</v>
      </c>
      <c r="H214" s="67" t="str">
        <f t="shared" ca="1" si="279"/>
        <v>12.001.001.002</v>
      </c>
      <c r="I214" s="74" t="s">
        <v>501</v>
      </c>
      <c r="J214" s="96">
        <v>85</v>
      </c>
      <c r="K214" s="127" t="s">
        <v>265</v>
      </c>
      <c r="L214" s="115">
        <v>241417.00000000003</v>
      </c>
      <c r="M214" s="74" t="s">
        <v>163</v>
      </c>
    </row>
    <row r="215" spans="1:13" ht="20.45" customHeight="1" outlineLevel="1" x14ac:dyDescent="0.55000000000000004">
      <c r="A215" s="63">
        <f ca="1">IF($G215="UNIDADE CONSTRUTIVA",OFFSET(A215,0,0)+1,LARGE(A$3:A213,1))</f>
        <v>2</v>
      </c>
      <c r="B215" s="63">
        <f t="shared" ref="B215" ca="1" si="280">IF(G215="UNIDADE CONSTRUTIVA",0,IF(G215="CÉLULA CONSTRUTIVA",OFFSET(B215,-1,0)+1,OFFSET(B215,-1,0)))</f>
        <v>12</v>
      </c>
      <c r="C215" s="63">
        <f t="shared" ref="C215" ca="1" si="281">IF(G215="CÉLULA CONSTRUTIVA",0,IF(G215="ETAPA",OFFSET(C215,-1,0)+1,OFFSET(C215,-1,0)))</f>
        <v>1</v>
      </c>
      <c r="D215" s="64">
        <f t="shared" ref="D215" ca="1" si="282">IF(G215="ETAPA",0,IF(G215="SUBETAPA",OFFSET(D215,-1,0)+1,OFFSET(D215,-1,0)))</f>
        <v>1</v>
      </c>
      <c r="E215" s="64">
        <f t="shared" ref="E215" ca="1" si="283">IF(G215="Subetapa",0,IF(G215="serviço",OFFSET(E215,-1,0)+1,OFFSET(E215,-1,0)))</f>
        <v>3</v>
      </c>
      <c r="F215" s="65"/>
      <c r="G215" s="73" t="s">
        <v>154</v>
      </c>
      <c r="H215" s="67" t="str">
        <f t="shared" ref="H215" ca="1" si="284">IF(G215="Unidade Construtiva",TEXT(A215,"00"),IF(G215="Célula Construtiva",TEXT(B215,"00"),IF(G215="Etapa",CONCATENATE(TEXT(B215,"00"),".",TEXT(C215,"000")),IF(G215="Subetapa",CONCATENATE(TEXT(B215,"00"),".",TEXT(C215,"000"),".",TEXT(D215,"000")),IF(G215="Serviço",CONCATENATE(TEXT(B215,"00"),".",TEXT(C215,"000"),".",TEXT(D215,"000"),".",TEXT(E215,"000")),"")))))</f>
        <v>12.001.001.003</v>
      </c>
      <c r="I215" s="74" t="s">
        <v>502</v>
      </c>
      <c r="J215" s="96">
        <v>16</v>
      </c>
      <c r="K215" s="127" t="s">
        <v>265</v>
      </c>
      <c r="L215" s="115">
        <v>2336928</v>
      </c>
      <c r="M215" s="74" t="s">
        <v>163</v>
      </c>
    </row>
    <row r="216" spans="1:13" ht="20.45" customHeight="1" outlineLevel="1" x14ac:dyDescent="0.55000000000000004">
      <c r="A216" s="63">
        <f ca="1">IF($G216="UNIDADE CONSTRUTIVA",OFFSET(A216,0,0)+1,LARGE(A$3:A214,1))</f>
        <v>2</v>
      </c>
      <c r="B216" s="63">
        <f t="shared" ref="B216" ca="1" si="285">IF(G216="UNIDADE CONSTRUTIVA",0,IF(G216="CÉLULA CONSTRUTIVA",OFFSET(B216,-1,0)+1,OFFSET(B216,-1,0)))</f>
        <v>12</v>
      </c>
      <c r="C216" s="63">
        <f t="shared" ref="C216" ca="1" si="286">IF(G216="CÉLULA CONSTRUTIVA",0,IF(G216="ETAPA",OFFSET(C216,-1,0)+1,OFFSET(C216,-1,0)))</f>
        <v>1</v>
      </c>
      <c r="D216" s="64">
        <f t="shared" ref="D216" ca="1" si="287">IF(G216="ETAPA",0,IF(G216="SUBETAPA",OFFSET(D216,-1,0)+1,OFFSET(D216,-1,0)))</f>
        <v>1</v>
      </c>
      <c r="E216" s="64">
        <f t="shared" ref="E216" ca="1" si="288">IF(G216="Subetapa",0,IF(G216="serviço",OFFSET(E216,-1,0)+1,OFFSET(E216,-1,0)))</f>
        <v>4</v>
      </c>
      <c r="F216" s="65"/>
      <c r="G216" s="73" t="s">
        <v>154</v>
      </c>
      <c r="H216" s="67" t="str">
        <f t="shared" ref="H216" ca="1" si="289">IF(G216="Unidade Construtiva",TEXT(A216,"00"),IF(G216="Célula Construtiva",TEXT(B216,"00"),IF(G216="Etapa",CONCATENATE(TEXT(B216,"00"),".",TEXT(C216,"000")),IF(G216="Subetapa",CONCATENATE(TEXT(B216,"00"),".",TEXT(C216,"000"),".",TEXT(D216,"000")),IF(G216="Serviço",CONCATENATE(TEXT(B216,"00"),".",TEXT(C216,"000"),".",TEXT(D216,"000"),".",TEXT(E216,"000")),"")))))</f>
        <v>12.001.001.004</v>
      </c>
      <c r="I216" s="74" t="s">
        <v>503</v>
      </c>
      <c r="J216" s="96">
        <v>4</v>
      </c>
      <c r="K216" s="127" t="s">
        <v>265</v>
      </c>
      <c r="L216" s="115">
        <v>144826</v>
      </c>
      <c r="M216" s="74" t="s">
        <v>163</v>
      </c>
    </row>
    <row r="217" spans="1:13" ht="20.45" customHeight="1" outlineLevel="1" x14ac:dyDescent="0.55000000000000004">
      <c r="A217" s="63">
        <f ca="1">IF($G217="UNIDADE CONSTRUTIVA",OFFSET(A217,0,0)+1,LARGE(A$3:A213,1))</f>
        <v>2</v>
      </c>
      <c r="B217" s="63">
        <f t="shared" ref="B217" ca="1" si="290">IF(G217="UNIDADE CONSTRUTIVA",0,IF(G217="CÉLULA CONSTRUTIVA",OFFSET(B217,-1,0)+1,OFFSET(B217,-1,0)))</f>
        <v>12</v>
      </c>
      <c r="C217" s="63">
        <f t="shared" ref="C217" ca="1" si="291">IF(G217="CÉLULA CONSTRUTIVA",0,IF(G217="ETAPA",OFFSET(C217,-1,0)+1,OFFSET(C217,-1,0)))</f>
        <v>1</v>
      </c>
      <c r="D217" s="64">
        <f t="shared" ref="D217" ca="1" si="292">IF(G217="ETAPA",0,IF(G217="SUBETAPA",OFFSET(D217,-1,0)+1,OFFSET(D217,-1,0)))</f>
        <v>1</v>
      </c>
      <c r="E217" s="64">
        <f t="shared" ref="E217" ca="1" si="293">IF(G217="Subetapa",0,IF(G217="serviço",OFFSET(E217,-1,0)+1,OFFSET(E217,-1,0)))</f>
        <v>5</v>
      </c>
      <c r="F217" s="65"/>
      <c r="G217" s="73" t="s">
        <v>154</v>
      </c>
      <c r="H217" s="67" t="str">
        <f t="shared" ref="H217" ca="1" si="294">IF(G217="Unidade Construtiva",TEXT(A217,"00"),IF(G217="Célula Construtiva",TEXT(B217,"00"),IF(G217="Etapa",CONCATENATE(TEXT(B217,"00"),".",TEXT(C217,"000")),IF(G217="Subetapa",CONCATENATE(TEXT(B217,"00"),".",TEXT(C217,"000"),".",TEXT(D217,"000")),IF(G217="Serviço",CONCATENATE(TEXT(B217,"00"),".",TEXT(C217,"000"),".",TEXT(D217,"000"),".",TEXT(E217,"000")),"")))))</f>
        <v>12.001.001.005</v>
      </c>
      <c r="I217" s="74" t="s">
        <v>262</v>
      </c>
      <c r="J217" s="96"/>
      <c r="K217" s="127" t="s">
        <v>265</v>
      </c>
      <c r="L217" s="115"/>
      <c r="M217" s="74" t="s">
        <v>263</v>
      </c>
    </row>
    <row r="218" spans="1:13" ht="20.45" customHeight="1" outlineLevel="1" x14ac:dyDescent="0.55000000000000004">
      <c r="A218" s="63">
        <f ca="1">IF($G218="UNIDADE CONSTRUTIVA",OFFSET(A218,0,0)+1,LARGE(A$3:A214,1))</f>
        <v>2</v>
      </c>
      <c r="B218" s="63">
        <f t="shared" ref="B218:B219" ca="1" si="295">IF(G218="UNIDADE CONSTRUTIVA",0,IF(G218="CÉLULA CONSTRUTIVA",OFFSET(B218,-1,0)+1,OFFSET(B218,-1,0)))</f>
        <v>12</v>
      </c>
      <c r="C218" s="63">
        <f t="shared" ref="C218:C219" ca="1" si="296">IF(G218="CÉLULA CONSTRUTIVA",0,IF(G218="ETAPA",OFFSET(C218,-1,0)+1,OFFSET(C218,-1,0)))</f>
        <v>1</v>
      </c>
      <c r="D218" s="64">
        <f t="shared" ref="D218:D219" ca="1" si="297">IF(G218="ETAPA",0,IF(G218="SUBETAPA",OFFSET(D218,-1,0)+1,OFFSET(D218,-1,0)))</f>
        <v>1</v>
      </c>
      <c r="E218" s="64">
        <f t="shared" ref="E218:E219" ca="1" si="298">IF(G218="Subetapa",0,IF(G218="serviço",OFFSET(E218,-1,0)+1,OFFSET(E218,-1,0)))</f>
        <v>6</v>
      </c>
      <c r="F218" s="65"/>
      <c r="G218" s="73" t="s">
        <v>154</v>
      </c>
      <c r="H218" s="67" t="str">
        <f t="shared" ref="H218:H219" ca="1" si="299">IF(G218="Unidade Construtiva",TEXT(A218,"00"),IF(G218="Célula Construtiva",TEXT(B218,"00"),IF(G218="Etapa",CONCATENATE(TEXT(B218,"00"),".",TEXT(C218,"000")),IF(G218="Subetapa",CONCATENATE(TEXT(B218,"00"),".",TEXT(C218,"000"),".",TEXT(D218,"000")),IF(G218="Serviço",CONCATENATE(TEXT(B218,"00"),".",TEXT(C218,"000"),".",TEXT(D218,"000"),".",TEXT(E218,"000")),"")))))</f>
        <v>12.001.001.006</v>
      </c>
      <c r="I218" s="74" t="s">
        <v>266</v>
      </c>
      <c r="J218" s="96"/>
      <c r="K218" s="127" t="s">
        <v>265</v>
      </c>
      <c r="L218" s="115"/>
      <c r="M218" s="74" t="s">
        <v>264</v>
      </c>
    </row>
    <row r="219" spans="1:13" ht="20.45" customHeight="1" outlineLevel="1" x14ac:dyDescent="0.55000000000000004">
      <c r="A219" s="63">
        <f ca="1">IF($G219="UNIDADE CONSTRUTIVA",OFFSET(A219,0,0)+1,LARGE(A$3:A217,1))</f>
        <v>2</v>
      </c>
      <c r="B219" s="63">
        <f t="shared" ca="1" si="295"/>
        <v>12</v>
      </c>
      <c r="C219" s="63">
        <f t="shared" ca="1" si="296"/>
        <v>1</v>
      </c>
      <c r="D219" s="64">
        <f t="shared" ca="1" si="297"/>
        <v>1</v>
      </c>
      <c r="E219" s="64">
        <f t="shared" ca="1" si="298"/>
        <v>7</v>
      </c>
      <c r="F219" s="65"/>
      <c r="G219" s="73" t="s">
        <v>154</v>
      </c>
      <c r="H219" s="67" t="str">
        <f t="shared" ca="1" si="299"/>
        <v>12.001.001.007</v>
      </c>
      <c r="I219" s="74" t="s">
        <v>301</v>
      </c>
      <c r="J219" s="96">
        <v>5</v>
      </c>
      <c r="K219" s="127" t="s">
        <v>265</v>
      </c>
      <c r="L219" s="115">
        <v>192500.00000000003</v>
      </c>
      <c r="M219" s="81" t="s">
        <v>302</v>
      </c>
    </row>
    <row r="220" spans="1:13" ht="20.45" customHeight="1" outlineLevel="1" x14ac:dyDescent="0.55000000000000004">
      <c r="A220" s="63">
        <f ca="1">IF($G220="UNIDADE CONSTRUTIVA",OFFSET(A220,0,0)+1,LARGE(A$3:A212,1))</f>
        <v>2</v>
      </c>
      <c r="B220" s="63">
        <f t="shared" ca="1" si="76"/>
        <v>12</v>
      </c>
      <c r="C220" s="63">
        <f t="shared" ca="1" si="77"/>
        <v>1</v>
      </c>
      <c r="D220" s="64">
        <f t="shared" ca="1" si="78"/>
        <v>2</v>
      </c>
      <c r="E220" s="64">
        <f t="shared" ca="1" si="79"/>
        <v>0</v>
      </c>
      <c r="F220" s="65"/>
      <c r="G220" s="73" t="s">
        <v>153</v>
      </c>
      <c r="H220" s="67" t="str">
        <f t="shared" ref="H220:H304" ca="1" si="300">IF(G220="Unidade Construtiva",TEXT(A220,"00"),IF(G220="Célula Construtiva",TEXT(B220,"00"),IF(G220="Etapa",CONCATENATE(TEXT(B220,"00"),".",TEXT(C220,"000")),IF(G220="Subetapa",CONCATENATE(TEXT(B220,"00"),".",TEXT(C220,"000"),".",TEXT(D220,"000")),IF(G220="Serviço",CONCATENATE(TEXT(B220,"00"),".",TEXT(C220,"000"),".",TEXT(D220,"000"),".",TEXT(E220,"000")),"")))))</f>
        <v>12.001.002</v>
      </c>
      <c r="I220" s="74" t="s">
        <v>95</v>
      </c>
      <c r="J220" s="96"/>
      <c r="K220" s="127"/>
      <c r="L220" s="115">
        <f>SUM(L221:L222)</f>
        <v>709775</v>
      </c>
      <c r="M220" s="74"/>
    </row>
    <row r="221" spans="1:13" ht="20.45" customHeight="1" outlineLevel="1" x14ac:dyDescent="0.55000000000000004">
      <c r="A221" s="63">
        <f ca="1">IF($G221="UNIDADE CONSTRUTIVA",OFFSET(A221,0,0)+1,LARGE(A$3:A213,1))</f>
        <v>2</v>
      </c>
      <c r="B221" s="63">
        <f t="shared" ref="B221:B222" ca="1" si="301">IF(G221="UNIDADE CONSTRUTIVA",0,IF(G221="CÉLULA CONSTRUTIVA",OFFSET(B221,-1,0)+1,OFFSET(B221,-1,0)))</f>
        <v>12</v>
      </c>
      <c r="C221" s="63">
        <f t="shared" ref="C221:C222" ca="1" si="302">IF(G221="CÉLULA CONSTRUTIVA",0,IF(G221="ETAPA",OFFSET(C221,-1,0)+1,OFFSET(C221,-1,0)))</f>
        <v>1</v>
      </c>
      <c r="D221" s="64">
        <f t="shared" ref="D221:D222" ca="1" si="303">IF(G221="ETAPA",0,IF(G221="SUBETAPA",OFFSET(D221,-1,0)+1,OFFSET(D221,-1,0)))</f>
        <v>2</v>
      </c>
      <c r="E221" s="64">
        <f t="shared" ref="E221:E222" ca="1" si="304">IF(G221="Subetapa",0,IF(G221="serviço",OFFSET(E221,-1,0)+1,OFFSET(E221,-1,0)))</f>
        <v>1</v>
      </c>
      <c r="F221" s="65"/>
      <c r="G221" s="73" t="s">
        <v>154</v>
      </c>
      <c r="H221" s="67" t="str">
        <f t="shared" ref="H221:H222" ca="1" si="305">IF(G221="Unidade Construtiva",TEXT(A221,"00"),IF(G221="Célula Construtiva",TEXT(B221,"00"),IF(G221="Etapa",CONCATENATE(TEXT(B221,"00"),".",TEXT(C221,"000")),IF(G221="Subetapa",CONCATENATE(TEXT(B221,"00"),".",TEXT(C221,"000"),".",TEXT(D221,"000")),IF(G221="Serviço",CONCATENATE(TEXT(B221,"00"),".",TEXT(C221,"000"),".",TEXT(D221,"000"),".",TEXT(E221,"000")),"")))))</f>
        <v>12.001.002.001</v>
      </c>
      <c r="I221" s="74" t="s">
        <v>267</v>
      </c>
      <c r="J221" s="96">
        <v>38</v>
      </c>
      <c r="K221" s="127" t="s">
        <v>265</v>
      </c>
      <c r="L221" s="115">
        <v>45980.000000000007</v>
      </c>
      <c r="M221" s="74"/>
    </row>
    <row r="222" spans="1:13" ht="20.45" customHeight="1" outlineLevel="1" x14ac:dyDescent="0.55000000000000004">
      <c r="A222" s="63">
        <f ca="1">IF($G222="UNIDADE CONSTRUTIVA",OFFSET(A222,0,0)+1,LARGE(A$3:A214,1))</f>
        <v>2</v>
      </c>
      <c r="B222" s="63">
        <f t="shared" ca="1" si="301"/>
        <v>12</v>
      </c>
      <c r="C222" s="63">
        <f t="shared" ca="1" si="302"/>
        <v>1</v>
      </c>
      <c r="D222" s="64">
        <f t="shared" ca="1" si="303"/>
        <v>2</v>
      </c>
      <c r="E222" s="64">
        <f t="shared" ca="1" si="304"/>
        <v>2</v>
      </c>
      <c r="F222" s="65"/>
      <c r="G222" s="73" t="s">
        <v>154</v>
      </c>
      <c r="H222" s="67" t="str">
        <f t="shared" ca="1" si="305"/>
        <v>12.001.002.002</v>
      </c>
      <c r="I222" s="74" t="s">
        <v>504</v>
      </c>
      <c r="J222" s="96">
        <v>1</v>
      </c>
      <c r="K222" s="127" t="s">
        <v>217</v>
      </c>
      <c r="L222" s="115">
        <v>663795</v>
      </c>
      <c r="M222" s="74"/>
    </row>
    <row r="223" spans="1:13" ht="20.45" customHeight="1" outlineLevel="1" x14ac:dyDescent="0.55000000000000004">
      <c r="A223" s="63">
        <f ca="1">IF($G223="UNIDADE CONSTRUTIVA",OFFSET(A223,0,0)+1,LARGE(A$3:A220,1))</f>
        <v>2</v>
      </c>
      <c r="B223" s="63">
        <f t="shared" ca="1" si="76"/>
        <v>12</v>
      </c>
      <c r="C223" s="63">
        <f t="shared" ca="1" si="77"/>
        <v>1</v>
      </c>
      <c r="D223" s="64">
        <f t="shared" ca="1" si="78"/>
        <v>3</v>
      </c>
      <c r="E223" s="64">
        <f t="shared" ca="1" si="79"/>
        <v>0</v>
      </c>
      <c r="F223" s="65"/>
      <c r="G223" s="73" t="s">
        <v>153</v>
      </c>
      <c r="H223" s="67" t="str">
        <f t="shared" ca="1" si="300"/>
        <v>12.001.003</v>
      </c>
      <c r="I223" s="74" t="s">
        <v>96</v>
      </c>
      <c r="J223" s="96"/>
      <c r="K223" s="127"/>
      <c r="L223" s="115">
        <f>L224</f>
        <v>0</v>
      </c>
      <c r="M223" s="74"/>
    </row>
    <row r="224" spans="1:13" ht="20.45" customHeight="1" outlineLevel="1" x14ac:dyDescent="0.55000000000000004">
      <c r="A224" s="63">
        <f ca="1">IF($G224="UNIDADE CONSTRUTIVA",OFFSET(A224,0,0)+1,LARGE(A$3:A221,1))</f>
        <v>2</v>
      </c>
      <c r="B224" s="63">
        <f t="shared" ref="B224" ca="1" si="306">IF(G224="UNIDADE CONSTRUTIVA",0,IF(G224="CÉLULA CONSTRUTIVA",OFFSET(B224,-1,0)+1,OFFSET(B224,-1,0)))</f>
        <v>12</v>
      </c>
      <c r="C224" s="63">
        <f t="shared" ref="C224" ca="1" si="307">IF(G224="CÉLULA CONSTRUTIVA",0,IF(G224="ETAPA",OFFSET(C224,-1,0)+1,OFFSET(C224,-1,0)))</f>
        <v>1</v>
      </c>
      <c r="D224" s="64">
        <f t="shared" ref="D224" ca="1" si="308">IF(G224="ETAPA",0,IF(G224="SUBETAPA",OFFSET(D224,-1,0)+1,OFFSET(D224,-1,0)))</f>
        <v>3</v>
      </c>
      <c r="E224" s="64">
        <f t="shared" ref="E224" ca="1" si="309">IF(G224="Subetapa",0,IF(G224="serviço",OFFSET(E224,-1,0)+1,OFFSET(E224,-1,0)))</f>
        <v>1</v>
      </c>
      <c r="F224" s="65"/>
      <c r="G224" s="73" t="s">
        <v>154</v>
      </c>
      <c r="H224" s="67" t="str">
        <f t="shared" ref="H224" ca="1" si="310">IF(G224="Unidade Construtiva",TEXT(A224,"00"),IF(G224="Célula Construtiva",TEXT(B224,"00"),IF(G224="Etapa",CONCATENATE(TEXT(B224,"00"),".",TEXT(C224,"000")),IF(G224="Subetapa",CONCATENATE(TEXT(B224,"00"),".",TEXT(C224,"000"),".",TEXT(D224,"000")),IF(G224="Serviço",CONCATENATE(TEXT(B224,"00"),".",TEXT(C224,"000"),".",TEXT(D224,"000"),".",TEXT(E224,"000")),"")))))</f>
        <v>12.001.003.001</v>
      </c>
      <c r="I224" s="74" t="s">
        <v>96</v>
      </c>
      <c r="J224" s="96"/>
      <c r="K224" s="127"/>
      <c r="L224" s="115"/>
      <c r="M224" s="74"/>
    </row>
    <row r="225" spans="1:13" ht="20.45" customHeight="1" x14ac:dyDescent="0.55000000000000004">
      <c r="A225" s="63">
        <f ca="1">IF($G225="UNIDADE CONSTRUTIVA",OFFSET(A225,0,0)+1,LARGE(A$3:A224,1))</f>
        <v>2</v>
      </c>
      <c r="B225" s="63">
        <f t="shared" ca="1" si="76"/>
        <v>13</v>
      </c>
      <c r="C225" s="63">
        <f t="shared" ca="1" si="77"/>
        <v>0</v>
      </c>
      <c r="D225" s="64">
        <f t="shared" ca="1" si="78"/>
        <v>3</v>
      </c>
      <c r="E225" s="64">
        <f t="shared" ca="1" si="79"/>
        <v>1</v>
      </c>
      <c r="F225" s="65"/>
      <c r="G225" s="71" t="s">
        <v>156</v>
      </c>
      <c r="H225" s="67" t="str">
        <f t="shared" ca="1" si="300"/>
        <v>13</v>
      </c>
      <c r="I225" s="72" t="s">
        <v>97</v>
      </c>
      <c r="J225" s="95"/>
      <c r="K225" s="125"/>
      <c r="L225" s="113">
        <f>L226</f>
        <v>2569648.4159897305</v>
      </c>
      <c r="M225" s="72"/>
    </row>
    <row r="226" spans="1:13" ht="20.45" customHeight="1" outlineLevel="1" x14ac:dyDescent="0.55000000000000004">
      <c r="A226" s="63">
        <f ca="1">IF($G226="UNIDADE CONSTRUTIVA",OFFSET(A226,0,0)+1,LARGE(A$3:A225,1))</f>
        <v>2</v>
      </c>
      <c r="B226" s="63">
        <f t="shared" ca="1" si="76"/>
        <v>13</v>
      </c>
      <c r="C226" s="63">
        <f t="shared" ca="1" si="77"/>
        <v>1</v>
      </c>
      <c r="D226" s="64">
        <f t="shared" ca="1" si="78"/>
        <v>0</v>
      </c>
      <c r="E226" s="64">
        <f t="shared" ca="1" si="79"/>
        <v>1</v>
      </c>
      <c r="F226" s="65"/>
      <c r="G226" s="71" t="s">
        <v>157</v>
      </c>
      <c r="H226" s="67" t="str">
        <f t="shared" ca="1" si="300"/>
        <v>13.001</v>
      </c>
      <c r="I226" s="72" t="s">
        <v>97</v>
      </c>
      <c r="J226" s="95"/>
      <c r="K226" s="125"/>
      <c r="L226" s="113">
        <f>SUM(L227:L248)/2</f>
        <v>2569648.4159897305</v>
      </c>
      <c r="M226" s="72"/>
    </row>
    <row r="227" spans="1:13" ht="20.45" customHeight="1" outlineLevel="1" x14ac:dyDescent="0.55000000000000004">
      <c r="A227" s="63">
        <f ca="1">IF($G227="UNIDADE CONSTRUTIVA",OFFSET(A227,0,0)+1,LARGE(A$3:A226,1))</f>
        <v>2</v>
      </c>
      <c r="B227" s="63">
        <f t="shared" ca="1" si="76"/>
        <v>13</v>
      </c>
      <c r="C227" s="63">
        <f t="shared" ca="1" si="77"/>
        <v>1</v>
      </c>
      <c r="D227" s="64">
        <f t="shared" ca="1" si="78"/>
        <v>1</v>
      </c>
      <c r="E227" s="64">
        <f t="shared" ca="1" si="79"/>
        <v>0</v>
      </c>
      <c r="F227" s="65"/>
      <c r="G227" s="73" t="s">
        <v>153</v>
      </c>
      <c r="H227" s="67" t="str">
        <f t="shared" ca="1" si="300"/>
        <v>13.001.001</v>
      </c>
      <c r="I227" s="74" t="s">
        <v>330</v>
      </c>
      <c r="J227" s="96"/>
      <c r="K227" s="127"/>
      <c r="L227" s="115">
        <f>SUM(L228:L230)</f>
        <v>58838.940599999994</v>
      </c>
      <c r="M227" s="74"/>
    </row>
    <row r="228" spans="1:13" ht="20.45" customHeight="1" outlineLevel="1" x14ac:dyDescent="0.55000000000000004">
      <c r="A228" s="63">
        <f ca="1">IF($G228="UNIDADE CONSTRUTIVA",OFFSET(A228,0,0)+1,LARGE(A$3:A224,1))</f>
        <v>2</v>
      </c>
      <c r="B228" s="63">
        <f t="shared" ref="B228" ca="1" si="311">IF(G228="UNIDADE CONSTRUTIVA",0,IF(G228="CÉLULA CONSTRUTIVA",OFFSET(B228,-1,0)+1,OFFSET(B228,-1,0)))</f>
        <v>13</v>
      </c>
      <c r="C228" s="63">
        <f t="shared" ref="C228" ca="1" si="312">IF(G228="CÉLULA CONSTRUTIVA",0,IF(G228="ETAPA",OFFSET(C228,-1,0)+1,OFFSET(C228,-1,0)))</f>
        <v>1</v>
      </c>
      <c r="D228" s="64">
        <f t="shared" ref="D228" ca="1" si="313">IF(G228="ETAPA",0,IF(G228="SUBETAPA",OFFSET(D228,-1,0)+1,OFFSET(D228,-1,0)))</f>
        <v>1</v>
      </c>
      <c r="E228" s="64">
        <f t="shared" ref="E228" ca="1" si="314">IF(G228="Subetapa",0,IF(G228="serviço",OFFSET(E228,-1,0)+1,OFFSET(E228,-1,0)))</f>
        <v>1</v>
      </c>
      <c r="F228" s="65"/>
      <c r="G228" s="73" t="s">
        <v>154</v>
      </c>
      <c r="H228" s="67" t="str">
        <f t="shared" ref="H228" ca="1" si="315">IF(G228="Unidade Construtiva",TEXT(A228,"00"),IF(G228="Célula Construtiva",TEXT(B228,"00"),IF(G228="Etapa",CONCATENATE(TEXT(B228,"00"),".",TEXT(C228,"000")),IF(G228="Subetapa",CONCATENATE(TEXT(B228,"00"),".",TEXT(C228,"000"),".",TEXT(D228,"000")),IF(G228="Serviço",CONCATENATE(TEXT(B228,"00"),".",TEXT(C228,"000"),".",TEXT(D228,"000"),".",TEXT(E228,"000")),"")))))</f>
        <v>13.001.001.001</v>
      </c>
      <c r="I228" s="74" t="s">
        <v>331</v>
      </c>
      <c r="J228" s="131">
        <v>2419.6679999999997</v>
      </c>
      <c r="K228" s="127" t="s">
        <v>185</v>
      </c>
      <c r="L228" s="115">
        <v>13308.173999999999</v>
      </c>
      <c r="M228" s="74" t="s">
        <v>438</v>
      </c>
    </row>
    <row r="229" spans="1:13" ht="20.45" customHeight="1" outlineLevel="1" x14ac:dyDescent="0.55000000000000004">
      <c r="A229" s="63">
        <f ca="1">IF($G229="UNIDADE CONSTRUTIVA",OFFSET(A229,0,0)+1,LARGE(A$3:A225,1))</f>
        <v>2</v>
      </c>
      <c r="B229" s="63">
        <f t="shared" ref="B229" ca="1" si="316">IF(G229="UNIDADE CONSTRUTIVA",0,IF(G229="CÉLULA CONSTRUTIVA",OFFSET(B229,-1,0)+1,OFFSET(B229,-1,0)))</f>
        <v>13</v>
      </c>
      <c r="C229" s="63">
        <f t="shared" ref="C229" ca="1" si="317">IF(G229="CÉLULA CONSTRUTIVA",0,IF(G229="ETAPA",OFFSET(C229,-1,0)+1,OFFSET(C229,-1,0)))</f>
        <v>1</v>
      </c>
      <c r="D229" s="64">
        <f t="shared" ref="D229" ca="1" si="318">IF(G229="ETAPA",0,IF(G229="SUBETAPA",OFFSET(D229,-1,0)+1,OFFSET(D229,-1,0)))</f>
        <v>1</v>
      </c>
      <c r="E229" s="64">
        <f t="shared" ref="E229" ca="1" si="319">IF(G229="Subetapa",0,IF(G229="serviço",OFFSET(E229,-1,0)+1,OFFSET(E229,-1,0)))</f>
        <v>2</v>
      </c>
      <c r="F229" s="65"/>
      <c r="G229" s="73" t="s">
        <v>154</v>
      </c>
      <c r="H229" s="67" t="str">
        <f t="shared" ca="1" si="300"/>
        <v>13.001.001.002</v>
      </c>
      <c r="I229" s="74" t="s">
        <v>332</v>
      </c>
      <c r="J229" s="131">
        <v>2419.6679999999997</v>
      </c>
      <c r="K229" s="127" t="s">
        <v>185</v>
      </c>
      <c r="L229" s="115">
        <v>45247.791599999997</v>
      </c>
      <c r="M229" s="74" t="s">
        <v>438</v>
      </c>
    </row>
    <row r="230" spans="1:13" ht="20.45" customHeight="1" outlineLevel="1" x14ac:dyDescent="0.55000000000000004">
      <c r="A230" s="63">
        <f ca="1">IF($G230="UNIDADE CONSTRUTIVA",OFFSET(A230,0,0)+1,LARGE(A$3:A226,1))</f>
        <v>2</v>
      </c>
      <c r="B230" s="63">
        <f t="shared" ref="B230" ca="1" si="320">IF(G230="UNIDADE CONSTRUTIVA",0,IF(G230="CÉLULA CONSTRUTIVA",OFFSET(B230,-1,0)+1,OFFSET(B230,-1,0)))</f>
        <v>13</v>
      </c>
      <c r="C230" s="63">
        <f t="shared" ref="C230" ca="1" si="321">IF(G230="CÉLULA CONSTRUTIVA",0,IF(G230="ETAPA",OFFSET(C230,-1,0)+1,OFFSET(C230,-1,0)))</f>
        <v>1</v>
      </c>
      <c r="D230" s="64">
        <f t="shared" ref="D230" ca="1" si="322">IF(G230="ETAPA",0,IF(G230="SUBETAPA",OFFSET(D230,-1,0)+1,OFFSET(D230,-1,0)))</f>
        <v>1</v>
      </c>
      <c r="E230" s="64">
        <f t="shared" ref="E230" ca="1" si="323">IF(G230="Subetapa",0,IF(G230="serviço",OFFSET(E230,-1,0)+1,OFFSET(E230,-1,0)))</f>
        <v>3</v>
      </c>
      <c r="F230" s="65"/>
      <c r="G230" s="73" t="s">
        <v>154</v>
      </c>
      <c r="H230" s="67" t="str">
        <f t="shared" ref="H230" ca="1" si="324">IF(G230="Unidade Construtiva",TEXT(A230,"00"),IF(G230="Célula Construtiva",TEXT(B230,"00"),IF(G230="Etapa",CONCATENATE(TEXT(B230,"00"),".",TEXT(C230,"000")),IF(G230="Subetapa",CONCATENATE(TEXT(B230,"00"),".",TEXT(C230,"000"),".",TEXT(D230,"000")),IF(G230="Serviço",CONCATENATE(TEXT(B230,"00"),".",TEXT(C230,"000"),".",TEXT(D230,"000"),".",TEXT(E230,"000")),"")))))</f>
        <v>13.001.001.003</v>
      </c>
      <c r="I230" s="74" t="s">
        <v>329</v>
      </c>
      <c r="J230" s="131">
        <v>73.5</v>
      </c>
      <c r="K230" s="127" t="s">
        <v>185</v>
      </c>
      <c r="L230" s="115">
        <v>282.97500000000002</v>
      </c>
      <c r="M230" s="74" t="s">
        <v>547</v>
      </c>
    </row>
    <row r="231" spans="1:13" ht="20.45" customHeight="1" outlineLevel="1" x14ac:dyDescent="0.55000000000000004">
      <c r="A231" s="63">
        <f ca="1">IF($G231="UNIDADE CONSTRUTIVA",OFFSET(A231,0,0)+1,LARGE(A$3:A227,1))</f>
        <v>2</v>
      </c>
      <c r="B231" s="63">
        <f t="shared" ref="B231:B383" ca="1" si="325">IF(G231="UNIDADE CONSTRUTIVA",0,IF(G231="CÉLULA CONSTRUTIVA",OFFSET(B231,-1,0)+1,OFFSET(B231,-1,0)))</f>
        <v>13</v>
      </c>
      <c r="C231" s="63">
        <f t="shared" ref="C231:C383" ca="1" si="326">IF(G231="CÉLULA CONSTRUTIVA",0,IF(G231="ETAPA",OFFSET(C231,-1,0)+1,OFFSET(C231,-1,0)))</f>
        <v>1</v>
      </c>
      <c r="D231" s="64">
        <f t="shared" ref="D231:D383" ca="1" si="327">IF(G231="ETAPA",0,IF(G231="SUBETAPA",OFFSET(D231,-1,0)+1,OFFSET(D231,-1,0)))</f>
        <v>2</v>
      </c>
      <c r="E231" s="64">
        <f t="shared" ref="E231:E383" ca="1" si="328">IF(G231="Subetapa",0,IF(G231="serviço",OFFSET(E231,-1,0)+1,OFFSET(E231,-1,0)))</f>
        <v>0</v>
      </c>
      <c r="F231" s="65"/>
      <c r="G231" s="73" t="s">
        <v>153</v>
      </c>
      <c r="H231" s="67" t="str">
        <f t="shared" ca="1" si="300"/>
        <v>13.001.002</v>
      </c>
      <c r="I231" s="74" t="s">
        <v>328</v>
      </c>
      <c r="J231" s="96"/>
      <c r="K231" s="127"/>
      <c r="L231" s="115">
        <f>L232</f>
        <v>0</v>
      </c>
      <c r="M231" s="74"/>
    </row>
    <row r="232" spans="1:13" ht="37.5" outlineLevel="1" x14ac:dyDescent="0.55000000000000004">
      <c r="A232" s="63">
        <f ca="1">IF($G232="UNIDADE CONSTRUTIVA",OFFSET(A232,0,0)+1,LARGE(A$3:A228,1))</f>
        <v>2</v>
      </c>
      <c r="B232" s="63">
        <f t="shared" ref="B232" ca="1" si="329">IF(G232="UNIDADE CONSTRUTIVA",0,IF(G232="CÉLULA CONSTRUTIVA",OFFSET(B232,-1,0)+1,OFFSET(B232,-1,0)))</f>
        <v>13</v>
      </c>
      <c r="C232" s="63">
        <f t="shared" ref="C232" ca="1" si="330">IF(G232="CÉLULA CONSTRUTIVA",0,IF(G232="ETAPA",OFFSET(C232,-1,0)+1,OFFSET(C232,-1,0)))</f>
        <v>1</v>
      </c>
      <c r="D232" s="64">
        <f t="shared" ref="D232" ca="1" si="331">IF(G232="ETAPA",0,IF(G232="SUBETAPA",OFFSET(D232,-1,0)+1,OFFSET(D232,-1,0)))</f>
        <v>2</v>
      </c>
      <c r="E232" s="64">
        <f t="shared" ref="E232" ca="1" si="332">IF(G232="Subetapa",0,IF(G232="serviço",OFFSET(E232,-1,0)+1,OFFSET(E232,-1,0)))</f>
        <v>1</v>
      </c>
      <c r="F232" s="65"/>
      <c r="G232" s="73" t="s">
        <v>154</v>
      </c>
      <c r="H232" s="67" t="str">
        <f t="shared" ref="H232" ca="1" si="333">IF(G232="Unidade Construtiva",TEXT(A232,"00"),IF(G232="Célula Construtiva",TEXT(B232,"00"),IF(G232="Etapa",CONCATENATE(TEXT(B232,"00"),".",TEXT(C232,"000")),IF(G232="Subetapa",CONCATENATE(TEXT(B232,"00"),".",TEXT(C232,"000"),".",TEXT(D232,"000")),IF(G232="Serviço",CONCATENATE(TEXT(B232,"00"),".",TEXT(C232,"000"),".",TEXT(D232,"000"),".",TEXT(E232,"000")),"")))))</f>
        <v>13.001.002.001</v>
      </c>
      <c r="I232" s="74" t="s">
        <v>341</v>
      </c>
      <c r="J232" s="96"/>
      <c r="K232" s="127"/>
      <c r="L232" s="115"/>
      <c r="M232" s="74" t="s">
        <v>342</v>
      </c>
    </row>
    <row r="233" spans="1:13" ht="20.45" customHeight="1" outlineLevel="1" x14ac:dyDescent="0.55000000000000004">
      <c r="A233" s="63">
        <f ca="1">IF($G233="UNIDADE CONSTRUTIVA",OFFSET(A233,0,0)+1,LARGE(A$3:A231,1))</f>
        <v>2</v>
      </c>
      <c r="B233" s="63">
        <f t="shared" ca="1" si="325"/>
        <v>13</v>
      </c>
      <c r="C233" s="63">
        <f t="shared" ca="1" si="326"/>
        <v>1</v>
      </c>
      <c r="D233" s="64">
        <f t="shared" ca="1" si="327"/>
        <v>3</v>
      </c>
      <c r="E233" s="64">
        <f t="shared" ca="1" si="328"/>
        <v>0</v>
      </c>
      <c r="F233" s="65"/>
      <c r="G233" s="73" t="s">
        <v>153</v>
      </c>
      <c r="H233" s="67" t="str">
        <f t="shared" ca="1" si="300"/>
        <v>13.001.003</v>
      </c>
      <c r="I233" s="74" t="s">
        <v>98</v>
      </c>
      <c r="J233" s="96"/>
      <c r="K233" s="127"/>
      <c r="L233" s="115">
        <f>L234</f>
        <v>782520.63120000006</v>
      </c>
      <c r="M233" s="74"/>
    </row>
    <row r="234" spans="1:13" ht="20.45" customHeight="1" outlineLevel="1" x14ac:dyDescent="0.55000000000000004">
      <c r="A234" s="63">
        <f ca="1">IF($G234="UNIDADE CONSTRUTIVA",OFFSET(A234,0,0)+1,LARGE(A$3:A232,1))</f>
        <v>2</v>
      </c>
      <c r="B234" s="63">
        <f t="shared" ref="B234" ca="1" si="334">IF(G234="UNIDADE CONSTRUTIVA",0,IF(G234="CÉLULA CONSTRUTIVA",OFFSET(B234,-1,0)+1,OFFSET(B234,-1,0)))</f>
        <v>13</v>
      </c>
      <c r="C234" s="63">
        <f t="shared" ref="C234" ca="1" si="335">IF(G234="CÉLULA CONSTRUTIVA",0,IF(G234="ETAPA",OFFSET(C234,-1,0)+1,OFFSET(C234,-1,0)))</f>
        <v>1</v>
      </c>
      <c r="D234" s="64">
        <f t="shared" ref="D234" ca="1" si="336">IF(G234="ETAPA",0,IF(G234="SUBETAPA",OFFSET(D234,-1,0)+1,OFFSET(D234,-1,0)))</f>
        <v>3</v>
      </c>
      <c r="E234" s="64">
        <f t="shared" ref="E234" ca="1" si="337">IF(G234="Subetapa",0,IF(G234="serviço",OFFSET(E234,-1,0)+1,OFFSET(E234,-1,0)))</f>
        <v>1</v>
      </c>
      <c r="F234" s="65"/>
      <c r="G234" s="73" t="s">
        <v>154</v>
      </c>
      <c r="H234" s="67" t="str">
        <f t="shared" ref="H234" ca="1" si="338">IF(G234="Unidade Construtiva",TEXT(A234,"00"),IF(G234="Célula Construtiva",TEXT(B234,"00"),IF(G234="Etapa",CONCATENATE(TEXT(B234,"00"),".",TEXT(C234,"000")),IF(G234="Subetapa",CONCATENATE(TEXT(B234,"00"),".",TEXT(C234,"000"),".",TEXT(D234,"000")),IF(G234="Serviço",CONCATENATE(TEXT(B234,"00"),".",TEXT(C234,"000"),".",TEXT(D234,"000"),".",TEXT(E234,"000")),"")))))</f>
        <v>13.001.003.001</v>
      </c>
      <c r="I234" s="74" t="s">
        <v>340</v>
      </c>
      <c r="J234" s="131">
        <v>3387.5351999999998</v>
      </c>
      <c r="K234" s="127" t="s">
        <v>339</v>
      </c>
      <c r="L234" s="115">
        <v>782520.63120000006</v>
      </c>
      <c r="M234" s="74" t="s">
        <v>336</v>
      </c>
    </row>
    <row r="235" spans="1:13" ht="20.45" customHeight="1" outlineLevel="1" x14ac:dyDescent="0.55000000000000004">
      <c r="A235" s="63">
        <f ca="1">IF($G235="UNIDADE CONSTRUTIVA",OFFSET(A235,0,0)+1,LARGE(A$3:A233,1))</f>
        <v>2</v>
      </c>
      <c r="B235" s="63">
        <f t="shared" ca="1" si="325"/>
        <v>13</v>
      </c>
      <c r="C235" s="63">
        <f t="shared" ca="1" si="326"/>
        <v>1</v>
      </c>
      <c r="D235" s="64">
        <f t="shared" ca="1" si="327"/>
        <v>4</v>
      </c>
      <c r="E235" s="64">
        <f t="shared" ca="1" si="328"/>
        <v>0</v>
      </c>
      <c r="F235" s="65"/>
      <c r="G235" s="73" t="s">
        <v>153</v>
      </c>
      <c r="H235" s="67" t="str">
        <f t="shared" ca="1" si="300"/>
        <v>13.001.004</v>
      </c>
      <c r="I235" s="74" t="s">
        <v>99</v>
      </c>
      <c r="J235" s="131"/>
      <c r="K235" s="127"/>
      <c r="L235" s="115">
        <f>SUM(L236:L240)</f>
        <v>1290740.1031243631</v>
      </c>
      <c r="M235" s="74" t="s">
        <v>338</v>
      </c>
    </row>
    <row r="236" spans="1:13" ht="20.45" customHeight="1" outlineLevel="1" x14ac:dyDescent="0.55000000000000004">
      <c r="A236" s="63">
        <f ca="1">IF($G236="UNIDADE CONSTRUTIVA",OFFSET(A236,0,0)+1,LARGE(A$3:A233,1))</f>
        <v>2</v>
      </c>
      <c r="B236" s="63">
        <f t="shared" ca="1" si="325"/>
        <v>13</v>
      </c>
      <c r="C236" s="63">
        <f t="shared" ca="1" si="326"/>
        <v>1</v>
      </c>
      <c r="D236" s="64">
        <f t="shared" ca="1" si="327"/>
        <v>4</v>
      </c>
      <c r="E236" s="64">
        <f t="shared" ca="1" si="328"/>
        <v>1</v>
      </c>
      <c r="F236" s="65"/>
      <c r="G236" s="73" t="s">
        <v>154</v>
      </c>
      <c r="H236" s="67" t="str">
        <f t="shared" ca="1" si="300"/>
        <v>13.001.004.001</v>
      </c>
      <c r="I236" s="74" t="s">
        <v>337</v>
      </c>
      <c r="J236" s="131">
        <v>6223.1914747199999</v>
      </c>
      <c r="K236" s="127" t="s">
        <v>183</v>
      </c>
      <c r="L236" s="115">
        <v>164292.25493260802</v>
      </c>
      <c r="M236" s="74"/>
    </row>
    <row r="237" spans="1:13" ht="20.45" customHeight="1" outlineLevel="1" x14ac:dyDescent="0.55000000000000004">
      <c r="A237" s="63">
        <f ca="1">IF($G237="UNIDADE CONSTRUTIVA",OFFSET(A237,0,0)+1,LARGE(A$3:A234,1))</f>
        <v>2</v>
      </c>
      <c r="B237" s="63">
        <f t="shared" ref="B237:B238" ca="1" si="339">IF(G237="UNIDADE CONSTRUTIVA",0,IF(G237="CÉLULA CONSTRUTIVA",OFFSET(B237,-1,0)+1,OFFSET(B237,-1,0)))</f>
        <v>13</v>
      </c>
      <c r="C237" s="63">
        <f t="shared" ref="C237:C238" ca="1" si="340">IF(G237="CÉLULA CONSTRUTIVA",0,IF(G237="ETAPA",OFFSET(C237,-1,0)+1,OFFSET(C237,-1,0)))</f>
        <v>1</v>
      </c>
      <c r="D237" s="64">
        <f t="shared" ref="D237:D238" ca="1" si="341">IF(G237="ETAPA",0,IF(G237="SUBETAPA",OFFSET(D237,-1,0)+1,OFFSET(D237,-1,0)))</f>
        <v>4</v>
      </c>
      <c r="E237" s="64">
        <f t="shared" ref="E237:E238" ca="1" si="342">IF(G237="Subetapa",0,IF(G237="serviço",OFFSET(E237,-1,0)+1,OFFSET(E237,-1,0)))</f>
        <v>2</v>
      </c>
      <c r="F237" s="65"/>
      <c r="G237" s="73" t="s">
        <v>154</v>
      </c>
      <c r="H237" s="67" t="str">
        <f t="shared" ref="H237:H238" ca="1" si="343">IF(G237="Unidade Construtiva",TEXT(A237,"00"),IF(G237="Célula Construtiva",TEXT(B237,"00"),IF(G237="Etapa",CONCATENATE(TEXT(B237,"00"),".",TEXT(C237,"000")),IF(G237="Subetapa",CONCATENATE(TEXT(B237,"00"),".",TEXT(C237,"000"),".",TEXT(D237,"000")),IF(G237="Serviço",CONCATENATE(TEXT(B237,"00"),".",TEXT(C237,"000"),".",TEXT(D237,"000"),".",TEXT(E237,"000")),"")))))</f>
        <v>13.001.004.002</v>
      </c>
      <c r="I237" s="74" t="s">
        <v>460</v>
      </c>
      <c r="J237" s="131">
        <v>1178.6347490000001</v>
      </c>
      <c r="K237" s="127" t="s">
        <v>339</v>
      </c>
      <c r="L237" s="115">
        <v>234277.22905873004</v>
      </c>
      <c r="M237" s="74"/>
    </row>
    <row r="238" spans="1:13" ht="20.45" customHeight="1" outlineLevel="1" x14ac:dyDescent="0.55000000000000004">
      <c r="A238" s="63">
        <f ca="1">IF($G238="UNIDADE CONSTRUTIVA",OFFSET(A238,0,0)+1,LARGE(A$3:A235,1))</f>
        <v>2</v>
      </c>
      <c r="B238" s="63">
        <f t="shared" ca="1" si="339"/>
        <v>13</v>
      </c>
      <c r="C238" s="63">
        <f t="shared" ca="1" si="340"/>
        <v>1</v>
      </c>
      <c r="D238" s="64">
        <f t="shared" ca="1" si="341"/>
        <v>4</v>
      </c>
      <c r="E238" s="64">
        <f t="shared" ca="1" si="342"/>
        <v>3</v>
      </c>
      <c r="F238" s="65"/>
      <c r="G238" s="73" t="s">
        <v>154</v>
      </c>
      <c r="H238" s="67" t="str">
        <f t="shared" ca="1" si="343"/>
        <v>13.001.004.003</v>
      </c>
      <c r="I238" s="74" t="s">
        <v>515</v>
      </c>
      <c r="J238" s="131">
        <v>102.6</v>
      </c>
      <c r="K238" s="127" t="s">
        <v>339</v>
      </c>
      <c r="L238" s="115">
        <v>226347</v>
      </c>
      <c r="M238" s="74"/>
    </row>
    <row r="239" spans="1:13" ht="20.45" customHeight="1" outlineLevel="1" x14ac:dyDescent="0.55000000000000004">
      <c r="A239" s="63">
        <f ca="1">IF($G239="UNIDADE CONSTRUTIVA",OFFSET(A239,0,0)+1,LARGE(A$3:A236,1))</f>
        <v>2</v>
      </c>
      <c r="B239" s="63">
        <f t="shared" ref="B239" ca="1" si="344">IF(G239="UNIDADE CONSTRUTIVA",0,IF(G239="CÉLULA CONSTRUTIVA",OFFSET(B239,-1,0)+1,OFFSET(B239,-1,0)))</f>
        <v>13</v>
      </c>
      <c r="C239" s="63">
        <f t="shared" ref="C239" ca="1" si="345">IF(G239="CÉLULA CONSTRUTIVA",0,IF(G239="ETAPA",OFFSET(C239,-1,0)+1,OFFSET(C239,-1,0)))</f>
        <v>1</v>
      </c>
      <c r="D239" s="64">
        <f t="shared" ref="D239" ca="1" si="346">IF(G239="ETAPA",0,IF(G239="SUBETAPA",OFFSET(D239,-1,0)+1,OFFSET(D239,-1,0)))</f>
        <v>4</v>
      </c>
      <c r="E239" s="64">
        <f t="shared" ref="E239" ca="1" si="347">IF(G239="Subetapa",0,IF(G239="serviço",OFFSET(E239,-1,0)+1,OFFSET(E239,-1,0)))</f>
        <v>4</v>
      </c>
      <c r="F239" s="65"/>
      <c r="G239" s="73" t="s">
        <v>154</v>
      </c>
      <c r="H239" s="67" t="str">
        <f t="shared" ref="H239" ca="1" si="348">IF(G239="Unidade Construtiva",TEXT(A239,"00"),IF(G239="Célula Construtiva",TEXT(B239,"00"),IF(G239="Etapa",CONCATENATE(TEXT(B239,"00"),".",TEXT(C239,"000")),IF(G239="Subetapa",CONCATENATE(TEXT(B239,"00"),".",TEXT(C239,"000"),".",TEXT(D239,"000")),IF(G239="Serviço",CONCATENATE(TEXT(B239,"00"),".",TEXT(C239,"000"),".",TEXT(D239,"000"),".",TEXT(E239,"000")),"")))))</f>
        <v>13.001.004.004</v>
      </c>
      <c r="I239" s="74" t="s">
        <v>517</v>
      </c>
      <c r="J239" s="131">
        <v>26.13805087786708</v>
      </c>
      <c r="K239" s="127" t="s">
        <v>339</v>
      </c>
      <c r="L239" s="115">
        <v>62336.119133024891</v>
      </c>
      <c r="M239" s="74" t="s">
        <v>548</v>
      </c>
    </row>
    <row r="240" spans="1:13" ht="20.45" customHeight="1" outlineLevel="1" x14ac:dyDescent="0.55000000000000004">
      <c r="A240" s="63">
        <f ca="1">IF($G240="UNIDADE CONSTRUTIVA",OFFSET(A240,0,0)+1,LARGE(A$3:A236,1))</f>
        <v>2</v>
      </c>
      <c r="B240" s="63">
        <f t="shared" ref="B240" ca="1" si="349">IF(G240="UNIDADE CONSTRUTIVA",0,IF(G240="CÉLULA CONSTRUTIVA",OFFSET(B240,-1,0)+1,OFFSET(B240,-1,0)))</f>
        <v>13</v>
      </c>
      <c r="C240" s="63">
        <f t="shared" ref="C240" ca="1" si="350">IF(G240="CÉLULA CONSTRUTIVA",0,IF(G240="ETAPA",OFFSET(C240,-1,0)+1,OFFSET(C240,-1,0)))</f>
        <v>1</v>
      </c>
      <c r="D240" s="64">
        <f t="shared" ref="D240" ca="1" si="351">IF(G240="ETAPA",0,IF(G240="SUBETAPA",OFFSET(D240,-1,0)+1,OFFSET(D240,-1,0)))</f>
        <v>4</v>
      </c>
      <c r="E240" s="64">
        <f t="shared" ref="E240" ca="1" si="352">IF(G240="Subetapa",0,IF(G240="serviço",OFFSET(E240,-1,0)+1,OFFSET(E240,-1,0)))</f>
        <v>5</v>
      </c>
      <c r="F240" s="65"/>
      <c r="G240" s="73" t="s">
        <v>154</v>
      </c>
      <c r="H240" s="67" t="str">
        <f t="shared" ref="H240" ca="1" si="353">IF(G240="Unidade Construtiva",TEXT(A240,"00"),IF(G240="Célula Construtiva",TEXT(B240,"00"),IF(G240="Etapa",CONCATENATE(TEXT(B240,"00"),".",TEXT(C240,"000")),IF(G240="Subetapa",CONCATENATE(TEXT(B240,"00"),".",TEXT(C240,"000"),".",TEXT(D240,"000")),IF(G240="Serviço",CONCATENATE(TEXT(B240,"00"),".",TEXT(C240,"000"),".",TEXT(D240,"000"),".",TEXT(E240,"000")),"")))))</f>
        <v>13.001.004.005</v>
      </c>
      <c r="I240" s="74" t="s">
        <v>516</v>
      </c>
      <c r="J240" s="131">
        <v>38</v>
      </c>
      <c r="K240" s="127" t="s">
        <v>184</v>
      </c>
      <c r="L240" s="115">
        <v>603487.50000000012</v>
      </c>
      <c r="M240" s="74"/>
    </row>
    <row r="241" spans="1:13" ht="20.45" customHeight="1" outlineLevel="1" x14ac:dyDescent="0.55000000000000004">
      <c r="A241" s="63">
        <f ca="1">IF($G241="UNIDADE CONSTRUTIVA",OFFSET(A241,0,0)+1,LARGE(A$3:A235,1))</f>
        <v>2</v>
      </c>
      <c r="B241" s="63">
        <f t="shared" ca="1" si="325"/>
        <v>13</v>
      </c>
      <c r="C241" s="63">
        <f t="shared" ca="1" si="326"/>
        <v>1</v>
      </c>
      <c r="D241" s="64">
        <f t="shared" ca="1" si="327"/>
        <v>5</v>
      </c>
      <c r="E241" s="64">
        <f t="shared" ca="1" si="328"/>
        <v>0</v>
      </c>
      <c r="F241" s="65"/>
      <c r="G241" s="73" t="s">
        <v>153</v>
      </c>
      <c r="H241" s="67" t="str">
        <f t="shared" ca="1" si="300"/>
        <v>13.001.005</v>
      </c>
      <c r="I241" s="74" t="s">
        <v>100</v>
      </c>
      <c r="J241" s="96"/>
      <c r="K241" s="127"/>
      <c r="L241" s="115">
        <f>L242</f>
        <v>39663.510178285724</v>
      </c>
      <c r="M241" s="74"/>
    </row>
    <row r="242" spans="1:13" ht="20.45" customHeight="1" outlineLevel="1" x14ac:dyDescent="0.55000000000000004">
      <c r="A242" s="63">
        <f ca="1">IF($G242="UNIDADE CONSTRUTIVA",OFFSET(A242,0,0)+1,LARGE(A$3:A237,1))</f>
        <v>2</v>
      </c>
      <c r="B242" s="63">
        <f t="shared" ref="B242" ca="1" si="354">IF(G242="UNIDADE CONSTRUTIVA",0,IF(G242="CÉLULA CONSTRUTIVA",OFFSET(B242,-1,0)+1,OFFSET(B242,-1,0)))</f>
        <v>13</v>
      </c>
      <c r="C242" s="63">
        <f t="shared" ref="C242" ca="1" si="355">IF(G242="CÉLULA CONSTRUTIVA",0,IF(G242="ETAPA",OFFSET(C242,-1,0)+1,OFFSET(C242,-1,0)))</f>
        <v>1</v>
      </c>
      <c r="D242" s="64">
        <f t="shared" ref="D242" ca="1" si="356">IF(G242="ETAPA",0,IF(G242="SUBETAPA",OFFSET(D242,-1,0)+1,OFFSET(D242,-1,0)))</f>
        <v>5</v>
      </c>
      <c r="E242" s="64">
        <f t="shared" ref="E242" ca="1" si="357">IF(G242="Subetapa",0,IF(G242="serviço",OFFSET(E242,-1,0)+1,OFFSET(E242,-1,0)))</f>
        <v>1</v>
      </c>
      <c r="F242" s="65"/>
      <c r="G242" s="73" t="s">
        <v>154</v>
      </c>
      <c r="H242" s="67" t="str">
        <f t="shared" ref="H242" ca="1" si="358">IF(G242="Unidade Construtiva",TEXT(A242,"00"),IF(G242="Célula Construtiva",TEXT(B242,"00"),IF(G242="Etapa",CONCATENATE(TEXT(B242,"00"),".",TEXT(C242,"000")),IF(G242="Subetapa",CONCATENATE(TEXT(B242,"00"),".",TEXT(C242,"000"),".",TEXT(D242,"000")),IF(G242="Serviço",CONCATENATE(TEXT(B242,"00"),".",TEXT(C242,"000"),".",TEXT(D242,"000"),".",TEXT(E242,"000")),"")))))</f>
        <v>13.001.005.001</v>
      </c>
      <c r="I242" s="74" t="s">
        <v>100</v>
      </c>
      <c r="J242" s="131">
        <v>680.33465142857153</v>
      </c>
      <c r="K242" s="127" t="s">
        <v>183</v>
      </c>
      <c r="L242" s="115">
        <v>39663.510178285724</v>
      </c>
      <c r="M242" s="74"/>
    </row>
    <row r="243" spans="1:13" ht="20.45" customHeight="1" outlineLevel="1" x14ac:dyDescent="0.55000000000000004">
      <c r="A243" s="63">
        <f ca="1">IF($G243="UNIDADE CONSTRUTIVA",OFFSET(A243,0,0)+1,LARGE(A$3:A241,1))</f>
        <v>2</v>
      </c>
      <c r="B243" s="63">
        <f t="shared" ca="1" si="325"/>
        <v>13</v>
      </c>
      <c r="C243" s="63">
        <f t="shared" ca="1" si="326"/>
        <v>1</v>
      </c>
      <c r="D243" s="64">
        <f t="shared" ca="1" si="327"/>
        <v>6</v>
      </c>
      <c r="E243" s="64">
        <f t="shared" ca="1" si="328"/>
        <v>0</v>
      </c>
      <c r="F243" s="65"/>
      <c r="G243" s="73" t="s">
        <v>153</v>
      </c>
      <c r="H243" s="67" t="str">
        <f t="shared" ca="1" si="300"/>
        <v>13.001.006</v>
      </c>
      <c r="I243" s="74" t="s">
        <v>39</v>
      </c>
      <c r="J243" s="131"/>
      <c r="K243" s="127"/>
      <c r="L243" s="115">
        <f>SUM(L244:L248)</f>
        <v>397885.23088708118</v>
      </c>
      <c r="M243" s="74"/>
    </row>
    <row r="244" spans="1:13" ht="20.45" customHeight="1" outlineLevel="1" x14ac:dyDescent="0.55000000000000004">
      <c r="A244" s="63">
        <f ca="1">IF($G244="UNIDADE CONSTRUTIVA",OFFSET(A244,0,0)+1,LARGE(A$3:A241,1))</f>
        <v>2</v>
      </c>
      <c r="B244" s="63">
        <f t="shared" ca="1" si="325"/>
        <v>13</v>
      </c>
      <c r="C244" s="63">
        <f t="shared" ca="1" si="326"/>
        <v>1</v>
      </c>
      <c r="D244" s="64">
        <f t="shared" ca="1" si="327"/>
        <v>6</v>
      </c>
      <c r="E244" s="64">
        <f t="shared" ca="1" si="328"/>
        <v>1</v>
      </c>
      <c r="F244" s="65"/>
      <c r="G244" s="73" t="s">
        <v>154</v>
      </c>
      <c r="H244" s="67" t="str">
        <f t="shared" ca="1" si="300"/>
        <v>13.001.006.001</v>
      </c>
      <c r="I244" s="74" t="s">
        <v>333</v>
      </c>
      <c r="J244" s="131">
        <f>J229</f>
        <v>2419.6679999999997</v>
      </c>
      <c r="K244" s="127" t="s">
        <v>185</v>
      </c>
      <c r="L244" s="115">
        <v>67871.687399999995</v>
      </c>
      <c r="M244" s="74"/>
    </row>
    <row r="245" spans="1:13" ht="20.45" customHeight="1" outlineLevel="1" x14ac:dyDescent="0.55000000000000004">
      <c r="A245" s="63">
        <f ca="1">IF($G245="UNIDADE CONSTRUTIVA",OFFSET(A245,0,0)+1,LARGE(A$3:A241,1))</f>
        <v>2</v>
      </c>
      <c r="B245" s="63">
        <f t="shared" ca="1" si="325"/>
        <v>13</v>
      </c>
      <c r="C245" s="63">
        <f t="shared" ca="1" si="326"/>
        <v>1</v>
      </c>
      <c r="D245" s="64">
        <f t="shared" ca="1" si="327"/>
        <v>6</v>
      </c>
      <c r="E245" s="64">
        <f t="shared" ca="1" si="328"/>
        <v>2</v>
      </c>
      <c r="F245" s="65"/>
      <c r="G245" s="73" t="s">
        <v>154</v>
      </c>
      <c r="H245" s="67" t="str">
        <f t="shared" ca="1" si="300"/>
        <v>13.001.006.002</v>
      </c>
      <c r="I245" s="74" t="s">
        <v>334</v>
      </c>
      <c r="J245" s="131">
        <f>J230</f>
        <v>73.5</v>
      </c>
      <c r="K245" s="127" t="s">
        <v>185</v>
      </c>
      <c r="L245" s="115">
        <v>2748.9</v>
      </c>
      <c r="M245" s="74"/>
    </row>
    <row r="246" spans="1:13" ht="20.45" customHeight="1" outlineLevel="1" x14ac:dyDescent="0.55000000000000004">
      <c r="A246" s="63">
        <f ca="1">IF($G246="UNIDADE CONSTRUTIVA",OFFSET(A246,0,0)+1,LARGE(A$3:A242,1))</f>
        <v>2</v>
      </c>
      <c r="B246" s="63">
        <f t="shared" ref="B246" ca="1" si="359">IF(G246="UNIDADE CONSTRUTIVA",0,IF(G246="CÉLULA CONSTRUTIVA",OFFSET(B246,-1,0)+1,OFFSET(B246,-1,0)))</f>
        <v>13</v>
      </c>
      <c r="C246" s="63">
        <f t="shared" ref="C246" ca="1" si="360">IF(G246="CÉLULA CONSTRUTIVA",0,IF(G246="ETAPA",OFFSET(C246,-1,0)+1,OFFSET(C246,-1,0)))</f>
        <v>1</v>
      </c>
      <c r="D246" s="64">
        <f t="shared" ref="D246" ca="1" si="361">IF(G246="ETAPA",0,IF(G246="SUBETAPA",OFFSET(D246,-1,0)+1,OFFSET(D246,-1,0)))</f>
        <v>6</v>
      </c>
      <c r="E246" s="64">
        <f t="shared" ref="E246" ca="1" si="362">IF(G246="Subetapa",0,IF(G246="serviço",OFFSET(E246,-1,0)+1,OFFSET(E246,-1,0)))</f>
        <v>3</v>
      </c>
      <c r="F246" s="65"/>
      <c r="G246" s="73" t="s">
        <v>154</v>
      </c>
      <c r="H246" s="67" t="str">
        <f t="shared" ref="H246" ca="1" si="363">IF(G246="Unidade Construtiva",TEXT(A246,"00"),IF(G246="Célula Construtiva",TEXT(B246,"00"),IF(G246="Etapa",CONCATENATE(TEXT(B246,"00"),".",TEXT(C246,"000")),IF(G246="Subetapa",CONCATENATE(TEXT(B246,"00"),".",TEXT(C246,"000"),".",TEXT(D246,"000")),IF(G246="Serviço",CONCATENATE(TEXT(B246,"00"),".",TEXT(C246,"000"),".",TEXT(D246,"000"),".",TEXT(E246,"000")),"")))))</f>
        <v>13.001.006.003</v>
      </c>
      <c r="I246" s="74" t="s">
        <v>335</v>
      </c>
      <c r="J246" s="131">
        <f>J234</f>
        <v>3387.5351999999998</v>
      </c>
      <c r="K246" s="127" t="s">
        <v>185</v>
      </c>
      <c r="L246" s="115">
        <v>167682.99240000002</v>
      </c>
      <c r="M246" s="74"/>
    </row>
    <row r="247" spans="1:13" ht="20.45" customHeight="1" outlineLevel="1" x14ac:dyDescent="0.55000000000000004">
      <c r="A247" s="63">
        <f ca="1">IF($G247="UNIDADE CONSTRUTIVA",OFFSET(A247,0,0)+1,LARGE(A$3:A243,1))</f>
        <v>2</v>
      </c>
      <c r="B247" s="63">
        <f t="shared" ref="B247" ca="1" si="364">IF(G247="UNIDADE CONSTRUTIVA",0,IF(G247="CÉLULA CONSTRUTIVA",OFFSET(B247,-1,0)+1,OFFSET(B247,-1,0)))</f>
        <v>13</v>
      </c>
      <c r="C247" s="63">
        <f t="shared" ref="C247" ca="1" si="365">IF(G247="CÉLULA CONSTRUTIVA",0,IF(G247="ETAPA",OFFSET(C247,-1,0)+1,OFFSET(C247,-1,0)))</f>
        <v>1</v>
      </c>
      <c r="D247" s="64">
        <f t="shared" ref="D247" ca="1" si="366">IF(G247="ETAPA",0,IF(G247="SUBETAPA",OFFSET(D247,-1,0)+1,OFFSET(D247,-1,0)))</f>
        <v>6</v>
      </c>
      <c r="E247" s="64">
        <f t="shared" ref="E247" ca="1" si="367">IF(G247="Subetapa",0,IF(G247="serviço",OFFSET(E247,-1,0)+1,OFFSET(E247,-1,0)))</f>
        <v>4</v>
      </c>
      <c r="F247" s="65"/>
      <c r="G247" s="73" t="s">
        <v>154</v>
      </c>
      <c r="H247" s="67" t="str">
        <f t="shared" ref="H247" ca="1" si="368">IF(G247="Unidade Construtiva",TEXT(A247,"00"),IF(G247="Célula Construtiva",TEXT(B247,"00"),IF(G247="Etapa",CONCATENATE(TEXT(B247,"00"),".",TEXT(C247,"000")),IF(G247="Subetapa",CONCATENATE(TEXT(B247,"00"),".",TEXT(C247,"000"),".",TEXT(D247,"000")),IF(G247="Serviço",CONCATENATE(TEXT(B247,"00"),".",TEXT(C247,"000"),".",TEXT(D247,"000"),".",TEXT(E247,"000")),"")))))</f>
        <v>13.001.006.004</v>
      </c>
      <c r="I247" s="74" t="s">
        <v>343</v>
      </c>
      <c r="J247" s="131">
        <f>J236</f>
        <v>6223.1914747199999</v>
      </c>
      <c r="K247" s="127" t="s">
        <v>183</v>
      </c>
      <c r="L247" s="115">
        <v>150601.23368822402</v>
      </c>
      <c r="M247" s="74"/>
    </row>
    <row r="248" spans="1:13" ht="20.45" customHeight="1" outlineLevel="1" x14ac:dyDescent="0.55000000000000004">
      <c r="A248" s="63">
        <f ca="1">IF($G248="UNIDADE CONSTRUTIVA",OFFSET(A248,0,0)+1,LARGE(A$3:A244,1))</f>
        <v>2</v>
      </c>
      <c r="B248" s="63">
        <f t="shared" ref="B248" ca="1" si="369">IF(G248="UNIDADE CONSTRUTIVA",0,IF(G248="CÉLULA CONSTRUTIVA",OFFSET(B248,-1,0)+1,OFFSET(B248,-1,0)))</f>
        <v>13</v>
      </c>
      <c r="C248" s="63">
        <f t="shared" ref="C248" ca="1" si="370">IF(G248="CÉLULA CONSTRUTIVA",0,IF(G248="ETAPA",OFFSET(C248,-1,0)+1,OFFSET(C248,-1,0)))</f>
        <v>1</v>
      </c>
      <c r="D248" s="64">
        <f t="shared" ref="D248" ca="1" si="371">IF(G248="ETAPA",0,IF(G248="SUBETAPA",OFFSET(D248,-1,0)+1,OFFSET(D248,-1,0)))</f>
        <v>6</v>
      </c>
      <c r="E248" s="64">
        <f t="shared" ref="E248" ca="1" si="372">IF(G248="Subetapa",0,IF(G248="serviço",OFFSET(E248,-1,0)+1,OFFSET(E248,-1,0)))</f>
        <v>5</v>
      </c>
      <c r="F248" s="65"/>
      <c r="G248" s="73" t="s">
        <v>154</v>
      </c>
      <c r="H248" s="67" t="str">
        <f t="shared" ref="H248" ca="1" si="373">IF(G248="Unidade Construtiva",TEXT(A248,"00"),IF(G248="Célula Construtiva",TEXT(B248,"00"),IF(G248="Etapa",CONCATENATE(TEXT(B248,"00"),".",TEXT(C248,"000")),IF(G248="Subetapa",CONCATENATE(TEXT(B248,"00"),".",TEXT(C248,"000"),".",TEXT(D248,"000")),IF(G248="Serviço",CONCATENATE(TEXT(B248,"00"),".",TEXT(C248,"000"),".",TEXT(D248,"000"),".",TEXT(E248,"000")),"")))))</f>
        <v>13.001.006.005</v>
      </c>
      <c r="I248" s="74" t="s">
        <v>344</v>
      </c>
      <c r="J248" s="131">
        <f>J242</f>
        <v>680.33465142857153</v>
      </c>
      <c r="K248" s="127" t="s">
        <v>183</v>
      </c>
      <c r="L248" s="115">
        <v>8980.4173988571456</v>
      </c>
      <c r="M248" s="74"/>
    </row>
    <row r="249" spans="1:13" ht="20.45" customHeight="1" x14ac:dyDescent="0.55000000000000004">
      <c r="A249" s="63">
        <f ca="1">IF($G249="UNIDADE CONSTRUTIVA",OFFSET(A249,0,0)+1,LARGE(A$3:A243,1))</f>
        <v>2</v>
      </c>
      <c r="B249" s="63">
        <f t="shared" ca="1" si="325"/>
        <v>14</v>
      </c>
      <c r="C249" s="63">
        <f t="shared" ca="1" si="326"/>
        <v>0</v>
      </c>
      <c r="D249" s="64">
        <f t="shared" ca="1" si="327"/>
        <v>6</v>
      </c>
      <c r="E249" s="64">
        <f t="shared" ca="1" si="328"/>
        <v>5</v>
      </c>
      <c r="F249" s="65"/>
      <c r="G249" s="71" t="s">
        <v>156</v>
      </c>
      <c r="H249" s="67" t="str">
        <f t="shared" ca="1" si="300"/>
        <v>14</v>
      </c>
      <c r="I249" s="72" t="s">
        <v>101</v>
      </c>
      <c r="J249" s="95"/>
      <c r="K249" s="125"/>
      <c r="L249" s="113">
        <f>L250</f>
        <v>831199.7699500001</v>
      </c>
      <c r="M249" s="72"/>
    </row>
    <row r="250" spans="1:13" ht="20.45" customHeight="1" outlineLevel="1" x14ac:dyDescent="0.55000000000000004">
      <c r="A250" s="63">
        <f ca="1">IF($G250="UNIDADE CONSTRUTIVA",OFFSET(A250,0,0)+1,LARGE(A$3:A249,1))</f>
        <v>2</v>
      </c>
      <c r="B250" s="63">
        <f t="shared" ca="1" si="325"/>
        <v>14</v>
      </c>
      <c r="C250" s="63">
        <f t="shared" ca="1" si="326"/>
        <v>1</v>
      </c>
      <c r="D250" s="64">
        <f t="shared" ca="1" si="327"/>
        <v>0</v>
      </c>
      <c r="E250" s="64">
        <f t="shared" ca="1" si="328"/>
        <v>5</v>
      </c>
      <c r="F250" s="65"/>
      <c r="G250" s="71" t="s">
        <v>157</v>
      </c>
      <c r="H250" s="67" t="str">
        <f t="shared" ca="1" si="300"/>
        <v>14.001</v>
      </c>
      <c r="I250" s="80" t="s">
        <v>101</v>
      </c>
      <c r="J250" s="107"/>
      <c r="K250" s="130"/>
      <c r="L250" s="126">
        <f>SUM(L251:L263)/2</f>
        <v>831199.7699500001</v>
      </c>
      <c r="M250" s="80"/>
    </row>
    <row r="251" spans="1:13" ht="20.45" customHeight="1" outlineLevel="1" x14ac:dyDescent="0.55000000000000004">
      <c r="A251" s="63">
        <f ca="1">IF($G251="UNIDADE CONSTRUTIVA",OFFSET(A251,0,0)+1,LARGE(A$3:A250,1))</f>
        <v>2</v>
      </c>
      <c r="B251" s="63">
        <f t="shared" ca="1" si="325"/>
        <v>14</v>
      </c>
      <c r="C251" s="63">
        <f t="shared" ca="1" si="326"/>
        <v>1</v>
      </c>
      <c r="D251" s="64">
        <f t="shared" ca="1" si="327"/>
        <v>1</v>
      </c>
      <c r="E251" s="64">
        <f t="shared" ca="1" si="328"/>
        <v>0</v>
      </c>
      <c r="F251" s="65"/>
      <c r="G251" s="73" t="s">
        <v>153</v>
      </c>
      <c r="H251" s="67" t="str">
        <f t="shared" ca="1" si="300"/>
        <v>14.001.001</v>
      </c>
      <c r="I251" s="74" t="s">
        <v>102</v>
      </c>
      <c r="J251" s="96"/>
      <c r="K251" s="127"/>
      <c r="L251" s="115">
        <f>SUM(L252:L253)</f>
        <v>8604.7384500000044</v>
      </c>
      <c r="M251" s="74"/>
    </row>
    <row r="252" spans="1:13" ht="20.45" customHeight="1" outlineLevel="1" x14ac:dyDescent="0.55000000000000004">
      <c r="A252" s="63">
        <f ca="1">IF($G252="UNIDADE CONSTRUTIVA",OFFSET(A252,0,0)+1,LARGE(A$3:A248,1))</f>
        <v>2</v>
      </c>
      <c r="B252" s="63">
        <f t="shared" ca="1" si="325"/>
        <v>14</v>
      </c>
      <c r="C252" s="63">
        <f t="shared" ca="1" si="326"/>
        <v>1</v>
      </c>
      <c r="D252" s="64">
        <f t="shared" ca="1" si="327"/>
        <v>1</v>
      </c>
      <c r="E252" s="64">
        <f t="shared" ca="1" si="328"/>
        <v>1</v>
      </c>
      <c r="F252" s="65"/>
      <c r="G252" s="73" t="s">
        <v>154</v>
      </c>
      <c r="H252" s="67" t="str">
        <f t="shared" ca="1" si="300"/>
        <v>14.001.001.001</v>
      </c>
      <c r="I252" s="74" t="s">
        <v>329</v>
      </c>
      <c r="J252" s="96">
        <v>1161.3630000000003</v>
      </c>
      <c r="K252" s="127" t="s">
        <v>185</v>
      </c>
      <c r="L252" s="115">
        <v>5109.9972000000016</v>
      </c>
      <c r="M252" s="74"/>
    </row>
    <row r="253" spans="1:13" ht="20.45" customHeight="1" outlineLevel="1" x14ac:dyDescent="0.55000000000000004">
      <c r="A253" s="63">
        <f ca="1">IF($G253="UNIDADE CONSTRUTIVA",OFFSET(A253,0,0)+1,LARGE(A$3:A249,1))</f>
        <v>2</v>
      </c>
      <c r="B253" s="63">
        <f t="shared" ref="B253" ca="1" si="374">IF(G253="UNIDADE CONSTRUTIVA",0,IF(G253="CÉLULA CONSTRUTIVA",OFFSET(B253,-1,0)+1,OFFSET(B253,-1,0)))</f>
        <v>14</v>
      </c>
      <c r="C253" s="63">
        <f t="shared" ref="C253" ca="1" si="375">IF(G253="CÉLULA CONSTRUTIVA",0,IF(G253="ETAPA",OFFSET(C253,-1,0)+1,OFFSET(C253,-1,0)))</f>
        <v>1</v>
      </c>
      <c r="D253" s="64">
        <f t="shared" ref="D253" ca="1" si="376">IF(G253="ETAPA",0,IF(G253="SUBETAPA",OFFSET(D253,-1,0)+1,OFFSET(D253,-1,0)))</f>
        <v>1</v>
      </c>
      <c r="E253" s="64">
        <f t="shared" ref="E253" ca="1" si="377">IF(G253="Subetapa",0,IF(G253="serviço",OFFSET(E253,-1,0)+1,OFFSET(E253,-1,0)))</f>
        <v>2</v>
      </c>
      <c r="F253" s="65"/>
      <c r="G253" s="73" t="s">
        <v>154</v>
      </c>
      <c r="H253" s="67" t="str">
        <f t="shared" ref="H253" ca="1" si="378">IF(G253="Unidade Construtiva",TEXT(A253,"00"),IF(G253="Célula Construtiva",TEXT(B253,"00"),IF(G253="Etapa",CONCATENATE(TEXT(B253,"00"),".",TEXT(C253,"000")),IF(G253="Subetapa",CONCATENATE(TEXT(B253,"00"),".",TEXT(C253,"000"),".",TEXT(D253,"000")),IF(G253="Serviço",CONCATENATE(TEXT(B253,"00"),".",TEXT(C253,"000"),".",TEXT(D253,"000"),".",TEXT(E253,"000")),"")))))</f>
        <v>14.001.001.002</v>
      </c>
      <c r="I253" s="74" t="s">
        <v>634</v>
      </c>
      <c r="J253" s="96">
        <v>46.550000000000011</v>
      </c>
      <c r="K253" s="127" t="s">
        <v>185</v>
      </c>
      <c r="L253" s="115">
        <v>3494.7412500000019</v>
      </c>
      <c r="M253" s="74" t="s">
        <v>636</v>
      </c>
    </row>
    <row r="254" spans="1:13" ht="20.45" customHeight="1" outlineLevel="1" x14ac:dyDescent="0.55000000000000004">
      <c r="A254" s="63">
        <f ca="1">IF($G254="UNIDADE CONSTRUTIVA",OFFSET(A254,0,0)+1,LARGE(A$3:A250,1))</f>
        <v>2</v>
      </c>
      <c r="B254" s="63">
        <f t="shared" ref="B254:B255" ca="1" si="379">IF(G254="UNIDADE CONSTRUTIVA",0,IF(G254="CÉLULA CONSTRUTIVA",OFFSET(B254,-1,0)+1,OFFSET(B254,-1,0)))</f>
        <v>14</v>
      </c>
      <c r="C254" s="63">
        <f t="shared" ref="C254:C255" ca="1" si="380">IF(G254="CÉLULA CONSTRUTIVA",0,IF(G254="ETAPA",OFFSET(C254,-1,0)+1,OFFSET(C254,-1,0)))</f>
        <v>1</v>
      </c>
      <c r="D254" s="64">
        <f t="shared" ref="D254:D255" ca="1" si="381">IF(G254="ETAPA",0,IF(G254="SUBETAPA",OFFSET(D254,-1,0)+1,OFFSET(D254,-1,0)))</f>
        <v>2</v>
      </c>
      <c r="E254" s="64">
        <f t="shared" ref="E254:E255" ca="1" si="382">IF(G254="Subetapa",0,IF(G254="serviço",OFFSET(E254,-1,0)+1,OFFSET(E254,-1,0)))</f>
        <v>0</v>
      </c>
      <c r="F254" s="65"/>
      <c r="G254" s="73" t="s">
        <v>153</v>
      </c>
      <c r="H254" s="67" t="str">
        <f t="shared" ref="H254:H255" ca="1" si="383">IF(G254="Unidade Construtiva",TEXT(A254,"00"),IF(G254="Célula Construtiva",TEXT(B254,"00"),IF(G254="Etapa",CONCATENATE(TEXT(B254,"00"),".",TEXT(C254,"000")),IF(G254="Subetapa",CONCATENATE(TEXT(B254,"00"),".",TEXT(C254,"000"),".",TEXT(D254,"000")),IF(G254="Serviço",CONCATENATE(TEXT(B254,"00"),".",TEXT(C254,"000"),".",TEXT(D254,"000"),".",TEXT(E254,"000")),"")))))</f>
        <v>14.001.002</v>
      </c>
      <c r="I254" s="74" t="s">
        <v>103</v>
      </c>
      <c r="J254" s="96"/>
      <c r="K254" s="127"/>
      <c r="L254" s="115">
        <f>SUM(L255:L260)</f>
        <v>793092.15040000004</v>
      </c>
      <c r="M254" s="74"/>
    </row>
    <row r="255" spans="1:13" ht="37.5" outlineLevel="1" x14ac:dyDescent="0.55000000000000004">
      <c r="A255" s="63">
        <f ca="1">IF($G255="UNIDADE CONSTRUTIVA",OFFSET(A255,0,0)+1,LARGE(A$3:A250,1))</f>
        <v>2</v>
      </c>
      <c r="B255" s="63">
        <f t="shared" ca="1" si="379"/>
        <v>14</v>
      </c>
      <c r="C255" s="63">
        <f t="shared" ca="1" si="380"/>
        <v>1</v>
      </c>
      <c r="D255" s="64">
        <f t="shared" ca="1" si="381"/>
        <v>2</v>
      </c>
      <c r="E255" s="64">
        <f t="shared" ca="1" si="382"/>
        <v>1</v>
      </c>
      <c r="F255" s="65"/>
      <c r="G255" s="73" t="s">
        <v>154</v>
      </c>
      <c r="H255" s="67" t="str">
        <f t="shared" ca="1" si="383"/>
        <v>14.001.002.001</v>
      </c>
      <c r="I255" s="74" t="s">
        <v>348</v>
      </c>
      <c r="J255" s="128">
        <f>[6]TETO!$D$10</f>
        <v>3075.42</v>
      </c>
      <c r="K255" s="127" t="s">
        <v>185</v>
      </c>
      <c r="L255" s="115">
        <v>202977.72000000003</v>
      </c>
      <c r="M255" s="74" t="s">
        <v>347</v>
      </c>
    </row>
    <row r="256" spans="1:13" ht="20.45" customHeight="1" outlineLevel="1" x14ac:dyDescent="0.55000000000000004">
      <c r="A256" s="63">
        <f ca="1">IF($G256="UNIDADE CONSTRUTIVA",OFFSET(A256,0,0)+1,LARGE(A$3:A251,1))</f>
        <v>2</v>
      </c>
      <c r="B256" s="63">
        <f t="shared" ref="B256" ca="1" si="384">IF(G256="UNIDADE CONSTRUTIVA",0,IF(G256="CÉLULA CONSTRUTIVA",OFFSET(B256,-1,0)+1,OFFSET(B256,-1,0)))</f>
        <v>14</v>
      </c>
      <c r="C256" s="63">
        <f t="shared" ref="C256" ca="1" si="385">IF(G256="CÉLULA CONSTRUTIVA",0,IF(G256="ETAPA",OFFSET(C256,-1,0)+1,OFFSET(C256,-1,0)))</f>
        <v>1</v>
      </c>
      <c r="D256" s="64">
        <f t="shared" ref="D256" ca="1" si="386">IF(G256="ETAPA",0,IF(G256="SUBETAPA",OFFSET(D256,-1,0)+1,OFFSET(D256,-1,0)))</f>
        <v>2</v>
      </c>
      <c r="E256" s="64">
        <f t="shared" ref="E256" ca="1" si="387">IF(G256="Subetapa",0,IF(G256="serviço",OFFSET(E256,-1,0)+1,OFFSET(E256,-1,0)))</f>
        <v>2</v>
      </c>
      <c r="F256" s="65"/>
      <c r="G256" s="73" t="s">
        <v>154</v>
      </c>
      <c r="H256" s="67" t="str">
        <f t="shared" ref="H256" ca="1" si="388">IF(G256="Unidade Construtiva",TEXT(A256,"00"),IF(G256="Célula Construtiva",TEXT(B256,"00"),IF(G256="Etapa",CONCATENATE(TEXT(B256,"00"),".",TEXT(C256,"000")),IF(G256="Subetapa",CONCATENATE(TEXT(B256,"00"),".",TEXT(C256,"000"),".",TEXT(D256,"000")),IF(G256="Serviço",CONCATENATE(TEXT(B256,"00"),".",TEXT(C256,"000"),".",TEXT(D256,"000"),".",TEXT(E256,"000")),"")))))</f>
        <v>14.001.002.002</v>
      </c>
      <c r="I256" s="74" t="s">
        <v>457</v>
      </c>
      <c r="J256" s="128">
        <v>494.27</v>
      </c>
      <c r="K256" s="127" t="s">
        <v>185</v>
      </c>
      <c r="L256" s="115">
        <v>43495.76</v>
      </c>
      <c r="M256" s="74" t="s">
        <v>549</v>
      </c>
    </row>
    <row r="257" spans="1:13" ht="20.45" customHeight="1" outlineLevel="1" x14ac:dyDescent="0.55000000000000004">
      <c r="A257" s="63">
        <f ca="1">IF($G257="UNIDADE CONSTRUTIVA",OFFSET(A257,0,0)+1,LARGE(A$3:A251,1))</f>
        <v>2</v>
      </c>
      <c r="B257" s="63">
        <f t="shared" ref="B257" ca="1" si="389">IF(G257="UNIDADE CONSTRUTIVA",0,IF(G257="CÉLULA CONSTRUTIVA",OFFSET(B257,-1,0)+1,OFFSET(B257,-1,0)))</f>
        <v>14</v>
      </c>
      <c r="C257" s="63">
        <f t="shared" ref="C257" ca="1" si="390">IF(G257="CÉLULA CONSTRUTIVA",0,IF(G257="ETAPA",OFFSET(C257,-1,0)+1,OFFSET(C257,-1,0)))</f>
        <v>1</v>
      </c>
      <c r="D257" s="64">
        <f t="shared" ref="D257" ca="1" si="391">IF(G257="ETAPA",0,IF(G257="SUBETAPA",OFFSET(D257,-1,0)+1,OFFSET(D257,-1,0)))</f>
        <v>2</v>
      </c>
      <c r="E257" s="64">
        <f t="shared" ref="E257" ca="1" si="392">IF(G257="Subetapa",0,IF(G257="serviço",OFFSET(E257,-1,0)+1,OFFSET(E257,-1,0)))</f>
        <v>3</v>
      </c>
      <c r="F257" s="65"/>
      <c r="G257" s="73" t="s">
        <v>154</v>
      </c>
      <c r="H257" s="67" t="str">
        <f t="shared" ref="H257" ca="1" si="393">IF(G257="Unidade Construtiva",TEXT(A257,"00"),IF(G257="Célula Construtiva",TEXT(B257,"00"),IF(G257="Etapa",CONCATENATE(TEXT(B257,"00"),".",TEXT(C257,"000")),IF(G257="Subetapa",CONCATENATE(TEXT(B257,"00"),".",TEXT(C257,"000"),".",TEXT(D257,"000")),IF(G257="Serviço",CONCATENATE(TEXT(B257,"00"),".",TEXT(C257,"000"),".",TEXT(D257,"000"),".",TEXT(E257,"000")),"")))))</f>
        <v>14.001.002.003</v>
      </c>
      <c r="I257" s="74" t="s">
        <v>456</v>
      </c>
      <c r="J257" s="128">
        <v>465.14</v>
      </c>
      <c r="K257" s="127" t="s">
        <v>185</v>
      </c>
      <c r="L257" s="115">
        <v>92097.72</v>
      </c>
      <c r="M257" s="74" t="s">
        <v>549</v>
      </c>
    </row>
    <row r="258" spans="1:13" ht="20.45" customHeight="1" outlineLevel="1" x14ac:dyDescent="0.55000000000000004">
      <c r="A258" s="63">
        <f ca="1">IF($G258="UNIDADE CONSTRUTIVA",OFFSET(A258,0,0)+1,LARGE(A$3:A251,1))</f>
        <v>2</v>
      </c>
      <c r="B258" s="63">
        <f t="shared" ref="B258:B259" ca="1" si="394">IF(G258="UNIDADE CONSTRUTIVA",0,IF(G258="CÉLULA CONSTRUTIVA",OFFSET(B258,-1,0)+1,OFFSET(B258,-1,0)))</f>
        <v>14</v>
      </c>
      <c r="C258" s="63">
        <f t="shared" ref="C258:C259" ca="1" si="395">IF(G258="CÉLULA CONSTRUTIVA",0,IF(G258="ETAPA",OFFSET(C258,-1,0)+1,OFFSET(C258,-1,0)))</f>
        <v>1</v>
      </c>
      <c r="D258" s="64">
        <f t="shared" ref="D258:D259" ca="1" si="396">IF(G258="ETAPA",0,IF(G258="SUBETAPA",OFFSET(D258,-1,0)+1,OFFSET(D258,-1,0)))</f>
        <v>2</v>
      </c>
      <c r="E258" s="64">
        <f t="shared" ref="E258:E259" ca="1" si="397">IF(G258="Subetapa",0,IF(G258="serviço",OFFSET(E258,-1,0)+1,OFFSET(E258,-1,0)))</f>
        <v>4</v>
      </c>
      <c r="F258" s="65"/>
      <c r="G258" s="73" t="s">
        <v>154</v>
      </c>
      <c r="H258" s="67" t="str">
        <f t="shared" ref="H258:H259" ca="1" si="398">IF(G258="Unidade Construtiva",TEXT(A258,"00"),IF(G258="Célula Construtiva",TEXT(B258,"00"),IF(G258="Etapa",CONCATENATE(TEXT(B258,"00"),".",TEXT(C258,"000")),IF(G258="Subetapa",CONCATENATE(TEXT(B258,"00"),".",TEXT(C258,"000"),".",TEXT(D258,"000")),IF(G258="Serviço",CONCATENATE(TEXT(B258,"00"),".",TEXT(C258,"000"),".",TEXT(D258,"000"),".",TEXT(E258,"000")),"")))))</f>
        <v>14.001.002.004</v>
      </c>
      <c r="I258" s="74" t="s">
        <v>349</v>
      </c>
      <c r="J258" s="96">
        <v>47.25</v>
      </c>
      <c r="K258" s="127" t="s">
        <v>185</v>
      </c>
      <c r="L258" s="115">
        <v>3118.5000000000005</v>
      </c>
      <c r="M258" s="74" t="s">
        <v>633</v>
      </c>
    </row>
    <row r="259" spans="1:13" ht="20.45" customHeight="1" outlineLevel="1" x14ac:dyDescent="0.55000000000000004">
      <c r="A259" s="63">
        <f ca="1">IF($G259="UNIDADE CONSTRUTIVA",OFFSET(A259,0,0)+1,LARGE(A$3:A250,1))</f>
        <v>2</v>
      </c>
      <c r="B259" s="63">
        <f t="shared" ca="1" si="394"/>
        <v>14</v>
      </c>
      <c r="C259" s="63">
        <f t="shared" ca="1" si="395"/>
        <v>1</v>
      </c>
      <c r="D259" s="64">
        <f t="shared" ca="1" si="396"/>
        <v>2</v>
      </c>
      <c r="E259" s="64">
        <f t="shared" ca="1" si="397"/>
        <v>5</v>
      </c>
      <c r="F259" s="65"/>
      <c r="G259" s="73" t="s">
        <v>154</v>
      </c>
      <c r="H259" s="67" t="str">
        <f t="shared" ca="1" si="398"/>
        <v>14.001.002.005</v>
      </c>
      <c r="I259" s="74" t="s">
        <v>350</v>
      </c>
      <c r="J259" s="96">
        <v>9683.5919999999987</v>
      </c>
      <c r="K259" s="127" t="s">
        <v>183</v>
      </c>
      <c r="L259" s="115">
        <v>447381.95039999997</v>
      </c>
      <c r="M259" s="74"/>
    </row>
    <row r="260" spans="1:13" ht="20.45" customHeight="1" outlineLevel="1" x14ac:dyDescent="0.55000000000000004">
      <c r="A260" s="63">
        <f ca="1">IF($G260="UNIDADE CONSTRUTIVA",OFFSET(A260,0,0)+1,LARGE(A$3:A251,1))</f>
        <v>2</v>
      </c>
      <c r="B260" s="63">
        <f t="shared" ca="1" si="325"/>
        <v>14</v>
      </c>
      <c r="C260" s="63">
        <f t="shared" ca="1" si="326"/>
        <v>1</v>
      </c>
      <c r="D260" s="64">
        <f t="shared" ca="1" si="327"/>
        <v>2</v>
      </c>
      <c r="E260" s="64">
        <f t="shared" ca="1" si="328"/>
        <v>6</v>
      </c>
      <c r="F260" s="65"/>
      <c r="G260" s="73" t="s">
        <v>154</v>
      </c>
      <c r="H260" s="67" t="str">
        <f t="shared" ca="1" si="300"/>
        <v>14.001.002.006</v>
      </c>
      <c r="I260" s="74" t="s">
        <v>550</v>
      </c>
      <c r="J260" s="96">
        <v>43</v>
      </c>
      <c r="K260" s="127" t="s">
        <v>184</v>
      </c>
      <c r="L260" s="115">
        <v>4020.5000000000005</v>
      </c>
      <c r="M260" s="74"/>
    </row>
    <row r="261" spans="1:13" ht="20.45" customHeight="1" outlineLevel="1" x14ac:dyDescent="0.55000000000000004">
      <c r="A261" s="63">
        <f ca="1">IF($G261="UNIDADE CONSTRUTIVA",OFFSET(A261,0,0)+1,LARGE(A$3:A260,1))</f>
        <v>2</v>
      </c>
      <c r="B261" s="63">
        <f t="shared" ca="1" si="325"/>
        <v>14</v>
      </c>
      <c r="C261" s="63">
        <f t="shared" ca="1" si="326"/>
        <v>1</v>
      </c>
      <c r="D261" s="64">
        <f t="shared" ca="1" si="327"/>
        <v>3</v>
      </c>
      <c r="E261" s="64">
        <f t="shared" ca="1" si="328"/>
        <v>0</v>
      </c>
      <c r="F261" s="65"/>
      <c r="G261" s="73" t="s">
        <v>153</v>
      </c>
      <c r="H261" s="67" t="str">
        <f t="shared" ca="1" si="300"/>
        <v>14.001.003</v>
      </c>
      <c r="I261" s="74" t="s">
        <v>39</v>
      </c>
      <c r="J261" s="96"/>
      <c r="K261" s="127"/>
      <c r="L261" s="115">
        <f>SUM(L262:L263)</f>
        <v>29502.881100000006</v>
      </c>
      <c r="M261" s="74"/>
    </row>
    <row r="262" spans="1:13" ht="20.45" customHeight="1" outlineLevel="1" x14ac:dyDescent="0.55000000000000004">
      <c r="A262" s="63">
        <f ca="1">IF($G262="UNIDADE CONSTRUTIVA",OFFSET(A262,0,0)+1,LARGE(A$3:A255,1))</f>
        <v>2</v>
      </c>
      <c r="B262" s="63">
        <f t="shared" ref="B262" ca="1" si="399">IF(G262="UNIDADE CONSTRUTIVA",0,IF(G262="CÉLULA CONSTRUTIVA",OFFSET(B262,-1,0)+1,OFFSET(B262,-1,0)))</f>
        <v>14</v>
      </c>
      <c r="C262" s="63">
        <f t="shared" ref="C262" ca="1" si="400">IF(G262="CÉLULA CONSTRUTIVA",0,IF(G262="ETAPA",OFFSET(C262,-1,0)+1,OFFSET(C262,-1,0)))</f>
        <v>1</v>
      </c>
      <c r="D262" s="64">
        <f t="shared" ref="D262" ca="1" si="401">IF(G262="ETAPA",0,IF(G262="SUBETAPA",OFFSET(D262,-1,0)+1,OFFSET(D262,-1,0)))</f>
        <v>3</v>
      </c>
      <c r="E262" s="64">
        <f t="shared" ref="E262" ca="1" si="402">IF(G262="Subetapa",0,IF(G262="serviço",OFFSET(E262,-1,0)+1,OFFSET(E262,-1,0)))</f>
        <v>1</v>
      </c>
      <c r="F262" s="65"/>
      <c r="G262" s="73" t="s">
        <v>154</v>
      </c>
      <c r="H262" s="67" t="str">
        <f t="shared" ref="H262" ca="1" si="403">IF(G262="Unidade Construtiva",TEXT(A262,"00"),IF(G262="Célula Construtiva",TEXT(B262,"00"),IF(G262="Etapa",CONCATENATE(TEXT(B262,"00"),".",TEXT(C262,"000")),IF(G262="Subetapa",CONCATENATE(TEXT(B262,"00"),".",TEXT(C262,"000"),".",TEXT(D262,"000")),IF(G262="Serviço",CONCATENATE(TEXT(B262,"00"),".",TEXT(C262,"000"),".",TEXT(D262,"000"),".",TEXT(E262,"000")),"")))))</f>
        <v>14.001.003.001</v>
      </c>
      <c r="I262" s="74" t="s">
        <v>345</v>
      </c>
      <c r="J262" s="96">
        <v>1161.3630000000003</v>
      </c>
      <c r="K262" s="127" t="s">
        <v>185</v>
      </c>
      <c r="L262" s="115">
        <v>28104.984600000007</v>
      </c>
      <c r="M262" s="74"/>
    </row>
    <row r="263" spans="1:13" ht="20.45" customHeight="1" outlineLevel="1" x14ac:dyDescent="0.55000000000000004">
      <c r="A263" s="63">
        <f ca="1">IF($G263="UNIDADE CONSTRUTIVA",OFFSET(A263,0,0)+1,LARGE(A$3:A256,1))</f>
        <v>2</v>
      </c>
      <c r="B263" s="63">
        <f t="shared" ref="B263" ca="1" si="404">IF(G263="UNIDADE CONSTRUTIVA",0,IF(G263="CÉLULA CONSTRUTIVA",OFFSET(B263,-1,0)+1,OFFSET(B263,-1,0)))</f>
        <v>14</v>
      </c>
      <c r="C263" s="63">
        <f t="shared" ref="C263" ca="1" si="405">IF(G263="CÉLULA CONSTRUTIVA",0,IF(G263="ETAPA",OFFSET(C263,-1,0)+1,OFFSET(C263,-1,0)))</f>
        <v>1</v>
      </c>
      <c r="D263" s="64">
        <f t="shared" ref="D263" ca="1" si="406">IF(G263="ETAPA",0,IF(G263="SUBETAPA",OFFSET(D263,-1,0)+1,OFFSET(D263,-1,0)))</f>
        <v>3</v>
      </c>
      <c r="E263" s="64">
        <f t="shared" ref="E263" ca="1" si="407">IF(G263="Subetapa",0,IF(G263="serviço",OFFSET(E263,-1,0)+1,OFFSET(E263,-1,0)))</f>
        <v>2</v>
      </c>
      <c r="F263" s="65"/>
      <c r="G263" s="73" t="s">
        <v>154</v>
      </c>
      <c r="H263" s="67" t="str">
        <f t="shared" ref="H263" ca="1" si="408">IF(G263="Unidade Construtiva",TEXT(A263,"00"),IF(G263="Célula Construtiva",TEXT(B263,"00"),IF(G263="Etapa",CONCATENATE(TEXT(B263,"00"),".",TEXT(C263,"000")),IF(G263="Subetapa",CONCATENATE(TEXT(B263,"00"),".",TEXT(C263,"000"),".",TEXT(D263,"000")),IF(G263="Serviço",CONCATENATE(TEXT(B263,"00"),".",TEXT(C263,"000"),".",TEXT(D263,"000"),".",TEXT(E263,"000")),"")))))</f>
        <v>14.001.003.002</v>
      </c>
      <c r="I263" s="74" t="s">
        <v>635</v>
      </c>
      <c r="J263" s="96">
        <v>46.550000000000011</v>
      </c>
      <c r="K263" s="127" t="s">
        <v>185</v>
      </c>
      <c r="L263" s="115">
        <v>1397.8965000000005</v>
      </c>
      <c r="M263" s="74"/>
    </row>
    <row r="264" spans="1:13" ht="20.45" customHeight="1" x14ac:dyDescent="0.55000000000000004">
      <c r="A264" s="63">
        <f ca="1">IF($G264="UNIDADE CONSTRUTIVA",OFFSET(A264,0,0)+1,LARGE(A$3:A261,1))</f>
        <v>2</v>
      </c>
      <c r="B264" s="63">
        <f t="shared" ca="1" si="325"/>
        <v>15</v>
      </c>
      <c r="C264" s="63">
        <f t="shared" ca="1" si="326"/>
        <v>0</v>
      </c>
      <c r="D264" s="64">
        <f t="shared" ca="1" si="327"/>
        <v>3</v>
      </c>
      <c r="E264" s="64">
        <f t="shared" ca="1" si="328"/>
        <v>2</v>
      </c>
      <c r="F264" s="65"/>
      <c r="G264" s="71" t="s">
        <v>156</v>
      </c>
      <c r="H264" s="67" t="str">
        <f t="shared" ca="1" si="300"/>
        <v>15</v>
      </c>
      <c r="I264" s="72" t="s">
        <v>104</v>
      </c>
      <c r="J264" s="95"/>
      <c r="K264" s="125"/>
      <c r="L264" s="113">
        <f>L265</f>
        <v>3231121.7147836005</v>
      </c>
      <c r="M264" s="72"/>
    </row>
    <row r="265" spans="1:13" ht="20.45" customHeight="1" outlineLevel="1" x14ac:dyDescent="0.55000000000000004">
      <c r="A265" s="63">
        <f ca="1">IF($G265="UNIDADE CONSTRUTIVA",OFFSET(A265,0,0)+1,LARGE(A$3:A264,1))</f>
        <v>2</v>
      </c>
      <c r="B265" s="63">
        <f t="shared" ca="1" si="325"/>
        <v>15</v>
      </c>
      <c r="C265" s="63">
        <f t="shared" ca="1" si="326"/>
        <v>1</v>
      </c>
      <c r="D265" s="64">
        <f t="shared" ca="1" si="327"/>
        <v>0</v>
      </c>
      <c r="E265" s="64">
        <f t="shared" ca="1" si="328"/>
        <v>2</v>
      </c>
      <c r="F265" s="65"/>
      <c r="G265" s="71" t="s">
        <v>157</v>
      </c>
      <c r="H265" s="67" t="str">
        <f t="shared" ca="1" si="300"/>
        <v>15.001</v>
      </c>
      <c r="I265" s="80" t="s">
        <v>104</v>
      </c>
      <c r="J265" s="107"/>
      <c r="K265" s="130"/>
      <c r="L265" s="126">
        <f>SUM(L266:L302)/2</f>
        <v>3231121.7147836005</v>
      </c>
      <c r="M265" s="80"/>
    </row>
    <row r="266" spans="1:13" ht="20.45" customHeight="1" outlineLevel="1" x14ac:dyDescent="0.55000000000000004">
      <c r="A266" s="63">
        <f ca="1">IF($G266="UNIDADE CONSTRUTIVA",OFFSET(A266,0,0)+1,LARGE(A$3:A265,1))</f>
        <v>2</v>
      </c>
      <c r="B266" s="63">
        <f t="shared" ca="1" si="325"/>
        <v>15</v>
      </c>
      <c r="C266" s="63">
        <f t="shared" ca="1" si="326"/>
        <v>1</v>
      </c>
      <c r="D266" s="64">
        <f t="shared" ca="1" si="327"/>
        <v>1</v>
      </c>
      <c r="E266" s="64">
        <f t="shared" ca="1" si="328"/>
        <v>0</v>
      </c>
      <c r="F266" s="65"/>
      <c r="G266" s="73" t="s">
        <v>153</v>
      </c>
      <c r="H266" s="67" t="str">
        <f t="shared" ca="1" si="300"/>
        <v>15.001.001</v>
      </c>
      <c r="I266" s="74" t="s">
        <v>105</v>
      </c>
      <c r="J266" s="96"/>
      <c r="K266" s="127"/>
      <c r="L266" s="115">
        <f>L267</f>
        <v>429663.10964719986</v>
      </c>
      <c r="M266" s="74"/>
    </row>
    <row r="267" spans="1:13" ht="20.45" customHeight="1" outlineLevel="1" x14ac:dyDescent="0.55000000000000004">
      <c r="A267" s="63">
        <f ca="1">IF($G267="UNIDADE CONSTRUTIVA",OFFSET(A267,0,0)+1,LARGE(A$3:A266,1))</f>
        <v>2</v>
      </c>
      <c r="B267" s="63">
        <f t="shared" ref="B267" ca="1" si="409">IF(G267="UNIDADE CONSTRUTIVA",0,IF(G267="CÉLULA CONSTRUTIVA",OFFSET(B267,-1,0)+1,OFFSET(B267,-1,0)))</f>
        <v>15</v>
      </c>
      <c r="C267" s="63">
        <f t="shared" ref="C267" ca="1" si="410">IF(G267="CÉLULA CONSTRUTIVA",0,IF(G267="ETAPA",OFFSET(C267,-1,0)+1,OFFSET(C267,-1,0)))</f>
        <v>1</v>
      </c>
      <c r="D267" s="64">
        <f t="shared" ref="D267" ca="1" si="411">IF(G267="ETAPA",0,IF(G267="SUBETAPA",OFFSET(D267,-1,0)+1,OFFSET(D267,-1,0)))</f>
        <v>1</v>
      </c>
      <c r="E267" s="64">
        <f t="shared" ref="E267" ca="1" si="412">IF(G267="Subetapa",0,IF(G267="serviço",OFFSET(E267,-1,0)+1,OFFSET(E267,-1,0)))</f>
        <v>1</v>
      </c>
      <c r="F267" s="65"/>
      <c r="G267" s="73" t="s">
        <v>154</v>
      </c>
      <c r="H267" s="67" t="str">
        <f t="shared" ref="H267" ca="1" si="413">IF(G267="Unidade Construtiva",TEXT(A267,"00"),IF(G267="Célula Construtiva",TEXT(B267,"00"),IF(G267="Etapa",CONCATENATE(TEXT(B267,"00"),".",TEXT(C267,"000")),IF(G267="Subetapa",CONCATENATE(TEXT(B267,"00"),".",TEXT(C267,"000"),".",TEXT(D267,"000")),IF(G267="Serviço",CONCATENATE(TEXT(B267,"00"),".",TEXT(C267,"000"),".",TEXT(D267,"000"),".",TEXT(E267,"000")),"")))))</f>
        <v>15.001.001.001</v>
      </c>
      <c r="I267" s="74" t="s">
        <v>355</v>
      </c>
      <c r="J267" s="96">
        <v>5971.6071999999986</v>
      </c>
      <c r="K267" s="127" t="s">
        <v>185</v>
      </c>
      <c r="L267" s="115">
        <v>429663.10964719986</v>
      </c>
      <c r="M267" s="74" t="s">
        <v>351</v>
      </c>
    </row>
    <row r="268" spans="1:13" ht="20.45" customHeight="1" outlineLevel="1" x14ac:dyDescent="0.55000000000000004">
      <c r="A268" s="63">
        <f ca="1">IF($G268="UNIDADE CONSTRUTIVA",OFFSET(A268,0,0)+1,LARGE(A$3:A266,1))</f>
        <v>2</v>
      </c>
      <c r="B268" s="63">
        <f t="shared" ca="1" si="325"/>
        <v>15</v>
      </c>
      <c r="C268" s="63">
        <f t="shared" ca="1" si="326"/>
        <v>1</v>
      </c>
      <c r="D268" s="64">
        <f t="shared" ca="1" si="327"/>
        <v>2</v>
      </c>
      <c r="E268" s="64">
        <f t="shared" ca="1" si="328"/>
        <v>0</v>
      </c>
      <c r="F268" s="65"/>
      <c r="G268" s="73" t="s">
        <v>153</v>
      </c>
      <c r="H268" s="67" t="str">
        <f t="shared" ca="1" si="300"/>
        <v>15.001.002</v>
      </c>
      <c r="I268" s="74" t="s">
        <v>328</v>
      </c>
      <c r="J268" s="96"/>
      <c r="K268" s="127"/>
      <c r="L268" s="115">
        <f>SUM(L269:L272)</f>
        <v>160734.60873800004</v>
      </c>
      <c r="M268" s="74"/>
    </row>
    <row r="269" spans="1:13" ht="20.45" customHeight="1" outlineLevel="1" x14ac:dyDescent="0.55000000000000004">
      <c r="A269" s="63">
        <f ca="1">IF($G269="UNIDADE CONSTRUTIVA",OFFSET(A269,0,0)+1,LARGE(A$3:A267,1))</f>
        <v>2</v>
      </c>
      <c r="B269" s="63">
        <f t="shared" ref="B269" ca="1" si="414">IF(G269="UNIDADE CONSTRUTIVA",0,IF(G269="CÉLULA CONSTRUTIVA",OFFSET(B269,-1,0)+1,OFFSET(B269,-1,0)))</f>
        <v>15</v>
      </c>
      <c r="C269" s="63">
        <f t="shared" ref="C269" ca="1" si="415">IF(G269="CÉLULA CONSTRUTIVA",0,IF(G269="ETAPA",OFFSET(C269,-1,0)+1,OFFSET(C269,-1,0)))</f>
        <v>1</v>
      </c>
      <c r="D269" s="64">
        <f t="shared" ref="D269" ca="1" si="416">IF(G269="ETAPA",0,IF(G269="SUBETAPA",OFFSET(D269,-1,0)+1,OFFSET(D269,-1,0)))</f>
        <v>2</v>
      </c>
      <c r="E269" s="64">
        <f t="shared" ref="E269" ca="1" si="417">IF(G269="Subetapa",0,IF(G269="serviço",OFFSET(E269,-1,0)+1,OFFSET(E269,-1,0)))</f>
        <v>1</v>
      </c>
      <c r="F269" s="65"/>
      <c r="G269" s="73" t="s">
        <v>154</v>
      </c>
      <c r="H269" s="67" t="str">
        <f t="shared" ref="H269" ca="1" si="418">IF(G269="Unidade Construtiva",TEXT(A269,"00"),IF(G269="Célula Construtiva",TEXT(B269,"00"),IF(G269="Etapa",CONCATENATE(TEXT(B269,"00"),".",TEXT(C269,"000")),IF(G269="Subetapa",CONCATENATE(TEXT(B269,"00"),".",TEXT(C269,"000"),".",TEXT(D269,"000")),IF(G269="Serviço",CONCATENATE(TEXT(B269,"00"),".",TEXT(C269,"000"),".",TEXT(D269,"000"),".",TEXT(E269,"000")),"")))))</f>
        <v>15.001.002.001</v>
      </c>
      <c r="I269" s="74" t="s">
        <v>439</v>
      </c>
      <c r="J269" s="96">
        <v>595.94000000000005</v>
      </c>
      <c r="K269" s="127" t="s">
        <v>185</v>
      </c>
      <c r="L269" s="115">
        <v>52442.720000000008</v>
      </c>
      <c r="M269" s="74"/>
    </row>
    <row r="270" spans="1:13" ht="20.45" customHeight="1" outlineLevel="1" x14ac:dyDescent="0.55000000000000004">
      <c r="A270" s="63">
        <f ca="1">IF($G270="UNIDADE CONSTRUTIVA",OFFSET(A270,0,0)+1,LARGE(A$3:A268,1))</f>
        <v>2</v>
      </c>
      <c r="B270" s="63">
        <f t="shared" ref="B270:B272" ca="1" si="419">IF(G270="UNIDADE CONSTRUTIVA",0,IF(G270="CÉLULA CONSTRUTIVA",OFFSET(B270,-1,0)+1,OFFSET(B270,-1,0)))</f>
        <v>15</v>
      </c>
      <c r="C270" s="63">
        <f t="shared" ref="C270:C272" ca="1" si="420">IF(G270="CÉLULA CONSTRUTIVA",0,IF(G270="ETAPA",OFFSET(C270,-1,0)+1,OFFSET(C270,-1,0)))</f>
        <v>1</v>
      </c>
      <c r="D270" s="64">
        <f t="shared" ref="D270:D272" ca="1" si="421">IF(G270="ETAPA",0,IF(G270="SUBETAPA",OFFSET(D270,-1,0)+1,OFFSET(D270,-1,0)))</f>
        <v>2</v>
      </c>
      <c r="E270" s="64">
        <f t="shared" ref="E270:E272" ca="1" si="422">IF(G270="Subetapa",0,IF(G270="serviço",OFFSET(E270,-1,0)+1,OFFSET(E270,-1,0)))</f>
        <v>2</v>
      </c>
      <c r="F270" s="65"/>
      <c r="G270" s="73" t="s">
        <v>154</v>
      </c>
      <c r="H270" s="67" t="str">
        <f t="shared" ref="H270:H272" ca="1" si="423">IF(G270="Unidade Construtiva",TEXT(A270,"00"),IF(G270="Célula Construtiva",TEXT(B270,"00"),IF(G270="Etapa",CONCATENATE(TEXT(B270,"00"),".",TEXT(C270,"000")),IF(G270="Subetapa",CONCATENATE(TEXT(B270,"00"),".",TEXT(C270,"000"),".",TEXT(D270,"000")),IF(G270="Serviço",CONCATENATE(TEXT(B270,"00"),".",TEXT(C270,"000"),".",TEXT(D270,"000"),".",TEXT(E270,"000")),"")))))</f>
        <v>15.001.002.002</v>
      </c>
      <c r="I270" s="74" t="s">
        <v>440</v>
      </c>
      <c r="J270" s="96">
        <v>170.03</v>
      </c>
      <c r="K270" s="127" t="s">
        <v>185</v>
      </c>
      <c r="L270" s="115">
        <v>34785.519538000008</v>
      </c>
      <c r="M270" s="74"/>
    </row>
    <row r="271" spans="1:13" ht="20.45" customHeight="1" outlineLevel="1" x14ac:dyDescent="0.55000000000000004">
      <c r="A271" s="63">
        <f ca="1">IF($G271="UNIDADE CONSTRUTIVA",OFFSET(A271,0,0)+1,LARGE(A$3:A269,1))</f>
        <v>2</v>
      </c>
      <c r="B271" s="63">
        <f t="shared" ca="1" si="419"/>
        <v>15</v>
      </c>
      <c r="C271" s="63">
        <f t="shared" ca="1" si="420"/>
        <v>1</v>
      </c>
      <c r="D271" s="64">
        <f t="shared" ca="1" si="421"/>
        <v>2</v>
      </c>
      <c r="E271" s="64">
        <f t="shared" ca="1" si="422"/>
        <v>3</v>
      </c>
      <c r="F271" s="65"/>
      <c r="G271" s="73" t="s">
        <v>154</v>
      </c>
      <c r="H271" s="67" t="str">
        <f t="shared" ca="1" si="423"/>
        <v>15.001.002.003</v>
      </c>
      <c r="I271" s="74" t="s">
        <v>441</v>
      </c>
      <c r="J271" s="96">
        <v>1489.32</v>
      </c>
      <c r="K271" s="127" t="s">
        <v>185</v>
      </c>
      <c r="L271" s="115">
        <v>40956.300000000003</v>
      </c>
      <c r="M271" s="74"/>
    </row>
    <row r="272" spans="1:13" ht="20.45" customHeight="1" outlineLevel="1" x14ac:dyDescent="0.55000000000000004">
      <c r="A272" s="63">
        <f ca="1">IF($G272="UNIDADE CONSTRUTIVA",OFFSET(A272,0,0)+1,LARGE(A$3:A270,1))</f>
        <v>2</v>
      </c>
      <c r="B272" s="63">
        <f t="shared" ca="1" si="419"/>
        <v>15</v>
      </c>
      <c r="C272" s="63">
        <f t="shared" ca="1" si="420"/>
        <v>1</v>
      </c>
      <c r="D272" s="64">
        <f t="shared" ca="1" si="421"/>
        <v>2</v>
      </c>
      <c r="E272" s="64">
        <f t="shared" ca="1" si="422"/>
        <v>4</v>
      </c>
      <c r="F272" s="65"/>
      <c r="G272" s="73" t="s">
        <v>154</v>
      </c>
      <c r="H272" s="67" t="str">
        <f t="shared" ca="1" si="423"/>
        <v>15.001.002.004</v>
      </c>
      <c r="I272" s="74" t="s">
        <v>442</v>
      </c>
      <c r="J272" s="96">
        <v>434.65</v>
      </c>
      <c r="K272" s="127" t="s">
        <v>185</v>
      </c>
      <c r="L272" s="115">
        <v>32550.069200000002</v>
      </c>
      <c r="M272" s="74"/>
    </row>
    <row r="273" spans="1:13" ht="20.45" customHeight="1" outlineLevel="1" x14ac:dyDescent="0.55000000000000004">
      <c r="A273" s="63">
        <f ca="1">IF($G273="UNIDADE CONSTRUTIVA",OFFSET(A273,0,0)+1,LARGE(A$3:A268,1))</f>
        <v>2</v>
      </c>
      <c r="B273" s="63">
        <f t="shared" ca="1" si="325"/>
        <v>15</v>
      </c>
      <c r="C273" s="63">
        <f t="shared" ca="1" si="326"/>
        <v>1</v>
      </c>
      <c r="D273" s="64">
        <f t="shared" ca="1" si="327"/>
        <v>3</v>
      </c>
      <c r="E273" s="64">
        <f t="shared" ca="1" si="328"/>
        <v>0</v>
      </c>
      <c r="F273" s="65"/>
      <c r="G273" s="73" t="s">
        <v>153</v>
      </c>
      <c r="H273" s="67" t="str">
        <f t="shared" ca="1" si="300"/>
        <v>15.001.003</v>
      </c>
      <c r="I273" s="74" t="s">
        <v>106</v>
      </c>
      <c r="J273" s="96"/>
      <c r="K273" s="127"/>
      <c r="L273" s="115">
        <f>SUM(L274:L276)</f>
        <v>40856.970000000008</v>
      </c>
      <c r="M273" s="74"/>
    </row>
    <row r="274" spans="1:13" ht="20.45" customHeight="1" outlineLevel="1" x14ac:dyDescent="0.55000000000000004">
      <c r="A274" s="63">
        <f ca="1">IF($G274="UNIDADE CONSTRUTIVA",OFFSET(A274,0,0)+1,LARGE(A$3:A268,1))</f>
        <v>2</v>
      </c>
      <c r="B274" s="63">
        <f t="shared" ca="1" si="325"/>
        <v>15</v>
      </c>
      <c r="C274" s="63">
        <f t="shared" ca="1" si="326"/>
        <v>1</v>
      </c>
      <c r="D274" s="64">
        <f t="shared" ca="1" si="327"/>
        <v>3</v>
      </c>
      <c r="E274" s="64">
        <f t="shared" ca="1" si="328"/>
        <v>1</v>
      </c>
      <c r="F274" s="65"/>
      <c r="G274" s="73" t="s">
        <v>154</v>
      </c>
      <c r="H274" s="67" t="str">
        <f t="shared" ca="1" si="300"/>
        <v>15.001.003.001</v>
      </c>
      <c r="I274" s="74" t="s">
        <v>356</v>
      </c>
      <c r="J274" s="96"/>
      <c r="K274" s="127"/>
      <c r="L274" s="115"/>
      <c r="M274" s="74" t="s">
        <v>443</v>
      </c>
    </row>
    <row r="275" spans="1:13" ht="20.45" customHeight="1" outlineLevel="1" x14ac:dyDescent="0.55000000000000004">
      <c r="A275" s="63">
        <f ca="1">IF($G275="UNIDADE CONSTRUTIVA",OFFSET(A275,0,0)+1,LARGE(A$3:A268,1))</f>
        <v>2</v>
      </c>
      <c r="B275" s="63">
        <f t="shared" ca="1" si="325"/>
        <v>15</v>
      </c>
      <c r="C275" s="63">
        <f t="shared" ca="1" si="326"/>
        <v>1</v>
      </c>
      <c r="D275" s="64">
        <f t="shared" ca="1" si="327"/>
        <v>3</v>
      </c>
      <c r="E275" s="64">
        <f t="shared" ca="1" si="328"/>
        <v>2</v>
      </c>
      <c r="F275" s="65"/>
      <c r="G275" s="73" t="s">
        <v>154</v>
      </c>
      <c r="H275" s="67" t="str">
        <f t="shared" ca="1" si="300"/>
        <v>15.001.003.002</v>
      </c>
      <c r="I275" s="74" t="s">
        <v>357</v>
      </c>
      <c r="J275" s="96">
        <v>1061.22</v>
      </c>
      <c r="K275" s="127" t="s">
        <v>185</v>
      </c>
      <c r="L275" s="115">
        <v>40856.970000000008</v>
      </c>
      <c r="M275" s="74"/>
    </row>
    <row r="276" spans="1:13" ht="20.45" customHeight="1" outlineLevel="1" x14ac:dyDescent="0.55000000000000004">
      <c r="A276" s="63">
        <f ca="1">IF($G276="UNIDADE CONSTRUTIVA",OFFSET(A276,0,0)+1,LARGE(A$3:A269,1))</f>
        <v>2</v>
      </c>
      <c r="B276" s="63">
        <f t="shared" ref="B276" ca="1" si="424">IF(G276="UNIDADE CONSTRUTIVA",0,IF(G276="CÉLULA CONSTRUTIVA",OFFSET(B276,-1,0)+1,OFFSET(B276,-1,0)))</f>
        <v>15</v>
      </c>
      <c r="C276" s="63">
        <f t="shared" ref="C276" ca="1" si="425">IF(G276="CÉLULA CONSTRUTIVA",0,IF(G276="ETAPA",OFFSET(C276,-1,0)+1,OFFSET(C276,-1,0)))</f>
        <v>1</v>
      </c>
      <c r="D276" s="64">
        <f t="shared" ref="D276" ca="1" si="426">IF(G276="ETAPA",0,IF(G276="SUBETAPA",OFFSET(D276,-1,0)+1,OFFSET(D276,-1,0)))</f>
        <v>3</v>
      </c>
      <c r="E276" s="64">
        <f t="shared" ref="E276" ca="1" si="427">IF(G276="Subetapa",0,IF(G276="serviço",OFFSET(E276,-1,0)+1,OFFSET(E276,-1,0)))</f>
        <v>3</v>
      </c>
      <c r="F276" s="65"/>
      <c r="G276" s="73" t="s">
        <v>154</v>
      </c>
      <c r="H276" s="67" t="str">
        <f t="shared" ref="H276" ca="1" si="428">IF(G276="Unidade Construtiva",TEXT(A276,"00"),IF(G276="Célula Construtiva",TEXT(B276,"00"),IF(G276="Etapa",CONCATENATE(TEXT(B276,"00"),".",TEXT(C276,"000")),IF(G276="Subetapa",CONCATENATE(TEXT(B276,"00"),".",TEXT(C276,"000"),".",TEXT(D276,"000")),IF(G276="Serviço",CONCATENATE(TEXT(B276,"00"),".",TEXT(C276,"000"),".",TEXT(D276,"000"),".",TEXT(E276,"000")),"")))))</f>
        <v>15.001.003.003</v>
      </c>
      <c r="I276" s="74" t="s">
        <v>358</v>
      </c>
      <c r="J276" s="96"/>
      <c r="K276" s="127"/>
      <c r="L276" s="115"/>
      <c r="M276" s="74" t="s">
        <v>443</v>
      </c>
    </row>
    <row r="277" spans="1:13" ht="20.45" customHeight="1" outlineLevel="1" x14ac:dyDescent="0.55000000000000004">
      <c r="A277" s="63">
        <f ca="1">IF($G277="UNIDADE CONSTRUTIVA",OFFSET(A277,0,0)+1,LARGE(A$3:A273,1))</f>
        <v>2</v>
      </c>
      <c r="B277" s="63">
        <f t="shared" ca="1" si="325"/>
        <v>15</v>
      </c>
      <c r="C277" s="63">
        <f t="shared" ca="1" si="326"/>
        <v>1</v>
      </c>
      <c r="D277" s="64">
        <f t="shared" ca="1" si="327"/>
        <v>4</v>
      </c>
      <c r="E277" s="64">
        <f t="shared" ca="1" si="328"/>
        <v>0</v>
      </c>
      <c r="F277" s="65"/>
      <c r="G277" s="73" t="s">
        <v>153</v>
      </c>
      <c r="H277" s="67" t="str">
        <f t="shared" ca="1" si="300"/>
        <v>15.001.004</v>
      </c>
      <c r="I277" s="74" t="s">
        <v>107</v>
      </c>
      <c r="J277" s="96"/>
      <c r="K277" s="127"/>
      <c r="L277" s="115">
        <f>SUM(L278:L280)</f>
        <v>452854.21159440011</v>
      </c>
      <c r="M277" s="74"/>
    </row>
    <row r="278" spans="1:13" outlineLevel="1" x14ac:dyDescent="0.55000000000000004">
      <c r="A278" s="63">
        <f ca="1">IF($G278="UNIDADE CONSTRUTIVA",OFFSET(A278,0,0)+1,LARGE(A$3:A277,1))</f>
        <v>2</v>
      </c>
      <c r="B278" s="63">
        <f t="shared" ref="B278" ca="1" si="429">IF(G278="UNIDADE CONSTRUTIVA",0,IF(G278="CÉLULA CONSTRUTIVA",OFFSET(B278,-1,0)+1,OFFSET(B278,-1,0)))</f>
        <v>15</v>
      </c>
      <c r="C278" s="63">
        <f t="shared" ref="C278" ca="1" si="430">IF(G278="CÉLULA CONSTRUTIVA",0,IF(G278="ETAPA",OFFSET(C278,-1,0)+1,OFFSET(C278,-1,0)))</f>
        <v>1</v>
      </c>
      <c r="D278" s="64">
        <f t="shared" ref="D278" ca="1" si="431">IF(G278="ETAPA",0,IF(G278="SUBETAPA",OFFSET(D278,-1,0)+1,OFFSET(D278,-1,0)))</f>
        <v>4</v>
      </c>
      <c r="E278" s="64">
        <f t="shared" ref="E278" ca="1" si="432">IF(G278="Subetapa",0,IF(G278="serviço",OFFSET(E278,-1,0)+1,OFFSET(E278,-1,0)))</f>
        <v>1</v>
      </c>
      <c r="F278" s="65"/>
      <c r="G278" s="73" t="s">
        <v>154</v>
      </c>
      <c r="H278" s="67" t="str">
        <f t="shared" ref="H278" ca="1" si="433">IF(G278="Unidade Construtiva",TEXT(A278,"00"),IF(G278="Célula Construtiva",TEXT(B278,"00"),IF(G278="Etapa",CONCATENATE(TEXT(B278,"00"),".",TEXT(C278,"000")),IF(G278="Subetapa",CONCATENATE(TEXT(B278,"00"),".",TEXT(C278,"000"),".",TEXT(D278,"000")),IF(G278="Serviço",CONCATENATE(TEXT(B278,"00"),".",TEXT(C278,"000"),".",TEXT(D278,"000"),".",TEXT(E278,"000")),"")))))</f>
        <v>15.001.004.001</v>
      </c>
      <c r="I278" s="74" t="s">
        <v>446</v>
      </c>
      <c r="J278" s="128">
        <f>'[6]Acabamentos de Piso e Parede'!$B$16</f>
        <v>1758.5900000000004</v>
      </c>
      <c r="K278" s="127" t="s">
        <v>185</v>
      </c>
      <c r="L278" s="115">
        <v>275426.84862000006</v>
      </c>
      <c r="M278" s="191" t="s">
        <v>352</v>
      </c>
    </row>
    <row r="279" spans="1:13" outlineLevel="1" x14ac:dyDescent="0.55000000000000004">
      <c r="A279" s="63">
        <f ca="1">IF($G279="UNIDADE CONSTRUTIVA",OFFSET(A279,0,0)+1,LARGE(A$3:A278,1))</f>
        <v>2</v>
      </c>
      <c r="B279" s="63">
        <f t="shared" ref="B279" ca="1" si="434">IF(G279="UNIDADE CONSTRUTIVA",0,IF(G279="CÉLULA CONSTRUTIVA",OFFSET(B279,-1,0)+1,OFFSET(B279,-1,0)))</f>
        <v>15</v>
      </c>
      <c r="C279" s="63">
        <f t="shared" ref="C279" ca="1" si="435">IF(G279="CÉLULA CONSTRUTIVA",0,IF(G279="ETAPA",OFFSET(C279,-1,0)+1,OFFSET(C279,-1,0)))</f>
        <v>1</v>
      </c>
      <c r="D279" s="64">
        <f t="shared" ref="D279" ca="1" si="436">IF(G279="ETAPA",0,IF(G279="SUBETAPA",OFFSET(D279,-1,0)+1,OFFSET(D279,-1,0)))</f>
        <v>4</v>
      </c>
      <c r="E279" s="64">
        <f t="shared" ref="E279" ca="1" si="437">IF(G279="Subetapa",0,IF(G279="serviço",OFFSET(E279,-1,0)+1,OFFSET(E279,-1,0)))</f>
        <v>2</v>
      </c>
      <c r="F279" s="65"/>
      <c r="G279" s="73" t="s">
        <v>154</v>
      </c>
      <c r="H279" s="67" t="str">
        <f t="shared" ref="H279" ca="1" si="438">IF(G279="Unidade Construtiva",TEXT(A279,"00"),IF(G279="Célula Construtiva",TEXT(B279,"00"),IF(G279="Etapa",CONCATENATE(TEXT(B279,"00"),".",TEXT(C279,"000")),IF(G279="Subetapa",CONCATENATE(TEXT(B279,"00"),".",TEXT(C279,"000"),".",TEXT(D279,"000")),IF(G279="Serviço",CONCATENATE(TEXT(B279,"00"),".",TEXT(C279,"000"),".",TEXT(D279,"000"),".",TEXT(E279,"000")),"")))))</f>
        <v>15.001.004.002</v>
      </c>
      <c r="I279" s="74" t="s">
        <v>447</v>
      </c>
      <c r="J279" s="128">
        <v>1073.9700000000005</v>
      </c>
      <c r="K279" s="127" t="s">
        <v>185</v>
      </c>
      <c r="L279" s="115">
        <v>148911.31035000007</v>
      </c>
      <c r="M279" s="192"/>
    </row>
    <row r="280" spans="1:13" outlineLevel="1" x14ac:dyDescent="0.55000000000000004">
      <c r="A280" s="63">
        <f ca="1">IF($G280="UNIDADE CONSTRUTIVA",OFFSET(A280,0,0)+1,LARGE(A$3:A279,1))</f>
        <v>2</v>
      </c>
      <c r="B280" s="63">
        <f t="shared" ref="B280" ca="1" si="439">IF(G280="UNIDADE CONSTRUTIVA",0,IF(G280="CÉLULA CONSTRUTIVA",OFFSET(B280,-1,0)+1,OFFSET(B280,-1,0)))</f>
        <v>15</v>
      </c>
      <c r="C280" s="63">
        <f t="shared" ref="C280" ca="1" si="440">IF(G280="CÉLULA CONSTRUTIVA",0,IF(G280="ETAPA",OFFSET(C280,-1,0)+1,OFFSET(C280,-1,0)))</f>
        <v>1</v>
      </c>
      <c r="D280" s="64">
        <f t="shared" ref="D280" ca="1" si="441">IF(G280="ETAPA",0,IF(G280="SUBETAPA",OFFSET(D280,-1,0)+1,OFFSET(D280,-1,0)))</f>
        <v>4</v>
      </c>
      <c r="E280" s="64">
        <f t="shared" ref="E280" ca="1" si="442">IF(G280="Subetapa",0,IF(G280="serviço",OFFSET(E280,-1,0)+1,OFFSET(E280,-1,0)))</f>
        <v>3</v>
      </c>
      <c r="F280" s="65"/>
      <c r="G280" s="73" t="s">
        <v>154</v>
      </c>
      <c r="H280" s="67" t="str">
        <f t="shared" ref="H280" ca="1" si="443">IF(G280="Unidade Construtiva",TEXT(A280,"00"),IF(G280="Célula Construtiva",TEXT(B280,"00"),IF(G280="Etapa",CONCATENATE(TEXT(B280,"00"),".",TEXT(C280,"000")),IF(G280="Subetapa",CONCATENATE(TEXT(B280,"00"),".",TEXT(C280,"000"),".",TEXT(D280,"000")),IF(G280="Serviço",CONCATENATE(TEXT(B280,"00"),".",TEXT(C280,"000"),".",TEXT(D280,"000"),".",TEXT(E280,"000")),"")))))</f>
        <v>15.001.004.003</v>
      </c>
      <c r="I280" s="74" t="s">
        <v>450</v>
      </c>
      <c r="J280" s="128">
        <f>'[6]Acabamentos de Piso e Parede'!$B$21</f>
        <v>173.03220000000002</v>
      </c>
      <c r="K280" s="127" t="s">
        <v>185</v>
      </c>
      <c r="L280" s="115">
        <v>28516.052624400003</v>
      </c>
      <c r="M280" s="74"/>
    </row>
    <row r="281" spans="1:13" ht="20.45" customHeight="1" outlineLevel="1" x14ac:dyDescent="0.55000000000000004">
      <c r="A281" s="63">
        <f ca="1">IF($G281="UNIDADE CONSTRUTIVA",OFFSET(A281,0,0)+1,LARGE(A$3:A278,1))</f>
        <v>2</v>
      </c>
      <c r="B281" s="63">
        <f t="shared" ref="B281" ca="1" si="444">IF(G281="UNIDADE CONSTRUTIVA",0,IF(G281="CÉLULA CONSTRUTIVA",OFFSET(B281,-1,0)+1,OFFSET(B281,-1,0)))</f>
        <v>15</v>
      </c>
      <c r="C281" s="63">
        <f t="shared" ref="C281" ca="1" si="445">IF(G281="CÉLULA CONSTRUTIVA",0,IF(G281="ETAPA",OFFSET(C281,-1,0)+1,OFFSET(C281,-1,0)))</f>
        <v>1</v>
      </c>
      <c r="D281" s="64">
        <f t="shared" ref="D281" ca="1" si="446">IF(G281="ETAPA",0,IF(G281="SUBETAPA",OFFSET(D281,-1,0)+1,OFFSET(D281,-1,0)))</f>
        <v>5</v>
      </c>
      <c r="E281" s="64">
        <f t="shared" ref="E281" ca="1" si="447">IF(G281="Subetapa",0,IF(G281="serviço",OFFSET(E281,-1,0)+1,OFFSET(E281,-1,0)))</f>
        <v>0</v>
      </c>
      <c r="F281" s="65"/>
      <c r="G281" s="73" t="s">
        <v>153</v>
      </c>
      <c r="H281" s="67" t="str">
        <f t="shared" ref="H281" ca="1" si="448">IF(G281="Unidade Construtiva",TEXT(A281,"00"),IF(G281="Célula Construtiva",TEXT(B281,"00"),IF(G281="Etapa",CONCATENATE(TEXT(B281,"00"),".",TEXT(C281,"000")),IF(G281="Subetapa",CONCATENATE(TEXT(B281,"00"),".",TEXT(C281,"000"),".",TEXT(D281,"000")),IF(G281="Serviço",CONCATENATE(TEXT(B281,"00"),".",TEXT(C281,"000"),".",TEXT(D281,"000"),".",TEXT(E281,"000")),"")))))</f>
        <v>15.001.005</v>
      </c>
      <c r="I281" s="74" t="s">
        <v>108</v>
      </c>
      <c r="J281" s="96"/>
      <c r="K281" s="127"/>
      <c r="L281" s="115"/>
      <c r="M281" s="74"/>
    </row>
    <row r="282" spans="1:13" ht="20.45" customHeight="1" outlineLevel="1" x14ac:dyDescent="0.55000000000000004">
      <c r="A282" s="63">
        <f ca="1">IF($G282="UNIDADE CONSTRUTIVA",OFFSET(A282,0,0)+1,LARGE(A$3:A278,1))</f>
        <v>2</v>
      </c>
      <c r="B282" s="63">
        <f t="shared" ca="1" si="325"/>
        <v>15</v>
      </c>
      <c r="C282" s="63">
        <f t="shared" ca="1" si="326"/>
        <v>1</v>
      </c>
      <c r="D282" s="64">
        <f t="shared" ca="1" si="327"/>
        <v>6</v>
      </c>
      <c r="E282" s="64">
        <f t="shared" ca="1" si="328"/>
        <v>0</v>
      </c>
      <c r="F282" s="65"/>
      <c r="G282" s="73" t="s">
        <v>153</v>
      </c>
      <c r="H282" s="67" t="str">
        <f t="shared" ca="1" si="300"/>
        <v>15.001.006</v>
      </c>
      <c r="I282" s="74" t="s">
        <v>109</v>
      </c>
      <c r="J282" s="96"/>
      <c r="K282" s="127"/>
      <c r="L282" s="115">
        <f>SUM(L283:L285)</f>
        <v>351436.78020000004</v>
      </c>
      <c r="M282" s="74"/>
    </row>
    <row r="283" spans="1:13" ht="20.45" customHeight="1" outlineLevel="1" x14ac:dyDescent="0.55000000000000004">
      <c r="A283" s="63">
        <f ca="1">IF($G283="UNIDADE CONSTRUTIVA",OFFSET(A283,0,0)+1,LARGE(A$3:A281,1))</f>
        <v>2</v>
      </c>
      <c r="B283" s="63">
        <f t="shared" ref="B283" ca="1" si="449">IF(G283="UNIDADE CONSTRUTIVA",0,IF(G283="CÉLULA CONSTRUTIVA",OFFSET(B283,-1,0)+1,OFFSET(B283,-1,0)))</f>
        <v>15</v>
      </c>
      <c r="C283" s="63">
        <f t="shared" ref="C283" ca="1" si="450">IF(G283="CÉLULA CONSTRUTIVA",0,IF(G283="ETAPA",OFFSET(C283,-1,0)+1,OFFSET(C283,-1,0)))</f>
        <v>1</v>
      </c>
      <c r="D283" s="64">
        <f t="shared" ref="D283" ca="1" si="451">IF(G283="ETAPA",0,IF(G283="SUBETAPA",OFFSET(D283,-1,0)+1,OFFSET(D283,-1,0)))</f>
        <v>6</v>
      </c>
      <c r="E283" s="64">
        <f t="shared" ref="E283" ca="1" si="452">IF(G283="Subetapa",0,IF(G283="serviço",OFFSET(E283,-1,0)+1,OFFSET(E283,-1,0)))</f>
        <v>1</v>
      </c>
      <c r="F283" s="65"/>
      <c r="G283" s="73" t="s">
        <v>154</v>
      </c>
      <c r="H283" s="67" t="str">
        <f t="shared" ref="H283" ca="1" si="453">IF(G283="Unidade Construtiva",TEXT(A283,"00"),IF(G283="Célula Construtiva",TEXT(B283,"00"),IF(G283="Etapa",CONCATENATE(TEXT(B283,"00"),".",TEXT(C283,"000")),IF(G283="Subetapa",CONCATENATE(TEXT(B283,"00"),".",TEXT(C283,"000"),".",TEXT(D283,"000")),IF(G283="Serviço",CONCATENATE(TEXT(B283,"00"),".",TEXT(C283,"000"),".",TEXT(D283,"000"),".",TEXT(E283,"000")),"")))))</f>
        <v>15.001.006.001</v>
      </c>
      <c r="I283" s="74" t="s">
        <v>637</v>
      </c>
      <c r="J283" s="128">
        <f>'[6]Acabamentos de Piso e Parede'!$B$19</f>
        <v>5.46</v>
      </c>
      <c r="K283" s="127" t="s">
        <v>185</v>
      </c>
      <c r="L283" s="115">
        <v>11147.136</v>
      </c>
      <c r="M283" s="74"/>
    </row>
    <row r="284" spans="1:13" ht="20.45" customHeight="1" outlineLevel="1" x14ac:dyDescent="0.55000000000000004">
      <c r="A284" s="63">
        <f ca="1">IF($G284="UNIDADE CONSTRUTIVA",OFFSET(A284,0,0)+1,LARGE(A$3:A282,1))</f>
        <v>2</v>
      </c>
      <c r="B284" s="63">
        <f t="shared" ref="B284" ca="1" si="454">IF(G284="UNIDADE CONSTRUTIVA",0,IF(G284="CÉLULA CONSTRUTIVA",OFFSET(B284,-1,0)+1,OFFSET(B284,-1,0)))</f>
        <v>15</v>
      </c>
      <c r="C284" s="63">
        <f t="shared" ref="C284" ca="1" si="455">IF(G284="CÉLULA CONSTRUTIVA",0,IF(G284="ETAPA",OFFSET(C284,-1,0)+1,OFFSET(C284,-1,0)))</f>
        <v>1</v>
      </c>
      <c r="D284" s="64">
        <f t="shared" ref="D284" ca="1" si="456">IF(G284="ETAPA",0,IF(G284="SUBETAPA",OFFSET(D284,-1,0)+1,OFFSET(D284,-1,0)))</f>
        <v>6</v>
      </c>
      <c r="E284" s="64">
        <f t="shared" ref="E284" ca="1" si="457">IF(G284="Subetapa",0,IF(G284="serviço",OFFSET(E284,-1,0)+1,OFFSET(E284,-1,0)))</f>
        <v>2</v>
      </c>
      <c r="F284" s="65"/>
      <c r="G284" s="73" t="s">
        <v>154</v>
      </c>
      <c r="H284" s="67" t="str">
        <f t="shared" ref="H284" ca="1" si="458">IF(G284="Unidade Construtiva",TEXT(A284,"00"),IF(G284="Célula Construtiva",TEXT(B284,"00"),IF(G284="Etapa",CONCATENATE(TEXT(B284,"00"),".",TEXT(C284,"000")),IF(G284="Subetapa",CONCATENATE(TEXT(B284,"00"),".",TEXT(C284,"000"),".",TEXT(D284,"000")),IF(G284="Serviço",CONCATENATE(TEXT(B284,"00"),".",TEXT(C284,"000"),".",TEXT(D284,"000"),".",TEXT(E284,"000")),"")))))</f>
        <v>15.001.006.002</v>
      </c>
      <c r="I284" s="74" t="s">
        <v>448</v>
      </c>
      <c r="J284" s="128">
        <f>'[6]Acabamentos de Piso e Parede'!$B$18</f>
        <v>16.443000000000001</v>
      </c>
      <c r="K284" s="127" t="s">
        <v>185</v>
      </c>
      <c r="L284" s="115">
        <v>33570.028800000007</v>
      </c>
      <c r="M284" s="74"/>
    </row>
    <row r="285" spans="1:13" ht="20.45" customHeight="1" outlineLevel="1" x14ac:dyDescent="0.55000000000000004">
      <c r="A285" s="63">
        <f ca="1">IF($G285="UNIDADE CONSTRUTIVA",OFFSET(A285,0,0)+1,LARGE(A$3:A283,1))</f>
        <v>2</v>
      </c>
      <c r="B285" s="63">
        <f t="shared" ref="B285" ca="1" si="459">IF(G285="UNIDADE CONSTRUTIVA",0,IF(G285="CÉLULA CONSTRUTIVA",OFFSET(B285,-1,0)+1,OFFSET(B285,-1,0)))</f>
        <v>15</v>
      </c>
      <c r="C285" s="63">
        <f t="shared" ref="C285" ca="1" si="460">IF(G285="CÉLULA CONSTRUTIVA",0,IF(G285="ETAPA",OFFSET(C285,-1,0)+1,OFFSET(C285,-1,0)))</f>
        <v>1</v>
      </c>
      <c r="D285" s="64">
        <f t="shared" ref="D285" ca="1" si="461">IF(G285="ETAPA",0,IF(G285="SUBETAPA",OFFSET(D285,-1,0)+1,OFFSET(D285,-1,0)))</f>
        <v>6</v>
      </c>
      <c r="E285" s="64">
        <f t="shared" ref="E285" ca="1" si="462">IF(G285="Subetapa",0,IF(G285="serviço",OFFSET(E285,-1,0)+1,OFFSET(E285,-1,0)))</f>
        <v>3</v>
      </c>
      <c r="F285" s="65"/>
      <c r="G285" s="73" t="s">
        <v>154</v>
      </c>
      <c r="H285" s="67" t="str">
        <f t="shared" ref="H285" ca="1" si="463">IF(G285="Unidade Construtiva",TEXT(A285,"00"),IF(G285="Célula Construtiva",TEXT(B285,"00"),IF(G285="Etapa",CONCATENATE(TEXT(B285,"00"),".",TEXT(C285,"000")),IF(G285="Subetapa",CONCATENATE(TEXT(B285,"00"),".",TEXT(C285,"000"),".",TEXT(D285,"000")),IF(G285="Serviço",CONCATENATE(TEXT(B285,"00"),".",TEXT(C285,"000"),".",TEXT(D285,"000"),".",TEXT(E285,"000")),"")))))</f>
        <v>15.001.006.003</v>
      </c>
      <c r="I285" s="83" t="s">
        <v>449</v>
      </c>
      <c r="J285" s="128">
        <v>1401.1859999999999</v>
      </c>
      <c r="K285" s="127" t="s">
        <v>185</v>
      </c>
      <c r="L285" s="115">
        <v>306719.61540000001</v>
      </c>
      <c r="M285" s="74"/>
    </row>
    <row r="286" spans="1:13" ht="20.45" customHeight="1" outlineLevel="1" x14ac:dyDescent="0.55000000000000004">
      <c r="A286" s="63">
        <f ca="1">IF($G286="UNIDADE CONSTRUTIVA",OFFSET(A286,0,0)+1,LARGE(A$3:A282,1))</f>
        <v>2</v>
      </c>
      <c r="B286" s="63">
        <f t="shared" ca="1" si="325"/>
        <v>15</v>
      </c>
      <c r="C286" s="63">
        <f t="shared" ca="1" si="326"/>
        <v>1</v>
      </c>
      <c r="D286" s="64">
        <f t="shared" ca="1" si="327"/>
        <v>7</v>
      </c>
      <c r="E286" s="64">
        <f t="shared" ca="1" si="328"/>
        <v>0</v>
      </c>
      <c r="F286" s="65"/>
      <c r="G286" s="73" t="s">
        <v>153</v>
      </c>
      <c r="H286" s="67" t="str">
        <f t="shared" ca="1" si="300"/>
        <v>15.001.007</v>
      </c>
      <c r="I286" s="74" t="s">
        <v>99</v>
      </c>
      <c r="J286" s="96"/>
      <c r="K286" s="127"/>
      <c r="L286" s="115">
        <f>SUM(L287:L288)</f>
        <v>744234.9859999998</v>
      </c>
      <c r="M286" s="74"/>
    </row>
    <row r="287" spans="1:13" ht="20.45" customHeight="1" outlineLevel="1" x14ac:dyDescent="0.55000000000000004">
      <c r="A287" s="63">
        <f ca="1">IF($G287="UNIDADE CONSTRUTIVA",OFFSET(A287,0,0)+1,LARGE(A$3:A286,1))</f>
        <v>2</v>
      </c>
      <c r="B287" s="63">
        <f t="shared" ref="B287" ca="1" si="464">IF(G287="UNIDADE CONSTRUTIVA",0,IF(G287="CÉLULA CONSTRUTIVA",OFFSET(B287,-1,0)+1,OFFSET(B287,-1,0)))</f>
        <v>15</v>
      </c>
      <c r="C287" s="63">
        <f t="shared" ref="C287" ca="1" si="465">IF(G287="CÉLULA CONSTRUTIVA",0,IF(G287="ETAPA",OFFSET(C287,-1,0)+1,OFFSET(C287,-1,0)))</f>
        <v>1</v>
      </c>
      <c r="D287" s="64">
        <f t="shared" ref="D287" ca="1" si="466">IF(G287="ETAPA",0,IF(G287="SUBETAPA",OFFSET(D287,-1,0)+1,OFFSET(D287,-1,0)))</f>
        <v>7</v>
      </c>
      <c r="E287" s="64">
        <f t="shared" ref="E287" ca="1" si="467">IF(G287="Subetapa",0,IF(G287="serviço",OFFSET(E287,-1,0)+1,OFFSET(E287,-1,0)))</f>
        <v>1</v>
      </c>
      <c r="F287" s="65"/>
      <c r="G287" s="73" t="s">
        <v>154</v>
      </c>
      <c r="H287" s="67" t="str">
        <f t="shared" ref="H287" ca="1" si="468">IF(G287="Unidade Construtiva",TEXT(A287,"00"),IF(G287="Célula Construtiva",TEXT(B287,"00"),IF(G287="Etapa",CONCATENATE(TEXT(B287,"00"),".",TEXT(C287,"000")),IF(G287="Subetapa",CONCATENATE(TEXT(B287,"00"),".",TEXT(C287,"000"),".",TEXT(D287,"000")),IF(G287="Serviço",CONCATENATE(TEXT(B287,"00"),".",TEXT(C287,"000"),".",TEXT(D287,"000"),".",TEXT(E287,"000")),"")))))</f>
        <v>15.001.007.001</v>
      </c>
      <c r="I287" s="74" t="s">
        <v>454</v>
      </c>
      <c r="J287" s="128">
        <f>'[6]Acabamentos de Piso e Parede'!$B$17</f>
        <v>1379.6399999999996</v>
      </c>
      <c r="K287" s="127" t="s">
        <v>185</v>
      </c>
      <c r="L287" s="115">
        <v>572136.70799999987</v>
      </c>
      <c r="M287" s="74" t="s">
        <v>353</v>
      </c>
    </row>
    <row r="288" spans="1:13" ht="20.45" customHeight="1" outlineLevel="1" x14ac:dyDescent="0.55000000000000004">
      <c r="A288" s="63">
        <f ca="1">IF($G288="UNIDADE CONSTRUTIVA",OFFSET(A288,0,0)+1,LARGE(A$3:A287,1))</f>
        <v>2</v>
      </c>
      <c r="B288" s="63">
        <f t="shared" ref="B288" ca="1" si="469">IF(G288="UNIDADE CONSTRUTIVA",0,IF(G288="CÉLULA CONSTRUTIVA",OFFSET(B288,-1,0)+1,OFFSET(B288,-1,0)))</f>
        <v>15</v>
      </c>
      <c r="C288" s="63">
        <f t="shared" ref="C288" ca="1" si="470">IF(G288="CÉLULA CONSTRUTIVA",0,IF(G288="ETAPA",OFFSET(C288,-1,0)+1,OFFSET(C288,-1,0)))</f>
        <v>1</v>
      </c>
      <c r="D288" s="64">
        <f t="shared" ref="D288" ca="1" si="471">IF(G288="ETAPA",0,IF(G288="SUBETAPA",OFFSET(D288,-1,0)+1,OFFSET(D288,-1,0)))</f>
        <v>7</v>
      </c>
      <c r="E288" s="64">
        <f t="shared" ref="E288" ca="1" si="472">IF(G288="Subetapa",0,IF(G288="serviço",OFFSET(E288,-1,0)+1,OFFSET(E288,-1,0)))</f>
        <v>2</v>
      </c>
      <c r="F288" s="65"/>
      <c r="G288" s="73" t="s">
        <v>154</v>
      </c>
      <c r="H288" s="67" t="str">
        <f t="shared" ref="H288" ca="1" si="473">IF(G288="Unidade Construtiva",TEXT(A288,"00"),IF(G288="Célula Construtiva",TEXT(B288,"00"),IF(G288="Etapa",CONCATENATE(TEXT(B288,"00"),".",TEXT(C288,"000")),IF(G288="Subetapa",CONCATENATE(TEXT(B288,"00"),".",TEXT(C288,"000"),".",TEXT(D288,"000")),IF(G288="Serviço",CONCATENATE(TEXT(B288,"00"),".",TEXT(C288,"000"),".",TEXT(D288,"000"),".",TEXT(E288,"000")),"")))))</f>
        <v>15.001.007.002</v>
      </c>
      <c r="I288" s="74" t="s">
        <v>455</v>
      </c>
      <c r="J288" s="128">
        <f>'[6]Acabamentos de Piso e Parede'!$B$20</f>
        <v>525.00999999999988</v>
      </c>
      <c r="K288" s="127" t="s">
        <v>185</v>
      </c>
      <c r="L288" s="115">
        <v>172098.27799999996</v>
      </c>
      <c r="M288" s="74" t="s">
        <v>354</v>
      </c>
    </row>
    <row r="289" spans="1:13" ht="20.45" customHeight="1" outlineLevel="1" x14ac:dyDescent="0.55000000000000004">
      <c r="A289" s="63">
        <f ca="1">IF($G289="UNIDADE CONSTRUTIVA",OFFSET(A289,0,0)+1,LARGE(A$3:A286,1))</f>
        <v>2</v>
      </c>
      <c r="B289" s="63">
        <f t="shared" ca="1" si="325"/>
        <v>15</v>
      </c>
      <c r="C289" s="63">
        <f t="shared" ca="1" si="326"/>
        <v>1</v>
      </c>
      <c r="D289" s="64">
        <f t="shared" ca="1" si="327"/>
        <v>8</v>
      </c>
      <c r="E289" s="64">
        <f t="shared" ca="1" si="328"/>
        <v>0</v>
      </c>
      <c r="F289" s="65"/>
      <c r="G289" s="73" t="s">
        <v>153</v>
      </c>
      <c r="H289" s="67" t="str">
        <f t="shared" ca="1" si="300"/>
        <v>15.001.008</v>
      </c>
      <c r="I289" s="74" t="s">
        <v>110</v>
      </c>
      <c r="J289" s="96"/>
      <c r="K289" s="127"/>
      <c r="L289" s="115">
        <f>SUM(L290:L291)</f>
        <v>308873.55140400003</v>
      </c>
      <c r="M289" s="74"/>
    </row>
    <row r="290" spans="1:13" ht="20.45" customHeight="1" outlineLevel="1" x14ac:dyDescent="0.55000000000000004">
      <c r="A290" s="63">
        <f ca="1">IF($G290="UNIDADE CONSTRUTIVA",OFFSET(A290,0,0)+1,LARGE(A$3:A287,1))</f>
        <v>2</v>
      </c>
      <c r="B290" s="63">
        <f t="shared" ref="B290" ca="1" si="474">IF(G290="UNIDADE CONSTRUTIVA",0,IF(G290="CÉLULA CONSTRUTIVA",OFFSET(B290,-1,0)+1,OFFSET(B290,-1,0)))</f>
        <v>15</v>
      </c>
      <c r="C290" s="63">
        <f t="shared" ref="C290" ca="1" si="475">IF(G290="CÉLULA CONSTRUTIVA",0,IF(G290="ETAPA",OFFSET(C290,-1,0)+1,OFFSET(C290,-1,0)))</f>
        <v>1</v>
      </c>
      <c r="D290" s="64">
        <f t="shared" ref="D290" ca="1" si="476">IF(G290="ETAPA",0,IF(G290="SUBETAPA",OFFSET(D290,-1,0)+1,OFFSET(D290,-1,0)))</f>
        <v>8</v>
      </c>
      <c r="E290" s="64">
        <f t="shared" ref="E290" ca="1" si="477">IF(G290="Subetapa",0,IF(G290="serviço",OFFSET(E290,-1,0)+1,OFFSET(E290,-1,0)))</f>
        <v>1</v>
      </c>
      <c r="F290" s="65"/>
      <c r="G290" s="73" t="s">
        <v>154</v>
      </c>
      <c r="H290" s="67" t="str">
        <f t="shared" ref="H290" ca="1" si="478">IF(G290="Unidade Construtiva",TEXT(A290,"00"),IF(G290="Célula Construtiva",TEXT(B290,"00"),IF(G290="Etapa",CONCATENATE(TEXT(B290,"00"),".",TEXT(C290,"000")),IF(G290="Subetapa",CONCATENATE(TEXT(B290,"00"),".",TEXT(C290,"000"),".",TEXT(D290,"000")),IF(G290="Serviço",CONCATENATE(TEXT(B290,"00"),".",TEXT(C290,"000"),".",TEXT(D290,"000"),".",TEXT(E290,"000")),"")))))</f>
        <v>15.001.008.001</v>
      </c>
      <c r="I290" s="74" t="s">
        <v>359</v>
      </c>
      <c r="J290" s="128">
        <v>3399.072000000001</v>
      </c>
      <c r="K290" s="127" t="s">
        <v>183</v>
      </c>
      <c r="L290" s="115">
        <v>74480.465664000047</v>
      </c>
      <c r="M290" s="74"/>
    </row>
    <row r="291" spans="1:13" ht="20.45" customHeight="1" outlineLevel="1" x14ac:dyDescent="0.55000000000000004">
      <c r="A291" s="63">
        <f ca="1">IF($G291="UNIDADE CONSTRUTIVA",OFFSET(A291,0,0)+1,LARGE(A$3:A289,1))</f>
        <v>2</v>
      </c>
      <c r="B291" s="63">
        <f t="shared" ref="B291" ca="1" si="479">IF(G291="UNIDADE CONSTRUTIVA",0,IF(G291="CÉLULA CONSTRUTIVA",OFFSET(B291,-1,0)+1,OFFSET(B291,-1,0)))</f>
        <v>15</v>
      </c>
      <c r="C291" s="63">
        <f t="shared" ref="C291" ca="1" si="480">IF(G291="CÉLULA CONSTRUTIVA",0,IF(G291="ETAPA",OFFSET(C291,-1,0)+1,OFFSET(C291,-1,0)))</f>
        <v>1</v>
      </c>
      <c r="D291" s="64">
        <f t="shared" ref="D291" ca="1" si="481">IF(G291="ETAPA",0,IF(G291="SUBETAPA",OFFSET(D291,-1,0)+1,OFFSET(D291,-1,0)))</f>
        <v>8</v>
      </c>
      <c r="E291" s="64">
        <f t="shared" ref="E291" ca="1" si="482">IF(G291="Subetapa",0,IF(G291="serviço",OFFSET(E291,-1,0)+1,OFFSET(E291,-1,0)))</f>
        <v>2</v>
      </c>
      <c r="F291" s="65"/>
      <c r="G291" s="73" t="s">
        <v>154</v>
      </c>
      <c r="H291" s="67" t="str">
        <f t="shared" ref="H291" ca="1" si="483">IF(G291="Unidade Construtiva",TEXT(A291,"00"),IF(G291="Célula Construtiva",TEXT(B291,"00"),IF(G291="Etapa",CONCATENATE(TEXT(B291,"00"),".",TEXT(C291,"000")),IF(G291="Subetapa",CONCATENATE(TEXT(B291,"00"),".",TEXT(C291,"000"),".",TEXT(D291,"000")),IF(G291="Serviço",CONCATENATE(TEXT(B291,"00"),".",TEXT(C291,"000"),".",TEXT(D291,"000"),".",TEXT(E291,"000")),"")))))</f>
        <v>15.001.008.002</v>
      </c>
      <c r="I291" s="74" t="s">
        <v>360</v>
      </c>
      <c r="J291" s="128">
        <v>2285.5799999999995</v>
      </c>
      <c r="K291" s="127" t="s">
        <v>183</v>
      </c>
      <c r="L291" s="115">
        <v>234393.08573999998</v>
      </c>
      <c r="M291" s="74"/>
    </row>
    <row r="292" spans="1:13" ht="20.45" customHeight="1" outlineLevel="1" x14ac:dyDescent="0.55000000000000004">
      <c r="A292" s="63">
        <f ca="1">IF($G292="UNIDADE CONSTRUTIVA",OFFSET(A292,0,0)+1,LARGE(A$3:A289,1))</f>
        <v>2</v>
      </c>
      <c r="B292" s="63">
        <f t="shared" ca="1" si="325"/>
        <v>15</v>
      </c>
      <c r="C292" s="63">
        <f t="shared" ca="1" si="326"/>
        <v>1</v>
      </c>
      <c r="D292" s="64">
        <f t="shared" ca="1" si="327"/>
        <v>9</v>
      </c>
      <c r="E292" s="64">
        <f t="shared" ca="1" si="328"/>
        <v>0</v>
      </c>
      <c r="F292" s="65"/>
      <c r="G292" s="73" t="s">
        <v>153</v>
      </c>
      <c r="H292" s="67" t="str">
        <f t="shared" ca="1" si="300"/>
        <v>15.001.009</v>
      </c>
      <c r="I292" s="74" t="s">
        <v>111</v>
      </c>
      <c r="J292" s="96"/>
      <c r="K292" s="127"/>
      <c r="L292" s="115">
        <f>SUM(L293)</f>
        <v>7179.4800000000014</v>
      </c>
      <c r="M292" s="74"/>
    </row>
    <row r="293" spans="1:13" ht="20.45" customHeight="1" outlineLevel="1" x14ac:dyDescent="0.55000000000000004">
      <c r="A293" s="63">
        <f ca="1">IF($G293="UNIDADE CONSTRUTIVA",OFFSET(A293,0,0)+1,LARGE(A$3:A290,1))</f>
        <v>2</v>
      </c>
      <c r="B293" s="63">
        <f t="shared" ref="B293" ca="1" si="484">IF(G293="UNIDADE CONSTRUTIVA",0,IF(G293="CÉLULA CONSTRUTIVA",OFFSET(B293,-1,0)+1,OFFSET(B293,-1,0)))</f>
        <v>15</v>
      </c>
      <c r="C293" s="63">
        <f t="shared" ref="C293" ca="1" si="485">IF(G293="CÉLULA CONSTRUTIVA",0,IF(G293="ETAPA",OFFSET(C293,-1,0)+1,OFFSET(C293,-1,0)))</f>
        <v>1</v>
      </c>
      <c r="D293" s="64">
        <f t="shared" ref="D293" ca="1" si="486">IF(G293="ETAPA",0,IF(G293="SUBETAPA",OFFSET(D293,-1,0)+1,OFFSET(D293,-1,0)))</f>
        <v>9</v>
      </c>
      <c r="E293" s="64">
        <f t="shared" ref="E293" ca="1" si="487">IF(G293="Subetapa",0,IF(G293="serviço",OFFSET(E293,-1,0)+1,OFFSET(E293,-1,0)))</f>
        <v>1</v>
      </c>
      <c r="F293" s="65"/>
      <c r="G293" s="73" t="s">
        <v>154</v>
      </c>
      <c r="H293" s="67" t="str">
        <f t="shared" ref="H293" ca="1" si="488">IF(G293="Unidade Construtiva",TEXT(A293,"00"),IF(G293="Célula Construtiva",TEXT(B293,"00"),IF(G293="Etapa",CONCATENATE(TEXT(B293,"00"),".",TEXT(C293,"000")),IF(G293="Subetapa",CONCATENATE(TEXT(B293,"00"),".",TEXT(C293,"000"),".",TEXT(D293,"000")),IF(G293="Serviço",CONCATENATE(TEXT(B293,"00"),".",TEXT(C293,"000"),".",TEXT(D293,"000"),".",TEXT(E293,"000")),"")))))</f>
        <v>15.001.009.001</v>
      </c>
      <c r="I293" s="74" t="s">
        <v>361</v>
      </c>
      <c r="J293" s="96">
        <v>66.600000000000009</v>
      </c>
      <c r="K293" s="127" t="s">
        <v>183</v>
      </c>
      <c r="L293" s="115">
        <v>7179.4800000000014</v>
      </c>
      <c r="M293" s="74" t="s">
        <v>362</v>
      </c>
    </row>
    <row r="294" spans="1:13" ht="20.45" customHeight="1" outlineLevel="1" x14ac:dyDescent="0.55000000000000004">
      <c r="A294" s="63">
        <f ca="1">IF($G294="UNIDADE CONSTRUTIVA",OFFSET(A294,0,0)+1,LARGE(A$3:A292,1))</f>
        <v>2</v>
      </c>
      <c r="B294" s="63">
        <f t="shared" ca="1" si="325"/>
        <v>15</v>
      </c>
      <c r="C294" s="63">
        <f t="shared" ca="1" si="326"/>
        <v>1</v>
      </c>
      <c r="D294" s="64">
        <f t="shared" ca="1" si="327"/>
        <v>10</v>
      </c>
      <c r="E294" s="64">
        <f t="shared" ca="1" si="328"/>
        <v>0</v>
      </c>
      <c r="F294" s="65"/>
      <c r="G294" s="73" t="s">
        <v>153</v>
      </c>
      <c r="H294" s="67" t="str">
        <f t="shared" ca="1" si="300"/>
        <v>15.001.010</v>
      </c>
      <c r="I294" s="74" t="s">
        <v>39</v>
      </c>
      <c r="J294" s="96"/>
      <c r="K294" s="127"/>
      <c r="L294" s="115">
        <f>SUM(L295:L302)</f>
        <v>735288.0172</v>
      </c>
      <c r="M294" s="74"/>
    </row>
    <row r="295" spans="1:13" ht="20.45" customHeight="1" outlineLevel="1" x14ac:dyDescent="0.55000000000000004">
      <c r="A295" s="63">
        <f ca="1">IF($G295="UNIDADE CONSTRUTIVA",OFFSET(A295,0,0)+1,LARGE(A$3:A293,1))</f>
        <v>2</v>
      </c>
      <c r="B295" s="63">
        <f t="shared" ref="B295:B302" ca="1" si="489">IF(G295="UNIDADE CONSTRUTIVA",0,IF(G295="CÉLULA CONSTRUTIVA",OFFSET(B295,-1,0)+1,OFFSET(B295,-1,0)))</f>
        <v>15</v>
      </c>
      <c r="C295" s="63">
        <f t="shared" ref="C295:C302" ca="1" si="490">IF(G295="CÉLULA CONSTRUTIVA",0,IF(G295="ETAPA",OFFSET(C295,-1,0)+1,OFFSET(C295,-1,0)))</f>
        <v>1</v>
      </c>
      <c r="D295" s="64">
        <f t="shared" ref="D295:D302" ca="1" si="491">IF(G295="ETAPA",0,IF(G295="SUBETAPA",OFFSET(D295,-1,0)+1,OFFSET(D295,-1,0)))</f>
        <v>10</v>
      </c>
      <c r="E295" s="64">
        <f t="shared" ref="E295:E302" ca="1" si="492">IF(G295="Subetapa",0,IF(G295="serviço",OFFSET(E295,-1,0)+1,OFFSET(E295,-1,0)))</f>
        <v>1</v>
      </c>
      <c r="F295" s="65"/>
      <c r="G295" s="73" t="s">
        <v>154</v>
      </c>
      <c r="H295" s="67" t="str">
        <f t="shared" ref="H295:H302" ca="1" si="493">IF(G295="Unidade Construtiva",TEXT(A295,"00"),IF(G295="Célula Construtiva",TEXT(B295,"00"),IF(G295="Etapa",CONCATENATE(TEXT(B295,"00"),".",TEXT(C295,"000")),IF(G295="Subetapa",CONCATENATE(TEXT(B295,"00"),".",TEXT(C295,"000"),".",TEXT(D295,"000")),IF(G295="Serviço",CONCATENATE(TEXT(B295,"00"),".",TEXT(C295,"000"),".",TEXT(D295,"000"),".",TEXT(E295,"000")),"")))))</f>
        <v>15.001.010.001</v>
      </c>
      <c r="I295" s="74" t="s">
        <v>363</v>
      </c>
      <c r="J295" s="96">
        <f>J267</f>
        <v>5971.6071999999986</v>
      </c>
      <c r="K295" s="127" t="s">
        <v>185</v>
      </c>
      <c r="L295" s="115">
        <v>229906.87719999996</v>
      </c>
      <c r="M295" s="74"/>
    </row>
    <row r="296" spans="1:13" ht="20.45" customHeight="1" outlineLevel="1" x14ac:dyDescent="0.55000000000000004">
      <c r="A296" s="63">
        <f ca="1">IF($G296="UNIDADE CONSTRUTIVA",OFFSET(A296,0,0)+1,LARGE(A$3:A294,1))</f>
        <v>2</v>
      </c>
      <c r="B296" s="63">
        <f t="shared" ca="1" si="489"/>
        <v>15</v>
      </c>
      <c r="C296" s="63">
        <f t="shared" ca="1" si="490"/>
        <v>1</v>
      </c>
      <c r="D296" s="64">
        <f t="shared" ca="1" si="491"/>
        <v>10</v>
      </c>
      <c r="E296" s="64">
        <f t="shared" ca="1" si="492"/>
        <v>2</v>
      </c>
      <c r="F296" s="65"/>
      <c r="G296" s="73" t="s">
        <v>154</v>
      </c>
      <c r="H296" s="67" t="str">
        <f t="shared" ca="1" si="493"/>
        <v>15.001.010.002</v>
      </c>
      <c r="I296" s="74" t="s">
        <v>365</v>
      </c>
      <c r="J296" s="96"/>
      <c r="K296" s="127"/>
      <c r="L296" s="115"/>
      <c r="M296" s="74"/>
    </row>
    <row r="297" spans="1:13" ht="20.45" customHeight="1" outlineLevel="1" x14ac:dyDescent="0.55000000000000004">
      <c r="A297" s="63">
        <f ca="1">IF($G297="UNIDADE CONSTRUTIVA",OFFSET(A297,0,0)+1,LARGE(A$3:A296,1))</f>
        <v>2</v>
      </c>
      <c r="B297" s="63">
        <f t="shared" ca="1" si="489"/>
        <v>15</v>
      </c>
      <c r="C297" s="63">
        <f t="shared" ca="1" si="490"/>
        <v>1</v>
      </c>
      <c r="D297" s="64">
        <f t="shared" ca="1" si="491"/>
        <v>10</v>
      </c>
      <c r="E297" s="64">
        <f t="shared" ca="1" si="492"/>
        <v>3</v>
      </c>
      <c r="F297" s="65"/>
      <c r="G297" s="73" t="s">
        <v>154</v>
      </c>
      <c r="H297" s="67" t="str">
        <f t="shared" ca="1" si="493"/>
        <v>15.001.010.003</v>
      </c>
      <c r="I297" s="74" t="s">
        <v>364</v>
      </c>
      <c r="J297" s="128">
        <f>J278+J279</f>
        <v>2832.5600000000009</v>
      </c>
      <c r="K297" s="127" t="s">
        <v>185</v>
      </c>
      <c r="L297" s="115">
        <v>130864.27200000004</v>
      </c>
      <c r="M297" s="74"/>
    </row>
    <row r="298" spans="1:13" ht="20.45" customHeight="1" outlineLevel="1" x14ac:dyDescent="0.55000000000000004">
      <c r="A298" s="63">
        <f ca="1">IF($G298="UNIDADE CONSTRUTIVA",OFFSET(A298,0,0)+1,LARGE(A$3:A296,1))</f>
        <v>2</v>
      </c>
      <c r="B298" s="63">
        <f t="shared" ref="B298" ca="1" si="494">IF(G298="UNIDADE CONSTRUTIVA",0,IF(G298="CÉLULA CONSTRUTIVA",OFFSET(B298,-1,0)+1,OFFSET(B298,-1,0)))</f>
        <v>15</v>
      </c>
      <c r="C298" s="63">
        <f t="shared" ref="C298" ca="1" si="495">IF(G298="CÉLULA CONSTRUTIVA",0,IF(G298="ETAPA",OFFSET(C298,-1,0)+1,OFFSET(C298,-1,0)))</f>
        <v>1</v>
      </c>
      <c r="D298" s="64">
        <f t="shared" ref="D298" ca="1" si="496">IF(G298="ETAPA",0,IF(G298="SUBETAPA",OFFSET(D298,-1,0)+1,OFFSET(D298,-1,0)))</f>
        <v>10</v>
      </c>
      <c r="E298" s="64">
        <f t="shared" ref="E298" ca="1" si="497">IF(G298="Subetapa",0,IF(G298="serviço",OFFSET(E298,-1,0)+1,OFFSET(E298,-1,0)))</f>
        <v>4</v>
      </c>
      <c r="F298" s="65"/>
      <c r="G298" s="73" t="s">
        <v>154</v>
      </c>
      <c r="H298" s="67" t="str">
        <f t="shared" ref="H298" ca="1" si="498">IF(G298="Unidade Construtiva",TEXT(A298,"00"),IF(G298="Célula Construtiva",TEXT(B298,"00"),IF(G298="Etapa",CONCATENATE(TEXT(B298,"00"),".",TEXT(C298,"000")),IF(G298="Subetapa",CONCATENATE(TEXT(B298,"00"),".",TEXT(C298,"000"),".",TEXT(D298,"000")),IF(G298="Serviço",CONCATENATE(TEXT(B298,"00"),".",TEXT(C298,"000"),".",TEXT(D298,"000"),".",TEXT(E298,"000")),"")))))</f>
        <v>15.001.010.004</v>
      </c>
      <c r="I298" s="74" t="s">
        <v>451</v>
      </c>
      <c r="J298" s="128">
        <f>J280</f>
        <v>173.03220000000002</v>
      </c>
      <c r="K298" s="127" t="s">
        <v>185</v>
      </c>
      <c r="L298" s="115">
        <v>165698.54400000002</v>
      </c>
      <c r="M298" s="74"/>
    </row>
    <row r="299" spans="1:13" ht="20.45" customHeight="1" outlineLevel="1" x14ac:dyDescent="0.55000000000000004">
      <c r="A299" s="63">
        <f ca="1">IF($G299="UNIDADE CONSTRUTIVA",OFFSET(A299,0,0)+1,LARGE(A$3:A296,1))</f>
        <v>2</v>
      </c>
      <c r="B299" s="63">
        <f t="shared" ca="1" si="489"/>
        <v>15</v>
      </c>
      <c r="C299" s="63">
        <f t="shared" ca="1" si="490"/>
        <v>1</v>
      </c>
      <c r="D299" s="64">
        <f t="shared" ca="1" si="491"/>
        <v>10</v>
      </c>
      <c r="E299" s="64">
        <f t="shared" ca="1" si="492"/>
        <v>5</v>
      </c>
      <c r="F299" s="65"/>
      <c r="G299" s="73" t="s">
        <v>154</v>
      </c>
      <c r="H299" s="67" t="str">
        <f t="shared" ca="1" si="493"/>
        <v>15.001.010.005</v>
      </c>
      <c r="I299" s="74" t="s">
        <v>366</v>
      </c>
      <c r="J299" s="128">
        <f>J283+J284</f>
        <v>21.903000000000002</v>
      </c>
      <c r="K299" s="127" t="s">
        <v>185</v>
      </c>
      <c r="L299" s="115">
        <v>1011.9186000000001</v>
      </c>
      <c r="M299" s="74"/>
    </row>
    <row r="300" spans="1:13" ht="20.45" customHeight="1" outlineLevel="1" x14ac:dyDescent="0.55000000000000004">
      <c r="A300" s="63">
        <f ca="1">IF($G300="UNIDADE CONSTRUTIVA",OFFSET(A300,0,0)+1,LARGE(A$3:A297,1))</f>
        <v>2</v>
      </c>
      <c r="B300" s="63">
        <f t="shared" ca="1" si="489"/>
        <v>15</v>
      </c>
      <c r="C300" s="63">
        <f t="shared" ca="1" si="490"/>
        <v>1</v>
      </c>
      <c r="D300" s="64">
        <f t="shared" ca="1" si="491"/>
        <v>10</v>
      </c>
      <c r="E300" s="64">
        <f t="shared" ca="1" si="492"/>
        <v>6</v>
      </c>
      <c r="F300" s="65"/>
      <c r="G300" s="73" t="s">
        <v>154</v>
      </c>
      <c r="H300" s="67" t="str">
        <f t="shared" ca="1" si="493"/>
        <v>15.001.010.006</v>
      </c>
      <c r="I300" s="74" t="s">
        <v>452</v>
      </c>
      <c r="J300" s="128">
        <f>J285</f>
        <v>1401.1859999999999</v>
      </c>
      <c r="K300" s="127" t="s">
        <v>185</v>
      </c>
      <c r="L300" s="115">
        <v>69358.706999999995</v>
      </c>
      <c r="M300" s="74"/>
    </row>
    <row r="301" spans="1:13" ht="20.45" customHeight="1" outlineLevel="1" x14ac:dyDescent="0.55000000000000004">
      <c r="A301" s="63">
        <f ca="1">IF($G301="UNIDADE CONSTRUTIVA",OFFSET(A301,0,0)+1,LARGE(A$3:A300,1))</f>
        <v>2</v>
      </c>
      <c r="B301" s="63">
        <f t="shared" ca="1" si="489"/>
        <v>15</v>
      </c>
      <c r="C301" s="63">
        <f t="shared" ca="1" si="490"/>
        <v>1</v>
      </c>
      <c r="D301" s="64">
        <f t="shared" ca="1" si="491"/>
        <v>10</v>
      </c>
      <c r="E301" s="64">
        <f t="shared" ca="1" si="492"/>
        <v>7</v>
      </c>
      <c r="F301" s="65"/>
      <c r="G301" s="73" t="s">
        <v>154</v>
      </c>
      <c r="H301" s="67" t="str">
        <f t="shared" ca="1" si="493"/>
        <v>15.001.010.007</v>
      </c>
      <c r="I301" s="74" t="s">
        <v>453</v>
      </c>
      <c r="J301" s="128">
        <f>J290+J291</f>
        <v>5684.652</v>
      </c>
      <c r="K301" s="127" t="s">
        <v>183</v>
      </c>
      <c r="L301" s="115">
        <v>137568.5784</v>
      </c>
      <c r="M301" s="74"/>
    </row>
    <row r="302" spans="1:13" ht="20.45" customHeight="1" outlineLevel="1" x14ac:dyDescent="0.55000000000000004">
      <c r="A302" s="63">
        <f ca="1">IF($G302="UNIDADE CONSTRUTIVA",OFFSET(A302,0,0)+1,LARGE(A$3:A301,1))</f>
        <v>2</v>
      </c>
      <c r="B302" s="63">
        <f t="shared" ca="1" si="489"/>
        <v>15</v>
      </c>
      <c r="C302" s="63">
        <f t="shared" ca="1" si="490"/>
        <v>1</v>
      </c>
      <c r="D302" s="64">
        <f t="shared" ca="1" si="491"/>
        <v>10</v>
      </c>
      <c r="E302" s="64">
        <f t="shared" ca="1" si="492"/>
        <v>8</v>
      </c>
      <c r="F302" s="65"/>
      <c r="G302" s="73" t="s">
        <v>154</v>
      </c>
      <c r="H302" s="67" t="str">
        <f t="shared" ca="1" si="493"/>
        <v>15.001.010.008</v>
      </c>
      <c r="I302" s="74" t="s">
        <v>367</v>
      </c>
      <c r="J302" s="96">
        <f>J293</f>
        <v>66.600000000000009</v>
      </c>
      <c r="K302" s="127" t="s">
        <v>183</v>
      </c>
      <c r="L302" s="115">
        <v>879.12000000000012</v>
      </c>
      <c r="M302" s="74"/>
    </row>
    <row r="303" spans="1:13" ht="20.45" customHeight="1" x14ac:dyDescent="0.55000000000000004">
      <c r="A303" s="63">
        <f ca="1">IF($G303="UNIDADE CONSTRUTIVA",OFFSET(A303,0,0)+1,LARGE(A$3:A294,1))</f>
        <v>2</v>
      </c>
      <c r="B303" s="63">
        <f t="shared" ca="1" si="325"/>
        <v>16</v>
      </c>
      <c r="C303" s="63">
        <f t="shared" ca="1" si="326"/>
        <v>0</v>
      </c>
      <c r="D303" s="64">
        <f t="shared" ca="1" si="327"/>
        <v>10</v>
      </c>
      <c r="E303" s="64">
        <f t="shared" ca="1" si="328"/>
        <v>8</v>
      </c>
      <c r="F303" s="65"/>
      <c r="G303" s="71" t="s">
        <v>156</v>
      </c>
      <c r="H303" s="67" t="str">
        <f t="shared" ca="1" si="300"/>
        <v>16</v>
      </c>
      <c r="I303" s="72" t="s">
        <v>112</v>
      </c>
      <c r="J303" s="95"/>
      <c r="K303" s="125"/>
      <c r="L303" s="113">
        <f>L304</f>
        <v>890237.64839746011</v>
      </c>
      <c r="M303" s="72"/>
    </row>
    <row r="304" spans="1:13" ht="20.45" customHeight="1" outlineLevel="1" x14ac:dyDescent="0.55000000000000004">
      <c r="A304" s="63">
        <f ca="1">IF($G304="UNIDADE CONSTRUTIVA",OFFSET(A304,0,0)+1,LARGE(A$3:A303,1))</f>
        <v>2</v>
      </c>
      <c r="B304" s="63">
        <f t="shared" ca="1" si="325"/>
        <v>16</v>
      </c>
      <c r="C304" s="63">
        <f t="shared" ca="1" si="326"/>
        <v>1</v>
      </c>
      <c r="D304" s="64">
        <f t="shared" ca="1" si="327"/>
        <v>0</v>
      </c>
      <c r="E304" s="64">
        <f t="shared" ca="1" si="328"/>
        <v>8</v>
      </c>
      <c r="F304" s="65"/>
      <c r="G304" s="71" t="s">
        <v>157</v>
      </c>
      <c r="H304" s="67" t="str">
        <f t="shared" ca="1" si="300"/>
        <v>16.001</v>
      </c>
      <c r="I304" s="80" t="s">
        <v>113</v>
      </c>
      <c r="J304" s="107"/>
      <c r="K304" s="130"/>
      <c r="L304" s="126">
        <f>SUM(L305:L321)/2</f>
        <v>890237.64839746011</v>
      </c>
      <c r="M304" s="80"/>
    </row>
    <row r="305" spans="1:13" ht="20.45" customHeight="1" outlineLevel="1" x14ac:dyDescent="0.55000000000000004">
      <c r="A305" s="63">
        <f ca="1">IF($G305="UNIDADE CONSTRUTIVA",OFFSET(A305,0,0)+1,LARGE(A$3:A304,1))</f>
        <v>2</v>
      </c>
      <c r="B305" s="63">
        <f t="shared" ca="1" si="325"/>
        <v>16</v>
      </c>
      <c r="C305" s="63">
        <f t="shared" ca="1" si="326"/>
        <v>1</v>
      </c>
      <c r="D305" s="64">
        <f t="shared" ca="1" si="327"/>
        <v>1</v>
      </c>
      <c r="E305" s="64">
        <f t="shared" ca="1" si="328"/>
        <v>0</v>
      </c>
      <c r="F305" s="65"/>
      <c r="G305" s="73" t="s">
        <v>153</v>
      </c>
      <c r="H305" s="67" t="str">
        <f t="shared" ref="H305:H323" ca="1" si="499">IF(G305="Unidade Construtiva",TEXT(A305,"00"),IF(G305="Célula Construtiva",TEXT(B305,"00"),IF(G305="Etapa",CONCATENATE(TEXT(B305,"00"),".",TEXT(C305,"000")),IF(G305="Subetapa",CONCATENATE(TEXT(B305,"00"),".",TEXT(C305,"000"),".",TEXT(D305,"000")),IF(G305="Serviço",CONCATENATE(TEXT(B305,"00"),".",TEXT(C305,"000"),".",TEXT(D305,"000"),".",TEXT(E305,"000")),"")))))</f>
        <v>16.001.001</v>
      </c>
      <c r="I305" s="74" t="s">
        <v>114</v>
      </c>
      <c r="J305" s="96"/>
      <c r="K305" s="127"/>
      <c r="L305" s="115">
        <f>SUM(L306:L307)</f>
        <v>12840.762000000002</v>
      </c>
      <c r="M305" s="74"/>
    </row>
    <row r="306" spans="1:13" outlineLevel="1" x14ac:dyDescent="0.55000000000000004">
      <c r="A306" s="63">
        <f ca="1">IF($G306="UNIDADE CONSTRUTIVA",OFFSET(A306,0,0)+1,LARGE(A$3:A304,1))</f>
        <v>2</v>
      </c>
      <c r="B306" s="63">
        <f t="shared" ca="1" si="325"/>
        <v>16</v>
      </c>
      <c r="C306" s="63">
        <f t="shared" ca="1" si="326"/>
        <v>1</v>
      </c>
      <c r="D306" s="64">
        <f t="shared" ca="1" si="327"/>
        <v>1</v>
      </c>
      <c r="E306" s="64">
        <f t="shared" ca="1" si="328"/>
        <v>1</v>
      </c>
      <c r="F306" s="65"/>
      <c r="G306" s="73" t="s">
        <v>154</v>
      </c>
      <c r="H306" s="67" t="str">
        <f t="shared" ca="1" si="499"/>
        <v>16.001.001.001</v>
      </c>
      <c r="I306" s="74" t="s">
        <v>303</v>
      </c>
      <c r="J306" s="131">
        <v>106.12200000000001</v>
      </c>
      <c r="K306" s="127" t="s">
        <v>185</v>
      </c>
      <c r="L306" s="115">
        <v>12840.762000000002</v>
      </c>
      <c r="M306" s="74" t="s">
        <v>459</v>
      </c>
    </row>
    <row r="307" spans="1:13" ht="20.45" customHeight="1" outlineLevel="1" x14ac:dyDescent="0.55000000000000004">
      <c r="A307" s="63">
        <f ca="1">IF($G307="UNIDADE CONSTRUTIVA",OFFSET(A307,0,0)+1,LARGE(A$3:A305,1))</f>
        <v>2</v>
      </c>
      <c r="B307" s="63">
        <f t="shared" ref="B307:B309" ca="1" si="500">IF(G307="UNIDADE CONSTRUTIVA",0,IF(G307="CÉLULA CONSTRUTIVA",OFFSET(B307,-1,0)+1,OFFSET(B307,-1,0)))</f>
        <v>16</v>
      </c>
      <c r="C307" s="63">
        <f t="shared" ref="C307:C309" ca="1" si="501">IF(G307="CÉLULA CONSTRUTIVA",0,IF(G307="ETAPA",OFFSET(C307,-1,0)+1,OFFSET(C307,-1,0)))</f>
        <v>1</v>
      </c>
      <c r="D307" s="64">
        <f t="shared" ref="D307:D309" ca="1" si="502">IF(G307="ETAPA",0,IF(G307="SUBETAPA",OFFSET(D307,-1,0)+1,OFFSET(D307,-1,0)))</f>
        <v>1</v>
      </c>
      <c r="E307" s="64">
        <f t="shared" ref="E307:E309" ca="1" si="503">IF(G307="Subetapa",0,IF(G307="serviço",OFFSET(E307,-1,0)+1,OFFSET(E307,-1,0)))</f>
        <v>2</v>
      </c>
      <c r="F307" s="65"/>
      <c r="G307" s="73" t="s">
        <v>154</v>
      </c>
      <c r="H307" s="67" t="str">
        <f t="shared" ref="H307:H309" ca="1" si="504">IF(G307="Unidade Construtiva",TEXT(A307,"00"),IF(G307="Célula Construtiva",TEXT(B307,"00"),IF(G307="Etapa",CONCATENATE(TEXT(B307,"00"),".",TEXT(C307,"000")),IF(G307="Subetapa",CONCATENATE(TEXT(B307,"00"),".",TEXT(C307,"000"),".",TEXT(D307,"000")),IF(G307="Serviço",CONCATENATE(TEXT(B307,"00"),".",TEXT(C307,"000"),".",TEXT(D307,"000"),".",TEXT(E307,"000")),"")))))</f>
        <v>16.001.001.002</v>
      </c>
      <c r="I307" s="74" t="s">
        <v>304</v>
      </c>
      <c r="J307" s="96"/>
      <c r="K307" s="127" t="s">
        <v>185</v>
      </c>
      <c r="L307" s="115"/>
      <c r="M307" s="74" t="s">
        <v>305</v>
      </c>
    </row>
    <row r="308" spans="1:13" ht="20.45" customHeight="1" outlineLevel="1" x14ac:dyDescent="0.55000000000000004">
      <c r="A308" s="63">
        <f ca="1">IF($G308="UNIDADE CONSTRUTIVA",OFFSET(A308,0,0)+1,LARGE(A$3:A304,1))</f>
        <v>2</v>
      </c>
      <c r="B308" s="63">
        <f t="shared" ca="1" si="500"/>
        <v>16</v>
      </c>
      <c r="C308" s="63">
        <f t="shared" ca="1" si="501"/>
        <v>1</v>
      </c>
      <c r="D308" s="64">
        <f t="shared" ca="1" si="502"/>
        <v>2</v>
      </c>
      <c r="E308" s="64">
        <f t="shared" ca="1" si="503"/>
        <v>0</v>
      </c>
      <c r="F308" s="65"/>
      <c r="G308" s="73" t="s">
        <v>153</v>
      </c>
      <c r="H308" s="67" t="str">
        <f t="shared" ca="1" si="504"/>
        <v>16.001.002</v>
      </c>
      <c r="I308" s="74" t="s">
        <v>115</v>
      </c>
      <c r="J308" s="96"/>
      <c r="K308" s="127"/>
      <c r="L308" s="115">
        <f>SUM(L309:L311)</f>
        <v>166561.75447846003</v>
      </c>
      <c r="M308" s="74"/>
    </row>
    <row r="309" spans="1:13" ht="20.45" customHeight="1" outlineLevel="1" x14ac:dyDescent="0.55000000000000004">
      <c r="A309" s="63">
        <f ca="1">IF($G309="UNIDADE CONSTRUTIVA",OFFSET(A309,0,0)+1,LARGE(A$3:A304,1))</f>
        <v>2</v>
      </c>
      <c r="B309" s="63">
        <f t="shared" ca="1" si="500"/>
        <v>16</v>
      </c>
      <c r="C309" s="63">
        <f t="shared" ca="1" si="501"/>
        <v>1</v>
      </c>
      <c r="D309" s="64">
        <f t="shared" ca="1" si="502"/>
        <v>2</v>
      </c>
      <c r="E309" s="64">
        <f t="shared" ca="1" si="503"/>
        <v>1</v>
      </c>
      <c r="F309" s="65"/>
      <c r="G309" s="73" t="s">
        <v>154</v>
      </c>
      <c r="H309" s="67" t="str">
        <f t="shared" ca="1" si="504"/>
        <v>16.001.002.001</v>
      </c>
      <c r="I309" s="74" t="s">
        <v>308</v>
      </c>
      <c r="J309" s="131">
        <v>11786.34749</v>
      </c>
      <c r="K309" s="127" t="s">
        <v>185</v>
      </c>
      <c r="L309" s="115">
        <v>144429.90214246002</v>
      </c>
      <c r="M309" s="74" t="s">
        <v>311</v>
      </c>
    </row>
    <row r="310" spans="1:13" ht="20.45" customHeight="1" outlineLevel="1" x14ac:dyDescent="0.55000000000000004">
      <c r="A310" s="63">
        <f ca="1">IF($G310="UNIDADE CONSTRUTIVA",OFFSET(A310,0,0)+1,LARGE(A$3:A305,1))</f>
        <v>2</v>
      </c>
      <c r="B310" s="63">
        <f t="shared" ref="B310" ca="1" si="505">IF(G310="UNIDADE CONSTRUTIVA",0,IF(G310="CÉLULA CONSTRUTIVA",OFFSET(B310,-1,0)+1,OFFSET(B310,-1,0)))</f>
        <v>16</v>
      </c>
      <c r="C310" s="63">
        <f t="shared" ref="C310" ca="1" si="506">IF(G310="CÉLULA CONSTRUTIVA",0,IF(G310="ETAPA",OFFSET(C310,-1,0)+1,OFFSET(C310,-1,0)))</f>
        <v>1</v>
      </c>
      <c r="D310" s="64">
        <f t="shared" ref="D310" ca="1" si="507">IF(G310="ETAPA",0,IF(G310="SUBETAPA",OFFSET(D310,-1,0)+1,OFFSET(D310,-1,0)))</f>
        <v>2</v>
      </c>
      <c r="E310" s="64">
        <f t="shared" ref="E310" ca="1" si="508">IF(G310="Subetapa",0,IF(G310="serviço",OFFSET(E310,-1,0)+1,OFFSET(E310,-1,0)))</f>
        <v>2</v>
      </c>
      <c r="F310" s="65"/>
      <c r="G310" s="73" t="s">
        <v>154</v>
      </c>
      <c r="H310" s="67" t="str">
        <f t="shared" ref="H310" ca="1" si="509">IF(G310="Unidade Construtiva",TEXT(A310,"00"),IF(G310="Célula Construtiva",TEXT(B310,"00"),IF(G310="Etapa",CONCATENATE(TEXT(B310,"00"),".",TEXT(C310,"000")),IF(G310="Subetapa",CONCATENATE(TEXT(B310,"00"),".",TEXT(C310,"000"),".",TEXT(D310,"000")),IF(G310="Serviço",CONCATENATE(TEXT(B310,"00"),".",TEXT(C310,"000"),".",TEXT(D310,"000"),".",TEXT(E310,"000")),"")))))</f>
        <v>16.001.002.002</v>
      </c>
      <c r="I310" s="74" t="s">
        <v>309</v>
      </c>
      <c r="J310" s="131"/>
      <c r="K310" s="127"/>
      <c r="L310" s="115"/>
      <c r="M310" s="74"/>
    </row>
    <row r="311" spans="1:13" ht="20.45" customHeight="1" outlineLevel="1" x14ac:dyDescent="0.55000000000000004">
      <c r="A311" s="63">
        <f ca="1">IF($G311="UNIDADE CONSTRUTIVA",OFFSET(A311,0,0)+1,LARGE(A$3:A305,1))</f>
        <v>2</v>
      </c>
      <c r="B311" s="63">
        <f t="shared" ca="1" si="325"/>
        <v>16</v>
      </c>
      <c r="C311" s="63">
        <f t="shared" ca="1" si="326"/>
        <v>1</v>
      </c>
      <c r="D311" s="64">
        <f t="shared" ca="1" si="327"/>
        <v>2</v>
      </c>
      <c r="E311" s="64">
        <f t="shared" ca="1" si="328"/>
        <v>3</v>
      </c>
      <c r="F311" s="65"/>
      <c r="G311" s="73" t="s">
        <v>154</v>
      </c>
      <c r="H311" s="67" t="str">
        <f t="shared" ca="1" si="499"/>
        <v>16.001.002.003</v>
      </c>
      <c r="I311" s="74" t="s">
        <v>306</v>
      </c>
      <c r="J311" s="131">
        <v>2493.1679999999997</v>
      </c>
      <c r="K311" s="127" t="s">
        <v>185</v>
      </c>
      <c r="L311" s="115">
        <v>22131.852336</v>
      </c>
      <c r="M311" s="74" t="s">
        <v>305</v>
      </c>
    </row>
    <row r="312" spans="1:13" ht="20.45" customHeight="1" outlineLevel="1" x14ac:dyDescent="0.55000000000000004">
      <c r="A312" s="63">
        <f ca="1">IF($G312="UNIDADE CONSTRUTIVA",OFFSET(A312,0,0)+1,LARGE(A$3:A308,1))</f>
        <v>2</v>
      </c>
      <c r="B312" s="63">
        <f t="shared" ref="B312:B313" ca="1" si="510">IF(G312="UNIDADE CONSTRUTIVA",0,IF(G312="CÉLULA CONSTRUTIVA",OFFSET(B312,-1,0)+1,OFFSET(B312,-1,0)))</f>
        <v>16</v>
      </c>
      <c r="C312" s="63">
        <f t="shared" ref="C312:C313" ca="1" si="511">IF(G312="CÉLULA CONSTRUTIVA",0,IF(G312="ETAPA",OFFSET(C312,-1,0)+1,OFFSET(C312,-1,0)))</f>
        <v>1</v>
      </c>
      <c r="D312" s="64">
        <f t="shared" ref="D312:D313" ca="1" si="512">IF(G312="ETAPA",0,IF(G312="SUBETAPA",OFFSET(D312,-1,0)+1,OFFSET(D312,-1,0)))</f>
        <v>3</v>
      </c>
      <c r="E312" s="64">
        <f t="shared" ref="E312:E313" ca="1" si="513">IF(G312="Subetapa",0,IF(G312="serviço",OFFSET(E312,-1,0)+1,OFFSET(E312,-1,0)))</f>
        <v>0</v>
      </c>
      <c r="F312" s="65"/>
      <c r="G312" s="73" t="s">
        <v>153</v>
      </c>
      <c r="H312" s="67" t="str">
        <f t="shared" ref="H312:H313" ca="1" si="514">IF(G312="Unidade Construtiva",TEXT(A312,"00"),IF(G312="Célula Construtiva",TEXT(B312,"00"),IF(G312="Etapa",CONCATENATE(TEXT(B312,"00"),".",TEXT(C312,"000")),IF(G312="Subetapa",CONCATENATE(TEXT(B312,"00"),".",TEXT(C312,"000"),".",TEXT(D312,"000")),IF(G312="Serviço",CONCATENATE(TEXT(B312,"00"),".",TEXT(C312,"000"),".",TEXT(D312,"000"),".",TEXT(E312,"000")),"")))))</f>
        <v>16.001.003</v>
      </c>
      <c r="I312" s="74" t="s">
        <v>116</v>
      </c>
      <c r="J312" s="131"/>
      <c r="K312" s="127"/>
      <c r="L312" s="115">
        <f>SUM(L313:L314)</f>
        <v>60331.227671000008</v>
      </c>
      <c r="M312" s="74"/>
    </row>
    <row r="313" spans="1:13" ht="20.45" customHeight="1" outlineLevel="1" x14ac:dyDescent="0.55000000000000004">
      <c r="A313" s="63">
        <f ca="1">IF($G313="UNIDADE CONSTRUTIVA",OFFSET(A313,0,0)+1,LARGE(A$3:A310,1))</f>
        <v>2</v>
      </c>
      <c r="B313" s="63">
        <f t="shared" ca="1" si="510"/>
        <v>16</v>
      </c>
      <c r="C313" s="63">
        <f t="shared" ca="1" si="511"/>
        <v>1</v>
      </c>
      <c r="D313" s="64">
        <f t="shared" ca="1" si="512"/>
        <v>3</v>
      </c>
      <c r="E313" s="64">
        <f t="shared" ca="1" si="513"/>
        <v>1</v>
      </c>
      <c r="F313" s="65"/>
      <c r="G313" s="73" t="s">
        <v>154</v>
      </c>
      <c r="H313" s="67" t="str">
        <f t="shared" ca="1" si="514"/>
        <v>16.001.003.001</v>
      </c>
      <c r="I313" s="74" t="s">
        <v>310</v>
      </c>
      <c r="J313" s="131">
        <v>4082.08</v>
      </c>
      <c r="K313" s="127" t="s">
        <v>185</v>
      </c>
      <c r="L313" s="115">
        <v>50021.808320000004</v>
      </c>
      <c r="M313" s="74" t="s">
        <v>311</v>
      </c>
    </row>
    <row r="314" spans="1:13" ht="20.45" customHeight="1" outlineLevel="1" x14ac:dyDescent="0.55000000000000004">
      <c r="A314" s="63">
        <f ca="1">IF($G314="UNIDADE CONSTRUTIVA",OFFSET(A314,0,0)+1,LARGE(A$3:A311,1))</f>
        <v>2</v>
      </c>
      <c r="B314" s="63">
        <f t="shared" ca="1" si="325"/>
        <v>16</v>
      </c>
      <c r="C314" s="63">
        <f t="shared" ca="1" si="326"/>
        <v>1</v>
      </c>
      <c r="D314" s="64">
        <f t="shared" ca="1" si="327"/>
        <v>3</v>
      </c>
      <c r="E314" s="64">
        <f t="shared" ca="1" si="328"/>
        <v>2</v>
      </c>
      <c r="F314" s="65"/>
      <c r="G314" s="73" t="s">
        <v>154</v>
      </c>
      <c r="H314" s="67" t="str">
        <f t="shared" ca="1" si="499"/>
        <v>16.001.003.002</v>
      </c>
      <c r="I314" s="74" t="s">
        <v>307</v>
      </c>
      <c r="J314" s="131">
        <v>1161.3630000000005</v>
      </c>
      <c r="K314" s="127" t="s">
        <v>185</v>
      </c>
      <c r="L314" s="115">
        <v>10309.419351000006</v>
      </c>
      <c r="M314" s="74" t="s">
        <v>305</v>
      </c>
    </row>
    <row r="315" spans="1:13" ht="20.45" customHeight="1" outlineLevel="1" x14ac:dyDescent="0.55000000000000004">
      <c r="A315" s="63">
        <f ca="1">IF($G315="UNIDADE CONSTRUTIVA",OFFSET(A315,0,0)+1,LARGE(A$3:A314,1))</f>
        <v>2</v>
      </c>
      <c r="B315" s="63">
        <f t="shared" ref="B315:B320" ca="1" si="515">IF(G315="UNIDADE CONSTRUTIVA",0,IF(G315="CÉLULA CONSTRUTIVA",OFFSET(B315,-1,0)+1,OFFSET(B315,-1,0)))</f>
        <v>16</v>
      </c>
      <c r="C315" s="63">
        <f t="shared" ref="C315:C320" ca="1" si="516">IF(G315="CÉLULA CONSTRUTIVA",0,IF(G315="ETAPA",OFFSET(C315,-1,0)+1,OFFSET(C315,-1,0)))</f>
        <v>1</v>
      </c>
      <c r="D315" s="64">
        <f t="shared" ref="D315:D320" ca="1" si="517">IF(G315="ETAPA",0,IF(G315="SUBETAPA",OFFSET(D315,-1,0)+1,OFFSET(D315,-1,0)))</f>
        <v>4</v>
      </c>
      <c r="E315" s="64">
        <f t="shared" ref="E315:E320" ca="1" si="518">IF(G315="Subetapa",0,IF(G315="serviço",OFFSET(E315,-1,0)+1,OFFSET(E315,-1,0)))</f>
        <v>0</v>
      </c>
      <c r="F315" s="65"/>
      <c r="G315" s="73" t="s">
        <v>153</v>
      </c>
      <c r="H315" s="67" t="str">
        <f t="shared" ref="H315:H320" ca="1" si="519">IF(G315="Unidade Construtiva",TEXT(A315,"00"),IF(G315="Célula Construtiva",TEXT(B315,"00"),IF(G315="Etapa",CONCATENATE(TEXT(B315,"00"),".",TEXT(C315,"000")),IF(G315="Subetapa",CONCATENATE(TEXT(B315,"00"),".",TEXT(C315,"000"),".",TEXT(D315,"000")),IF(G315="Serviço",CONCATENATE(TEXT(B315,"00"),".",TEXT(C315,"000"),".",TEXT(D315,"000"),".",TEXT(E315,"000")),"")))))</f>
        <v>16.001.004</v>
      </c>
      <c r="I315" s="74" t="s">
        <v>39</v>
      </c>
      <c r="J315" s="131"/>
      <c r="K315" s="127"/>
      <c r="L315" s="115">
        <f>SUM(L316:L321)</f>
        <v>650503.90424800001</v>
      </c>
      <c r="M315" s="74"/>
    </row>
    <row r="316" spans="1:13" ht="20.45" customHeight="1" outlineLevel="1" x14ac:dyDescent="0.55000000000000004">
      <c r="A316" s="63">
        <f ca="1">IF($G316="UNIDADE CONSTRUTIVA",OFFSET(A316,0,0)+1,LARGE(A$3:A311,1))</f>
        <v>2</v>
      </c>
      <c r="B316" s="63">
        <f t="shared" ca="1" si="515"/>
        <v>16</v>
      </c>
      <c r="C316" s="63">
        <f t="shared" ca="1" si="516"/>
        <v>1</v>
      </c>
      <c r="D316" s="64">
        <f t="shared" ca="1" si="517"/>
        <v>4</v>
      </c>
      <c r="E316" s="64">
        <f t="shared" ca="1" si="518"/>
        <v>1</v>
      </c>
      <c r="F316" s="65"/>
      <c r="G316" s="73" t="s">
        <v>154</v>
      </c>
      <c r="H316" s="67" t="str">
        <f t="shared" ca="1" si="519"/>
        <v>16.001.004.001</v>
      </c>
      <c r="I316" s="74" t="s">
        <v>312</v>
      </c>
      <c r="J316" s="131"/>
      <c r="K316" s="127" t="s">
        <v>185</v>
      </c>
      <c r="L316" s="115"/>
      <c r="M316" s="74"/>
    </row>
    <row r="317" spans="1:13" ht="20.45" customHeight="1" outlineLevel="1" x14ac:dyDescent="0.55000000000000004">
      <c r="A317" s="63">
        <f ca="1">IF($G317="UNIDADE CONSTRUTIVA",OFFSET(A317,0,0)+1,LARGE(A$3:A312,1))</f>
        <v>2</v>
      </c>
      <c r="B317" s="63">
        <f t="shared" ca="1" si="515"/>
        <v>16</v>
      </c>
      <c r="C317" s="63">
        <f t="shared" ca="1" si="516"/>
        <v>1</v>
      </c>
      <c r="D317" s="64">
        <f t="shared" ca="1" si="517"/>
        <v>4</v>
      </c>
      <c r="E317" s="64">
        <f t="shared" ca="1" si="518"/>
        <v>2</v>
      </c>
      <c r="F317" s="65"/>
      <c r="G317" s="73" t="s">
        <v>154</v>
      </c>
      <c r="H317" s="67" t="str">
        <f t="shared" ca="1" si="519"/>
        <v>16.001.004.002</v>
      </c>
      <c r="I317" s="74" t="s">
        <v>313</v>
      </c>
      <c r="J317" s="131"/>
      <c r="K317" s="127" t="s">
        <v>185</v>
      </c>
      <c r="L317" s="115"/>
      <c r="M317" s="74"/>
    </row>
    <row r="318" spans="1:13" ht="20.45" customHeight="1" outlineLevel="1" x14ac:dyDescent="0.55000000000000004">
      <c r="A318" s="63">
        <f ca="1">IF($G318="UNIDADE CONSTRUTIVA",OFFSET(A318,0,0)+1,LARGE(A$3:A311,1))</f>
        <v>2</v>
      </c>
      <c r="B318" s="63">
        <f t="shared" ca="1" si="515"/>
        <v>16</v>
      </c>
      <c r="C318" s="63">
        <f t="shared" ca="1" si="516"/>
        <v>1</v>
      </c>
      <c r="D318" s="64">
        <f t="shared" ca="1" si="517"/>
        <v>4</v>
      </c>
      <c r="E318" s="64">
        <f t="shared" ca="1" si="518"/>
        <v>3</v>
      </c>
      <c r="F318" s="65"/>
      <c r="G318" s="73" t="s">
        <v>154</v>
      </c>
      <c r="H318" s="67" t="str">
        <f t="shared" ca="1" si="519"/>
        <v>16.001.004.003</v>
      </c>
      <c r="I318" s="74" t="s">
        <v>314</v>
      </c>
      <c r="J318" s="131">
        <f>J309</f>
        <v>11786.34749</v>
      </c>
      <c r="K318" s="127" t="s">
        <v>185</v>
      </c>
      <c r="L318" s="115">
        <v>414879.43164800003</v>
      </c>
      <c r="M318" s="74"/>
    </row>
    <row r="319" spans="1:13" ht="20.45" customHeight="1" outlineLevel="1" x14ac:dyDescent="0.55000000000000004">
      <c r="A319" s="63">
        <f ca="1">IF($G319="UNIDADE CONSTRUTIVA",OFFSET(A319,0,0)+1,LARGE(A$3:A312,1))</f>
        <v>2</v>
      </c>
      <c r="B319" s="63">
        <f t="shared" ref="B319" ca="1" si="520">IF(G319="UNIDADE CONSTRUTIVA",0,IF(G319="CÉLULA CONSTRUTIVA",OFFSET(B319,-1,0)+1,OFFSET(B319,-1,0)))</f>
        <v>16</v>
      </c>
      <c r="C319" s="63">
        <f t="shared" ref="C319" ca="1" si="521">IF(G319="CÉLULA CONSTRUTIVA",0,IF(G319="ETAPA",OFFSET(C319,-1,0)+1,OFFSET(C319,-1,0)))</f>
        <v>1</v>
      </c>
      <c r="D319" s="64">
        <f t="shared" ref="D319" ca="1" si="522">IF(G319="ETAPA",0,IF(G319="SUBETAPA",OFFSET(D319,-1,0)+1,OFFSET(D319,-1,0)))</f>
        <v>4</v>
      </c>
      <c r="E319" s="64">
        <f t="shared" ref="E319" ca="1" si="523">IF(G319="Subetapa",0,IF(G319="serviço",OFFSET(E319,-1,0)+1,OFFSET(E319,-1,0)))</f>
        <v>4</v>
      </c>
      <c r="F319" s="65"/>
      <c r="G319" s="73" t="s">
        <v>154</v>
      </c>
      <c r="H319" s="67" t="str">
        <f t="shared" ref="H319" ca="1" si="524">IF(G319="Unidade Construtiva",TEXT(A319,"00"),IF(G319="Célula Construtiva",TEXT(B319,"00"),IF(G319="Etapa",CONCATENATE(TEXT(B319,"00"),".",TEXT(C319,"000")),IF(G319="Subetapa",CONCATENATE(TEXT(B319,"00"),".",TEXT(C319,"000"),".",TEXT(D319,"000")),IF(G319="Serviço",CONCATENATE(TEXT(B319,"00"),".",TEXT(C319,"000"),".",TEXT(D319,"000"),".",TEXT(E319,"000")),"")))))</f>
        <v>16.001.004.004</v>
      </c>
      <c r="I319" s="74" t="s">
        <v>315</v>
      </c>
      <c r="J319" s="131">
        <f>J311</f>
        <v>2493.1679999999997</v>
      </c>
      <c r="K319" s="127" t="s">
        <v>185</v>
      </c>
      <c r="L319" s="115">
        <v>54849.695999999996</v>
      </c>
      <c r="M319" s="74"/>
    </row>
    <row r="320" spans="1:13" ht="20.45" customHeight="1" outlineLevel="1" x14ac:dyDescent="0.55000000000000004">
      <c r="A320" s="63">
        <f ca="1">IF($G320="UNIDADE CONSTRUTIVA",OFFSET(A320,0,0)+1,LARGE(A$3:A313,1))</f>
        <v>2</v>
      </c>
      <c r="B320" s="63">
        <f t="shared" ca="1" si="515"/>
        <v>16</v>
      </c>
      <c r="C320" s="63">
        <f t="shared" ca="1" si="516"/>
        <v>1</v>
      </c>
      <c r="D320" s="64">
        <f t="shared" ca="1" si="517"/>
        <v>4</v>
      </c>
      <c r="E320" s="64">
        <f t="shared" ca="1" si="518"/>
        <v>5</v>
      </c>
      <c r="F320" s="65"/>
      <c r="G320" s="73" t="s">
        <v>154</v>
      </c>
      <c r="H320" s="67" t="str">
        <f t="shared" ca="1" si="519"/>
        <v>16.001.004.005</v>
      </c>
      <c r="I320" s="74" t="s">
        <v>316</v>
      </c>
      <c r="J320" s="131">
        <f>J313</f>
        <v>4082.08</v>
      </c>
      <c r="K320" s="127" t="s">
        <v>185</v>
      </c>
      <c r="L320" s="115">
        <v>152669.79200000002</v>
      </c>
      <c r="M320" s="74"/>
    </row>
    <row r="321" spans="1:13" ht="20.45" customHeight="1" outlineLevel="1" x14ac:dyDescent="0.55000000000000004">
      <c r="A321" s="63">
        <f ca="1">IF($G321="UNIDADE CONSTRUTIVA",OFFSET(A321,0,0)+1,LARGE(A$3:A314,1))</f>
        <v>2</v>
      </c>
      <c r="B321" s="63">
        <f t="shared" ca="1" si="325"/>
        <v>16</v>
      </c>
      <c r="C321" s="63">
        <f t="shared" ca="1" si="326"/>
        <v>1</v>
      </c>
      <c r="D321" s="64">
        <f t="shared" ca="1" si="327"/>
        <v>4</v>
      </c>
      <c r="E321" s="64">
        <f t="shared" ca="1" si="328"/>
        <v>6</v>
      </c>
      <c r="F321" s="65"/>
      <c r="G321" s="73" t="s">
        <v>154</v>
      </c>
      <c r="H321" s="67" t="str">
        <f t="shared" ca="1" si="499"/>
        <v>16.001.004.006</v>
      </c>
      <c r="I321" s="74" t="s">
        <v>317</v>
      </c>
      <c r="J321" s="131">
        <f>J314</f>
        <v>1161.3630000000005</v>
      </c>
      <c r="K321" s="127" t="s">
        <v>185</v>
      </c>
      <c r="L321" s="115">
        <v>28104.984600000014</v>
      </c>
      <c r="M321" s="74"/>
    </row>
    <row r="322" spans="1:13" ht="20.45" customHeight="1" x14ac:dyDescent="0.55000000000000004">
      <c r="A322" s="63">
        <f ca="1">IF($G322="UNIDADE CONSTRUTIVA",OFFSET(A322,0,0)+1,LARGE(A$3:A321,1))</f>
        <v>2</v>
      </c>
      <c r="B322" s="63">
        <f t="shared" ca="1" si="325"/>
        <v>17</v>
      </c>
      <c r="C322" s="63">
        <f t="shared" ca="1" si="326"/>
        <v>0</v>
      </c>
      <c r="D322" s="64">
        <f t="shared" ca="1" si="327"/>
        <v>4</v>
      </c>
      <c r="E322" s="64">
        <f t="shared" ca="1" si="328"/>
        <v>6</v>
      </c>
      <c r="F322" s="65"/>
      <c r="G322" s="71" t="s">
        <v>156</v>
      </c>
      <c r="H322" s="67" t="str">
        <f t="shared" ca="1" si="499"/>
        <v>17</v>
      </c>
      <c r="I322" s="72" t="s">
        <v>117</v>
      </c>
      <c r="J322" s="95"/>
      <c r="K322" s="125"/>
      <c r="L322" s="113">
        <f>L323+L344+L359</f>
        <v>10170063.206222227</v>
      </c>
      <c r="M322" s="72"/>
    </row>
    <row r="323" spans="1:13" ht="20.45" customHeight="1" outlineLevel="1" x14ac:dyDescent="0.55000000000000004">
      <c r="A323" s="63">
        <f ca="1">IF($G323="UNIDADE CONSTRUTIVA",OFFSET(A323,0,0)+1,LARGE(A$3:A322,1))</f>
        <v>2</v>
      </c>
      <c r="B323" s="63">
        <f t="shared" ca="1" si="325"/>
        <v>17</v>
      </c>
      <c r="C323" s="63">
        <f t="shared" ca="1" si="326"/>
        <v>1</v>
      </c>
      <c r="D323" s="64">
        <f t="shared" ca="1" si="327"/>
        <v>0</v>
      </c>
      <c r="E323" s="64">
        <f t="shared" ca="1" si="328"/>
        <v>6</v>
      </c>
      <c r="F323" s="65"/>
      <c r="G323" s="71" t="s">
        <v>157</v>
      </c>
      <c r="H323" s="67" t="str">
        <f t="shared" ca="1" si="499"/>
        <v>17.001</v>
      </c>
      <c r="I323" s="79" t="s">
        <v>239</v>
      </c>
      <c r="J323" s="106"/>
      <c r="K323" s="129"/>
      <c r="L323" s="132">
        <f>SUM(L324:L343)/2</f>
        <v>8625256.3552222252</v>
      </c>
      <c r="M323" s="79"/>
    </row>
    <row r="324" spans="1:13" ht="20.45" customHeight="1" outlineLevel="1" x14ac:dyDescent="0.55000000000000004">
      <c r="A324" s="63">
        <f ca="1">IF($G324="UNIDADE CONSTRUTIVA",OFFSET(A324,0,0)+1,LARGE(A$3:A323,1))</f>
        <v>2</v>
      </c>
      <c r="B324" s="63">
        <f t="shared" ca="1" si="325"/>
        <v>17</v>
      </c>
      <c r="C324" s="63">
        <f t="shared" ca="1" si="326"/>
        <v>1</v>
      </c>
      <c r="D324" s="64">
        <f t="shared" ca="1" si="327"/>
        <v>1</v>
      </c>
      <c r="E324" s="64">
        <f t="shared" ca="1" si="328"/>
        <v>0</v>
      </c>
      <c r="F324" s="65"/>
      <c r="G324" s="73" t="s">
        <v>153</v>
      </c>
      <c r="H324" s="67" t="str">
        <f ca="1">IF(G324="Unidade Construtiva",TEXT(A324,"00"),IF(G324="Célula Construtiva",TEXT(B324,"00"),IF(G324="Etapa",CONCATENATE(TEXT(B324,"00"),".",TEXT(C324,"000")),IF(G324="Subetapa",CONCATENATE(TEXT(B324,"00"),".",TEXT(C324,"000"),".",TEXT(D324,"000")),IF(G324="Serviço",CONCATENATE(TEXT(B324,"00"),".",TEXT(C324,"000"),".",TEXT(D324,"000"),".",TEXT(E324,"000")),"")))))</f>
        <v>17.001.001</v>
      </c>
      <c r="I324" s="74" t="s">
        <v>118</v>
      </c>
      <c r="J324" s="96"/>
      <c r="K324" s="127"/>
      <c r="L324" s="115">
        <f>L325</f>
        <v>149430.19413332737</v>
      </c>
      <c r="M324" s="74"/>
    </row>
    <row r="325" spans="1:13" ht="20.45" customHeight="1" outlineLevel="1" x14ac:dyDescent="0.55000000000000004">
      <c r="A325" s="63">
        <f ca="1">IF($G325="UNIDADE CONSTRUTIVA",OFFSET(A325,0,0)+1,LARGE(A$3:A324,1))</f>
        <v>2</v>
      </c>
      <c r="B325" s="63">
        <f t="shared" ca="1" si="325"/>
        <v>17</v>
      </c>
      <c r="C325" s="63">
        <f t="shared" ca="1" si="326"/>
        <v>1</v>
      </c>
      <c r="D325" s="64">
        <f t="shared" ca="1" si="327"/>
        <v>1</v>
      </c>
      <c r="E325" s="64">
        <f t="shared" ca="1" si="328"/>
        <v>1</v>
      </c>
      <c r="F325" s="65"/>
      <c r="G325" s="73" t="s">
        <v>154</v>
      </c>
      <c r="H325" s="67" t="str">
        <f t="shared" ref="H325" ca="1" si="525">IF(G325="Unidade Construtiva",TEXT(A325,"00"),IF(G325="Célula Construtiva",TEXT(B325,"00"),IF(G325="Etapa",CONCATENATE(TEXT(B325,"00"),".",TEXT(C325,"000")),IF(G325="Subetapa",CONCATENATE(TEXT(B325,"00"),".",TEXT(C325,"000"),".",TEXT(D325,"000")),IF(G325="Serviço",CONCATENATE(TEXT(B325,"00"),".",TEXT(C325,"000"),".",TEXT(D325,"000"),".",TEXT(E325,"000")),"")))))</f>
        <v>17.001.001.001</v>
      </c>
      <c r="I325" s="74" t="s">
        <v>118</v>
      </c>
      <c r="J325" s="131">
        <v>3085.9979788800001</v>
      </c>
      <c r="K325" s="127" t="s">
        <v>183</v>
      </c>
      <c r="L325" s="115">
        <v>149430.19413332737</v>
      </c>
      <c r="M325" s="74"/>
    </row>
    <row r="326" spans="1:13" ht="20.45" customHeight="1" outlineLevel="1" x14ac:dyDescent="0.55000000000000004">
      <c r="A326" s="63">
        <f ca="1">IF($G326="UNIDADE CONSTRUTIVA",OFFSET(A326,0,0)+1,LARGE(A$3:A325,1))</f>
        <v>2</v>
      </c>
      <c r="B326" s="63">
        <f t="shared" ca="1" si="325"/>
        <v>17</v>
      </c>
      <c r="C326" s="63">
        <f t="shared" ca="1" si="326"/>
        <v>1</v>
      </c>
      <c r="D326" s="64">
        <f t="shared" ca="1" si="327"/>
        <v>2</v>
      </c>
      <c r="E326" s="64">
        <f t="shared" ca="1" si="328"/>
        <v>0</v>
      </c>
      <c r="F326" s="65"/>
      <c r="G326" s="73" t="s">
        <v>153</v>
      </c>
      <c r="H326" s="67" t="str">
        <f ca="1">IF(G326="Unidade Construtiva",TEXT(A326,"00"),IF(G326="Célula Construtiva",TEXT(B326,"00"),IF(G326="Etapa",CONCATENATE(TEXT(B326,"00"),".",TEXT(C326,"000")),IF(G326="Subetapa",CONCATENATE(TEXT(B326,"00"),".",TEXT(C326,"000"),".",TEXT(D326,"000")),IF(G326="Serviço",CONCATENATE(TEXT(B326,"00"),".",TEXT(C326,"000"),".",TEXT(D326,"000"),".",TEXT(E326,"000")),"")))))</f>
        <v>17.001.002</v>
      </c>
      <c r="I326" s="74" t="s">
        <v>242</v>
      </c>
      <c r="J326" s="131"/>
      <c r="K326" s="127"/>
      <c r="L326" s="115">
        <f>SUM(L327:L329)</f>
        <v>7597850</v>
      </c>
      <c r="M326" s="74"/>
    </row>
    <row r="327" spans="1:13" ht="20.45" customHeight="1" outlineLevel="1" x14ac:dyDescent="0.55000000000000004">
      <c r="A327" s="63">
        <f ca="1">IF($G327="UNIDADE CONSTRUTIVA",OFFSET(A327,0,0)+1,LARGE(A$3:A326,1))</f>
        <v>2</v>
      </c>
      <c r="B327" s="63">
        <f t="shared" ref="B327:B328" ca="1" si="526">IF(G327="UNIDADE CONSTRUTIVA",0,IF(G327="CÉLULA CONSTRUTIVA",OFFSET(B327,-1,0)+1,OFFSET(B327,-1,0)))</f>
        <v>17</v>
      </c>
      <c r="C327" s="63">
        <f t="shared" ref="C327:C328" ca="1" si="527">IF(G327="CÉLULA CONSTRUTIVA",0,IF(G327="ETAPA",OFFSET(C327,-1,0)+1,OFFSET(C327,-1,0)))</f>
        <v>1</v>
      </c>
      <c r="D327" s="64">
        <f t="shared" ref="D327:D328" ca="1" si="528">IF(G327="ETAPA",0,IF(G327="SUBETAPA",OFFSET(D327,-1,0)+1,OFFSET(D327,-1,0)))</f>
        <v>2</v>
      </c>
      <c r="E327" s="64">
        <f t="shared" ref="E327:E328" ca="1" si="529">IF(G327="Subetapa",0,IF(G327="serviço",OFFSET(E327,-1,0)+1,OFFSET(E327,-1,0)))</f>
        <v>1</v>
      </c>
      <c r="F327" s="65"/>
      <c r="G327" s="73" t="s">
        <v>154</v>
      </c>
      <c r="H327" s="67" t="str">
        <f t="shared" ref="H327:H328" ca="1" si="530">IF(G327="Unidade Construtiva",TEXT(A327,"00"),IF(G327="Célula Construtiva",TEXT(B327,"00"),IF(G327="Etapa",CONCATENATE(TEXT(B327,"00"),".",TEXT(C327,"000")),IF(G327="Subetapa",CONCATENATE(TEXT(B327,"00"),".",TEXT(C327,"000"),".",TEXT(D327,"000")),IF(G327="Serviço",CONCATENATE(TEXT(B327,"00"),".",TEXT(C327,"000"),".",TEXT(D327,"000"),".",TEXT(E327,"000")),"")))))</f>
        <v>17.001.002.001</v>
      </c>
      <c r="I327" s="74" t="s">
        <v>243</v>
      </c>
      <c r="J327" s="131">
        <v>2143.0541520000002</v>
      </c>
      <c r="K327" s="127" t="s">
        <v>185</v>
      </c>
      <c r="L327" s="115">
        <v>6971175</v>
      </c>
      <c r="M327" s="74" t="s">
        <v>465</v>
      </c>
    </row>
    <row r="328" spans="1:13" ht="20.45" customHeight="1" outlineLevel="1" x14ac:dyDescent="0.55000000000000004">
      <c r="A328" s="63">
        <f ca="1">IF($G328="UNIDADE CONSTRUTIVA",OFFSET(A328,0,0)+1,LARGE(A$3:A327,1))</f>
        <v>2</v>
      </c>
      <c r="B328" s="63">
        <f t="shared" ca="1" si="526"/>
        <v>17</v>
      </c>
      <c r="C328" s="63">
        <f t="shared" ca="1" si="527"/>
        <v>1</v>
      </c>
      <c r="D328" s="64">
        <f t="shared" ca="1" si="528"/>
        <v>2</v>
      </c>
      <c r="E328" s="64">
        <f t="shared" ca="1" si="529"/>
        <v>2</v>
      </c>
      <c r="F328" s="65"/>
      <c r="G328" s="73" t="s">
        <v>154</v>
      </c>
      <c r="H328" s="67" t="str">
        <f t="shared" ca="1" si="530"/>
        <v>17.001.002.002</v>
      </c>
      <c r="I328" s="74" t="s">
        <v>245</v>
      </c>
      <c r="J328" s="131"/>
      <c r="K328" s="127"/>
      <c r="L328" s="115"/>
      <c r="M328" s="74" t="s">
        <v>246</v>
      </c>
    </row>
    <row r="329" spans="1:13" ht="20.45" customHeight="1" outlineLevel="1" x14ac:dyDescent="0.55000000000000004">
      <c r="A329" s="63">
        <f ca="1">IF($G329="UNIDADE CONSTRUTIVA",OFFSET(A329,0,0)+1,LARGE(A$3:A328,1))</f>
        <v>2</v>
      </c>
      <c r="B329" s="63">
        <f t="shared" ref="B329:B331" ca="1" si="531">IF(G329="UNIDADE CONSTRUTIVA",0,IF(G329="CÉLULA CONSTRUTIVA",OFFSET(B329,-1,0)+1,OFFSET(B329,-1,0)))</f>
        <v>17</v>
      </c>
      <c r="C329" s="63">
        <f t="shared" ref="C329:C331" ca="1" si="532">IF(G329="CÉLULA CONSTRUTIVA",0,IF(G329="ETAPA",OFFSET(C329,-1,0)+1,OFFSET(C329,-1,0)))</f>
        <v>1</v>
      </c>
      <c r="D329" s="64">
        <f t="shared" ref="D329:D331" ca="1" si="533">IF(G329="ETAPA",0,IF(G329="SUBETAPA",OFFSET(D329,-1,0)+1,OFFSET(D329,-1,0)))</f>
        <v>2</v>
      </c>
      <c r="E329" s="64">
        <f t="shared" ref="E329:E331" ca="1" si="534">IF(G329="Subetapa",0,IF(G329="serviço",OFFSET(E329,-1,0)+1,OFFSET(E329,-1,0)))</f>
        <v>3</v>
      </c>
      <c r="F329" s="65"/>
      <c r="G329" s="73" t="s">
        <v>154</v>
      </c>
      <c r="H329" s="67" t="str">
        <f t="shared" ref="H329" ca="1" si="535">IF(G329="Unidade Construtiva",TEXT(A329,"00"),IF(G329="Célula Construtiva",TEXT(B329,"00"),IF(G329="Etapa",CONCATENATE(TEXT(B329,"00"),".",TEXT(C329,"000")),IF(G329="Subetapa",CONCATENATE(TEXT(B329,"00"),".",TEXT(C329,"000"),".",TEXT(D329,"000")),IF(G329="Serviço",CONCATENATE(TEXT(B329,"00"),".",TEXT(C329,"000"),".",TEXT(D329,"000"),".",TEXT(E329,"000")),"")))))</f>
        <v>17.001.002.003</v>
      </c>
      <c r="I329" s="74" t="s">
        <v>461</v>
      </c>
      <c r="J329" s="131">
        <v>428.61083040000005</v>
      </c>
      <c r="K329" s="127" t="s">
        <v>185</v>
      </c>
      <c r="L329" s="115">
        <v>626675</v>
      </c>
      <c r="M329" s="74" t="s">
        <v>464</v>
      </c>
    </row>
    <row r="330" spans="1:13" ht="20.45" customHeight="1" outlineLevel="1" x14ac:dyDescent="0.55000000000000004">
      <c r="A330" s="63">
        <f ca="1">IF($G330="UNIDADE CONSTRUTIVA",OFFSET(A330,0,0)+1,LARGE(A$3:A329,1))</f>
        <v>2</v>
      </c>
      <c r="B330" s="63">
        <f t="shared" ca="1" si="531"/>
        <v>17</v>
      </c>
      <c r="C330" s="63">
        <f t="shared" ca="1" si="532"/>
        <v>1</v>
      </c>
      <c r="D330" s="64">
        <f t="shared" ca="1" si="533"/>
        <v>3</v>
      </c>
      <c r="E330" s="64">
        <f t="shared" ca="1" si="534"/>
        <v>0</v>
      </c>
      <c r="F330" s="65"/>
      <c r="G330" s="73" t="s">
        <v>153</v>
      </c>
      <c r="H330" s="67" t="str">
        <f ca="1">IF(G330="Unidade Construtiva",TEXT(A330,"00"),IF(G330="Célula Construtiva",TEXT(B330,"00"),IF(G330="Etapa",CONCATENATE(TEXT(B330,"00"),".",TEXT(C330,"000")),IF(G330="Subetapa",CONCATENATE(TEXT(B330,"00"),".",TEXT(C330,"000"),".",TEXT(D330,"000")),IF(G330="Serviço",CONCATENATE(TEXT(B330,"00"),".",TEXT(C330,"000"),".",TEXT(D330,"000"),".",TEXT(E330,"000")),"")))))</f>
        <v>17.001.003</v>
      </c>
      <c r="I330" s="74" t="s">
        <v>462</v>
      </c>
      <c r="J330" s="131"/>
      <c r="K330" s="127"/>
      <c r="L330" s="115">
        <f>SUM(L331:L332)</f>
        <v>35695</v>
      </c>
      <c r="M330" s="74"/>
    </row>
    <row r="331" spans="1:13" ht="20.45" customHeight="1" outlineLevel="1" x14ac:dyDescent="0.55000000000000004">
      <c r="A331" s="63">
        <f ca="1">IF($G331="UNIDADE CONSTRUTIVA",OFFSET(A331,0,0)+1,LARGE(A$3:A330,1))</f>
        <v>2</v>
      </c>
      <c r="B331" s="63">
        <f t="shared" ca="1" si="531"/>
        <v>17</v>
      </c>
      <c r="C331" s="63">
        <f t="shared" ca="1" si="532"/>
        <v>1</v>
      </c>
      <c r="D331" s="64">
        <f t="shared" ca="1" si="533"/>
        <v>3</v>
      </c>
      <c r="E331" s="64">
        <f t="shared" ca="1" si="534"/>
        <v>1</v>
      </c>
      <c r="F331" s="65"/>
      <c r="G331" s="73" t="s">
        <v>154</v>
      </c>
      <c r="H331" s="67" t="str">
        <f t="shared" ref="H331" ca="1" si="536">IF(G331="Unidade Construtiva",TEXT(A331,"00"),IF(G331="Célula Construtiva",TEXT(B331,"00"),IF(G331="Etapa",CONCATENATE(TEXT(B331,"00"),".",TEXT(C331,"000")),IF(G331="Subetapa",CONCATENATE(TEXT(B331,"00"),".",TEXT(C331,"000"),".",TEXT(D331,"000")),IF(G331="Serviço",CONCATENATE(TEXT(B331,"00"),".",TEXT(C331,"000"),".",TEXT(D331,"000"),".",TEXT(E331,"000")),"")))))</f>
        <v>17.001.003.001</v>
      </c>
      <c r="I331" s="74" t="s">
        <v>463</v>
      </c>
      <c r="J331" s="131">
        <v>1</v>
      </c>
      <c r="K331" s="127" t="s">
        <v>184</v>
      </c>
      <c r="L331" s="115">
        <v>19800</v>
      </c>
      <c r="M331" s="74" t="s">
        <v>244</v>
      </c>
    </row>
    <row r="332" spans="1:13" ht="20.45" customHeight="1" outlineLevel="1" x14ac:dyDescent="0.55000000000000004">
      <c r="A332" s="63">
        <f ca="1">IF($G332="UNIDADE CONSTRUTIVA",OFFSET(A332,0,0)+1,LARGE(A$3:A331,1))</f>
        <v>2</v>
      </c>
      <c r="B332" s="63">
        <f t="shared" ref="B332" ca="1" si="537">IF(G332="UNIDADE CONSTRUTIVA",0,IF(G332="CÉLULA CONSTRUTIVA",OFFSET(B332,-1,0)+1,OFFSET(B332,-1,0)))</f>
        <v>17</v>
      </c>
      <c r="C332" s="63">
        <f t="shared" ref="C332" ca="1" si="538">IF(G332="CÉLULA CONSTRUTIVA",0,IF(G332="ETAPA",OFFSET(C332,-1,0)+1,OFFSET(C332,-1,0)))</f>
        <v>1</v>
      </c>
      <c r="D332" s="64">
        <f t="shared" ref="D332" ca="1" si="539">IF(G332="ETAPA",0,IF(G332="SUBETAPA",OFFSET(D332,-1,0)+1,OFFSET(D332,-1,0)))</f>
        <v>3</v>
      </c>
      <c r="E332" s="64">
        <f t="shared" ref="E332" ca="1" si="540">IF(G332="Subetapa",0,IF(G332="serviço",OFFSET(E332,-1,0)+1,OFFSET(E332,-1,0)))</f>
        <v>2</v>
      </c>
      <c r="F332" s="65"/>
      <c r="G332" s="73" t="s">
        <v>154</v>
      </c>
      <c r="H332" s="67" t="str">
        <f t="shared" ref="H332" ca="1" si="541">IF(G332="Unidade Construtiva",TEXT(A332,"00"),IF(G332="Célula Construtiva",TEXT(B332,"00"),IF(G332="Etapa",CONCATENATE(TEXT(B332,"00"),".",TEXT(C332,"000")),IF(G332="Subetapa",CONCATENATE(TEXT(B332,"00"),".",TEXT(C332,"000"),".",TEXT(D332,"000")),IF(G332="Serviço",CONCATENATE(TEXT(B332,"00"),".",TEXT(C332,"000"),".",TEXT(D332,"000"),".",TEXT(E332,"000")),"")))))</f>
        <v>17.001.003.002</v>
      </c>
      <c r="I332" s="74" t="s">
        <v>466</v>
      </c>
      <c r="J332" s="131">
        <v>17</v>
      </c>
      <c r="K332" s="127" t="s">
        <v>184</v>
      </c>
      <c r="L332" s="115">
        <v>15895.000000000002</v>
      </c>
      <c r="M332" s="74" t="s">
        <v>467</v>
      </c>
    </row>
    <row r="333" spans="1:13" ht="20.45" customHeight="1" outlineLevel="1" x14ac:dyDescent="0.55000000000000004">
      <c r="A333" s="63">
        <f ca="1">IF($G333="UNIDADE CONSTRUTIVA",OFFSET(A333,0,0)+1,LARGE(A$3:A326,1))</f>
        <v>2</v>
      </c>
      <c r="B333" s="63">
        <f t="shared" ca="1" si="325"/>
        <v>17</v>
      </c>
      <c r="C333" s="63">
        <f t="shared" ca="1" si="326"/>
        <v>1</v>
      </c>
      <c r="D333" s="64">
        <f t="shared" ca="1" si="327"/>
        <v>4</v>
      </c>
      <c r="E333" s="64">
        <f t="shared" ca="1" si="328"/>
        <v>0</v>
      </c>
      <c r="F333" s="65"/>
      <c r="G333" s="73" t="s">
        <v>153</v>
      </c>
      <c r="H333" s="67" t="str">
        <f t="shared" ref="H333:H422" ca="1" si="542">IF(G333="Unidade Construtiva",TEXT(A333,"00"),IF(G333="Célula Construtiva",TEXT(B333,"00"),IF(G333="Etapa",CONCATENATE(TEXT(B333,"00"),".",TEXT(C333,"000")),IF(G333="Subetapa",CONCATENATE(TEXT(B333,"00"),".",TEXT(C333,"000"),".",TEXT(D333,"000")),IF(G333="Serviço",CONCATENATE(TEXT(B333,"00"),".",TEXT(C333,"000"),".",TEXT(D333,"000"),".",TEXT(E333,"000")),"")))))</f>
        <v>17.001.004</v>
      </c>
      <c r="I333" s="74" t="s">
        <v>119</v>
      </c>
      <c r="J333" s="131"/>
      <c r="K333" s="127"/>
      <c r="L333" s="115">
        <f>SUM(L334:L337)</f>
        <v>749784.3</v>
      </c>
      <c r="M333" s="74"/>
    </row>
    <row r="334" spans="1:13" ht="20.45" customHeight="1" outlineLevel="1" x14ac:dyDescent="0.55000000000000004">
      <c r="A334" s="63">
        <f ca="1">IF($G334="UNIDADE CONSTRUTIVA",OFFSET(A334,0,0)+1,LARGE(A$3:A327,1))</f>
        <v>2</v>
      </c>
      <c r="B334" s="63">
        <f t="shared" ref="B334" ca="1" si="543">IF(G334="UNIDADE CONSTRUTIVA",0,IF(G334="CÉLULA CONSTRUTIVA",OFFSET(B334,-1,0)+1,OFFSET(B334,-1,0)))</f>
        <v>17</v>
      </c>
      <c r="C334" s="63">
        <f t="shared" ref="C334" ca="1" si="544">IF(G334="CÉLULA CONSTRUTIVA",0,IF(G334="ETAPA",OFFSET(C334,-1,0)+1,OFFSET(C334,-1,0)))</f>
        <v>1</v>
      </c>
      <c r="D334" s="64">
        <f t="shared" ref="D334" ca="1" si="545">IF(G334="ETAPA",0,IF(G334="SUBETAPA",OFFSET(D334,-1,0)+1,OFFSET(D334,-1,0)))</f>
        <v>4</v>
      </c>
      <c r="E334" s="64">
        <f t="shared" ref="E334" ca="1" si="546">IF(G334="Subetapa",0,IF(G334="serviço",OFFSET(E334,-1,0)+1,OFFSET(E334,-1,0)))</f>
        <v>1</v>
      </c>
      <c r="F334" s="65"/>
      <c r="G334" s="73" t="s">
        <v>154</v>
      </c>
      <c r="H334" s="67" t="str">
        <f t="shared" ref="H334" ca="1" si="547">IF(G334="Unidade Construtiva",TEXT(A334,"00"),IF(G334="Célula Construtiva",TEXT(B334,"00"),IF(G334="Etapa",CONCATENATE(TEXT(B334,"00"),".",TEXT(C334,"000")),IF(G334="Subetapa",CONCATENATE(TEXT(B334,"00"),".",TEXT(C334,"000"),".",TEXT(D334,"000")),IF(G334="Serviço",CONCATENATE(TEXT(B334,"00"),".",TEXT(C334,"000"),".",TEXT(D334,"000"),".",TEXT(E334,"000")),"")))))</f>
        <v>17.001.004.001</v>
      </c>
      <c r="I334" s="74" t="s">
        <v>247</v>
      </c>
      <c r="J334" s="131"/>
      <c r="K334" s="127"/>
      <c r="L334" s="115"/>
      <c r="M334" s="74"/>
    </row>
    <row r="335" spans="1:13" ht="20.45" customHeight="1" outlineLevel="1" x14ac:dyDescent="0.55000000000000004">
      <c r="A335" s="63">
        <f ca="1">IF($G335="UNIDADE CONSTRUTIVA",OFFSET(A335,0,0)+1,LARGE(A$3:A328,1))</f>
        <v>2</v>
      </c>
      <c r="B335" s="63">
        <f t="shared" ref="B335" ca="1" si="548">IF(G335="UNIDADE CONSTRUTIVA",0,IF(G335="CÉLULA CONSTRUTIVA",OFFSET(B335,-1,0)+1,OFFSET(B335,-1,0)))</f>
        <v>17</v>
      </c>
      <c r="C335" s="63">
        <f t="shared" ref="C335" ca="1" si="549">IF(G335="CÉLULA CONSTRUTIVA",0,IF(G335="ETAPA",OFFSET(C335,-1,0)+1,OFFSET(C335,-1,0)))</f>
        <v>1</v>
      </c>
      <c r="D335" s="64">
        <f t="shared" ref="D335" ca="1" si="550">IF(G335="ETAPA",0,IF(G335="SUBETAPA",OFFSET(D335,-1,0)+1,OFFSET(D335,-1,0)))</f>
        <v>4</v>
      </c>
      <c r="E335" s="64">
        <f t="shared" ref="E335" ca="1" si="551">IF(G335="Subetapa",0,IF(G335="serviço",OFFSET(E335,-1,0)+1,OFFSET(E335,-1,0)))</f>
        <v>2</v>
      </c>
      <c r="F335" s="65"/>
      <c r="G335" s="73" t="s">
        <v>154</v>
      </c>
      <c r="H335" s="67" t="str">
        <f t="shared" ref="H335" ca="1" si="552">IF(G335="Unidade Construtiva",TEXT(A335,"00"),IF(G335="Célula Construtiva",TEXT(B335,"00"),IF(G335="Etapa",CONCATENATE(TEXT(B335,"00"),".",TEXT(C335,"000")),IF(G335="Subetapa",CONCATENATE(TEXT(B335,"00"),".",TEXT(C335,"000"),".",TEXT(D335,"000")),IF(G335="Serviço",CONCATENATE(TEXT(B335,"00"),".",TEXT(C335,"000"),".",TEXT(D335,"000"),".",TEXT(E335,"000")),"")))))</f>
        <v>17.001.004.002</v>
      </c>
      <c r="I335" s="74" t="s">
        <v>506</v>
      </c>
      <c r="J335" s="131">
        <v>72.899999999999991</v>
      </c>
      <c r="K335" s="127" t="s">
        <v>183</v>
      </c>
      <c r="L335" s="115">
        <v>244846.8</v>
      </c>
      <c r="M335" s="74"/>
    </row>
    <row r="336" spans="1:13" ht="20.45" customHeight="1" outlineLevel="1" x14ac:dyDescent="0.55000000000000004">
      <c r="A336" s="63">
        <f ca="1">IF($G336="UNIDADE CONSTRUTIVA",OFFSET(A336,0,0)+1,LARGE(A$3:A329,1))</f>
        <v>2</v>
      </c>
      <c r="B336" s="63">
        <f t="shared" ref="B336" ca="1" si="553">IF(G336="UNIDADE CONSTRUTIVA",0,IF(G336="CÉLULA CONSTRUTIVA",OFFSET(B336,-1,0)+1,OFFSET(B336,-1,0)))</f>
        <v>17</v>
      </c>
      <c r="C336" s="63">
        <f t="shared" ref="C336" ca="1" si="554">IF(G336="CÉLULA CONSTRUTIVA",0,IF(G336="ETAPA",OFFSET(C336,-1,0)+1,OFFSET(C336,-1,0)))</f>
        <v>1</v>
      </c>
      <c r="D336" s="64">
        <f t="shared" ref="D336" ca="1" si="555">IF(G336="ETAPA",0,IF(G336="SUBETAPA",OFFSET(D336,-1,0)+1,OFFSET(D336,-1,0)))</f>
        <v>4</v>
      </c>
      <c r="E336" s="64">
        <f t="shared" ref="E336" ca="1" si="556">IF(G336="Subetapa",0,IF(G336="serviço",OFFSET(E336,-1,0)+1,OFFSET(E336,-1,0)))</f>
        <v>3</v>
      </c>
      <c r="F336" s="65"/>
      <c r="G336" s="73" t="s">
        <v>154</v>
      </c>
      <c r="H336" s="67" t="str">
        <f t="shared" ref="H336" ca="1" si="557">IF(G336="Unidade Construtiva",TEXT(A336,"00"),IF(G336="Célula Construtiva",TEXT(B336,"00"),IF(G336="Etapa",CONCATENATE(TEXT(B336,"00"),".",TEXT(C336,"000")),IF(G336="Subetapa",CONCATENATE(TEXT(B336,"00"),".",TEXT(C336,"000"),".",TEXT(D336,"000")),IF(G336="Serviço",CONCATENATE(TEXT(B336,"00"),".",TEXT(C336,"000"),".",TEXT(D336,"000"),".",TEXT(E336,"000")),"")))))</f>
        <v>17.001.004.003</v>
      </c>
      <c r="I336" s="74" t="s">
        <v>507</v>
      </c>
      <c r="J336" s="131">
        <v>43.349999999999994</v>
      </c>
      <c r="K336" s="127" t="s">
        <v>183</v>
      </c>
      <c r="L336" s="115">
        <v>331250</v>
      </c>
      <c r="M336" s="74"/>
    </row>
    <row r="337" spans="1:13" ht="20.45" customHeight="1" outlineLevel="1" x14ac:dyDescent="0.55000000000000004">
      <c r="A337" s="63">
        <f ca="1">IF($G337="UNIDADE CONSTRUTIVA",OFFSET(A337,0,0)+1,LARGE(A$3:A329,1))</f>
        <v>2</v>
      </c>
      <c r="B337" s="63">
        <f t="shared" ref="B337" ca="1" si="558">IF(G337="UNIDADE CONSTRUTIVA",0,IF(G337="CÉLULA CONSTRUTIVA",OFFSET(B337,-1,0)+1,OFFSET(B337,-1,0)))</f>
        <v>17</v>
      </c>
      <c r="C337" s="63">
        <f t="shared" ref="C337" ca="1" si="559">IF(G337="CÉLULA CONSTRUTIVA",0,IF(G337="ETAPA",OFFSET(C337,-1,0)+1,OFFSET(C337,-1,0)))</f>
        <v>1</v>
      </c>
      <c r="D337" s="64">
        <f t="shared" ref="D337" ca="1" si="560">IF(G337="ETAPA",0,IF(G337="SUBETAPA",OFFSET(D337,-1,0)+1,OFFSET(D337,-1,0)))</f>
        <v>4</v>
      </c>
      <c r="E337" s="64">
        <f t="shared" ref="E337" ca="1" si="561">IF(G337="Subetapa",0,IF(G337="serviço",OFFSET(E337,-1,0)+1,OFFSET(E337,-1,0)))</f>
        <v>4</v>
      </c>
      <c r="F337" s="65"/>
      <c r="G337" s="73" t="s">
        <v>154</v>
      </c>
      <c r="H337" s="67" t="str">
        <f t="shared" ref="H337" ca="1" si="562">IF(G337="Unidade Construtiva",TEXT(A337,"00"),IF(G337="Célula Construtiva",TEXT(B337,"00"),IF(G337="Etapa",CONCATENATE(TEXT(B337,"00"),".",TEXT(C337,"000")),IF(G337="Subetapa",CONCATENATE(TEXT(B337,"00"),".",TEXT(C337,"000"),".",TEXT(D337,"000")),IF(G337="Serviço",CONCATENATE(TEXT(B337,"00"),".",TEXT(C337,"000"),".",TEXT(D337,"000"),".",TEXT(E337,"000")),"")))))</f>
        <v>17.001.004.004</v>
      </c>
      <c r="I337" s="74" t="s">
        <v>473</v>
      </c>
      <c r="J337" s="131">
        <v>132.55000000000001</v>
      </c>
      <c r="K337" s="127" t="s">
        <v>183</v>
      </c>
      <c r="L337" s="115">
        <v>173687.5</v>
      </c>
      <c r="M337" s="74"/>
    </row>
    <row r="338" spans="1:13" ht="20.45" customHeight="1" outlineLevel="1" x14ac:dyDescent="0.55000000000000004">
      <c r="A338" s="63">
        <f ca="1">IF($G338="UNIDADE CONSTRUTIVA",OFFSET(A338,0,0)+1,LARGE(A$3:A332,1))</f>
        <v>2</v>
      </c>
      <c r="B338" s="63">
        <f t="shared" ref="B338:B339" ca="1" si="563">IF(G338="UNIDADE CONSTRUTIVA",0,IF(G338="CÉLULA CONSTRUTIVA",OFFSET(B338,-1,0)+1,OFFSET(B338,-1,0)))</f>
        <v>17</v>
      </c>
      <c r="C338" s="63">
        <f t="shared" ref="C338:C339" ca="1" si="564">IF(G338="CÉLULA CONSTRUTIVA",0,IF(G338="ETAPA",OFFSET(C338,-1,0)+1,OFFSET(C338,-1,0)))</f>
        <v>1</v>
      </c>
      <c r="D338" s="64">
        <f t="shared" ref="D338:D339" ca="1" si="565">IF(G338="ETAPA",0,IF(G338="SUBETAPA",OFFSET(D338,-1,0)+1,OFFSET(D338,-1,0)))</f>
        <v>5</v>
      </c>
      <c r="E338" s="64">
        <f t="shared" ref="E338:E339" ca="1" si="566">IF(G338="Subetapa",0,IF(G338="serviço",OFFSET(E338,-1,0)+1,OFFSET(E338,-1,0)))</f>
        <v>0</v>
      </c>
      <c r="F338" s="65"/>
      <c r="G338" s="73" t="s">
        <v>153</v>
      </c>
      <c r="H338" s="67" t="str">
        <f t="shared" ref="H338:H339" ca="1" si="567">IF(G338="Unidade Construtiva",TEXT(A338,"00"),IF(G338="Célula Construtiva",TEXT(B338,"00"),IF(G338="Etapa",CONCATENATE(TEXT(B338,"00"),".",TEXT(C338,"000")),IF(G338="Subetapa",CONCATENATE(TEXT(B338,"00"),".",TEXT(C338,"000"),".",TEXT(D338,"000")),IF(G338="Serviço",CONCATENATE(TEXT(B338,"00"),".",TEXT(C338,"000"),".",TEXT(D338,"000"),".",TEXT(E338,"000")),"")))))</f>
        <v>17.001.005</v>
      </c>
      <c r="I338" s="74" t="s">
        <v>510</v>
      </c>
      <c r="J338" s="131"/>
      <c r="K338" s="127"/>
      <c r="L338" s="115">
        <f>L339</f>
        <v>17815.710000000003</v>
      </c>
      <c r="M338" s="74"/>
    </row>
    <row r="339" spans="1:13" ht="20.45" customHeight="1" outlineLevel="1" x14ac:dyDescent="0.55000000000000004">
      <c r="A339" s="63">
        <f ca="1">IF($G339="UNIDADE CONSTRUTIVA",OFFSET(A339,0,0)+1,LARGE(A$3:A333,1))</f>
        <v>2</v>
      </c>
      <c r="B339" s="63">
        <f t="shared" ca="1" si="563"/>
        <v>17</v>
      </c>
      <c r="C339" s="63">
        <f t="shared" ca="1" si="564"/>
        <v>1</v>
      </c>
      <c r="D339" s="64">
        <f t="shared" ca="1" si="565"/>
        <v>5</v>
      </c>
      <c r="E339" s="64">
        <f t="shared" ca="1" si="566"/>
        <v>1</v>
      </c>
      <c r="F339" s="65"/>
      <c r="G339" s="73" t="s">
        <v>154</v>
      </c>
      <c r="H339" s="67" t="str">
        <f t="shared" ca="1" si="567"/>
        <v>17.001.005.001</v>
      </c>
      <c r="I339" s="74" t="s">
        <v>511</v>
      </c>
      <c r="J339" s="131">
        <v>107.974</v>
      </c>
      <c r="K339" s="127" t="s">
        <v>183</v>
      </c>
      <c r="L339" s="115">
        <v>17815.710000000003</v>
      </c>
      <c r="M339" s="74"/>
    </row>
    <row r="340" spans="1:13" ht="20.45" customHeight="1" outlineLevel="1" x14ac:dyDescent="0.55000000000000004">
      <c r="A340" s="63">
        <f ca="1">IF($G340="UNIDADE CONSTRUTIVA",OFFSET(A340,0,0)+1,LARGE(A$3:A333,1))</f>
        <v>2</v>
      </c>
      <c r="B340" s="63">
        <f t="shared" ca="1" si="325"/>
        <v>17</v>
      </c>
      <c r="C340" s="63">
        <f t="shared" ca="1" si="326"/>
        <v>1</v>
      </c>
      <c r="D340" s="64">
        <f t="shared" ca="1" si="327"/>
        <v>6</v>
      </c>
      <c r="E340" s="64">
        <f t="shared" ca="1" si="328"/>
        <v>0</v>
      </c>
      <c r="F340" s="65"/>
      <c r="G340" s="73" t="s">
        <v>153</v>
      </c>
      <c r="H340" s="67" t="str">
        <f t="shared" ca="1" si="542"/>
        <v>17.001.006</v>
      </c>
      <c r="I340" s="74" t="s">
        <v>120</v>
      </c>
      <c r="J340" s="131"/>
      <c r="K340" s="127"/>
      <c r="L340" s="115">
        <f>L341</f>
        <v>0</v>
      </c>
      <c r="M340" s="74"/>
    </row>
    <row r="341" spans="1:13" ht="20.45" customHeight="1" outlineLevel="1" x14ac:dyDescent="0.55000000000000004">
      <c r="A341" s="63">
        <f ca="1">IF($G341="UNIDADE CONSTRUTIVA",OFFSET(A341,0,0)+1,LARGE(A$3:A334,1))</f>
        <v>2</v>
      </c>
      <c r="B341" s="63">
        <f t="shared" ref="B341" ca="1" si="568">IF(G341="UNIDADE CONSTRUTIVA",0,IF(G341="CÉLULA CONSTRUTIVA",OFFSET(B341,-1,0)+1,OFFSET(B341,-1,0)))</f>
        <v>17</v>
      </c>
      <c r="C341" s="63">
        <f t="shared" ref="C341" ca="1" si="569">IF(G341="CÉLULA CONSTRUTIVA",0,IF(G341="ETAPA",OFFSET(C341,-1,0)+1,OFFSET(C341,-1,0)))</f>
        <v>1</v>
      </c>
      <c r="D341" s="64">
        <f t="shared" ref="D341" ca="1" si="570">IF(G341="ETAPA",0,IF(G341="SUBETAPA",OFFSET(D341,-1,0)+1,OFFSET(D341,-1,0)))</f>
        <v>6</v>
      </c>
      <c r="E341" s="64">
        <f t="shared" ref="E341" ca="1" si="571">IF(G341="Subetapa",0,IF(G341="serviço",OFFSET(E341,-1,0)+1,OFFSET(E341,-1,0)))</f>
        <v>1</v>
      </c>
      <c r="F341" s="65"/>
      <c r="G341" s="73" t="s">
        <v>154</v>
      </c>
      <c r="H341" s="67" t="str">
        <f t="shared" ref="H341" ca="1" si="572">IF(G341="Unidade Construtiva",TEXT(A341,"00"),IF(G341="Célula Construtiva",TEXT(B341,"00"),IF(G341="Etapa",CONCATENATE(TEXT(B341,"00"),".",TEXT(C341,"000")),IF(G341="Subetapa",CONCATENATE(TEXT(B341,"00"),".",TEXT(C341,"000"),".",TEXT(D341,"000")),IF(G341="Serviço",CONCATENATE(TEXT(B341,"00"),".",TEXT(C341,"000"),".",TEXT(D341,"000"),".",TEXT(E341,"000")),"")))))</f>
        <v>17.001.006.001</v>
      </c>
      <c r="I341" s="74" t="s">
        <v>120</v>
      </c>
      <c r="J341" s="131"/>
      <c r="K341" s="127"/>
      <c r="L341" s="115"/>
      <c r="M341" s="74"/>
    </row>
    <row r="342" spans="1:13" ht="20.45" customHeight="1" outlineLevel="1" x14ac:dyDescent="0.55000000000000004">
      <c r="A342" s="63">
        <f ca="1">IF($G342="UNIDADE CONSTRUTIVA",OFFSET(A342,0,0)+1,LARGE(A$3:A340,1))</f>
        <v>2</v>
      </c>
      <c r="B342" s="63">
        <f t="shared" ca="1" si="325"/>
        <v>17</v>
      </c>
      <c r="C342" s="63">
        <f t="shared" ca="1" si="326"/>
        <v>1</v>
      </c>
      <c r="D342" s="64">
        <f t="shared" ca="1" si="327"/>
        <v>7</v>
      </c>
      <c r="E342" s="64">
        <f t="shared" ca="1" si="328"/>
        <v>0</v>
      </c>
      <c r="F342" s="65"/>
      <c r="G342" s="73" t="s">
        <v>153</v>
      </c>
      <c r="H342" s="67" t="str">
        <f t="shared" ca="1" si="542"/>
        <v>17.001.007</v>
      </c>
      <c r="I342" s="76" t="s">
        <v>39</v>
      </c>
      <c r="J342" s="133"/>
      <c r="K342" s="121"/>
      <c r="L342" s="115">
        <f>L343</f>
        <v>74681.151088896004</v>
      </c>
      <c r="M342" s="76"/>
    </row>
    <row r="343" spans="1:13" ht="20.45" customHeight="1" outlineLevel="1" x14ac:dyDescent="0.55000000000000004">
      <c r="A343" s="63">
        <f ca="1">IF($G343="UNIDADE CONSTRUTIVA",OFFSET(A343,0,0)+1,LARGE(A$3:A342,1))</f>
        <v>2</v>
      </c>
      <c r="B343" s="63">
        <f t="shared" ca="1" si="325"/>
        <v>17</v>
      </c>
      <c r="C343" s="63">
        <f t="shared" ca="1" si="326"/>
        <v>1</v>
      </c>
      <c r="D343" s="64">
        <f t="shared" ca="1" si="327"/>
        <v>7</v>
      </c>
      <c r="E343" s="64">
        <f t="shared" ca="1" si="328"/>
        <v>1</v>
      </c>
      <c r="F343" s="65"/>
      <c r="G343" s="73" t="s">
        <v>154</v>
      </c>
      <c r="H343" s="67" t="str">
        <f t="shared" ref="H343" ca="1" si="573">IF(G343="Unidade Construtiva",TEXT(A343,"00"),IF(G343="Célula Construtiva",TEXT(B343,"00"),IF(G343="Etapa",CONCATENATE(TEXT(B343,"00"),".",TEXT(C343,"000")),IF(G343="Subetapa",CONCATENATE(TEXT(B343,"00"),".",TEXT(C343,"000"),".",TEXT(D343,"000")),IF(G343="Serviço",CONCATENATE(TEXT(B343,"00"),".",TEXT(C343,"000"),".",TEXT(D343,"000"),".",TEXT(E343,"000")),"")))))</f>
        <v>17.001.007.001</v>
      </c>
      <c r="I343" s="76" t="s">
        <v>241</v>
      </c>
      <c r="J343" s="133">
        <f>J325</f>
        <v>3085.9979788800001</v>
      </c>
      <c r="K343" s="127" t="s">
        <v>183</v>
      </c>
      <c r="L343" s="119">
        <v>74681.151088896004</v>
      </c>
      <c r="M343" s="76"/>
    </row>
    <row r="344" spans="1:13" ht="20.45" customHeight="1" outlineLevel="1" x14ac:dyDescent="0.55000000000000004">
      <c r="A344" s="63">
        <f ca="1">IF($G344="UNIDADE CONSTRUTIVA",OFFSET(A344,0,0)+1,LARGE(A$3:A343,1))</f>
        <v>2</v>
      </c>
      <c r="B344" s="63">
        <f t="shared" ca="1" si="325"/>
        <v>17</v>
      </c>
      <c r="C344" s="63">
        <f t="shared" ca="1" si="326"/>
        <v>2</v>
      </c>
      <c r="D344" s="64">
        <f t="shared" ca="1" si="327"/>
        <v>0</v>
      </c>
      <c r="E344" s="64">
        <f t="shared" ca="1" si="328"/>
        <v>1</v>
      </c>
      <c r="F344" s="65"/>
      <c r="G344" s="71" t="s">
        <v>157</v>
      </c>
      <c r="H344" s="67" t="str">
        <f t="shared" ca="1" si="542"/>
        <v>17.002</v>
      </c>
      <c r="I344" s="79" t="s">
        <v>121</v>
      </c>
      <c r="J344" s="106"/>
      <c r="K344" s="129"/>
      <c r="L344" s="132">
        <f>SUM(L345:L358)/2</f>
        <v>1102483.4160000002</v>
      </c>
      <c r="M344" s="79"/>
    </row>
    <row r="345" spans="1:13" ht="20.45" customHeight="1" outlineLevel="1" x14ac:dyDescent="0.55000000000000004">
      <c r="A345" s="63">
        <f ca="1">IF($G345="UNIDADE CONSTRUTIVA",OFFSET(A345,0,0)+1,LARGE(A$3:A344,1))</f>
        <v>2</v>
      </c>
      <c r="B345" s="63">
        <f t="shared" ca="1" si="325"/>
        <v>17</v>
      </c>
      <c r="C345" s="63">
        <f t="shared" ca="1" si="326"/>
        <v>2</v>
      </c>
      <c r="D345" s="64">
        <f t="shared" ca="1" si="327"/>
        <v>1</v>
      </c>
      <c r="E345" s="64">
        <f t="shared" ca="1" si="328"/>
        <v>0</v>
      </c>
      <c r="F345" s="65"/>
      <c r="G345" s="73" t="s">
        <v>153</v>
      </c>
      <c r="H345" s="67" t="str">
        <f t="shared" ca="1" si="542"/>
        <v>17.002.001</v>
      </c>
      <c r="I345" s="74" t="s">
        <v>122</v>
      </c>
      <c r="J345" s="96"/>
      <c r="K345" s="127"/>
      <c r="L345" s="115">
        <f>SUM(L346:L348)</f>
        <v>996111.35800000012</v>
      </c>
      <c r="M345" s="74"/>
    </row>
    <row r="346" spans="1:13" ht="20.45" customHeight="1" outlineLevel="1" x14ac:dyDescent="0.55000000000000004">
      <c r="A346" s="63">
        <f ca="1">IF($G346="UNIDADE CONSTRUTIVA",OFFSET(A346,0,0)+1,LARGE(A$3:A344,1))</f>
        <v>2</v>
      </c>
      <c r="B346" s="63">
        <f t="shared" ca="1" si="325"/>
        <v>17</v>
      </c>
      <c r="C346" s="63">
        <f t="shared" ca="1" si="326"/>
        <v>2</v>
      </c>
      <c r="D346" s="64">
        <f t="shared" ca="1" si="327"/>
        <v>1</v>
      </c>
      <c r="E346" s="64">
        <f t="shared" ca="1" si="328"/>
        <v>1</v>
      </c>
      <c r="F346" s="65"/>
      <c r="G346" s="73" t="s">
        <v>154</v>
      </c>
      <c r="H346" s="67" t="str">
        <f t="shared" ca="1" si="542"/>
        <v>17.002.001.001</v>
      </c>
      <c r="I346" s="74" t="s">
        <v>468</v>
      </c>
      <c r="J346" s="96">
        <v>38</v>
      </c>
      <c r="K346" s="127" t="s">
        <v>184</v>
      </c>
      <c r="L346" s="115">
        <v>403875.78</v>
      </c>
      <c r="M346" s="74" t="s">
        <v>250</v>
      </c>
    </row>
    <row r="347" spans="1:13" ht="20.45" customHeight="1" outlineLevel="1" x14ac:dyDescent="0.55000000000000004">
      <c r="A347" s="63">
        <f ca="1">IF($G347="UNIDADE CONSTRUTIVA",OFFSET(A347,0,0)+1,LARGE(A$3:A345,1))</f>
        <v>2</v>
      </c>
      <c r="B347" s="63">
        <f t="shared" ref="B347" ca="1" si="574">IF(G347="UNIDADE CONSTRUTIVA",0,IF(G347="CÉLULA CONSTRUTIVA",OFFSET(B347,-1,0)+1,OFFSET(B347,-1,0)))</f>
        <v>17</v>
      </c>
      <c r="C347" s="63">
        <f t="shared" ref="C347" ca="1" si="575">IF(G347="CÉLULA CONSTRUTIVA",0,IF(G347="ETAPA",OFFSET(C347,-1,0)+1,OFFSET(C347,-1,0)))</f>
        <v>2</v>
      </c>
      <c r="D347" s="64">
        <f t="shared" ref="D347" ca="1" si="576">IF(G347="ETAPA",0,IF(G347="SUBETAPA",OFFSET(D347,-1,0)+1,OFFSET(D347,-1,0)))</f>
        <v>1</v>
      </c>
      <c r="E347" s="64">
        <f t="shared" ref="E347" ca="1" si="577">IF(G347="Subetapa",0,IF(G347="serviço",OFFSET(E347,-1,0)+1,OFFSET(E347,-1,0)))</f>
        <v>2</v>
      </c>
      <c r="F347" s="65"/>
      <c r="G347" s="73" t="s">
        <v>154</v>
      </c>
      <c r="H347" s="67" t="str">
        <f t="shared" ref="H347" ca="1" si="578">IF(G347="Unidade Construtiva",TEXT(A347,"00"),IF(G347="Célula Construtiva",TEXT(B347,"00"),IF(G347="Etapa",CONCATENATE(TEXT(B347,"00"),".",TEXT(C347,"000")),IF(G347="Subetapa",CONCATENATE(TEXT(B347,"00"),".",TEXT(C347,"000"),".",TEXT(D347,"000")),IF(G347="Serviço",CONCATENATE(TEXT(B347,"00"),".",TEXT(C347,"000"),".",TEXT(D347,"000"),".",TEXT(E347,"000")),"")))))</f>
        <v>17.002.001.002</v>
      </c>
      <c r="I347" s="74" t="s">
        <v>470</v>
      </c>
      <c r="J347" s="96">
        <v>73</v>
      </c>
      <c r="K347" s="127" t="s">
        <v>184</v>
      </c>
      <c r="L347" s="115">
        <v>540038.37800000014</v>
      </c>
      <c r="M347" s="74" t="s">
        <v>249</v>
      </c>
    </row>
    <row r="348" spans="1:13" outlineLevel="1" x14ac:dyDescent="0.55000000000000004">
      <c r="A348" s="63">
        <f ca="1">IF($G348="UNIDADE CONSTRUTIVA",OFFSET(A348,0,0)+1,LARGE(A$3:A345,1))</f>
        <v>2</v>
      </c>
      <c r="B348" s="63">
        <f t="shared" ref="B348" ca="1" si="579">IF(G348="UNIDADE CONSTRUTIVA",0,IF(G348="CÉLULA CONSTRUTIVA",OFFSET(B348,-1,0)+1,OFFSET(B348,-1,0)))</f>
        <v>17</v>
      </c>
      <c r="C348" s="63">
        <f t="shared" ref="C348" ca="1" si="580">IF(G348="CÉLULA CONSTRUTIVA",0,IF(G348="ETAPA",OFFSET(C348,-1,0)+1,OFFSET(C348,-1,0)))</f>
        <v>2</v>
      </c>
      <c r="D348" s="64">
        <f t="shared" ref="D348" ca="1" si="581">IF(G348="ETAPA",0,IF(G348="SUBETAPA",OFFSET(D348,-1,0)+1,OFFSET(D348,-1,0)))</f>
        <v>1</v>
      </c>
      <c r="E348" s="64">
        <f t="shared" ref="E348" ca="1" si="582">IF(G348="Subetapa",0,IF(G348="serviço",OFFSET(E348,-1,0)+1,OFFSET(E348,-1,0)))</f>
        <v>3</v>
      </c>
      <c r="F348" s="65"/>
      <c r="G348" s="73" t="s">
        <v>154</v>
      </c>
      <c r="H348" s="67" t="str">
        <f t="shared" ref="H348" ca="1" si="583">IF(G348="Unidade Construtiva",TEXT(A348,"00"),IF(G348="Célula Construtiva",TEXT(B348,"00"),IF(G348="Etapa",CONCATENATE(TEXT(B348,"00"),".",TEXT(C348,"000")),IF(G348="Subetapa",CONCATENATE(TEXT(B348,"00"),".",TEXT(C348,"000"),".",TEXT(D348,"000")),IF(G348="Serviço",CONCATENATE(TEXT(B348,"00"),".",TEXT(C348,"000"),".",TEXT(D348,"000"),".",TEXT(E348,"000")),"")))))</f>
        <v>17.002.001.003</v>
      </c>
      <c r="I348" s="74" t="s">
        <v>469</v>
      </c>
      <c r="J348" s="96">
        <v>4</v>
      </c>
      <c r="K348" s="127" t="s">
        <v>184</v>
      </c>
      <c r="L348" s="115">
        <v>52197.200000000004</v>
      </c>
      <c r="M348" s="74" t="s">
        <v>471</v>
      </c>
    </row>
    <row r="349" spans="1:13" ht="20.45" customHeight="1" outlineLevel="1" x14ac:dyDescent="0.55000000000000004">
      <c r="A349" s="63">
        <f ca="1">IF($G349="UNIDADE CONSTRUTIVA",OFFSET(A349,0,0)+1,LARGE(A$3:A345,1))</f>
        <v>2</v>
      </c>
      <c r="B349" s="63">
        <f t="shared" ca="1" si="325"/>
        <v>17</v>
      </c>
      <c r="C349" s="63">
        <f t="shared" ca="1" si="326"/>
        <v>2</v>
      </c>
      <c r="D349" s="64">
        <f t="shared" ca="1" si="327"/>
        <v>2</v>
      </c>
      <c r="E349" s="64">
        <f t="shared" ca="1" si="328"/>
        <v>0</v>
      </c>
      <c r="F349" s="65"/>
      <c r="G349" s="73" t="s">
        <v>153</v>
      </c>
      <c r="H349" s="67" t="str">
        <f t="shared" ca="1" si="542"/>
        <v>17.002.002</v>
      </c>
      <c r="I349" s="74" t="s">
        <v>123</v>
      </c>
      <c r="J349" s="96"/>
      <c r="K349" s="127"/>
      <c r="L349" s="115">
        <f>L350</f>
        <v>0</v>
      </c>
      <c r="M349" s="74"/>
    </row>
    <row r="350" spans="1:13" ht="20.45" customHeight="1" outlineLevel="1" x14ac:dyDescent="0.55000000000000004">
      <c r="A350" s="63">
        <f ca="1">IF($G350="UNIDADE CONSTRUTIVA",OFFSET(A350,0,0)+1,LARGE(A$3:A346,1))</f>
        <v>2</v>
      </c>
      <c r="B350" s="63">
        <f t="shared" ref="B350" ca="1" si="584">IF(G350="UNIDADE CONSTRUTIVA",0,IF(G350="CÉLULA CONSTRUTIVA",OFFSET(B350,-1,0)+1,OFFSET(B350,-1,0)))</f>
        <v>17</v>
      </c>
      <c r="C350" s="63">
        <f t="shared" ref="C350" ca="1" si="585">IF(G350="CÉLULA CONSTRUTIVA",0,IF(G350="ETAPA",OFFSET(C350,-1,0)+1,OFFSET(C350,-1,0)))</f>
        <v>2</v>
      </c>
      <c r="D350" s="64">
        <f t="shared" ref="D350" ca="1" si="586">IF(G350="ETAPA",0,IF(G350="SUBETAPA",OFFSET(D350,-1,0)+1,OFFSET(D350,-1,0)))</f>
        <v>2</v>
      </c>
      <c r="E350" s="64">
        <f t="shared" ref="E350" ca="1" si="587">IF(G350="Subetapa",0,IF(G350="serviço",OFFSET(E350,-1,0)+1,OFFSET(E350,-1,0)))</f>
        <v>1</v>
      </c>
      <c r="F350" s="65"/>
      <c r="G350" s="73" t="s">
        <v>154</v>
      </c>
      <c r="H350" s="67" t="str">
        <f t="shared" ref="H350" ca="1" si="588">IF(G350="Unidade Construtiva",TEXT(A350,"00"),IF(G350="Célula Construtiva",TEXT(B350,"00"),IF(G350="Etapa",CONCATENATE(TEXT(B350,"00"),".",TEXT(C350,"000")),IF(G350="Subetapa",CONCATENATE(TEXT(B350,"00"),".",TEXT(C350,"000"),".",TEXT(D350,"000")),IF(G350="Serviço",CONCATENATE(TEXT(B350,"00"),".",TEXT(C350,"000"),".",TEXT(D350,"000"),".",TEXT(E350,"000")),"")))))</f>
        <v>17.002.002.001</v>
      </c>
      <c r="I350" s="74" t="s">
        <v>123</v>
      </c>
      <c r="J350" s="96"/>
      <c r="K350" s="127"/>
      <c r="L350" s="115"/>
      <c r="M350" s="74" t="s">
        <v>251</v>
      </c>
    </row>
    <row r="351" spans="1:13" ht="20.45" customHeight="1" outlineLevel="1" x14ac:dyDescent="0.55000000000000004">
      <c r="A351" s="63">
        <f ca="1">IF($G351="UNIDADE CONSTRUTIVA",OFFSET(A351,0,0)+1,LARGE(A$3:A349,1))</f>
        <v>2</v>
      </c>
      <c r="B351" s="63">
        <f t="shared" ca="1" si="325"/>
        <v>17</v>
      </c>
      <c r="C351" s="63">
        <f t="shared" ca="1" si="326"/>
        <v>2</v>
      </c>
      <c r="D351" s="64">
        <f t="shared" ca="1" si="327"/>
        <v>3</v>
      </c>
      <c r="E351" s="64">
        <f t="shared" ca="1" si="328"/>
        <v>0</v>
      </c>
      <c r="F351" s="65"/>
      <c r="G351" s="73" t="s">
        <v>153</v>
      </c>
      <c r="H351" s="67" t="str">
        <f t="shared" ca="1" si="542"/>
        <v>17.002.003</v>
      </c>
      <c r="I351" s="74" t="s">
        <v>124</v>
      </c>
      <c r="J351" s="96"/>
      <c r="K351" s="127"/>
      <c r="L351" s="115">
        <f>SUM(L352:L355)</f>
        <v>87397.058000000005</v>
      </c>
      <c r="M351" s="74"/>
    </row>
    <row r="352" spans="1:13" ht="20.45" customHeight="1" outlineLevel="1" x14ac:dyDescent="0.55000000000000004">
      <c r="A352" s="63">
        <f ca="1">IF($G352="UNIDADE CONSTRUTIVA",OFFSET(A352,0,0)+1,LARGE(A$3:A350,1))</f>
        <v>2</v>
      </c>
      <c r="B352" s="63">
        <f t="shared" ref="B352" ca="1" si="589">IF(G352="UNIDADE CONSTRUTIVA",0,IF(G352="CÉLULA CONSTRUTIVA",OFFSET(B352,-1,0)+1,OFFSET(B352,-1,0)))</f>
        <v>17</v>
      </c>
      <c r="C352" s="63">
        <f t="shared" ref="C352" ca="1" si="590">IF(G352="CÉLULA CONSTRUTIVA",0,IF(G352="ETAPA",OFFSET(C352,-1,0)+1,OFFSET(C352,-1,0)))</f>
        <v>2</v>
      </c>
      <c r="D352" s="64">
        <f t="shared" ref="D352" ca="1" si="591">IF(G352="ETAPA",0,IF(G352="SUBETAPA",OFFSET(D352,-1,0)+1,OFFSET(D352,-1,0)))</f>
        <v>3</v>
      </c>
      <c r="E352" s="64">
        <f t="shared" ref="E352" ca="1" si="592">IF(G352="Subetapa",0,IF(G352="serviço",OFFSET(E352,-1,0)+1,OFFSET(E352,-1,0)))</f>
        <v>1</v>
      </c>
      <c r="F352" s="65"/>
      <c r="G352" s="73" t="s">
        <v>154</v>
      </c>
      <c r="H352" s="67" t="str">
        <f t="shared" ref="H352" ca="1" si="593">IF(G352="Unidade Construtiva",TEXT(A352,"00"),IF(G352="Célula Construtiva",TEXT(B352,"00"),IF(G352="Etapa",CONCATENATE(TEXT(B352,"00"),".",TEXT(C352,"000")),IF(G352="Subetapa",CONCATENATE(TEXT(B352,"00"),".",TEXT(C352,"000"),".",TEXT(D352,"000")),IF(G352="Serviço",CONCATENATE(TEXT(B352,"00"),".",TEXT(C352,"000"),".",TEXT(D352,"000"),".",TEXT(E352,"000")),"")))))</f>
        <v>17.002.003.001</v>
      </c>
      <c r="I352" s="74" t="s">
        <v>124</v>
      </c>
      <c r="J352" s="96">
        <f>J347</f>
        <v>73</v>
      </c>
      <c r="K352" s="127" t="s">
        <v>184</v>
      </c>
      <c r="L352" s="115">
        <v>32559.450000000008</v>
      </c>
      <c r="M352" s="74"/>
    </row>
    <row r="353" spans="1:13" ht="20.45" customHeight="1" outlineLevel="1" x14ac:dyDescent="0.55000000000000004">
      <c r="A353" s="63">
        <f ca="1">IF($G353="UNIDADE CONSTRUTIVA",OFFSET(A353,0,0)+1,LARGE(A$3:A351,1))</f>
        <v>2</v>
      </c>
      <c r="B353" s="63">
        <f t="shared" ref="B353" ca="1" si="594">IF(G353="UNIDADE CONSTRUTIVA",0,IF(G353="CÉLULA CONSTRUTIVA",OFFSET(B353,-1,0)+1,OFFSET(B353,-1,0)))</f>
        <v>17</v>
      </c>
      <c r="C353" s="63">
        <f t="shared" ref="C353" ca="1" si="595">IF(G353="CÉLULA CONSTRUTIVA",0,IF(G353="ETAPA",OFFSET(C353,-1,0)+1,OFFSET(C353,-1,0)))</f>
        <v>2</v>
      </c>
      <c r="D353" s="64">
        <f t="shared" ref="D353" ca="1" si="596">IF(G353="ETAPA",0,IF(G353="SUBETAPA",OFFSET(D353,-1,0)+1,OFFSET(D353,-1,0)))</f>
        <v>3</v>
      </c>
      <c r="E353" s="64">
        <f t="shared" ref="E353" ca="1" si="597">IF(G353="Subetapa",0,IF(G353="serviço",OFFSET(E353,-1,0)+1,OFFSET(E353,-1,0)))</f>
        <v>2</v>
      </c>
      <c r="F353" s="65"/>
      <c r="G353" s="73" t="s">
        <v>154</v>
      </c>
      <c r="H353" s="67" t="str">
        <f t="shared" ref="H353" ca="1" si="598">IF(G353="Unidade Construtiva",TEXT(A353,"00"),IF(G353="Célula Construtiva",TEXT(B353,"00"),IF(G353="Etapa",CONCATENATE(TEXT(B353,"00"),".",TEXT(C353,"000")),IF(G353="Subetapa",CONCATENATE(TEXT(B353,"00"),".",TEXT(C353,"000"),".",TEXT(D353,"000")),IF(G353="Serviço",CONCATENATE(TEXT(B353,"00"),".",TEXT(C353,"000"),".",TEXT(D353,"000"),".",TEXT(E353,"000")),"")))))</f>
        <v>17.002.003.002</v>
      </c>
      <c r="I353" s="74" t="s">
        <v>472</v>
      </c>
      <c r="J353" s="96">
        <f>J348</f>
        <v>4</v>
      </c>
      <c r="K353" s="127" t="s">
        <v>184</v>
      </c>
      <c r="L353" s="115">
        <v>2811.4680000000003</v>
      </c>
      <c r="M353" s="74"/>
    </row>
    <row r="354" spans="1:13" ht="20.45" customHeight="1" outlineLevel="1" x14ac:dyDescent="0.55000000000000004">
      <c r="A354" s="63">
        <f ca="1">IF($G354="UNIDADE CONSTRUTIVA",OFFSET(A354,0,0)+1,LARGE(A$3:A351,1))</f>
        <v>2</v>
      </c>
      <c r="B354" s="63">
        <f t="shared" ref="B354" ca="1" si="599">IF(G354="UNIDADE CONSTRUTIVA",0,IF(G354="CÉLULA CONSTRUTIVA",OFFSET(B354,-1,0)+1,OFFSET(B354,-1,0)))</f>
        <v>17</v>
      </c>
      <c r="C354" s="63">
        <f t="shared" ref="C354" ca="1" si="600">IF(G354="CÉLULA CONSTRUTIVA",0,IF(G354="ETAPA",OFFSET(C354,-1,0)+1,OFFSET(C354,-1,0)))</f>
        <v>2</v>
      </c>
      <c r="D354" s="64">
        <f t="shared" ref="D354" ca="1" si="601">IF(G354="ETAPA",0,IF(G354="SUBETAPA",OFFSET(D354,-1,0)+1,OFFSET(D354,-1,0)))</f>
        <v>3</v>
      </c>
      <c r="E354" s="64">
        <f t="shared" ref="E354" ca="1" si="602">IF(G354="Subetapa",0,IF(G354="serviço",OFFSET(E354,-1,0)+1,OFFSET(E354,-1,0)))</f>
        <v>3</v>
      </c>
      <c r="F354" s="65"/>
      <c r="G354" s="73" t="s">
        <v>154</v>
      </c>
      <c r="H354" s="67" t="str">
        <f t="shared" ref="H354" ca="1" si="603">IF(G354="Unidade Construtiva",TEXT(A354,"00"),IF(G354="Célula Construtiva",TEXT(B354,"00"),IF(G354="Etapa",CONCATENATE(TEXT(B354,"00"),".",TEXT(C354,"000")),IF(G354="Subetapa",CONCATENATE(TEXT(B354,"00"),".",TEXT(C354,"000"),".",TEXT(D354,"000")),IF(G354="Serviço",CONCATENATE(TEXT(B354,"00"),".",TEXT(C354,"000"),".",TEXT(D354,"000"),".",TEXT(E354,"000")),"")))))</f>
        <v>17.002.003.003</v>
      </c>
      <c r="I354" s="74" t="s">
        <v>254</v>
      </c>
      <c r="J354" s="96"/>
      <c r="K354" s="127"/>
      <c r="L354" s="115"/>
      <c r="M354" s="74" t="s">
        <v>255</v>
      </c>
    </row>
    <row r="355" spans="1:13" ht="20.45" customHeight="1" outlineLevel="1" x14ac:dyDescent="0.55000000000000004">
      <c r="A355" s="63">
        <f ca="1">IF($G355="UNIDADE CONSTRUTIVA",OFFSET(A355,0,0)+1,LARGE(A$3:A352,1))</f>
        <v>2</v>
      </c>
      <c r="B355" s="63">
        <f t="shared" ref="B355" ca="1" si="604">IF(G355="UNIDADE CONSTRUTIVA",0,IF(G355="CÉLULA CONSTRUTIVA",OFFSET(B355,-1,0)+1,OFFSET(B355,-1,0)))</f>
        <v>17</v>
      </c>
      <c r="C355" s="63">
        <f t="shared" ref="C355" ca="1" si="605">IF(G355="CÉLULA CONSTRUTIVA",0,IF(G355="ETAPA",OFFSET(C355,-1,0)+1,OFFSET(C355,-1,0)))</f>
        <v>2</v>
      </c>
      <c r="D355" s="64">
        <f t="shared" ref="D355" ca="1" si="606">IF(G355="ETAPA",0,IF(G355="SUBETAPA",OFFSET(D355,-1,0)+1,OFFSET(D355,-1,0)))</f>
        <v>3</v>
      </c>
      <c r="E355" s="64">
        <f t="shared" ref="E355" ca="1" si="607">IF(G355="Subetapa",0,IF(G355="serviço",OFFSET(E355,-1,0)+1,OFFSET(E355,-1,0)))</f>
        <v>4</v>
      </c>
      <c r="F355" s="65"/>
      <c r="G355" s="73" t="s">
        <v>154</v>
      </c>
      <c r="H355" s="67" t="str">
        <f t="shared" ref="H355" ca="1" si="608">IF(G355="Unidade Construtiva",TEXT(A355,"00"),IF(G355="Célula Construtiva",TEXT(B355,"00"),IF(G355="Etapa",CONCATENATE(TEXT(B355,"00"),".",TEXT(C355,"000")),IF(G355="Subetapa",CONCATENATE(TEXT(B355,"00"),".",TEXT(C355,"000"),".",TEXT(D355,"000")),IF(G355="Serviço",CONCATENATE(TEXT(B355,"00"),".",TEXT(C355,"000"),".",TEXT(D355,"000"),".",TEXT(E355,"000")),"")))))</f>
        <v>17.002.003.004</v>
      </c>
      <c r="I355" s="74" t="s">
        <v>256</v>
      </c>
      <c r="J355" s="96">
        <v>36</v>
      </c>
      <c r="K355" s="127" t="s">
        <v>184</v>
      </c>
      <c r="L355" s="115">
        <v>52026.14</v>
      </c>
      <c r="M355" s="74" t="s">
        <v>474</v>
      </c>
    </row>
    <row r="356" spans="1:13" ht="20.45" customHeight="1" outlineLevel="1" x14ac:dyDescent="0.55000000000000004">
      <c r="A356" s="63">
        <f ca="1">IF($G356="UNIDADE CONSTRUTIVA",OFFSET(A356,0,0)+1,LARGE(A$3:A352,1))</f>
        <v>2</v>
      </c>
      <c r="B356" s="63">
        <f t="shared" ca="1" si="325"/>
        <v>17</v>
      </c>
      <c r="C356" s="63">
        <f t="shared" ca="1" si="326"/>
        <v>2</v>
      </c>
      <c r="D356" s="64">
        <f t="shared" ca="1" si="327"/>
        <v>4</v>
      </c>
      <c r="E356" s="64">
        <f t="shared" ca="1" si="328"/>
        <v>0</v>
      </c>
      <c r="F356" s="65"/>
      <c r="G356" s="73" t="s">
        <v>153</v>
      </c>
      <c r="H356" s="67" t="str">
        <f t="shared" ca="1" si="542"/>
        <v>17.002.004</v>
      </c>
      <c r="I356" s="74" t="s">
        <v>39</v>
      </c>
      <c r="J356" s="96"/>
      <c r="K356" s="127"/>
      <c r="L356" s="115">
        <f>SUM(L357:L358)</f>
        <v>18975</v>
      </c>
      <c r="M356" s="74"/>
    </row>
    <row r="357" spans="1:13" ht="20.45" customHeight="1" outlineLevel="1" x14ac:dyDescent="0.55000000000000004">
      <c r="A357" s="63">
        <f ca="1">IF($G357="UNIDADE CONSTRUTIVA",OFFSET(A357,0,0)+1,LARGE(A$3:A356,1))</f>
        <v>2</v>
      </c>
      <c r="B357" s="63">
        <f t="shared" ref="B357" ca="1" si="609">IF(G357="UNIDADE CONSTRUTIVA",0,IF(G357="CÉLULA CONSTRUTIVA",OFFSET(B357,-1,0)+1,OFFSET(B357,-1,0)))</f>
        <v>17</v>
      </c>
      <c r="C357" s="63">
        <f t="shared" ref="C357" ca="1" si="610">IF(G357="CÉLULA CONSTRUTIVA",0,IF(G357="ETAPA",OFFSET(C357,-1,0)+1,OFFSET(C357,-1,0)))</f>
        <v>2</v>
      </c>
      <c r="D357" s="64">
        <f t="shared" ref="D357" ca="1" si="611">IF(G357="ETAPA",0,IF(G357="SUBETAPA",OFFSET(D357,-1,0)+1,OFFSET(D357,-1,0)))</f>
        <v>4</v>
      </c>
      <c r="E357" s="64">
        <f t="shared" ref="E357" ca="1" si="612">IF(G357="Subetapa",0,IF(G357="serviço",OFFSET(E357,-1,0)+1,OFFSET(E357,-1,0)))</f>
        <v>1</v>
      </c>
      <c r="F357" s="65"/>
      <c r="G357" s="73" t="s">
        <v>154</v>
      </c>
      <c r="H357" s="67" t="str">
        <f t="shared" ref="H357" ca="1" si="613">IF(G357="Unidade Construtiva",TEXT(A357,"00"),IF(G357="Célula Construtiva",TEXT(B357,"00"),IF(G357="Etapa",CONCATENATE(TEXT(B357,"00"),".",TEXT(C357,"000")),IF(G357="Subetapa",CONCATENATE(TEXT(B357,"00"),".",TEXT(C357,"000"),".",TEXT(D357,"000")),IF(G357="Serviço",CONCATENATE(TEXT(B357,"00"),".",TEXT(C357,"000"),".",TEXT(D357,"000"),".",TEXT(E357,"000")),"")))))</f>
        <v>17.002.004.001</v>
      </c>
      <c r="I357" s="74" t="s">
        <v>252</v>
      </c>
      <c r="J357" s="96">
        <f>J346+J347+J348</f>
        <v>115</v>
      </c>
      <c r="K357" s="127" t="s">
        <v>184</v>
      </c>
      <c r="L357" s="115">
        <v>18975</v>
      </c>
      <c r="M357" s="74"/>
    </row>
    <row r="358" spans="1:13" ht="20.45" customHeight="1" outlineLevel="1" x14ac:dyDescent="0.55000000000000004">
      <c r="A358" s="63">
        <f ca="1">IF($G358="UNIDADE CONSTRUTIVA",OFFSET(A358,0,0)+1,LARGE(A$3:A357,1))</f>
        <v>2</v>
      </c>
      <c r="B358" s="63">
        <f t="shared" ref="B358" ca="1" si="614">IF(G358="UNIDADE CONSTRUTIVA",0,IF(G358="CÉLULA CONSTRUTIVA",OFFSET(B358,-1,0)+1,OFFSET(B358,-1,0)))</f>
        <v>17</v>
      </c>
      <c r="C358" s="63">
        <f t="shared" ref="C358" ca="1" si="615">IF(G358="CÉLULA CONSTRUTIVA",0,IF(G358="ETAPA",OFFSET(C358,-1,0)+1,OFFSET(C358,-1,0)))</f>
        <v>2</v>
      </c>
      <c r="D358" s="64">
        <f t="shared" ref="D358" ca="1" si="616">IF(G358="ETAPA",0,IF(G358="SUBETAPA",OFFSET(D358,-1,0)+1,OFFSET(D358,-1,0)))</f>
        <v>4</v>
      </c>
      <c r="E358" s="64">
        <f t="shared" ref="E358" ca="1" si="617">IF(G358="Subetapa",0,IF(G358="serviço",OFFSET(E358,-1,0)+1,OFFSET(E358,-1,0)))</f>
        <v>2</v>
      </c>
      <c r="F358" s="65"/>
      <c r="G358" s="73" t="s">
        <v>154</v>
      </c>
      <c r="H358" s="67" t="str">
        <f t="shared" ref="H358" ca="1" si="618">IF(G358="Unidade Construtiva",TEXT(A358,"00"),IF(G358="Célula Construtiva",TEXT(B358,"00"),IF(G358="Etapa",CONCATENATE(TEXT(B358,"00"),".",TEXT(C358,"000")),IF(G358="Subetapa",CONCATENATE(TEXT(B358,"00"),".",TEXT(C358,"000"),".",TEXT(D358,"000")),IF(G358="Serviço",CONCATENATE(TEXT(B358,"00"),".",TEXT(C358,"000"),".",TEXT(D358,"000"),".",TEXT(E358,"000")),"")))))</f>
        <v>17.002.004.002</v>
      </c>
      <c r="I358" s="74" t="s">
        <v>253</v>
      </c>
      <c r="J358" s="96"/>
      <c r="K358" s="127"/>
      <c r="L358" s="115"/>
      <c r="M358" s="74"/>
    </row>
    <row r="359" spans="1:13" ht="20.45" customHeight="1" outlineLevel="1" x14ac:dyDescent="0.55000000000000004">
      <c r="A359" s="63">
        <f ca="1">IF($G359="UNIDADE CONSTRUTIVA",OFFSET(A359,0,0)+1,LARGE(A$3:A356,1))</f>
        <v>2</v>
      </c>
      <c r="B359" s="63">
        <f t="shared" ca="1" si="325"/>
        <v>17</v>
      </c>
      <c r="C359" s="63">
        <f t="shared" ca="1" si="326"/>
        <v>3</v>
      </c>
      <c r="D359" s="64">
        <f t="shared" ca="1" si="327"/>
        <v>0</v>
      </c>
      <c r="E359" s="64">
        <f t="shared" ca="1" si="328"/>
        <v>2</v>
      </c>
      <c r="F359" s="65"/>
      <c r="G359" s="71" t="s">
        <v>157</v>
      </c>
      <c r="H359" s="67" t="str">
        <f t="shared" ca="1" si="542"/>
        <v>17.003</v>
      </c>
      <c r="I359" s="79" t="s">
        <v>125</v>
      </c>
      <c r="J359" s="106"/>
      <c r="K359" s="129"/>
      <c r="L359" s="132">
        <f>SUM(L360:L368)/2</f>
        <v>442323.43500000006</v>
      </c>
      <c r="M359" s="79"/>
    </row>
    <row r="360" spans="1:13" ht="20.45" customHeight="1" outlineLevel="1" x14ac:dyDescent="0.55000000000000004">
      <c r="A360" s="63">
        <f ca="1">IF($G360="UNIDADE CONSTRUTIVA",OFFSET(A360,0,0)+1,LARGE(A$3:A359,1))</f>
        <v>2</v>
      </c>
      <c r="B360" s="63">
        <f t="shared" ca="1" si="325"/>
        <v>17</v>
      </c>
      <c r="C360" s="63">
        <f t="shared" ca="1" si="326"/>
        <v>3</v>
      </c>
      <c r="D360" s="64">
        <f t="shared" ca="1" si="327"/>
        <v>1</v>
      </c>
      <c r="E360" s="64">
        <f t="shared" ca="1" si="328"/>
        <v>0</v>
      </c>
      <c r="F360" s="65"/>
      <c r="G360" s="73" t="s">
        <v>153</v>
      </c>
      <c r="H360" s="67" t="str">
        <f t="shared" ca="1" si="542"/>
        <v>17.003.001</v>
      </c>
      <c r="I360" s="74" t="s">
        <v>126</v>
      </c>
      <c r="J360" s="96"/>
      <c r="K360" s="127"/>
      <c r="L360" s="115">
        <f>SUM(L361:L364)</f>
        <v>409053</v>
      </c>
      <c r="M360" s="74"/>
    </row>
    <row r="361" spans="1:13" ht="20.45" customHeight="1" outlineLevel="1" x14ac:dyDescent="0.55000000000000004">
      <c r="A361" s="63">
        <f ca="1">IF($G361="UNIDADE CONSTRUTIVA",OFFSET(A361,0,0)+1,LARGE(A$3:A360,1))</f>
        <v>2</v>
      </c>
      <c r="B361" s="63">
        <f t="shared" ref="B361" ca="1" si="619">IF(G361="UNIDADE CONSTRUTIVA",0,IF(G361="CÉLULA CONSTRUTIVA",OFFSET(B361,-1,0)+1,OFFSET(B361,-1,0)))</f>
        <v>17</v>
      </c>
      <c r="C361" s="63">
        <f t="shared" ref="C361" ca="1" si="620">IF(G361="CÉLULA CONSTRUTIVA",0,IF(G361="ETAPA",OFFSET(C361,-1,0)+1,OFFSET(C361,-1,0)))</f>
        <v>3</v>
      </c>
      <c r="D361" s="64">
        <f t="shared" ref="D361" ca="1" si="621">IF(G361="ETAPA",0,IF(G361="SUBETAPA",OFFSET(D361,-1,0)+1,OFFSET(D361,-1,0)))</f>
        <v>1</v>
      </c>
      <c r="E361" s="64">
        <f t="shared" ref="E361" ca="1" si="622">IF(G361="Subetapa",0,IF(G361="serviço",OFFSET(E361,-1,0)+1,OFFSET(E361,-1,0)))</f>
        <v>1</v>
      </c>
      <c r="F361" s="65"/>
      <c r="G361" s="73" t="s">
        <v>154</v>
      </c>
      <c r="H361" s="67" t="str">
        <f t="shared" ref="H361" ca="1" si="623">IF(G361="Unidade Construtiva",TEXT(A361,"00"),IF(G361="Célula Construtiva",TEXT(B361,"00"),IF(G361="Etapa",CONCATENATE(TEXT(B361,"00"),".",TEXT(C361,"000")),IF(G361="Subetapa",CONCATENATE(TEXT(B361,"00"),".",TEXT(C361,"000"),".",TEXT(D361,"000")),IF(G361="Serviço",CONCATENATE(TEXT(B361,"00"),".",TEXT(C361,"000"),".",TEXT(D361,"000"),".",TEXT(E361,"000")),"")))))</f>
        <v>17.003.001.001</v>
      </c>
      <c r="I361" s="74" t="s">
        <v>258</v>
      </c>
      <c r="J361" s="96">
        <v>10</v>
      </c>
      <c r="K361" s="127" t="s">
        <v>184</v>
      </c>
      <c r="L361" s="115">
        <v>20350</v>
      </c>
      <c r="M361" s="74"/>
    </row>
    <row r="362" spans="1:13" ht="20.45" customHeight="1" outlineLevel="1" x14ac:dyDescent="0.55000000000000004">
      <c r="A362" s="63">
        <f ca="1">IF($G362="UNIDADE CONSTRUTIVA",OFFSET(A362,0,0)+1,LARGE(A$3:A361,1))</f>
        <v>2</v>
      </c>
      <c r="B362" s="63">
        <f t="shared" ref="B362" ca="1" si="624">IF(G362="UNIDADE CONSTRUTIVA",0,IF(G362="CÉLULA CONSTRUTIVA",OFFSET(B362,-1,0)+1,OFFSET(B362,-1,0)))</f>
        <v>17</v>
      </c>
      <c r="C362" s="63">
        <f t="shared" ref="C362" ca="1" si="625">IF(G362="CÉLULA CONSTRUTIVA",0,IF(G362="ETAPA",OFFSET(C362,-1,0)+1,OFFSET(C362,-1,0)))</f>
        <v>3</v>
      </c>
      <c r="D362" s="64">
        <f t="shared" ref="D362" ca="1" si="626">IF(G362="ETAPA",0,IF(G362="SUBETAPA",OFFSET(D362,-1,0)+1,OFFSET(D362,-1,0)))</f>
        <v>1</v>
      </c>
      <c r="E362" s="64">
        <f t="shared" ref="E362" ca="1" si="627">IF(G362="Subetapa",0,IF(G362="serviço",OFFSET(E362,-1,0)+1,OFFSET(E362,-1,0)))</f>
        <v>2</v>
      </c>
      <c r="F362" s="65"/>
      <c r="G362" s="73" t="s">
        <v>154</v>
      </c>
      <c r="H362" s="67" t="str">
        <f t="shared" ref="H362" ca="1" si="628">IF(G362="Unidade Construtiva",TEXT(A362,"00"),IF(G362="Célula Construtiva",TEXT(B362,"00"),IF(G362="Etapa",CONCATENATE(TEXT(B362,"00"),".",TEXT(C362,"000")),IF(G362="Subetapa",CONCATENATE(TEXT(B362,"00"),".",TEXT(C362,"000"),".",TEXT(D362,"000")),IF(G362="Serviço",CONCATENATE(TEXT(B362,"00"),".",TEXT(C362,"000"),".",TEXT(D362,"000"),".",TEXT(E362,"000")),"")))))</f>
        <v>17.003.001.002</v>
      </c>
      <c r="I362" s="74" t="s">
        <v>259</v>
      </c>
      <c r="J362" s="96">
        <v>2</v>
      </c>
      <c r="K362" s="127" t="s">
        <v>184</v>
      </c>
      <c r="L362" s="115">
        <v>40920</v>
      </c>
      <c r="M362" s="74"/>
    </row>
    <row r="363" spans="1:13" ht="20.45" customHeight="1" outlineLevel="1" x14ac:dyDescent="0.55000000000000004">
      <c r="A363" s="63">
        <f ca="1">IF($G363="UNIDADE CONSTRUTIVA",OFFSET(A363,0,0)+1,LARGE(A$3:A362,1))</f>
        <v>2</v>
      </c>
      <c r="B363" s="63">
        <f t="shared" ref="B363:B366" ca="1" si="629">IF(G363="UNIDADE CONSTRUTIVA",0,IF(G363="CÉLULA CONSTRUTIVA",OFFSET(B363,-1,0)+1,OFFSET(B363,-1,0)))</f>
        <v>17</v>
      </c>
      <c r="C363" s="63">
        <f t="shared" ref="C363:C366" ca="1" si="630">IF(G363="CÉLULA CONSTRUTIVA",0,IF(G363="ETAPA",OFFSET(C363,-1,0)+1,OFFSET(C363,-1,0)))</f>
        <v>3</v>
      </c>
      <c r="D363" s="64">
        <f t="shared" ref="D363:D366" ca="1" si="631">IF(G363="ETAPA",0,IF(G363="SUBETAPA",OFFSET(D363,-1,0)+1,OFFSET(D363,-1,0)))</f>
        <v>1</v>
      </c>
      <c r="E363" s="64">
        <f t="shared" ref="E363:E366" ca="1" si="632">IF(G363="Subetapa",0,IF(G363="serviço",OFFSET(E363,-1,0)+1,OFFSET(E363,-1,0)))</f>
        <v>3</v>
      </c>
      <c r="F363" s="65"/>
      <c r="G363" s="73" t="s">
        <v>154</v>
      </c>
      <c r="H363" s="67" t="str">
        <f t="shared" ref="H363:H366" ca="1" si="633">IF(G363="Unidade Construtiva",TEXT(A363,"00"),IF(G363="Célula Construtiva",TEXT(B363,"00"),IF(G363="Etapa",CONCATENATE(TEXT(B363,"00"),".",TEXT(C363,"000")),IF(G363="Subetapa",CONCATENATE(TEXT(B363,"00"),".",TEXT(C363,"000"),".",TEXT(D363,"000")),IF(G363="Serviço",CONCATENATE(TEXT(B363,"00"),".",TEXT(C363,"000"),".",TEXT(D363,"000"),".",TEXT(E363,"000")),"")))))</f>
        <v>17.003.001.003</v>
      </c>
      <c r="I363" s="74" t="s">
        <v>509</v>
      </c>
      <c r="J363" s="96">
        <v>2</v>
      </c>
      <c r="K363" s="127" t="s">
        <v>184</v>
      </c>
      <c r="L363" s="115">
        <v>16533</v>
      </c>
      <c r="M363" s="74"/>
    </row>
    <row r="364" spans="1:13" ht="20.45" customHeight="1" outlineLevel="1" x14ac:dyDescent="0.55000000000000004">
      <c r="A364" s="63">
        <f ca="1">IF($G364="UNIDADE CONSTRUTIVA",OFFSET(A364,0,0)+1,LARGE(A$3:A356,1))</f>
        <v>2</v>
      </c>
      <c r="B364" s="63">
        <f t="shared" ca="1" si="629"/>
        <v>17</v>
      </c>
      <c r="C364" s="63">
        <f t="shared" ca="1" si="630"/>
        <v>3</v>
      </c>
      <c r="D364" s="64">
        <f t="shared" ca="1" si="631"/>
        <v>1</v>
      </c>
      <c r="E364" s="64">
        <f t="shared" ca="1" si="632"/>
        <v>4</v>
      </c>
      <c r="F364" s="65"/>
      <c r="G364" s="73" t="s">
        <v>154</v>
      </c>
      <c r="H364" s="67" t="str">
        <f t="shared" ca="1" si="633"/>
        <v>17.003.001.004</v>
      </c>
      <c r="I364" s="74" t="s">
        <v>508</v>
      </c>
      <c r="J364" s="131">
        <v>160.65</v>
      </c>
      <c r="K364" s="127" t="s">
        <v>183</v>
      </c>
      <c r="L364" s="115">
        <v>331250</v>
      </c>
      <c r="M364" s="74"/>
    </row>
    <row r="365" spans="1:13" ht="20.45" customHeight="1" outlineLevel="1" x14ac:dyDescent="0.55000000000000004">
      <c r="A365" s="63">
        <f ca="1">IF($G365="UNIDADE CONSTRUTIVA",OFFSET(A365,0,0)+1,LARGE(A$3:A363,1))</f>
        <v>2</v>
      </c>
      <c r="B365" s="63">
        <f t="shared" ca="1" si="629"/>
        <v>17</v>
      </c>
      <c r="C365" s="63">
        <f t="shared" ca="1" si="630"/>
        <v>3</v>
      </c>
      <c r="D365" s="64">
        <f t="shared" ca="1" si="631"/>
        <v>2</v>
      </c>
      <c r="E365" s="64">
        <f t="shared" ca="1" si="632"/>
        <v>0</v>
      </c>
      <c r="F365" s="65"/>
      <c r="G365" s="73" t="s">
        <v>153</v>
      </c>
      <c r="H365" s="67" t="str">
        <f t="shared" ca="1" si="633"/>
        <v>17.003.002</v>
      </c>
      <c r="I365" s="74" t="s">
        <v>510</v>
      </c>
      <c r="J365" s="96"/>
      <c r="K365" s="127"/>
      <c r="L365" s="115">
        <f>L366</f>
        <v>0</v>
      </c>
      <c r="M365" s="74"/>
    </row>
    <row r="366" spans="1:13" ht="20.45" customHeight="1" outlineLevel="1" x14ac:dyDescent="0.55000000000000004">
      <c r="A366" s="63">
        <f ca="1">IF($G366="UNIDADE CONSTRUTIVA",OFFSET(A366,0,0)+1,LARGE(A$3:A365,1))</f>
        <v>2</v>
      </c>
      <c r="B366" s="63">
        <f t="shared" ca="1" si="629"/>
        <v>17</v>
      </c>
      <c r="C366" s="63">
        <f t="shared" ca="1" si="630"/>
        <v>3</v>
      </c>
      <c r="D366" s="64">
        <f t="shared" ca="1" si="631"/>
        <v>2</v>
      </c>
      <c r="E366" s="64">
        <f t="shared" ca="1" si="632"/>
        <v>1</v>
      </c>
      <c r="F366" s="65"/>
      <c r="G366" s="73" t="s">
        <v>154</v>
      </c>
      <c r="H366" s="67" t="str">
        <f t="shared" ca="1" si="633"/>
        <v>17.003.002.001</v>
      </c>
      <c r="I366" s="74" t="s">
        <v>512</v>
      </c>
      <c r="J366" s="96"/>
      <c r="K366" s="127"/>
      <c r="L366" s="115"/>
      <c r="M366" s="74"/>
    </row>
    <row r="367" spans="1:13" ht="20.45" customHeight="1" outlineLevel="1" x14ac:dyDescent="0.55000000000000004">
      <c r="A367" s="63">
        <f ca="1">IF($G367="UNIDADE CONSTRUTIVA",OFFSET(A367,0,0)+1,LARGE(A$3:A360,1))</f>
        <v>2</v>
      </c>
      <c r="B367" s="63">
        <f t="shared" ca="1" si="325"/>
        <v>17</v>
      </c>
      <c r="C367" s="63">
        <f t="shared" ca="1" si="326"/>
        <v>3</v>
      </c>
      <c r="D367" s="64">
        <f t="shared" ca="1" si="327"/>
        <v>3</v>
      </c>
      <c r="E367" s="64">
        <f t="shared" ca="1" si="328"/>
        <v>0</v>
      </c>
      <c r="F367" s="65"/>
      <c r="G367" s="73" t="s">
        <v>153</v>
      </c>
      <c r="H367" s="67" t="str">
        <f t="shared" ca="1" si="542"/>
        <v>17.003.003</v>
      </c>
      <c r="I367" s="74" t="s">
        <v>127</v>
      </c>
      <c r="J367" s="96"/>
      <c r="K367" s="127"/>
      <c r="L367" s="115">
        <f>L368</f>
        <v>33270.434999999998</v>
      </c>
      <c r="M367" s="74"/>
    </row>
    <row r="368" spans="1:13" ht="20.45" customHeight="1" outlineLevel="1" x14ac:dyDescent="0.55000000000000004">
      <c r="A368" s="63">
        <f ca="1">IF($G368="UNIDADE CONSTRUTIVA",OFFSET(A368,0,0)+1,LARGE(A$3:A361,1))</f>
        <v>2</v>
      </c>
      <c r="B368" s="63">
        <f t="shared" ref="B368" ca="1" si="634">IF(G368="UNIDADE CONSTRUTIVA",0,IF(G368="CÉLULA CONSTRUTIVA",OFFSET(B368,-1,0)+1,OFFSET(B368,-1,0)))</f>
        <v>17</v>
      </c>
      <c r="C368" s="63">
        <f t="shared" ref="C368" ca="1" si="635">IF(G368="CÉLULA CONSTRUTIVA",0,IF(G368="ETAPA",OFFSET(C368,-1,0)+1,OFFSET(C368,-1,0)))</f>
        <v>3</v>
      </c>
      <c r="D368" s="64">
        <f t="shared" ref="D368" ca="1" si="636">IF(G368="ETAPA",0,IF(G368="SUBETAPA",OFFSET(D368,-1,0)+1,OFFSET(D368,-1,0)))</f>
        <v>3</v>
      </c>
      <c r="E368" s="64">
        <f t="shared" ref="E368" ca="1" si="637">IF(G368="Subetapa",0,IF(G368="serviço",OFFSET(E368,-1,0)+1,OFFSET(E368,-1,0)))</f>
        <v>1</v>
      </c>
      <c r="F368" s="65"/>
      <c r="G368" s="73" t="s">
        <v>154</v>
      </c>
      <c r="H368" s="67" t="str">
        <f t="shared" ref="H368" ca="1" si="638">IF(G368="Unidade Construtiva",TEXT(A368,"00"),IF(G368="Célula Construtiva",TEXT(B368,"00"),IF(G368="Etapa",CONCATENATE(TEXT(B368,"00"),".",TEXT(C368,"000")),IF(G368="Subetapa",CONCATENATE(TEXT(B368,"00"),".",TEXT(C368,"000"),".",TEXT(D368,"000")),IF(G368="Serviço",CONCATENATE(TEXT(B368,"00"),".",TEXT(C368,"000"),".",TEXT(D368,"000"),".",TEXT(E368,"000")),"")))))</f>
        <v>17.003.003.001</v>
      </c>
      <c r="I368" s="74" t="s">
        <v>127</v>
      </c>
      <c r="J368" s="96">
        <v>1</v>
      </c>
      <c r="K368" s="127" t="s">
        <v>217</v>
      </c>
      <c r="L368" s="115">
        <v>33270.434999999998</v>
      </c>
      <c r="M368" s="74" t="s">
        <v>260</v>
      </c>
    </row>
    <row r="369" spans="1:13" ht="20.45" customHeight="1" x14ac:dyDescent="0.55000000000000004">
      <c r="A369" s="63">
        <f ca="1">IF($G369="UNIDADE CONSTRUTIVA",OFFSET(A369,0,0)+1,LARGE(A$3:A367,1))</f>
        <v>2</v>
      </c>
      <c r="B369" s="63">
        <f t="shared" ca="1" si="325"/>
        <v>18</v>
      </c>
      <c r="C369" s="63">
        <f t="shared" ca="1" si="326"/>
        <v>0</v>
      </c>
      <c r="D369" s="64">
        <f t="shared" ca="1" si="327"/>
        <v>3</v>
      </c>
      <c r="E369" s="64">
        <f t="shared" ca="1" si="328"/>
        <v>1</v>
      </c>
      <c r="F369" s="65"/>
      <c r="G369" s="71" t="s">
        <v>156</v>
      </c>
      <c r="H369" s="67" t="str">
        <f t="shared" ca="1" si="542"/>
        <v>18</v>
      </c>
      <c r="I369" s="72" t="s">
        <v>128</v>
      </c>
      <c r="J369" s="95"/>
      <c r="K369" s="125"/>
      <c r="L369" s="113">
        <f>L370</f>
        <v>580558.34535999992</v>
      </c>
      <c r="M369" s="72">
        <f>L369/OBRA!$E$15</f>
        <v>95.973223658782942</v>
      </c>
    </row>
    <row r="370" spans="1:13" outlineLevel="1" x14ac:dyDescent="0.55000000000000004">
      <c r="A370" s="63">
        <f ca="1">IF($G370="UNIDADE CONSTRUTIVA",OFFSET(A370,0,0)+1,LARGE(A$3:A369,1))</f>
        <v>2</v>
      </c>
      <c r="B370" s="63">
        <f t="shared" ca="1" si="325"/>
        <v>18</v>
      </c>
      <c r="C370" s="63">
        <f t="shared" ca="1" si="326"/>
        <v>1</v>
      </c>
      <c r="D370" s="64">
        <f t="shared" ca="1" si="327"/>
        <v>0</v>
      </c>
      <c r="E370" s="64">
        <f t="shared" ca="1" si="328"/>
        <v>1</v>
      </c>
      <c r="F370" s="65"/>
      <c r="G370" s="71" t="s">
        <v>157</v>
      </c>
      <c r="H370" s="67" t="str">
        <f t="shared" ca="1" si="542"/>
        <v>18.001</v>
      </c>
      <c r="I370" s="80" t="s">
        <v>128</v>
      </c>
      <c r="J370" s="107"/>
      <c r="K370" s="130"/>
      <c r="L370" s="126">
        <f>SUM(L371:L379)/2</f>
        <v>580558.34535999992</v>
      </c>
      <c r="M370" s="84" t="s">
        <v>477</v>
      </c>
    </row>
    <row r="371" spans="1:13" ht="20.45" customHeight="1" outlineLevel="1" x14ac:dyDescent="0.55000000000000004">
      <c r="A371" s="63">
        <f ca="1">IF($G371="UNIDADE CONSTRUTIVA",OFFSET(A371,0,0)+1,LARGE(A$3:A370,1))</f>
        <v>2</v>
      </c>
      <c r="B371" s="63">
        <f t="shared" ca="1" si="325"/>
        <v>18</v>
      </c>
      <c r="C371" s="63">
        <f t="shared" ca="1" si="326"/>
        <v>1</v>
      </c>
      <c r="D371" s="64">
        <f t="shared" ca="1" si="327"/>
        <v>1</v>
      </c>
      <c r="E371" s="64">
        <f t="shared" ca="1" si="328"/>
        <v>0</v>
      </c>
      <c r="F371" s="65"/>
      <c r="G371" s="73" t="s">
        <v>153</v>
      </c>
      <c r="H371" s="67" t="str">
        <f t="shared" ca="1" si="542"/>
        <v>18.001.001</v>
      </c>
      <c r="I371" s="74" t="s">
        <v>129</v>
      </c>
      <c r="J371" s="96"/>
      <c r="K371" s="127"/>
      <c r="L371" s="115">
        <f>SUM(L372:L373)</f>
        <v>207929.47336</v>
      </c>
      <c r="M371" s="74"/>
    </row>
    <row r="372" spans="1:13" ht="20.45" customHeight="1" outlineLevel="1" x14ac:dyDescent="0.55000000000000004">
      <c r="A372" s="63">
        <f ca="1">IF($G372="UNIDADE CONSTRUTIVA",OFFSET(A372,0,0)+1,LARGE(A$3:A371,1))</f>
        <v>2</v>
      </c>
      <c r="B372" s="63">
        <f t="shared" ca="1" si="325"/>
        <v>18</v>
      </c>
      <c r="C372" s="63">
        <f t="shared" ca="1" si="326"/>
        <v>1</v>
      </c>
      <c r="D372" s="64">
        <f t="shared" ca="1" si="327"/>
        <v>1</v>
      </c>
      <c r="E372" s="64">
        <f t="shared" ca="1" si="328"/>
        <v>1</v>
      </c>
      <c r="F372" s="65"/>
      <c r="G372" s="73" t="s">
        <v>154</v>
      </c>
      <c r="H372" s="67" t="str">
        <f t="shared" ca="1" si="542"/>
        <v>18.001.001.001</v>
      </c>
      <c r="I372" s="74" t="s">
        <v>235</v>
      </c>
      <c r="J372" s="128">
        <f>OBRA!E34+2+1+7+9+5</f>
        <v>27</v>
      </c>
      <c r="K372" s="127" t="s">
        <v>184</v>
      </c>
      <c r="L372" s="115">
        <v>100986.66336000001</v>
      </c>
      <c r="M372" s="74"/>
    </row>
    <row r="373" spans="1:13" ht="20.45" customHeight="1" outlineLevel="1" x14ac:dyDescent="0.55000000000000004">
      <c r="A373" s="63">
        <f ca="1">IF($G373="UNIDADE CONSTRUTIVA",OFFSET(A373,0,0)+1,LARGE(A$3:A372,1))</f>
        <v>2</v>
      </c>
      <c r="B373" s="63">
        <f t="shared" ca="1" si="325"/>
        <v>18</v>
      </c>
      <c r="C373" s="63">
        <f t="shared" ca="1" si="326"/>
        <v>1</v>
      </c>
      <c r="D373" s="64">
        <f t="shared" ca="1" si="327"/>
        <v>1</v>
      </c>
      <c r="E373" s="64">
        <f t="shared" ca="1" si="328"/>
        <v>2</v>
      </c>
      <c r="F373" s="65"/>
      <c r="G373" s="73" t="s">
        <v>154</v>
      </c>
      <c r="H373" s="67" t="str">
        <f t="shared" ref="H373" ca="1" si="639">IF(G373="Unidade Construtiva",TEXT(A373,"00"),IF(G373="Célula Construtiva",TEXT(B373,"00"),IF(G373="Etapa",CONCATENATE(TEXT(B373,"00"),".",TEXT(C373,"000")),IF(G373="Subetapa",CONCATENATE(TEXT(B373,"00"),".",TEXT(C373,"000"),".",TEXT(D373,"000")),IF(G373="Serviço",CONCATENATE(TEXT(B373,"00"),".",TEXT(C373,"000"),".",TEXT(D373,"000"),".",TEXT(E373,"000")),"")))))</f>
        <v>18.001.001.002</v>
      </c>
      <c r="I373" s="74" t="s">
        <v>236</v>
      </c>
      <c r="J373" s="128">
        <f>J372+1+1-3</f>
        <v>26</v>
      </c>
      <c r="K373" s="127" t="s">
        <v>184</v>
      </c>
      <c r="L373" s="115">
        <v>106942.81</v>
      </c>
      <c r="M373" s="74"/>
    </row>
    <row r="374" spans="1:13" ht="20.45" customHeight="1" outlineLevel="1" x14ac:dyDescent="0.55000000000000004">
      <c r="A374" s="63">
        <f ca="1">IF($G374="UNIDADE CONSTRUTIVA",OFFSET(A374,0,0)+1,LARGE(A$3:A373,1))</f>
        <v>2</v>
      </c>
      <c r="B374" s="63">
        <f t="shared" ca="1" si="325"/>
        <v>18</v>
      </c>
      <c r="C374" s="63">
        <f t="shared" ca="1" si="326"/>
        <v>1</v>
      </c>
      <c r="D374" s="64">
        <f t="shared" ca="1" si="327"/>
        <v>2</v>
      </c>
      <c r="E374" s="64">
        <f t="shared" ca="1" si="328"/>
        <v>0</v>
      </c>
      <c r="F374" s="65"/>
      <c r="G374" s="73" t="s">
        <v>153</v>
      </c>
      <c r="H374" s="67" t="str">
        <f t="shared" ca="1" si="542"/>
        <v>18.001.002</v>
      </c>
      <c r="I374" s="74" t="s">
        <v>130</v>
      </c>
      <c r="J374" s="96"/>
      <c r="K374" s="127"/>
      <c r="L374" s="115">
        <f>L375</f>
        <v>199622.61</v>
      </c>
      <c r="M374" s="74"/>
    </row>
    <row r="375" spans="1:13" ht="20.45" customHeight="1" outlineLevel="1" x14ac:dyDescent="0.55000000000000004">
      <c r="A375" s="63">
        <f ca="1">IF($G375="UNIDADE CONSTRUTIVA",OFFSET(A375,0,0)+1,LARGE(A$3:A374,1))</f>
        <v>2</v>
      </c>
      <c r="B375" s="63">
        <f t="shared" ca="1" si="325"/>
        <v>18</v>
      </c>
      <c r="C375" s="63">
        <f t="shared" ca="1" si="326"/>
        <v>1</v>
      </c>
      <c r="D375" s="64">
        <f t="shared" ca="1" si="327"/>
        <v>2</v>
      </c>
      <c r="E375" s="64">
        <f t="shared" ca="1" si="328"/>
        <v>1</v>
      </c>
      <c r="F375" s="65"/>
      <c r="G375" s="73" t="s">
        <v>154</v>
      </c>
      <c r="H375" s="67" t="str">
        <f t="shared" ref="H375" ca="1" si="640">IF(G375="Unidade Construtiva",TEXT(A375,"00"),IF(G375="Célula Construtiva",TEXT(B375,"00"),IF(G375="Etapa",CONCATENATE(TEXT(B375,"00"),".",TEXT(C375,"000")),IF(G375="Subetapa",CONCATENATE(TEXT(B375,"00"),".",TEXT(C375,"000"),".",TEXT(D375,"000")),IF(G375="Serviço",CONCATENATE(TEXT(B375,"00"),".",TEXT(C375,"000"),".",TEXT(D375,"000"),".",TEXT(E375,"000")),"")))))</f>
        <v>18.001.002.001</v>
      </c>
      <c r="I375" s="74" t="s">
        <v>130</v>
      </c>
      <c r="J375" s="96">
        <v>1</v>
      </c>
      <c r="K375" s="127" t="s">
        <v>217</v>
      </c>
      <c r="L375" s="115">
        <v>199622.61</v>
      </c>
      <c r="M375" s="74"/>
    </row>
    <row r="376" spans="1:13" ht="20.45" customHeight="1" outlineLevel="1" x14ac:dyDescent="0.55000000000000004">
      <c r="A376" s="63">
        <f ca="1">IF($G376="UNIDADE CONSTRUTIVA",OFFSET(A376,0,0)+1,LARGE(A$3:A375,1))</f>
        <v>2</v>
      </c>
      <c r="B376" s="63">
        <f t="shared" ca="1" si="325"/>
        <v>18</v>
      </c>
      <c r="C376" s="63">
        <f t="shared" ca="1" si="326"/>
        <v>1</v>
      </c>
      <c r="D376" s="64">
        <f t="shared" ca="1" si="327"/>
        <v>3</v>
      </c>
      <c r="E376" s="64">
        <f t="shared" ca="1" si="328"/>
        <v>0</v>
      </c>
      <c r="F376" s="65"/>
      <c r="G376" s="73" t="s">
        <v>153</v>
      </c>
      <c r="H376" s="67" t="str">
        <f t="shared" ca="1" si="542"/>
        <v>18.001.003</v>
      </c>
      <c r="I376" s="74" t="s">
        <v>131</v>
      </c>
      <c r="J376" s="96"/>
      <c r="K376" s="127"/>
      <c r="L376" s="115">
        <f>L377</f>
        <v>106465.39199999999</v>
      </c>
      <c r="M376" s="74"/>
    </row>
    <row r="377" spans="1:13" ht="20.45" customHeight="1" outlineLevel="1" x14ac:dyDescent="0.55000000000000004">
      <c r="A377" s="63">
        <f ca="1">IF($G377="UNIDADE CONSTRUTIVA",OFFSET(A377,0,0)+1,LARGE(A$3:A376,1))</f>
        <v>2</v>
      </c>
      <c r="B377" s="63">
        <f t="shared" ca="1" si="325"/>
        <v>18</v>
      </c>
      <c r="C377" s="63">
        <f t="shared" ca="1" si="326"/>
        <v>1</v>
      </c>
      <c r="D377" s="64">
        <f t="shared" ca="1" si="327"/>
        <v>3</v>
      </c>
      <c r="E377" s="64">
        <f t="shared" ca="1" si="328"/>
        <v>1</v>
      </c>
      <c r="F377" s="65"/>
      <c r="G377" s="73" t="s">
        <v>154</v>
      </c>
      <c r="H377" s="67" t="str">
        <f t="shared" ref="H377" ca="1" si="641">IF(G377="Unidade Construtiva",TEXT(A377,"00"),IF(G377="Célula Construtiva",TEXT(B377,"00"),IF(G377="Etapa",CONCATENATE(TEXT(B377,"00"),".",TEXT(C377,"000")),IF(G377="Subetapa",CONCATENATE(TEXT(B377,"00"),".",TEXT(C377,"000"),".",TEXT(D377,"000")),IF(G377="Serviço",CONCATENATE(TEXT(B377,"00"),".",TEXT(C377,"000"),".",TEXT(D377,"000"),".",TEXT(E377,"000")),"")))))</f>
        <v>18.001.003.001</v>
      </c>
      <c r="I377" s="74" t="s">
        <v>131</v>
      </c>
      <c r="J377" s="96">
        <v>1</v>
      </c>
      <c r="K377" s="127" t="s">
        <v>217</v>
      </c>
      <c r="L377" s="115">
        <v>106465.39199999999</v>
      </c>
      <c r="M377" s="74"/>
    </row>
    <row r="378" spans="1:13" ht="20.45" customHeight="1" outlineLevel="1" x14ac:dyDescent="0.55000000000000004">
      <c r="A378" s="63">
        <f ca="1">IF($G378="UNIDADE CONSTRUTIVA",OFFSET(A378,0,0)+1,LARGE(A$3:A377,1))</f>
        <v>2</v>
      </c>
      <c r="B378" s="63">
        <f t="shared" ca="1" si="325"/>
        <v>18</v>
      </c>
      <c r="C378" s="63">
        <f t="shared" ca="1" si="326"/>
        <v>1</v>
      </c>
      <c r="D378" s="64">
        <f t="shared" ca="1" si="327"/>
        <v>4</v>
      </c>
      <c r="E378" s="64">
        <f t="shared" ca="1" si="328"/>
        <v>0</v>
      </c>
      <c r="F378" s="65"/>
      <c r="G378" s="73" t="s">
        <v>153</v>
      </c>
      <c r="H378" s="67" t="str">
        <f t="shared" ca="1" si="542"/>
        <v>18.001.004</v>
      </c>
      <c r="I378" s="74" t="s">
        <v>39</v>
      </c>
      <c r="J378" s="96"/>
      <c r="K378" s="127"/>
      <c r="L378" s="115">
        <f>L379</f>
        <v>66540.87</v>
      </c>
      <c r="M378" s="74"/>
    </row>
    <row r="379" spans="1:13" ht="20.45" customHeight="1" outlineLevel="1" x14ac:dyDescent="0.55000000000000004">
      <c r="A379" s="63">
        <f ca="1">IF($G379="UNIDADE CONSTRUTIVA",OFFSET(A379,0,0)+1,LARGE(A$3:A378,1))</f>
        <v>2</v>
      </c>
      <c r="B379" s="63">
        <f t="shared" ca="1" si="325"/>
        <v>18</v>
      </c>
      <c r="C379" s="63">
        <f t="shared" ca="1" si="326"/>
        <v>1</v>
      </c>
      <c r="D379" s="64">
        <f t="shared" ca="1" si="327"/>
        <v>4</v>
      </c>
      <c r="E379" s="64">
        <f t="shared" ca="1" si="328"/>
        <v>1</v>
      </c>
      <c r="F379" s="65"/>
      <c r="G379" s="73" t="s">
        <v>154</v>
      </c>
      <c r="H379" s="67" t="str">
        <f t="shared" ref="H379" ca="1" si="642">IF(G379="Unidade Construtiva",TEXT(A379,"00"),IF(G379="Célula Construtiva",TEXT(B379,"00"),IF(G379="Etapa",CONCATENATE(TEXT(B379,"00"),".",TEXT(C379,"000")),IF(G379="Subetapa",CONCATENATE(TEXT(B379,"00"),".",TEXT(C379,"000"),".",TEXT(D379,"000")),IF(G379="Serviço",CONCATENATE(TEXT(B379,"00"),".",TEXT(C379,"000"),".",TEXT(D379,"000"),".",TEXT(E379,"000")),"")))))</f>
        <v>18.001.004.001</v>
      </c>
      <c r="I379" s="74" t="s">
        <v>237</v>
      </c>
      <c r="J379" s="96">
        <v>1</v>
      </c>
      <c r="K379" s="127" t="s">
        <v>217</v>
      </c>
      <c r="L379" s="115">
        <v>66540.87</v>
      </c>
      <c r="M379" s="74"/>
    </row>
    <row r="380" spans="1:13" ht="20.45" customHeight="1" x14ac:dyDescent="0.55000000000000004">
      <c r="A380" s="63">
        <f ca="1">IF($G380="UNIDADE CONSTRUTIVA",OFFSET(A380,0,0)+1,LARGE(A$3:A379,1))</f>
        <v>2</v>
      </c>
      <c r="B380" s="63">
        <f t="shared" ca="1" si="325"/>
        <v>19</v>
      </c>
      <c r="C380" s="63">
        <f t="shared" ca="1" si="326"/>
        <v>0</v>
      </c>
      <c r="D380" s="64">
        <f t="shared" ca="1" si="327"/>
        <v>4</v>
      </c>
      <c r="E380" s="64">
        <f t="shared" ca="1" si="328"/>
        <v>1</v>
      </c>
      <c r="F380" s="65"/>
      <c r="G380" s="71" t="s">
        <v>156</v>
      </c>
      <c r="H380" s="67" t="str">
        <f t="shared" ca="1" si="542"/>
        <v>19</v>
      </c>
      <c r="I380" s="72" t="s">
        <v>132</v>
      </c>
      <c r="J380" s="95"/>
      <c r="K380" s="125"/>
      <c r="L380" s="113">
        <f>L381</f>
        <v>1393694.4545797338</v>
      </c>
      <c r="M380" s="72"/>
    </row>
    <row r="381" spans="1:13" ht="20.45" customHeight="1" outlineLevel="1" x14ac:dyDescent="0.55000000000000004">
      <c r="A381" s="63">
        <f ca="1">IF($G381="UNIDADE CONSTRUTIVA",OFFSET(A381,0,0)+1,LARGE(A$3:A380,1))</f>
        <v>2</v>
      </c>
      <c r="B381" s="63">
        <f t="shared" ca="1" si="325"/>
        <v>19</v>
      </c>
      <c r="C381" s="63">
        <f t="shared" ca="1" si="326"/>
        <v>1</v>
      </c>
      <c r="D381" s="64">
        <f t="shared" ca="1" si="327"/>
        <v>0</v>
      </c>
      <c r="E381" s="64">
        <f t="shared" ca="1" si="328"/>
        <v>1</v>
      </c>
      <c r="F381" s="65"/>
      <c r="G381" s="71" t="s">
        <v>157</v>
      </c>
      <c r="H381" s="67" t="str">
        <f t="shared" ca="1" si="542"/>
        <v>19.001</v>
      </c>
      <c r="I381" s="80" t="s">
        <v>132</v>
      </c>
      <c r="J381" s="107"/>
      <c r="K381" s="130"/>
      <c r="L381" s="126">
        <f>SUM(L382:L396)/2</f>
        <v>1393694.4545797338</v>
      </c>
      <c r="M381" s="80"/>
    </row>
    <row r="382" spans="1:13" ht="20.45" customHeight="1" outlineLevel="1" x14ac:dyDescent="0.55000000000000004">
      <c r="A382" s="63">
        <f ca="1">IF($G382="UNIDADE CONSTRUTIVA",OFFSET(A382,0,0)+1,LARGE(A$3:A381,1))</f>
        <v>2</v>
      </c>
      <c r="B382" s="63">
        <f t="shared" ca="1" si="325"/>
        <v>19</v>
      </c>
      <c r="C382" s="63">
        <f t="shared" ca="1" si="326"/>
        <v>1</v>
      </c>
      <c r="D382" s="64">
        <f t="shared" ca="1" si="327"/>
        <v>1</v>
      </c>
      <c r="E382" s="64">
        <f t="shared" ca="1" si="328"/>
        <v>0</v>
      </c>
      <c r="F382" s="65"/>
      <c r="G382" s="73" t="s">
        <v>153</v>
      </c>
      <c r="H382" s="67" t="str">
        <f t="shared" ca="1" si="542"/>
        <v>19.001.001</v>
      </c>
      <c r="I382" s="74" t="s">
        <v>133</v>
      </c>
      <c r="J382" s="96"/>
      <c r="K382" s="127"/>
      <c r="L382" s="115">
        <f>L383</f>
        <v>117480.68904000004</v>
      </c>
      <c r="M382" s="74"/>
    </row>
    <row r="383" spans="1:13" ht="20.45" customHeight="1" outlineLevel="1" x14ac:dyDescent="0.55000000000000004">
      <c r="A383" s="63">
        <f ca="1">IF($G383="UNIDADE CONSTRUTIVA",OFFSET(A383,0,0)+1,LARGE(A$3:A382,1))</f>
        <v>2</v>
      </c>
      <c r="B383" s="63">
        <f t="shared" ca="1" si="325"/>
        <v>19</v>
      </c>
      <c r="C383" s="63">
        <f t="shared" ca="1" si="326"/>
        <v>1</v>
      </c>
      <c r="D383" s="64">
        <f t="shared" ca="1" si="327"/>
        <v>1</v>
      </c>
      <c r="E383" s="64">
        <f t="shared" ca="1" si="328"/>
        <v>1</v>
      </c>
      <c r="F383" s="65"/>
      <c r="G383" s="73" t="s">
        <v>154</v>
      </c>
      <c r="H383" s="67" t="str">
        <f t="shared" ref="H383" ca="1" si="643">IF(G383="Unidade Construtiva",TEXT(A383,"00"),IF(G383="Célula Construtiva",TEXT(B383,"00"),IF(G383="Etapa",CONCATENATE(TEXT(B383,"00"),".",TEXT(C383,"000")),IF(G383="Subetapa",CONCATENATE(TEXT(B383,"00"),".",TEXT(C383,"000"),".",TEXT(D383,"000")),IF(G383="Serviço",CONCATENATE(TEXT(B383,"00"),".",TEXT(C383,"000"),".",TEXT(D383,"000"),".",TEXT(E383,"000")),"")))))</f>
        <v>19.001.001.001</v>
      </c>
      <c r="I383" s="74" t="s">
        <v>227</v>
      </c>
      <c r="J383" s="96">
        <v>1021.82</v>
      </c>
      <c r="K383" s="127" t="s">
        <v>185</v>
      </c>
      <c r="L383" s="115">
        <v>117480.68904000004</v>
      </c>
      <c r="M383" s="74" t="s">
        <v>475</v>
      </c>
    </row>
    <row r="384" spans="1:13" ht="20.45" customHeight="1" outlineLevel="1" x14ac:dyDescent="0.55000000000000004">
      <c r="A384" s="63">
        <f ca="1">IF($G384="UNIDADE CONSTRUTIVA",OFFSET(A384,0,0)+1,LARGE(A$3:A383,1))</f>
        <v>2</v>
      </c>
      <c r="B384" s="63">
        <f t="shared" ref="B384:B449" ca="1" si="644">IF(G384="UNIDADE CONSTRUTIVA",0,IF(G384="CÉLULA CONSTRUTIVA",OFFSET(B384,-1,0)+1,OFFSET(B384,-1,0)))</f>
        <v>19</v>
      </c>
      <c r="C384" s="63">
        <f t="shared" ref="C384:C449" ca="1" si="645">IF(G384="CÉLULA CONSTRUTIVA",0,IF(G384="ETAPA",OFFSET(C384,-1,0)+1,OFFSET(C384,-1,0)))</f>
        <v>1</v>
      </c>
      <c r="D384" s="64">
        <f t="shared" ref="D384:D449" ca="1" si="646">IF(G384="ETAPA",0,IF(G384="SUBETAPA",OFFSET(D384,-1,0)+1,OFFSET(D384,-1,0)))</f>
        <v>2</v>
      </c>
      <c r="E384" s="64">
        <f t="shared" ref="E384:E449" ca="1" si="647">IF(G384="Subetapa",0,IF(G384="serviço",OFFSET(E384,-1,0)+1,OFFSET(E384,-1,0)))</f>
        <v>0</v>
      </c>
      <c r="F384" s="65"/>
      <c r="G384" s="73" t="s">
        <v>153</v>
      </c>
      <c r="H384" s="67" t="str">
        <f t="shared" ca="1" si="542"/>
        <v>19.001.002</v>
      </c>
      <c r="I384" s="74" t="s">
        <v>134</v>
      </c>
      <c r="J384" s="96"/>
      <c r="K384" s="127"/>
      <c r="L384" s="115">
        <f>L385</f>
        <v>551902.06683040014</v>
      </c>
      <c r="M384" s="74"/>
    </row>
    <row r="385" spans="1:13" ht="20.45" customHeight="1" outlineLevel="1" x14ac:dyDescent="0.55000000000000004">
      <c r="A385" s="63">
        <f ca="1">IF($G385="UNIDADE CONSTRUTIVA",OFFSET(A385,0,0)+1,LARGE(A$3:A384,1))</f>
        <v>2</v>
      </c>
      <c r="B385" s="63">
        <f t="shared" ca="1" si="644"/>
        <v>19</v>
      </c>
      <c r="C385" s="63">
        <f t="shared" ca="1" si="645"/>
        <v>1</v>
      </c>
      <c r="D385" s="64">
        <f t="shared" ca="1" si="646"/>
        <v>2</v>
      </c>
      <c r="E385" s="64">
        <f t="shared" ca="1" si="647"/>
        <v>1</v>
      </c>
      <c r="F385" s="65"/>
      <c r="G385" s="73" t="s">
        <v>154</v>
      </c>
      <c r="H385" s="67" t="str">
        <f t="shared" ref="H385" ca="1" si="648">IF(G385="Unidade Construtiva",TEXT(A385,"00"),IF(G385="Célula Construtiva",TEXT(B385,"00"),IF(G385="Etapa",CONCATENATE(TEXT(B385,"00"),".",TEXT(C385,"000")),IF(G385="Subetapa",CONCATENATE(TEXT(B385,"00"),".",TEXT(C385,"000"),".",TEXT(D385,"000")),IF(G385="Serviço",CONCATENATE(TEXT(B385,"00"),".",TEXT(C385,"000"),".",TEXT(D385,"000"),".",TEXT(E385,"000")),"")))))</f>
        <v>19.001.002.001</v>
      </c>
      <c r="I385" s="74" t="s">
        <v>228</v>
      </c>
      <c r="J385" s="96">
        <v>2534.1136000000001</v>
      </c>
      <c r="K385" s="127" t="s">
        <v>185</v>
      </c>
      <c r="L385" s="115">
        <v>551902.06683040014</v>
      </c>
      <c r="M385" s="74" t="s">
        <v>476</v>
      </c>
    </row>
    <row r="386" spans="1:13" ht="20.45" customHeight="1" outlineLevel="1" x14ac:dyDescent="0.55000000000000004">
      <c r="A386" s="63">
        <f ca="1">IF($G386="UNIDADE CONSTRUTIVA",OFFSET(A386,0,0)+1,LARGE(A$3:A385,1))</f>
        <v>2</v>
      </c>
      <c r="B386" s="63">
        <f t="shared" ca="1" si="644"/>
        <v>19</v>
      </c>
      <c r="C386" s="63">
        <f t="shared" ca="1" si="645"/>
        <v>1</v>
      </c>
      <c r="D386" s="64">
        <f t="shared" ca="1" si="646"/>
        <v>3</v>
      </c>
      <c r="E386" s="64">
        <f t="shared" ca="1" si="647"/>
        <v>0</v>
      </c>
      <c r="F386" s="65"/>
      <c r="G386" s="73" t="s">
        <v>153</v>
      </c>
      <c r="H386" s="67" t="str">
        <f t="shared" ca="1" si="542"/>
        <v>19.001.003</v>
      </c>
      <c r="I386" s="74" t="s">
        <v>135</v>
      </c>
      <c r="J386" s="96"/>
      <c r="K386" s="127"/>
      <c r="L386" s="115">
        <f>SUM(L387:L390)</f>
        <v>101160.18000000001</v>
      </c>
      <c r="M386" s="74"/>
    </row>
    <row r="387" spans="1:13" ht="20.45" customHeight="1" outlineLevel="1" x14ac:dyDescent="0.55000000000000004">
      <c r="A387" s="63">
        <f ca="1">IF($G387="UNIDADE CONSTRUTIVA",OFFSET(A387,0,0)+1,LARGE(A$3:A386,1))</f>
        <v>2</v>
      </c>
      <c r="B387" s="63">
        <f t="shared" ca="1" si="644"/>
        <v>19</v>
      </c>
      <c r="C387" s="63">
        <f t="shared" ca="1" si="645"/>
        <v>1</v>
      </c>
      <c r="D387" s="64">
        <f t="shared" ca="1" si="646"/>
        <v>3</v>
      </c>
      <c r="E387" s="64">
        <f t="shared" ca="1" si="647"/>
        <v>1</v>
      </c>
      <c r="F387" s="65"/>
      <c r="G387" s="73" t="s">
        <v>154</v>
      </c>
      <c r="H387" s="67" t="str">
        <f t="shared" ref="H387" ca="1" si="649">IF(G387="Unidade Construtiva",TEXT(A387,"00"),IF(G387="Célula Construtiva",TEXT(B387,"00"),IF(G387="Etapa",CONCATENATE(TEXT(B387,"00"),".",TEXT(C387,"000")),IF(G387="Subetapa",CONCATENATE(TEXT(B387,"00"),".",TEXT(C387,"000"),".",TEXT(D387,"000")),IF(G387="Serviço",CONCATENATE(TEXT(B387,"00"),".",TEXT(C387,"000"),".",TEXT(D387,"000"),".",TEXT(E387,"000")),"")))))</f>
        <v>19.001.003.001</v>
      </c>
      <c r="I387" s="74" t="s">
        <v>229</v>
      </c>
      <c r="J387" s="96"/>
      <c r="K387" s="127" t="s">
        <v>183</v>
      </c>
      <c r="L387" s="115"/>
      <c r="M387" s="74"/>
    </row>
    <row r="388" spans="1:13" ht="20.45" customHeight="1" outlineLevel="1" x14ac:dyDescent="0.55000000000000004">
      <c r="A388" s="63">
        <f ca="1">IF($G388="UNIDADE CONSTRUTIVA",OFFSET(A388,0,0)+1,LARGE(A$3:A387,1))</f>
        <v>2</v>
      </c>
      <c r="B388" s="63">
        <f t="shared" ca="1" si="644"/>
        <v>19</v>
      </c>
      <c r="C388" s="63">
        <f t="shared" ca="1" si="645"/>
        <v>1</v>
      </c>
      <c r="D388" s="64">
        <f t="shared" ca="1" si="646"/>
        <v>3</v>
      </c>
      <c r="E388" s="64">
        <f t="shared" ca="1" si="647"/>
        <v>2</v>
      </c>
      <c r="F388" s="65"/>
      <c r="G388" s="73" t="s">
        <v>154</v>
      </c>
      <c r="H388" s="67" t="str">
        <f t="shared" ref="H388:H389" ca="1" si="650">IF(G388="Unidade Construtiva",TEXT(A388,"00"),IF(G388="Célula Construtiva",TEXT(B388,"00"),IF(G388="Etapa",CONCATENATE(TEXT(B388,"00"),".",TEXT(C388,"000")),IF(G388="Subetapa",CONCATENATE(TEXT(B388,"00"),".",TEXT(C388,"000"),".",TEXT(D388,"000")),IF(G388="Serviço",CONCATENATE(TEXT(B388,"00"),".",TEXT(C388,"000"),".",TEXT(D388,"000"),".",TEXT(E388,"000")),"")))))</f>
        <v>19.001.003.002</v>
      </c>
      <c r="I388" s="74" t="s">
        <v>230</v>
      </c>
      <c r="J388" s="96"/>
      <c r="K388" s="127" t="s">
        <v>183</v>
      </c>
      <c r="L388" s="115"/>
      <c r="M388" s="74"/>
    </row>
    <row r="389" spans="1:13" ht="20.45" customHeight="1" outlineLevel="1" x14ac:dyDescent="0.55000000000000004">
      <c r="A389" s="63">
        <f ca="1">IF($G389="UNIDADE CONSTRUTIVA",OFFSET(A389,0,0)+1,LARGE(A$3:A388,1))</f>
        <v>2</v>
      </c>
      <c r="B389" s="63">
        <f t="shared" ca="1" si="644"/>
        <v>19</v>
      </c>
      <c r="C389" s="63">
        <f t="shared" ca="1" si="645"/>
        <v>1</v>
      </c>
      <c r="D389" s="64">
        <f t="shared" ca="1" si="646"/>
        <v>3</v>
      </c>
      <c r="E389" s="64">
        <f t="shared" ca="1" si="647"/>
        <v>3</v>
      </c>
      <c r="F389" s="65"/>
      <c r="G389" s="73" t="s">
        <v>154</v>
      </c>
      <c r="H389" s="67" t="str">
        <f t="shared" ca="1" si="650"/>
        <v>19.001.003.003</v>
      </c>
      <c r="I389" s="74" t="s">
        <v>231</v>
      </c>
      <c r="J389" s="96"/>
      <c r="K389" s="127" t="s">
        <v>183</v>
      </c>
      <c r="L389" s="115"/>
      <c r="M389" s="74"/>
    </row>
    <row r="390" spans="1:13" ht="20.45" customHeight="1" outlineLevel="1" x14ac:dyDescent="0.55000000000000004">
      <c r="A390" s="63">
        <f ca="1">IF($G390="UNIDADE CONSTRUTIVA",OFFSET(A390,0,0)+1,LARGE(A$3:A389,1))</f>
        <v>2</v>
      </c>
      <c r="B390" s="63">
        <f t="shared" ref="B390" ca="1" si="651">IF(G390="UNIDADE CONSTRUTIVA",0,IF(G390="CÉLULA CONSTRUTIVA",OFFSET(B390,-1,0)+1,OFFSET(B390,-1,0)))</f>
        <v>19</v>
      </c>
      <c r="C390" s="63">
        <f t="shared" ref="C390" ca="1" si="652">IF(G390="CÉLULA CONSTRUTIVA",0,IF(G390="ETAPA",OFFSET(C390,-1,0)+1,OFFSET(C390,-1,0)))</f>
        <v>1</v>
      </c>
      <c r="D390" s="64">
        <f t="shared" ref="D390" ca="1" si="653">IF(G390="ETAPA",0,IF(G390="SUBETAPA",OFFSET(D390,-1,0)+1,OFFSET(D390,-1,0)))</f>
        <v>3</v>
      </c>
      <c r="E390" s="64">
        <f t="shared" ref="E390" ca="1" si="654">IF(G390="Subetapa",0,IF(G390="serviço",OFFSET(E390,-1,0)+1,OFFSET(E390,-1,0)))</f>
        <v>4</v>
      </c>
      <c r="F390" s="65"/>
      <c r="G390" s="73" t="s">
        <v>154</v>
      </c>
      <c r="H390" s="67" t="str">
        <f t="shared" ref="H390" ca="1" si="655">IF(G390="Unidade Construtiva",TEXT(A390,"00"),IF(G390="Célula Construtiva",TEXT(B390,"00"),IF(G390="Etapa",CONCATENATE(TEXT(B390,"00"),".",TEXT(C390,"000")),IF(G390="Subetapa",CONCATENATE(TEXT(B390,"00"),".",TEXT(C390,"000"),".",TEXT(D390,"000")),IF(G390="Serviço",CONCATENATE(TEXT(B390,"00"),".",TEXT(C390,"000"),".",TEXT(D390,"000"),".",TEXT(E390,"000")),"")))))</f>
        <v>19.001.003.004</v>
      </c>
      <c r="I390" s="74" t="s">
        <v>135</v>
      </c>
      <c r="J390" s="96">
        <v>1</v>
      </c>
      <c r="K390" s="127" t="s">
        <v>217</v>
      </c>
      <c r="L390" s="115">
        <v>101160.18000000001</v>
      </c>
      <c r="M390" s="74"/>
    </row>
    <row r="391" spans="1:13" outlineLevel="1" x14ac:dyDescent="0.55000000000000004">
      <c r="A391" s="63">
        <f ca="1">IF($G391="UNIDADE CONSTRUTIVA",OFFSET(A391,0,0)+1,LARGE(A$3:A389,1))</f>
        <v>2</v>
      </c>
      <c r="B391" s="63">
        <f t="shared" ca="1" si="644"/>
        <v>19</v>
      </c>
      <c r="C391" s="63">
        <f t="shared" ca="1" si="645"/>
        <v>1</v>
      </c>
      <c r="D391" s="64">
        <f t="shared" ca="1" si="646"/>
        <v>4</v>
      </c>
      <c r="E391" s="64">
        <f t="shared" ca="1" si="647"/>
        <v>0</v>
      </c>
      <c r="F391" s="65"/>
      <c r="G391" s="73" t="s">
        <v>153</v>
      </c>
      <c r="H391" s="67" t="str">
        <f t="shared" ca="1" si="542"/>
        <v>19.001.004</v>
      </c>
      <c r="I391" s="74" t="s">
        <v>136</v>
      </c>
      <c r="J391" s="96"/>
      <c r="K391" s="127"/>
      <c r="L391" s="115">
        <f>SUM(L392:L394)</f>
        <v>217465</v>
      </c>
      <c r="M391" s="74"/>
    </row>
    <row r="392" spans="1:13" ht="20.45" customHeight="1" outlineLevel="1" x14ac:dyDescent="0.55000000000000004">
      <c r="A392" s="63">
        <f ca="1">IF($G392="UNIDADE CONSTRUTIVA",OFFSET(A392,0,0)+1,LARGE(A$3:A391,1))</f>
        <v>2</v>
      </c>
      <c r="B392" s="63">
        <f t="shared" ca="1" si="644"/>
        <v>19</v>
      </c>
      <c r="C392" s="63">
        <f t="shared" ca="1" si="645"/>
        <v>1</v>
      </c>
      <c r="D392" s="64">
        <f t="shared" ca="1" si="646"/>
        <v>4</v>
      </c>
      <c r="E392" s="64">
        <f t="shared" ca="1" si="647"/>
        <v>1</v>
      </c>
      <c r="F392" s="65"/>
      <c r="G392" s="73" t="s">
        <v>154</v>
      </c>
      <c r="H392" s="67" t="str">
        <f t="shared" ref="H392" ca="1" si="656">IF(G392="Unidade Construtiva",TEXT(A392,"00"),IF(G392="Célula Construtiva",TEXT(B392,"00"),IF(G392="Etapa",CONCATENATE(TEXT(B392,"00"),".",TEXT(C392,"000")),IF(G392="Subetapa",CONCATENATE(TEXT(B392,"00"),".",TEXT(C392,"000"),".",TEXT(D392,"000")),IF(G392="Serviço",CONCATENATE(TEXT(B392,"00"),".",TEXT(C392,"000"),".",TEXT(D392,"000"),".",TEXT(E392,"000")),"")))))</f>
        <v>19.001.004.001</v>
      </c>
      <c r="I392" s="74" t="s">
        <v>232</v>
      </c>
      <c r="J392" s="96"/>
      <c r="K392" s="127" t="s">
        <v>185</v>
      </c>
      <c r="L392" s="115"/>
      <c r="M392" s="74"/>
    </row>
    <row r="393" spans="1:13" ht="20.45" customHeight="1" outlineLevel="1" x14ac:dyDescent="0.55000000000000004">
      <c r="A393" s="63">
        <f ca="1">IF($G393="UNIDADE CONSTRUTIVA",OFFSET(A393,0,0)+1,LARGE(A$3:A392,1))</f>
        <v>2</v>
      </c>
      <c r="B393" s="63">
        <f t="shared" ref="B393" ca="1" si="657">IF(G393="UNIDADE CONSTRUTIVA",0,IF(G393="CÉLULA CONSTRUTIVA",OFFSET(B393,-1,0)+1,OFFSET(B393,-1,0)))</f>
        <v>19</v>
      </c>
      <c r="C393" s="63">
        <f t="shared" ref="C393" ca="1" si="658">IF(G393="CÉLULA CONSTRUTIVA",0,IF(G393="ETAPA",OFFSET(C393,-1,0)+1,OFFSET(C393,-1,0)))</f>
        <v>1</v>
      </c>
      <c r="D393" s="64">
        <f t="shared" ref="D393" ca="1" si="659">IF(G393="ETAPA",0,IF(G393="SUBETAPA",OFFSET(D393,-1,0)+1,OFFSET(D393,-1,0)))</f>
        <v>4</v>
      </c>
      <c r="E393" s="64">
        <f t="shared" ref="E393" ca="1" si="660">IF(G393="Subetapa",0,IF(G393="serviço",OFFSET(E393,-1,0)+1,OFFSET(E393,-1,0)))</f>
        <v>2</v>
      </c>
      <c r="F393" s="65"/>
      <c r="G393" s="73" t="s">
        <v>154</v>
      </c>
      <c r="H393" s="67" t="str">
        <f t="shared" ref="H393" ca="1" si="661">IF(G393="Unidade Construtiva",TEXT(A393,"00"),IF(G393="Célula Construtiva",TEXT(B393,"00"),IF(G393="Etapa",CONCATENATE(TEXT(B393,"00"),".",TEXT(C393,"000")),IF(G393="Subetapa",CONCATENATE(TEXT(B393,"00"),".",TEXT(C393,"000"),".",TEXT(D393,"000")),IF(G393="Serviço",CONCATENATE(TEXT(B393,"00"),".",TEXT(C393,"000"),".",TEXT(D393,"000"),".",TEXT(E393,"000")),"")))))</f>
        <v>19.001.004.002</v>
      </c>
      <c r="I393" s="74" t="s">
        <v>513</v>
      </c>
      <c r="J393" s="96">
        <v>60.43</v>
      </c>
      <c r="K393" s="127" t="s">
        <v>185</v>
      </c>
      <c r="L393" s="115">
        <v>110830</v>
      </c>
      <c r="M393" s="74"/>
    </row>
    <row r="394" spans="1:13" ht="20.45" customHeight="1" outlineLevel="1" x14ac:dyDescent="0.55000000000000004">
      <c r="A394" s="63">
        <f ca="1">IF($G394="UNIDADE CONSTRUTIVA",OFFSET(A394,0,0)+1,LARGE(A$3:A393,1))</f>
        <v>2</v>
      </c>
      <c r="B394" s="63">
        <f t="shared" ref="B394" ca="1" si="662">IF(G394="UNIDADE CONSTRUTIVA",0,IF(G394="CÉLULA CONSTRUTIVA",OFFSET(B394,-1,0)+1,OFFSET(B394,-1,0)))</f>
        <v>19</v>
      </c>
      <c r="C394" s="63">
        <f t="shared" ref="C394" ca="1" si="663">IF(G394="CÉLULA CONSTRUTIVA",0,IF(G394="ETAPA",OFFSET(C394,-1,0)+1,OFFSET(C394,-1,0)))</f>
        <v>1</v>
      </c>
      <c r="D394" s="64">
        <f t="shared" ref="D394" ca="1" si="664">IF(G394="ETAPA",0,IF(G394="SUBETAPA",OFFSET(D394,-1,0)+1,OFFSET(D394,-1,0)))</f>
        <v>4</v>
      </c>
      <c r="E394" s="64">
        <f t="shared" ref="E394" ca="1" si="665">IF(G394="Subetapa",0,IF(G394="serviço",OFFSET(E394,-1,0)+1,OFFSET(E394,-1,0)))</f>
        <v>3</v>
      </c>
      <c r="F394" s="65"/>
      <c r="G394" s="73" t="s">
        <v>154</v>
      </c>
      <c r="H394" s="67" t="str">
        <f t="shared" ref="H394" ca="1" si="666">IF(G394="Unidade Construtiva",TEXT(A394,"00"),IF(G394="Célula Construtiva",TEXT(B394,"00"),IF(G394="Etapa",CONCATENATE(TEXT(B394,"00"),".",TEXT(C394,"000")),IF(G394="Subetapa",CONCATENATE(TEXT(B394,"00"),".",TEXT(C394,"000"),".",TEXT(D394,"000")),IF(G394="Serviço",CONCATENATE(TEXT(B394,"00"),".",TEXT(C394,"000"),".",TEXT(D394,"000"),".",TEXT(E394,"000")),"")))))</f>
        <v>19.001.004.003</v>
      </c>
      <c r="I394" s="74" t="s">
        <v>514</v>
      </c>
      <c r="J394" s="96">
        <v>24.93</v>
      </c>
      <c r="K394" s="127" t="s">
        <v>185</v>
      </c>
      <c r="L394" s="115">
        <v>106635</v>
      </c>
      <c r="M394" s="74"/>
    </row>
    <row r="395" spans="1:13" ht="20.45" customHeight="1" outlineLevel="1" x14ac:dyDescent="0.55000000000000004">
      <c r="A395" s="63">
        <f ca="1">IF($G395="UNIDADE CONSTRUTIVA",OFFSET(A395,0,0)+1,LARGE(A$3:A392,1))</f>
        <v>2</v>
      </c>
      <c r="B395" s="63">
        <f t="shared" ca="1" si="644"/>
        <v>19</v>
      </c>
      <c r="C395" s="63">
        <f t="shared" ca="1" si="645"/>
        <v>1</v>
      </c>
      <c r="D395" s="64">
        <f t="shared" ca="1" si="646"/>
        <v>5</v>
      </c>
      <c r="E395" s="64">
        <f t="shared" ca="1" si="647"/>
        <v>0</v>
      </c>
      <c r="F395" s="65"/>
      <c r="G395" s="73" t="s">
        <v>153</v>
      </c>
      <c r="H395" s="67" t="str">
        <f t="shared" ca="1" si="542"/>
        <v>19.001.005</v>
      </c>
      <c r="I395" s="74" t="s">
        <v>39</v>
      </c>
      <c r="J395" s="96"/>
      <c r="K395" s="127"/>
      <c r="L395" s="115">
        <f>SUM(L396:L397)</f>
        <v>405686.51870933338</v>
      </c>
      <c r="M395" s="74"/>
    </row>
    <row r="396" spans="1:13" ht="20.45" customHeight="1" outlineLevel="1" x14ac:dyDescent="0.55000000000000004">
      <c r="A396" s="63">
        <f ca="1">IF($G396="UNIDADE CONSTRUTIVA",OFFSET(A396,0,0)+1,LARGE(A$3:A395,1))</f>
        <v>2</v>
      </c>
      <c r="B396" s="63">
        <f t="shared" ca="1" si="644"/>
        <v>19</v>
      </c>
      <c r="C396" s="63">
        <f t="shared" ca="1" si="645"/>
        <v>1</v>
      </c>
      <c r="D396" s="64">
        <f t="shared" ca="1" si="646"/>
        <v>5</v>
      </c>
      <c r="E396" s="64">
        <f t="shared" ca="1" si="647"/>
        <v>1</v>
      </c>
      <c r="F396" s="65"/>
      <c r="G396" s="73" t="s">
        <v>154</v>
      </c>
      <c r="H396" s="67" t="str">
        <f t="shared" ref="H396" ca="1" si="667">IF(G396="Unidade Construtiva",TEXT(A396,"00"),IF(G396="Célula Construtiva",TEXT(B396,"00"),IF(G396="Etapa",CONCATENATE(TEXT(B396,"00"),".",TEXT(C396,"000")),IF(G396="Subetapa",CONCATENATE(TEXT(B396,"00"),".",TEXT(C396,"000"),".",TEXT(D396,"000")),IF(G396="Serviço",CONCATENATE(TEXT(B396,"00"),".",TEXT(C396,"000"),".",TEXT(D396,"000"),".",TEXT(E396,"000")),"")))))</f>
        <v>19.001.005.001</v>
      </c>
      <c r="I396" s="74" t="s">
        <v>233</v>
      </c>
      <c r="J396" s="96">
        <v>1021.82</v>
      </c>
      <c r="K396" s="127" t="s">
        <v>185</v>
      </c>
      <c r="L396" s="115">
        <v>405686.51870933338</v>
      </c>
      <c r="M396" s="74"/>
    </row>
    <row r="397" spans="1:13" ht="20.45" customHeight="1" outlineLevel="1" x14ac:dyDescent="0.55000000000000004">
      <c r="A397" s="63">
        <f ca="1">IF($G397="UNIDADE CONSTRUTIVA",OFFSET(A397,0,0)+1,LARGE(A$3:A396,1))</f>
        <v>2</v>
      </c>
      <c r="B397" s="63">
        <f t="shared" ca="1" si="644"/>
        <v>19</v>
      </c>
      <c r="C397" s="63">
        <f t="shared" ca="1" si="645"/>
        <v>1</v>
      </c>
      <c r="D397" s="64">
        <f t="shared" ca="1" si="646"/>
        <v>5</v>
      </c>
      <c r="E397" s="64">
        <f t="shared" ca="1" si="647"/>
        <v>2</v>
      </c>
      <c r="F397" s="65"/>
      <c r="G397" s="73" t="s">
        <v>154</v>
      </c>
      <c r="H397" s="67" t="str">
        <f t="shared" ref="H397" ca="1" si="668">IF(G397="Unidade Construtiva",TEXT(A397,"00"),IF(G397="Célula Construtiva",TEXT(B397,"00"),IF(G397="Etapa",CONCATENATE(TEXT(B397,"00"),".",TEXT(C397,"000")),IF(G397="Subetapa",CONCATENATE(TEXT(B397,"00"),".",TEXT(C397,"000"),".",TEXT(D397,"000")),IF(G397="Serviço",CONCATENATE(TEXT(B397,"00"),".",TEXT(C397,"000"),".",TEXT(D397,"000"),".",TEXT(E397,"000")),"")))))</f>
        <v>19.001.005.002</v>
      </c>
      <c r="I397" s="74" t="s">
        <v>234</v>
      </c>
      <c r="J397" s="96"/>
      <c r="K397" s="127" t="s">
        <v>185</v>
      </c>
      <c r="L397" s="115"/>
      <c r="M397" s="74"/>
    </row>
    <row r="398" spans="1:13" ht="20.45" customHeight="1" x14ac:dyDescent="0.55000000000000004">
      <c r="A398" s="63">
        <f ca="1">IF($G398="UNIDADE CONSTRUTIVA",OFFSET(A398,0,0)+1,LARGE(A$3:A397,1))</f>
        <v>2</v>
      </c>
      <c r="B398" s="63">
        <f t="shared" ca="1" si="644"/>
        <v>20</v>
      </c>
      <c r="C398" s="63">
        <f t="shared" ca="1" si="645"/>
        <v>0</v>
      </c>
      <c r="D398" s="64">
        <f t="shared" ca="1" si="646"/>
        <v>5</v>
      </c>
      <c r="E398" s="64">
        <f t="shared" ca="1" si="647"/>
        <v>2</v>
      </c>
      <c r="F398" s="65"/>
      <c r="G398" s="71" t="s">
        <v>156</v>
      </c>
      <c r="H398" s="67" t="str">
        <f t="shared" ca="1" si="542"/>
        <v>20</v>
      </c>
      <c r="I398" s="72" t="s">
        <v>137</v>
      </c>
      <c r="J398" s="95"/>
      <c r="K398" s="125"/>
      <c r="L398" s="113">
        <f>L399</f>
        <v>1254677.6685917224</v>
      </c>
      <c r="M398" s="72"/>
    </row>
    <row r="399" spans="1:13" ht="20.45" customHeight="1" outlineLevel="1" x14ac:dyDescent="0.55000000000000004">
      <c r="A399" s="63">
        <f ca="1">IF($G399="UNIDADE CONSTRUTIVA",OFFSET(A399,0,0)+1,LARGE(A$3:A398,1))</f>
        <v>2</v>
      </c>
      <c r="B399" s="63">
        <f t="shared" ca="1" si="644"/>
        <v>20</v>
      </c>
      <c r="C399" s="63">
        <f t="shared" ca="1" si="645"/>
        <v>1</v>
      </c>
      <c r="D399" s="64">
        <f t="shared" ca="1" si="646"/>
        <v>0</v>
      </c>
      <c r="E399" s="64">
        <f t="shared" ca="1" si="647"/>
        <v>2</v>
      </c>
      <c r="F399" s="65"/>
      <c r="G399" s="71" t="s">
        <v>157</v>
      </c>
      <c r="H399" s="67" t="str">
        <f t="shared" ca="1" si="542"/>
        <v>20.001</v>
      </c>
      <c r="I399" s="80" t="s">
        <v>137</v>
      </c>
      <c r="J399" s="107"/>
      <c r="K399" s="130"/>
      <c r="L399" s="126">
        <f>SUM(L400:L427)/2</f>
        <v>1254677.6685917224</v>
      </c>
      <c r="M399" s="80"/>
    </row>
    <row r="400" spans="1:13" ht="20.45" customHeight="1" outlineLevel="1" x14ac:dyDescent="0.55000000000000004">
      <c r="A400" s="63">
        <f ca="1">IF($G400="UNIDADE CONSTRUTIVA",OFFSET(A400,0,0)+1,LARGE(A$3:A399,1))</f>
        <v>2</v>
      </c>
      <c r="B400" s="63">
        <f t="shared" ca="1" si="644"/>
        <v>20</v>
      </c>
      <c r="C400" s="63">
        <f t="shared" ca="1" si="645"/>
        <v>1</v>
      </c>
      <c r="D400" s="64">
        <f t="shared" ca="1" si="646"/>
        <v>1</v>
      </c>
      <c r="E400" s="64">
        <f t="shared" ca="1" si="647"/>
        <v>0</v>
      </c>
      <c r="F400" s="65"/>
      <c r="G400" s="73" t="s">
        <v>153</v>
      </c>
      <c r="H400" s="67" t="str">
        <f t="shared" ca="1" si="542"/>
        <v>20.001.001</v>
      </c>
      <c r="I400" s="74" t="s">
        <v>138</v>
      </c>
      <c r="J400" s="96"/>
      <c r="K400" s="127"/>
      <c r="L400" s="115">
        <f>SUM(L401:L403)</f>
        <v>76359.671745500003</v>
      </c>
      <c r="M400" s="74"/>
    </row>
    <row r="401" spans="1:13" ht="20.45" customHeight="1" outlineLevel="1" x14ac:dyDescent="0.55000000000000004">
      <c r="A401" s="63">
        <f ca="1">IF($G401="UNIDADE CONSTRUTIVA",OFFSET(A401,0,0)+1,LARGE(A$3:A398,1))</f>
        <v>2</v>
      </c>
      <c r="B401" s="63">
        <f t="shared" ref="B401:B403" ca="1" si="669">IF(G401="UNIDADE CONSTRUTIVA",0,IF(G401="CÉLULA CONSTRUTIVA",OFFSET(B401,-1,0)+1,OFFSET(B401,-1,0)))</f>
        <v>20</v>
      </c>
      <c r="C401" s="63">
        <f t="shared" ref="C401:C403" ca="1" si="670">IF(G401="CÉLULA CONSTRUTIVA",0,IF(G401="ETAPA",OFFSET(C401,-1,0)+1,OFFSET(C401,-1,0)))</f>
        <v>1</v>
      </c>
      <c r="D401" s="64">
        <f t="shared" ref="D401:D403" ca="1" si="671">IF(G401="ETAPA",0,IF(G401="SUBETAPA",OFFSET(D401,-1,0)+1,OFFSET(D401,-1,0)))</f>
        <v>1</v>
      </c>
      <c r="E401" s="64">
        <f t="shared" ref="E401:E403" ca="1" si="672">IF(G401="Subetapa",0,IF(G401="serviço",OFFSET(E401,-1,0)+1,OFFSET(E401,-1,0)))</f>
        <v>1</v>
      </c>
      <c r="F401" s="65"/>
      <c r="G401" s="73" t="s">
        <v>154</v>
      </c>
      <c r="H401" s="67" t="str">
        <f t="shared" ref="H401:H403" ca="1" si="673">IF(G401="Unidade Construtiva",TEXT(A401,"00"),IF(G401="Célula Construtiva",TEXT(B401,"00"),IF(G401="Etapa",CONCATENATE(TEXT(B401,"00"),".",TEXT(C401,"000")),IF(G401="Subetapa",CONCATENATE(TEXT(B401,"00"),".",TEXT(C401,"000"),".",TEXT(D401,"000")),IF(G401="Serviço",CONCATENATE(TEXT(B401,"00"),".",TEXT(C401,"000"),".",TEXT(D401,"000"),".",TEXT(E401,"000")),"")))))</f>
        <v>20.001.001.001</v>
      </c>
      <c r="I401" s="74" t="s">
        <v>318</v>
      </c>
      <c r="J401" s="96">
        <v>2678.8176899999999</v>
      </c>
      <c r="K401" s="127" t="s">
        <v>185</v>
      </c>
      <c r="L401" s="115">
        <v>22100.245942500002</v>
      </c>
      <c r="M401" s="74"/>
    </row>
    <row r="402" spans="1:13" ht="20.45" customHeight="1" outlineLevel="1" x14ac:dyDescent="0.55000000000000004">
      <c r="A402" s="63">
        <f ca="1">IF($G402="UNIDADE CONSTRUTIVA",OFFSET(A402,0,0)+1,LARGE(A$3:A398,1))</f>
        <v>2</v>
      </c>
      <c r="B402" s="63">
        <f t="shared" ref="B402" ca="1" si="674">IF(G402="UNIDADE CONSTRUTIVA",0,IF(G402="CÉLULA CONSTRUTIVA",OFFSET(B402,-1,0)+1,OFFSET(B402,-1,0)))</f>
        <v>20</v>
      </c>
      <c r="C402" s="63">
        <f t="shared" ref="C402" ca="1" si="675">IF(G402="CÉLULA CONSTRUTIVA",0,IF(G402="ETAPA",OFFSET(C402,-1,0)+1,OFFSET(C402,-1,0)))</f>
        <v>1</v>
      </c>
      <c r="D402" s="64">
        <f t="shared" ref="D402" ca="1" si="676">IF(G402="ETAPA",0,IF(G402="SUBETAPA",OFFSET(D402,-1,0)+1,OFFSET(D402,-1,0)))</f>
        <v>1</v>
      </c>
      <c r="E402" s="64">
        <f t="shared" ref="E402" ca="1" si="677">IF(G402="Subetapa",0,IF(G402="serviço",OFFSET(E402,-1,0)+1,OFFSET(E402,-1,0)))</f>
        <v>2</v>
      </c>
      <c r="F402" s="65"/>
      <c r="G402" s="73" t="s">
        <v>154</v>
      </c>
      <c r="H402" s="67" t="str">
        <f t="shared" ref="H402" ca="1" si="678">IF(G402="Unidade Construtiva",TEXT(A402,"00"),IF(G402="Célula Construtiva",TEXT(B402,"00"),IF(G402="Etapa",CONCATENATE(TEXT(B402,"00"),".",TEXT(C402,"000")),IF(G402="Subetapa",CONCATENATE(TEXT(B402,"00"),".",TEXT(C402,"000"),".",TEXT(D402,"000")),IF(G402="Serviço",CONCATENATE(TEXT(B402,"00"),".",TEXT(C402,"000"),".",TEXT(D402,"000"),".",TEXT(E402,"000")),"")))))</f>
        <v>20.001.001.002</v>
      </c>
      <c r="I402" s="74" t="s">
        <v>319</v>
      </c>
      <c r="J402" s="96">
        <v>2678.8176899999999</v>
      </c>
      <c r="K402" s="127" t="s">
        <v>185</v>
      </c>
      <c r="L402" s="115">
        <v>50093.890802999995</v>
      </c>
      <c r="M402" s="74"/>
    </row>
    <row r="403" spans="1:13" ht="20.45" customHeight="1" outlineLevel="1" x14ac:dyDescent="0.55000000000000004">
      <c r="A403" s="63">
        <f ca="1">IF($G403="UNIDADE CONSTRUTIVA",OFFSET(A403,0,0)+1,LARGE(A$3:A399,1))</f>
        <v>2</v>
      </c>
      <c r="B403" s="63">
        <f t="shared" ca="1" si="669"/>
        <v>20</v>
      </c>
      <c r="C403" s="63">
        <f t="shared" ca="1" si="670"/>
        <v>1</v>
      </c>
      <c r="D403" s="64">
        <f t="shared" ca="1" si="671"/>
        <v>1</v>
      </c>
      <c r="E403" s="64">
        <f t="shared" ca="1" si="672"/>
        <v>3</v>
      </c>
      <c r="F403" s="65"/>
      <c r="G403" s="73" t="s">
        <v>154</v>
      </c>
      <c r="H403" s="67" t="str">
        <f t="shared" ca="1" si="673"/>
        <v>20.001.001.003</v>
      </c>
      <c r="I403" s="74" t="s">
        <v>320</v>
      </c>
      <c r="J403" s="96">
        <v>757.36999999999989</v>
      </c>
      <c r="K403" s="127" t="s">
        <v>183</v>
      </c>
      <c r="L403" s="115">
        <v>4165.5349999999999</v>
      </c>
      <c r="M403" s="74"/>
    </row>
    <row r="404" spans="1:13" ht="20.45" customHeight="1" outlineLevel="1" x14ac:dyDescent="0.55000000000000004">
      <c r="A404" s="63">
        <f ca="1">IF($G404="UNIDADE CONSTRUTIVA",OFFSET(A404,0,0)+1,LARGE(A$3:A400,1))</f>
        <v>2</v>
      </c>
      <c r="B404" s="63">
        <f t="shared" ca="1" si="644"/>
        <v>20</v>
      </c>
      <c r="C404" s="63">
        <f t="shared" ca="1" si="645"/>
        <v>1</v>
      </c>
      <c r="D404" s="64">
        <f t="shared" ca="1" si="646"/>
        <v>2</v>
      </c>
      <c r="E404" s="64">
        <f t="shared" ca="1" si="647"/>
        <v>0</v>
      </c>
      <c r="F404" s="65"/>
      <c r="G404" s="73" t="s">
        <v>153</v>
      </c>
      <c r="H404" s="67" t="str">
        <f t="shared" ca="1" si="542"/>
        <v>20.001.002</v>
      </c>
      <c r="I404" s="74" t="s">
        <v>139</v>
      </c>
      <c r="J404" s="96"/>
      <c r="K404" s="127"/>
      <c r="L404" s="115">
        <f>SUM(L405:L406)</f>
        <v>70002.891321000003</v>
      </c>
      <c r="M404" s="74"/>
    </row>
    <row r="405" spans="1:13" ht="20.45" customHeight="1" outlineLevel="1" x14ac:dyDescent="0.55000000000000004">
      <c r="A405" s="63">
        <f ca="1">IF($G405="UNIDADE CONSTRUTIVA",OFFSET(A405,0,0)+1,LARGE(A$3:A401,1))</f>
        <v>2</v>
      </c>
      <c r="B405" s="63">
        <f t="shared" ref="B405:B406" ca="1" si="679">IF(G405="UNIDADE CONSTRUTIVA",0,IF(G405="CÉLULA CONSTRUTIVA",OFFSET(B405,-1,0)+1,OFFSET(B405,-1,0)))</f>
        <v>20</v>
      </c>
      <c r="C405" s="63">
        <f t="shared" ref="C405:C406" ca="1" si="680">IF(G405="CÉLULA CONSTRUTIVA",0,IF(G405="ETAPA",OFFSET(C405,-1,0)+1,OFFSET(C405,-1,0)))</f>
        <v>1</v>
      </c>
      <c r="D405" s="64">
        <f t="shared" ref="D405:D406" ca="1" si="681">IF(G405="ETAPA",0,IF(G405="SUBETAPA",OFFSET(D405,-1,0)+1,OFFSET(D405,-1,0)))</f>
        <v>2</v>
      </c>
      <c r="E405" s="64">
        <f t="shared" ref="E405:E406" ca="1" si="682">IF(G405="Subetapa",0,IF(G405="serviço",OFFSET(E405,-1,0)+1,OFFSET(E405,-1,0)))</f>
        <v>1</v>
      </c>
      <c r="F405" s="65"/>
      <c r="G405" s="73" t="s">
        <v>154</v>
      </c>
      <c r="H405" s="67" t="str">
        <f t="shared" ref="H405:H406" ca="1" si="683">IF(G405="Unidade Construtiva",TEXT(A405,"00"),IF(G405="Célula Construtiva",TEXT(B405,"00"),IF(G405="Etapa",CONCATENATE(TEXT(B405,"00"),".",TEXT(C405,"000")),IF(G405="Subetapa",CONCATENATE(TEXT(B405,"00"),".",TEXT(C405,"000"),".",TEXT(D405,"000")),IF(G405="Serviço",CONCATENATE(TEXT(B405,"00"),".",TEXT(C405,"000"),".",TEXT(D405,"000"),".",TEXT(E405,"000")),"")))))</f>
        <v>20.001.002.001</v>
      </c>
      <c r="I405" s="74" t="s">
        <v>323</v>
      </c>
      <c r="J405" s="96">
        <v>2678.8176899999999</v>
      </c>
      <c r="K405" s="127" t="s">
        <v>185</v>
      </c>
      <c r="L405" s="115">
        <v>44200.491885000003</v>
      </c>
      <c r="M405" s="74"/>
    </row>
    <row r="406" spans="1:13" ht="20.45" customHeight="1" outlineLevel="1" x14ac:dyDescent="0.55000000000000004">
      <c r="A406" s="63">
        <f ca="1">IF($G406="UNIDADE CONSTRUTIVA",OFFSET(A406,0,0)+1,LARGE(A$3:A402,1))</f>
        <v>2</v>
      </c>
      <c r="B406" s="63">
        <f t="shared" ca="1" si="679"/>
        <v>20</v>
      </c>
      <c r="C406" s="63">
        <f t="shared" ca="1" si="680"/>
        <v>1</v>
      </c>
      <c r="D406" s="64">
        <f t="shared" ca="1" si="681"/>
        <v>2</v>
      </c>
      <c r="E406" s="64">
        <f t="shared" ca="1" si="682"/>
        <v>2</v>
      </c>
      <c r="F406" s="65"/>
      <c r="G406" s="73" t="s">
        <v>154</v>
      </c>
      <c r="H406" s="67" t="str">
        <f t="shared" ca="1" si="683"/>
        <v>20.001.002.002</v>
      </c>
      <c r="I406" s="74" t="s">
        <v>324</v>
      </c>
      <c r="J406" s="96">
        <v>1954.7272300000004</v>
      </c>
      <c r="K406" s="127" t="s">
        <v>183</v>
      </c>
      <c r="L406" s="115">
        <v>25802.399436000007</v>
      </c>
      <c r="M406" s="74"/>
    </row>
    <row r="407" spans="1:13" ht="20.45" customHeight="1" outlineLevel="1" x14ac:dyDescent="0.55000000000000004">
      <c r="A407" s="63">
        <f ca="1">IF($G407="UNIDADE CONSTRUTIVA",OFFSET(A407,0,0)+1,LARGE(A$3:A404,1))</f>
        <v>2</v>
      </c>
      <c r="B407" s="63">
        <f t="shared" ca="1" si="644"/>
        <v>20</v>
      </c>
      <c r="C407" s="63">
        <f t="shared" ca="1" si="645"/>
        <v>1</v>
      </c>
      <c r="D407" s="64">
        <f t="shared" ca="1" si="646"/>
        <v>3</v>
      </c>
      <c r="E407" s="64">
        <f t="shared" ca="1" si="647"/>
        <v>0</v>
      </c>
      <c r="F407" s="65"/>
      <c r="G407" s="73" t="s">
        <v>153</v>
      </c>
      <c r="H407" s="67" t="str">
        <f t="shared" ca="1" si="542"/>
        <v>20.001.003</v>
      </c>
      <c r="I407" s="74" t="s">
        <v>140</v>
      </c>
      <c r="J407" s="96"/>
      <c r="K407" s="127"/>
      <c r="L407" s="115">
        <f>SUM(L408:L421)</f>
        <v>241914.65222222224</v>
      </c>
      <c r="M407" s="74"/>
    </row>
    <row r="408" spans="1:13" ht="20.45" customHeight="1" outlineLevel="1" x14ac:dyDescent="0.55000000000000004">
      <c r="A408" s="63">
        <f ca="1">IF($G408="UNIDADE CONSTRUTIVA",OFFSET(A408,0,0)+1,LARGE(A$3:A405,1))</f>
        <v>2</v>
      </c>
      <c r="B408" s="63">
        <f t="shared" ref="B408" ca="1" si="684">IF(G408="UNIDADE CONSTRUTIVA",0,IF(G408="CÉLULA CONSTRUTIVA",OFFSET(B408,-1,0)+1,OFFSET(B408,-1,0)))</f>
        <v>20</v>
      </c>
      <c r="C408" s="63">
        <f t="shared" ref="C408" ca="1" si="685">IF(G408="CÉLULA CONSTRUTIVA",0,IF(G408="ETAPA",OFFSET(C408,-1,0)+1,OFFSET(C408,-1,0)))</f>
        <v>1</v>
      </c>
      <c r="D408" s="64">
        <f t="shared" ref="D408" ca="1" si="686">IF(G408="ETAPA",0,IF(G408="SUBETAPA",OFFSET(D408,-1,0)+1,OFFSET(D408,-1,0)))</f>
        <v>3</v>
      </c>
      <c r="E408" s="64">
        <f t="shared" ref="E408" ca="1" si="687">IF(G408="Subetapa",0,IF(G408="serviço",OFFSET(E408,-1,0)+1,OFFSET(E408,-1,0)))</f>
        <v>1</v>
      </c>
      <c r="F408" s="65"/>
      <c r="G408" s="73" t="s">
        <v>154</v>
      </c>
      <c r="H408" s="67" t="str">
        <f t="shared" ref="H408" ca="1" si="688">IF(G408="Unidade Construtiva",TEXT(A408,"00"),IF(G408="Célula Construtiva",TEXT(B408,"00"),IF(G408="Etapa",CONCATENATE(TEXT(B408,"00"),".",TEXT(C408,"000")),IF(G408="Subetapa",CONCATENATE(TEXT(B408,"00"),".",TEXT(C408,"000"),".",TEXT(D408,"000")),IF(G408="Serviço",CONCATENATE(TEXT(B408,"00"),".",TEXT(C408,"000"),".",TEXT(D408,"000"),".",TEXT(E408,"000")),"")))))</f>
        <v>20.001.003.001</v>
      </c>
      <c r="I408" s="74" t="s">
        <v>488</v>
      </c>
      <c r="J408" s="96">
        <v>93</v>
      </c>
      <c r="K408" s="127" t="s">
        <v>265</v>
      </c>
      <c r="L408" s="115">
        <v>7672.5000000000009</v>
      </c>
      <c r="M408" s="74"/>
    </row>
    <row r="409" spans="1:13" ht="20.45" customHeight="1" outlineLevel="1" x14ac:dyDescent="0.55000000000000004">
      <c r="A409" s="63">
        <f ca="1">IF($G409="UNIDADE CONSTRUTIVA",OFFSET(A409,0,0)+1,LARGE(A$3:A406,1))</f>
        <v>2</v>
      </c>
      <c r="B409" s="63">
        <f t="shared" ref="B409:B420" ca="1" si="689">IF(G409="UNIDADE CONSTRUTIVA",0,IF(G409="CÉLULA CONSTRUTIVA",OFFSET(B409,-1,0)+1,OFFSET(B409,-1,0)))</f>
        <v>20</v>
      </c>
      <c r="C409" s="63">
        <f t="shared" ref="C409:C420" ca="1" si="690">IF(G409="CÉLULA CONSTRUTIVA",0,IF(G409="ETAPA",OFFSET(C409,-1,0)+1,OFFSET(C409,-1,0)))</f>
        <v>1</v>
      </c>
      <c r="D409" s="64">
        <f t="shared" ref="D409:D420" ca="1" si="691">IF(G409="ETAPA",0,IF(G409="SUBETAPA",OFFSET(D409,-1,0)+1,OFFSET(D409,-1,0)))</f>
        <v>3</v>
      </c>
      <c r="E409" s="64">
        <f t="shared" ref="E409:E420" ca="1" si="692">IF(G409="Subetapa",0,IF(G409="serviço",OFFSET(E409,-1,0)+1,OFFSET(E409,-1,0)))</f>
        <v>2</v>
      </c>
      <c r="F409" s="65"/>
      <c r="G409" s="73" t="s">
        <v>154</v>
      </c>
      <c r="H409" s="67" t="str">
        <f t="shared" ref="H409:H420" ca="1" si="693">IF(G409="Unidade Construtiva",TEXT(A409,"00"),IF(G409="Célula Construtiva",TEXT(B409,"00"),IF(G409="Etapa",CONCATENATE(TEXT(B409,"00"),".",TEXT(C409,"000")),IF(G409="Subetapa",CONCATENATE(TEXT(B409,"00"),".",TEXT(C409,"000"),".",TEXT(D409,"000")),IF(G409="Serviço",CONCATENATE(TEXT(B409,"00"),".",TEXT(C409,"000"),".",TEXT(D409,"000"),".",TEXT(E409,"000")),"")))))</f>
        <v>20.001.003.002</v>
      </c>
      <c r="I409" s="74" t="s">
        <v>489</v>
      </c>
      <c r="J409" s="96">
        <v>27</v>
      </c>
      <c r="K409" s="127" t="s">
        <v>265</v>
      </c>
      <c r="L409" s="115">
        <v>3341.2500000000005</v>
      </c>
      <c r="M409" s="74"/>
    </row>
    <row r="410" spans="1:13" ht="20.45" customHeight="1" outlineLevel="1" x14ac:dyDescent="0.55000000000000004">
      <c r="A410" s="63">
        <f ca="1">IF($G410="UNIDADE CONSTRUTIVA",OFFSET(A410,0,0)+1,LARGE(A$3:A407,1))</f>
        <v>2</v>
      </c>
      <c r="B410" s="63">
        <f t="shared" ca="1" si="689"/>
        <v>20</v>
      </c>
      <c r="C410" s="63">
        <f t="shared" ca="1" si="690"/>
        <v>1</v>
      </c>
      <c r="D410" s="64">
        <f t="shared" ca="1" si="691"/>
        <v>3</v>
      </c>
      <c r="E410" s="64">
        <f t="shared" ca="1" si="692"/>
        <v>3</v>
      </c>
      <c r="F410" s="65"/>
      <c r="G410" s="73" t="s">
        <v>154</v>
      </c>
      <c r="H410" s="67" t="str">
        <f t="shared" ca="1" si="693"/>
        <v>20.001.003.003</v>
      </c>
      <c r="I410" s="74" t="s">
        <v>490</v>
      </c>
      <c r="J410" s="96">
        <v>564.79999999999995</v>
      </c>
      <c r="K410" s="127" t="s">
        <v>183</v>
      </c>
      <c r="L410" s="115">
        <v>21744.800000000003</v>
      </c>
      <c r="M410" s="74"/>
    </row>
    <row r="411" spans="1:13" ht="20.45" customHeight="1" outlineLevel="1" x14ac:dyDescent="0.55000000000000004">
      <c r="A411" s="63">
        <f ca="1">IF($G411="UNIDADE CONSTRUTIVA",OFFSET(A411,0,0)+1,LARGE(A$3:A407,1))</f>
        <v>2</v>
      </c>
      <c r="B411" s="63">
        <f t="shared" ca="1" si="689"/>
        <v>20</v>
      </c>
      <c r="C411" s="63">
        <f t="shared" ca="1" si="690"/>
        <v>1</v>
      </c>
      <c r="D411" s="64">
        <f t="shared" ca="1" si="691"/>
        <v>3</v>
      </c>
      <c r="E411" s="64">
        <f t="shared" ca="1" si="692"/>
        <v>4</v>
      </c>
      <c r="F411" s="65"/>
      <c r="G411" s="73" t="s">
        <v>154</v>
      </c>
      <c r="H411" s="67" t="str">
        <f t="shared" ca="1" si="693"/>
        <v>20.001.003.004</v>
      </c>
      <c r="I411" s="74" t="s">
        <v>491</v>
      </c>
      <c r="J411" s="96">
        <v>1339.0620000000004</v>
      </c>
      <c r="K411" s="127" t="s">
        <v>183</v>
      </c>
      <c r="L411" s="115">
        <v>66283.569000000018</v>
      </c>
      <c r="M411" s="74"/>
    </row>
    <row r="412" spans="1:13" ht="20.45" customHeight="1" outlineLevel="1" x14ac:dyDescent="0.55000000000000004">
      <c r="A412" s="63">
        <f ca="1">IF($G412="UNIDADE CONSTRUTIVA",OFFSET(A412,0,0)+1,LARGE(A$3:A408,1))</f>
        <v>2</v>
      </c>
      <c r="B412" s="63">
        <f t="shared" ref="B412:B417" ca="1" si="694">IF(G412="UNIDADE CONSTRUTIVA",0,IF(G412="CÉLULA CONSTRUTIVA",OFFSET(B412,-1,0)+1,OFFSET(B412,-1,0)))</f>
        <v>20</v>
      </c>
      <c r="C412" s="63">
        <f t="shared" ref="C412:C417" ca="1" si="695">IF(G412="CÉLULA CONSTRUTIVA",0,IF(G412="ETAPA",OFFSET(C412,-1,0)+1,OFFSET(C412,-1,0)))</f>
        <v>1</v>
      </c>
      <c r="D412" s="64">
        <f t="shared" ref="D412:D417" ca="1" si="696">IF(G412="ETAPA",0,IF(G412="SUBETAPA",OFFSET(D412,-1,0)+1,OFFSET(D412,-1,0)))</f>
        <v>3</v>
      </c>
      <c r="E412" s="64">
        <f t="shared" ref="E412:E417" ca="1" si="697">IF(G412="Subetapa",0,IF(G412="serviço",OFFSET(E412,-1,0)+1,OFFSET(E412,-1,0)))</f>
        <v>5</v>
      </c>
      <c r="F412" s="65"/>
      <c r="G412" s="73" t="s">
        <v>154</v>
      </c>
      <c r="H412" s="67" t="str">
        <f t="shared" ref="H412:H417" ca="1" si="698">IF(G412="Unidade Construtiva",TEXT(A412,"00"),IF(G412="Célula Construtiva",TEXT(B412,"00"),IF(G412="Etapa",CONCATENATE(TEXT(B412,"00"),".",TEXT(C412,"000")),IF(G412="Subetapa",CONCATENATE(TEXT(B412,"00"),".",TEXT(C412,"000"),".",TEXT(D412,"000")),IF(G412="Serviço",CONCATENATE(TEXT(B412,"00"),".",TEXT(C412,"000"),".",TEXT(D412,"000"),".",TEXT(E412,"000")),"")))))</f>
        <v>20.001.003.005</v>
      </c>
      <c r="I412" s="74" t="s">
        <v>492</v>
      </c>
      <c r="J412" s="96">
        <v>187.57999999999998</v>
      </c>
      <c r="K412" s="127" t="s">
        <v>183</v>
      </c>
      <c r="L412" s="115">
        <v>22697.18</v>
      </c>
      <c r="M412" s="74"/>
    </row>
    <row r="413" spans="1:13" ht="20.45" customHeight="1" outlineLevel="1" x14ac:dyDescent="0.55000000000000004">
      <c r="A413" s="63">
        <f ca="1">IF($G413="UNIDADE CONSTRUTIVA",OFFSET(A413,0,0)+1,LARGE(A$3:A409,1))</f>
        <v>2</v>
      </c>
      <c r="B413" s="63">
        <f t="shared" ca="1" si="694"/>
        <v>20</v>
      </c>
      <c r="C413" s="63">
        <f t="shared" ca="1" si="695"/>
        <v>1</v>
      </c>
      <c r="D413" s="64">
        <f t="shared" ca="1" si="696"/>
        <v>3</v>
      </c>
      <c r="E413" s="64">
        <f t="shared" ca="1" si="697"/>
        <v>6</v>
      </c>
      <c r="F413" s="65"/>
      <c r="G413" s="73" t="s">
        <v>154</v>
      </c>
      <c r="H413" s="67" t="str">
        <f t="shared" ca="1" si="698"/>
        <v>20.001.003.006</v>
      </c>
      <c r="I413" s="74" t="s">
        <v>493</v>
      </c>
      <c r="J413" s="96">
        <v>144.29</v>
      </c>
      <c r="K413" s="127" t="s">
        <v>183</v>
      </c>
      <c r="L413" s="115">
        <v>8253.3880000000008</v>
      </c>
      <c r="M413" s="74"/>
    </row>
    <row r="414" spans="1:13" ht="20.45" customHeight="1" outlineLevel="1" x14ac:dyDescent="0.55000000000000004">
      <c r="A414" s="63">
        <f ca="1">IF($G414="UNIDADE CONSTRUTIVA",OFFSET(A414,0,0)+1,LARGE(A$3:A410,1))</f>
        <v>2</v>
      </c>
      <c r="B414" s="63">
        <f t="shared" ca="1" si="694"/>
        <v>20</v>
      </c>
      <c r="C414" s="63">
        <f t="shared" ca="1" si="695"/>
        <v>1</v>
      </c>
      <c r="D414" s="64">
        <f t="shared" ca="1" si="696"/>
        <v>3</v>
      </c>
      <c r="E414" s="64">
        <f t="shared" ca="1" si="697"/>
        <v>7</v>
      </c>
      <c r="F414" s="65"/>
      <c r="G414" s="73" t="s">
        <v>154</v>
      </c>
      <c r="H414" s="67" t="str">
        <f t="shared" ca="1" si="698"/>
        <v>20.001.003.007</v>
      </c>
      <c r="I414" s="74" t="s">
        <v>494</v>
      </c>
      <c r="J414" s="96">
        <v>121</v>
      </c>
      <c r="K414" s="127" t="s">
        <v>183</v>
      </c>
      <c r="L414" s="115">
        <v>6388.8</v>
      </c>
      <c r="M414" s="74"/>
    </row>
    <row r="415" spans="1:13" ht="20.45" customHeight="1" outlineLevel="1" x14ac:dyDescent="0.55000000000000004">
      <c r="A415" s="63">
        <f ca="1">IF($G415="UNIDADE CONSTRUTIVA",OFFSET(A415,0,0)+1,LARGE(A$3:A412,1))</f>
        <v>2</v>
      </c>
      <c r="B415" s="63">
        <f t="shared" ca="1" si="694"/>
        <v>20</v>
      </c>
      <c r="C415" s="63">
        <f t="shared" ca="1" si="695"/>
        <v>1</v>
      </c>
      <c r="D415" s="64">
        <f t="shared" ca="1" si="696"/>
        <v>3</v>
      </c>
      <c r="E415" s="64">
        <f t="shared" ca="1" si="697"/>
        <v>8</v>
      </c>
      <c r="F415" s="65"/>
      <c r="G415" s="73" t="s">
        <v>154</v>
      </c>
      <c r="H415" s="67" t="str">
        <f t="shared" ca="1" si="698"/>
        <v>20.001.003.008</v>
      </c>
      <c r="I415" s="74" t="s">
        <v>495</v>
      </c>
      <c r="J415" s="96">
        <v>112.34050000000001</v>
      </c>
      <c r="K415" s="127" t="s">
        <v>185</v>
      </c>
      <c r="L415" s="115">
        <v>17849.657222222228</v>
      </c>
      <c r="M415" s="74"/>
    </row>
    <row r="416" spans="1:13" ht="20.45" customHeight="1" outlineLevel="1" x14ac:dyDescent="0.55000000000000004">
      <c r="A416" s="63">
        <f ca="1">IF($G416="UNIDADE CONSTRUTIVA",OFFSET(A416,0,0)+1,LARGE(A$3:A413,1))</f>
        <v>2</v>
      </c>
      <c r="B416" s="63">
        <f t="shared" ca="1" si="694"/>
        <v>20</v>
      </c>
      <c r="C416" s="63">
        <f t="shared" ca="1" si="695"/>
        <v>1</v>
      </c>
      <c r="D416" s="64">
        <f t="shared" ca="1" si="696"/>
        <v>3</v>
      </c>
      <c r="E416" s="64">
        <f t="shared" ca="1" si="697"/>
        <v>9</v>
      </c>
      <c r="F416" s="65"/>
      <c r="G416" s="73" t="s">
        <v>154</v>
      </c>
      <c r="H416" s="67" t="str">
        <f t="shared" ca="1" si="698"/>
        <v>20.001.003.009</v>
      </c>
      <c r="I416" s="74" t="s">
        <v>496</v>
      </c>
      <c r="J416" s="96">
        <v>859.40000000000009</v>
      </c>
      <c r="K416" s="127" t="s">
        <v>183</v>
      </c>
      <c r="L416" s="115">
        <v>35922.920000000006</v>
      </c>
      <c r="M416" s="74"/>
    </row>
    <row r="417" spans="1:13" ht="20.45" customHeight="1" outlineLevel="1" x14ac:dyDescent="0.55000000000000004">
      <c r="A417" s="63">
        <f ca="1">IF($G417="UNIDADE CONSTRUTIVA",OFFSET(A417,0,0)+1,LARGE(A$3:A414,1))</f>
        <v>2</v>
      </c>
      <c r="B417" s="63">
        <f t="shared" ca="1" si="694"/>
        <v>20</v>
      </c>
      <c r="C417" s="63">
        <f t="shared" ca="1" si="695"/>
        <v>1</v>
      </c>
      <c r="D417" s="64">
        <f t="shared" ca="1" si="696"/>
        <v>3</v>
      </c>
      <c r="E417" s="64">
        <f t="shared" ca="1" si="697"/>
        <v>10</v>
      </c>
      <c r="F417" s="65"/>
      <c r="G417" s="73" t="s">
        <v>154</v>
      </c>
      <c r="H417" s="67" t="str">
        <f t="shared" ca="1" si="698"/>
        <v>20.001.003.010</v>
      </c>
      <c r="I417" s="74" t="s">
        <v>497</v>
      </c>
      <c r="J417" s="96">
        <v>58.11</v>
      </c>
      <c r="K417" s="127" t="s">
        <v>183</v>
      </c>
      <c r="L417" s="115">
        <v>1789.788</v>
      </c>
      <c r="M417" s="74"/>
    </row>
    <row r="418" spans="1:13" ht="20.45" customHeight="1" outlineLevel="1" x14ac:dyDescent="0.55000000000000004">
      <c r="A418" s="63">
        <f ca="1">IF($G418="UNIDADE CONSTRUTIVA",OFFSET(A418,0,0)+1,LARGE(A$3:A408,1))</f>
        <v>2</v>
      </c>
      <c r="B418" s="63">
        <f t="shared" ca="1" si="689"/>
        <v>20</v>
      </c>
      <c r="C418" s="63">
        <f t="shared" ca="1" si="690"/>
        <v>1</v>
      </c>
      <c r="D418" s="64">
        <f t="shared" ca="1" si="691"/>
        <v>3</v>
      </c>
      <c r="E418" s="64">
        <f t="shared" ca="1" si="692"/>
        <v>11</v>
      </c>
      <c r="F418" s="65"/>
      <c r="G418" s="73" t="s">
        <v>154</v>
      </c>
      <c r="H418" s="67" t="str">
        <f t="shared" ca="1" si="693"/>
        <v>20.001.003.011</v>
      </c>
      <c r="I418" s="74" t="s">
        <v>498</v>
      </c>
      <c r="J418" s="96">
        <v>28</v>
      </c>
      <c r="K418" s="127" t="s">
        <v>265</v>
      </c>
      <c r="L418" s="115">
        <v>33264</v>
      </c>
      <c r="M418" s="74"/>
    </row>
    <row r="419" spans="1:13" ht="20.45" customHeight="1" outlineLevel="1" x14ac:dyDescent="0.55000000000000004">
      <c r="A419" s="63">
        <f ca="1">IF($G419="UNIDADE CONSTRUTIVA",OFFSET(A419,0,0)+1,LARGE(A$3:A409,1))</f>
        <v>2</v>
      </c>
      <c r="B419" s="63">
        <f t="shared" ca="1" si="689"/>
        <v>20</v>
      </c>
      <c r="C419" s="63">
        <f t="shared" ca="1" si="690"/>
        <v>1</v>
      </c>
      <c r="D419" s="64">
        <f t="shared" ca="1" si="691"/>
        <v>3</v>
      </c>
      <c r="E419" s="64">
        <f t="shared" ca="1" si="692"/>
        <v>12</v>
      </c>
      <c r="F419" s="65"/>
      <c r="G419" s="73" t="s">
        <v>154</v>
      </c>
      <c r="H419" s="67" t="str">
        <f t="shared" ca="1" si="693"/>
        <v>20.001.003.012</v>
      </c>
      <c r="I419" s="74" t="s">
        <v>499</v>
      </c>
      <c r="J419" s="96">
        <v>137</v>
      </c>
      <c r="K419" s="127" t="s">
        <v>265</v>
      </c>
      <c r="L419" s="115">
        <v>12809.500000000002</v>
      </c>
      <c r="M419" s="74"/>
    </row>
    <row r="420" spans="1:13" ht="20.45" customHeight="1" outlineLevel="1" x14ac:dyDescent="0.55000000000000004">
      <c r="A420" s="63">
        <f ca="1">IF($G420="UNIDADE CONSTRUTIVA",OFFSET(A420,0,0)+1,LARGE(A$3:A410,1))</f>
        <v>2</v>
      </c>
      <c r="B420" s="63">
        <f t="shared" ca="1" si="689"/>
        <v>20</v>
      </c>
      <c r="C420" s="63">
        <f t="shared" ca="1" si="690"/>
        <v>1</v>
      </c>
      <c r="D420" s="64">
        <f t="shared" ca="1" si="691"/>
        <v>3</v>
      </c>
      <c r="E420" s="64">
        <f t="shared" ca="1" si="692"/>
        <v>13</v>
      </c>
      <c r="F420" s="65"/>
      <c r="G420" s="73" t="s">
        <v>154</v>
      </c>
      <c r="H420" s="67" t="str">
        <f t="shared" ca="1" si="693"/>
        <v>20.001.003.013</v>
      </c>
      <c r="I420" s="74" t="s">
        <v>500</v>
      </c>
      <c r="J420" s="96">
        <v>20</v>
      </c>
      <c r="K420" s="127" t="s">
        <v>265</v>
      </c>
      <c r="L420" s="115">
        <v>1980.0000000000002</v>
      </c>
      <c r="M420" s="74"/>
    </row>
    <row r="421" spans="1:13" ht="20.45" customHeight="1" outlineLevel="1" x14ac:dyDescent="0.55000000000000004">
      <c r="A421" s="63">
        <f ca="1">IF($G421="UNIDADE CONSTRUTIVA",OFFSET(A421,0,0)+1,LARGE(A$3:A406,1))</f>
        <v>2</v>
      </c>
      <c r="B421" s="63">
        <f t="shared" ref="B421" ca="1" si="699">IF(G421="UNIDADE CONSTRUTIVA",0,IF(G421="CÉLULA CONSTRUTIVA",OFFSET(B421,-1,0)+1,OFFSET(B421,-1,0)))</f>
        <v>20</v>
      </c>
      <c r="C421" s="63">
        <f t="shared" ref="C421" ca="1" si="700">IF(G421="CÉLULA CONSTRUTIVA",0,IF(G421="ETAPA",OFFSET(C421,-1,0)+1,OFFSET(C421,-1,0)))</f>
        <v>1</v>
      </c>
      <c r="D421" s="64">
        <f t="shared" ref="D421" ca="1" si="701">IF(G421="ETAPA",0,IF(G421="SUBETAPA",OFFSET(D421,-1,0)+1,OFFSET(D421,-1,0)))</f>
        <v>3</v>
      </c>
      <c r="E421" s="64">
        <f t="shared" ref="E421" ca="1" si="702">IF(G421="Subetapa",0,IF(G421="serviço",OFFSET(E421,-1,0)+1,OFFSET(E421,-1,0)))</f>
        <v>14</v>
      </c>
      <c r="F421" s="65"/>
      <c r="G421" s="73" t="s">
        <v>154</v>
      </c>
      <c r="H421" s="67" t="str">
        <f t="shared" ref="H421" ca="1" si="703">IF(G421="Unidade Construtiva",TEXT(A421,"00"),IF(G421="Célula Construtiva",TEXT(B421,"00"),IF(G421="Etapa",CONCATENATE(TEXT(B421,"00"),".",TEXT(C421,"000")),IF(G421="Subetapa",CONCATENATE(TEXT(B421,"00"),".",TEXT(C421,"000"),".",TEXT(D421,"000")),IF(G421="Serviço",CONCATENATE(TEXT(B421,"00"),".",TEXT(C421,"000"),".",TEXT(D421,"000"),".",TEXT(E421,"000")),"")))))</f>
        <v>20.001.003.014</v>
      </c>
      <c r="I421" s="74" t="s">
        <v>321</v>
      </c>
      <c r="J421" s="96">
        <v>5</v>
      </c>
      <c r="K421" s="127" t="s">
        <v>184</v>
      </c>
      <c r="L421" s="115">
        <v>1917.3</v>
      </c>
      <c r="M421" s="74"/>
    </row>
    <row r="422" spans="1:13" ht="20.45" customHeight="1" outlineLevel="1" x14ac:dyDescent="0.55000000000000004">
      <c r="A422" s="63">
        <f ca="1">IF($G422="UNIDADE CONSTRUTIVA",OFFSET(A422,0,0)+1,LARGE(A$3:A407,1))</f>
        <v>2</v>
      </c>
      <c r="B422" s="63">
        <f t="shared" ca="1" si="644"/>
        <v>20</v>
      </c>
      <c r="C422" s="63">
        <f t="shared" ca="1" si="645"/>
        <v>1</v>
      </c>
      <c r="D422" s="64">
        <f t="shared" ca="1" si="646"/>
        <v>4</v>
      </c>
      <c r="E422" s="64">
        <f t="shared" ca="1" si="647"/>
        <v>0</v>
      </c>
      <c r="F422" s="65"/>
      <c r="G422" s="73" t="s">
        <v>153</v>
      </c>
      <c r="H422" s="67" t="str">
        <f t="shared" ca="1" si="542"/>
        <v>20.001.004</v>
      </c>
      <c r="I422" s="74" t="s">
        <v>39</v>
      </c>
      <c r="J422" s="96"/>
      <c r="K422" s="127"/>
      <c r="L422" s="115">
        <f>SUM(L423:L427)</f>
        <v>866400.45330300007</v>
      </c>
      <c r="M422" s="74"/>
    </row>
    <row r="423" spans="1:13" ht="20.45" customHeight="1" outlineLevel="1" x14ac:dyDescent="0.55000000000000004">
      <c r="A423" s="63">
        <f ca="1">IF($G423="UNIDADE CONSTRUTIVA",OFFSET(A423,0,0)+1,LARGE(A$3:A422,1))</f>
        <v>2</v>
      </c>
      <c r="B423" s="63">
        <f t="shared" ref="B423:B427" ca="1" si="704">IF(G423="UNIDADE CONSTRUTIVA",0,IF(G423="CÉLULA CONSTRUTIVA",OFFSET(B423,-1,0)+1,OFFSET(B423,-1,0)))</f>
        <v>20</v>
      </c>
      <c r="C423" s="63">
        <f t="shared" ref="C423:C427" ca="1" si="705">IF(G423="CÉLULA CONSTRUTIVA",0,IF(G423="ETAPA",OFFSET(C423,-1,0)+1,OFFSET(C423,-1,0)))</f>
        <v>1</v>
      </c>
      <c r="D423" s="64">
        <f t="shared" ref="D423:D427" ca="1" si="706">IF(G423="ETAPA",0,IF(G423="SUBETAPA",OFFSET(D423,-1,0)+1,OFFSET(D423,-1,0)))</f>
        <v>4</v>
      </c>
      <c r="E423" s="64">
        <f t="shared" ref="E423:E427" ca="1" si="707">IF(G423="Subetapa",0,IF(G423="serviço",OFFSET(E423,-1,0)+1,OFFSET(E423,-1,0)))</f>
        <v>1</v>
      </c>
      <c r="F423" s="65"/>
      <c r="G423" s="73" t="s">
        <v>154</v>
      </c>
      <c r="H423" s="67" t="str">
        <f t="shared" ref="H423:H427" ca="1" si="708">IF(G423="Unidade Construtiva",TEXT(A423,"00"),IF(G423="Célula Construtiva",TEXT(B423,"00"),IF(G423="Etapa",CONCATENATE(TEXT(B423,"00"),".",TEXT(C423,"000")),IF(G423="Subetapa",CONCATENATE(TEXT(B423,"00"),".",TEXT(C423,"000"),".",TEXT(D423,"000")),IF(G423="Serviço",CONCATENATE(TEXT(B423,"00"),".",TEXT(C423,"000"),".",TEXT(D423,"000"),".",TEXT(E423,"000")),"")))))</f>
        <v>20.001.004.001</v>
      </c>
      <c r="I423" s="74" t="s">
        <v>322</v>
      </c>
      <c r="J423" s="96">
        <f>J401</f>
        <v>2678.8176899999999</v>
      </c>
      <c r="K423" s="127" t="s">
        <v>185</v>
      </c>
      <c r="L423" s="115">
        <v>191535.46483499999</v>
      </c>
      <c r="M423" s="74"/>
    </row>
    <row r="424" spans="1:13" ht="20.45" customHeight="1" outlineLevel="1" x14ac:dyDescent="0.55000000000000004">
      <c r="A424" s="63">
        <f ca="1">IF($G424="UNIDADE CONSTRUTIVA",OFFSET(A424,0,0)+1,LARGE(A$3:A423,1))</f>
        <v>2</v>
      </c>
      <c r="B424" s="63">
        <f t="shared" ca="1" si="704"/>
        <v>20</v>
      </c>
      <c r="C424" s="63">
        <f t="shared" ca="1" si="705"/>
        <v>1</v>
      </c>
      <c r="D424" s="64">
        <f t="shared" ca="1" si="706"/>
        <v>4</v>
      </c>
      <c r="E424" s="64">
        <f t="shared" ca="1" si="707"/>
        <v>2</v>
      </c>
      <c r="F424" s="65"/>
      <c r="G424" s="73" t="s">
        <v>154</v>
      </c>
      <c r="H424" s="67" t="str">
        <f t="shared" ca="1" si="708"/>
        <v>20.001.004.002</v>
      </c>
      <c r="I424" s="74" t="s">
        <v>325</v>
      </c>
      <c r="J424" s="96">
        <f>J405</f>
        <v>2678.8176899999999</v>
      </c>
      <c r="K424" s="127" t="s">
        <v>185</v>
      </c>
      <c r="L424" s="115">
        <v>153228.37186799999</v>
      </c>
      <c r="M424" s="74"/>
    </row>
    <row r="425" spans="1:13" ht="20.45" customHeight="1" outlineLevel="1" x14ac:dyDescent="0.55000000000000004">
      <c r="A425" s="63">
        <f ca="1">IF($G425="UNIDADE CONSTRUTIVA",OFFSET(A425,0,0)+1,LARGE(A$3:A424,1))</f>
        <v>2</v>
      </c>
      <c r="B425" s="63">
        <f t="shared" ca="1" si="704"/>
        <v>20</v>
      </c>
      <c r="C425" s="63">
        <f t="shared" ca="1" si="705"/>
        <v>1</v>
      </c>
      <c r="D425" s="64">
        <f t="shared" ca="1" si="706"/>
        <v>4</v>
      </c>
      <c r="E425" s="64">
        <f t="shared" ca="1" si="707"/>
        <v>3</v>
      </c>
      <c r="F425" s="65"/>
      <c r="G425" s="73" t="s">
        <v>154</v>
      </c>
      <c r="H425" s="67" t="str">
        <f t="shared" ca="1" si="708"/>
        <v>20.001.004.003</v>
      </c>
      <c r="I425" s="74" t="s">
        <v>326</v>
      </c>
      <c r="J425" s="96">
        <f>J406</f>
        <v>1954.7272300000004</v>
      </c>
      <c r="K425" s="127" t="s">
        <v>183</v>
      </c>
      <c r="L425" s="115">
        <v>430039.99060000014</v>
      </c>
      <c r="M425" s="74"/>
    </row>
    <row r="426" spans="1:13" ht="20.45" customHeight="1" outlineLevel="1" x14ac:dyDescent="0.55000000000000004">
      <c r="A426" s="63">
        <f ca="1">IF($G426="UNIDADE CONSTRUTIVA",OFFSET(A426,0,0)+1,LARGE(A$3:A425,1))</f>
        <v>2</v>
      </c>
      <c r="B426" s="63">
        <f t="shared" ca="1" si="704"/>
        <v>20</v>
      </c>
      <c r="C426" s="63">
        <f t="shared" ca="1" si="705"/>
        <v>1</v>
      </c>
      <c r="D426" s="64">
        <f t="shared" ca="1" si="706"/>
        <v>4</v>
      </c>
      <c r="E426" s="64">
        <f t="shared" ca="1" si="707"/>
        <v>4</v>
      </c>
      <c r="F426" s="65"/>
      <c r="G426" s="73" t="s">
        <v>154</v>
      </c>
      <c r="H426" s="67" t="str">
        <f t="shared" ca="1" si="708"/>
        <v>20.001.004.004</v>
      </c>
      <c r="I426" s="74" t="s">
        <v>327</v>
      </c>
      <c r="J426" s="96">
        <v>5</v>
      </c>
      <c r="K426" s="127" t="s">
        <v>184</v>
      </c>
      <c r="L426" s="115">
        <v>593.44999999999993</v>
      </c>
      <c r="M426" s="74"/>
    </row>
    <row r="427" spans="1:13" ht="20.45" customHeight="1" outlineLevel="1" x14ac:dyDescent="0.55000000000000004">
      <c r="A427" s="63">
        <f ca="1">IF($G427="UNIDADE CONSTRUTIVA",OFFSET(A427,0,0)+1,LARGE(A$3:A426,1))</f>
        <v>2</v>
      </c>
      <c r="B427" s="63">
        <f t="shared" ca="1" si="704"/>
        <v>20</v>
      </c>
      <c r="C427" s="63">
        <f t="shared" ca="1" si="705"/>
        <v>1</v>
      </c>
      <c r="D427" s="64">
        <f t="shared" ca="1" si="706"/>
        <v>4</v>
      </c>
      <c r="E427" s="64">
        <f t="shared" ca="1" si="707"/>
        <v>5</v>
      </c>
      <c r="F427" s="65"/>
      <c r="G427" s="73" t="s">
        <v>154</v>
      </c>
      <c r="H427" s="67" t="str">
        <f t="shared" ca="1" si="708"/>
        <v>20.001.004.005</v>
      </c>
      <c r="I427" s="74" t="s">
        <v>505</v>
      </c>
      <c r="J427" s="96">
        <v>1</v>
      </c>
      <c r="K427" s="127" t="s">
        <v>217</v>
      </c>
      <c r="L427" s="115">
        <v>91003.176000000007</v>
      </c>
      <c r="M427" s="74"/>
    </row>
    <row r="428" spans="1:13" ht="20.45" customHeight="1" x14ac:dyDescent="0.55000000000000004">
      <c r="A428" s="63">
        <f ca="1">IF($G428="UNIDADE CONSTRUTIVA",OFFSET(A428,0,0)+1,LARGE(A$3:A422,1))</f>
        <v>2</v>
      </c>
      <c r="B428" s="63">
        <f t="shared" ca="1" si="644"/>
        <v>21</v>
      </c>
      <c r="C428" s="63">
        <f t="shared" ca="1" si="645"/>
        <v>0</v>
      </c>
      <c r="D428" s="64">
        <f t="shared" ca="1" si="646"/>
        <v>4</v>
      </c>
      <c r="E428" s="64">
        <f t="shared" ca="1" si="647"/>
        <v>5</v>
      </c>
      <c r="F428" s="65"/>
      <c r="G428" s="71" t="s">
        <v>156</v>
      </c>
      <c r="H428" s="67" t="str">
        <f t="shared" ref="H428:H444" ca="1" si="709">IF(G428="Unidade Construtiva",TEXT(A428,"00"),IF(G428="Célula Construtiva",TEXT(B428,"00"),IF(G428="Etapa",CONCATENATE(TEXT(B428,"00"),".",TEXT(C428,"000")),IF(G428="Subetapa",CONCATENATE(TEXT(B428,"00"),".",TEXT(C428,"000"),".",TEXT(D428,"000")),IF(G428="Serviço",CONCATENATE(TEXT(B428,"00"),".",TEXT(C428,"000"),".",TEXT(D428,"000"),".",TEXT(E428,"000")),"")))))</f>
        <v>21</v>
      </c>
      <c r="I428" s="72" t="s">
        <v>141</v>
      </c>
      <c r="J428" s="95"/>
      <c r="K428" s="125"/>
      <c r="L428" s="113">
        <f>L429+L436</f>
        <v>564003.74249999993</v>
      </c>
      <c r="M428" s="72"/>
    </row>
    <row r="429" spans="1:13" ht="20.45" customHeight="1" outlineLevel="1" x14ac:dyDescent="0.55000000000000004">
      <c r="A429" s="63">
        <f ca="1">IF($G429="UNIDADE CONSTRUTIVA",OFFSET(A429,0,0)+1,LARGE(A$3:A428,1))</f>
        <v>2</v>
      </c>
      <c r="B429" s="63">
        <f t="shared" ca="1" si="644"/>
        <v>21</v>
      </c>
      <c r="C429" s="63">
        <f t="shared" ca="1" si="645"/>
        <v>1</v>
      </c>
      <c r="D429" s="64">
        <f t="shared" ca="1" si="646"/>
        <v>0</v>
      </c>
      <c r="E429" s="64">
        <f t="shared" ca="1" si="647"/>
        <v>5</v>
      </c>
      <c r="F429" s="65"/>
      <c r="G429" s="71" t="s">
        <v>157</v>
      </c>
      <c r="H429" s="67" t="str">
        <f t="shared" ca="1" si="709"/>
        <v>21.001</v>
      </c>
      <c r="I429" s="80" t="s">
        <v>142</v>
      </c>
      <c r="J429" s="107"/>
      <c r="K429" s="130"/>
      <c r="L429" s="126">
        <f>SUM(L430:L435)/2</f>
        <v>48312.000000000007</v>
      </c>
      <c r="M429" s="80"/>
    </row>
    <row r="430" spans="1:13" ht="20.45" customHeight="1" outlineLevel="1" x14ac:dyDescent="0.55000000000000004">
      <c r="A430" s="63">
        <f ca="1">IF($G430="UNIDADE CONSTRUTIVA",OFFSET(A430,0,0)+1,LARGE(A$3:A429,1))</f>
        <v>2</v>
      </c>
      <c r="B430" s="63">
        <f t="shared" ca="1" si="644"/>
        <v>21</v>
      </c>
      <c r="C430" s="63">
        <f t="shared" ca="1" si="645"/>
        <v>1</v>
      </c>
      <c r="D430" s="64">
        <f t="shared" ca="1" si="646"/>
        <v>1</v>
      </c>
      <c r="E430" s="64">
        <f t="shared" ca="1" si="647"/>
        <v>0</v>
      </c>
      <c r="F430" s="65"/>
      <c r="G430" s="73" t="s">
        <v>153</v>
      </c>
      <c r="H430" s="67" t="str">
        <f t="shared" ca="1" si="709"/>
        <v>21.001.001</v>
      </c>
      <c r="I430" s="74" t="s">
        <v>143</v>
      </c>
      <c r="J430" s="96"/>
      <c r="K430" s="127"/>
      <c r="L430" s="115">
        <f>L431</f>
        <v>48312.000000000007</v>
      </c>
      <c r="M430" s="74"/>
    </row>
    <row r="431" spans="1:13" ht="56.25" outlineLevel="1" x14ac:dyDescent="0.55000000000000004">
      <c r="A431" s="63">
        <f ca="1">IF($G431="UNIDADE CONSTRUTIVA",OFFSET(A431,0,0)+1,LARGE(A$3:A430,1))</f>
        <v>2</v>
      </c>
      <c r="B431" s="63">
        <f t="shared" ca="1" si="644"/>
        <v>21</v>
      </c>
      <c r="C431" s="63">
        <f t="shared" ca="1" si="645"/>
        <v>1</v>
      </c>
      <c r="D431" s="64">
        <f t="shared" ca="1" si="646"/>
        <v>1</v>
      </c>
      <c r="E431" s="64">
        <f t="shared" ca="1" si="647"/>
        <v>1</v>
      </c>
      <c r="F431" s="65"/>
      <c r="G431" s="73" t="s">
        <v>154</v>
      </c>
      <c r="H431" s="67" t="str">
        <f t="shared" ref="H431" ca="1" si="710">IF(G431="Unidade Construtiva",TEXT(A431,"00"),IF(G431="Célula Construtiva",TEXT(B431,"00"),IF(G431="Etapa",CONCATENATE(TEXT(B431,"00"),".",TEXT(C431,"000")),IF(G431="Subetapa",CONCATENATE(TEXT(B431,"00"),".",TEXT(C431,"000"),".",TEXT(D431,"000")),IF(G431="Serviço",CONCATENATE(TEXT(B431,"00"),".",TEXT(C431,"000"),".",TEXT(D431,"000"),".",TEXT(E431,"000")),"")))))</f>
        <v>21.001.001.001</v>
      </c>
      <c r="I431" s="74" t="s">
        <v>143</v>
      </c>
      <c r="J431" s="96">
        <f>3*(74+69)</f>
        <v>429</v>
      </c>
      <c r="K431" s="127" t="s">
        <v>185</v>
      </c>
      <c r="L431" s="115">
        <v>48312.000000000007</v>
      </c>
      <c r="M431" s="74" t="s">
        <v>226</v>
      </c>
    </row>
    <row r="432" spans="1:13" ht="20.45" customHeight="1" outlineLevel="1" x14ac:dyDescent="0.55000000000000004">
      <c r="A432" s="63">
        <f ca="1">IF($G432="UNIDADE CONSTRUTIVA",OFFSET(A432,0,0)+1,LARGE(A$3:A431,1))</f>
        <v>2</v>
      </c>
      <c r="B432" s="63">
        <f t="shared" ca="1" si="644"/>
        <v>21</v>
      </c>
      <c r="C432" s="63">
        <f t="shared" ca="1" si="645"/>
        <v>1</v>
      </c>
      <c r="D432" s="64">
        <f t="shared" ca="1" si="646"/>
        <v>2</v>
      </c>
      <c r="E432" s="64">
        <f t="shared" ca="1" si="647"/>
        <v>0</v>
      </c>
      <c r="F432" s="65"/>
      <c r="G432" s="73" t="s">
        <v>153</v>
      </c>
      <c r="H432" s="67" t="str">
        <f t="shared" ca="1" si="709"/>
        <v>21.001.002</v>
      </c>
      <c r="I432" s="74" t="s">
        <v>144</v>
      </c>
      <c r="J432" s="96"/>
      <c r="K432" s="127"/>
      <c r="L432" s="115">
        <f>L433</f>
        <v>0</v>
      </c>
      <c r="M432" s="74"/>
    </row>
    <row r="433" spans="1:13" ht="20.45" customHeight="1" outlineLevel="1" x14ac:dyDescent="0.55000000000000004">
      <c r="A433" s="63">
        <f ca="1">IF($G433="UNIDADE CONSTRUTIVA",OFFSET(A433,0,0)+1,LARGE(A$3:A432,1))</f>
        <v>2</v>
      </c>
      <c r="B433" s="63">
        <f t="shared" ca="1" si="644"/>
        <v>21</v>
      </c>
      <c r="C433" s="63">
        <f t="shared" ca="1" si="645"/>
        <v>1</v>
      </c>
      <c r="D433" s="64">
        <f t="shared" ca="1" si="646"/>
        <v>2</v>
      </c>
      <c r="E433" s="64">
        <f t="shared" ca="1" si="647"/>
        <v>1</v>
      </c>
      <c r="F433" s="65"/>
      <c r="G433" s="73" t="s">
        <v>154</v>
      </c>
      <c r="H433" s="67" t="str">
        <f t="shared" ref="H433" ca="1" si="711">IF(G433="Unidade Construtiva",TEXT(A433,"00"),IF(G433="Célula Construtiva",TEXT(B433,"00"),IF(G433="Etapa",CONCATENATE(TEXT(B433,"00"),".",TEXT(C433,"000")),IF(G433="Subetapa",CONCATENATE(TEXT(B433,"00"),".",TEXT(C433,"000"),".",TEXT(D433,"000")),IF(G433="Serviço",CONCATENATE(TEXT(B433,"00"),".",TEXT(C433,"000"),".",TEXT(D433,"000"),".",TEXT(E433,"000")),"")))))</f>
        <v>21.001.002.001</v>
      </c>
      <c r="I433" s="74" t="s">
        <v>144</v>
      </c>
      <c r="J433" s="96"/>
      <c r="K433" s="127"/>
      <c r="L433" s="115"/>
      <c r="M433" s="74" t="s">
        <v>225</v>
      </c>
    </row>
    <row r="434" spans="1:13" ht="20.45" customHeight="1" outlineLevel="1" x14ac:dyDescent="0.55000000000000004">
      <c r="A434" s="63">
        <f ca="1">IF($G434="UNIDADE CONSTRUTIVA",OFFSET(A434,0,0)+1,LARGE(A$3:A433,1))</f>
        <v>2</v>
      </c>
      <c r="B434" s="63">
        <f t="shared" ca="1" si="644"/>
        <v>21</v>
      </c>
      <c r="C434" s="63">
        <f t="shared" ca="1" si="645"/>
        <v>1</v>
      </c>
      <c r="D434" s="64">
        <f t="shared" ca="1" si="646"/>
        <v>3</v>
      </c>
      <c r="E434" s="64">
        <f t="shared" ca="1" si="647"/>
        <v>0</v>
      </c>
      <c r="F434" s="65"/>
      <c r="G434" s="73" t="s">
        <v>153</v>
      </c>
      <c r="H434" s="67" t="str">
        <f t="shared" ca="1" si="709"/>
        <v>21.001.003</v>
      </c>
      <c r="I434" s="74" t="s">
        <v>145</v>
      </c>
      <c r="J434" s="96"/>
      <c r="K434" s="127"/>
      <c r="L434" s="115">
        <f>L435</f>
        <v>0</v>
      </c>
      <c r="M434" s="74"/>
    </row>
    <row r="435" spans="1:13" ht="20.45" customHeight="1" outlineLevel="1" x14ac:dyDescent="0.55000000000000004">
      <c r="A435" s="63">
        <f ca="1">IF($G435="UNIDADE CONSTRUTIVA",OFFSET(A435,0,0)+1,LARGE(A$3:A434,1))</f>
        <v>2</v>
      </c>
      <c r="B435" s="63">
        <f t="shared" ca="1" si="644"/>
        <v>21</v>
      </c>
      <c r="C435" s="63">
        <f t="shared" ca="1" si="645"/>
        <v>1</v>
      </c>
      <c r="D435" s="64">
        <f t="shared" ca="1" si="646"/>
        <v>3</v>
      </c>
      <c r="E435" s="64">
        <f t="shared" ca="1" si="647"/>
        <v>1</v>
      </c>
      <c r="F435" s="65"/>
      <c r="G435" s="73" t="s">
        <v>154</v>
      </c>
      <c r="H435" s="67" t="str">
        <f t="shared" ref="H435" ca="1" si="712">IF(G435="Unidade Construtiva",TEXT(A435,"00"),IF(G435="Célula Construtiva",TEXT(B435,"00"),IF(G435="Etapa",CONCATENATE(TEXT(B435,"00"),".",TEXT(C435,"000")),IF(G435="Subetapa",CONCATENATE(TEXT(B435,"00"),".",TEXT(C435,"000"),".",TEXT(D435,"000")),IF(G435="Serviço",CONCATENATE(TEXT(B435,"00"),".",TEXT(C435,"000"),".",TEXT(D435,"000"),".",TEXT(E435,"000")),"")))))</f>
        <v>21.001.003.001</v>
      </c>
      <c r="I435" s="74" t="s">
        <v>145</v>
      </c>
      <c r="J435" s="96"/>
      <c r="K435" s="127"/>
      <c r="L435" s="115"/>
      <c r="M435" s="74" t="s">
        <v>224</v>
      </c>
    </row>
    <row r="436" spans="1:13" ht="20.45" customHeight="1" outlineLevel="1" x14ac:dyDescent="0.55000000000000004">
      <c r="A436" s="63">
        <f ca="1">IF($G436="UNIDADE CONSTRUTIVA",OFFSET(A436,0,0)+1,LARGE(A$3:A435,1))</f>
        <v>2</v>
      </c>
      <c r="B436" s="63">
        <f t="shared" ca="1" si="644"/>
        <v>21</v>
      </c>
      <c r="C436" s="63">
        <f t="shared" ca="1" si="645"/>
        <v>2</v>
      </c>
      <c r="D436" s="64">
        <f t="shared" ca="1" si="646"/>
        <v>0</v>
      </c>
      <c r="E436" s="64">
        <f t="shared" ca="1" si="647"/>
        <v>1</v>
      </c>
      <c r="F436" s="65"/>
      <c r="G436" s="71" t="s">
        <v>157</v>
      </c>
      <c r="H436" s="67" t="str">
        <f t="shared" ca="1" si="709"/>
        <v>21.002</v>
      </c>
      <c r="I436" s="80" t="s">
        <v>141</v>
      </c>
      <c r="J436" s="107"/>
      <c r="K436" s="130"/>
      <c r="L436" s="126">
        <f>SUM(L437:L449)/2</f>
        <v>515691.74249999993</v>
      </c>
      <c r="M436" s="80"/>
    </row>
    <row r="437" spans="1:13" ht="20.45" customHeight="1" outlineLevel="1" x14ac:dyDescent="0.55000000000000004">
      <c r="A437" s="63">
        <f ca="1">IF($G437="UNIDADE CONSTRUTIVA",OFFSET(A437,0,0)+1,LARGE(A$3:A436,1))</f>
        <v>2</v>
      </c>
      <c r="B437" s="63">
        <f t="shared" ca="1" si="644"/>
        <v>21</v>
      </c>
      <c r="C437" s="63">
        <f t="shared" ca="1" si="645"/>
        <v>2</v>
      </c>
      <c r="D437" s="64">
        <f t="shared" ca="1" si="646"/>
        <v>1</v>
      </c>
      <c r="E437" s="64">
        <f t="shared" ca="1" si="647"/>
        <v>0</v>
      </c>
      <c r="F437" s="65"/>
      <c r="G437" s="73" t="s">
        <v>153</v>
      </c>
      <c r="H437" s="67" t="str">
        <f t="shared" ca="1" si="709"/>
        <v>21.002.001</v>
      </c>
      <c r="I437" s="74" t="s">
        <v>146</v>
      </c>
      <c r="J437" s="96"/>
      <c r="K437" s="127"/>
      <c r="L437" s="115">
        <f>SUM(L438:L440)</f>
        <v>0</v>
      </c>
      <c r="M437" s="74"/>
    </row>
    <row r="438" spans="1:13" ht="20.45" customHeight="1" outlineLevel="1" x14ac:dyDescent="0.55000000000000004">
      <c r="A438" s="63">
        <f ca="1">IF($G438="UNIDADE CONSTRUTIVA",OFFSET(A438,0,0)+1,LARGE(A$3:A437,1))</f>
        <v>2</v>
      </c>
      <c r="B438" s="63">
        <f t="shared" ca="1" si="644"/>
        <v>21</v>
      </c>
      <c r="C438" s="63">
        <f t="shared" ca="1" si="645"/>
        <v>2</v>
      </c>
      <c r="D438" s="64">
        <f t="shared" ca="1" si="646"/>
        <v>1</v>
      </c>
      <c r="E438" s="64">
        <f t="shared" ca="1" si="647"/>
        <v>1</v>
      </c>
      <c r="F438" s="65"/>
      <c r="G438" s="85" t="s">
        <v>154</v>
      </c>
      <c r="H438" s="86" t="str">
        <f t="shared" ca="1" si="709"/>
        <v>21.002.001.001</v>
      </c>
      <c r="I438" s="87" t="s">
        <v>222</v>
      </c>
      <c r="J438" s="108"/>
      <c r="K438" s="134"/>
      <c r="L438" s="135"/>
      <c r="M438" s="88" t="s">
        <v>221</v>
      </c>
    </row>
    <row r="439" spans="1:13" outlineLevel="1" x14ac:dyDescent="0.55000000000000004">
      <c r="A439" s="63">
        <f ca="1">IF($G439="UNIDADE CONSTRUTIVA",OFFSET(A439,0,0)+1,LARGE(A$3:A438,1))</f>
        <v>2</v>
      </c>
      <c r="B439" s="63">
        <f t="shared" ca="1" si="644"/>
        <v>21</v>
      </c>
      <c r="C439" s="63">
        <f t="shared" ca="1" si="645"/>
        <v>2</v>
      </c>
      <c r="D439" s="64">
        <f t="shared" ca="1" si="646"/>
        <v>1</v>
      </c>
      <c r="E439" s="64">
        <f t="shared" ca="1" si="647"/>
        <v>2</v>
      </c>
      <c r="F439" s="65"/>
      <c r="G439" s="73" t="s">
        <v>154</v>
      </c>
      <c r="H439" s="67" t="str">
        <f t="shared" ref="H439:H442" ca="1" si="713">IF(G439="Unidade Construtiva",TEXT(A439,"00"),IF(G439="Célula Construtiva",TEXT(B439,"00"),IF(G439="Etapa",CONCATENATE(TEXT(B439,"00"),".",TEXT(C439,"000")),IF(G439="Subetapa",CONCATENATE(TEXT(B439,"00"),".",TEXT(C439,"000"),".",TEXT(D439,"000")),IF(G439="Serviço",CONCATENATE(TEXT(B439,"00"),".",TEXT(C439,"000"),".",TEXT(D439,"000"),".",TEXT(E439,"000")),"")))))</f>
        <v>21.002.001.002</v>
      </c>
      <c r="I439" s="74" t="s">
        <v>218</v>
      </c>
      <c r="J439" s="96"/>
      <c r="K439" s="127"/>
      <c r="L439" s="115"/>
      <c r="M439" s="74"/>
    </row>
    <row r="440" spans="1:13" ht="20.45" customHeight="1" outlineLevel="1" x14ac:dyDescent="0.55000000000000004">
      <c r="A440" s="63">
        <f ca="1">IF($G440="UNIDADE CONSTRUTIVA",OFFSET(A440,0,0)+1,LARGE(A$3:A439,1))</f>
        <v>2</v>
      </c>
      <c r="B440" s="63">
        <f t="shared" ca="1" si="644"/>
        <v>21</v>
      </c>
      <c r="C440" s="63">
        <f t="shared" ca="1" si="645"/>
        <v>2</v>
      </c>
      <c r="D440" s="64">
        <f t="shared" ca="1" si="646"/>
        <v>1</v>
      </c>
      <c r="E440" s="64">
        <f t="shared" ca="1" si="647"/>
        <v>3</v>
      </c>
      <c r="F440" s="65"/>
      <c r="G440" s="73" t="s">
        <v>154</v>
      </c>
      <c r="H440" s="67" t="str">
        <f t="shared" ca="1" si="713"/>
        <v>21.002.001.003</v>
      </c>
      <c r="I440" s="74" t="s">
        <v>219</v>
      </c>
      <c r="J440" s="96"/>
      <c r="K440" s="127"/>
      <c r="L440" s="115"/>
      <c r="M440" s="74"/>
    </row>
    <row r="441" spans="1:13" ht="20.45" customHeight="1" outlineLevel="1" x14ac:dyDescent="0.55000000000000004">
      <c r="A441" s="63">
        <f ca="1">IF($G441="UNIDADE CONSTRUTIVA",OFFSET(A441,0,0)+1,LARGE(A$3:A438,1))</f>
        <v>2</v>
      </c>
      <c r="B441" s="63">
        <f t="shared" ref="B441:B442" ca="1" si="714">IF(G441="UNIDADE CONSTRUTIVA",0,IF(G441="CÉLULA CONSTRUTIVA",OFFSET(B441,-1,0)+1,OFFSET(B441,-1,0)))</f>
        <v>21</v>
      </c>
      <c r="C441" s="63">
        <f t="shared" ref="C441:C442" ca="1" si="715">IF(G441="CÉLULA CONSTRUTIVA",0,IF(G441="ETAPA",OFFSET(C441,-1,0)+1,OFFSET(C441,-1,0)))</f>
        <v>2</v>
      </c>
      <c r="D441" s="64">
        <f t="shared" ref="D441:D442" ca="1" si="716">IF(G441="ETAPA",0,IF(G441="SUBETAPA",OFFSET(D441,-1,0)+1,OFFSET(D441,-1,0)))</f>
        <v>2</v>
      </c>
      <c r="E441" s="64">
        <f t="shared" ref="E441:E442" ca="1" si="717">IF(G441="Subetapa",0,IF(G441="serviço",OFFSET(E441,-1,0)+1,OFFSET(E441,-1,0)))</f>
        <v>0</v>
      </c>
      <c r="F441" s="65"/>
      <c r="G441" s="73" t="s">
        <v>153</v>
      </c>
      <c r="H441" s="67" t="str">
        <f t="shared" ca="1" si="713"/>
        <v>21.002.002</v>
      </c>
      <c r="I441" s="74" t="s">
        <v>487</v>
      </c>
      <c r="J441" s="96"/>
      <c r="K441" s="127"/>
      <c r="L441" s="115">
        <f>L442</f>
        <v>79849.043999999994</v>
      </c>
      <c r="M441" s="74"/>
    </row>
    <row r="442" spans="1:13" ht="20.45" customHeight="1" outlineLevel="1" x14ac:dyDescent="0.55000000000000004">
      <c r="A442" s="63">
        <f ca="1">IF($G442="UNIDADE CONSTRUTIVA",OFFSET(A442,0,0)+1,LARGE(A$3:A441,1))</f>
        <v>2</v>
      </c>
      <c r="B442" s="63">
        <f t="shared" ca="1" si="714"/>
        <v>21</v>
      </c>
      <c r="C442" s="63">
        <f t="shared" ca="1" si="715"/>
        <v>2</v>
      </c>
      <c r="D442" s="64">
        <f t="shared" ca="1" si="716"/>
        <v>2</v>
      </c>
      <c r="E442" s="64">
        <f t="shared" ca="1" si="717"/>
        <v>1</v>
      </c>
      <c r="F442" s="65"/>
      <c r="G442" s="73" t="s">
        <v>154</v>
      </c>
      <c r="H442" s="67" t="str">
        <f t="shared" ca="1" si="713"/>
        <v>21.002.002.001</v>
      </c>
      <c r="I442" s="74" t="s">
        <v>487</v>
      </c>
      <c r="J442" s="96">
        <v>1</v>
      </c>
      <c r="K442" s="127" t="s">
        <v>217</v>
      </c>
      <c r="L442" s="115">
        <v>79849.043999999994</v>
      </c>
      <c r="M442" s="74"/>
    </row>
    <row r="443" spans="1:13" ht="20.45" customHeight="1" outlineLevel="1" x14ac:dyDescent="0.55000000000000004">
      <c r="A443" s="63">
        <f ca="1">IF($G443="UNIDADE CONSTRUTIVA",OFFSET(A443,0,0)+1,LARGE(A$3:A440,1))</f>
        <v>2</v>
      </c>
      <c r="B443" s="63">
        <f t="shared" ca="1" si="644"/>
        <v>21</v>
      </c>
      <c r="C443" s="63">
        <f t="shared" ca="1" si="645"/>
        <v>2</v>
      </c>
      <c r="D443" s="64">
        <f t="shared" ca="1" si="646"/>
        <v>3</v>
      </c>
      <c r="E443" s="64">
        <f t="shared" ca="1" si="647"/>
        <v>0</v>
      </c>
      <c r="F443" s="65"/>
      <c r="G443" s="73" t="s">
        <v>153</v>
      </c>
      <c r="H443" s="67" t="str">
        <f t="shared" ca="1" si="709"/>
        <v>21.002.003</v>
      </c>
      <c r="I443" s="74" t="s">
        <v>147</v>
      </c>
      <c r="J443" s="96"/>
      <c r="K443" s="127"/>
      <c r="L443" s="115">
        <f>L444</f>
        <v>252855.30599999998</v>
      </c>
      <c r="M443" s="74"/>
    </row>
    <row r="444" spans="1:13" ht="20.45" customHeight="1" outlineLevel="1" x14ac:dyDescent="0.55000000000000004">
      <c r="A444" s="63">
        <f ca="1">IF($G444="UNIDADE CONSTRUTIVA",OFFSET(A444,0,0)+1,LARGE(A$3:A443,1))</f>
        <v>2</v>
      </c>
      <c r="B444" s="63">
        <f t="shared" ca="1" si="644"/>
        <v>21</v>
      </c>
      <c r="C444" s="63">
        <f t="shared" ca="1" si="645"/>
        <v>2</v>
      </c>
      <c r="D444" s="64">
        <f t="shared" ca="1" si="646"/>
        <v>3</v>
      </c>
      <c r="E444" s="64">
        <f t="shared" ca="1" si="647"/>
        <v>1</v>
      </c>
      <c r="F444" s="65"/>
      <c r="G444" s="73" t="s">
        <v>154</v>
      </c>
      <c r="H444" s="67" t="str">
        <f t="shared" ca="1" si="709"/>
        <v>21.002.003.001</v>
      </c>
      <c r="I444" s="74" t="s">
        <v>147</v>
      </c>
      <c r="J444" s="96">
        <v>1</v>
      </c>
      <c r="K444" s="127" t="s">
        <v>217</v>
      </c>
      <c r="L444" s="115">
        <v>252855.30599999998</v>
      </c>
      <c r="M444" s="74"/>
    </row>
    <row r="445" spans="1:13" ht="20.45" customHeight="1" outlineLevel="1" x14ac:dyDescent="0.55000000000000004">
      <c r="A445" s="63">
        <f ca="1">IF($G445="UNIDADE CONSTRUTIVA",OFFSET(A445,0,0)+1,LARGE(A$3:A444,1))</f>
        <v>2</v>
      </c>
      <c r="B445" s="63">
        <f t="shared" ca="1" si="644"/>
        <v>21</v>
      </c>
      <c r="C445" s="63">
        <f t="shared" ca="1" si="645"/>
        <v>2</v>
      </c>
      <c r="D445" s="64">
        <f t="shared" ca="1" si="646"/>
        <v>4</v>
      </c>
      <c r="E445" s="64">
        <f t="shared" ca="1" si="647"/>
        <v>0</v>
      </c>
      <c r="F445" s="65"/>
      <c r="G445" s="73" t="s">
        <v>153</v>
      </c>
      <c r="H445" s="67" t="str">
        <f t="shared" ref="H445:H449" ca="1" si="718">IF(G445="Unidade Construtiva",TEXT(A445,"00"),IF(G445="Célula Construtiva",TEXT(B445,"00"),IF(G445="Etapa",CONCATENATE(TEXT(B445,"00"),".",TEXT(C445,"000")),IF(G445="Subetapa",CONCATENATE(TEXT(B445,"00"),".",TEXT(C445,"000"),".",TEXT(D445,"000")),IF(G445="Serviço",CONCATENATE(TEXT(B445,"00"),".",TEXT(C445,"000"),".",TEXT(D445,"000"),".",TEXT(E445,"000")),"")))))</f>
        <v>21.002.004</v>
      </c>
      <c r="I445" s="74" t="s">
        <v>148</v>
      </c>
      <c r="J445" s="96"/>
      <c r="K445" s="127"/>
      <c r="L445" s="115">
        <f>SUM(L446:L447)</f>
        <v>156371.04449999999</v>
      </c>
      <c r="M445" s="74"/>
    </row>
    <row r="446" spans="1:13" ht="20.45" customHeight="1" outlineLevel="1" x14ac:dyDescent="0.55000000000000004">
      <c r="A446" s="63">
        <f ca="1">IF($G446="UNIDADE CONSTRUTIVA",OFFSET(A446,0,0)+1,LARGE(A$3:A445,1))</f>
        <v>2</v>
      </c>
      <c r="B446" s="63">
        <f t="shared" ca="1" si="644"/>
        <v>21</v>
      </c>
      <c r="C446" s="63">
        <f t="shared" ca="1" si="645"/>
        <v>2</v>
      </c>
      <c r="D446" s="64">
        <f t="shared" ca="1" si="646"/>
        <v>4</v>
      </c>
      <c r="E446" s="64">
        <f t="shared" ca="1" si="647"/>
        <v>1</v>
      </c>
      <c r="F446" s="65"/>
      <c r="G446" s="73" t="s">
        <v>154</v>
      </c>
      <c r="H446" s="67" t="str">
        <f t="shared" ca="1" si="718"/>
        <v>21.002.004.001</v>
      </c>
      <c r="I446" s="74" t="s">
        <v>485</v>
      </c>
      <c r="J446" s="96">
        <v>1</v>
      </c>
      <c r="K446" s="127" t="s">
        <v>217</v>
      </c>
      <c r="L446" s="115">
        <v>23289.304499999998</v>
      </c>
      <c r="M446" s="74"/>
    </row>
    <row r="447" spans="1:13" ht="20.45" customHeight="1" outlineLevel="1" x14ac:dyDescent="0.55000000000000004">
      <c r="A447" s="63">
        <f ca="1">IF($G447="UNIDADE CONSTRUTIVA",OFFSET(A447,0,0)+1,LARGE(A$3:A446,1))</f>
        <v>2</v>
      </c>
      <c r="B447" s="63">
        <f t="shared" ref="B447" ca="1" si="719">IF(G447="UNIDADE CONSTRUTIVA",0,IF(G447="CÉLULA CONSTRUTIVA",OFFSET(B447,-1,0)+1,OFFSET(B447,-1,0)))</f>
        <v>21</v>
      </c>
      <c r="C447" s="63">
        <f t="shared" ref="C447" ca="1" si="720">IF(G447="CÉLULA CONSTRUTIVA",0,IF(G447="ETAPA",OFFSET(C447,-1,0)+1,OFFSET(C447,-1,0)))</f>
        <v>2</v>
      </c>
      <c r="D447" s="64">
        <f t="shared" ref="D447" ca="1" si="721">IF(G447="ETAPA",0,IF(G447="SUBETAPA",OFFSET(D447,-1,0)+1,OFFSET(D447,-1,0)))</f>
        <v>4</v>
      </c>
      <c r="E447" s="64">
        <f t="shared" ref="E447" ca="1" si="722">IF(G447="Subetapa",0,IF(G447="serviço",OFFSET(E447,-1,0)+1,OFFSET(E447,-1,0)))</f>
        <v>2</v>
      </c>
      <c r="F447" s="65"/>
      <c r="G447" s="73" t="s">
        <v>154</v>
      </c>
      <c r="H447" s="67" t="str">
        <f t="shared" ref="H447" ca="1" si="723">IF(G447="Unidade Construtiva",TEXT(A447,"00"),IF(G447="Célula Construtiva",TEXT(B447,"00"),IF(G447="Etapa",CONCATENATE(TEXT(B447,"00"),".",TEXT(C447,"000")),IF(G447="Subetapa",CONCATENATE(TEXT(B447,"00"),".",TEXT(C447,"000"),".",TEXT(D447,"000")),IF(G447="Serviço",CONCATENATE(TEXT(B447,"00"),".",TEXT(C447,"000"),".",TEXT(D447,"000"),".",TEXT(E447,"000")),"")))))</f>
        <v>21.002.004.002</v>
      </c>
      <c r="I447" s="74" t="s">
        <v>486</v>
      </c>
      <c r="J447" s="96">
        <v>1</v>
      </c>
      <c r="K447" s="127" t="s">
        <v>217</v>
      </c>
      <c r="L447" s="115">
        <v>133081.74</v>
      </c>
      <c r="M447" s="74"/>
    </row>
    <row r="448" spans="1:13" ht="20.45" customHeight="1" outlineLevel="1" x14ac:dyDescent="0.55000000000000004">
      <c r="A448" s="63">
        <f ca="1">IF($G448="UNIDADE CONSTRUTIVA",OFFSET(A448,0,0)+1,LARGE(A$3:A446,1))</f>
        <v>2</v>
      </c>
      <c r="B448" s="63">
        <f t="shared" ca="1" si="644"/>
        <v>21</v>
      </c>
      <c r="C448" s="63">
        <f t="shared" ca="1" si="645"/>
        <v>2</v>
      </c>
      <c r="D448" s="64">
        <f t="shared" ca="1" si="646"/>
        <v>5</v>
      </c>
      <c r="E448" s="64">
        <f t="shared" ca="1" si="647"/>
        <v>0</v>
      </c>
      <c r="F448" s="65"/>
      <c r="G448" s="73" t="s">
        <v>153</v>
      </c>
      <c r="H448" s="67" t="str">
        <f t="shared" ca="1" si="718"/>
        <v>21.002.005</v>
      </c>
      <c r="I448" s="74" t="s">
        <v>149</v>
      </c>
      <c r="J448" s="96"/>
      <c r="K448" s="127"/>
      <c r="L448" s="115">
        <f>L449</f>
        <v>26616.347999999998</v>
      </c>
      <c r="M448" s="74"/>
    </row>
    <row r="449" spans="1:13" ht="20.45" customHeight="1" outlineLevel="1" x14ac:dyDescent="0.55000000000000004">
      <c r="A449" s="63">
        <f ca="1">IF($G449="UNIDADE CONSTRUTIVA",OFFSET(A449,0,0)+1,LARGE(A$3:A448,1))</f>
        <v>2</v>
      </c>
      <c r="B449" s="63">
        <f t="shared" ca="1" si="644"/>
        <v>21</v>
      </c>
      <c r="C449" s="63">
        <f t="shared" ca="1" si="645"/>
        <v>2</v>
      </c>
      <c r="D449" s="64">
        <f t="shared" ca="1" si="646"/>
        <v>5</v>
      </c>
      <c r="E449" s="64">
        <f t="shared" ca="1" si="647"/>
        <v>1</v>
      </c>
      <c r="F449" s="65"/>
      <c r="G449" s="73" t="s">
        <v>154</v>
      </c>
      <c r="H449" s="67" t="str">
        <f t="shared" ca="1" si="718"/>
        <v>21.002.005.001</v>
      </c>
      <c r="I449" s="74" t="s">
        <v>149</v>
      </c>
      <c r="J449" s="96">
        <v>1</v>
      </c>
      <c r="K449" s="127" t="s">
        <v>217</v>
      </c>
      <c r="L449" s="115">
        <v>26616.347999999998</v>
      </c>
      <c r="M449" s="74"/>
    </row>
    <row r="450" spans="1:13" x14ac:dyDescent="0.55000000000000004">
      <c r="G450" s="91"/>
    </row>
    <row r="451" spans="1:13" x14ac:dyDescent="0.55000000000000004">
      <c r="G451" s="91"/>
    </row>
    <row r="452" spans="1:13" x14ac:dyDescent="0.55000000000000004">
      <c r="G452" s="91"/>
    </row>
    <row r="453" spans="1:13" x14ac:dyDescent="0.55000000000000004">
      <c r="G453" s="91"/>
    </row>
    <row r="454" spans="1:13" x14ac:dyDescent="0.55000000000000004">
      <c r="G454" s="91"/>
    </row>
    <row r="455" spans="1:13" x14ac:dyDescent="0.55000000000000004">
      <c r="G455" s="91"/>
    </row>
    <row r="456" spans="1:13" x14ac:dyDescent="0.55000000000000004">
      <c r="G456" s="91"/>
    </row>
    <row r="457" spans="1:13" x14ac:dyDescent="0.55000000000000004">
      <c r="G457" s="91"/>
    </row>
    <row r="458" spans="1:13" x14ac:dyDescent="0.55000000000000004">
      <c r="G458" s="91"/>
    </row>
    <row r="459" spans="1:13" x14ac:dyDescent="0.55000000000000004">
      <c r="G459" s="91"/>
    </row>
    <row r="460" spans="1:13" x14ac:dyDescent="0.55000000000000004">
      <c r="G460" s="91"/>
    </row>
    <row r="461" spans="1:13" x14ac:dyDescent="0.55000000000000004">
      <c r="G461" s="91"/>
    </row>
    <row r="462" spans="1:13" x14ac:dyDescent="0.55000000000000004">
      <c r="G462" s="91"/>
    </row>
    <row r="463" spans="1:13" x14ac:dyDescent="0.55000000000000004">
      <c r="G463" s="91"/>
    </row>
    <row r="464" spans="1:13" x14ac:dyDescent="0.55000000000000004">
      <c r="G464" s="91"/>
    </row>
    <row r="465" spans="7:7" x14ac:dyDescent="0.55000000000000004">
      <c r="G465" s="91"/>
    </row>
    <row r="466" spans="7:7" x14ac:dyDescent="0.55000000000000004">
      <c r="G466" s="91"/>
    </row>
    <row r="467" spans="7:7" x14ac:dyDescent="0.55000000000000004">
      <c r="G467" s="91"/>
    </row>
    <row r="468" spans="7:7" x14ac:dyDescent="0.55000000000000004">
      <c r="G468" s="91"/>
    </row>
    <row r="469" spans="7:7" x14ac:dyDescent="0.55000000000000004">
      <c r="G469" s="91"/>
    </row>
    <row r="470" spans="7:7" x14ac:dyDescent="0.55000000000000004">
      <c r="G470" s="91"/>
    </row>
    <row r="471" spans="7:7" x14ac:dyDescent="0.55000000000000004">
      <c r="G471" s="91"/>
    </row>
    <row r="472" spans="7:7" x14ac:dyDescent="0.55000000000000004">
      <c r="G472" s="91"/>
    </row>
    <row r="473" spans="7:7" x14ac:dyDescent="0.55000000000000004">
      <c r="G473" s="91"/>
    </row>
    <row r="474" spans="7:7" x14ac:dyDescent="0.55000000000000004">
      <c r="G474" s="91"/>
    </row>
    <row r="475" spans="7:7" x14ac:dyDescent="0.55000000000000004">
      <c r="G475" s="91"/>
    </row>
    <row r="476" spans="7:7" x14ac:dyDescent="0.55000000000000004">
      <c r="G476" s="91"/>
    </row>
    <row r="477" spans="7:7" x14ac:dyDescent="0.55000000000000004">
      <c r="G477" s="91"/>
    </row>
    <row r="478" spans="7:7" x14ac:dyDescent="0.55000000000000004">
      <c r="G478" s="91"/>
    </row>
    <row r="479" spans="7:7" x14ac:dyDescent="0.55000000000000004">
      <c r="G479" s="91"/>
    </row>
    <row r="480" spans="7:7" x14ac:dyDescent="0.55000000000000004">
      <c r="G480" s="91"/>
    </row>
    <row r="481" spans="7:7" x14ac:dyDescent="0.55000000000000004">
      <c r="G481" s="91"/>
    </row>
    <row r="482" spans="7:7" x14ac:dyDescent="0.55000000000000004">
      <c r="G482" s="91"/>
    </row>
    <row r="483" spans="7:7" x14ac:dyDescent="0.55000000000000004">
      <c r="G483" s="91"/>
    </row>
    <row r="484" spans="7:7" x14ac:dyDescent="0.55000000000000004">
      <c r="G484" s="91"/>
    </row>
    <row r="485" spans="7:7" x14ac:dyDescent="0.55000000000000004">
      <c r="G485" s="91"/>
    </row>
    <row r="486" spans="7:7" x14ac:dyDescent="0.55000000000000004">
      <c r="G486" s="91"/>
    </row>
    <row r="487" spans="7:7" x14ac:dyDescent="0.55000000000000004">
      <c r="G487" s="91"/>
    </row>
    <row r="488" spans="7:7" x14ac:dyDescent="0.55000000000000004">
      <c r="G488" s="91"/>
    </row>
    <row r="489" spans="7:7" x14ac:dyDescent="0.55000000000000004">
      <c r="G489" s="91"/>
    </row>
    <row r="490" spans="7:7" x14ac:dyDescent="0.55000000000000004">
      <c r="G490" s="91"/>
    </row>
    <row r="491" spans="7:7" x14ac:dyDescent="0.55000000000000004">
      <c r="G491" s="91"/>
    </row>
    <row r="492" spans="7:7" x14ac:dyDescent="0.55000000000000004">
      <c r="G492" s="91"/>
    </row>
    <row r="493" spans="7:7" x14ac:dyDescent="0.55000000000000004">
      <c r="G493" s="91"/>
    </row>
    <row r="494" spans="7:7" x14ac:dyDescent="0.55000000000000004">
      <c r="G494" s="91"/>
    </row>
    <row r="495" spans="7:7" x14ac:dyDescent="0.55000000000000004">
      <c r="G495" s="91"/>
    </row>
    <row r="496" spans="7:7" x14ac:dyDescent="0.55000000000000004">
      <c r="G496" s="91"/>
    </row>
    <row r="497" spans="7:7" x14ac:dyDescent="0.55000000000000004">
      <c r="G497" s="91"/>
    </row>
    <row r="498" spans="7:7" x14ac:dyDescent="0.55000000000000004">
      <c r="G498" s="91"/>
    </row>
    <row r="499" spans="7:7" x14ac:dyDescent="0.55000000000000004">
      <c r="G499" s="91"/>
    </row>
    <row r="500" spans="7:7" x14ac:dyDescent="0.55000000000000004">
      <c r="G500" s="91"/>
    </row>
    <row r="501" spans="7:7" x14ac:dyDescent="0.55000000000000004">
      <c r="G501" s="91"/>
    </row>
    <row r="502" spans="7:7" x14ac:dyDescent="0.55000000000000004">
      <c r="G502" s="91"/>
    </row>
    <row r="503" spans="7:7" x14ac:dyDescent="0.55000000000000004">
      <c r="G503" s="91"/>
    </row>
    <row r="504" spans="7:7" x14ac:dyDescent="0.55000000000000004">
      <c r="G504" s="91"/>
    </row>
    <row r="505" spans="7:7" x14ac:dyDescent="0.55000000000000004">
      <c r="G505" s="91"/>
    </row>
    <row r="506" spans="7:7" x14ac:dyDescent="0.55000000000000004">
      <c r="G506" s="91"/>
    </row>
    <row r="507" spans="7:7" x14ac:dyDescent="0.55000000000000004">
      <c r="G507" s="91"/>
    </row>
    <row r="508" spans="7:7" x14ac:dyDescent="0.55000000000000004">
      <c r="G508" s="91"/>
    </row>
    <row r="509" spans="7:7" x14ac:dyDescent="0.55000000000000004">
      <c r="G509" s="91"/>
    </row>
    <row r="510" spans="7:7" x14ac:dyDescent="0.55000000000000004">
      <c r="G510" s="91"/>
    </row>
    <row r="511" spans="7:7" x14ac:dyDescent="0.55000000000000004">
      <c r="G511" s="91"/>
    </row>
    <row r="512" spans="7:7" x14ac:dyDescent="0.55000000000000004">
      <c r="G512" s="91"/>
    </row>
    <row r="513" spans="7:7" x14ac:dyDescent="0.55000000000000004">
      <c r="G513" s="91"/>
    </row>
    <row r="514" spans="7:7" x14ac:dyDescent="0.55000000000000004">
      <c r="G514" s="91"/>
    </row>
    <row r="515" spans="7:7" x14ac:dyDescent="0.55000000000000004">
      <c r="G515" s="91"/>
    </row>
    <row r="516" spans="7:7" x14ac:dyDescent="0.55000000000000004">
      <c r="G516" s="91"/>
    </row>
    <row r="517" spans="7:7" x14ac:dyDescent="0.55000000000000004">
      <c r="G517" s="91"/>
    </row>
    <row r="518" spans="7:7" x14ac:dyDescent="0.55000000000000004">
      <c r="G518" s="91"/>
    </row>
    <row r="519" spans="7:7" x14ac:dyDescent="0.55000000000000004">
      <c r="G519" s="91"/>
    </row>
    <row r="520" spans="7:7" x14ac:dyDescent="0.55000000000000004">
      <c r="G520" s="91"/>
    </row>
    <row r="521" spans="7:7" x14ac:dyDescent="0.55000000000000004">
      <c r="G521" s="91"/>
    </row>
    <row r="522" spans="7:7" x14ac:dyDescent="0.55000000000000004">
      <c r="G522" s="91"/>
    </row>
    <row r="523" spans="7:7" x14ac:dyDescent="0.55000000000000004">
      <c r="G523" s="91"/>
    </row>
    <row r="524" spans="7:7" x14ac:dyDescent="0.55000000000000004">
      <c r="G524" s="91"/>
    </row>
    <row r="525" spans="7:7" x14ac:dyDescent="0.55000000000000004">
      <c r="G525" s="91"/>
    </row>
    <row r="526" spans="7:7" x14ac:dyDescent="0.55000000000000004">
      <c r="G526" s="91"/>
    </row>
    <row r="527" spans="7:7" x14ac:dyDescent="0.55000000000000004">
      <c r="G527" s="91"/>
    </row>
    <row r="528" spans="7:7" x14ac:dyDescent="0.55000000000000004">
      <c r="G528" s="91"/>
    </row>
    <row r="529" spans="7:7" x14ac:dyDescent="0.55000000000000004">
      <c r="G529" s="91"/>
    </row>
    <row r="530" spans="7:7" x14ac:dyDescent="0.55000000000000004">
      <c r="G530" s="91"/>
    </row>
    <row r="531" spans="7:7" x14ac:dyDescent="0.55000000000000004">
      <c r="G531" s="91"/>
    </row>
    <row r="532" spans="7:7" x14ac:dyDescent="0.55000000000000004">
      <c r="G532" s="91"/>
    </row>
    <row r="533" spans="7:7" x14ac:dyDescent="0.55000000000000004">
      <c r="G533" s="91"/>
    </row>
    <row r="534" spans="7:7" x14ac:dyDescent="0.55000000000000004">
      <c r="G534" s="91"/>
    </row>
    <row r="535" spans="7:7" x14ac:dyDescent="0.55000000000000004">
      <c r="G535" s="91"/>
    </row>
    <row r="536" spans="7:7" x14ac:dyDescent="0.55000000000000004">
      <c r="G536" s="91"/>
    </row>
    <row r="537" spans="7:7" x14ac:dyDescent="0.55000000000000004">
      <c r="G537" s="91"/>
    </row>
    <row r="538" spans="7:7" x14ac:dyDescent="0.55000000000000004">
      <c r="G538" s="91"/>
    </row>
    <row r="539" spans="7:7" x14ac:dyDescent="0.55000000000000004">
      <c r="G539" s="91"/>
    </row>
    <row r="540" spans="7:7" x14ac:dyDescent="0.55000000000000004">
      <c r="G540" s="91"/>
    </row>
    <row r="541" spans="7:7" x14ac:dyDescent="0.55000000000000004">
      <c r="G541" s="91"/>
    </row>
    <row r="542" spans="7:7" x14ac:dyDescent="0.55000000000000004">
      <c r="G542" s="91"/>
    </row>
    <row r="543" spans="7:7" x14ac:dyDescent="0.55000000000000004">
      <c r="G543" s="91"/>
    </row>
    <row r="544" spans="7:7" x14ac:dyDescent="0.55000000000000004">
      <c r="G544" s="91"/>
    </row>
    <row r="545" spans="7:7" x14ac:dyDescent="0.55000000000000004">
      <c r="G545" s="91"/>
    </row>
    <row r="546" spans="7:7" x14ac:dyDescent="0.55000000000000004">
      <c r="G546" s="91"/>
    </row>
    <row r="547" spans="7:7" x14ac:dyDescent="0.55000000000000004">
      <c r="G547" s="91"/>
    </row>
    <row r="548" spans="7:7" x14ac:dyDescent="0.55000000000000004">
      <c r="G548" s="91"/>
    </row>
    <row r="549" spans="7:7" x14ac:dyDescent="0.55000000000000004">
      <c r="G549" s="91"/>
    </row>
    <row r="550" spans="7:7" x14ac:dyDescent="0.55000000000000004">
      <c r="G550" s="91"/>
    </row>
    <row r="551" spans="7:7" x14ac:dyDescent="0.55000000000000004">
      <c r="G551" s="91"/>
    </row>
    <row r="552" spans="7:7" x14ac:dyDescent="0.55000000000000004">
      <c r="G552" s="91"/>
    </row>
    <row r="553" spans="7:7" x14ac:dyDescent="0.55000000000000004">
      <c r="G553" s="91"/>
    </row>
    <row r="554" spans="7:7" x14ac:dyDescent="0.55000000000000004">
      <c r="G554" s="91"/>
    </row>
    <row r="555" spans="7:7" x14ac:dyDescent="0.55000000000000004">
      <c r="G555" s="91"/>
    </row>
    <row r="556" spans="7:7" x14ac:dyDescent="0.55000000000000004">
      <c r="G556" s="91"/>
    </row>
    <row r="557" spans="7:7" x14ac:dyDescent="0.55000000000000004">
      <c r="G557" s="91"/>
    </row>
    <row r="558" spans="7:7" x14ac:dyDescent="0.55000000000000004">
      <c r="G558" s="91"/>
    </row>
    <row r="559" spans="7:7" x14ac:dyDescent="0.55000000000000004">
      <c r="G559" s="91"/>
    </row>
    <row r="560" spans="7:7" x14ac:dyDescent="0.55000000000000004">
      <c r="G560" s="91"/>
    </row>
    <row r="561" spans="7:7" x14ac:dyDescent="0.55000000000000004">
      <c r="G561" s="91"/>
    </row>
    <row r="562" spans="7:7" x14ac:dyDescent="0.55000000000000004">
      <c r="G562" s="91"/>
    </row>
    <row r="563" spans="7:7" x14ac:dyDescent="0.55000000000000004">
      <c r="G563" s="91"/>
    </row>
    <row r="564" spans="7:7" x14ac:dyDescent="0.55000000000000004">
      <c r="G564" s="91"/>
    </row>
    <row r="565" spans="7:7" x14ac:dyDescent="0.55000000000000004">
      <c r="G565" s="91"/>
    </row>
    <row r="566" spans="7:7" x14ac:dyDescent="0.55000000000000004">
      <c r="G566" s="91"/>
    </row>
    <row r="567" spans="7:7" x14ac:dyDescent="0.55000000000000004">
      <c r="G567" s="91"/>
    </row>
    <row r="568" spans="7:7" x14ac:dyDescent="0.55000000000000004">
      <c r="G568" s="91"/>
    </row>
    <row r="569" spans="7:7" x14ac:dyDescent="0.55000000000000004">
      <c r="G569" s="91"/>
    </row>
    <row r="570" spans="7:7" x14ac:dyDescent="0.55000000000000004">
      <c r="G570" s="91"/>
    </row>
    <row r="571" spans="7:7" x14ac:dyDescent="0.55000000000000004">
      <c r="G571" s="91"/>
    </row>
    <row r="572" spans="7:7" x14ac:dyDescent="0.55000000000000004">
      <c r="G572" s="91"/>
    </row>
    <row r="573" spans="7:7" x14ac:dyDescent="0.55000000000000004">
      <c r="G573" s="91"/>
    </row>
    <row r="574" spans="7:7" x14ac:dyDescent="0.55000000000000004">
      <c r="G574" s="91"/>
    </row>
    <row r="575" spans="7:7" x14ac:dyDescent="0.55000000000000004">
      <c r="G575" s="91"/>
    </row>
    <row r="576" spans="7:7" x14ac:dyDescent="0.55000000000000004">
      <c r="G576" s="91"/>
    </row>
    <row r="577" spans="7:7" x14ac:dyDescent="0.55000000000000004">
      <c r="G577" s="91"/>
    </row>
    <row r="578" spans="7:7" x14ac:dyDescent="0.55000000000000004">
      <c r="G578" s="91"/>
    </row>
    <row r="579" spans="7:7" x14ac:dyDescent="0.55000000000000004">
      <c r="G579" s="91"/>
    </row>
    <row r="580" spans="7:7" x14ac:dyDescent="0.55000000000000004">
      <c r="G580" s="91"/>
    </row>
    <row r="581" spans="7:7" x14ac:dyDescent="0.55000000000000004">
      <c r="G581" s="91"/>
    </row>
    <row r="582" spans="7:7" x14ac:dyDescent="0.55000000000000004">
      <c r="G582" s="91"/>
    </row>
    <row r="583" spans="7:7" x14ac:dyDescent="0.55000000000000004">
      <c r="G583" s="91"/>
    </row>
    <row r="584" spans="7:7" x14ac:dyDescent="0.55000000000000004">
      <c r="G584" s="91"/>
    </row>
    <row r="585" spans="7:7" x14ac:dyDescent="0.55000000000000004">
      <c r="G585" s="91"/>
    </row>
    <row r="586" spans="7:7" x14ac:dyDescent="0.55000000000000004">
      <c r="G586" s="91"/>
    </row>
    <row r="587" spans="7:7" x14ac:dyDescent="0.55000000000000004">
      <c r="G587" s="91"/>
    </row>
    <row r="588" spans="7:7" x14ac:dyDescent="0.55000000000000004">
      <c r="G588" s="91"/>
    </row>
    <row r="589" spans="7:7" x14ac:dyDescent="0.55000000000000004">
      <c r="G589" s="91"/>
    </row>
    <row r="590" spans="7:7" x14ac:dyDescent="0.55000000000000004">
      <c r="G590" s="91"/>
    </row>
    <row r="591" spans="7:7" x14ac:dyDescent="0.55000000000000004">
      <c r="G591" s="91"/>
    </row>
    <row r="592" spans="7:7" x14ac:dyDescent="0.55000000000000004">
      <c r="G592" s="91"/>
    </row>
    <row r="593" spans="7:7" x14ac:dyDescent="0.55000000000000004">
      <c r="G593" s="91"/>
    </row>
    <row r="594" spans="7:7" x14ac:dyDescent="0.55000000000000004">
      <c r="G594" s="91"/>
    </row>
    <row r="595" spans="7:7" x14ac:dyDescent="0.55000000000000004">
      <c r="G595" s="91"/>
    </row>
    <row r="596" spans="7:7" x14ac:dyDescent="0.55000000000000004">
      <c r="G596" s="91"/>
    </row>
    <row r="597" spans="7:7" x14ac:dyDescent="0.55000000000000004">
      <c r="G597" s="91"/>
    </row>
    <row r="598" spans="7:7" x14ac:dyDescent="0.55000000000000004">
      <c r="G598" s="91"/>
    </row>
    <row r="599" spans="7:7" x14ac:dyDescent="0.55000000000000004">
      <c r="G599" s="91"/>
    </row>
    <row r="600" spans="7:7" x14ac:dyDescent="0.55000000000000004">
      <c r="G600" s="91"/>
    </row>
    <row r="601" spans="7:7" x14ac:dyDescent="0.55000000000000004">
      <c r="G601" s="91"/>
    </row>
    <row r="602" spans="7:7" x14ac:dyDescent="0.55000000000000004">
      <c r="G602" s="91"/>
    </row>
    <row r="603" spans="7:7" x14ac:dyDescent="0.55000000000000004">
      <c r="G603" s="91"/>
    </row>
    <row r="604" spans="7:7" x14ac:dyDescent="0.55000000000000004">
      <c r="G604" s="91"/>
    </row>
    <row r="605" spans="7:7" x14ac:dyDescent="0.55000000000000004">
      <c r="G605" s="91"/>
    </row>
    <row r="606" spans="7:7" x14ac:dyDescent="0.55000000000000004">
      <c r="G606" s="91"/>
    </row>
    <row r="607" spans="7:7" x14ac:dyDescent="0.55000000000000004">
      <c r="G607" s="91"/>
    </row>
    <row r="608" spans="7:7" x14ac:dyDescent="0.55000000000000004">
      <c r="G608" s="91"/>
    </row>
    <row r="609" spans="7:7" x14ac:dyDescent="0.55000000000000004">
      <c r="G609" s="91"/>
    </row>
    <row r="610" spans="7:7" x14ac:dyDescent="0.55000000000000004">
      <c r="G610" s="91"/>
    </row>
    <row r="611" spans="7:7" x14ac:dyDescent="0.55000000000000004">
      <c r="G611" s="91"/>
    </row>
    <row r="612" spans="7:7" x14ac:dyDescent="0.55000000000000004">
      <c r="G612" s="91"/>
    </row>
    <row r="613" spans="7:7" x14ac:dyDescent="0.55000000000000004">
      <c r="G613" s="91"/>
    </row>
    <row r="614" spans="7:7" x14ac:dyDescent="0.55000000000000004">
      <c r="G614" s="91"/>
    </row>
    <row r="615" spans="7:7" x14ac:dyDescent="0.55000000000000004">
      <c r="G615" s="91"/>
    </row>
    <row r="616" spans="7:7" x14ac:dyDescent="0.55000000000000004">
      <c r="G616" s="91"/>
    </row>
    <row r="617" spans="7:7" x14ac:dyDescent="0.55000000000000004">
      <c r="G617" s="91"/>
    </row>
    <row r="618" spans="7:7" x14ac:dyDescent="0.55000000000000004">
      <c r="G618" s="91"/>
    </row>
    <row r="619" spans="7:7" x14ac:dyDescent="0.55000000000000004">
      <c r="G619" s="91"/>
    </row>
    <row r="620" spans="7:7" x14ac:dyDescent="0.55000000000000004">
      <c r="G620" s="91"/>
    </row>
    <row r="621" spans="7:7" x14ac:dyDescent="0.55000000000000004">
      <c r="G621" s="91"/>
    </row>
    <row r="622" spans="7:7" x14ac:dyDescent="0.55000000000000004">
      <c r="G622" s="91"/>
    </row>
    <row r="623" spans="7:7" x14ac:dyDescent="0.55000000000000004">
      <c r="G623" s="91"/>
    </row>
    <row r="624" spans="7:7" x14ac:dyDescent="0.55000000000000004">
      <c r="G624" s="91"/>
    </row>
    <row r="625" spans="7:7" x14ac:dyDescent="0.55000000000000004">
      <c r="G625" s="91"/>
    </row>
    <row r="626" spans="7:7" x14ac:dyDescent="0.55000000000000004">
      <c r="G626" s="91"/>
    </row>
    <row r="627" spans="7:7" x14ac:dyDescent="0.55000000000000004">
      <c r="G627" s="91"/>
    </row>
    <row r="628" spans="7:7" x14ac:dyDescent="0.55000000000000004">
      <c r="G628" s="91"/>
    </row>
    <row r="629" spans="7:7" x14ac:dyDescent="0.55000000000000004">
      <c r="G629" s="91"/>
    </row>
    <row r="630" spans="7:7" x14ac:dyDescent="0.55000000000000004">
      <c r="G630" s="91"/>
    </row>
    <row r="631" spans="7:7" x14ac:dyDescent="0.55000000000000004">
      <c r="G631" s="91"/>
    </row>
    <row r="632" spans="7:7" x14ac:dyDescent="0.55000000000000004">
      <c r="G632" s="91"/>
    </row>
    <row r="633" spans="7:7" x14ac:dyDescent="0.55000000000000004">
      <c r="G633" s="91"/>
    </row>
    <row r="634" spans="7:7" x14ac:dyDescent="0.55000000000000004">
      <c r="G634" s="91"/>
    </row>
    <row r="635" spans="7:7" x14ac:dyDescent="0.55000000000000004">
      <c r="G635" s="91"/>
    </row>
    <row r="636" spans="7:7" x14ac:dyDescent="0.55000000000000004">
      <c r="G636" s="91"/>
    </row>
    <row r="637" spans="7:7" x14ac:dyDescent="0.55000000000000004">
      <c r="G637" s="91"/>
    </row>
    <row r="638" spans="7:7" x14ac:dyDescent="0.55000000000000004">
      <c r="G638" s="91"/>
    </row>
    <row r="639" spans="7:7" x14ac:dyDescent="0.55000000000000004">
      <c r="G639" s="91"/>
    </row>
    <row r="640" spans="7:7" x14ac:dyDescent="0.55000000000000004">
      <c r="G640" s="91"/>
    </row>
    <row r="641" spans="7:7" x14ac:dyDescent="0.55000000000000004">
      <c r="G641" s="91"/>
    </row>
    <row r="642" spans="7:7" x14ac:dyDescent="0.55000000000000004">
      <c r="G642" s="91"/>
    </row>
    <row r="643" spans="7:7" x14ac:dyDescent="0.55000000000000004">
      <c r="G643" s="91"/>
    </row>
    <row r="644" spans="7:7" x14ac:dyDescent="0.55000000000000004">
      <c r="G644" s="91"/>
    </row>
    <row r="645" spans="7:7" x14ac:dyDescent="0.55000000000000004">
      <c r="G645" s="91"/>
    </row>
    <row r="646" spans="7:7" x14ac:dyDescent="0.55000000000000004">
      <c r="G646" s="91"/>
    </row>
    <row r="647" spans="7:7" x14ac:dyDescent="0.55000000000000004">
      <c r="G647" s="91"/>
    </row>
    <row r="648" spans="7:7" x14ac:dyDescent="0.55000000000000004">
      <c r="G648" s="91"/>
    </row>
  </sheetData>
  <mergeCells count="5">
    <mergeCell ref="M278:M279"/>
    <mergeCell ref="G1:I2"/>
    <mergeCell ref="G3:I3"/>
    <mergeCell ref="J2:L2"/>
    <mergeCell ref="M2:M3"/>
  </mergeCells>
  <conditionalFormatting sqref="G67:G70">
    <cfRule type="expression" dxfId="703" priority="3358">
      <formula>$G67="Etapa"</formula>
    </cfRule>
  </conditionalFormatting>
  <conditionalFormatting sqref="G98:G107">
    <cfRule type="expression" dxfId="702" priority="3210">
      <formula>$G98="Etapa"</formula>
    </cfRule>
  </conditionalFormatting>
  <conditionalFormatting sqref="G259:G260 H260:L260 G294:L305">
    <cfRule type="expression" dxfId="701" priority="1274">
      <formula>$G259="Etapa"</formula>
    </cfRule>
  </conditionalFormatting>
  <conditionalFormatting sqref="G387:G390">
    <cfRule type="expression" dxfId="700" priority="2838">
      <formula>$G387="Etapa"</formula>
    </cfRule>
  </conditionalFormatting>
  <conditionalFormatting sqref="G432:G435 G243:M254">
    <cfRule type="expression" dxfId="699" priority="2968">
      <formula>$G243="Célula Construtiva"</formula>
    </cfRule>
  </conditionalFormatting>
  <conditionalFormatting sqref="G449">
    <cfRule type="expression" dxfId="698" priority="3055">
      <formula>$G449="Serviço"</formula>
    </cfRule>
    <cfRule type="expression" dxfId="697" priority="3056">
      <formula>$G449="Célula Construtiva"</formula>
    </cfRule>
    <cfRule type="expression" dxfId="696" priority="3057">
      <formula>$G449="Unidade Construtiva"</formula>
    </cfRule>
    <cfRule type="expression" dxfId="695" priority="3058">
      <formula>$G449="Etapa"</formula>
    </cfRule>
  </conditionalFormatting>
  <conditionalFormatting sqref="G9:I10">
    <cfRule type="expression" dxfId="694" priority="3626">
      <formula>$G9="Etapa"</formula>
    </cfRule>
  </conditionalFormatting>
  <conditionalFormatting sqref="G163:I170 G196:I197">
    <cfRule type="expression" dxfId="693" priority="1764">
      <formula>$G163="Célula Construtiva"</formula>
    </cfRule>
    <cfRule type="expression" dxfId="692" priority="1765">
      <formula>$G163="Unidade Construtiva"</formula>
    </cfRule>
    <cfRule type="expression" dxfId="691" priority="1766">
      <formula>$G163="Etapa"</formula>
    </cfRule>
  </conditionalFormatting>
  <conditionalFormatting sqref="G191:I197 G4:M107 J194:J197 G428:I431">
    <cfRule type="expression" dxfId="690" priority="3027">
      <formula>$G4="Serviço"</formula>
    </cfRule>
  </conditionalFormatting>
  <conditionalFormatting sqref="G202:I208 G183:M190">
    <cfRule type="expression" dxfId="689" priority="1429">
      <formula>$G183="Unidade Construtiva"</formula>
    </cfRule>
  </conditionalFormatting>
  <conditionalFormatting sqref="G65:J66 L65:M68">
    <cfRule type="expression" dxfId="688" priority="3354">
      <formula>$G65="Etapa"</formula>
    </cfRule>
  </conditionalFormatting>
  <conditionalFormatting sqref="G194:J195">
    <cfRule type="expression" dxfId="687" priority="3712">
      <formula>$G194="Célula Construtiva"</formula>
    </cfRule>
    <cfRule type="expression" dxfId="686" priority="3713">
      <formula>$G194="Unidade Construtiva"</formula>
    </cfRule>
    <cfRule type="expression" dxfId="685" priority="3714">
      <formula>$G194="Etapa"</formula>
    </cfRule>
  </conditionalFormatting>
  <conditionalFormatting sqref="G198:J198 M427:M430 J428:L430 G441:I444 I443:I448 G61:L61 L61:M63 M64 G79:M79 G85:M85 G87:M87 G89:M89 G91:M91 G93:M93 G95:M95 G97:M97 G428:I429 G430:G431 G231:M232 G255:L261 M260:M261 G273:M273 G277:M277 G282:M282 M294:M305 G294:L324 G427:L427 G241:K241 M241">
    <cfRule type="expression" dxfId="684" priority="3764">
      <formula>$G61="Célula Construtiva"</formula>
    </cfRule>
  </conditionalFormatting>
  <conditionalFormatting sqref="G62:K63">
    <cfRule type="expression" dxfId="683" priority="3348">
      <formula>$G62="Célula Construtiva"</formula>
    </cfRule>
    <cfRule type="expression" dxfId="682" priority="3349">
      <formula>$G62="Unidade Construtiva"</formula>
    </cfRule>
    <cfRule type="expression" dxfId="681" priority="3350">
      <formula>$G62="Etapa"</formula>
    </cfRule>
  </conditionalFormatting>
  <conditionalFormatting sqref="G157:K159">
    <cfRule type="expression" dxfId="680" priority="1701">
      <formula>$G157="Unidade Construtiva"</formula>
    </cfRule>
    <cfRule type="expression" dxfId="679" priority="1702">
      <formula>$G157="Etapa"</formula>
    </cfRule>
  </conditionalFormatting>
  <conditionalFormatting sqref="G316:K321">
    <cfRule type="expression" dxfId="678" priority="1157">
      <formula>$G316="Unidade Construtiva"</formula>
    </cfRule>
    <cfRule type="expression" dxfId="677" priority="1158">
      <formula>$G316="Etapa"</formula>
    </cfRule>
  </conditionalFormatting>
  <conditionalFormatting sqref="G8:L8">
    <cfRule type="expression" dxfId="676" priority="3674">
      <formula>$G8="Etapa"</formula>
    </cfRule>
  </conditionalFormatting>
  <conditionalFormatting sqref="G13:L14">
    <cfRule type="expression" dxfId="675" priority="3554">
      <formula>$G13="Etapa"</formula>
    </cfRule>
  </conditionalFormatting>
  <conditionalFormatting sqref="G16:L17">
    <cfRule type="expression" dxfId="674" priority="3546">
      <formula>$G16="Etapa"</formula>
    </cfRule>
  </conditionalFormatting>
  <conditionalFormatting sqref="G19:L21">
    <cfRule type="expression" dxfId="673" priority="3542">
      <formula>$G19="Etapa"</formula>
    </cfRule>
  </conditionalFormatting>
  <conditionalFormatting sqref="G61:L61 L61:M63 G64:M64 G79:M79 G85:M85 G87:M87 G89:M89 G91:M91 G93:M93 G95:M95 G97:M97 G109:M109 G115:G117 M118 G198:J198 G231:M231 G241:K241 M241 M260 G261:M261 G273:M273 G277:M277 G282:M282 M294:M305 L321 M321:M324 G322:L324 G427:L427 M427:M430 G428:I429 J428:L430 G430:G431 G441:I444 I443:I448 G4:M7 G108:L108 J196:J197 G333:M382">
    <cfRule type="expression" dxfId="672" priority="3771">
      <formula>$G4="Etapa"</formula>
    </cfRule>
  </conditionalFormatting>
  <conditionalFormatting sqref="G61:L61 L61:M63 M64 G79:M79 G85:M85 G87:M87 G89:M89 G91:M91 G93:M93 G95:M95 G97:M97 G198:J198 G231:M231 G241:K241 M241 M260 G261:M261 G273:M273 G277:M277 G282:M282 M294:M305 L321 G322:L324 G427:L427 M427:M430 G428:I429 J428:L430 G430:G431 G441:I444 I443:I448 M321:M324 G109:M109 G115:G117 M118:M121">
    <cfRule type="expression" dxfId="671" priority="3766">
      <formula>$G61="Unidade Construtiva"</formula>
    </cfRule>
  </conditionalFormatting>
  <conditionalFormatting sqref="G77:L78 G81:M83 J196:J197 G325:M382">
    <cfRule type="expression" dxfId="670" priority="3160">
      <formula>$G77="Célula Construtiva"</formula>
    </cfRule>
    <cfRule type="expression" dxfId="669" priority="3161">
      <formula>$G77="Unidade Construtiva"</formula>
    </cfRule>
  </conditionalFormatting>
  <conditionalFormatting sqref="G80:L80">
    <cfRule type="expression" dxfId="668" priority="3168">
      <formula>$G80="Célula Construtiva"</formula>
    </cfRule>
    <cfRule type="expression" dxfId="667" priority="3169">
      <formula>$G80="Unidade Construtiva"</formula>
    </cfRule>
  </conditionalFormatting>
  <conditionalFormatting sqref="G84:L84">
    <cfRule type="expression" dxfId="666" priority="3176">
      <formula>$G84="Célula Construtiva"</formula>
    </cfRule>
    <cfRule type="expression" dxfId="665" priority="3177">
      <formula>$G84="Unidade Construtiva"</formula>
    </cfRule>
  </conditionalFormatting>
  <conditionalFormatting sqref="G86:L86">
    <cfRule type="expression" dxfId="664" priority="3180">
      <formula>$G86="Célula Construtiva"</formula>
    </cfRule>
    <cfRule type="expression" dxfId="663" priority="3181">
      <formula>$G86="Unidade Construtiva"</formula>
    </cfRule>
  </conditionalFormatting>
  <conditionalFormatting sqref="G88:L88">
    <cfRule type="expression" dxfId="662" priority="3184">
      <formula>$G88="Célula Construtiva"</formula>
    </cfRule>
    <cfRule type="expression" dxfId="661" priority="3185">
      <formula>$G88="Unidade Construtiva"</formula>
    </cfRule>
  </conditionalFormatting>
  <conditionalFormatting sqref="G90:L90">
    <cfRule type="expression" dxfId="660" priority="3188">
      <formula>$G90="Célula Construtiva"</formula>
    </cfRule>
    <cfRule type="expression" dxfId="659" priority="3189">
      <formula>$G90="Unidade Construtiva"</formula>
    </cfRule>
  </conditionalFormatting>
  <conditionalFormatting sqref="G92:L92">
    <cfRule type="expression" dxfId="658" priority="3100">
      <formula>$G92="Célula Construtiva"</formula>
    </cfRule>
    <cfRule type="expression" dxfId="657" priority="3101">
      <formula>$G92="Unidade Construtiva"</formula>
    </cfRule>
  </conditionalFormatting>
  <conditionalFormatting sqref="G94:L94">
    <cfRule type="expression" dxfId="656" priority="3196">
      <formula>$G94="Célula Construtiva"</formula>
    </cfRule>
    <cfRule type="expression" dxfId="655" priority="3197">
      <formula>$G94="Unidade Construtiva"</formula>
    </cfRule>
  </conditionalFormatting>
  <conditionalFormatting sqref="G96:L96">
    <cfRule type="expression" dxfId="654" priority="3200">
      <formula>$G96="Célula Construtiva"</formula>
    </cfRule>
    <cfRule type="expression" dxfId="653" priority="3201">
      <formula>$G96="Unidade Construtiva"</formula>
    </cfRule>
  </conditionalFormatting>
  <conditionalFormatting sqref="G98:L108">
    <cfRule type="expression" dxfId="652" priority="3204">
      <formula>$G98="Célula Construtiva"</formula>
    </cfRule>
    <cfRule type="expression" dxfId="651" priority="3205">
      <formula>$G98="Unidade Construtiva"</formula>
    </cfRule>
  </conditionalFormatting>
  <conditionalFormatting sqref="G118:L118">
    <cfRule type="expression" dxfId="650" priority="1486">
      <formula>$G118="Etapa"</formula>
    </cfRule>
  </conditionalFormatting>
  <conditionalFormatting sqref="G118:L121">
    <cfRule type="expression" dxfId="649" priority="409">
      <formula>$G118="Unidade Construtiva"</formula>
    </cfRule>
  </conditionalFormatting>
  <conditionalFormatting sqref="G141:L153">
    <cfRule type="expression" dxfId="648" priority="1884">
      <formula>$G141="Célula Construtiva"</formula>
    </cfRule>
  </conditionalFormatting>
  <conditionalFormatting sqref="G157:L162">
    <cfRule type="expression" dxfId="647" priority="1696">
      <formula>$G157="Célula Construtiva"</formula>
    </cfRule>
  </conditionalFormatting>
  <conditionalFormatting sqref="G157:L163">
    <cfRule type="expression" dxfId="646" priority="1691">
      <formula>$G157="Serviço"</formula>
    </cfRule>
  </conditionalFormatting>
  <conditionalFormatting sqref="G160:L162">
    <cfRule type="expression" dxfId="645" priority="1697">
      <formula>$G160="Unidade Construtiva"</formula>
    </cfRule>
    <cfRule type="expression" dxfId="644" priority="1698">
      <formula>$G160="Etapa"</formula>
    </cfRule>
  </conditionalFormatting>
  <conditionalFormatting sqref="G171:L171">
    <cfRule type="expression" dxfId="643" priority="1872">
      <formula>$G171="Célula Construtiva"</formula>
    </cfRule>
  </conditionalFormatting>
  <conditionalFormatting sqref="G221:L222">
    <cfRule type="expression" dxfId="642" priority="2234">
      <formula>$G221="Etapa"</formula>
    </cfRule>
  </conditionalFormatting>
  <conditionalFormatting sqref="G278:L281">
    <cfRule type="expression" dxfId="641" priority="660">
      <formula>$G278="Célula Construtiva"</formula>
    </cfRule>
  </conditionalFormatting>
  <conditionalFormatting sqref="G279:L279">
    <cfRule type="expression" dxfId="640" priority="519">
      <formula>$G279="Serviço"</formula>
    </cfRule>
  </conditionalFormatting>
  <conditionalFormatting sqref="G294:L305 G259:G260 H260:L260">
    <cfRule type="expression" dxfId="639" priority="1273">
      <formula>$G259="Unidade Construtiva"</formula>
    </cfRule>
  </conditionalFormatting>
  <conditionalFormatting sqref="G327:L329 G331:L332">
    <cfRule type="expression" dxfId="638" priority="2614">
      <formula>$G327="Etapa"</formula>
    </cfRule>
  </conditionalFormatting>
  <conditionalFormatting sqref="G383:L397">
    <cfRule type="expression" dxfId="637" priority="2692">
      <formula>$G383="Célula Construtiva"</formula>
    </cfRule>
    <cfRule type="expression" dxfId="636" priority="2693">
      <formula>$G383="Unidade Construtiva"</formula>
    </cfRule>
  </conditionalFormatting>
  <conditionalFormatting sqref="G432:L435">
    <cfRule type="expression" dxfId="635" priority="2967">
      <formula>$G432="Serviço"</formula>
    </cfRule>
  </conditionalFormatting>
  <conditionalFormatting sqref="G439:L440">
    <cfRule type="expression" dxfId="634" priority="2868">
      <formula>$G439="Célula Construtiva"</formula>
    </cfRule>
    <cfRule type="expression" dxfId="633" priority="2869">
      <formula>$G439="Unidade Construtiva"</formula>
    </cfRule>
    <cfRule type="expression" dxfId="632" priority="2882">
      <formula>$G439="Etapa"</formula>
    </cfRule>
  </conditionalFormatting>
  <conditionalFormatting sqref="G439:L447">
    <cfRule type="expression" dxfId="631" priority="2867">
      <formula>$G439="Serviço"</formula>
    </cfRule>
  </conditionalFormatting>
  <conditionalFormatting sqref="G445:L447">
    <cfRule type="expression" dxfId="630" priority="3052">
      <formula>$G445="Célula Construtiva"</formula>
    </cfRule>
    <cfRule type="expression" dxfId="629" priority="3053">
      <formula>$G445="Unidade Construtiva"</formula>
    </cfRule>
    <cfRule type="expression" dxfId="628" priority="3054">
      <formula>$G445="Etapa"</formula>
    </cfRule>
  </conditionalFormatting>
  <conditionalFormatting sqref="G448:L448 H449:J449">
    <cfRule type="expression" dxfId="627" priority="3075">
      <formula>$G448="Serviço"</formula>
    </cfRule>
    <cfRule type="expression" dxfId="626" priority="3076">
      <formula>$G448="Célula Construtiva"</formula>
    </cfRule>
    <cfRule type="expression" dxfId="625" priority="3077">
      <formula>$G448="Unidade Construtiva"</formula>
    </cfRule>
    <cfRule type="expression" dxfId="624" priority="3078">
      <formula>$G448="Etapa"</formula>
    </cfRule>
  </conditionalFormatting>
  <conditionalFormatting sqref="G4:M60 G64:L70">
    <cfRule type="expression" dxfId="623" priority="3344">
      <formula>$G4="Célula Construtiva"</formula>
    </cfRule>
    <cfRule type="expression" dxfId="622" priority="3345">
      <formula>$G4="Unidade Construtiva"</formula>
    </cfRule>
  </conditionalFormatting>
  <conditionalFormatting sqref="G11:M12">
    <cfRule type="expression" dxfId="621" priority="3534">
      <formula>$G11="Etapa"</formula>
    </cfRule>
  </conditionalFormatting>
  <conditionalFormatting sqref="G22:M51">
    <cfRule type="expression" dxfId="620" priority="3422">
      <formula>$G22="Etapa"</formula>
    </cfRule>
  </conditionalFormatting>
  <conditionalFormatting sqref="G52:M52">
    <cfRule type="expression" dxfId="619" priority="209">
      <formula>$G52="Etapa"</formula>
    </cfRule>
  </conditionalFormatting>
  <conditionalFormatting sqref="G53:M60">
    <cfRule type="expression" dxfId="618" priority="3382">
      <formula>$G53="Etapa"</formula>
    </cfRule>
  </conditionalFormatting>
  <conditionalFormatting sqref="G71:M76">
    <cfRule type="expression" dxfId="617" priority="3320">
      <formula>$G71="Célula Construtiva"</formula>
    </cfRule>
    <cfRule type="expression" dxfId="616" priority="3321">
      <formula>$G71="Unidade Construtiva"</formula>
    </cfRule>
    <cfRule type="expression" dxfId="615" priority="3322">
      <formula>$G71="Etapa"</formula>
    </cfRule>
  </conditionalFormatting>
  <conditionalFormatting sqref="G77:M78">
    <cfRule type="expression" dxfId="614" priority="3162">
      <formula>$G77="Etapa"</formula>
    </cfRule>
  </conditionalFormatting>
  <conditionalFormatting sqref="G80:M80">
    <cfRule type="expression" dxfId="613" priority="3170">
      <formula>$G80="Etapa"</formula>
    </cfRule>
  </conditionalFormatting>
  <conditionalFormatting sqref="G81:M84">
    <cfRule type="expression" dxfId="612" priority="3178">
      <formula>$G81="Etapa"</formula>
    </cfRule>
  </conditionalFormatting>
  <conditionalFormatting sqref="G86:M86">
    <cfRule type="expression" dxfId="611" priority="3182">
      <formula>$G86="Etapa"</formula>
    </cfRule>
  </conditionalFormatting>
  <conditionalFormatting sqref="G88:M88">
    <cfRule type="expression" dxfId="610" priority="3186">
      <formula>$G88="Etapa"</formula>
    </cfRule>
  </conditionalFormatting>
  <conditionalFormatting sqref="G90:M90">
    <cfRule type="expression" dxfId="609" priority="3190">
      <formula>$G90="Etapa"</formula>
    </cfRule>
  </conditionalFormatting>
  <conditionalFormatting sqref="G92:M92">
    <cfRule type="expression" dxfId="608" priority="3102">
      <formula>$G92="Etapa"</formula>
    </cfRule>
  </conditionalFormatting>
  <conditionalFormatting sqref="G94:M94">
    <cfRule type="expression" dxfId="607" priority="3198">
      <formula>$G94="Etapa"</formula>
    </cfRule>
  </conditionalFormatting>
  <conditionalFormatting sqref="G96:M96">
    <cfRule type="expression" dxfId="606" priority="3202">
      <formula>$G96="Etapa"</formula>
    </cfRule>
  </conditionalFormatting>
  <conditionalFormatting sqref="G108:M108">
    <cfRule type="expression" dxfId="605" priority="13">
      <formula>$G108="Serviço"</formula>
    </cfRule>
  </conditionalFormatting>
  <conditionalFormatting sqref="G109:M140 M171:M190 G172:L190">
    <cfRule type="expression" dxfId="604" priority="1556">
      <formula>$G109="Célula Construtiva"</formula>
    </cfRule>
  </conditionalFormatting>
  <conditionalFormatting sqref="G109:M156 M171:M190 G172:L190">
    <cfRule type="expression" dxfId="603" priority="1555">
      <formula>$G109="Serviço"</formula>
    </cfRule>
  </conditionalFormatting>
  <conditionalFormatting sqref="G110:M114">
    <cfRule type="expression" dxfId="602" priority="353">
      <formula>$G110="Unidade Construtiva"</formula>
    </cfRule>
    <cfRule type="expression" dxfId="601" priority="354">
      <formula>$G110="Etapa"</formula>
    </cfRule>
  </conditionalFormatting>
  <conditionalFormatting sqref="G119:M121">
    <cfRule type="expression" dxfId="600" priority="410">
      <formula>$G119="Etapa"</formula>
    </cfRule>
  </conditionalFormatting>
  <conditionalFormatting sqref="G122:M133">
    <cfRule type="expression" dxfId="599" priority="321">
      <formula>$G122="Unidade Construtiva"</formula>
    </cfRule>
    <cfRule type="expression" dxfId="598" priority="322">
      <formula>$G122="Etapa"</formula>
    </cfRule>
  </conditionalFormatting>
  <conditionalFormatting sqref="G134:M153">
    <cfRule type="expression" dxfId="597" priority="1885">
      <formula>$G134="Unidade Construtiva"</formula>
    </cfRule>
    <cfRule type="expression" dxfId="596" priority="1886">
      <formula>$G134="Etapa"</formula>
    </cfRule>
  </conditionalFormatting>
  <conditionalFormatting sqref="G154:M156">
    <cfRule type="expression" dxfId="595" priority="3692">
      <formula>$G154="Célula Construtiva"</formula>
    </cfRule>
    <cfRule type="expression" dxfId="594" priority="3693">
      <formula>$G154="Unidade Construtiva"</formula>
    </cfRule>
    <cfRule type="expression" dxfId="593" priority="3694">
      <formula>$G154="Etapa"</formula>
    </cfRule>
  </conditionalFormatting>
  <conditionalFormatting sqref="G171:M171">
    <cfRule type="expression" dxfId="592" priority="1873">
      <formula>$G171="Unidade Construtiva"</formula>
    </cfRule>
    <cfRule type="expression" dxfId="591" priority="1874">
      <formula>$G171="Etapa"</formula>
    </cfRule>
  </conditionalFormatting>
  <conditionalFormatting sqref="G172:M182">
    <cfRule type="expression" dxfId="590" priority="1709">
      <formula>$G172="Unidade Construtiva"</formula>
    </cfRule>
    <cfRule type="expression" dxfId="589" priority="1710">
      <formula>$G172="Etapa"</formula>
    </cfRule>
  </conditionalFormatting>
  <conditionalFormatting sqref="G183:M190 G202:I208">
    <cfRule type="expression" dxfId="588" priority="1430">
      <formula>$G183="Etapa"</formula>
    </cfRule>
  </conditionalFormatting>
  <conditionalFormatting sqref="G199:M201">
    <cfRule type="expression" dxfId="587" priority="31">
      <formula>$G199="Serviço"</formula>
    </cfRule>
    <cfRule type="expression" dxfId="586" priority="32">
      <formula>$G199="Célula Construtiva"</formula>
    </cfRule>
    <cfRule type="expression" dxfId="585" priority="33">
      <formula>$G199="Unidade Construtiva"</formula>
    </cfRule>
    <cfRule type="expression" dxfId="584" priority="34">
      <formula>$G199="Etapa"</formula>
    </cfRule>
  </conditionalFormatting>
  <conditionalFormatting sqref="G202:M218 G220:M234 G243:M278 G235:L235">
    <cfRule type="expression" dxfId="583" priority="2199">
      <formula>$G202="Serviço"</formula>
    </cfRule>
  </conditionalFormatting>
  <conditionalFormatting sqref="G202:M218">
    <cfRule type="expression" dxfId="582" priority="1404">
      <formula>$G202="Célula Construtiva"</formula>
    </cfRule>
  </conditionalFormatting>
  <conditionalFormatting sqref="G209:M218 G220:M220">
    <cfRule type="expression" dxfId="581" priority="2146">
      <formula>$G209="Etapa"</formula>
    </cfRule>
  </conditionalFormatting>
  <conditionalFormatting sqref="G209:M218">
    <cfRule type="expression" dxfId="580" priority="2145">
      <formula>$G209="Unidade Construtiva"</formula>
    </cfRule>
  </conditionalFormatting>
  <conditionalFormatting sqref="G219:M219">
    <cfRule type="expression" dxfId="579" priority="50">
      <formula>$G219="Serviço"</formula>
    </cfRule>
    <cfRule type="expression" dxfId="578" priority="52">
      <formula>$G219="Unidade Construtiva"</formula>
    </cfRule>
    <cfRule type="expression" dxfId="577" priority="53">
      <formula>$G219="Etapa"</formula>
    </cfRule>
  </conditionalFormatting>
  <conditionalFormatting sqref="G219:M230">
    <cfRule type="expression" dxfId="576" priority="51">
      <formula>$G219="Célula Construtiva"</formula>
    </cfRule>
  </conditionalFormatting>
  <conditionalFormatting sqref="G220:M230">
    <cfRule type="expression" dxfId="575" priority="913">
      <formula>$G220="Unidade Construtiva"</formula>
    </cfRule>
  </conditionalFormatting>
  <conditionalFormatting sqref="G223:M227">
    <cfRule type="expression" dxfId="574" priority="2222">
      <formula>$G223="Etapa"</formula>
    </cfRule>
  </conditionalFormatting>
  <conditionalFormatting sqref="G228:M230">
    <cfRule type="expression" dxfId="573" priority="914">
      <formula>$G228="Etapa"</formula>
    </cfRule>
  </conditionalFormatting>
  <conditionalFormatting sqref="G232:M235">
    <cfRule type="expression" dxfId="572" priority="9">
      <formula>$G232="Unidade Construtiva"</formula>
    </cfRule>
    <cfRule type="expression" dxfId="571" priority="10">
      <formula>$G232="Etapa"</formula>
    </cfRule>
  </conditionalFormatting>
  <conditionalFormatting sqref="G233:M235">
    <cfRule type="expression" dxfId="570" priority="8">
      <formula>$G233="Célula Construtiva"</formula>
    </cfRule>
  </conditionalFormatting>
  <conditionalFormatting sqref="G236:M240">
    <cfRule type="expression" dxfId="569" priority="224">
      <formula>$G236="Célula Construtiva"</formula>
    </cfRule>
    <cfRule type="expression" dxfId="568" priority="893">
      <formula>$G236="Unidade Construtiva"</formula>
    </cfRule>
    <cfRule type="expression" dxfId="567" priority="894">
      <formula>$G236="Etapa"</formula>
    </cfRule>
  </conditionalFormatting>
  <conditionalFormatting sqref="G236:M242">
    <cfRule type="expression" dxfId="566" priority="102">
      <formula>$G236="Serviço"</formula>
    </cfRule>
  </conditionalFormatting>
  <conditionalFormatting sqref="G242:M242">
    <cfRule type="expression" dxfId="565" priority="226">
      <formula>$G242="Célula Construtiva"</formula>
    </cfRule>
    <cfRule type="expression" dxfId="564" priority="849">
      <formula>$G242="Unidade Construtiva"</formula>
    </cfRule>
    <cfRule type="expression" dxfId="563" priority="850">
      <formula>$G242="Etapa"</formula>
    </cfRule>
  </conditionalFormatting>
  <conditionalFormatting sqref="G243:M254 G432:G435">
    <cfRule type="expression" dxfId="562" priority="2969">
      <formula>$G243="Unidade Construtiva"</formula>
    </cfRule>
    <cfRule type="expression" dxfId="561" priority="2970">
      <formula>$G243="Etapa"</formula>
    </cfRule>
  </conditionalFormatting>
  <conditionalFormatting sqref="G255:M258">
    <cfRule type="expression" dxfId="560" priority="705">
      <formula>$G255="Unidade Construtiva"</formula>
    </cfRule>
    <cfRule type="expression" dxfId="559" priority="706">
      <formula>$G255="Etapa"</formula>
    </cfRule>
  </conditionalFormatting>
  <conditionalFormatting sqref="G262:M272">
    <cfRule type="expression" dxfId="558" priority="221">
      <formula>$G262="Célula Construtiva"</formula>
    </cfRule>
    <cfRule type="expression" dxfId="557" priority="653">
      <formula>$G262="Unidade Construtiva"</formula>
    </cfRule>
    <cfRule type="expression" dxfId="556" priority="654">
      <formula>$G262="Etapa"</formula>
    </cfRule>
  </conditionalFormatting>
  <conditionalFormatting sqref="G274:M276">
    <cfRule type="expression" dxfId="555" priority="217">
      <formula>$G274="Célula Construtiva"</formula>
    </cfRule>
    <cfRule type="expression" dxfId="554" priority="609">
      <formula>$G274="Unidade Construtiva"</formula>
    </cfRule>
    <cfRule type="expression" dxfId="553" priority="610">
      <formula>$G274="Etapa"</formula>
    </cfRule>
  </conditionalFormatting>
  <conditionalFormatting sqref="G278:M278 G279:L279 G280:M281">
    <cfRule type="expression" dxfId="552" priority="661">
      <formula>$G278="Unidade Construtiva"</formula>
    </cfRule>
    <cfRule type="expression" dxfId="551" priority="662">
      <formula>$G278="Etapa"</formula>
    </cfRule>
  </conditionalFormatting>
  <conditionalFormatting sqref="G280:M427 G164:I171">
    <cfRule type="expression" dxfId="550" priority="1763">
      <formula>$G164="Serviço"</formula>
    </cfRule>
  </conditionalFormatting>
  <conditionalFormatting sqref="G283:M293">
    <cfRule type="expression" dxfId="549" priority="218">
      <formula>$G283="Célula Construtiva"</formula>
    </cfRule>
    <cfRule type="expression" dxfId="548" priority="601">
      <formula>$G283="Unidade Construtiva"</formula>
    </cfRule>
    <cfRule type="expression" dxfId="547" priority="602">
      <formula>$G283="Etapa"</formula>
    </cfRule>
  </conditionalFormatting>
  <conditionalFormatting sqref="G306:M315">
    <cfRule type="expression" dxfId="546" priority="230">
      <formula>$G306="Unidade Construtiva"</formula>
    </cfRule>
    <cfRule type="expression" dxfId="545" priority="231">
      <formula>$G306="Etapa"</formula>
    </cfRule>
  </conditionalFormatting>
  <conditionalFormatting sqref="G325:M326">
    <cfRule type="expression" dxfId="544" priority="2638">
      <formula>$G325="Etapa"</formula>
    </cfRule>
  </conditionalFormatting>
  <conditionalFormatting sqref="G330:M330">
    <cfRule type="expression" dxfId="543" priority="98">
      <formula>$G330="Etapa"</formula>
    </cfRule>
  </conditionalFormatting>
  <conditionalFormatting sqref="G383:M386">
    <cfRule type="expression" dxfId="542" priority="2706">
      <formula>$G383="Etapa"</formula>
    </cfRule>
  </conditionalFormatting>
  <conditionalFormatting sqref="G391:M397">
    <cfRule type="expression" dxfId="541" priority="2694">
      <formula>$G391="Etapa"</formula>
    </cfRule>
  </conditionalFormatting>
  <conditionalFormatting sqref="G398:M426">
    <cfRule type="expression" dxfId="540" priority="1004">
      <formula>$G398="Célula Construtiva"</formula>
    </cfRule>
    <cfRule type="expression" dxfId="539" priority="1005">
      <formula>$G398="Unidade Construtiva"</formula>
    </cfRule>
    <cfRule type="expression" dxfId="538" priority="1006">
      <formula>$G398="Etapa"</formula>
    </cfRule>
  </conditionalFormatting>
  <conditionalFormatting sqref="G436:M438 J443:L444">
    <cfRule type="expression" dxfId="537" priority="3044">
      <formula>$G436="Célula Construtiva"</formula>
    </cfRule>
    <cfRule type="expression" dxfId="536" priority="3045">
      <formula>$G436="Unidade Construtiva"</formula>
    </cfRule>
  </conditionalFormatting>
  <conditionalFormatting sqref="G436:M438 J443:M444">
    <cfRule type="expression" dxfId="535" priority="3046">
      <formula>$G436="Etapa"</formula>
    </cfRule>
  </conditionalFormatting>
  <conditionalFormatting sqref="G436:M438">
    <cfRule type="expression" dxfId="534" priority="3043">
      <formula>$G436="Serviço"</formula>
    </cfRule>
  </conditionalFormatting>
  <conditionalFormatting sqref="H430:I432">
    <cfRule type="expression" dxfId="533" priority="3028">
      <formula>$G430="Célula Construtiva"</formula>
    </cfRule>
    <cfRule type="expression" dxfId="532" priority="3029">
      <formula>$G430="Unidade Construtiva"</formula>
    </cfRule>
    <cfRule type="expression" dxfId="531" priority="3030">
      <formula>$G430="Etapa"</formula>
    </cfRule>
  </conditionalFormatting>
  <conditionalFormatting sqref="H67:J68">
    <cfRule type="expression" dxfId="530" priority="3362">
      <formula>$G67="Etapa"</formula>
    </cfRule>
  </conditionalFormatting>
  <conditionalFormatting sqref="H69:J69 L69:M69">
    <cfRule type="expression" dxfId="529" priority="191">
      <formula>$G69="Etapa"</formula>
    </cfRule>
  </conditionalFormatting>
  <conditionalFormatting sqref="H70:J70 L70:M70">
    <cfRule type="expression" dxfId="528" priority="3366">
      <formula>$G70="Etapa"</formula>
    </cfRule>
  </conditionalFormatting>
  <conditionalFormatting sqref="H99:K107">
    <cfRule type="expression" dxfId="527" priority="3206">
      <formula>$G99="Etapa"</formula>
    </cfRule>
  </conditionalFormatting>
  <conditionalFormatting sqref="H98:L98 L99:L105 M98:M105">
    <cfRule type="expression" dxfId="526" priority="3254">
      <formula>$G98="Etapa"</formula>
    </cfRule>
  </conditionalFormatting>
  <conditionalFormatting sqref="H388:L390">
    <cfRule type="expression" dxfId="525" priority="2730">
      <formula>$G388="Etapa"</formula>
    </cfRule>
  </conditionalFormatting>
  <conditionalFormatting sqref="H433:L435">
    <cfRule type="expression" dxfId="524" priority="2984">
      <formula>$G433="Célula Construtiva"</formula>
    </cfRule>
    <cfRule type="expression" dxfId="523" priority="2985">
      <formula>$G433="Unidade Construtiva"</formula>
    </cfRule>
  </conditionalFormatting>
  <conditionalFormatting sqref="H115:M117">
    <cfRule type="expression" dxfId="522" priority="349">
      <formula>$G115="Unidade Construtiva"</formula>
    </cfRule>
    <cfRule type="expression" dxfId="521" priority="350">
      <formula>$G115="Etapa"</formula>
    </cfRule>
  </conditionalFormatting>
  <conditionalFormatting sqref="H259:M259">
    <cfRule type="expression" dxfId="520" priority="697">
      <formula>$G259="Unidade Construtiva"</formula>
    </cfRule>
    <cfRule type="expression" dxfId="519" priority="698">
      <formula>$G259="Etapa"</formula>
    </cfRule>
  </conditionalFormatting>
  <conditionalFormatting sqref="H387:M387">
    <cfRule type="expression" dxfId="518" priority="2714">
      <formula>$G387="Etapa"</formula>
    </cfRule>
  </conditionalFormatting>
  <conditionalFormatting sqref="H433:M435">
    <cfRule type="expression" dxfId="517" priority="2986">
      <formula>$G433="Etapa"</formula>
    </cfRule>
  </conditionalFormatting>
  <conditionalFormatting sqref="I53">
    <cfRule type="expression" dxfId="516" priority="192">
      <formula>$G53="Etapa"</formula>
    </cfRule>
  </conditionalFormatting>
  <conditionalFormatting sqref="I253">
    <cfRule type="expression" dxfId="515" priority="1">
      <formula>$G253="Célula Construtiva"</formula>
    </cfRule>
    <cfRule type="expression" dxfId="514" priority="2">
      <formula>$G253="Unidade Construtiva"</formula>
    </cfRule>
    <cfRule type="expression" dxfId="513" priority="3">
      <formula>$G253="Etapa"</formula>
    </cfRule>
  </conditionalFormatting>
  <conditionalFormatting sqref="I441:I448 G198:J198 J428:M430">
    <cfRule type="expression" dxfId="512" priority="3763">
      <formula>$G198="Serviço"</formula>
    </cfRule>
  </conditionalFormatting>
  <conditionalFormatting sqref="I448:I449">
    <cfRule type="expression" dxfId="511" priority="3063">
      <formula>$G448="Serviço"</formula>
    </cfRule>
    <cfRule type="expression" dxfId="510" priority="3064">
      <formula>$G448="Célula Construtiva"</formula>
    </cfRule>
    <cfRule type="expression" dxfId="509" priority="3065">
      <formula>$G448="Unidade Construtiva"</formula>
    </cfRule>
    <cfRule type="expression" dxfId="508" priority="3066">
      <formula>$G448="Etapa"</formula>
    </cfRule>
  </conditionalFormatting>
  <conditionalFormatting sqref="J262:J263">
    <cfRule type="expression" dxfId="507" priority="4">
      <formula>$G262="Célula Construtiva"</formula>
    </cfRule>
    <cfRule type="expression" dxfId="506" priority="5">
      <formula>$G262="Unidade Construtiva"</formula>
    </cfRule>
    <cfRule type="expression" dxfId="505" priority="6">
      <formula>$G262="Etapa"</formula>
    </cfRule>
  </conditionalFormatting>
  <conditionalFormatting sqref="J123:K123">
    <cfRule type="expression" dxfId="504" priority="48">
      <formula>$G123="Unidade Construtiva"</formula>
    </cfRule>
    <cfRule type="expression" dxfId="503" priority="49">
      <formula>$G123="Etapa"</formula>
    </cfRule>
  </conditionalFormatting>
  <conditionalFormatting sqref="J9:L9">
    <cfRule type="expression" dxfId="502" priority="3562">
      <formula>$G9="Etapa"</formula>
    </cfRule>
  </conditionalFormatting>
  <conditionalFormatting sqref="J163:L163">
    <cfRule type="expression" dxfId="501" priority="1692">
      <formula>$G163="Célula Construtiva"</formula>
    </cfRule>
  </conditionalFormatting>
  <conditionalFormatting sqref="J164:L167">
    <cfRule type="expression" dxfId="500" priority="1683">
      <formula>$G164="Serviço"</formula>
    </cfRule>
    <cfRule type="expression" dxfId="499" priority="1684">
      <formula>$G164="Célula Construtiva"</formula>
    </cfRule>
  </conditionalFormatting>
  <conditionalFormatting sqref="J165:L167">
    <cfRule type="expression" dxfId="498" priority="1685">
      <formula>$G165="Unidade Construtiva"</formula>
    </cfRule>
    <cfRule type="expression" dxfId="497" priority="1686">
      <formula>$G165="Etapa"</formula>
    </cfRule>
  </conditionalFormatting>
  <conditionalFormatting sqref="J168:L170">
    <cfRule type="expression" dxfId="496" priority="3734">
      <formula>$G168="Etapa"</formula>
    </cfRule>
  </conditionalFormatting>
  <conditionalFormatting sqref="J171:L171">
    <cfRule type="expression" dxfId="495" priority="1871">
      <formula>$G171="Serviço"</formula>
    </cfRule>
  </conditionalFormatting>
  <conditionalFormatting sqref="J202:L203">
    <cfRule type="expression" dxfId="494" priority="1457">
      <formula>$G202="Unidade Construtiva"</formula>
    </cfRule>
    <cfRule type="expression" dxfId="493" priority="1458">
      <formula>$G202="Etapa"</formula>
    </cfRule>
  </conditionalFormatting>
  <conditionalFormatting sqref="J431:L431">
    <cfRule type="expression" dxfId="492" priority="3019">
      <formula>$G431="Serviço"</formula>
    </cfRule>
  </conditionalFormatting>
  <conditionalFormatting sqref="J431:L432">
    <cfRule type="expression" dxfId="491" priority="3020">
      <formula>$G431="Célula Construtiva"</formula>
    </cfRule>
    <cfRule type="expression" dxfId="490" priority="3021">
      <formula>$G431="Unidade Construtiva"</formula>
    </cfRule>
  </conditionalFormatting>
  <conditionalFormatting sqref="J441:L442">
    <cfRule type="expression" dxfId="489" priority="25">
      <formula>$G441="Célula Construtiva"</formula>
    </cfRule>
    <cfRule type="expression" dxfId="488" priority="26">
      <formula>$G441="Unidade Construtiva"</formula>
    </cfRule>
  </conditionalFormatting>
  <conditionalFormatting sqref="J10:M10">
    <cfRule type="expression" dxfId="487" priority="3646">
      <formula>$G10="Etapa"</formula>
    </cfRule>
  </conditionalFormatting>
  <conditionalFormatting sqref="J163:M164">
    <cfRule type="expression" dxfId="486" priority="1693">
      <formula>$G163="Unidade Construtiva"</formula>
    </cfRule>
    <cfRule type="expression" dxfId="485" priority="1694">
      <formula>$G163="Etapa"</formula>
    </cfRule>
  </conditionalFormatting>
  <conditionalFormatting sqref="J168:M170 G191:M193">
    <cfRule type="expression" dxfId="484" priority="3704">
      <formula>$G168="Célula Construtiva"</formula>
    </cfRule>
  </conditionalFormatting>
  <conditionalFormatting sqref="J168:M170 J191:M193">
    <cfRule type="expression" dxfId="483" priority="3703">
      <formula>$G168="Serviço"</formula>
    </cfRule>
  </conditionalFormatting>
  <conditionalFormatting sqref="J204:M208">
    <cfRule type="expression" dxfId="482" priority="1405">
      <formula>$G204="Unidade Construtiva"</formula>
    </cfRule>
    <cfRule type="expression" dxfId="481" priority="1406">
      <formula>$G204="Etapa"</formula>
    </cfRule>
  </conditionalFormatting>
  <conditionalFormatting sqref="J431:M432">
    <cfRule type="expression" dxfId="480" priority="3022">
      <formula>$G431="Etapa"</formula>
    </cfRule>
  </conditionalFormatting>
  <conditionalFormatting sqref="J441:M442">
    <cfRule type="expression" dxfId="479" priority="27">
      <formula>$G441="Etapa"</formula>
    </cfRule>
  </conditionalFormatting>
  <conditionalFormatting sqref="K65:K70">
    <cfRule type="expression" dxfId="478" priority="3346">
      <formula>$G65="Etapa"</formula>
    </cfRule>
  </conditionalFormatting>
  <conditionalFormatting sqref="K343">
    <cfRule type="expression" dxfId="477" priority="97">
      <formula>$G343="Etapa"</formula>
    </cfRule>
  </conditionalFormatting>
  <conditionalFormatting sqref="K449:L449">
    <cfRule type="expression" dxfId="476" priority="3047">
      <formula>$G449="Serviço"</formula>
    </cfRule>
    <cfRule type="expression" dxfId="475" priority="3048">
      <formula>$G449="Célula Construtiva"</formula>
    </cfRule>
    <cfRule type="expression" dxfId="474" priority="3049">
      <formula>$G449="Unidade Construtiva"</formula>
    </cfRule>
    <cfRule type="expression" dxfId="473" priority="3050">
      <formula>$G449="Etapa"</formula>
    </cfRule>
  </conditionalFormatting>
  <conditionalFormatting sqref="K194:M198">
    <cfRule type="expression" dxfId="472" priority="2127">
      <formula>$G194="Serviço"</formula>
    </cfRule>
    <cfRule type="expression" dxfId="471" priority="2128">
      <formula>$G194="Célula Construtiva"</formula>
    </cfRule>
    <cfRule type="expression" dxfId="470" priority="2129">
      <formula>$G194="Unidade Construtiva"</formula>
    </cfRule>
    <cfRule type="expression" dxfId="469" priority="2130">
      <formula>$G194="Etapa"</formula>
    </cfRule>
  </conditionalFormatting>
  <conditionalFormatting sqref="L6">
    <cfRule type="expression" dxfId="468" priority="134">
      <formula>$G6="Etapa"</formula>
    </cfRule>
  </conditionalFormatting>
  <conditionalFormatting sqref="L7">
    <cfRule type="expression" dxfId="467" priority="136">
      <formula>$G7="Célula Construtiva"</formula>
    </cfRule>
    <cfRule type="expression" dxfId="466" priority="137">
      <formula>$G7="Unidade Construtiva"</formula>
    </cfRule>
    <cfRule type="expression" dxfId="465" priority="138">
      <formula>$G7="Etapa"</formula>
    </cfRule>
  </conditionalFormatting>
  <conditionalFormatting sqref="L10">
    <cfRule type="expression" dxfId="464" priority="140">
      <formula>$G10="Célula Construtiva"</formula>
    </cfRule>
    <cfRule type="expression" dxfId="463" priority="141">
      <formula>$G10="Unidade Construtiva"</formula>
    </cfRule>
    <cfRule type="expression" dxfId="462" priority="142">
      <formula>$G10="Etapa"</formula>
    </cfRule>
  </conditionalFormatting>
  <conditionalFormatting sqref="L12">
    <cfRule type="expression" dxfId="461" priority="144">
      <formula>$G12="Célula Construtiva"</formula>
    </cfRule>
    <cfRule type="expression" dxfId="460" priority="145">
      <formula>$G12="Unidade Construtiva"</formula>
    </cfRule>
    <cfRule type="expression" dxfId="459" priority="146">
      <formula>$G12="Etapa"</formula>
    </cfRule>
  </conditionalFormatting>
  <conditionalFormatting sqref="L15">
    <cfRule type="expression" dxfId="458" priority="148">
      <formula>$G15="Célula Construtiva"</formula>
    </cfRule>
    <cfRule type="expression" dxfId="457" priority="149">
      <formula>$G15="Unidade Construtiva"</formula>
    </cfRule>
    <cfRule type="expression" dxfId="456" priority="150">
      <formula>$G15="Etapa"</formula>
    </cfRule>
  </conditionalFormatting>
  <conditionalFormatting sqref="L18">
    <cfRule type="expression" dxfId="455" priority="152">
      <formula>$G18="Célula Construtiva"</formula>
    </cfRule>
    <cfRule type="expression" dxfId="454" priority="153">
      <formula>$G18="Unidade Construtiva"</formula>
    </cfRule>
    <cfRule type="expression" dxfId="453" priority="154">
      <formula>$G18="Etapa"</formula>
    </cfRule>
  </conditionalFormatting>
  <conditionalFormatting sqref="L23">
    <cfRule type="expression" dxfId="452" priority="123">
      <formula>$G23="Etapa"</formula>
    </cfRule>
  </conditionalFormatting>
  <conditionalFormatting sqref="L24">
    <cfRule type="expression" dxfId="451" priority="125">
      <formula>$G24="Célula Construtiva"</formula>
    </cfRule>
    <cfRule type="expression" dxfId="450" priority="126">
      <formula>$G24="Unidade Construtiva"</formula>
    </cfRule>
    <cfRule type="expression" dxfId="449" priority="127">
      <formula>$G24="Etapa"</formula>
    </cfRule>
  </conditionalFormatting>
  <conditionalFormatting sqref="L29">
    <cfRule type="expression" dxfId="448" priority="130">
      <formula>$G29="Célula Construtiva"</formula>
    </cfRule>
    <cfRule type="expression" dxfId="447" priority="131">
      <formula>$G29="Unidade Construtiva"</formula>
    </cfRule>
    <cfRule type="expression" dxfId="446" priority="132">
      <formula>$G29="Etapa"</formula>
    </cfRule>
  </conditionalFormatting>
  <conditionalFormatting sqref="L31">
    <cfRule type="expression" dxfId="445" priority="156">
      <formula>$G31="Etapa"</formula>
    </cfRule>
  </conditionalFormatting>
  <conditionalFormatting sqref="L32">
    <cfRule type="expression" dxfId="444" priority="157">
      <formula>$G32="Célula Construtiva"</formula>
    </cfRule>
    <cfRule type="expression" dxfId="443" priority="158">
      <formula>$G32="Unidade Construtiva"</formula>
    </cfRule>
    <cfRule type="expression" dxfId="442" priority="159">
      <formula>$G32="Etapa"</formula>
    </cfRule>
  </conditionalFormatting>
  <conditionalFormatting sqref="L34">
    <cfRule type="expression" dxfId="441" priority="160">
      <formula>$G34="Célula Construtiva"</formula>
    </cfRule>
    <cfRule type="expression" dxfId="440" priority="161">
      <formula>$G34="Unidade Construtiva"</formula>
    </cfRule>
    <cfRule type="expression" dxfId="439" priority="162">
      <formula>$G34="Etapa"</formula>
    </cfRule>
  </conditionalFormatting>
  <conditionalFormatting sqref="L36">
    <cfRule type="expression" dxfId="438" priority="163">
      <formula>$G36="Célula Construtiva"</formula>
    </cfRule>
    <cfRule type="expression" dxfId="437" priority="164">
      <formula>$G36="Unidade Construtiva"</formula>
    </cfRule>
    <cfRule type="expression" dxfId="436" priority="165">
      <formula>$G36="Etapa"</formula>
    </cfRule>
  </conditionalFormatting>
  <conditionalFormatting sqref="L38">
    <cfRule type="expression" dxfId="435" priority="166">
      <formula>$G38="Célula Construtiva"</formula>
    </cfRule>
    <cfRule type="expression" dxfId="434" priority="167">
      <formula>$G38="Unidade Construtiva"</formula>
    </cfRule>
    <cfRule type="expression" dxfId="433" priority="168">
      <formula>$G38="Etapa"</formula>
    </cfRule>
  </conditionalFormatting>
  <conditionalFormatting sqref="L41">
    <cfRule type="expression" dxfId="432" priority="169">
      <formula>$G41="Etapa"</formula>
    </cfRule>
  </conditionalFormatting>
  <conditionalFormatting sqref="L42">
    <cfRule type="expression" dxfId="431" priority="170">
      <formula>$G42="Célula Construtiva"</formula>
    </cfRule>
    <cfRule type="expression" dxfId="430" priority="171">
      <formula>$G42="Unidade Construtiva"</formula>
    </cfRule>
    <cfRule type="expression" dxfId="429" priority="172">
      <formula>$G42="Etapa"</formula>
    </cfRule>
  </conditionalFormatting>
  <conditionalFormatting sqref="L45">
    <cfRule type="expression" dxfId="428" priority="173">
      <formula>$G45="Célula Construtiva"</formula>
    </cfRule>
    <cfRule type="expression" dxfId="427" priority="174">
      <formula>$G45="Unidade Construtiva"</formula>
    </cfRule>
    <cfRule type="expression" dxfId="426" priority="175">
      <formula>$G45="Etapa"</formula>
    </cfRule>
  </conditionalFormatting>
  <conditionalFormatting sqref="L47">
    <cfRule type="expression" dxfId="425" priority="176">
      <formula>$G47="Célula Construtiva"</formula>
    </cfRule>
    <cfRule type="expression" dxfId="424" priority="177">
      <formula>$G47="Unidade Construtiva"</formula>
    </cfRule>
    <cfRule type="expression" dxfId="423" priority="178">
      <formula>$G47="Etapa"</formula>
    </cfRule>
  </conditionalFormatting>
  <conditionalFormatting sqref="L49">
    <cfRule type="expression" dxfId="422" priority="182">
      <formula>$G49="Célula Construtiva"</formula>
    </cfRule>
    <cfRule type="expression" dxfId="421" priority="183">
      <formula>$G49="Unidade Construtiva"</formula>
    </cfRule>
    <cfRule type="expression" dxfId="420" priority="184">
      <formula>$G49="Etapa"</formula>
    </cfRule>
  </conditionalFormatting>
  <conditionalFormatting sqref="L51">
    <cfRule type="expression" dxfId="419" priority="185">
      <formula>$G51="Célula Construtiva"</formula>
    </cfRule>
    <cfRule type="expression" dxfId="418" priority="186">
      <formula>$G51="Unidade Construtiva"</formula>
    </cfRule>
    <cfRule type="expression" dxfId="417" priority="187">
      <formula>$G51="Etapa"</formula>
    </cfRule>
  </conditionalFormatting>
  <conditionalFormatting sqref="L59">
    <cfRule type="expression" dxfId="416" priority="188">
      <formula>$G59="Célula Construtiva"</formula>
    </cfRule>
    <cfRule type="expression" dxfId="415" priority="189">
      <formula>$G59="Unidade Construtiva"</formula>
    </cfRule>
    <cfRule type="expression" dxfId="414" priority="190">
      <formula>$G59="Etapa"</formula>
    </cfRule>
  </conditionalFormatting>
  <conditionalFormatting sqref="L140">
    <cfRule type="expression" dxfId="413" priority="60">
      <formula>$G140="Célula Construtiva"</formula>
    </cfRule>
    <cfRule type="expression" dxfId="412" priority="61">
      <formula>$G140="Unidade Construtiva"</formula>
    </cfRule>
    <cfRule type="expression" dxfId="411" priority="62">
      <formula>$G140="Etapa"</formula>
    </cfRule>
  </conditionalFormatting>
  <conditionalFormatting sqref="L158:L159">
    <cfRule type="expression" dxfId="410" priority="1749">
      <formula>$G158="Unidade Construtiva"</formula>
    </cfRule>
    <cfRule type="expression" dxfId="409" priority="1750">
      <formula>$G158="Etapa"</formula>
    </cfRule>
  </conditionalFormatting>
  <conditionalFormatting sqref="L241">
    <cfRule type="expression" dxfId="408" priority="99">
      <formula>$G241="Célula Construtiva"</formula>
    </cfRule>
    <cfRule type="expression" dxfId="407" priority="100">
      <formula>$G241="Unidade Construtiva"</formula>
    </cfRule>
    <cfRule type="expression" dxfId="406" priority="101">
      <formula>$G241="Etapa"</formula>
    </cfRule>
  </conditionalFormatting>
  <conditionalFormatting sqref="L286">
    <cfRule type="expression" dxfId="405" priority="120">
      <formula>$G286="Célula Construtiva"</formula>
    </cfRule>
    <cfRule type="expression" dxfId="404" priority="121">
      <formula>$G286="Unidade Construtiva"</formula>
    </cfRule>
    <cfRule type="expression" dxfId="403" priority="122">
      <formula>$G286="Etapa"</formula>
    </cfRule>
  </conditionalFormatting>
  <conditionalFormatting sqref="L289">
    <cfRule type="expression" dxfId="402" priority="111">
      <formula>$G289="Célula Construtiva"</formula>
    </cfRule>
    <cfRule type="expression" dxfId="401" priority="112">
      <formula>$G289="Unidade Construtiva"</formula>
    </cfRule>
    <cfRule type="expression" dxfId="400" priority="113">
      <formula>$G289="Etapa"</formula>
    </cfRule>
  </conditionalFormatting>
  <conditionalFormatting sqref="L292">
    <cfRule type="expression" dxfId="399" priority="105">
      <formula>$G292="Célula Construtiva"</formula>
    </cfRule>
    <cfRule type="expression" dxfId="398" priority="106">
      <formula>$G292="Unidade Construtiva"</formula>
    </cfRule>
    <cfRule type="expression" dxfId="397" priority="107">
      <formula>$G292="Etapa"</formula>
    </cfRule>
    <cfRule type="expression" dxfId="396" priority="108">
      <formula>$G292="Célula Construtiva"</formula>
    </cfRule>
    <cfRule type="expression" dxfId="395" priority="109">
      <formula>$G292="Unidade Construtiva"</formula>
    </cfRule>
    <cfRule type="expression" dxfId="394" priority="110">
      <formula>$G292="Etapa"</formula>
    </cfRule>
  </conditionalFormatting>
  <conditionalFormatting sqref="L294">
    <cfRule type="expression" dxfId="393" priority="114">
      <formula>$G294="Célula Construtiva"</formula>
    </cfRule>
    <cfRule type="expression" dxfId="392" priority="115">
      <formula>$G294="Unidade Construtiva"</formula>
    </cfRule>
    <cfRule type="expression" dxfId="391" priority="116">
      <formula>$G294="Etapa"</formula>
    </cfRule>
    <cfRule type="expression" dxfId="390" priority="117">
      <formula>$G294="Célula Construtiva"</formula>
    </cfRule>
    <cfRule type="expression" dxfId="389" priority="118">
      <formula>$G294="Unidade Construtiva"</formula>
    </cfRule>
    <cfRule type="expression" dxfId="388" priority="119">
      <formula>$G294="Etapa"</formula>
    </cfRule>
  </conditionalFormatting>
  <conditionalFormatting sqref="L315">
    <cfRule type="expression" dxfId="387" priority="103">
      <formula>$G315="Unidade Construtiva"</formula>
    </cfRule>
    <cfRule type="expression" dxfId="386" priority="104">
      <formula>$G315="Etapa"</formula>
    </cfRule>
  </conditionalFormatting>
  <conditionalFormatting sqref="L333">
    <cfRule type="expression" dxfId="385" priority="96">
      <formula>$G333="Etapa"</formula>
    </cfRule>
  </conditionalFormatting>
  <conditionalFormatting sqref="L338">
    <cfRule type="expression" dxfId="384" priority="24">
      <formula>$G338="Etapa"</formula>
    </cfRule>
  </conditionalFormatting>
  <conditionalFormatting sqref="L340">
    <cfRule type="expression" dxfId="383" priority="93">
      <formula>$G340="Célula Construtiva"</formula>
    </cfRule>
    <cfRule type="expression" dxfId="382" priority="94">
      <formula>$G340="Unidade Construtiva"</formula>
    </cfRule>
    <cfRule type="expression" dxfId="381" priority="95">
      <formula>$G340="Etapa"</formula>
    </cfRule>
  </conditionalFormatting>
  <conditionalFormatting sqref="L342">
    <cfRule type="expression" dxfId="380" priority="90">
      <formula>$G342="Célula Construtiva"</formula>
    </cfRule>
    <cfRule type="expression" dxfId="379" priority="91">
      <formula>$G342="Unidade Construtiva"</formula>
    </cfRule>
    <cfRule type="expression" dxfId="378" priority="92">
      <formula>$G342="Etapa"</formula>
    </cfRule>
  </conditionalFormatting>
  <conditionalFormatting sqref="L345">
    <cfRule type="expression" dxfId="377" priority="84">
      <formula>$G345="Célula Construtiva"</formula>
    </cfRule>
    <cfRule type="expression" dxfId="376" priority="85">
      <formula>$G345="Unidade Construtiva"</formula>
    </cfRule>
    <cfRule type="expression" dxfId="375" priority="86">
      <formula>$G345="Etapa"</formula>
    </cfRule>
  </conditionalFormatting>
  <conditionalFormatting sqref="L349">
    <cfRule type="expression" dxfId="374" priority="87">
      <formula>$G349="Célula Construtiva"</formula>
    </cfRule>
    <cfRule type="expression" dxfId="373" priority="88">
      <formula>$G349="Unidade Construtiva"</formula>
    </cfRule>
    <cfRule type="expression" dxfId="372" priority="89">
      <formula>$G349="Etapa"</formula>
    </cfRule>
  </conditionalFormatting>
  <conditionalFormatting sqref="L351">
    <cfRule type="expression" dxfId="371" priority="75">
      <formula>$G351="Célula Construtiva"</formula>
    </cfRule>
    <cfRule type="expression" dxfId="370" priority="76">
      <formula>$G351="Unidade Construtiva"</formula>
    </cfRule>
    <cfRule type="expression" dxfId="369" priority="77">
      <formula>$G351="Etapa"</formula>
    </cfRule>
    <cfRule type="expression" dxfId="368" priority="81">
      <formula>$G351="Célula Construtiva"</formula>
    </cfRule>
    <cfRule type="expression" dxfId="367" priority="82">
      <formula>$G351="Unidade Construtiva"</formula>
    </cfRule>
    <cfRule type="expression" dxfId="366" priority="83">
      <formula>$G351="Etapa"</formula>
    </cfRule>
  </conditionalFormatting>
  <conditionalFormatting sqref="L356">
    <cfRule type="expression" dxfId="365" priority="72">
      <formula>$G356="Célula Construtiva"</formula>
    </cfRule>
    <cfRule type="expression" dxfId="364" priority="73">
      <formula>$G356="Unidade Construtiva"</formula>
    </cfRule>
    <cfRule type="expression" dxfId="363" priority="74">
      <formula>$G356="Etapa"</formula>
    </cfRule>
    <cfRule type="expression" dxfId="362" priority="78">
      <formula>$G356="Célula Construtiva"</formula>
    </cfRule>
    <cfRule type="expression" dxfId="361" priority="79">
      <formula>$G356="Unidade Construtiva"</formula>
    </cfRule>
    <cfRule type="expression" dxfId="360" priority="80">
      <formula>$G356="Etapa"</formula>
    </cfRule>
  </conditionalFormatting>
  <conditionalFormatting sqref="L360">
    <cfRule type="expression" dxfId="359" priority="66">
      <formula>$G360="Célula Construtiva"</formula>
    </cfRule>
    <cfRule type="expression" dxfId="358" priority="67">
      <formula>$G360="Unidade Construtiva"</formula>
    </cfRule>
    <cfRule type="expression" dxfId="357" priority="68">
      <formula>$G360="Etapa"</formula>
    </cfRule>
    <cfRule type="expression" dxfId="356" priority="69">
      <formula>$G360="Célula Construtiva"</formula>
    </cfRule>
    <cfRule type="expression" dxfId="355" priority="70">
      <formula>$G360="Unidade Construtiva"</formula>
    </cfRule>
    <cfRule type="expression" dxfId="354" priority="71">
      <formula>$G360="Etapa"</formula>
    </cfRule>
  </conditionalFormatting>
  <conditionalFormatting sqref="L365">
    <cfRule type="expression" dxfId="353" priority="18">
      <formula>$G365="Célula Construtiva"</formula>
    </cfRule>
    <cfRule type="expression" dxfId="352" priority="19">
      <formula>$G365="Unidade Construtiva"</formula>
    </cfRule>
    <cfRule type="expression" dxfId="351" priority="20">
      <formula>$G365="Etapa"</formula>
    </cfRule>
    <cfRule type="expression" dxfId="350" priority="21">
      <formula>$G365="Célula Construtiva"</formula>
    </cfRule>
    <cfRule type="expression" dxfId="349" priority="22">
      <formula>$G365="Unidade Construtiva"</formula>
    </cfRule>
    <cfRule type="expression" dxfId="348" priority="23">
      <formula>$G365="Etapa"</formula>
    </cfRule>
  </conditionalFormatting>
  <conditionalFormatting sqref="L367">
    <cfRule type="expression" dxfId="347" priority="63">
      <formula>$G367="Célula Construtiva"</formula>
    </cfRule>
    <cfRule type="expression" dxfId="346" priority="64">
      <formula>$G367="Unidade Construtiva"</formula>
    </cfRule>
    <cfRule type="expression" dxfId="345" priority="65">
      <formula>$G367="Etapa"</formula>
    </cfRule>
  </conditionalFormatting>
  <conditionalFormatting sqref="L106:M107">
    <cfRule type="expression" dxfId="344" priority="3226">
      <formula>$G106="Etapa"</formula>
    </cfRule>
  </conditionalFormatting>
  <conditionalFormatting sqref="L157:M157">
    <cfRule type="expression" dxfId="343" priority="1797">
      <formula>$G157="Unidade Construtiva"</formula>
    </cfRule>
    <cfRule type="expression" dxfId="342" priority="1798">
      <formula>$G157="Etapa"</formula>
    </cfRule>
  </conditionalFormatting>
  <conditionalFormatting sqref="L316:M320">
    <cfRule type="expression" dxfId="341" priority="1189">
      <formula>$G316="Unidade Construtiva"</formula>
    </cfRule>
    <cfRule type="expression" dxfId="340" priority="1190">
      <formula>$G316="Etapa"</formula>
    </cfRule>
  </conditionalFormatting>
  <conditionalFormatting sqref="M8:M9">
    <cfRule type="expression" dxfId="339" priority="3538">
      <formula>$G8="Etapa"</formula>
    </cfRule>
  </conditionalFormatting>
  <conditionalFormatting sqref="M13:M14">
    <cfRule type="expression" dxfId="338" priority="181">
      <formula>$G13="Etapa"</formula>
    </cfRule>
  </conditionalFormatting>
  <conditionalFormatting sqref="M16:M17">
    <cfRule type="expression" dxfId="337" priority="297">
      <formula>$G16="Etapa"</formula>
    </cfRule>
  </conditionalFormatting>
  <conditionalFormatting sqref="M19:M20">
    <cfRule type="expression" dxfId="336" priority="179">
      <formula>$G19="Etapa"</formula>
    </cfRule>
  </conditionalFormatting>
  <conditionalFormatting sqref="M21">
    <cfRule type="expression" dxfId="335" priority="3574">
      <formula>$G21="Etapa"</formula>
    </cfRule>
  </conditionalFormatting>
  <conditionalFormatting sqref="M37">
    <cfRule type="expression" dxfId="334" priority="210">
      <formula>$G37="Célula Construtiva"</formula>
    </cfRule>
    <cfRule type="expression" dxfId="333" priority="211">
      <formula>$G37="Unidade Construtiva"</formula>
    </cfRule>
    <cfRule type="expression" dxfId="332" priority="212">
      <formula>$G37="Etapa"</formula>
    </cfRule>
  </conditionalFormatting>
  <conditionalFormatting sqref="M44">
    <cfRule type="expression" dxfId="331" priority="203">
      <formula>$G44="Célula Construtiva"</formula>
    </cfRule>
    <cfRule type="expression" dxfId="330" priority="204">
      <formula>$G44="Unidade Construtiva"</formula>
    </cfRule>
    <cfRule type="expression" dxfId="329" priority="205">
      <formula>$G44="Etapa"</formula>
    </cfRule>
    <cfRule type="expression" dxfId="328" priority="206">
      <formula>$G44="Célula Construtiva"</formula>
    </cfRule>
    <cfRule type="expression" dxfId="327" priority="207">
      <formula>$G44="Unidade Construtiva"</formula>
    </cfRule>
    <cfRule type="expression" dxfId="326" priority="208">
      <formula>$G44="Etapa"</formula>
    </cfRule>
  </conditionalFormatting>
  <conditionalFormatting sqref="M46">
    <cfRule type="expression" dxfId="325" priority="200">
      <formula>$G46="Célula Construtiva"</formula>
    </cfRule>
    <cfRule type="expression" dxfId="324" priority="201">
      <formula>$G46="Unidade Construtiva"</formula>
    </cfRule>
    <cfRule type="expression" dxfId="323" priority="202">
      <formula>$G46="Etapa"</formula>
    </cfRule>
  </conditionalFormatting>
  <conditionalFormatting sqref="M48">
    <cfRule type="expression" dxfId="322" priority="194">
      <formula>$G48="Célula Construtiva"</formula>
    </cfRule>
    <cfRule type="expression" dxfId="321" priority="195">
      <formula>$G48="Unidade Construtiva"</formula>
    </cfRule>
    <cfRule type="expression" dxfId="320" priority="196">
      <formula>$G48="Etapa"</formula>
    </cfRule>
    <cfRule type="expression" dxfId="319" priority="197">
      <formula>$G48="Célula Construtiva"</formula>
    </cfRule>
    <cfRule type="expression" dxfId="318" priority="198">
      <formula>$G48="Unidade Construtiva"</formula>
    </cfRule>
    <cfRule type="expression" dxfId="317" priority="199">
      <formula>$G48="Etapa"</formula>
    </cfRule>
  </conditionalFormatting>
  <conditionalFormatting sqref="M50">
    <cfRule type="expression" dxfId="316" priority="193">
      <formula>$G50="Etapa"</formula>
    </cfRule>
  </conditionalFormatting>
  <conditionalFormatting sqref="M65:M70">
    <cfRule type="expression" dxfId="315" priority="293">
      <formula>$G65="Célula Construtiva"</formula>
    </cfRule>
    <cfRule type="expression" dxfId="314" priority="294">
      <formula>$G65="Unidade Construtiva"</formula>
    </cfRule>
  </conditionalFormatting>
  <conditionalFormatting sqref="M77:M78">
    <cfRule type="expression" dxfId="313" priority="291">
      <formula>$G77="Célula Construtiva"</formula>
    </cfRule>
    <cfRule type="expression" dxfId="312" priority="292">
      <formula>$G77="Unidade Construtiva"</formula>
    </cfRule>
  </conditionalFormatting>
  <conditionalFormatting sqref="M80">
    <cfRule type="expression" dxfId="311" priority="289">
      <formula>$G80="Célula Construtiva"</formula>
    </cfRule>
    <cfRule type="expression" dxfId="310" priority="290">
      <formula>$G80="Unidade Construtiva"</formula>
    </cfRule>
  </conditionalFormatting>
  <conditionalFormatting sqref="M84">
    <cfRule type="expression" dxfId="309" priority="285">
      <formula>$G84="Célula Construtiva"</formula>
    </cfRule>
    <cfRule type="expression" dxfId="308" priority="286">
      <formula>$G84="Unidade Construtiva"</formula>
    </cfRule>
  </conditionalFormatting>
  <conditionalFormatting sqref="M86">
    <cfRule type="expression" dxfId="307" priority="283">
      <formula>$G86="Célula Construtiva"</formula>
    </cfRule>
    <cfRule type="expression" dxfId="306" priority="284">
      <formula>$G86="Unidade Construtiva"</formula>
    </cfRule>
  </conditionalFormatting>
  <conditionalFormatting sqref="M88">
    <cfRule type="expression" dxfId="305" priority="281">
      <formula>$G88="Célula Construtiva"</formula>
    </cfRule>
    <cfRule type="expression" dxfId="304" priority="282">
      <formula>$G88="Unidade Construtiva"</formula>
    </cfRule>
  </conditionalFormatting>
  <conditionalFormatting sqref="M90">
    <cfRule type="expression" dxfId="303" priority="279">
      <formula>$G90="Célula Construtiva"</formula>
    </cfRule>
    <cfRule type="expression" dxfId="302" priority="280">
      <formula>$G90="Unidade Construtiva"</formula>
    </cfRule>
  </conditionalFormatting>
  <conditionalFormatting sqref="M92">
    <cfRule type="expression" dxfId="301" priority="277">
      <formula>$G92="Célula Construtiva"</formula>
    </cfRule>
    <cfRule type="expression" dxfId="300" priority="278">
      <formula>$G92="Unidade Construtiva"</formula>
    </cfRule>
  </conditionalFormatting>
  <conditionalFormatting sqref="M94">
    <cfRule type="expression" dxfId="299" priority="275">
      <formula>$G94="Célula Construtiva"</formula>
    </cfRule>
    <cfRule type="expression" dxfId="298" priority="276">
      <formula>$G94="Unidade Construtiva"</formula>
    </cfRule>
  </conditionalFormatting>
  <conditionalFormatting sqref="M96">
    <cfRule type="expression" dxfId="297" priority="273">
      <formula>$G96="Célula Construtiva"</formula>
    </cfRule>
    <cfRule type="expression" dxfId="296" priority="274">
      <formula>$G96="Unidade Construtiva"</formula>
    </cfRule>
  </conditionalFormatting>
  <conditionalFormatting sqref="M98:M107">
    <cfRule type="expression" dxfId="295" priority="272">
      <formula>$G98="Unidade Construtiva"</formula>
    </cfRule>
  </conditionalFormatting>
  <conditionalFormatting sqref="M98:M108">
    <cfRule type="expression" dxfId="294" priority="14">
      <formula>$G98="Célula Construtiva"</formula>
    </cfRule>
  </conditionalFormatting>
  <conditionalFormatting sqref="M108">
    <cfRule type="expression" dxfId="293" priority="11">
      <formula>$G108="Unidade Construtiva"</formula>
    </cfRule>
    <cfRule type="expression" dxfId="292" priority="12">
      <formula>$G108="Etapa"</formula>
    </cfRule>
  </conditionalFormatting>
  <conditionalFormatting sqref="M141:M154">
    <cfRule type="expression" dxfId="291" priority="17">
      <formula>$G141="Célula Construtiva"</formula>
    </cfRule>
  </conditionalFormatting>
  <conditionalFormatting sqref="M154">
    <cfRule type="expression" dxfId="290" priority="15">
      <formula>$G154="Unidade Construtiva"</formula>
    </cfRule>
    <cfRule type="expression" dxfId="289" priority="16">
      <formula>$G154="Etapa"</formula>
    </cfRule>
  </conditionalFormatting>
  <conditionalFormatting sqref="M157:M167">
    <cfRule type="expression" dxfId="288" priority="249">
      <formula>$G157="Serviço"</formula>
    </cfRule>
    <cfRule type="expression" dxfId="287" priority="250">
      <formula>$G157="Célula Construtiva"</formula>
    </cfRule>
  </conditionalFormatting>
  <conditionalFormatting sqref="M158:M162">
    <cfRule type="expression" dxfId="286" priority="1745">
      <formula>$G158="Unidade Construtiva"</formula>
    </cfRule>
    <cfRule type="expression" dxfId="285" priority="1746">
      <formula>$G158="Etapa"</formula>
    </cfRule>
  </conditionalFormatting>
  <conditionalFormatting sqref="M165:M170 G191:M193 G15:M15 G18:M18">
    <cfRule type="expression" dxfId="284" priority="3706">
      <formula>$G15="Etapa"</formula>
    </cfRule>
  </conditionalFormatting>
  <conditionalFormatting sqref="M165:M170 J168:L170 G191:M193">
    <cfRule type="expression" dxfId="283" priority="3705">
      <formula>$G165="Unidade Construtiva"</formula>
    </cfRule>
  </conditionalFormatting>
  <conditionalFormatting sqref="M202:M203">
    <cfRule type="expression" dxfId="282" priority="245">
      <formula>$G202="Unidade Construtiva"</formula>
    </cfRule>
    <cfRule type="expression" dxfId="281" priority="246">
      <formula>$G202="Etapa"</formula>
    </cfRule>
  </conditionalFormatting>
  <conditionalFormatting sqref="M221:M222">
    <cfRule type="expression" dxfId="280" priority="258">
      <formula>$G221="Etapa"</formula>
    </cfRule>
  </conditionalFormatting>
  <conditionalFormatting sqref="M235">
    <cfRule type="expression" dxfId="279" priority="7">
      <formula>$G235="Serviço"</formula>
    </cfRule>
  </conditionalFormatting>
  <conditionalFormatting sqref="M255:M259">
    <cfRule type="expression" dxfId="278" priority="222">
      <formula>$G255="Célula Construtiva"</formula>
    </cfRule>
  </conditionalFormatting>
  <conditionalFormatting sqref="M278 M280:M281">
    <cfRule type="expression" dxfId="277" priority="220">
      <formula>$G278="Célula Construtiva"</formula>
    </cfRule>
  </conditionalFormatting>
  <conditionalFormatting sqref="M306:M324">
    <cfRule type="expression" dxfId="276" priority="229">
      <formula>$G306="Célula Construtiva"</formula>
    </cfRule>
  </conditionalFormatting>
  <conditionalFormatting sqref="M327:M329 M331:M332">
    <cfRule type="expression" dxfId="275" priority="259">
      <formula>$G327="Etapa"</formula>
    </cfRule>
  </conditionalFormatting>
  <conditionalFormatting sqref="M383:M397">
    <cfRule type="expression" dxfId="274" priority="260">
      <formula>$G383="Célula Construtiva"</formula>
    </cfRule>
    <cfRule type="expression" dxfId="273" priority="261">
      <formula>$G383="Unidade Construtiva"</formula>
    </cfRule>
  </conditionalFormatting>
  <conditionalFormatting sqref="M388:M390">
    <cfRule type="expression" dxfId="272" priority="262">
      <formula>$G388="Etapa"</formula>
    </cfRule>
  </conditionalFormatting>
  <conditionalFormatting sqref="M431:M435">
    <cfRule type="expression" dxfId="271" priority="267">
      <formula>$G431="Serviço"</formula>
    </cfRule>
    <cfRule type="expression" dxfId="270" priority="268">
      <formula>$G431="Célula Construtiva"</formula>
    </cfRule>
    <cfRule type="expression" dxfId="269" priority="269">
      <formula>$G431="Unidade Construtiva"</formula>
    </cfRule>
  </conditionalFormatting>
  <conditionalFormatting sqref="M439:M440">
    <cfRule type="expression" dxfId="268" priority="266">
      <formula>$G439="Etapa"</formula>
    </cfRule>
  </conditionalFormatting>
  <conditionalFormatting sqref="M439:M449">
    <cfRule type="expression" dxfId="267" priority="263">
      <formula>$G439="Serviço"</formula>
    </cfRule>
    <cfRule type="expression" dxfId="266" priority="264">
      <formula>$G439="Célula Construtiva"</formula>
    </cfRule>
    <cfRule type="expression" dxfId="265" priority="265">
      <formula>$G439="Unidade Construtiva"</formula>
    </cfRule>
  </conditionalFormatting>
  <conditionalFormatting sqref="M445:M449">
    <cfRule type="expression" dxfId="264" priority="270">
      <formula>$G445="Etapa"</formula>
    </cfRule>
  </conditionalFormatting>
  <dataValidations count="1">
    <dataValidation type="list" allowBlank="1" showInputMessage="1" showErrorMessage="1" sqref="G4:G449" xr:uid="{FFC2A81B-9006-4CF1-8A61-CA58677A8C87}">
      <formula1>"UNIDADE CONSTRUTIVA,CÉLULA CONSTRUTIVA,ETAPA,Subetapa,Serviço"</formula1>
    </dataValidation>
  </dataValidations>
  <pageMargins left="0.511811024" right="0.511811024" top="0.78740157499999996" bottom="0.78740157499999996" header="0.31496062000000002" footer="0.31496062000000002"/>
  <pageSetup paperSize="9" scale="51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CB212-6BED-43AB-923B-810335C6D6B4}">
  <sheetPr>
    <tabColor rgb="FF1851D6"/>
    <outlinePr summaryBelow="0" summaryRight="0"/>
    <pageSetUpPr fitToPage="1"/>
  </sheetPr>
  <dimension ref="A1:Q667"/>
  <sheetViews>
    <sheetView showGridLines="0" zoomScale="90" zoomScaleNormal="90" workbookViewId="0">
      <pane xSplit="9" ySplit="3" topLeftCell="J4" activePane="bottomRight" state="frozen"/>
      <selection activeCell="F15" sqref="F15"/>
      <selection pane="topRight" activeCell="F15" sqref="F15"/>
      <selection pane="bottomLeft" activeCell="F15" sqref="F15"/>
      <selection pane="bottomRight" activeCell="G1" sqref="G1:I2"/>
    </sheetView>
  </sheetViews>
  <sheetFormatPr defaultColWidth="8.85546875" defaultRowHeight="18.75" outlineLevelRow="1" x14ac:dyDescent="0.55000000000000004"/>
  <cols>
    <col min="1" max="1" width="7" style="89" hidden="1" customWidth="1"/>
    <col min="2" max="4" width="6.7109375" style="89" hidden="1" customWidth="1"/>
    <col min="5" max="5" width="6.7109375" style="90" hidden="1" customWidth="1"/>
    <col min="6" max="6" width="2" style="90" customWidth="1"/>
    <col min="7" max="7" width="23.7109375" style="58" bestFit="1" customWidth="1"/>
    <col min="8" max="8" width="23.5703125" style="92" customWidth="1"/>
    <col min="9" max="9" width="72.140625" style="58" customWidth="1"/>
    <col min="10" max="11" width="20.5703125" style="99" customWidth="1"/>
    <col min="12" max="12" width="20.5703125" style="122" customWidth="1"/>
    <col min="13" max="13" width="86" style="58" customWidth="1"/>
    <col min="14" max="14" width="9.140625" style="58" customWidth="1"/>
    <col min="15" max="16" width="8.85546875" style="59"/>
    <col min="17" max="17" width="53" style="59" customWidth="1"/>
    <col min="18" max="16384" width="8.85546875" style="59"/>
  </cols>
  <sheetData>
    <row r="1" spans="1:16" s="58" customFormat="1" ht="21.75" customHeight="1" thickBot="1" x14ac:dyDescent="0.6">
      <c r="A1" s="55"/>
      <c r="B1" s="55"/>
      <c r="C1" s="55"/>
      <c r="D1" s="55"/>
      <c r="E1" s="55"/>
      <c r="F1" s="56"/>
      <c r="G1" s="177" t="s">
        <v>653</v>
      </c>
      <c r="H1" s="178"/>
      <c r="I1" s="179"/>
      <c r="J1" s="93"/>
      <c r="K1" s="93"/>
      <c r="L1" s="109"/>
      <c r="M1" s="57"/>
    </row>
    <row r="2" spans="1:16" s="58" customFormat="1" ht="21.75" customHeight="1" x14ac:dyDescent="0.55000000000000004">
      <c r="A2" s="55"/>
      <c r="B2" s="55"/>
      <c r="C2" s="55"/>
      <c r="D2" s="55"/>
      <c r="E2" s="55"/>
      <c r="F2" s="56"/>
      <c r="G2" s="180"/>
      <c r="H2" s="181"/>
      <c r="I2" s="182"/>
      <c r="J2" s="183" t="s">
        <v>170</v>
      </c>
      <c r="K2" s="184"/>
      <c r="L2" s="185"/>
      <c r="M2" s="193" t="s">
        <v>171</v>
      </c>
      <c r="P2" s="59" t="s">
        <v>165</v>
      </c>
    </row>
    <row r="3" spans="1:16" s="58" customFormat="1" ht="21.75" customHeight="1" thickBot="1" x14ac:dyDescent="0.6">
      <c r="A3" s="55" t="s">
        <v>150</v>
      </c>
      <c r="B3" s="55" t="s">
        <v>151</v>
      </c>
      <c r="C3" s="55" t="s">
        <v>152</v>
      </c>
      <c r="D3" s="55" t="s">
        <v>153</v>
      </c>
      <c r="E3" s="55" t="s">
        <v>154</v>
      </c>
      <c r="F3" s="56"/>
      <c r="G3" s="188" t="s">
        <v>240</v>
      </c>
      <c r="H3" s="189"/>
      <c r="I3" s="190"/>
      <c r="J3" s="60" t="s">
        <v>166</v>
      </c>
      <c r="K3" s="61" t="s">
        <v>167</v>
      </c>
      <c r="L3" s="62" t="s">
        <v>168</v>
      </c>
      <c r="M3" s="194"/>
    </row>
    <row r="4" spans="1:16" ht="20.45" customHeight="1" x14ac:dyDescent="0.55000000000000004">
      <c r="A4" s="63">
        <f>IF($G4="UNIDADE CONSTRUTIVA",3,LARGE(A$3:A3,1))</f>
        <v>3</v>
      </c>
      <c r="B4" s="63">
        <f ca="1">IF(G4="UNIDADE CONSTRUTIVA",0,IF(G4="CÉLULA CONSTRUTIVA",OFFSET(B4,-1,0)+1,OFFSET(B4,-1,0)))</f>
        <v>0</v>
      </c>
      <c r="C4" s="63" t="str">
        <f ca="1">IF(G4="CÉLULA CONSTRUTIVA",0,IF(G4="ETAPA",OFFSET(C4,-1,0)+1,OFFSET(C4,-1,0)))</f>
        <v>Etapa</v>
      </c>
      <c r="D4" s="64" t="str">
        <f ca="1">IF(G4="ETAPA",0,IF(G4="SUBETAPA",OFFSET(D4,-1,0)+1,OFFSET(D4,-1,0)))</f>
        <v>Subetapa</v>
      </c>
      <c r="E4" s="64" t="str">
        <f ca="1">IF(G4="Subetapa",0,IF(G4="serviço",OFFSET(E4,-1,0)+1,OFFSET(E4,-1,0)))</f>
        <v>Serviço</v>
      </c>
      <c r="F4" s="65"/>
      <c r="G4" s="66" t="s">
        <v>155</v>
      </c>
      <c r="H4" s="67" t="str">
        <f t="shared" ref="H4:H25" si="0">IF(G4="Unidade Construtiva",TEXT(A4,"00"),IF(G4="Célula Construtiva",TEXT(B4,"00"),IF(G4="Etapa",CONCATENATE(TEXT(B4,"00"),".",TEXT(C4,"000")),IF(G4="Subetapa",CONCATENATE(TEXT(B4,"00"),".",TEXT(C4,"000"),".",TEXT(D4,"000")),IF(G4="Serviço",CONCATENATE(TEXT(B4,"00"),".",TEXT(C4,"000"),".",TEXT(D4,"000"),".",TEXT(E4,"000")),"")))))</f>
        <v>03</v>
      </c>
      <c r="I4" s="77" t="s">
        <v>25</v>
      </c>
      <c r="J4" s="105"/>
      <c r="K4" s="136"/>
      <c r="L4" s="124">
        <f>L5+L22+L40+L54+L74+L108+L132+L155+L169+L181+L192+L212+L231+L255+L275+L316+L335+L382+L393+L411+L445</f>
        <v>87526573.070294827</v>
      </c>
      <c r="M4" s="77"/>
      <c r="N4" s="70"/>
    </row>
    <row r="5" spans="1:16" ht="20.45" customHeight="1" x14ac:dyDescent="0.55000000000000004">
      <c r="A5" s="63">
        <f ca="1">IF($G5="UNIDADE CONSTRUTIVA",OFFSET(A5,0,0)+1,LARGE(A$3:A4,1))</f>
        <v>3</v>
      </c>
      <c r="B5" s="63">
        <f t="shared" ref="B5:B14" ca="1" si="1">IF(G5="UNIDADE CONSTRUTIVA",0,IF(G5="CÉLULA CONSTRUTIVA",OFFSET(B5,-1,0)+1,OFFSET(B5,-1,0)))</f>
        <v>1</v>
      </c>
      <c r="C5" s="63">
        <f t="shared" ref="C5:C14" ca="1" si="2">IF(G5="CÉLULA CONSTRUTIVA",0,IF(G5="ETAPA",OFFSET(C5,-1,0)+1,OFFSET(C5,-1,0)))</f>
        <v>0</v>
      </c>
      <c r="D5" s="64" t="str">
        <f t="shared" ref="D5:D14" ca="1" si="3">IF(G5="ETAPA",0,IF(G5="SUBETAPA",OFFSET(D5,-1,0)+1,OFFSET(D5,-1,0)))</f>
        <v>Subetapa</v>
      </c>
      <c r="E5" s="64" t="str">
        <f t="shared" ref="E5:E14" ca="1" si="4">IF(G5="Subetapa",0,IF(G5="serviço",OFFSET(E5,-1,0)+1,OFFSET(E5,-1,0)))</f>
        <v>Serviço</v>
      </c>
      <c r="F5" s="65"/>
      <c r="G5" s="71" t="s">
        <v>156</v>
      </c>
      <c r="H5" s="67" t="str">
        <f t="shared" ca="1" si="0"/>
        <v>01</v>
      </c>
      <c r="I5" s="72" t="s">
        <v>26</v>
      </c>
      <c r="J5" s="95"/>
      <c r="K5" s="112"/>
      <c r="L5" s="113">
        <f>L6</f>
        <v>150402.20465600002</v>
      </c>
      <c r="M5" s="72"/>
    </row>
    <row r="6" spans="1:16" ht="20.45" customHeight="1" outlineLevel="1" x14ac:dyDescent="0.55000000000000004">
      <c r="A6" s="63">
        <f ca="1">IF($G6="UNIDADE CONSTRUTIVA",OFFSET(A6,0,0)+1,LARGE(A$3:A5,1))</f>
        <v>3</v>
      </c>
      <c r="B6" s="63">
        <f t="shared" ca="1" si="1"/>
        <v>1</v>
      </c>
      <c r="C6" s="63">
        <f t="shared" ca="1" si="2"/>
        <v>1</v>
      </c>
      <c r="D6" s="64">
        <f t="shared" ca="1" si="3"/>
        <v>0</v>
      </c>
      <c r="E6" s="64" t="str">
        <f t="shared" ca="1" si="4"/>
        <v>Serviço</v>
      </c>
      <c r="F6" s="65"/>
      <c r="G6" s="71" t="s">
        <v>157</v>
      </c>
      <c r="H6" s="67" t="str">
        <f t="shared" ca="1" si="0"/>
        <v>01.001</v>
      </c>
      <c r="I6" s="72" t="s">
        <v>26</v>
      </c>
      <c r="J6" s="95"/>
      <c r="K6" s="112"/>
      <c r="L6" s="126">
        <f>SUM(L7:L21)/2</f>
        <v>150402.20465600002</v>
      </c>
      <c r="M6" s="72"/>
    </row>
    <row r="7" spans="1:16" ht="20.45" customHeight="1" outlineLevel="1" x14ac:dyDescent="0.55000000000000004">
      <c r="A7" s="63">
        <f ca="1">IF($G7="UNIDADE CONSTRUTIVA",OFFSET(A7,0,0)+1,LARGE(A$3:A6,1))</f>
        <v>3</v>
      </c>
      <c r="B7" s="63">
        <f t="shared" ca="1" si="1"/>
        <v>1</v>
      </c>
      <c r="C7" s="63">
        <f t="shared" ca="1" si="2"/>
        <v>1</v>
      </c>
      <c r="D7" s="64">
        <f t="shared" ca="1" si="3"/>
        <v>1</v>
      </c>
      <c r="E7" s="64">
        <f t="shared" ca="1" si="4"/>
        <v>0</v>
      </c>
      <c r="F7" s="65"/>
      <c r="G7" s="73" t="s">
        <v>153</v>
      </c>
      <c r="H7" s="67" t="str">
        <f t="shared" ca="1" si="0"/>
        <v>01.001.001</v>
      </c>
      <c r="I7" s="74" t="s">
        <v>27</v>
      </c>
      <c r="J7" s="96"/>
      <c r="K7" s="114"/>
      <c r="L7" s="115"/>
      <c r="M7" s="74"/>
    </row>
    <row r="8" spans="1:16" ht="20.45" customHeight="1" outlineLevel="1" x14ac:dyDescent="0.55000000000000004">
      <c r="A8" s="63">
        <f ca="1">IF($G8="UNIDADE CONSTRUTIVA",OFFSET(A8,0,0)+1,LARGE(A$3:A7,1))</f>
        <v>3</v>
      </c>
      <c r="B8" s="63">
        <f t="shared" ca="1" si="1"/>
        <v>1</v>
      </c>
      <c r="C8" s="63">
        <f t="shared" ca="1" si="2"/>
        <v>1</v>
      </c>
      <c r="D8" s="64">
        <f t="shared" ca="1" si="3"/>
        <v>1</v>
      </c>
      <c r="E8" s="64">
        <f t="shared" ca="1" si="4"/>
        <v>1</v>
      </c>
      <c r="F8" s="65"/>
      <c r="G8" s="73" t="s">
        <v>154</v>
      </c>
      <c r="H8" s="67" t="str">
        <f t="shared" ca="1" si="0"/>
        <v>01.001.001.001</v>
      </c>
      <c r="I8" s="74" t="s">
        <v>172</v>
      </c>
      <c r="J8" s="96"/>
      <c r="K8" s="127"/>
      <c r="L8" s="115"/>
      <c r="M8" s="74"/>
    </row>
    <row r="9" spans="1:16" outlineLevel="1" x14ac:dyDescent="0.55000000000000004">
      <c r="A9" s="63">
        <f ca="1">IF($G9="UNIDADE CONSTRUTIVA",OFFSET(A9,0,0)+1,LARGE(A$3:A8,1))</f>
        <v>3</v>
      </c>
      <c r="B9" s="63">
        <f t="shared" ca="1" si="1"/>
        <v>1</v>
      </c>
      <c r="C9" s="63">
        <f t="shared" ca="1" si="2"/>
        <v>1</v>
      </c>
      <c r="D9" s="64">
        <f t="shared" ca="1" si="3"/>
        <v>1</v>
      </c>
      <c r="E9" s="64">
        <f t="shared" ca="1" si="4"/>
        <v>2</v>
      </c>
      <c r="F9" s="65"/>
      <c r="G9" s="73" t="s">
        <v>154</v>
      </c>
      <c r="H9" s="67" t="str">
        <f t="shared" ca="1" si="0"/>
        <v>01.001.001.002</v>
      </c>
      <c r="I9" s="74" t="s">
        <v>432</v>
      </c>
      <c r="J9" s="96"/>
      <c r="K9" s="127"/>
      <c r="L9" s="115"/>
      <c r="M9" s="74"/>
    </row>
    <row r="10" spans="1:16" ht="20.45" customHeight="1" outlineLevel="1" x14ac:dyDescent="0.55000000000000004">
      <c r="A10" s="63">
        <f ca="1">IF($G10="UNIDADE CONSTRUTIVA",OFFSET(A10,0,0)+1,LARGE(A$3:A9,1))</f>
        <v>3</v>
      </c>
      <c r="B10" s="63">
        <f t="shared" ca="1" si="1"/>
        <v>1</v>
      </c>
      <c r="C10" s="63">
        <f t="shared" ca="1" si="2"/>
        <v>1</v>
      </c>
      <c r="D10" s="64">
        <f t="shared" ca="1" si="3"/>
        <v>2</v>
      </c>
      <c r="E10" s="64">
        <f t="shared" ca="1" si="4"/>
        <v>0</v>
      </c>
      <c r="F10" s="65"/>
      <c r="G10" s="73" t="s">
        <v>153</v>
      </c>
      <c r="H10" s="67" t="str">
        <f t="shared" ca="1" si="0"/>
        <v>01.001.002</v>
      </c>
      <c r="I10" s="74" t="s">
        <v>28</v>
      </c>
      <c r="J10" s="96"/>
      <c r="K10" s="114"/>
      <c r="L10" s="115"/>
      <c r="M10" s="74"/>
    </row>
    <row r="11" spans="1:16" ht="20.45" customHeight="1" outlineLevel="1" x14ac:dyDescent="0.55000000000000004">
      <c r="A11" s="63">
        <f ca="1">IF($G11="UNIDADE CONSTRUTIVA",OFFSET(A11,0,0)+1,LARGE(A$3:A10,1))</f>
        <v>3</v>
      </c>
      <c r="B11" s="63">
        <f t="shared" ca="1" si="1"/>
        <v>1</v>
      </c>
      <c r="C11" s="63">
        <f t="shared" ca="1" si="2"/>
        <v>1</v>
      </c>
      <c r="D11" s="64">
        <f t="shared" ca="1" si="3"/>
        <v>2</v>
      </c>
      <c r="E11" s="64">
        <f t="shared" ca="1" si="4"/>
        <v>1</v>
      </c>
      <c r="F11" s="65"/>
      <c r="G11" s="73" t="s">
        <v>154</v>
      </c>
      <c r="H11" s="67" t="str">
        <f t="shared" ca="1" si="0"/>
        <v>01.001.002.001</v>
      </c>
      <c r="I11" s="74" t="s">
        <v>28</v>
      </c>
      <c r="J11" s="96"/>
      <c r="K11" s="127"/>
      <c r="L11" s="115"/>
      <c r="M11" s="74"/>
    </row>
    <row r="12" spans="1:16" ht="20.45" customHeight="1" outlineLevel="1" x14ac:dyDescent="0.55000000000000004">
      <c r="A12" s="63">
        <f ca="1">IF($G12="UNIDADE CONSTRUTIVA",OFFSET(A12,0,0)+1,LARGE(A$3:A11,1))</f>
        <v>3</v>
      </c>
      <c r="B12" s="63">
        <f t="shared" ca="1" si="1"/>
        <v>1</v>
      </c>
      <c r="C12" s="63">
        <f t="shared" ca="1" si="2"/>
        <v>1</v>
      </c>
      <c r="D12" s="64">
        <f t="shared" ca="1" si="3"/>
        <v>3</v>
      </c>
      <c r="E12" s="64">
        <f t="shared" ca="1" si="4"/>
        <v>0</v>
      </c>
      <c r="F12" s="65"/>
      <c r="G12" s="73" t="s">
        <v>153</v>
      </c>
      <c r="H12" s="67" t="str">
        <f t="shared" ca="1" si="0"/>
        <v>01.001.003</v>
      </c>
      <c r="I12" s="74" t="s">
        <v>29</v>
      </c>
      <c r="J12" s="96"/>
      <c r="K12" s="114"/>
      <c r="L12" s="115">
        <f>SUM(L13:L14)</f>
        <v>52179.89673600001</v>
      </c>
      <c r="M12" s="74"/>
    </row>
    <row r="13" spans="1:16" ht="20.45" customHeight="1" outlineLevel="1" x14ac:dyDescent="0.55000000000000004">
      <c r="A13" s="63">
        <f ca="1">IF($G13="UNIDADE CONSTRUTIVA",OFFSET(A13,0,0)+1,LARGE(A$3:A12,1))</f>
        <v>3</v>
      </c>
      <c r="B13" s="63">
        <f t="shared" ca="1" si="1"/>
        <v>1</v>
      </c>
      <c r="C13" s="63">
        <f t="shared" ca="1" si="2"/>
        <v>1</v>
      </c>
      <c r="D13" s="64">
        <f t="shared" ca="1" si="3"/>
        <v>3</v>
      </c>
      <c r="E13" s="64">
        <f t="shared" ca="1" si="4"/>
        <v>1</v>
      </c>
      <c r="F13" s="65"/>
      <c r="G13" s="73" t="s">
        <v>154</v>
      </c>
      <c r="H13" s="67" t="str">
        <f t="shared" ca="1" si="0"/>
        <v>01.001.003.001</v>
      </c>
      <c r="I13" s="74" t="s">
        <v>173</v>
      </c>
      <c r="J13" s="96">
        <v>1194.336</v>
      </c>
      <c r="K13" s="127" t="s">
        <v>180</v>
      </c>
      <c r="L13" s="115">
        <v>47768.662656000008</v>
      </c>
      <c r="M13" s="74"/>
    </row>
    <row r="14" spans="1:16" outlineLevel="1" x14ac:dyDescent="0.55000000000000004">
      <c r="A14" s="63">
        <f ca="1">IF($G14="UNIDADE CONSTRUTIVA",OFFSET(A14,0,0)+1,LARGE(A$3:A13,1))</f>
        <v>3</v>
      </c>
      <c r="B14" s="63">
        <f t="shared" ca="1" si="1"/>
        <v>1</v>
      </c>
      <c r="C14" s="63">
        <f t="shared" ca="1" si="2"/>
        <v>1</v>
      </c>
      <c r="D14" s="64">
        <f t="shared" ca="1" si="3"/>
        <v>3</v>
      </c>
      <c r="E14" s="64">
        <f t="shared" ca="1" si="4"/>
        <v>2</v>
      </c>
      <c r="F14" s="65"/>
      <c r="G14" s="73" t="s">
        <v>154</v>
      </c>
      <c r="H14" s="67" t="str">
        <f t="shared" ca="1" si="0"/>
        <v>01.001.003.002</v>
      </c>
      <c r="I14" s="74" t="s">
        <v>174</v>
      </c>
      <c r="J14" s="96">
        <v>275.61599999999999</v>
      </c>
      <c r="K14" s="127" t="s">
        <v>180</v>
      </c>
      <c r="L14" s="115">
        <v>4411.2340800000002</v>
      </c>
      <c r="M14" s="74"/>
    </row>
    <row r="15" spans="1:16" ht="20.45" customHeight="1" outlineLevel="1" x14ac:dyDescent="0.55000000000000004">
      <c r="A15" s="63">
        <f ca="1">IF($G15="UNIDADE CONSTRUTIVA",OFFSET(A15,0,0)+1,LARGE(A$3:A12,1))</f>
        <v>3</v>
      </c>
      <c r="B15" s="63">
        <f t="shared" ref="B15:B40" ca="1" si="5">IF(G15="UNIDADE CONSTRUTIVA",0,IF(G15="CÉLULA CONSTRUTIVA",OFFSET(B15,-1,0)+1,OFFSET(B15,-1,0)))</f>
        <v>1</v>
      </c>
      <c r="C15" s="63">
        <f t="shared" ref="C15:C40" ca="1" si="6">IF(G15="CÉLULA CONSTRUTIVA",0,IF(G15="ETAPA",OFFSET(C15,-1,0)+1,OFFSET(C15,-1,0)))</f>
        <v>1</v>
      </c>
      <c r="D15" s="64">
        <f t="shared" ref="D15:D40" ca="1" si="7">IF(G15="ETAPA",0,IF(G15="SUBETAPA",OFFSET(D15,-1,0)+1,OFFSET(D15,-1,0)))</f>
        <v>4</v>
      </c>
      <c r="E15" s="64">
        <f t="shared" ref="E15:E40" ca="1" si="8">IF(G15="Subetapa",0,IF(G15="serviço",OFFSET(E15,-1,0)+1,OFFSET(E15,-1,0)))</f>
        <v>0</v>
      </c>
      <c r="F15" s="65"/>
      <c r="G15" s="73" t="s">
        <v>153</v>
      </c>
      <c r="H15" s="67" t="str">
        <f t="shared" ca="1" si="0"/>
        <v>01.001.004</v>
      </c>
      <c r="I15" s="74" t="s">
        <v>30</v>
      </c>
      <c r="J15" s="96"/>
      <c r="K15" s="114"/>
      <c r="L15" s="115">
        <f>SUM(L16:L17)</f>
        <v>38511.479600000006</v>
      </c>
      <c r="M15" s="74"/>
    </row>
    <row r="16" spans="1:16" ht="20.45" customHeight="1" outlineLevel="1" x14ac:dyDescent="0.55000000000000004">
      <c r="A16" s="63">
        <f ca="1">IF($G16="UNIDADE CONSTRUTIVA",OFFSET(A16,0,0)+1,LARGE(A$3:A13,1))</f>
        <v>3</v>
      </c>
      <c r="B16" s="63">
        <f t="shared" ca="1" si="5"/>
        <v>1</v>
      </c>
      <c r="C16" s="63">
        <f t="shared" ca="1" si="6"/>
        <v>1</v>
      </c>
      <c r="D16" s="64">
        <f t="shared" ca="1" si="7"/>
        <v>4</v>
      </c>
      <c r="E16" s="64">
        <f t="shared" ca="1" si="8"/>
        <v>1</v>
      </c>
      <c r="F16" s="65"/>
      <c r="G16" s="73" t="s">
        <v>154</v>
      </c>
      <c r="H16" s="67" t="str">
        <f t="shared" ca="1" si="0"/>
        <v>01.001.004.001</v>
      </c>
      <c r="I16" s="74" t="s">
        <v>175</v>
      </c>
      <c r="J16" s="96">
        <v>1892.4560000000001</v>
      </c>
      <c r="K16" s="127" t="s">
        <v>180</v>
      </c>
      <c r="L16" s="115">
        <v>38511.479600000006</v>
      </c>
      <c r="M16" s="74"/>
    </row>
    <row r="17" spans="1:13" ht="20.45" customHeight="1" outlineLevel="1" x14ac:dyDescent="0.55000000000000004">
      <c r="A17" s="63">
        <f ca="1">IF($G17="UNIDADE CONSTRUTIVA",OFFSET(A17,0,0)+1,LARGE(A$3:A14,1))</f>
        <v>3</v>
      </c>
      <c r="B17" s="63">
        <f t="shared" ca="1" si="5"/>
        <v>1</v>
      </c>
      <c r="C17" s="63">
        <f t="shared" ca="1" si="6"/>
        <v>1</v>
      </c>
      <c r="D17" s="64">
        <f t="shared" ca="1" si="7"/>
        <v>4</v>
      </c>
      <c r="E17" s="64">
        <f t="shared" ca="1" si="8"/>
        <v>2</v>
      </c>
      <c r="F17" s="65"/>
      <c r="G17" s="73" t="s">
        <v>154</v>
      </c>
      <c r="H17" s="67" t="str">
        <f t="shared" ca="1" si="0"/>
        <v>01.001.004.002</v>
      </c>
      <c r="I17" s="74" t="s">
        <v>176</v>
      </c>
      <c r="J17" s="96"/>
      <c r="K17" s="127"/>
      <c r="L17" s="115"/>
      <c r="M17" s="74"/>
    </row>
    <row r="18" spans="1:13" ht="20.45" customHeight="1" outlineLevel="1" x14ac:dyDescent="0.55000000000000004">
      <c r="A18" s="63">
        <f ca="1">IF($G18="UNIDADE CONSTRUTIVA",OFFSET(A18,0,0)+1,LARGE(A$3:A15,1))</f>
        <v>3</v>
      </c>
      <c r="B18" s="63">
        <f t="shared" ca="1" si="5"/>
        <v>1</v>
      </c>
      <c r="C18" s="63">
        <f t="shared" ca="1" si="6"/>
        <v>1</v>
      </c>
      <c r="D18" s="64">
        <f t="shared" ca="1" si="7"/>
        <v>5</v>
      </c>
      <c r="E18" s="64">
        <f t="shared" ca="1" si="8"/>
        <v>0</v>
      </c>
      <c r="F18" s="65"/>
      <c r="G18" s="73" t="s">
        <v>153</v>
      </c>
      <c r="H18" s="67" t="str">
        <f t="shared" ca="1" si="0"/>
        <v>01.001.005</v>
      </c>
      <c r="I18" s="74" t="s">
        <v>31</v>
      </c>
      <c r="J18" s="96"/>
      <c r="K18" s="114"/>
      <c r="L18" s="115">
        <f>SUM(L19:L21)</f>
        <v>59710.828320000008</v>
      </c>
      <c r="M18" s="74"/>
    </row>
    <row r="19" spans="1:13" ht="20.45" customHeight="1" outlineLevel="1" x14ac:dyDescent="0.55000000000000004">
      <c r="A19" s="63">
        <f ca="1">IF($G19="UNIDADE CONSTRUTIVA",OFFSET(A19,0,0)+1,LARGE(A$3:A16,1))</f>
        <v>3</v>
      </c>
      <c r="B19" s="63">
        <f t="shared" ca="1" si="5"/>
        <v>1</v>
      </c>
      <c r="C19" s="63">
        <f t="shared" ca="1" si="6"/>
        <v>1</v>
      </c>
      <c r="D19" s="64">
        <f t="shared" ca="1" si="7"/>
        <v>5</v>
      </c>
      <c r="E19" s="64">
        <f t="shared" ca="1" si="8"/>
        <v>1</v>
      </c>
      <c r="F19" s="65"/>
      <c r="G19" s="73" t="s">
        <v>154</v>
      </c>
      <c r="H19" s="67" t="str">
        <f t="shared" ca="1" si="0"/>
        <v>01.001.005.001</v>
      </c>
      <c r="I19" s="74" t="s">
        <v>177</v>
      </c>
      <c r="J19" s="96"/>
      <c r="K19" s="127"/>
      <c r="L19" s="115"/>
      <c r="M19" s="74"/>
    </row>
    <row r="20" spans="1:13" outlineLevel="1" x14ac:dyDescent="0.55000000000000004">
      <c r="A20" s="63">
        <f ca="1">IF($G20="UNIDADE CONSTRUTIVA",OFFSET(A20,0,0)+1,LARGE(A$3:A17,1))</f>
        <v>3</v>
      </c>
      <c r="B20" s="63">
        <f t="shared" ca="1" si="5"/>
        <v>1</v>
      </c>
      <c r="C20" s="63">
        <f t="shared" ca="1" si="6"/>
        <v>1</v>
      </c>
      <c r="D20" s="64">
        <f t="shared" ca="1" si="7"/>
        <v>5</v>
      </c>
      <c r="E20" s="64">
        <f t="shared" ca="1" si="8"/>
        <v>2</v>
      </c>
      <c r="F20" s="65"/>
      <c r="G20" s="73" t="s">
        <v>154</v>
      </c>
      <c r="H20" s="67" t="str">
        <f t="shared" ca="1" si="0"/>
        <v>01.001.005.002</v>
      </c>
      <c r="I20" s="74" t="s">
        <v>178</v>
      </c>
      <c r="J20" s="96">
        <v>1194.336</v>
      </c>
      <c r="K20" s="127" t="s">
        <v>180</v>
      </c>
      <c r="L20" s="115">
        <v>59710.828320000008</v>
      </c>
      <c r="M20" s="74"/>
    </row>
    <row r="21" spans="1:13" ht="20.45" customHeight="1" outlineLevel="1" x14ac:dyDescent="0.55000000000000004">
      <c r="A21" s="63">
        <f ca="1">IF($G21="UNIDADE CONSTRUTIVA",OFFSET(A21,0,0)+1,LARGE(A$3:A18,1))</f>
        <v>3</v>
      </c>
      <c r="B21" s="63">
        <f t="shared" ca="1" si="5"/>
        <v>1</v>
      </c>
      <c r="C21" s="63">
        <f t="shared" ca="1" si="6"/>
        <v>1</v>
      </c>
      <c r="D21" s="64">
        <f t="shared" ca="1" si="7"/>
        <v>5</v>
      </c>
      <c r="E21" s="64">
        <f t="shared" ca="1" si="8"/>
        <v>3</v>
      </c>
      <c r="F21" s="65"/>
      <c r="G21" s="73" t="s">
        <v>154</v>
      </c>
      <c r="H21" s="67" t="str">
        <f t="shared" ca="1" si="0"/>
        <v>01.001.005.003</v>
      </c>
      <c r="I21" s="74" t="s">
        <v>179</v>
      </c>
      <c r="J21" s="96"/>
      <c r="K21" s="127"/>
      <c r="L21" s="115"/>
      <c r="M21" s="74"/>
    </row>
    <row r="22" spans="1:13" ht="20.45" customHeight="1" x14ac:dyDescent="0.55000000000000004">
      <c r="A22" s="63">
        <f ca="1">IF($G22="UNIDADE CONSTRUTIVA",OFFSET(A22,0,0)+1,LARGE(A$3:A18,1))</f>
        <v>3</v>
      </c>
      <c r="B22" s="63">
        <f t="shared" ca="1" si="5"/>
        <v>2</v>
      </c>
      <c r="C22" s="63">
        <f t="shared" ca="1" si="6"/>
        <v>0</v>
      </c>
      <c r="D22" s="64">
        <f t="shared" ca="1" si="7"/>
        <v>5</v>
      </c>
      <c r="E22" s="64">
        <f t="shared" ca="1" si="8"/>
        <v>3</v>
      </c>
      <c r="F22" s="65"/>
      <c r="G22" s="71" t="s">
        <v>156</v>
      </c>
      <c r="H22" s="67" t="str">
        <f t="shared" ca="1" si="0"/>
        <v>02</v>
      </c>
      <c r="I22" s="72" t="s">
        <v>32</v>
      </c>
      <c r="J22" s="95"/>
      <c r="K22" s="112"/>
      <c r="L22" s="113">
        <f>L23+L31</f>
        <v>4184719.8349000001</v>
      </c>
      <c r="M22" s="72"/>
    </row>
    <row r="23" spans="1:13" ht="20.45" customHeight="1" outlineLevel="1" x14ac:dyDescent="0.55000000000000004">
      <c r="A23" s="63">
        <f ca="1">IF($G23="UNIDADE CONSTRUTIVA",OFFSET(A23,0,0)+1,LARGE(A$3:A22,1))</f>
        <v>3</v>
      </c>
      <c r="B23" s="63">
        <f t="shared" ca="1" si="5"/>
        <v>2</v>
      </c>
      <c r="C23" s="63">
        <f t="shared" ca="1" si="6"/>
        <v>1</v>
      </c>
      <c r="D23" s="64">
        <f t="shared" ca="1" si="7"/>
        <v>0</v>
      </c>
      <c r="E23" s="64">
        <f t="shared" ca="1" si="8"/>
        <v>3</v>
      </c>
      <c r="F23" s="65"/>
      <c r="G23" s="71" t="s">
        <v>157</v>
      </c>
      <c r="H23" s="67" t="str">
        <f t="shared" ca="1" si="0"/>
        <v>02.001</v>
      </c>
      <c r="I23" s="72" t="s">
        <v>33</v>
      </c>
      <c r="J23" s="95"/>
      <c r="K23" s="112"/>
      <c r="L23" s="113">
        <f>SUM(L24:L30)/2</f>
        <v>1846496.7411000005</v>
      </c>
      <c r="M23" s="72"/>
    </row>
    <row r="24" spans="1:13" ht="20.45" customHeight="1" outlineLevel="1" x14ac:dyDescent="0.55000000000000004">
      <c r="A24" s="63">
        <f ca="1">IF($G24="UNIDADE CONSTRUTIVA",OFFSET(A24,0,0)+1,LARGE(A$3:A23,1))</f>
        <v>3</v>
      </c>
      <c r="B24" s="63">
        <f t="shared" ca="1" si="5"/>
        <v>2</v>
      </c>
      <c r="C24" s="63">
        <f t="shared" ca="1" si="6"/>
        <v>1</v>
      </c>
      <c r="D24" s="64">
        <f t="shared" ca="1" si="7"/>
        <v>1</v>
      </c>
      <c r="E24" s="64">
        <f t="shared" ca="1" si="8"/>
        <v>0</v>
      </c>
      <c r="F24" s="65"/>
      <c r="G24" s="73" t="s">
        <v>153</v>
      </c>
      <c r="H24" s="67" t="str">
        <f t="shared" ca="1" si="0"/>
        <v>02.001.001</v>
      </c>
      <c r="I24" s="74" t="s">
        <v>34</v>
      </c>
      <c r="J24" s="96"/>
      <c r="K24" s="114"/>
      <c r="L24" s="115">
        <f>SUM(L25:L28)</f>
        <v>1830546.7411000005</v>
      </c>
      <c r="M24" s="74"/>
    </row>
    <row r="25" spans="1:13" ht="20.45" customHeight="1" outlineLevel="1" x14ac:dyDescent="0.55000000000000004">
      <c r="A25" s="63">
        <f ca="1">IF($G25="UNIDADE CONSTRUTIVA",OFFSET(A25,0,0)+1,LARGE(A$3:A24,1))</f>
        <v>3</v>
      </c>
      <c r="B25" s="63">
        <f t="shared" ca="1" si="5"/>
        <v>2</v>
      </c>
      <c r="C25" s="63">
        <f t="shared" ca="1" si="6"/>
        <v>1</v>
      </c>
      <c r="D25" s="64">
        <f t="shared" ca="1" si="7"/>
        <v>1</v>
      </c>
      <c r="E25" s="64">
        <f t="shared" ca="1" si="8"/>
        <v>1</v>
      </c>
      <c r="F25" s="65"/>
      <c r="G25" s="73" t="s">
        <v>154</v>
      </c>
      <c r="H25" s="67" t="str">
        <f t="shared" ca="1" si="0"/>
        <v>02.001.001.001</v>
      </c>
      <c r="I25" s="74" t="s">
        <v>416</v>
      </c>
      <c r="J25" s="96">
        <v>675</v>
      </c>
      <c r="K25" s="127" t="s">
        <v>183</v>
      </c>
      <c r="L25" s="115">
        <v>117426.37500000001</v>
      </c>
      <c r="M25" s="74" t="s">
        <v>420</v>
      </c>
    </row>
    <row r="26" spans="1:13" ht="20.45" customHeight="1" outlineLevel="1" x14ac:dyDescent="0.55000000000000004">
      <c r="A26" s="63">
        <f ca="1">IF($G26="UNIDADE CONSTRUTIVA",OFFSET(A26,0,0)+1,LARGE(A$3:A25,1))</f>
        <v>3</v>
      </c>
      <c r="B26" s="63">
        <f t="shared" ca="1" si="5"/>
        <v>2</v>
      </c>
      <c r="C26" s="63">
        <f t="shared" ca="1" si="6"/>
        <v>1</v>
      </c>
      <c r="D26" s="64">
        <f t="shared" ca="1" si="7"/>
        <v>1</v>
      </c>
      <c r="E26" s="64">
        <f t="shared" ca="1" si="8"/>
        <v>2</v>
      </c>
      <c r="F26" s="65"/>
      <c r="G26" s="73" t="s">
        <v>154</v>
      </c>
      <c r="H26" s="67" t="str">
        <f t="shared" ref="H26:H90" ca="1" si="9">IF(G26="Unidade Construtiva",TEXT(A26,"00"),IF(G26="Célula Construtiva",TEXT(B26,"00"),IF(G26="Etapa",CONCATENATE(TEXT(B26,"00"),".",TEXT(C26,"000")),IF(G26="Subetapa",CONCATENATE(TEXT(B26,"00"),".",TEXT(C26,"000"),".",TEXT(D26,"000")),IF(G26="Serviço",CONCATENATE(TEXT(B26,"00"),".",TEXT(C26,"000"),".",TEXT(D26,"000"),".",TEXT(E26,"000")),"")))))</f>
        <v>02.001.001.002</v>
      </c>
      <c r="I26" s="74" t="s">
        <v>417</v>
      </c>
      <c r="J26" s="96">
        <v>1605</v>
      </c>
      <c r="K26" s="127" t="s">
        <v>183</v>
      </c>
      <c r="L26" s="115">
        <v>362977.97250000009</v>
      </c>
      <c r="M26" s="74" t="s">
        <v>420</v>
      </c>
    </row>
    <row r="27" spans="1:13" ht="20.45" customHeight="1" outlineLevel="1" x14ac:dyDescent="0.55000000000000004">
      <c r="A27" s="63">
        <f ca="1">IF($G27="UNIDADE CONSTRUTIVA",OFFSET(A27,0,0)+1,LARGE(A$3:A26,1))</f>
        <v>3</v>
      </c>
      <c r="B27" s="63">
        <f t="shared" ca="1" si="5"/>
        <v>2</v>
      </c>
      <c r="C27" s="63">
        <f t="shared" ca="1" si="6"/>
        <v>1</v>
      </c>
      <c r="D27" s="64">
        <f t="shared" ca="1" si="7"/>
        <v>1</v>
      </c>
      <c r="E27" s="64">
        <f t="shared" ca="1" si="8"/>
        <v>3</v>
      </c>
      <c r="F27" s="65"/>
      <c r="G27" s="73" t="s">
        <v>154</v>
      </c>
      <c r="H27" s="67" t="str">
        <f t="shared" ca="1" si="9"/>
        <v>02.001.001.003</v>
      </c>
      <c r="I27" s="74" t="s">
        <v>418</v>
      </c>
      <c r="J27" s="96">
        <v>2880</v>
      </c>
      <c r="K27" s="127" t="s">
        <v>183</v>
      </c>
      <c r="L27" s="115">
        <v>1299602.3040000002</v>
      </c>
      <c r="M27" s="74" t="s">
        <v>420</v>
      </c>
    </row>
    <row r="28" spans="1:13" ht="20.45" customHeight="1" outlineLevel="1" x14ac:dyDescent="0.55000000000000004">
      <c r="A28" s="63">
        <f ca="1">IF($G28="UNIDADE CONSTRUTIVA",OFFSET(A28,0,0)+1,LARGE(A$3:A27,1))</f>
        <v>3</v>
      </c>
      <c r="B28" s="63">
        <f t="shared" ca="1" si="5"/>
        <v>2</v>
      </c>
      <c r="C28" s="63">
        <f t="shared" ca="1" si="6"/>
        <v>1</v>
      </c>
      <c r="D28" s="64">
        <f t="shared" ca="1" si="7"/>
        <v>1</v>
      </c>
      <c r="E28" s="64">
        <f t="shared" ca="1" si="8"/>
        <v>4</v>
      </c>
      <c r="F28" s="65"/>
      <c r="G28" s="73" t="s">
        <v>154</v>
      </c>
      <c r="H28" s="67" t="str">
        <f t="shared" ca="1" si="9"/>
        <v>02.001.001.004</v>
      </c>
      <c r="I28" s="74" t="s">
        <v>419</v>
      </c>
      <c r="J28" s="96">
        <v>112</v>
      </c>
      <c r="K28" s="127" t="s">
        <v>183</v>
      </c>
      <c r="L28" s="115">
        <v>50540.089600000007</v>
      </c>
      <c r="M28" s="74" t="s">
        <v>420</v>
      </c>
    </row>
    <row r="29" spans="1:13" ht="20.45" customHeight="1" outlineLevel="1" x14ac:dyDescent="0.55000000000000004">
      <c r="A29" s="63">
        <f ca="1">IF($G29="UNIDADE CONSTRUTIVA",OFFSET(A29,0,0)+1,LARGE(A$3:A25,1))</f>
        <v>3</v>
      </c>
      <c r="B29" s="63">
        <f t="shared" ca="1" si="5"/>
        <v>2</v>
      </c>
      <c r="C29" s="63">
        <f t="shared" ca="1" si="6"/>
        <v>1</v>
      </c>
      <c r="D29" s="64">
        <f t="shared" ca="1" si="7"/>
        <v>2</v>
      </c>
      <c r="E29" s="64">
        <f t="shared" ca="1" si="8"/>
        <v>0</v>
      </c>
      <c r="F29" s="65"/>
      <c r="G29" s="73" t="s">
        <v>153</v>
      </c>
      <c r="H29" s="67" t="str">
        <f t="shared" ca="1" si="9"/>
        <v>02.001.002</v>
      </c>
      <c r="I29" s="74" t="s">
        <v>39</v>
      </c>
      <c r="J29" s="96"/>
      <c r="K29" s="114"/>
      <c r="L29" s="115">
        <f>L30</f>
        <v>15950.000000000002</v>
      </c>
      <c r="M29" s="74"/>
    </row>
    <row r="30" spans="1:13" ht="20.45" customHeight="1" outlineLevel="1" x14ac:dyDescent="0.55000000000000004">
      <c r="A30" s="63">
        <f ca="1">IF($G30="UNIDADE CONSTRUTIVA",OFFSET(A30,0,0)+1,LARGE(A$3:A25,1))</f>
        <v>3</v>
      </c>
      <c r="B30" s="63">
        <f t="shared" ca="1" si="5"/>
        <v>2</v>
      </c>
      <c r="C30" s="63">
        <f t="shared" ca="1" si="6"/>
        <v>1</v>
      </c>
      <c r="D30" s="64">
        <f t="shared" ca="1" si="7"/>
        <v>2</v>
      </c>
      <c r="E30" s="64">
        <f t="shared" ca="1" si="8"/>
        <v>1</v>
      </c>
      <c r="F30" s="65"/>
      <c r="G30" s="73" t="s">
        <v>154</v>
      </c>
      <c r="H30" s="67" t="str">
        <f t="shared" ca="1" si="9"/>
        <v>02.001.002.001</v>
      </c>
      <c r="I30" s="74" t="s">
        <v>181</v>
      </c>
      <c r="J30" s="96">
        <v>1</v>
      </c>
      <c r="K30" s="127" t="s">
        <v>184</v>
      </c>
      <c r="L30" s="115">
        <v>15950.000000000002</v>
      </c>
      <c r="M30" s="74"/>
    </row>
    <row r="31" spans="1:13" ht="20.45" customHeight="1" outlineLevel="1" x14ac:dyDescent="0.55000000000000004">
      <c r="A31" s="63">
        <f ca="1">IF($G31="UNIDADE CONSTRUTIVA",OFFSET(A31,0,0)+1,LARGE(A$3:A29,1))</f>
        <v>3</v>
      </c>
      <c r="B31" s="63">
        <f t="shared" ca="1" si="5"/>
        <v>2</v>
      </c>
      <c r="C31" s="63">
        <f t="shared" ca="1" si="6"/>
        <v>2</v>
      </c>
      <c r="D31" s="64">
        <f t="shared" ca="1" si="7"/>
        <v>0</v>
      </c>
      <c r="E31" s="64">
        <f t="shared" ca="1" si="8"/>
        <v>1</v>
      </c>
      <c r="F31" s="65"/>
      <c r="G31" s="71" t="s">
        <v>157</v>
      </c>
      <c r="H31" s="67" t="str">
        <f t="shared" ca="1" si="9"/>
        <v>02.002</v>
      </c>
      <c r="I31" s="72" t="s">
        <v>37</v>
      </c>
      <c r="J31" s="95"/>
      <c r="K31" s="112"/>
      <c r="L31" s="113">
        <f>SUM(L32:L39)/2</f>
        <v>2338223.0937999999</v>
      </c>
      <c r="M31" s="72"/>
    </row>
    <row r="32" spans="1:13" ht="20.45" customHeight="1" outlineLevel="1" x14ac:dyDescent="0.55000000000000004">
      <c r="A32" s="63">
        <f ca="1">IF($G32="UNIDADE CONSTRUTIVA",OFFSET(A32,0,0)+1,LARGE(A$3:A31,1))</f>
        <v>3</v>
      </c>
      <c r="B32" s="63">
        <f t="shared" ca="1" si="5"/>
        <v>2</v>
      </c>
      <c r="C32" s="63">
        <f t="shared" ca="1" si="6"/>
        <v>2</v>
      </c>
      <c r="D32" s="64">
        <f t="shared" ca="1" si="7"/>
        <v>1</v>
      </c>
      <c r="E32" s="64">
        <f t="shared" ca="1" si="8"/>
        <v>0</v>
      </c>
      <c r="F32" s="65"/>
      <c r="G32" s="73" t="s">
        <v>153</v>
      </c>
      <c r="H32" s="67" t="str">
        <f t="shared" ca="1" si="9"/>
        <v>02.002.001</v>
      </c>
      <c r="I32" s="74" t="s">
        <v>38</v>
      </c>
      <c r="J32" s="96"/>
      <c r="K32" s="114"/>
      <c r="L32" s="115">
        <f>L33</f>
        <v>156376.13200000001</v>
      </c>
      <c r="M32" s="74"/>
    </row>
    <row r="33" spans="1:13" ht="37.5" outlineLevel="1" x14ac:dyDescent="0.55000000000000004">
      <c r="A33" s="63">
        <f ca="1">IF($G33="UNIDADE CONSTRUTIVA",OFFSET(A33,0,0)+1,LARGE(A$3:A32,1))</f>
        <v>3</v>
      </c>
      <c r="B33" s="63">
        <f t="shared" ca="1" si="5"/>
        <v>2</v>
      </c>
      <c r="C33" s="63">
        <f t="shared" ca="1" si="6"/>
        <v>2</v>
      </c>
      <c r="D33" s="64">
        <f t="shared" ca="1" si="7"/>
        <v>1</v>
      </c>
      <c r="E33" s="64">
        <f t="shared" ca="1" si="8"/>
        <v>1</v>
      </c>
      <c r="F33" s="65"/>
      <c r="G33" s="73" t="s">
        <v>154</v>
      </c>
      <c r="H33" s="67" t="str">
        <f t="shared" ca="1" si="9"/>
        <v>02.002.001.001</v>
      </c>
      <c r="I33" s="74" t="s">
        <v>421</v>
      </c>
      <c r="J33" s="96">
        <v>2090.59</v>
      </c>
      <c r="K33" s="127" t="s">
        <v>185</v>
      </c>
      <c r="L33" s="115">
        <v>156376.13200000001</v>
      </c>
      <c r="M33" s="74" t="s">
        <v>420</v>
      </c>
    </row>
    <row r="34" spans="1:13" ht="20.45" customHeight="1" outlineLevel="1" x14ac:dyDescent="0.55000000000000004">
      <c r="A34" s="63">
        <f ca="1">IF($G34="UNIDADE CONSTRUTIVA",OFFSET(A34,0,0)+1,LARGE(A$3:A32,1))</f>
        <v>3</v>
      </c>
      <c r="B34" s="63">
        <f t="shared" ca="1" si="5"/>
        <v>2</v>
      </c>
      <c r="C34" s="63">
        <f t="shared" ca="1" si="6"/>
        <v>2</v>
      </c>
      <c r="D34" s="64">
        <f t="shared" ca="1" si="7"/>
        <v>2</v>
      </c>
      <c r="E34" s="64">
        <f t="shared" ca="1" si="8"/>
        <v>0</v>
      </c>
      <c r="F34" s="65"/>
      <c r="G34" s="73" t="s">
        <v>153</v>
      </c>
      <c r="H34" s="67" t="str">
        <f t="shared" ca="1" si="9"/>
        <v>02.002.002</v>
      </c>
      <c r="I34" s="74" t="s">
        <v>35</v>
      </c>
      <c r="J34" s="96"/>
      <c r="K34" s="114"/>
      <c r="L34" s="115">
        <f>L35</f>
        <v>770071.10400000005</v>
      </c>
      <c r="M34" s="74"/>
    </row>
    <row r="35" spans="1:13" ht="20.45" customHeight="1" outlineLevel="1" x14ac:dyDescent="0.55000000000000004">
      <c r="A35" s="63">
        <f ca="1">IF($G35="UNIDADE CONSTRUTIVA",OFFSET(A35,0,0)+1,LARGE(A$3:A33,1))</f>
        <v>3</v>
      </c>
      <c r="B35" s="63">
        <f t="shared" ca="1" si="5"/>
        <v>2</v>
      </c>
      <c r="C35" s="63">
        <f t="shared" ca="1" si="6"/>
        <v>2</v>
      </c>
      <c r="D35" s="64">
        <f t="shared" ca="1" si="7"/>
        <v>2</v>
      </c>
      <c r="E35" s="64">
        <f t="shared" ca="1" si="8"/>
        <v>1</v>
      </c>
      <c r="F35" s="65"/>
      <c r="G35" s="73" t="s">
        <v>154</v>
      </c>
      <c r="H35" s="67" t="str">
        <f t="shared" ca="1" si="9"/>
        <v>02.002.002.001</v>
      </c>
      <c r="I35" s="74" t="s">
        <v>182</v>
      </c>
      <c r="J35" s="96">
        <v>91872</v>
      </c>
      <c r="K35" s="127" t="s">
        <v>186</v>
      </c>
      <c r="L35" s="115">
        <v>770071.10400000005</v>
      </c>
      <c r="M35" s="74" t="s">
        <v>601</v>
      </c>
    </row>
    <row r="36" spans="1:13" ht="20.45" customHeight="1" outlineLevel="1" x14ac:dyDescent="0.55000000000000004">
      <c r="A36" s="63">
        <f ca="1">IF($G36="UNIDADE CONSTRUTIVA",OFFSET(A36,0,0)+1,LARGE(A$3:A34,1))</f>
        <v>3</v>
      </c>
      <c r="B36" s="63">
        <f t="shared" ca="1" si="5"/>
        <v>2</v>
      </c>
      <c r="C36" s="63">
        <f t="shared" ca="1" si="6"/>
        <v>2</v>
      </c>
      <c r="D36" s="64">
        <f t="shared" ca="1" si="7"/>
        <v>3</v>
      </c>
      <c r="E36" s="64">
        <f t="shared" ca="1" si="8"/>
        <v>0</v>
      </c>
      <c r="F36" s="65"/>
      <c r="G36" s="73" t="s">
        <v>153</v>
      </c>
      <c r="H36" s="67" t="str">
        <f t="shared" ca="1" si="9"/>
        <v>02.002.003</v>
      </c>
      <c r="I36" s="74" t="s">
        <v>36</v>
      </c>
      <c r="J36" s="96"/>
      <c r="K36" s="114"/>
      <c r="L36" s="115">
        <f>L37</f>
        <v>592105.85280000011</v>
      </c>
      <c r="M36" s="74"/>
    </row>
    <row r="37" spans="1:13" ht="20.45" customHeight="1" outlineLevel="1" x14ac:dyDescent="0.55000000000000004">
      <c r="A37" s="63">
        <f ca="1">IF($G37="UNIDADE CONSTRUTIVA",OFFSET(A37,0,0)+1,LARGE(A$3:A35,1))</f>
        <v>3</v>
      </c>
      <c r="B37" s="63">
        <f t="shared" ca="1" si="5"/>
        <v>2</v>
      </c>
      <c r="C37" s="63">
        <f t="shared" ca="1" si="6"/>
        <v>2</v>
      </c>
      <c r="D37" s="64">
        <f t="shared" ca="1" si="7"/>
        <v>3</v>
      </c>
      <c r="E37" s="64">
        <f t="shared" ca="1" si="8"/>
        <v>1</v>
      </c>
      <c r="F37" s="65"/>
      <c r="G37" s="73" t="s">
        <v>154</v>
      </c>
      <c r="H37" s="67" t="str">
        <f t="shared" ca="1" si="9"/>
        <v>02.002.003.001</v>
      </c>
      <c r="I37" s="74" t="s">
        <v>187</v>
      </c>
      <c r="J37" s="96">
        <v>918.72</v>
      </c>
      <c r="K37" s="127" t="s">
        <v>180</v>
      </c>
      <c r="L37" s="115">
        <v>592105.85280000011</v>
      </c>
      <c r="M37" s="74" t="s">
        <v>420</v>
      </c>
    </row>
    <row r="38" spans="1:13" ht="20.45" customHeight="1" outlineLevel="1" x14ac:dyDescent="0.55000000000000004">
      <c r="A38" s="63">
        <f ca="1">IF($G38="UNIDADE CONSTRUTIVA",OFFSET(A38,0,0)+1,LARGE(A$3:A36,1))</f>
        <v>3</v>
      </c>
      <c r="B38" s="63">
        <f t="shared" ca="1" si="5"/>
        <v>2</v>
      </c>
      <c r="C38" s="63">
        <f t="shared" ca="1" si="6"/>
        <v>2</v>
      </c>
      <c r="D38" s="64">
        <f t="shared" ca="1" si="7"/>
        <v>4</v>
      </c>
      <c r="E38" s="64">
        <f t="shared" ca="1" si="8"/>
        <v>0</v>
      </c>
      <c r="F38" s="65"/>
      <c r="G38" s="73" t="s">
        <v>153</v>
      </c>
      <c r="H38" s="67" t="str">
        <f t="shared" ca="1" si="9"/>
        <v>02.002.004</v>
      </c>
      <c r="I38" s="74" t="s">
        <v>39</v>
      </c>
      <c r="J38" s="96"/>
      <c r="K38" s="114"/>
      <c r="L38" s="115">
        <f>L39</f>
        <v>819670.00500000012</v>
      </c>
      <c r="M38" s="74"/>
    </row>
    <row r="39" spans="1:13" ht="25.5" customHeight="1" outlineLevel="1" x14ac:dyDescent="0.55000000000000004">
      <c r="A39" s="63">
        <f ca="1">IF($G39="UNIDADE CONSTRUTIVA",OFFSET(A39,0,0)+1,LARGE(A$3:A37,1))</f>
        <v>3</v>
      </c>
      <c r="B39" s="63">
        <f t="shared" ca="1" si="5"/>
        <v>2</v>
      </c>
      <c r="C39" s="63">
        <f t="shared" ca="1" si="6"/>
        <v>2</v>
      </c>
      <c r="D39" s="64">
        <f t="shared" ca="1" si="7"/>
        <v>4</v>
      </c>
      <c r="E39" s="64">
        <f t="shared" ca="1" si="8"/>
        <v>1</v>
      </c>
      <c r="F39" s="65"/>
      <c r="G39" s="73" t="s">
        <v>154</v>
      </c>
      <c r="H39" s="67" t="str">
        <f t="shared" ca="1" si="9"/>
        <v>02.002.004.001</v>
      </c>
      <c r="I39" s="74" t="s">
        <v>188</v>
      </c>
      <c r="J39" s="96">
        <v>2365.5700000000002</v>
      </c>
      <c r="K39" s="127" t="s">
        <v>185</v>
      </c>
      <c r="L39" s="115">
        <v>819670.00500000012</v>
      </c>
      <c r="M39" s="74" t="s">
        <v>423</v>
      </c>
    </row>
    <row r="40" spans="1:13" ht="20.45" customHeight="1" x14ac:dyDescent="0.55000000000000004">
      <c r="A40" s="63">
        <f ca="1">IF($G40="UNIDADE CONSTRUTIVA",OFFSET(A40,0,0)+1,LARGE(A$3:A38,1))</f>
        <v>3</v>
      </c>
      <c r="B40" s="63">
        <f t="shared" ca="1" si="5"/>
        <v>3</v>
      </c>
      <c r="C40" s="63">
        <f t="shared" ca="1" si="6"/>
        <v>0</v>
      </c>
      <c r="D40" s="64">
        <f t="shared" ca="1" si="7"/>
        <v>4</v>
      </c>
      <c r="E40" s="64">
        <f t="shared" ca="1" si="8"/>
        <v>1</v>
      </c>
      <c r="F40" s="65"/>
      <c r="G40" s="71" t="s">
        <v>156</v>
      </c>
      <c r="H40" s="67" t="str">
        <f t="shared" ca="1" si="9"/>
        <v>03</v>
      </c>
      <c r="I40" s="72" t="s">
        <v>40</v>
      </c>
      <c r="J40" s="95"/>
      <c r="K40" s="112"/>
      <c r="L40" s="113">
        <f>L41</f>
        <v>15149857.504004356</v>
      </c>
      <c r="M40" s="72"/>
    </row>
    <row r="41" spans="1:13" ht="20.45" customHeight="1" outlineLevel="1" x14ac:dyDescent="0.55000000000000004">
      <c r="A41" s="63">
        <f ca="1">IF($G41="UNIDADE CONSTRUTIVA",OFFSET(A41,0,0)+1,LARGE(A$3:A40,1))</f>
        <v>3</v>
      </c>
      <c r="B41" s="63">
        <f t="shared" ref="B41:B107" ca="1" si="10">IF(G41="UNIDADE CONSTRUTIVA",0,IF(G41="CÉLULA CONSTRUTIVA",OFFSET(B41,-1,0)+1,OFFSET(B41,-1,0)))</f>
        <v>3</v>
      </c>
      <c r="C41" s="63">
        <f t="shared" ref="C41:C107" ca="1" si="11">IF(G41="CÉLULA CONSTRUTIVA",0,IF(G41="ETAPA",OFFSET(C41,-1,0)+1,OFFSET(C41,-1,0)))</f>
        <v>1</v>
      </c>
      <c r="D41" s="64">
        <f t="shared" ref="D41:D107" ca="1" si="12">IF(G41="ETAPA",0,IF(G41="SUBETAPA",OFFSET(D41,-1,0)+1,OFFSET(D41,-1,0)))</f>
        <v>0</v>
      </c>
      <c r="E41" s="64">
        <f t="shared" ref="E41:E107" ca="1" si="13">IF(G41="Subetapa",0,IF(G41="serviço",OFFSET(E41,-1,0)+1,OFFSET(E41,-1,0)))</f>
        <v>1</v>
      </c>
      <c r="F41" s="65"/>
      <c r="G41" s="71" t="s">
        <v>157</v>
      </c>
      <c r="H41" s="67" t="str">
        <f t="shared" ca="1" si="9"/>
        <v>03.001</v>
      </c>
      <c r="I41" s="79" t="s">
        <v>41</v>
      </c>
      <c r="J41" s="106"/>
      <c r="K41" s="137"/>
      <c r="L41" s="113">
        <f>SUM(L42:L53)/2</f>
        <v>15149857.504004356</v>
      </c>
      <c r="M41" s="79"/>
    </row>
    <row r="42" spans="1:13" ht="20.45" customHeight="1" outlineLevel="1" x14ac:dyDescent="0.55000000000000004">
      <c r="A42" s="63">
        <f ca="1">IF($G42="UNIDADE CONSTRUTIVA",OFFSET(A42,0,0)+1,LARGE(A$3:A41,1))</f>
        <v>3</v>
      </c>
      <c r="B42" s="63">
        <f t="shared" ca="1" si="10"/>
        <v>3</v>
      </c>
      <c r="C42" s="63">
        <f t="shared" ca="1" si="11"/>
        <v>1</v>
      </c>
      <c r="D42" s="64">
        <f t="shared" ca="1" si="12"/>
        <v>1</v>
      </c>
      <c r="E42" s="64">
        <f t="shared" ca="1" si="13"/>
        <v>0</v>
      </c>
      <c r="F42" s="65"/>
      <c r="G42" s="73" t="s">
        <v>153</v>
      </c>
      <c r="H42" s="67" t="str">
        <f t="shared" ca="1" si="9"/>
        <v>03.001.001</v>
      </c>
      <c r="I42" s="74" t="s">
        <v>38</v>
      </c>
      <c r="J42" s="96"/>
      <c r="K42" s="114"/>
      <c r="L42" s="115">
        <f>SUM(L43:L44)</f>
        <v>1007854.6213043479</v>
      </c>
      <c r="M42" s="74"/>
    </row>
    <row r="43" spans="1:13" outlineLevel="1" x14ac:dyDescent="0.55000000000000004">
      <c r="A43" s="63">
        <f ca="1">IF($G43="UNIDADE CONSTRUTIVA",OFFSET(A43,0,0)+1,LARGE(A$3:A42,1))</f>
        <v>3</v>
      </c>
      <c r="B43" s="63">
        <f t="shared" ca="1" si="10"/>
        <v>3</v>
      </c>
      <c r="C43" s="63">
        <f t="shared" ca="1" si="11"/>
        <v>1</v>
      </c>
      <c r="D43" s="64">
        <f t="shared" ca="1" si="12"/>
        <v>1</v>
      </c>
      <c r="E43" s="64">
        <f t="shared" ca="1" si="13"/>
        <v>1</v>
      </c>
      <c r="F43" s="65"/>
      <c r="G43" s="73" t="s">
        <v>154</v>
      </c>
      <c r="H43" s="67" t="str">
        <f t="shared" ca="1" si="9"/>
        <v>03.001.001.001</v>
      </c>
      <c r="I43" s="74" t="s">
        <v>190</v>
      </c>
      <c r="J43" s="96">
        <v>7366.6852173913048</v>
      </c>
      <c r="K43" s="127" t="s">
        <v>185</v>
      </c>
      <c r="L43" s="115">
        <v>891368.91130434792</v>
      </c>
      <c r="M43" s="74" t="s">
        <v>602</v>
      </c>
    </row>
    <row r="44" spans="1:13" ht="20.45" customHeight="1" outlineLevel="1" x14ac:dyDescent="0.55000000000000004">
      <c r="A44" s="63">
        <f ca="1">IF($G44="UNIDADE CONSTRUTIVA",OFFSET(A44,0,0)+1,LARGE(A$3:A43,1))</f>
        <v>3</v>
      </c>
      <c r="B44" s="63">
        <f t="shared" ca="1" si="10"/>
        <v>3</v>
      </c>
      <c r="C44" s="63">
        <f t="shared" ca="1" si="11"/>
        <v>1</v>
      </c>
      <c r="D44" s="64">
        <f t="shared" ca="1" si="12"/>
        <v>1</v>
      </c>
      <c r="E44" s="64">
        <f t="shared" ca="1" si="13"/>
        <v>2</v>
      </c>
      <c r="F44" s="65"/>
      <c r="G44" s="73" t="s">
        <v>154</v>
      </c>
      <c r="H44" s="67" t="str">
        <f t="shared" ca="1" si="9"/>
        <v>03.001.001.002</v>
      </c>
      <c r="I44" s="74" t="s">
        <v>191</v>
      </c>
      <c r="J44" s="96">
        <v>42358.44</v>
      </c>
      <c r="K44" s="127" t="s">
        <v>185</v>
      </c>
      <c r="L44" s="115">
        <v>116485.71000000002</v>
      </c>
      <c r="M44" s="74" t="s">
        <v>420</v>
      </c>
    </row>
    <row r="45" spans="1:13" ht="20.45" customHeight="1" outlineLevel="1" x14ac:dyDescent="0.55000000000000004">
      <c r="A45" s="63">
        <f ca="1">IF($G45="UNIDADE CONSTRUTIVA",OFFSET(A45,0,0)+1,LARGE(A$3:A42,1))</f>
        <v>3</v>
      </c>
      <c r="B45" s="63">
        <f t="shared" ca="1" si="10"/>
        <v>3</v>
      </c>
      <c r="C45" s="63">
        <f t="shared" ca="1" si="11"/>
        <v>1</v>
      </c>
      <c r="D45" s="64">
        <f t="shared" ca="1" si="12"/>
        <v>2</v>
      </c>
      <c r="E45" s="64">
        <f t="shared" ca="1" si="13"/>
        <v>0</v>
      </c>
      <c r="F45" s="65"/>
      <c r="G45" s="73" t="s">
        <v>153</v>
      </c>
      <c r="H45" s="67" t="str">
        <f t="shared" ca="1" si="9"/>
        <v>03.001.002</v>
      </c>
      <c r="I45" s="74" t="s">
        <v>35</v>
      </c>
      <c r="J45" s="96"/>
      <c r="K45" s="114"/>
      <c r="L45" s="115">
        <f>L46</f>
        <v>4739040.3060000017</v>
      </c>
      <c r="M45" s="74"/>
    </row>
    <row r="46" spans="1:13" ht="20.45" customHeight="1" outlineLevel="1" x14ac:dyDescent="0.55000000000000004">
      <c r="A46" s="63">
        <f ca="1">IF($G46="UNIDADE CONSTRUTIVA",OFFSET(A46,0,0)+1,LARGE(A$3:A43,1))</f>
        <v>3</v>
      </c>
      <c r="B46" s="63">
        <f t="shared" ca="1" si="10"/>
        <v>3</v>
      </c>
      <c r="C46" s="63">
        <f t="shared" ca="1" si="11"/>
        <v>1</v>
      </c>
      <c r="D46" s="64">
        <f t="shared" ca="1" si="12"/>
        <v>2</v>
      </c>
      <c r="E46" s="64">
        <f t="shared" ca="1" si="13"/>
        <v>1</v>
      </c>
      <c r="F46" s="65"/>
      <c r="G46" s="73" t="s">
        <v>154</v>
      </c>
      <c r="H46" s="67" t="str">
        <f t="shared" ca="1" si="9"/>
        <v>03.001.002.001</v>
      </c>
      <c r="I46" s="74" t="s">
        <v>192</v>
      </c>
      <c r="J46" s="96">
        <v>565383.00000000012</v>
      </c>
      <c r="K46" s="127" t="s">
        <v>186</v>
      </c>
      <c r="L46" s="115">
        <v>4739040.3060000017</v>
      </c>
      <c r="M46" s="74" t="s">
        <v>601</v>
      </c>
    </row>
    <row r="47" spans="1:13" ht="20.45" customHeight="1" outlineLevel="1" x14ac:dyDescent="0.55000000000000004">
      <c r="A47" s="63">
        <f ca="1">IF($G47="UNIDADE CONSTRUTIVA",OFFSET(A47,0,0)+1,LARGE(A$3:A45,1))</f>
        <v>3</v>
      </c>
      <c r="B47" s="63">
        <f t="shared" ca="1" si="10"/>
        <v>3</v>
      </c>
      <c r="C47" s="63">
        <f t="shared" ca="1" si="11"/>
        <v>1</v>
      </c>
      <c r="D47" s="64">
        <f t="shared" ca="1" si="12"/>
        <v>3</v>
      </c>
      <c r="E47" s="64">
        <f t="shared" ca="1" si="13"/>
        <v>0</v>
      </c>
      <c r="F47" s="65"/>
      <c r="G47" s="73" t="s">
        <v>153</v>
      </c>
      <c r="H47" s="67" t="str">
        <f t="shared" ca="1" si="9"/>
        <v>03.001.003</v>
      </c>
      <c r="I47" s="74" t="s">
        <v>36</v>
      </c>
      <c r="J47" s="96"/>
      <c r="K47" s="114"/>
      <c r="L47" s="115">
        <f>L48</f>
        <v>3643836.8967000013</v>
      </c>
      <c r="M47" s="74"/>
    </row>
    <row r="48" spans="1:13" ht="20.45" customHeight="1" outlineLevel="1" x14ac:dyDescent="0.55000000000000004">
      <c r="A48" s="63">
        <f ca="1">IF($G48="UNIDADE CONSTRUTIVA",OFFSET(A48,0,0)+1,LARGE(A$3:A46,1))</f>
        <v>3</v>
      </c>
      <c r="B48" s="63">
        <f t="shared" ca="1" si="10"/>
        <v>3</v>
      </c>
      <c r="C48" s="63">
        <f t="shared" ca="1" si="11"/>
        <v>1</v>
      </c>
      <c r="D48" s="64">
        <f t="shared" ca="1" si="12"/>
        <v>3</v>
      </c>
      <c r="E48" s="64">
        <f t="shared" ca="1" si="13"/>
        <v>1</v>
      </c>
      <c r="F48" s="65"/>
      <c r="G48" s="73" t="s">
        <v>154</v>
      </c>
      <c r="H48" s="67" t="str">
        <f t="shared" ca="1" si="9"/>
        <v>03.001.003.001</v>
      </c>
      <c r="I48" s="74" t="s">
        <v>193</v>
      </c>
      <c r="J48" s="96">
        <v>5653.8300000000008</v>
      </c>
      <c r="K48" s="127" t="s">
        <v>180</v>
      </c>
      <c r="L48" s="115">
        <v>3643836.8967000013</v>
      </c>
      <c r="M48" s="74" t="s">
        <v>420</v>
      </c>
    </row>
    <row r="49" spans="1:13" ht="20.45" customHeight="1" outlineLevel="1" x14ac:dyDescent="0.55000000000000004">
      <c r="A49" s="63">
        <f ca="1">IF($G49="UNIDADE CONSTRUTIVA",OFFSET(A49,0,0)+1,LARGE(A$3:A47,1))</f>
        <v>3</v>
      </c>
      <c r="B49" s="63">
        <f t="shared" ca="1" si="10"/>
        <v>3</v>
      </c>
      <c r="C49" s="63">
        <f t="shared" ca="1" si="11"/>
        <v>1</v>
      </c>
      <c r="D49" s="64">
        <f t="shared" ca="1" si="12"/>
        <v>4</v>
      </c>
      <c r="E49" s="64">
        <f t="shared" ca="1" si="13"/>
        <v>0</v>
      </c>
      <c r="F49" s="65"/>
      <c r="G49" s="73" t="s">
        <v>153</v>
      </c>
      <c r="H49" s="67" t="str">
        <f t="shared" ca="1" si="9"/>
        <v>03.001.004</v>
      </c>
      <c r="I49" s="74" t="s">
        <v>42</v>
      </c>
      <c r="J49" s="96"/>
      <c r="K49" s="114"/>
      <c r="L49" s="115">
        <f>L50</f>
        <v>752301.00000000012</v>
      </c>
      <c r="M49" s="74"/>
    </row>
    <row r="50" spans="1:13" outlineLevel="1" x14ac:dyDescent="0.55000000000000004">
      <c r="A50" s="63">
        <f ca="1">IF($G50="UNIDADE CONSTRUTIVA",OFFSET(A50,0,0)+1,LARGE(A$3:A48,1))</f>
        <v>3</v>
      </c>
      <c r="B50" s="63">
        <f t="shared" ca="1" si="10"/>
        <v>3</v>
      </c>
      <c r="C50" s="63">
        <f t="shared" ca="1" si="11"/>
        <v>1</v>
      </c>
      <c r="D50" s="64">
        <f t="shared" ca="1" si="12"/>
        <v>4</v>
      </c>
      <c r="E50" s="64">
        <f t="shared" ca="1" si="13"/>
        <v>1</v>
      </c>
      <c r="F50" s="65"/>
      <c r="G50" s="73" t="s">
        <v>154</v>
      </c>
      <c r="H50" s="67" t="str">
        <f t="shared" ca="1" si="9"/>
        <v>03.001.004.001</v>
      </c>
      <c r="I50" s="74" t="s">
        <v>195</v>
      </c>
      <c r="J50" s="96">
        <v>40230</v>
      </c>
      <c r="K50" s="127" t="s">
        <v>184</v>
      </c>
      <c r="L50" s="115">
        <v>752301.00000000012</v>
      </c>
      <c r="M50" s="74" t="s">
        <v>603</v>
      </c>
    </row>
    <row r="51" spans="1:13" ht="20.45" customHeight="1" outlineLevel="1" x14ac:dyDescent="0.55000000000000004">
      <c r="A51" s="63">
        <f ca="1">IF($G51="UNIDADE CONSTRUTIVA",OFFSET(A51,0,0)+1,LARGE(A$3:A47,1))</f>
        <v>3</v>
      </c>
      <c r="B51" s="63">
        <f t="shared" ca="1" si="10"/>
        <v>3</v>
      </c>
      <c r="C51" s="63">
        <f t="shared" ca="1" si="11"/>
        <v>1</v>
      </c>
      <c r="D51" s="64">
        <f t="shared" ca="1" si="12"/>
        <v>5</v>
      </c>
      <c r="E51" s="64">
        <f t="shared" ca="1" si="13"/>
        <v>0</v>
      </c>
      <c r="F51" s="65"/>
      <c r="G51" s="73" t="s">
        <v>153</v>
      </c>
      <c r="H51" s="67" t="str">
        <f t="shared" ca="1" si="9"/>
        <v>03.001.005</v>
      </c>
      <c r="I51" s="74" t="s">
        <v>39</v>
      </c>
      <c r="J51" s="96"/>
      <c r="K51" s="114"/>
      <c r="L51" s="115">
        <f>SUM(L52:L53)</f>
        <v>5006824.6800000025</v>
      </c>
      <c r="M51" s="74"/>
    </row>
    <row r="52" spans="1:13" outlineLevel="1" x14ac:dyDescent="0.55000000000000004">
      <c r="A52" s="63">
        <f ca="1">IF($G52="UNIDADE CONSTRUTIVA",OFFSET(A52,0,0)+1,LARGE(A$3:A47,1))</f>
        <v>3</v>
      </c>
      <c r="B52" s="63">
        <f t="shared" ca="1" si="10"/>
        <v>3</v>
      </c>
      <c r="C52" s="63">
        <f t="shared" ca="1" si="11"/>
        <v>1</v>
      </c>
      <c r="D52" s="64">
        <f t="shared" ca="1" si="12"/>
        <v>5</v>
      </c>
      <c r="E52" s="64">
        <f t="shared" ca="1" si="13"/>
        <v>1</v>
      </c>
      <c r="F52" s="65"/>
      <c r="G52" s="73" t="s">
        <v>154</v>
      </c>
      <c r="H52" s="67" t="str">
        <f t="shared" ca="1" si="9"/>
        <v>03.001.005.001</v>
      </c>
      <c r="I52" s="74" t="s">
        <v>194</v>
      </c>
      <c r="J52" s="96">
        <v>21510.280000000006</v>
      </c>
      <c r="K52" s="127" t="s">
        <v>185</v>
      </c>
      <c r="L52" s="115">
        <v>4968874.6800000025</v>
      </c>
      <c r="M52" s="74" t="s">
        <v>189</v>
      </c>
    </row>
    <row r="53" spans="1:13" outlineLevel="1" x14ac:dyDescent="0.55000000000000004">
      <c r="A53" s="63">
        <f ca="1">IF($G53="UNIDADE CONSTRUTIVA",OFFSET(A53,0,0)+1,LARGE(A$3:A48,1))</f>
        <v>3</v>
      </c>
      <c r="B53" s="63">
        <f t="shared" ca="1" si="10"/>
        <v>3</v>
      </c>
      <c r="C53" s="63">
        <f t="shared" ca="1" si="11"/>
        <v>1</v>
      </c>
      <c r="D53" s="64">
        <f t="shared" ca="1" si="12"/>
        <v>5</v>
      </c>
      <c r="E53" s="64">
        <f t="shared" ca="1" si="13"/>
        <v>2</v>
      </c>
      <c r="F53" s="65"/>
      <c r="G53" s="73" t="s">
        <v>154</v>
      </c>
      <c r="H53" s="67" t="str">
        <f t="shared" ca="1" si="9"/>
        <v>03.001.005.002</v>
      </c>
      <c r="I53" s="74" t="s">
        <v>424</v>
      </c>
      <c r="J53" s="96">
        <v>1</v>
      </c>
      <c r="K53" s="127" t="s">
        <v>217</v>
      </c>
      <c r="L53" s="115">
        <v>37950</v>
      </c>
      <c r="M53" s="74" t="s">
        <v>428</v>
      </c>
    </row>
    <row r="54" spans="1:13" ht="20.45" customHeight="1" x14ac:dyDescent="0.55000000000000004">
      <c r="A54" s="63">
        <f ca="1">IF($G54="UNIDADE CONSTRUTIVA",OFFSET(A54,0,0)+1,LARGE(A$3:A53,1))</f>
        <v>3</v>
      </c>
      <c r="B54" s="63">
        <f t="shared" ca="1" si="10"/>
        <v>4</v>
      </c>
      <c r="C54" s="63">
        <f t="shared" ca="1" si="11"/>
        <v>0</v>
      </c>
      <c r="D54" s="64">
        <f t="shared" ca="1" si="12"/>
        <v>5</v>
      </c>
      <c r="E54" s="64">
        <f t="shared" ca="1" si="13"/>
        <v>2</v>
      </c>
      <c r="F54" s="65"/>
      <c r="G54" s="71" t="s">
        <v>156</v>
      </c>
      <c r="H54" s="67" t="str">
        <f t="shared" ca="1" si="9"/>
        <v>04</v>
      </c>
      <c r="I54" s="72" t="s">
        <v>43</v>
      </c>
      <c r="J54" s="95"/>
      <c r="K54" s="112"/>
      <c r="L54" s="113">
        <f>L55</f>
        <v>6993312.5498940032</v>
      </c>
      <c r="M54" s="72"/>
    </row>
    <row r="55" spans="1:13" ht="20.45" customHeight="1" outlineLevel="1" x14ac:dyDescent="0.55000000000000004">
      <c r="A55" s="63">
        <f ca="1">IF($G55="UNIDADE CONSTRUTIVA",OFFSET(A55,0,0)+1,LARGE(A$3:A54,1))</f>
        <v>3</v>
      </c>
      <c r="B55" s="63">
        <f t="shared" ca="1" si="10"/>
        <v>4</v>
      </c>
      <c r="C55" s="63">
        <f t="shared" ca="1" si="11"/>
        <v>1</v>
      </c>
      <c r="D55" s="64">
        <f t="shared" ca="1" si="12"/>
        <v>0</v>
      </c>
      <c r="E55" s="64">
        <f t="shared" ca="1" si="13"/>
        <v>2</v>
      </c>
      <c r="F55" s="65"/>
      <c r="G55" s="71" t="s">
        <v>157</v>
      </c>
      <c r="H55" s="67" t="str">
        <f t="shared" ca="1" si="9"/>
        <v>04.001</v>
      </c>
      <c r="I55" s="80" t="s">
        <v>43</v>
      </c>
      <c r="J55" s="107"/>
      <c r="K55" s="138"/>
      <c r="L55" s="126">
        <f>SUM(L56:L73)/2</f>
        <v>6993312.5498940032</v>
      </c>
      <c r="M55" s="80"/>
    </row>
    <row r="56" spans="1:13" ht="20.45" customHeight="1" outlineLevel="1" x14ac:dyDescent="0.55000000000000004">
      <c r="A56" s="63">
        <f ca="1">IF($G56="UNIDADE CONSTRUTIVA",OFFSET(A56,0,0)+1,LARGE(A$3:A55,1))</f>
        <v>3</v>
      </c>
      <c r="B56" s="63">
        <f t="shared" ca="1" si="10"/>
        <v>4</v>
      </c>
      <c r="C56" s="63">
        <f t="shared" ca="1" si="11"/>
        <v>1</v>
      </c>
      <c r="D56" s="64">
        <f t="shared" ca="1" si="12"/>
        <v>1</v>
      </c>
      <c r="E56" s="64">
        <f t="shared" ca="1" si="13"/>
        <v>0</v>
      </c>
      <c r="F56" s="65"/>
      <c r="G56" s="73" t="s">
        <v>153</v>
      </c>
      <c r="H56" s="67" t="str">
        <f t="shared" ca="1" si="9"/>
        <v>04.001.001</v>
      </c>
      <c r="I56" s="74" t="s">
        <v>44</v>
      </c>
      <c r="J56" s="96"/>
      <c r="K56" s="114"/>
      <c r="L56" s="115">
        <f>L57</f>
        <v>711549.89664000005</v>
      </c>
      <c r="M56" s="74"/>
    </row>
    <row r="57" spans="1:13" ht="20.45" customHeight="1" outlineLevel="1" x14ac:dyDescent="0.55000000000000004">
      <c r="A57" s="63">
        <f ca="1">IF($G57="UNIDADE CONSTRUTIVA",OFFSET(A57,0,0)+1,LARGE(A$3:A56,1))</f>
        <v>3</v>
      </c>
      <c r="B57" s="63">
        <f t="shared" ca="1" si="10"/>
        <v>4</v>
      </c>
      <c r="C57" s="63">
        <f t="shared" ca="1" si="11"/>
        <v>1</v>
      </c>
      <c r="D57" s="64">
        <f t="shared" ca="1" si="12"/>
        <v>1</v>
      </c>
      <c r="E57" s="64">
        <f t="shared" ca="1" si="13"/>
        <v>1</v>
      </c>
      <c r="F57" s="65"/>
      <c r="G57" s="73" t="s">
        <v>154</v>
      </c>
      <c r="H57" s="67" t="str">
        <f t="shared" ca="1" si="9"/>
        <v>04.001.001.001</v>
      </c>
      <c r="I57" s="74" t="s">
        <v>44</v>
      </c>
      <c r="J57" s="96">
        <v>13476.3238</v>
      </c>
      <c r="K57" s="127" t="s">
        <v>185</v>
      </c>
      <c r="L57" s="115">
        <v>711549.89664000005</v>
      </c>
      <c r="M57" s="74" t="s">
        <v>197</v>
      </c>
    </row>
    <row r="58" spans="1:13" ht="20.45" customHeight="1" outlineLevel="1" x14ac:dyDescent="0.55000000000000004">
      <c r="A58" s="63">
        <f ca="1">IF($G58="UNIDADE CONSTRUTIVA",OFFSET(A58,0,0)+1,LARGE(A$3:A56,1))</f>
        <v>3</v>
      </c>
      <c r="B58" s="63">
        <f t="shared" ca="1" si="10"/>
        <v>4</v>
      </c>
      <c r="C58" s="63">
        <f t="shared" ca="1" si="11"/>
        <v>1</v>
      </c>
      <c r="D58" s="64">
        <f t="shared" ca="1" si="12"/>
        <v>2</v>
      </c>
      <c r="E58" s="64">
        <f t="shared" ca="1" si="13"/>
        <v>0</v>
      </c>
      <c r="F58" s="65"/>
      <c r="G58" s="73" t="s">
        <v>153</v>
      </c>
      <c r="H58" s="67" t="str">
        <f t="shared" ca="1" si="9"/>
        <v>04.001.002</v>
      </c>
      <c r="I58" s="74" t="s">
        <v>45</v>
      </c>
      <c r="J58" s="96"/>
      <c r="K58" s="114"/>
      <c r="L58" s="115">
        <f>SUM(L59:L60)</f>
        <v>347821.22760000016</v>
      </c>
      <c r="M58" s="74"/>
    </row>
    <row r="59" spans="1:13" ht="20.45" customHeight="1" outlineLevel="1" x14ac:dyDescent="0.55000000000000004">
      <c r="A59" s="63">
        <f ca="1">IF($G59="UNIDADE CONSTRUTIVA",OFFSET(A59,0,0)+1,LARGE(A$3:A58,1))</f>
        <v>3</v>
      </c>
      <c r="B59" s="63">
        <f t="shared" ca="1" si="10"/>
        <v>4</v>
      </c>
      <c r="C59" s="63">
        <f t="shared" ca="1" si="11"/>
        <v>1</v>
      </c>
      <c r="D59" s="64">
        <f t="shared" ca="1" si="12"/>
        <v>2</v>
      </c>
      <c r="E59" s="64">
        <f t="shared" ca="1" si="13"/>
        <v>1</v>
      </c>
      <c r="F59" s="65"/>
      <c r="G59" s="73" t="s">
        <v>154</v>
      </c>
      <c r="H59" s="67" t="str">
        <f t="shared" ca="1" si="9"/>
        <v>04.001.002.001</v>
      </c>
      <c r="I59" s="74" t="s">
        <v>45</v>
      </c>
      <c r="J59" s="96"/>
      <c r="K59" s="127"/>
      <c r="L59" s="115"/>
      <c r="M59" s="74" t="s">
        <v>198</v>
      </c>
    </row>
    <row r="60" spans="1:13" ht="20.45" customHeight="1" outlineLevel="1" x14ac:dyDescent="0.55000000000000004">
      <c r="A60" s="63">
        <f ca="1">IF($G60="UNIDADE CONSTRUTIVA",OFFSET(A60,0,0)+1,LARGE(A$3:A59,1))</f>
        <v>3</v>
      </c>
      <c r="B60" s="63">
        <f t="shared" ca="1" si="10"/>
        <v>4</v>
      </c>
      <c r="C60" s="63">
        <f t="shared" ca="1" si="11"/>
        <v>1</v>
      </c>
      <c r="D60" s="64">
        <f t="shared" ca="1" si="12"/>
        <v>2</v>
      </c>
      <c r="E60" s="64">
        <f t="shared" ca="1" si="13"/>
        <v>2</v>
      </c>
      <c r="F60" s="65"/>
      <c r="G60" s="73" t="s">
        <v>154</v>
      </c>
      <c r="H60" s="67" t="str">
        <f t="shared" ca="1" si="9"/>
        <v>04.001.002.002</v>
      </c>
      <c r="I60" s="74" t="s">
        <v>196</v>
      </c>
      <c r="J60" s="96">
        <v>4302.0560000000014</v>
      </c>
      <c r="K60" s="127" t="s">
        <v>185</v>
      </c>
      <c r="L60" s="115">
        <v>347821.22760000016</v>
      </c>
      <c r="M60" s="74" t="s">
        <v>199</v>
      </c>
    </row>
    <row r="61" spans="1:13" ht="20.45" customHeight="1" outlineLevel="1" x14ac:dyDescent="0.55000000000000004">
      <c r="A61" s="63">
        <f ca="1">IF($G61="UNIDADE CONSTRUTIVA",OFFSET(A61,0,0)+1,LARGE(A$3:A58,1))</f>
        <v>3</v>
      </c>
      <c r="B61" s="63">
        <f t="shared" ca="1" si="10"/>
        <v>4</v>
      </c>
      <c r="C61" s="63">
        <f t="shared" ca="1" si="11"/>
        <v>1</v>
      </c>
      <c r="D61" s="64">
        <f t="shared" ca="1" si="12"/>
        <v>3</v>
      </c>
      <c r="E61" s="64">
        <f t="shared" ca="1" si="13"/>
        <v>0</v>
      </c>
      <c r="F61" s="65"/>
      <c r="G61" s="73" t="s">
        <v>153</v>
      </c>
      <c r="H61" s="67" t="str">
        <f t="shared" ca="1" si="9"/>
        <v>04.001.003</v>
      </c>
      <c r="I61" s="74" t="s">
        <v>46</v>
      </c>
      <c r="J61" s="96"/>
      <c r="K61" s="114"/>
      <c r="L61" s="115">
        <f>SUM(L62:L63)</f>
        <v>307111.47225000005</v>
      </c>
      <c r="M61" s="74"/>
    </row>
    <row r="62" spans="1:13" outlineLevel="1" x14ac:dyDescent="0.55000000000000004">
      <c r="A62" s="63">
        <f ca="1">IF($G62="UNIDADE CONSTRUTIVA",OFFSET(A62,0,0)+1,LARGE(A$3:A61,1))</f>
        <v>3</v>
      </c>
      <c r="B62" s="63">
        <f t="shared" ca="1" si="10"/>
        <v>4</v>
      </c>
      <c r="C62" s="63">
        <f t="shared" ca="1" si="11"/>
        <v>1</v>
      </c>
      <c r="D62" s="64">
        <f t="shared" ca="1" si="12"/>
        <v>3</v>
      </c>
      <c r="E62" s="64">
        <f t="shared" ca="1" si="13"/>
        <v>1</v>
      </c>
      <c r="F62" s="65"/>
      <c r="G62" s="73" t="s">
        <v>154</v>
      </c>
      <c r="H62" s="67" t="str">
        <f t="shared" ca="1" si="9"/>
        <v>04.001.003.001</v>
      </c>
      <c r="I62" s="74" t="s">
        <v>46</v>
      </c>
      <c r="J62" s="96">
        <v>17778.379800000002</v>
      </c>
      <c r="K62" s="127" t="s">
        <v>185</v>
      </c>
      <c r="L62" s="115">
        <v>244452.72225000005</v>
      </c>
      <c r="M62" s="74" t="s">
        <v>201</v>
      </c>
    </row>
    <row r="63" spans="1:13" outlineLevel="1" x14ac:dyDescent="0.55000000000000004">
      <c r="A63" s="63">
        <f ca="1">IF($G63="UNIDADE CONSTRUTIVA",OFFSET(A63,0,0)+1,LARGE(A$3:A62,1))</f>
        <v>3</v>
      </c>
      <c r="B63" s="63">
        <f t="shared" ref="B63" ca="1" si="14">IF(G63="UNIDADE CONSTRUTIVA",0,IF(G63="CÉLULA CONSTRUTIVA",OFFSET(B63,-1,0)+1,OFFSET(B63,-1,0)))</f>
        <v>4</v>
      </c>
      <c r="C63" s="63">
        <f t="shared" ref="C63" ca="1" si="15">IF(G63="CÉLULA CONSTRUTIVA",0,IF(G63="ETAPA",OFFSET(C63,-1,0)+1,OFFSET(C63,-1,0)))</f>
        <v>1</v>
      </c>
      <c r="D63" s="64">
        <f t="shared" ref="D63" ca="1" si="16">IF(G63="ETAPA",0,IF(G63="SUBETAPA",OFFSET(D63,-1,0)+1,OFFSET(D63,-1,0)))</f>
        <v>3</v>
      </c>
      <c r="E63" s="64">
        <f t="shared" ref="E63" ca="1" si="17">IF(G63="Subetapa",0,IF(G63="serviço",OFFSET(E63,-1,0)+1,OFFSET(E63,-1,0)))</f>
        <v>2</v>
      </c>
      <c r="F63" s="65"/>
      <c r="G63" s="73" t="s">
        <v>154</v>
      </c>
      <c r="H63" s="67" t="str">
        <f t="shared" ref="H63" ca="1" si="18">IF(G63="Unidade Construtiva",TEXT(A63,"00"),IF(G63="Célula Construtiva",TEXT(B63,"00"),IF(G63="Etapa",CONCATENATE(TEXT(B63,"00"),".",TEXT(C63,"000")),IF(G63="Subetapa",CONCATENATE(TEXT(B63,"00"),".",TEXT(C63,"000"),".",TEXT(D63,"000")),IF(G63="Serviço",CONCATENATE(TEXT(B63,"00"),".",TEXT(C63,"000"),".",TEXT(D63,"000"),".",TEXT(E63,"000")),"")))))</f>
        <v>04.001.003.002</v>
      </c>
      <c r="I63" s="74" t="s">
        <v>604</v>
      </c>
      <c r="J63" s="96">
        <v>105</v>
      </c>
      <c r="K63" s="127" t="s">
        <v>184</v>
      </c>
      <c r="L63" s="115">
        <v>62658.750000000007</v>
      </c>
      <c r="M63" s="74" t="s">
        <v>605</v>
      </c>
    </row>
    <row r="64" spans="1:13" ht="20.45" customHeight="1" outlineLevel="1" x14ac:dyDescent="0.55000000000000004">
      <c r="A64" s="63">
        <f ca="1">IF($G64="UNIDADE CONSTRUTIVA",OFFSET(A64,0,0)+1,LARGE(A$3:A61,1))</f>
        <v>3</v>
      </c>
      <c r="B64" s="63">
        <f t="shared" ca="1" si="10"/>
        <v>4</v>
      </c>
      <c r="C64" s="63">
        <f t="shared" ca="1" si="11"/>
        <v>1</v>
      </c>
      <c r="D64" s="64">
        <f t="shared" ca="1" si="12"/>
        <v>4</v>
      </c>
      <c r="E64" s="64">
        <f t="shared" ca="1" si="13"/>
        <v>0</v>
      </c>
      <c r="F64" s="65"/>
      <c r="G64" s="73" t="s">
        <v>153</v>
      </c>
      <c r="H64" s="67" t="str">
        <f t="shared" ca="1" si="9"/>
        <v>04.001.004</v>
      </c>
      <c r="I64" s="74" t="s">
        <v>47</v>
      </c>
      <c r="J64" s="96"/>
      <c r="K64" s="127"/>
      <c r="L64" s="115">
        <f>SUM(L65:L70)</f>
        <v>4070999.0253240014</v>
      </c>
      <c r="M64" s="74"/>
    </row>
    <row r="65" spans="1:13" ht="20.45" customHeight="1" outlineLevel="1" x14ac:dyDescent="0.55000000000000004">
      <c r="A65" s="63">
        <f ca="1">IF($G65="UNIDADE CONSTRUTIVA",OFFSET(A65,0,0)+1,LARGE(A$3:A64,1))</f>
        <v>3</v>
      </c>
      <c r="B65" s="63">
        <f t="shared" ca="1" si="10"/>
        <v>4</v>
      </c>
      <c r="C65" s="63">
        <f t="shared" ca="1" si="11"/>
        <v>1</v>
      </c>
      <c r="D65" s="64">
        <f t="shared" ca="1" si="12"/>
        <v>4</v>
      </c>
      <c r="E65" s="64">
        <f t="shared" ca="1" si="13"/>
        <v>1</v>
      </c>
      <c r="F65" s="65"/>
      <c r="G65" s="73" t="s">
        <v>154</v>
      </c>
      <c r="H65" s="67" t="str">
        <f t="shared" ca="1" si="9"/>
        <v>04.001.004.001</v>
      </c>
      <c r="I65" s="74" t="s">
        <v>435</v>
      </c>
      <c r="J65" s="96"/>
      <c r="K65" s="127"/>
      <c r="L65" s="115"/>
      <c r="M65" s="74"/>
    </row>
    <row r="66" spans="1:13" ht="20.45" customHeight="1" outlineLevel="1" x14ac:dyDescent="0.55000000000000004">
      <c r="A66" s="63">
        <f ca="1">IF($G66="UNIDADE CONSTRUTIVA",OFFSET(A66,0,0)+1,LARGE(A$3:A65,1))</f>
        <v>3</v>
      </c>
      <c r="B66" s="63">
        <f t="shared" ca="1" si="10"/>
        <v>4</v>
      </c>
      <c r="C66" s="63">
        <f t="shared" ca="1" si="11"/>
        <v>1</v>
      </c>
      <c r="D66" s="64">
        <f t="shared" ca="1" si="12"/>
        <v>4</v>
      </c>
      <c r="E66" s="64">
        <f t="shared" ca="1" si="13"/>
        <v>2</v>
      </c>
      <c r="F66" s="65"/>
      <c r="G66" s="73" t="s">
        <v>154</v>
      </c>
      <c r="H66" s="67" t="str">
        <f t="shared" ca="1" si="9"/>
        <v>04.001.004.002</v>
      </c>
      <c r="I66" s="74" t="s">
        <v>436</v>
      </c>
      <c r="J66" s="96">
        <v>19359.252000000008</v>
      </c>
      <c r="K66" s="127" t="s">
        <v>185</v>
      </c>
      <c r="L66" s="115">
        <v>4070999.0253240014</v>
      </c>
      <c r="M66" s="74" t="s">
        <v>430</v>
      </c>
    </row>
    <row r="67" spans="1:13" ht="20.45" customHeight="1" outlineLevel="1" x14ac:dyDescent="0.55000000000000004">
      <c r="A67" s="63">
        <f ca="1">IF($G67="UNIDADE CONSTRUTIVA",OFFSET(A67,0,0)+1,LARGE(A$3:A65,1))</f>
        <v>3</v>
      </c>
      <c r="B67" s="63">
        <f t="shared" ca="1" si="10"/>
        <v>4</v>
      </c>
      <c r="C67" s="63">
        <f t="shared" ca="1" si="11"/>
        <v>1</v>
      </c>
      <c r="D67" s="64">
        <f t="shared" ca="1" si="12"/>
        <v>4</v>
      </c>
      <c r="E67" s="64">
        <f t="shared" ca="1" si="13"/>
        <v>3</v>
      </c>
      <c r="F67" s="65"/>
      <c r="G67" s="73" t="s">
        <v>154</v>
      </c>
      <c r="H67" s="67" t="str">
        <f t="shared" ca="1" si="9"/>
        <v>04.001.004.003</v>
      </c>
      <c r="I67" s="74" t="s">
        <v>437</v>
      </c>
      <c r="J67" s="96"/>
      <c r="K67" s="127"/>
      <c r="L67" s="115"/>
      <c r="M67" s="74"/>
    </row>
    <row r="68" spans="1:13" ht="20.45" customHeight="1" outlineLevel="1" x14ac:dyDescent="0.55000000000000004">
      <c r="A68" s="63">
        <f ca="1">IF($G68="UNIDADE CONSTRUTIVA",OFFSET(A68,0,0)+1,LARGE(A$3:A67,1))</f>
        <v>3</v>
      </c>
      <c r="B68" s="63">
        <f t="shared" ca="1" si="10"/>
        <v>4</v>
      </c>
      <c r="C68" s="63">
        <f t="shared" ca="1" si="11"/>
        <v>1</v>
      </c>
      <c r="D68" s="64">
        <f t="shared" ca="1" si="12"/>
        <v>4</v>
      </c>
      <c r="E68" s="64">
        <f t="shared" ca="1" si="13"/>
        <v>4</v>
      </c>
      <c r="F68" s="65"/>
      <c r="G68" s="73" t="s">
        <v>154</v>
      </c>
      <c r="H68" s="67" t="str">
        <f t="shared" ca="1" si="9"/>
        <v>04.001.004.004</v>
      </c>
      <c r="I68" s="74" t="s">
        <v>200</v>
      </c>
      <c r="J68" s="96"/>
      <c r="K68" s="127"/>
      <c r="L68" s="115"/>
      <c r="M68" s="74"/>
    </row>
    <row r="69" spans="1:13" ht="20.45" customHeight="1" outlineLevel="1" x14ac:dyDescent="0.55000000000000004">
      <c r="A69" s="63">
        <f ca="1">IF($G69="UNIDADE CONSTRUTIVA",OFFSET(A69,0,0)+1,LARGE(A$3:A67,1))</f>
        <v>3</v>
      </c>
      <c r="B69" s="63">
        <f t="shared" ca="1" si="10"/>
        <v>4</v>
      </c>
      <c r="C69" s="63">
        <f t="shared" ca="1" si="11"/>
        <v>1</v>
      </c>
      <c r="D69" s="64">
        <f t="shared" ca="1" si="12"/>
        <v>4</v>
      </c>
      <c r="E69" s="64">
        <f t="shared" ca="1" si="13"/>
        <v>5</v>
      </c>
      <c r="F69" s="65"/>
      <c r="G69" s="73" t="s">
        <v>154</v>
      </c>
      <c r="H69" s="67" t="str">
        <f t="shared" ca="1" si="9"/>
        <v>04.001.004.005</v>
      </c>
      <c r="I69" s="74" t="s">
        <v>431</v>
      </c>
      <c r="J69" s="96"/>
      <c r="K69" s="127"/>
      <c r="L69" s="115"/>
      <c r="M69" s="74"/>
    </row>
    <row r="70" spans="1:13" ht="20.45" customHeight="1" outlineLevel="1" x14ac:dyDescent="0.55000000000000004">
      <c r="A70" s="63">
        <f ca="1">IF($G70="UNIDADE CONSTRUTIVA",OFFSET(A70,0,0)+1,LARGE(A$3:A68,1))</f>
        <v>3</v>
      </c>
      <c r="B70" s="63">
        <f t="shared" ca="1" si="10"/>
        <v>4</v>
      </c>
      <c r="C70" s="63">
        <f t="shared" ca="1" si="11"/>
        <v>1</v>
      </c>
      <c r="D70" s="64">
        <f t="shared" ca="1" si="12"/>
        <v>4</v>
      </c>
      <c r="E70" s="64">
        <f t="shared" ca="1" si="13"/>
        <v>6</v>
      </c>
      <c r="F70" s="65"/>
      <c r="G70" s="73" t="s">
        <v>154</v>
      </c>
      <c r="H70" s="67" t="str">
        <f t="shared" ca="1" si="9"/>
        <v>04.001.004.006</v>
      </c>
      <c r="I70" s="74" t="s">
        <v>429</v>
      </c>
      <c r="J70" s="96"/>
      <c r="K70" s="127"/>
      <c r="L70" s="115"/>
      <c r="M70" s="74"/>
    </row>
    <row r="71" spans="1:13" ht="20.45" customHeight="1" outlineLevel="1" x14ac:dyDescent="0.55000000000000004">
      <c r="A71" s="63">
        <f ca="1">IF($G71="UNIDADE CONSTRUTIVA",OFFSET(A71,0,0)+1,LARGE(A$3:A64,1))</f>
        <v>3</v>
      </c>
      <c r="B71" s="63">
        <f t="shared" ca="1" si="10"/>
        <v>4</v>
      </c>
      <c r="C71" s="63">
        <f t="shared" ca="1" si="11"/>
        <v>1</v>
      </c>
      <c r="D71" s="64">
        <f t="shared" ca="1" si="12"/>
        <v>5</v>
      </c>
      <c r="E71" s="64">
        <f t="shared" ca="1" si="13"/>
        <v>0</v>
      </c>
      <c r="F71" s="65"/>
      <c r="G71" s="73" t="s">
        <v>153</v>
      </c>
      <c r="H71" s="67" t="str">
        <f t="shared" ca="1" si="9"/>
        <v>04.001.005</v>
      </c>
      <c r="I71" s="74" t="s">
        <v>39</v>
      </c>
      <c r="J71" s="96"/>
      <c r="K71" s="114"/>
      <c r="L71" s="115">
        <f>SUM(L72:L73)</f>
        <v>1555830.9280800004</v>
      </c>
      <c r="M71" s="74"/>
    </row>
    <row r="72" spans="1:13" ht="20.45" customHeight="1" outlineLevel="1" x14ac:dyDescent="0.55000000000000004">
      <c r="A72" s="63">
        <f ca="1">IF($G72="UNIDADE CONSTRUTIVA",OFFSET(A72,0,0)+1,LARGE(A$3:A65,1))</f>
        <v>3</v>
      </c>
      <c r="B72" s="63">
        <f t="shared" ca="1" si="10"/>
        <v>4</v>
      </c>
      <c r="C72" s="63">
        <f t="shared" ca="1" si="11"/>
        <v>1</v>
      </c>
      <c r="D72" s="64">
        <f t="shared" ca="1" si="12"/>
        <v>5</v>
      </c>
      <c r="E72" s="64">
        <f t="shared" ca="1" si="13"/>
        <v>1</v>
      </c>
      <c r="F72" s="65"/>
      <c r="G72" s="73" t="s">
        <v>154</v>
      </c>
      <c r="H72" s="67" t="str">
        <f t="shared" ca="1" si="9"/>
        <v>04.001.005.001</v>
      </c>
      <c r="I72" s="74" t="s">
        <v>202</v>
      </c>
      <c r="J72" s="96">
        <v>17778.379800000002</v>
      </c>
      <c r="K72" s="127" t="s">
        <v>185</v>
      </c>
      <c r="L72" s="115">
        <v>704023.84008000011</v>
      </c>
      <c r="M72" s="74"/>
    </row>
    <row r="73" spans="1:13" ht="20.45" customHeight="1" outlineLevel="1" x14ac:dyDescent="0.55000000000000004">
      <c r="A73" s="63">
        <f ca="1">IF($G73="UNIDADE CONSTRUTIVA",OFFSET(A73,0,0)+1,LARGE(A$3:A66,1))</f>
        <v>3</v>
      </c>
      <c r="B73" s="63">
        <f t="shared" ca="1" si="10"/>
        <v>4</v>
      </c>
      <c r="C73" s="63">
        <f t="shared" ca="1" si="11"/>
        <v>1</v>
      </c>
      <c r="D73" s="64">
        <f t="shared" ca="1" si="12"/>
        <v>5</v>
      </c>
      <c r="E73" s="64">
        <f t="shared" ca="1" si="13"/>
        <v>2</v>
      </c>
      <c r="F73" s="65"/>
      <c r="G73" s="73" t="s">
        <v>154</v>
      </c>
      <c r="H73" s="67" t="str">
        <f t="shared" ca="1" si="9"/>
        <v>04.001.005.002</v>
      </c>
      <c r="I73" s="74" t="s">
        <v>203</v>
      </c>
      <c r="J73" s="96">
        <v>19359.252000000008</v>
      </c>
      <c r="K73" s="127" t="s">
        <v>185</v>
      </c>
      <c r="L73" s="115">
        <v>851807.08800000045</v>
      </c>
      <c r="M73" s="74"/>
    </row>
    <row r="74" spans="1:13" ht="20.45" customHeight="1" x14ac:dyDescent="0.55000000000000004">
      <c r="A74" s="63">
        <f ca="1">IF($G74="UNIDADE CONSTRUTIVA",OFFSET(A74,0,0)+1,LARGE(A$3:A71,1))</f>
        <v>3</v>
      </c>
      <c r="B74" s="63">
        <f t="shared" ca="1" si="10"/>
        <v>5</v>
      </c>
      <c r="C74" s="63">
        <f t="shared" ca="1" si="11"/>
        <v>0</v>
      </c>
      <c r="D74" s="64">
        <f t="shared" ca="1" si="12"/>
        <v>5</v>
      </c>
      <c r="E74" s="64">
        <f t="shared" ca="1" si="13"/>
        <v>2</v>
      </c>
      <c r="F74" s="65"/>
      <c r="G74" s="71" t="s">
        <v>156</v>
      </c>
      <c r="H74" s="67" t="str">
        <f t="shared" ca="1" si="9"/>
        <v>05</v>
      </c>
      <c r="I74" s="72" t="s">
        <v>48</v>
      </c>
      <c r="J74" s="95"/>
      <c r="K74" s="112"/>
      <c r="L74" s="113">
        <f>L75</f>
        <v>1276413.3426000006</v>
      </c>
      <c r="M74" s="72"/>
    </row>
    <row r="75" spans="1:13" ht="20.45" customHeight="1" outlineLevel="1" x14ac:dyDescent="0.55000000000000004">
      <c r="A75" s="63">
        <f ca="1">IF($G75="UNIDADE CONSTRUTIVA",OFFSET(A75,0,0)+1,LARGE(A$3:A74,1))</f>
        <v>3</v>
      </c>
      <c r="B75" s="63">
        <f t="shared" ca="1" si="10"/>
        <v>5</v>
      </c>
      <c r="C75" s="63">
        <f t="shared" ca="1" si="11"/>
        <v>1</v>
      </c>
      <c r="D75" s="64">
        <f t="shared" ca="1" si="12"/>
        <v>0</v>
      </c>
      <c r="E75" s="64">
        <f t="shared" ca="1" si="13"/>
        <v>2</v>
      </c>
      <c r="F75" s="65"/>
      <c r="G75" s="71" t="s">
        <v>157</v>
      </c>
      <c r="H75" s="67" t="str">
        <f t="shared" ca="1" si="9"/>
        <v>05.001</v>
      </c>
      <c r="I75" s="80" t="s">
        <v>48</v>
      </c>
      <c r="J75" s="107"/>
      <c r="K75" s="138"/>
      <c r="L75" s="126">
        <f>SUM(L76:L107)/2</f>
        <v>1276413.3426000006</v>
      </c>
      <c r="M75" s="80"/>
    </row>
    <row r="76" spans="1:13" ht="20.45" customHeight="1" outlineLevel="1" x14ac:dyDescent="0.55000000000000004">
      <c r="A76" s="63">
        <f ca="1">IF($G76="UNIDADE CONSTRUTIVA",OFFSET(A76,0,0)+1,LARGE(A$3:A75,1))</f>
        <v>3</v>
      </c>
      <c r="B76" s="63">
        <f t="shared" ca="1" si="10"/>
        <v>5</v>
      </c>
      <c r="C76" s="63">
        <f t="shared" ca="1" si="11"/>
        <v>1</v>
      </c>
      <c r="D76" s="64">
        <f t="shared" ca="1" si="12"/>
        <v>1</v>
      </c>
      <c r="E76" s="64">
        <f t="shared" ca="1" si="13"/>
        <v>0</v>
      </c>
      <c r="F76" s="65"/>
      <c r="G76" s="73" t="s">
        <v>153</v>
      </c>
      <c r="H76" s="67" t="str">
        <f t="shared" ca="1" si="9"/>
        <v>05.001.001</v>
      </c>
      <c r="I76" s="74" t="s">
        <v>49</v>
      </c>
      <c r="J76" s="96"/>
      <c r="K76" s="114"/>
      <c r="L76" s="115">
        <f>SUM(L77:L78)</f>
        <v>315490.4016000001</v>
      </c>
      <c r="M76" s="74"/>
    </row>
    <row r="77" spans="1:13" ht="20.45" customHeight="1" outlineLevel="1" x14ac:dyDescent="0.55000000000000004">
      <c r="A77" s="63">
        <f ca="1">IF($G77="UNIDADE CONSTRUTIVA",OFFSET(A77,0,0)+1,LARGE(A$3:A76,1))</f>
        <v>3</v>
      </c>
      <c r="B77" s="63">
        <f t="shared" ca="1" si="10"/>
        <v>5</v>
      </c>
      <c r="C77" s="63">
        <f t="shared" ca="1" si="11"/>
        <v>1</v>
      </c>
      <c r="D77" s="64">
        <f t="shared" ca="1" si="12"/>
        <v>1</v>
      </c>
      <c r="E77" s="64">
        <f t="shared" ca="1" si="13"/>
        <v>1</v>
      </c>
      <c r="F77" s="65"/>
      <c r="G77" s="73" t="s">
        <v>154</v>
      </c>
      <c r="H77" s="67" t="str">
        <f t="shared" ca="1" si="9"/>
        <v>05.001.001.001</v>
      </c>
      <c r="I77" s="74" t="s">
        <v>204</v>
      </c>
      <c r="J77" s="96">
        <v>9952.2040000000015</v>
      </c>
      <c r="K77" s="127" t="s">
        <v>185</v>
      </c>
      <c r="L77" s="115">
        <f>[7]IMPERMEABILIZAÇÃO!$G$10</f>
        <v>240843.33680000008</v>
      </c>
      <c r="M77" s="74"/>
    </row>
    <row r="78" spans="1:13" ht="20.45" customHeight="1" outlineLevel="1" x14ac:dyDescent="0.55000000000000004">
      <c r="A78" s="63">
        <f ca="1">IF($G78="UNIDADE CONSTRUTIVA",OFFSET(A78,0,0)+1,LARGE(A$3:A77,1))</f>
        <v>3</v>
      </c>
      <c r="B78" s="63">
        <f t="shared" ca="1" si="10"/>
        <v>5</v>
      </c>
      <c r="C78" s="63">
        <f t="shared" ca="1" si="11"/>
        <v>1</v>
      </c>
      <c r="D78" s="64">
        <f t="shared" ca="1" si="12"/>
        <v>1</v>
      </c>
      <c r="E78" s="64">
        <f t="shared" ca="1" si="13"/>
        <v>2</v>
      </c>
      <c r="F78" s="65"/>
      <c r="G78" s="73" t="s">
        <v>154</v>
      </c>
      <c r="H78" s="67" t="str">
        <f t="shared" ca="1" si="9"/>
        <v>05.001.001.002</v>
      </c>
      <c r="I78" s="74" t="s">
        <v>205</v>
      </c>
      <c r="J78" s="96">
        <v>2423.6059999999998</v>
      </c>
      <c r="K78" s="127" t="s">
        <v>185</v>
      </c>
      <c r="L78" s="115">
        <v>74647.064799999993</v>
      </c>
      <c r="M78" s="74"/>
    </row>
    <row r="79" spans="1:13" ht="20.45" customHeight="1" outlineLevel="1" x14ac:dyDescent="0.55000000000000004">
      <c r="A79" s="63">
        <f ca="1">IF($G79="UNIDADE CONSTRUTIVA",OFFSET(A79,0,0)+1,LARGE(A$3:A76,1))</f>
        <v>3</v>
      </c>
      <c r="B79" s="63">
        <f t="shared" ca="1" si="10"/>
        <v>5</v>
      </c>
      <c r="C79" s="63">
        <f t="shared" ca="1" si="11"/>
        <v>1</v>
      </c>
      <c r="D79" s="64">
        <f t="shared" ca="1" si="12"/>
        <v>2</v>
      </c>
      <c r="E79" s="64">
        <f t="shared" ca="1" si="13"/>
        <v>0</v>
      </c>
      <c r="F79" s="65"/>
      <c r="G79" s="73" t="s">
        <v>153</v>
      </c>
      <c r="H79" s="67" t="str">
        <f t="shared" ca="1" si="9"/>
        <v>05.001.002</v>
      </c>
      <c r="I79" s="74" t="s">
        <v>50</v>
      </c>
      <c r="J79" s="96"/>
      <c r="K79" s="127"/>
      <c r="L79" s="115">
        <f>L80</f>
        <v>0</v>
      </c>
      <c r="M79" s="74"/>
    </row>
    <row r="80" spans="1:13" ht="20.45" customHeight="1" outlineLevel="1" x14ac:dyDescent="0.55000000000000004">
      <c r="A80" s="63">
        <f ca="1">IF($G80="UNIDADE CONSTRUTIVA",OFFSET(A80,0,0)+1,LARGE(A$3:A77,1))</f>
        <v>3</v>
      </c>
      <c r="B80" s="63">
        <f t="shared" ca="1" si="10"/>
        <v>5</v>
      </c>
      <c r="C80" s="63">
        <f t="shared" ca="1" si="11"/>
        <v>1</v>
      </c>
      <c r="D80" s="64">
        <f t="shared" ca="1" si="12"/>
        <v>2</v>
      </c>
      <c r="E80" s="64">
        <f t="shared" ca="1" si="13"/>
        <v>1</v>
      </c>
      <c r="F80" s="65"/>
      <c r="G80" s="73" t="s">
        <v>154</v>
      </c>
      <c r="H80" s="67" t="str">
        <f t="shared" ca="1" si="9"/>
        <v>05.001.002.001</v>
      </c>
      <c r="I80" s="74" t="s">
        <v>50</v>
      </c>
      <c r="J80" s="128"/>
      <c r="K80" s="127"/>
      <c r="L80" s="115"/>
      <c r="M80" s="74"/>
    </row>
    <row r="81" spans="1:13" ht="20.45" customHeight="1" outlineLevel="1" x14ac:dyDescent="0.55000000000000004">
      <c r="A81" s="63">
        <f ca="1">IF($G81="UNIDADE CONSTRUTIVA",OFFSET(A81,0,0)+1,LARGE(A$3:A79,1))</f>
        <v>3</v>
      </c>
      <c r="B81" s="63">
        <f t="shared" ca="1" si="10"/>
        <v>5</v>
      </c>
      <c r="C81" s="63">
        <f t="shared" ca="1" si="11"/>
        <v>1</v>
      </c>
      <c r="D81" s="64">
        <f t="shared" ca="1" si="12"/>
        <v>3</v>
      </c>
      <c r="E81" s="64">
        <f t="shared" ca="1" si="13"/>
        <v>0</v>
      </c>
      <c r="F81" s="65"/>
      <c r="G81" s="73" t="s">
        <v>153</v>
      </c>
      <c r="H81" s="67" t="str">
        <f t="shared" ca="1" si="9"/>
        <v>05.001.003</v>
      </c>
      <c r="I81" s="74" t="s">
        <v>51</v>
      </c>
      <c r="J81" s="96"/>
      <c r="K81" s="127"/>
      <c r="L81" s="115">
        <f>L82</f>
        <v>85650.763000000006</v>
      </c>
      <c r="M81" s="74"/>
    </row>
    <row r="82" spans="1:13" ht="20.45" customHeight="1" outlineLevel="1" x14ac:dyDescent="0.55000000000000004">
      <c r="A82" s="63">
        <f ca="1">IF($G82="UNIDADE CONSTRUTIVA",OFFSET(A82,0,0)+1,LARGE(A$3:A80,1))</f>
        <v>3</v>
      </c>
      <c r="B82" s="63">
        <f t="shared" ca="1" si="10"/>
        <v>5</v>
      </c>
      <c r="C82" s="63">
        <f t="shared" ca="1" si="11"/>
        <v>1</v>
      </c>
      <c r="D82" s="64">
        <f t="shared" ca="1" si="12"/>
        <v>3</v>
      </c>
      <c r="E82" s="64">
        <f t="shared" ca="1" si="13"/>
        <v>1</v>
      </c>
      <c r="F82" s="65"/>
      <c r="G82" s="73" t="s">
        <v>154</v>
      </c>
      <c r="H82" s="67" t="str">
        <f t="shared" ca="1" si="9"/>
        <v>05.001.003.001</v>
      </c>
      <c r="I82" s="74" t="s">
        <v>51</v>
      </c>
      <c r="J82" s="128">
        <f>[7]IMPERMEABILIZAÇÃO!$D$11+[7]IMPERMEABILIZAÇÃO!$D$12</f>
        <v>2205.0700000000002</v>
      </c>
      <c r="K82" s="127" t="s">
        <v>185</v>
      </c>
      <c r="L82" s="115">
        <f>[7]IMPERMEABILIZAÇÃO!$G$11+[7]IMPERMEABILIZAÇÃO!$G$12</f>
        <v>85650.763000000006</v>
      </c>
      <c r="M82" s="74" t="s">
        <v>216</v>
      </c>
    </row>
    <row r="83" spans="1:13" ht="20.45" customHeight="1" outlineLevel="1" x14ac:dyDescent="0.55000000000000004">
      <c r="A83" s="63">
        <f ca="1">IF($G83="UNIDADE CONSTRUTIVA",OFFSET(A83,0,0)+1,LARGE(A$3:A81,1))</f>
        <v>3</v>
      </c>
      <c r="B83" s="63">
        <f t="shared" ca="1" si="10"/>
        <v>5</v>
      </c>
      <c r="C83" s="63">
        <f t="shared" ca="1" si="11"/>
        <v>1</v>
      </c>
      <c r="D83" s="64">
        <f t="shared" ca="1" si="12"/>
        <v>4</v>
      </c>
      <c r="E83" s="64">
        <f t="shared" ca="1" si="13"/>
        <v>0</v>
      </c>
      <c r="F83" s="65"/>
      <c r="G83" s="73" t="s">
        <v>153</v>
      </c>
      <c r="H83" s="67" t="str">
        <f t="shared" ca="1" si="9"/>
        <v>05.001.004</v>
      </c>
      <c r="I83" s="74" t="s">
        <v>52</v>
      </c>
      <c r="J83" s="96"/>
      <c r="K83" s="127"/>
      <c r="L83" s="115">
        <f>L84</f>
        <v>399894.99</v>
      </c>
      <c r="M83" s="74"/>
    </row>
    <row r="84" spans="1:13" ht="20.45" customHeight="1" outlineLevel="1" x14ac:dyDescent="0.55000000000000004">
      <c r="A84" s="63">
        <f ca="1">IF($G84="UNIDADE CONSTRUTIVA",OFFSET(A84,0,0)+1,LARGE(A$3:A82,1))</f>
        <v>3</v>
      </c>
      <c r="B84" s="63">
        <f t="shared" ca="1" si="10"/>
        <v>5</v>
      </c>
      <c r="C84" s="63">
        <f t="shared" ca="1" si="11"/>
        <v>1</v>
      </c>
      <c r="D84" s="64">
        <f t="shared" ca="1" si="12"/>
        <v>4</v>
      </c>
      <c r="E84" s="64">
        <f t="shared" ca="1" si="13"/>
        <v>1</v>
      </c>
      <c r="F84" s="65"/>
      <c r="G84" s="73" t="s">
        <v>154</v>
      </c>
      <c r="H84" s="67" t="str">
        <f t="shared" ca="1" si="9"/>
        <v>05.001.004.001</v>
      </c>
      <c r="I84" s="74" t="s">
        <v>52</v>
      </c>
      <c r="J84" s="96">
        <v>2423.6059999999998</v>
      </c>
      <c r="K84" s="127" t="s">
        <v>185</v>
      </c>
      <c r="L84" s="115">
        <v>399894.99</v>
      </c>
      <c r="M84" s="74"/>
    </row>
    <row r="85" spans="1:13" ht="20.45" customHeight="1" outlineLevel="1" x14ac:dyDescent="0.55000000000000004">
      <c r="A85" s="63">
        <f ca="1">IF($G85="UNIDADE CONSTRUTIVA",OFFSET(A85,0,0)+1,LARGE(A$3:A83,1))</f>
        <v>3</v>
      </c>
      <c r="B85" s="63">
        <f t="shared" ca="1" si="10"/>
        <v>5</v>
      </c>
      <c r="C85" s="63">
        <f t="shared" ca="1" si="11"/>
        <v>1</v>
      </c>
      <c r="D85" s="64">
        <f t="shared" ca="1" si="12"/>
        <v>5</v>
      </c>
      <c r="E85" s="64">
        <f t="shared" ca="1" si="13"/>
        <v>0</v>
      </c>
      <c r="F85" s="65"/>
      <c r="G85" s="73" t="s">
        <v>153</v>
      </c>
      <c r="H85" s="67" t="str">
        <f t="shared" ca="1" si="9"/>
        <v>05.001.005</v>
      </c>
      <c r="I85" s="74" t="s">
        <v>53</v>
      </c>
      <c r="J85" s="96"/>
      <c r="K85" s="127"/>
      <c r="L85" s="115"/>
      <c r="M85" s="74"/>
    </row>
    <row r="86" spans="1:13" ht="20.45" customHeight="1" outlineLevel="1" x14ac:dyDescent="0.55000000000000004">
      <c r="A86" s="63">
        <f ca="1">IF($G86="UNIDADE CONSTRUTIVA",OFFSET(A86,0,0)+1,LARGE(A$3:A84,1))</f>
        <v>3</v>
      </c>
      <c r="B86" s="63">
        <f t="shared" ca="1" si="10"/>
        <v>5</v>
      </c>
      <c r="C86" s="63">
        <f t="shared" ca="1" si="11"/>
        <v>1</v>
      </c>
      <c r="D86" s="64">
        <f t="shared" ca="1" si="12"/>
        <v>5</v>
      </c>
      <c r="E86" s="64">
        <f t="shared" ca="1" si="13"/>
        <v>1</v>
      </c>
      <c r="F86" s="65"/>
      <c r="G86" s="73" t="s">
        <v>154</v>
      </c>
      <c r="H86" s="67" t="str">
        <f t="shared" ca="1" si="9"/>
        <v>05.001.005.001</v>
      </c>
      <c r="I86" s="74" t="s">
        <v>53</v>
      </c>
      <c r="J86" s="96"/>
      <c r="K86" s="127" t="s">
        <v>185</v>
      </c>
      <c r="L86" s="115"/>
      <c r="M86" s="74"/>
    </row>
    <row r="87" spans="1:13" ht="20.45" customHeight="1" outlineLevel="1" x14ac:dyDescent="0.55000000000000004">
      <c r="A87" s="63">
        <f ca="1">IF($G87="UNIDADE CONSTRUTIVA",OFFSET(A87,0,0)+1,LARGE(A$3:A85,1))</f>
        <v>3</v>
      </c>
      <c r="B87" s="63">
        <f t="shared" ca="1" si="10"/>
        <v>5</v>
      </c>
      <c r="C87" s="63">
        <f t="shared" ca="1" si="11"/>
        <v>1</v>
      </c>
      <c r="D87" s="64">
        <f t="shared" ca="1" si="12"/>
        <v>6</v>
      </c>
      <c r="E87" s="64">
        <f t="shared" ca="1" si="13"/>
        <v>0</v>
      </c>
      <c r="F87" s="65"/>
      <c r="G87" s="73" t="s">
        <v>153</v>
      </c>
      <c r="H87" s="67" t="str">
        <f t="shared" ca="1" si="9"/>
        <v>05.001.006</v>
      </c>
      <c r="I87" s="74" t="s">
        <v>54</v>
      </c>
      <c r="J87" s="96"/>
      <c r="K87" s="127"/>
      <c r="L87" s="115">
        <f>L88</f>
        <v>451715.88000000012</v>
      </c>
      <c r="M87" s="74"/>
    </row>
    <row r="88" spans="1:13" ht="20.45" customHeight="1" outlineLevel="1" x14ac:dyDescent="0.55000000000000004">
      <c r="A88" s="63">
        <f ca="1">IF($G88="UNIDADE CONSTRUTIVA",OFFSET(A88,0,0)+1,LARGE(A$3:A86,1))</f>
        <v>3</v>
      </c>
      <c r="B88" s="63">
        <f t="shared" ca="1" si="10"/>
        <v>5</v>
      </c>
      <c r="C88" s="63">
        <f t="shared" ca="1" si="11"/>
        <v>1</v>
      </c>
      <c r="D88" s="64">
        <f t="shared" ca="1" si="12"/>
        <v>6</v>
      </c>
      <c r="E88" s="64">
        <f t="shared" ca="1" si="13"/>
        <v>1</v>
      </c>
      <c r="F88" s="65"/>
      <c r="G88" s="73" t="s">
        <v>154</v>
      </c>
      <c r="H88" s="67" t="str">
        <f t="shared" ca="1" si="9"/>
        <v>05.001.006.001</v>
      </c>
      <c r="I88" s="74" t="s">
        <v>54</v>
      </c>
      <c r="J88" s="96">
        <v>7528.5980000000018</v>
      </c>
      <c r="K88" s="127" t="s">
        <v>185</v>
      </c>
      <c r="L88" s="115">
        <v>451715.88000000012</v>
      </c>
      <c r="M88" s="74"/>
    </row>
    <row r="89" spans="1:13" ht="20.45" customHeight="1" outlineLevel="1" x14ac:dyDescent="0.55000000000000004">
      <c r="A89" s="63">
        <f ca="1">IF($G89="UNIDADE CONSTRUTIVA",OFFSET(A89,0,0)+1,LARGE(A$3:A87,1))</f>
        <v>3</v>
      </c>
      <c r="B89" s="63">
        <f t="shared" ca="1" si="10"/>
        <v>5</v>
      </c>
      <c r="C89" s="63">
        <f t="shared" ca="1" si="11"/>
        <v>1</v>
      </c>
      <c r="D89" s="64">
        <f t="shared" ca="1" si="12"/>
        <v>7</v>
      </c>
      <c r="E89" s="64">
        <f t="shared" ca="1" si="13"/>
        <v>0</v>
      </c>
      <c r="F89" s="65"/>
      <c r="G89" s="73" t="s">
        <v>153</v>
      </c>
      <c r="H89" s="67" t="str">
        <f t="shared" ca="1" si="9"/>
        <v>05.001.007</v>
      </c>
      <c r="I89" s="74" t="s">
        <v>55</v>
      </c>
      <c r="J89" s="96"/>
      <c r="K89" s="127"/>
      <c r="L89" s="115">
        <f>L90</f>
        <v>14196.784800000005</v>
      </c>
      <c r="M89" s="74"/>
    </row>
    <row r="90" spans="1:13" ht="20.45" customHeight="1" outlineLevel="1" x14ac:dyDescent="0.55000000000000004">
      <c r="A90" s="63">
        <f ca="1">IF($G90="UNIDADE CONSTRUTIVA",OFFSET(A90,0,0)+1,LARGE(A$3:A88,1))</f>
        <v>3</v>
      </c>
      <c r="B90" s="63">
        <f t="shared" ca="1" si="10"/>
        <v>5</v>
      </c>
      <c r="C90" s="63">
        <f t="shared" ca="1" si="11"/>
        <v>1</v>
      </c>
      <c r="D90" s="64">
        <f t="shared" ca="1" si="12"/>
        <v>7</v>
      </c>
      <c r="E90" s="64">
        <f t="shared" ca="1" si="13"/>
        <v>1</v>
      </c>
      <c r="F90" s="65"/>
      <c r="G90" s="73" t="s">
        <v>154</v>
      </c>
      <c r="H90" s="67" t="str">
        <f t="shared" ca="1" si="9"/>
        <v>05.001.007.001</v>
      </c>
      <c r="I90" s="74" t="s">
        <v>55</v>
      </c>
      <c r="J90" s="96">
        <v>1</v>
      </c>
      <c r="K90" s="127" t="s">
        <v>217</v>
      </c>
      <c r="L90" s="115">
        <v>14196.784800000005</v>
      </c>
      <c r="M90" s="74"/>
    </row>
    <row r="91" spans="1:13" ht="20.45" customHeight="1" outlineLevel="1" x14ac:dyDescent="0.55000000000000004">
      <c r="A91" s="63">
        <f ca="1">IF($G91="UNIDADE CONSTRUTIVA",OFFSET(A91,0,0)+1,LARGE(A$3:A89,1))</f>
        <v>3</v>
      </c>
      <c r="B91" s="63">
        <f t="shared" ca="1" si="10"/>
        <v>5</v>
      </c>
      <c r="C91" s="63">
        <f t="shared" ca="1" si="11"/>
        <v>1</v>
      </c>
      <c r="D91" s="64">
        <f t="shared" ca="1" si="12"/>
        <v>8</v>
      </c>
      <c r="E91" s="64">
        <f t="shared" ca="1" si="13"/>
        <v>0</v>
      </c>
      <c r="F91" s="65"/>
      <c r="G91" s="73" t="s">
        <v>153</v>
      </c>
      <c r="H91" s="67" t="str">
        <f t="shared" ref="H91:H167" ca="1" si="19">IF(G91="Unidade Construtiva",TEXT(A91,"00"),IF(G91="Célula Construtiva",TEXT(B91,"00"),IF(G91="Etapa",CONCATENATE(TEXT(B91,"00"),".",TEXT(C91,"000")),IF(G91="Subetapa",CONCATENATE(TEXT(B91,"00"),".",TEXT(C91,"000"),".",TEXT(D91,"000")),IF(G91="Serviço",CONCATENATE(TEXT(B91,"00"),".",TEXT(C91,"000"),".",TEXT(D91,"000"),".",TEXT(E91,"000")),"")))))</f>
        <v>05.001.008</v>
      </c>
      <c r="I91" s="74" t="s">
        <v>56</v>
      </c>
      <c r="J91" s="96"/>
      <c r="K91" s="127"/>
      <c r="L91" s="115">
        <f>L92</f>
        <v>9464.5232000000033</v>
      </c>
      <c r="M91" s="74"/>
    </row>
    <row r="92" spans="1:13" ht="20.45" customHeight="1" outlineLevel="1" x14ac:dyDescent="0.55000000000000004">
      <c r="A92" s="63">
        <f ca="1">IF($G92="UNIDADE CONSTRUTIVA",OFFSET(A92,0,0)+1,LARGE(A$3:A90,1))</f>
        <v>3</v>
      </c>
      <c r="B92" s="63">
        <f t="shared" ca="1" si="10"/>
        <v>5</v>
      </c>
      <c r="C92" s="63">
        <f t="shared" ca="1" si="11"/>
        <v>1</v>
      </c>
      <c r="D92" s="64">
        <f t="shared" ca="1" si="12"/>
        <v>8</v>
      </c>
      <c r="E92" s="64">
        <f t="shared" ca="1" si="13"/>
        <v>1</v>
      </c>
      <c r="F92" s="65"/>
      <c r="G92" s="73" t="s">
        <v>154</v>
      </c>
      <c r="H92" s="67" t="str">
        <f t="shared" ca="1" si="19"/>
        <v>05.001.008.001</v>
      </c>
      <c r="I92" s="74" t="s">
        <v>56</v>
      </c>
      <c r="J92" s="96">
        <v>1</v>
      </c>
      <c r="K92" s="127" t="s">
        <v>217</v>
      </c>
      <c r="L92" s="115">
        <v>9464.5232000000033</v>
      </c>
      <c r="M92" s="74"/>
    </row>
    <row r="93" spans="1:13" ht="20.45" customHeight="1" outlineLevel="1" x14ac:dyDescent="0.55000000000000004">
      <c r="A93" s="63">
        <f ca="1">IF($G93="UNIDADE CONSTRUTIVA",OFFSET(A93,0,0)+1,LARGE(A$3:A91,1))</f>
        <v>3</v>
      </c>
      <c r="B93" s="63">
        <f t="shared" ca="1" si="10"/>
        <v>5</v>
      </c>
      <c r="C93" s="63">
        <f t="shared" ca="1" si="11"/>
        <v>1</v>
      </c>
      <c r="D93" s="64">
        <f t="shared" ca="1" si="12"/>
        <v>9</v>
      </c>
      <c r="E93" s="64">
        <f t="shared" ca="1" si="13"/>
        <v>0</v>
      </c>
      <c r="F93" s="65"/>
      <c r="G93" s="73" t="s">
        <v>153</v>
      </c>
      <c r="H93" s="67" t="str">
        <f t="shared" ca="1" si="19"/>
        <v>05.001.009</v>
      </c>
      <c r="I93" s="74" t="s">
        <v>57</v>
      </c>
      <c r="J93" s="96"/>
      <c r="K93" s="127"/>
      <c r="L93" s="115"/>
      <c r="M93" s="74"/>
    </row>
    <row r="94" spans="1:13" ht="20.45" customHeight="1" outlineLevel="1" x14ac:dyDescent="0.55000000000000004">
      <c r="A94" s="63">
        <f ca="1">IF($G94="UNIDADE CONSTRUTIVA",OFFSET(A94,0,0)+1,LARGE(A$3:A92,1))</f>
        <v>3</v>
      </c>
      <c r="B94" s="63">
        <f t="shared" ca="1" si="10"/>
        <v>5</v>
      </c>
      <c r="C94" s="63">
        <f t="shared" ca="1" si="11"/>
        <v>1</v>
      </c>
      <c r="D94" s="64">
        <f t="shared" ca="1" si="12"/>
        <v>9</v>
      </c>
      <c r="E94" s="64">
        <f t="shared" ca="1" si="13"/>
        <v>1</v>
      </c>
      <c r="F94" s="65"/>
      <c r="G94" s="73" t="s">
        <v>154</v>
      </c>
      <c r="H94" s="67" t="str">
        <f t="shared" ca="1" si="19"/>
        <v>05.001.009.001</v>
      </c>
      <c r="I94" s="74" t="s">
        <v>57</v>
      </c>
      <c r="J94" s="96"/>
      <c r="K94" s="127" t="s">
        <v>185</v>
      </c>
      <c r="L94" s="115"/>
      <c r="M94" s="74"/>
    </row>
    <row r="95" spans="1:13" ht="20.45" customHeight="1" outlineLevel="1" x14ac:dyDescent="0.55000000000000004">
      <c r="A95" s="63">
        <f ca="1">IF($G95="UNIDADE CONSTRUTIVA",OFFSET(A95,0,0)+1,LARGE(A$3:A93,1))</f>
        <v>3</v>
      </c>
      <c r="B95" s="63">
        <f t="shared" ca="1" si="10"/>
        <v>5</v>
      </c>
      <c r="C95" s="63">
        <f t="shared" ca="1" si="11"/>
        <v>1</v>
      </c>
      <c r="D95" s="64">
        <f t="shared" ca="1" si="12"/>
        <v>10</v>
      </c>
      <c r="E95" s="64">
        <f t="shared" ca="1" si="13"/>
        <v>0</v>
      </c>
      <c r="F95" s="65"/>
      <c r="G95" s="73" t="s">
        <v>153</v>
      </c>
      <c r="H95" s="67" t="str">
        <f t="shared" ca="1" si="19"/>
        <v>05.001.010</v>
      </c>
      <c r="I95" s="74" t="s">
        <v>58</v>
      </c>
      <c r="J95" s="96"/>
      <c r="K95" s="127"/>
      <c r="L95" s="115"/>
      <c r="M95" s="74"/>
    </row>
    <row r="96" spans="1:13" ht="20.45" customHeight="1" outlineLevel="1" x14ac:dyDescent="0.55000000000000004">
      <c r="A96" s="63">
        <f ca="1">IF($G96="UNIDADE CONSTRUTIVA",OFFSET(A96,0,0)+1,LARGE(A$3:A94,1))</f>
        <v>3</v>
      </c>
      <c r="B96" s="63">
        <f t="shared" ca="1" si="10"/>
        <v>5</v>
      </c>
      <c r="C96" s="63">
        <f t="shared" ca="1" si="11"/>
        <v>1</v>
      </c>
      <c r="D96" s="64">
        <f t="shared" ca="1" si="12"/>
        <v>10</v>
      </c>
      <c r="E96" s="64">
        <f t="shared" ca="1" si="13"/>
        <v>1</v>
      </c>
      <c r="F96" s="65"/>
      <c r="G96" s="73" t="s">
        <v>154</v>
      </c>
      <c r="H96" s="67" t="str">
        <f t="shared" ca="1" si="19"/>
        <v>05.001.010.001</v>
      </c>
      <c r="I96" s="74" t="s">
        <v>58</v>
      </c>
      <c r="J96" s="96"/>
      <c r="K96" s="127" t="s">
        <v>185</v>
      </c>
      <c r="L96" s="115"/>
      <c r="M96" s="74"/>
    </row>
    <row r="97" spans="1:13" ht="20.45" customHeight="1" outlineLevel="1" x14ac:dyDescent="0.55000000000000004">
      <c r="A97" s="63">
        <f ca="1">IF($G97="UNIDADE CONSTRUTIVA",OFFSET(A97,0,0)+1,LARGE(A$3:A95,1))</f>
        <v>3</v>
      </c>
      <c r="B97" s="63">
        <f t="shared" ca="1" si="10"/>
        <v>5</v>
      </c>
      <c r="C97" s="63">
        <f t="shared" ca="1" si="11"/>
        <v>1</v>
      </c>
      <c r="D97" s="64">
        <f t="shared" ca="1" si="12"/>
        <v>11</v>
      </c>
      <c r="E97" s="64">
        <f t="shared" ca="1" si="13"/>
        <v>0</v>
      </c>
      <c r="F97" s="65"/>
      <c r="G97" s="73" t="s">
        <v>153</v>
      </c>
      <c r="H97" s="67" t="str">
        <f t="shared" ca="1" si="19"/>
        <v>05.001.011</v>
      </c>
      <c r="I97" s="74" t="s">
        <v>39</v>
      </c>
      <c r="J97" s="96"/>
      <c r="K97" s="127"/>
      <c r="L97" s="115"/>
      <c r="M97" s="74"/>
    </row>
    <row r="98" spans="1:13" ht="20.45" customHeight="1" outlineLevel="1" x14ac:dyDescent="0.55000000000000004">
      <c r="A98" s="63">
        <f ca="1">IF($G98="UNIDADE CONSTRUTIVA",OFFSET(A98,0,0)+1,LARGE(A$3:A96,1))</f>
        <v>3</v>
      </c>
      <c r="B98" s="63">
        <f t="shared" ca="1" si="10"/>
        <v>5</v>
      </c>
      <c r="C98" s="63">
        <f t="shared" ca="1" si="11"/>
        <v>1</v>
      </c>
      <c r="D98" s="64">
        <f t="shared" ca="1" si="12"/>
        <v>11</v>
      </c>
      <c r="E98" s="64">
        <f t="shared" ca="1" si="13"/>
        <v>1</v>
      </c>
      <c r="F98" s="65"/>
      <c r="G98" s="73" t="s">
        <v>154</v>
      </c>
      <c r="H98" s="67" t="str">
        <f t="shared" ca="1" si="19"/>
        <v>05.001.011.001</v>
      </c>
      <c r="I98" s="74" t="s">
        <v>206</v>
      </c>
      <c r="J98" s="96"/>
      <c r="K98" s="127" t="s">
        <v>185</v>
      </c>
      <c r="L98" s="115"/>
      <c r="M98" s="74"/>
    </row>
    <row r="99" spans="1:13" ht="20.45" customHeight="1" outlineLevel="1" x14ac:dyDescent="0.55000000000000004">
      <c r="A99" s="63">
        <f ca="1">IF($G99="UNIDADE CONSTRUTIVA",OFFSET(A99,0,0)+1,LARGE(A$3:A97,1))</f>
        <v>3</v>
      </c>
      <c r="B99" s="63">
        <f t="shared" ca="1" si="10"/>
        <v>5</v>
      </c>
      <c r="C99" s="63">
        <f t="shared" ca="1" si="11"/>
        <v>1</v>
      </c>
      <c r="D99" s="64">
        <f t="shared" ca="1" si="12"/>
        <v>11</v>
      </c>
      <c r="E99" s="64">
        <f t="shared" ca="1" si="13"/>
        <v>2</v>
      </c>
      <c r="F99" s="65"/>
      <c r="G99" s="73" t="s">
        <v>154</v>
      </c>
      <c r="H99" s="67" t="str">
        <f t="shared" ca="1" si="19"/>
        <v>05.001.011.002</v>
      </c>
      <c r="I99" s="74" t="s">
        <v>207</v>
      </c>
      <c r="J99" s="96"/>
      <c r="K99" s="127" t="s">
        <v>185</v>
      </c>
      <c r="L99" s="115"/>
      <c r="M99" s="74"/>
    </row>
    <row r="100" spans="1:13" ht="20.45" customHeight="1" outlineLevel="1" x14ac:dyDescent="0.55000000000000004">
      <c r="A100" s="63">
        <f ca="1">IF($G100="UNIDADE CONSTRUTIVA",OFFSET(A100,0,0)+1,LARGE(A$3:A98,1))</f>
        <v>3</v>
      </c>
      <c r="B100" s="63">
        <f t="shared" ca="1" si="10"/>
        <v>5</v>
      </c>
      <c r="C100" s="63">
        <f t="shared" ca="1" si="11"/>
        <v>1</v>
      </c>
      <c r="D100" s="64">
        <f t="shared" ca="1" si="12"/>
        <v>11</v>
      </c>
      <c r="E100" s="64">
        <f t="shared" ca="1" si="13"/>
        <v>3</v>
      </c>
      <c r="F100" s="65"/>
      <c r="G100" s="73" t="s">
        <v>154</v>
      </c>
      <c r="H100" s="67" t="str">
        <f t="shared" ca="1" si="19"/>
        <v>05.001.011.003</v>
      </c>
      <c r="I100" s="74" t="s">
        <v>208</v>
      </c>
      <c r="J100" s="96"/>
      <c r="K100" s="127" t="s">
        <v>185</v>
      </c>
      <c r="L100" s="115"/>
      <c r="M100" s="74"/>
    </row>
    <row r="101" spans="1:13" ht="20.45" customHeight="1" outlineLevel="1" x14ac:dyDescent="0.55000000000000004">
      <c r="A101" s="63">
        <f ca="1">IF($G101="UNIDADE CONSTRUTIVA",OFFSET(A101,0,0)+1,LARGE(A$3:A99,1))</f>
        <v>3</v>
      </c>
      <c r="B101" s="63">
        <f t="shared" ca="1" si="10"/>
        <v>5</v>
      </c>
      <c r="C101" s="63">
        <f t="shared" ca="1" si="11"/>
        <v>1</v>
      </c>
      <c r="D101" s="64">
        <f t="shared" ca="1" si="12"/>
        <v>11</v>
      </c>
      <c r="E101" s="64">
        <f t="shared" ca="1" si="13"/>
        <v>4</v>
      </c>
      <c r="F101" s="65"/>
      <c r="G101" s="73" t="s">
        <v>154</v>
      </c>
      <c r="H101" s="67" t="str">
        <f t="shared" ca="1" si="19"/>
        <v>05.001.011.004</v>
      </c>
      <c r="I101" s="74" t="s">
        <v>209</v>
      </c>
      <c r="J101" s="96"/>
      <c r="K101" s="127" t="s">
        <v>185</v>
      </c>
      <c r="L101" s="115"/>
      <c r="M101" s="74"/>
    </row>
    <row r="102" spans="1:13" ht="20.45" customHeight="1" outlineLevel="1" x14ac:dyDescent="0.55000000000000004">
      <c r="A102" s="63">
        <f ca="1">IF($G102="UNIDADE CONSTRUTIVA",OFFSET(A102,0,0)+1,LARGE(A$3:A100,1))</f>
        <v>3</v>
      </c>
      <c r="B102" s="63">
        <f t="shared" ca="1" si="10"/>
        <v>5</v>
      </c>
      <c r="C102" s="63">
        <f t="shared" ca="1" si="11"/>
        <v>1</v>
      </c>
      <c r="D102" s="64">
        <f t="shared" ca="1" si="12"/>
        <v>11</v>
      </c>
      <c r="E102" s="64">
        <f t="shared" ca="1" si="13"/>
        <v>5</v>
      </c>
      <c r="F102" s="65"/>
      <c r="G102" s="73" t="s">
        <v>154</v>
      </c>
      <c r="H102" s="67" t="str">
        <f t="shared" ca="1" si="19"/>
        <v>05.001.011.005</v>
      </c>
      <c r="I102" s="74" t="s">
        <v>210</v>
      </c>
      <c r="J102" s="96"/>
      <c r="K102" s="127" t="s">
        <v>185</v>
      </c>
      <c r="L102" s="115"/>
      <c r="M102" s="74"/>
    </row>
    <row r="103" spans="1:13" ht="20.45" customHeight="1" outlineLevel="1" x14ac:dyDescent="0.55000000000000004">
      <c r="A103" s="63">
        <f ca="1">IF($G103="UNIDADE CONSTRUTIVA",OFFSET(A103,0,0)+1,LARGE(A$3:A101,1))</f>
        <v>3</v>
      </c>
      <c r="B103" s="63">
        <f t="shared" ca="1" si="10"/>
        <v>5</v>
      </c>
      <c r="C103" s="63">
        <f t="shared" ca="1" si="11"/>
        <v>1</v>
      </c>
      <c r="D103" s="64">
        <f t="shared" ca="1" si="12"/>
        <v>11</v>
      </c>
      <c r="E103" s="64">
        <f t="shared" ca="1" si="13"/>
        <v>6</v>
      </c>
      <c r="F103" s="65"/>
      <c r="G103" s="73" t="s">
        <v>154</v>
      </c>
      <c r="H103" s="67" t="str">
        <f t="shared" ca="1" si="19"/>
        <v>05.001.011.006</v>
      </c>
      <c r="I103" s="74" t="s">
        <v>211</v>
      </c>
      <c r="J103" s="96"/>
      <c r="K103" s="127" t="s">
        <v>185</v>
      </c>
      <c r="L103" s="115"/>
      <c r="M103" s="74"/>
    </row>
    <row r="104" spans="1:13" ht="20.45" customHeight="1" outlineLevel="1" x14ac:dyDescent="0.55000000000000004">
      <c r="A104" s="63">
        <f ca="1">IF($G104="UNIDADE CONSTRUTIVA",OFFSET(A104,0,0)+1,LARGE(A$3:A102,1))</f>
        <v>3</v>
      </c>
      <c r="B104" s="63">
        <f t="shared" ca="1" si="10"/>
        <v>5</v>
      </c>
      <c r="C104" s="63">
        <f t="shared" ca="1" si="11"/>
        <v>1</v>
      </c>
      <c r="D104" s="64">
        <f t="shared" ca="1" si="12"/>
        <v>11</v>
      </c>
      <c r="E104" s="64">
        <f t="shared" ca="1" si="13"/>
        <v>7</v>
      </c>
      <c r="F104" s="65"/>
      <c r="G104" s="73" t="s">
        <v>154</v>
      </c>
      <c r="H104" s="67" t="str">
        <f t="shared" ca="1" si="19"/>
        <v>05.001.011.007</v>
      </c>
      <c r="I104" s="74" t="s">
        <v>212</v>
      </c>
      <c r="J104" s="96"/>
      <c r="K104" s="127" t="s">
        <v>185</v>
      </c>
      <c r="L104" s="115"/>
      <c r="M104" s="74"/>
    </row>
    <row r="105" spans="1:13" ht="20.45" customHeight="1" outlineLevel="1" x14ac:dyDescent="0.55000000000000004">
      <c r="A105" s="63">
        <f ca="1">IF($G105="UNIDADE CONSTRUTIVA",OFFSET(A105,0,0)+1,LARGE(A$3:A103,1))</f>
        <v>3</v>
      </c>
      <c r="B105" s="63">
        <f t="shared" ca="1" si="10"/>
        <v>5</v>
      </c>
      <c r="C105" s="63">
        <f t="shared" ca="1" si="11"/>
        <v>1</v>
      </c>
      <c r="D105" s="64">
        <f t="shared" ca="1" si="12"/>
        <v>11</v>
      </c>
      <c r="E105" s="64">
        <f t="shared" ca="1" si="13"/>
        <v>8</v>
      </c>
      <c r="F105" s="65"/>
      <c r="G105" s="73" t="s">
        <v>154</v>
      </c>
      <c r="H105" s="67" t="str">
        <f t="shared" ca="1" si="19"/>
        <v>05.001.011.008</v>
      </c>
      <c r="I105" s="74" t="s">
        <v>213</v>
      </c>
      <c r="J105" s="96"/>
      <c r="K105" s="127" t="s">
        <v>184</v>
      </c>
      <c r="L105" s="115"/>
      <c r="M105" s="74"/>
    </row>
    <row r="106" spans="1:13" ht="20.45" customHeight="1" outlineLevel="1" x14ac:dyDescent="0.55000000000000004">
      <c r="A106" s="63">
        <f ca="1">IF($G106="UNIDADE CONSTRUTIVA",OFFSET(A106,0,0)+1,LARGE(A$3:A103,1))</f>
        <v>3</v>
      </c>
      <c r="B106" s="63">
        <f t="shared" ca="1" si="10"/>
        <v>5</v>
      </c>
      <c r="C106" s="63">
        <f t="shared" ca="1" si="11"/>
        <v>1</v>
      </c>
      <c r="D106" s="64">
        <f t="shared" ca="1" si="12"/>
        <v>11</v>
      </c>
      <c r="E106" s="64">
        <f t="shared" ca="1" si="13"/>
        <v>9</v>
      </c>
      <c r="F106" s="65"/>
      <c r="G106" s="73" t="s">
        <v>154</v>
      </c>
      <c r="H106" s="67" t="str">
        <f t="shared" ca="1" si="19"/>
        <v>05.001.011.009</v>
      </c>
      <c r="I106" s="74" t="s">
        <v>214</v>
      </c>
      <c r="J106" s="96"/>
      <c r="K106" s="127" t="s">
        <v>185</v>
      </c>
      <c r="L106" s="115"/>
      <c r="M106" s="74"/>
    </row>
    <row r="107" spans="1:13" ht="20.45" customHeight="1" outlineLevel="1" x14ac:dyDescent="0.55000000000000004">
      <c r="A107" s="63">
        <f ca="1">IF($G107="UNIDADE CONSTRUTIVA",OFFSET(A107,0,0)+1,LARGE(A$3:A104,1))</f>
        <v>3</v>
      </c>
      <c r="B107" s="63">
        <f t="shared" ca="1" si="10"/>
        <v>5</v>
      </c>
      <c r="C107" s="63">
        <f t="shared" ca="1" si="11"/>
        <v>1</v>
      </c>
      <c r="D107" s="64">
        <f t="shared" ca="1" si="12"/>
        <v>11</v>
      </c>
      <c r="E107" s="64">
        <f t="shared" ca="1" si="13"/>
        <v>10</v>
      </c>
      <c r="F107" s="65"/>
      <c r="G107" s="73" t="s">
        <v>154</v>
      </c>
      <c r="H107" s="67" t="str">
        <f t="shared" ca="1" si="19"/>
        <v>05.001.011.010</v>
      </c>
      <c r="I107" s="74" t="s">
        <v>215</v>
      </c>
      <c r="J107" s="96"/>
      <c r="K107" s="127" t="s">
        <v>185</v>
      </c>
      <c r="L107" s="115"/>
      <c r="M107" s="74"/>
    </row>
    <row r="108" spans="1:13" ht="20.45" customHeight="1" x14ac:dyDescent="0.55000000000000004">
      <c r="A108" s="63">
        <f ca="1">IF($G108="UNIDADE CONSTRUTIVA",OFFSET(A108,0,0)+1,LARGE(A$3:A97,1))</f>
        <v>3</v>
      </c>
      <c r="B108" s="63">
        <f t="shared" ref="B108:B233" ca="1" si="20">IF(G108="UNIDADE CONSTRUTIVA",0,IF(G108="CÉLULA CONSTRUTIVA",OFFSET(B108,-1,0)+1,OFFSET(B108,-1,0)))</f>
        <v>6</v>
      </c>
      <c r="C108" s="63">
        <f t="shared" ref="C108:C233" ca="1" si="21">IF(G108="CÉLULA CONSTRUTIVA",0,IF(G108="ETAPA",OFFSET(C108,-1,0)+1,OFFSET(C108,-1,0)))</f>
        <v>0</v>
      </c>
      <c r="D108" s="64">
        <f t="shared" ref="D108:D233" ca="1" si="22">IF(G108="ETAPA",0,IF(G108="SUBETAPA",OFFSET(D108,-1,0)+1,OFFSET(D108,-1,0)))</f>
        <v>11</v>
      </c>
      <c r="E108" s="64">
        <f t="shared" ref="E108:E233" ca="1" si="23">IF(G108="Subetapa",0,IF(G108="serviço",OFFSET(E108,-1,0)+1,OFFSET(E108,-1,0)))</f>
        <v>10</v>
      </c>
      <c r="F108" s="65"/>
      <c r="G108" s="71" t="s">
        <v>156</v>
      </c>
      <c r="H108" s="67" t="str">
        <f t="shared" ca="1" si="19"/>
        <v>06</v>
      </c>
      <c r="I108" s="72" t="s">
        <v>59</v>
      </c>
      <c r="J108" s="95"/>
      <c r="K108" s="112"/>
      <c r="L108" s="113">
        <f>L109</f>
        <v>3094679.5000000014</v>
      </c>
      <c r="M108" s="72"/>
    </row>
    <row r="109" spans="1:13" ht="20.45" customHeight="1" outlineLevel="1" x14ac:dyDescent="0.55000000000000004">
      <c r="A109" s="63">
        <f ca="1">IF($G109="UNIDADE CONSTRUTIVA",OFFSET(A109,0,0)+1,LARGE(A$3:A108,1))</f>
        <v>3</v>
      </c>
      <c r="B109" s="63">
        <f t="shared" ca="1" si="20"/>
        <v>6</v>
      </c>
      <c r="C109" s="63">
        <f t="shared" ca="1" si="21"/>
        <v>1</v>
      </c>
      <c r="D109" s="64">
        <f t="shared" ca="1" si="22"/>
        <v>0</v>
      </c>
      <c r="E109" s="64">
        <f t="shared" ca="1" si="23"/>
        <v>10</v>
      </c>
      <c r="F109" s="65"/>
      <c r="G109" s="71" t="s">
        <v>157</v>
      </c>
      <c r="H109" s="67" t="str">
        <f t="shared" ca="1" si="19"/>
        <v>06.001</v>
      </c>
      <c r="I109" s="80" t="s">
        <v>59</v>
      </c>
      <c r="J109" s="107"/>
      <c r="K109" s="138"/>
      <c r="L109" s="126">
        <f>SUM(L110:L131)/2</f>
        <v>3094679.5000000014</v>
      </c>
      <c r="M109" s="80"/>
    </row>
    <row r="110" spans="1:13" ht="20.45" customHeight="1" outlineLevel="1" x14ac:dyDescent="0.55000000000000004">
      <c r="A110" s="63">
        <f ca="1">IF($G110="UNIDADE CONSTRUTIVA",OFFSET(A110,0,0)+1,LARGE(A$3:A109,1))</f>
        <v>3</v>
      </c>
      <c r="B110" s="63">
        <f t="shared" ca="1" si="20"/>
        <v>6</v>
      </c>
      <c r="C110" s="63">
        <f t="shared" ca="1" si="21"/>
        <v>1</v>
      </c>
      <c r="D110" s="64">
        <f t="shared" ca="1" si="22"/>
        <v>1</v>
      </c>
      <c r="E110" s="64">
        <f t="shared" ca="1" si="23"/>
        <v>0</v>
      </c>
      <c r="F110" s="65"/>
      <c r="G110" s="73" t="s">
        <v>153</v>
      </c>
      <c r="H110" s="67" t="str">
        <f t="shared" ca="1" si="19"/>
        <v>06.001.001</v>
      </c>
      <c r="I110" s="74" t="s">
        <v>159</v>
      </c>
      <c r="J110" s="96"/>
      <c r="K110" s="127"/>
      <c r="L110" s="115">
        <f>L111</f>
        <v>0</v>
      </c>
      <c r="M110" s="74"/>
    </row>
    <row r="111" spans="1:13" ht="20.45" customHeight="1" outlineLevel="1" x14ac:dyDescent="0.55000000000000004">
      <c r="A111" s="63">
        <f ca="1">IF($G111="UNIDADE CONSTRUTIVA",OFFSET(A111,0,0)+1,LARGE(A$3:A110,1))</f>
        <v>3</v>
      </c>
      <c r="B111" s="63">
        <f t="shared" ca="1" si="20"/>
        <v>6</v>
      </c>
      <c r="C111" s="63">
        <f t="shared" ca="1" si="21"/>
        <v>1</v>
      </c>
      <c r="D111" s="64">
        <f t="shared" ca="1" si="22"/>
        <v>1</v>
      </c>
      <c r="E111" s="64">
        <f t="shared" ca="1" si="23"/>
        <v>1</v>
      </c>
      <c r="F111" s="65"/>
      <c r="G111" s="73" t="s">
        <v>154</v>
      </c>
      <c r="H111" s="67" t="str">
        <f t="shared" ca="1" si="19"/>
        <v>06.001.001.001</v>
      </c>
      <c r="I111" s="74" t="s">
        <v>159</v>
      </c>
      <c r="J111" s="96"/>
      <c r="K111" s="127"/>
      <c r="L111" s="115"/>
      <c r="M111" s="74"/>
    </row>
    <row r="112" spans="1:13" ht="20.45" customHeight="1" outlineLevel="1" x14ac:dyDescent="0.55000000000000004">
      <c r="A112" s="63">
        <f ca="1">IF($G112="UNIDADE CONSTRUTIVA",OFFSET(A112,0,0)+1,LARGE(A$3:A109,1))</f>
        <v>3</v>
      </c>
      <c r="B112" s="63">
        <f t="shared" ca="1" si="20"/>
        <v>6</v>
      </c>
      <c r="C112" s="63">
        <f t="shared" ca="1" si="21"/>
        <v>1</v>
      </c>
      <c r="D112" s="64">
        <f t="shared" ca="1" si="22"/>
        <v>2</v>
      </c>
      <c r="E112" s="64">
        <f t="shared" ca="1" si="23"/>
        <v>0</v>
      </c>
      <c r="F112" s="65"/>
      <c r="G112" s="73" t="s">
        <v>153</v>
      </c>
      <c r="H112" s="67" t="str">
        <f t="shared" ca="1" si="19"/>
        <v>06.001.002</v>
      </c>
      <c r="I112" s="74" t="s">
        <v>60</v>
      </c>
      <c r="J112" s="96"/>
      <c r="K112" s="127"/>
      <c r="L112" s="115">
        <f>L113</f>
        <v>520548.77600000019</v>
      </c>
      <c r="M112" s="74"/>
    </row>
    <row r="113" spans="1:13" ht="20.45" customHeight="1" outlineLevel="1" x14ac:dyDescent="0.55000000000000004">
      <c r="A113" s="63">
        <f ca="1">IF($G113="UNIDADE CONSTRUTIVA",OFFSET(A113,0,0)+1,LARGE(A$3:A110,1))</f>
        <v>3</v>
      </c>
      <c r="B113" s="63">
        <f t="shared" ca="1" si="20"/>
        <v>6</v>
      </c>
      <c r="C113" s="63">
        <f t="shared" ca="1" si="21"/>
        <v>1</v>
      </c>
      <c r="D113" s="64">
        <f t="shared" ca="1" si="22"/>
        <v>2</v>
      </c>
      <c r="E113" s="64">
        <f t="shared" ca="1" si="23"/>
        <v>1</v>
      </c>
      <c r="F113" s="65"/>
      <c r="G113" s="73" t="s">
        <v>154</v>
      </c>
      <c r="H113" s="67" t="str">
        <f t="shared" ca="1" si="19"/>
        <v>06.001.002.001</v>
      </c>
      <c r="I113" s="74" t="s">
        <v>60</v>
      </c>
      <c r="J113" s="96">
        <v>1</v>
      </c>
      <c r="K113" s="127" t="s">
        <v>217</v>
      </c>
      <c r="L113" s="115">
        <v>520548.77600000019</v>
      </c>
      <c r="M113" s="74"/>
    </row>
    <row r="114" spans="1:13" ht="20.45" customHeight="1" outlineLevel="1" x14ac:dyDescent="0.55000000000000004">
      <c r="A114" s="63">
        <f ca="1">IF($G114="UNIDADE CONSTRUTIVA",OFFSET(A114,0,0)+1,LARGE(A$3:A112,1))</f>
        <v>3</v>
      </c>
      <c r="B114" s="63">
        <f t="shared" ca="1" si="20"/>
        <v>6</v>
      </c>
      <c r="C114" s="63">
        <f t="shared" ca="1" si="21"/>
        <v>1</v>
      </c>
      <c r="D114" s="64">
        <f t="shared" ca="1" si="22"/>
        <v>3</v>
      </c>
      <c r="E114" s="64">
        <f t="shared" ca="1" si="23"/>
        <v>0</v>
      </c>
      <c r="F114" s="65"/>
      <c r="G114" s="73" t="s">
        <v>153</v>
      </c>
      <c r="H114" s="67" t="str">
        <f t="shared" ca="1" si="19"/>
        <v>06.001.003</v>
      </c>
      <c r="I114" s="74" t="s">
        <v>61</v>
      </c>
      <c r="J114" s="96"/>
      <c r="K114" s="127"/>
      <c r="L114" s="115">
        <f>SUM(L115:L117)</f>
        <v>473226.16000000015</v>
      </c>
      <c r="M114" s="74"/>
    </row>
    <row r="115" spans="1:13" ht="20.45" customHeight="1" outlineLevel="1" x14ac:dyDescent="0.55000000000000004">
      <c r="A115" s="63">
        <f ca="1">IF($G115="UNIDADE CONSTRUTIVA",OFFSET(A115,0,0)+1,LARGE(A$3:A113,1))</f>
        <v>3</v>
      </c>
      <c r="B115" s="63">
        <f t="shared" ca="1" si="20"/>
        <v>6</v>
      </c>
      <c r="C115" s="63">
        <f t="shared" ca="1" si="21"/>
        <v>1</v>
      </c>
      <c r="D115" s="64">
        <f t="shared" ca="1" si="22"/>
        <v>3</v>
      </c>
      <c r="E115" s="64">
        <f t="shared" ca="1" si="23"/>
        <v>1</v>
      </c>
      <c r="F115" s="65"/>
      <c r="G115" s="73" t="s">
        <v>154</v>
      </c>
      <c r="H115" s="67" t="str">
        <f t="shared" ca="1" si="19"/>
        <v>06.001.003.001</v>
      </c>
      <c r="I115" s="74" t="s">
        <v>61</v>
      </c>
      <c r="J115" s="96">
        <v>1</v>
      </c>
      <c r="K115" s="127" t="s">
        <v>217</v>
      </c>
      <c r="L115" s="115">
        <v>473226.16000000015</v>
      </c>
      <c r="M115" s="74"/>
    </row>
    <row r="116" spans="1:13" ht="20.45" customHeight="1" outlineLevel="1" x14ac:dyDescent="0.55000000000000004">
      <c r="A116" s="63">
        <f ca="1">IF($G116="UNIDADE CONSTRUTIVA",OFFSET(A116,0,0)+1,LARGE(A$3:A114,1))</f>
        <v>3</v>
      </c>
      <c r="B116" s="63">
        <f t="shared" ca="1" si="20"/>
        <v>6</v>
      </c>
      <c r="C116" s="63">
        <f t="shared" ca="1" si="21"/>
        <v>1</v>
      </c>
      <c r="D116" s="64">
        <f t="shared" ca="1" si="22"/>
        <v>3</v>
      </c>
      <c r="E116" s="64">
        <f t="shared" ca="1" si="23"/>
        <v>2</v>
      </c>
      <c r="F116" s="65"/>
      <c r="G116" s="73" t="s">
        <v>154</v>
      </c>
      <c r="H116" s="67" t="str">
        <f t="shared" ca="1" si="19"/>
        <v>06.001.003.002</v>
      </c>
      <c r="I116" s="74" t="s">
        <v>294</v>
      </c>
      <c r="J116" s="96"/>
      <c r="K116" s="127"/>
      <c r="L116" s="115"/>
      <c r="M116" s="74"/>
    </row>
    <row r="117" spans="1:13" ht="20.45" customHeight="1" outlineLevel="1" x14ac:dyDescent="0.55000000000000004">
      <c r="A117" s="63">
        <f ca="1">IF($G117="UNIDADE CONSTRUTIVA",OFFSET(A117,0,0)+1,LARGE(A$3:A115,1))</f>
        <v>3</v>
      </c>
      <c r="B117" s="63">
        <f t="shared" ca="1" si="20"/>
        <v>6</v>
      </c>
      <c r="C117" s="63">
        <f t="shared" ca="1" si="21"/>
        <v>1</v>
      </c>
      <c r="D117" s="64">
        <f t="shared" ca="1" si="22"/>
        <v>3</v>
      </c>
      <c r="E117" s="64">
        <f t="shared" ca="1" si="23"/>
        <v>3</v>
      </c>
      <c r="F117" s="65"/>
      <c r="G117" s="73" t="s">
        <v>154</v>
      </c>
      <c r="H117" s="67" t="str">
        <f t="shared" ca="1" si="19"/>
        <v>06.001.003.003</v>
      </c>
      <c r="I117" s="74" t="s">
        <v>478</v>
      </c>
      <c r="J117" s="96"/>
      <c r="K117" s="127"/>
      <c r="L117" s="115"/>
      <c r="M117" s="74"/>
    </row>
    <row r="118" spans="1:13" ht="20.45" customHeight="1" outlineLevel="1" x14ac:dyDescent="0.55000000000000004">
      <c r="A118" s="63">
        <f ca="1">IF($G118="UNIDADE CONSTRUTIVA",OFFSET(A118,0,0)+1,LARGE(A$3:A114,1))</f>
        <v>3</v>
      </c>
      <c r="B118" s="63">
        <f t="shared" ca="1" si="20"/>
        <v>6</v>
      </c>
      <c r="C118" s="63">
        <f t="shared" ca="1" si="21"/>
        <v>1</v>
      </c>
      <c r="D118" s="64">
        <f t="shared" ca="1" si="22"/>
        <v>4</v>
      </c>
      <c r="E118" s="64">
        <f t="shared" ca="1" si="23"/>
        <v>0</v>
      </c>
      <c r="F118" s="65"/>
      <c r="G118" s="73" t="s">
        <v>153</v>
      </c>
      <c r="H118" s="67" t="str">
        <f t="shared" ca="1" si="19"/>
        <v>06.001.004</v>
      </c>
      <c r="I118" s="74" t="s">
        <v>62</v>
      </c>
      <c r="J118" s="96"/>
      <c r="K118" s="127"/>
      <c r="L118" s="115">
        <f>L119</f>
        <v>638855.31600000022</v>
      </c>
      <c r="M118" s="74"/>
    </row>
    <row r="119" spans="1:13" ht="20.45" customHeight="1" outlineLevel="1" x14ac:dyDescent="0.55000000000000004">
      <c r="A119" s="63">
        <f ca="1">IF($G119="UNIDADE CONSTRUTIVA",OFFSET(A119,0,0)+1,LARGE(A$3:A115,1))</f>
        <v>3</v>
      </c>
      <c r="B119" s="63">
        <f t="shared" ca="1" si="20"/>
        <v>6</v>
      </c>
      <c r="C119" s="63">
        <f t="shared" ca="1" si="21"/>
        <v>1</v>
      </c>
      <c r="D119" s="64">
        <f t="shared" ca="1" si="22"/>
        <v>4</v>
      </c>
      <c r="E119" s="64">
        <f t="shared" ca="1" si="23"/>
        <v>1</v>
      </c>
      <c r="F119" s="65"/>
      <c r="G119" s="73" t="s">
        <v>154</v>
      </c>
      <c r="H119" s="67" t="str">
        <f t="shared" ca="1" si="19"/>
        <v>06.001.004.001</v>
      </c>
      <c r="I119" s="74" t="s">
        <v>62</v>
      </c>
      <c r="J119" s="96">
        <v>1</v>
      </c>
      <c r="K119" s="127" t="s">
        <v>217</v>
      </c>
      <c r="L119" s="115">
        <v>638855.31600000022</v>
      </c>
      <c r="M119" s="74"/>
    </row>
    <row r="120" spans="1:13" ht="20.45" customHeight="1" outlineLevel="1" x14ac:dyDescent="0.55000000000000004">
      <c r="A120" s="63">
        <f ca="1">IF($G120="UNIDADE CONSTRUTIVA",OFFSET(A120,0,0)+1,LARGE(A$3:A119,1))</f>
        <v>3</v>
      </c>
      <c r="B120" s="63">
        <f t="shared" ca="1" si="20"/>
        <v>6</v>
      </c>
      <c r="C120" s="63">
        <f t="shared" ca="1" si="21"/>
        <v>1</v>
      </c>
      <c r="D120" s="64">
        <f t="shared" ca="1" si="22"/>
        <v>5</v>
      </c>
      <c r="E120" s="64">
        <f t="shared" ca="1" si="23"/>
        <v>0</v>
      </c>
      <c r="F120" s="65"/>
      <c r="G120" s="73" t="s">
        <v>153</v>
      </c>
      <c r="H120" s="67" t="str">
        <f t="shared" ca="1" si="19"/>
        <v>06.001.005</v>
      </c>
      <c r="I120" s="74" t="s">
        <v>295</v>
      </c>
      <c r="J120" s="96"/>
      <c r="K120" s="127"/>
      <c r="L120" s="115">
        <f>L121</f>
        <v>0</v>
      </c>
      <c r="M120" s="74"/>
    </row>
    <row r="121" spans="1:13" ht="20.45" customHeight="1" outlineLevel="1" x14ac:dyDescent="0.55000000000000004">
      <c r="A121" s="63">
        <f ca="1">IF($G121="UNIDADE CONSTRUTIVA",OFFSET(A121,0,0)+1,LARGE(A$3:A120,1))</f>
        <v>3</v>
      </c>
      <c r="B121" s="63">
        <f t="shared" ca="1" si="20"/>
        <v>6</v>
      </c>
      <c r="C121" s="63">
        <f t="shared" ca="1" si="21"/>
        <v>1</v>
      </c>
      <c r="D121" s="64">
        <f t="shared" ca="1" si="22"/>
        <v>5</v>
      </c>
      <c r="E121" s="64">
        <f t="shared" ca="1" si="23"/>
        <v>1</v>
      </c>
      <c r="F121" s="65"/>
      <c r="G121" s="73" t="s">
        <v>154</v>
      </c>
      <c r="H121" s="67" t="str">
        <f t="shared" ca="1" si="19"/>
        <v>06.001.005.001</v>
      </c>
      <c r="I121" s="74" t="s">
        <v>295</v>
      </c>
      <c r="J121" s="96"/>
      <c r="K121" s="127"/>
      <c r="L121" s="115"/>
      <c r="M121" s="74"/>
    </row>
    <row r="122" spans="1:13" ht="20.45" customHeight="1" outlineLevel="1" x14ac:dyDescent="0.55000000000000004">
      <c r="A122" s="63">
        <f ca="1">IF($G122="UNIDADE CONSTRUTIVA",OFFSET(A122,0,0)+1,LARGE(A$3:A120,1))</f>
        <v>3</v>
      </c>
      <c r="B122" s="63">
        <f t="shared" ca="1" si="20"/>
        <v>6</v>
      </c>
      <c r="C122" s="63">
        <f t="shared" ca="1" si="21"/>
        <v>1</v>
      </c>
      <c r="D122" s="64">
        <f t="shared" ca="1" si="22"/>
        <v>6</v>
      </c>
      <c r="E122" s="64">
        <f t="shared" ca="1" si="23"/>
        <v>0</v>
      </c>
      <c r="F122" s="65"/>
      <c r="G122" s="73" t="s">
        <v>153</v>
      </c>
      <c r="H122" s="67" t="str">
        <f t="shared" ca="1" si="19"/>
        <v>06.001.006</v>
      </c>
      <c r="I122" s="74" t="s">
        <v>296</v>
      </c>
      <c r="J122" s="96"/>
      <c r="K122" s="127"/>
      <c r="L122" s="115">
        <f>L123</f>
        <v>0</v>
      </c>
      <c r="M122" s="74"/>
    </row>
    <row r="123" spans="1:13" ht="20.45" customHeight="1" outlineLevel="1" x14ac:dyDescent="0.55000000000000004">
      <c r="A123" s="63">
        <f ca="1">IF($G123="UNIDADE CONSTRUTIVA",OFFSET(A123,0,0)+1,LARGE(A$3:A121,1))</f>
        <v>3</v>
      </c>
      <c r="B123" s="63">
        <f t="shared" ca="1" si="20"/>
        <v>6</v>
      </c>
      <c r="C123" s="63">
        <f t="shared" ca="1" si="21"/>
        <v>1</v>
      </c>
      <c r="D123" s="64">
        <f t="shared" ca="1" si="22"/>
        <v>6</v>
      </c>
      <c r="E123" s="64">
        <f t="shared" ca="1" si="23"/>
        <v>1</v>
      </c>
      <c r="F123" s="65"/>
      <c r="G123" s="73" t="s">
        <v>154</v>
      </c>
      <c r="H123" s="67" t="str">
        <f t="shared" ca="1" si="19"/>
        <v>06.001.006.001</v>
      </c>
      <c r="I123" s="74" t="s">
        <v>296</v>
      </c>
      <c r="J123" s="96"/>
      <c r="K123" s="127"/>
      <c r="L123" s="115"/>
      <c r="M123" s="74"/>
    </row>
    <row r="124" spans="1:13" ht="20.45" customHeight="1" outlineLevel="1" x14ac:dyDescent="0.55000000000000004">
      <c r="A124" s="63">
        <f ca="1">IF($G124="UNIDADE CONSTRUTIVA",OFFSET(A124,0,0)+1,LARGE(A$3:A122,1))</f>
        <v>3</v>
      </c>
      <c r="B124" s="63">
        <f t="shared" ca="1" si="20"/>
        <v>6</v>
      </c>
      <c r="C124" s="63">
        <f t="shared" ca="1" si="21"/>
        <v>1</v>
      </c>
      <c r="D124" s="64">
        <f t="shared" ca="1" si="22"/>
        <v>7</v>
      </c>
      <c r="E124" s="64">
        <f t="shared" ca="1" si="23"/>
        <v>0</v>
      </c>
      <c r="F124" s="65"/>
      <c r="G124" s="73" t="s">
        <v>153</v>
      </c>
      <c r="H124" s="67" t="str">
        <f t="shared" ca="1" si="19"/>
        <v>06.001.007</v>
      </c>
      <c r="I124" s="74" t="s">
        <v>63</v>
      </c>
      <c r="J124" s="96"/>
      <c r="K124" s="127"/>
      <c r="L124" s="115">
        <f>L125</f>
        <v>23661.308000000008</v>
      </c>
      <c r="M124" s="74"/>
    </row>
    <row r="125" spans="1:13" ht="20.45" customHeight="1" outlineLevel="1" x14ac:dyDescent="0.55000000000000004">
      <c r="A125" s="63">
        <f ca="1">IF($G125="UNIDADE CONSTRUTIVA",OFFSET(A125,0,0)+1,LARGE(A$3:A123,1))</f>
        <v>3</v>
      </c>
      <c r="B125" s="63">
        <f t="shared" ca="1" si="20"/>
        <v>6</v>
      </c>
      <c r="C125" s="63">
        <f t="shared" ca="1" si="21"/>
        <v>1</v>
      </c>
      <c r="D125" s="64">
        <f t="shared" ca="1" si="22"/>
        <v>7</v>
      </c>
      <c r="E125" s="64">
        <f t="shared" ca="1" si="23"/>
        <v>1</v>
      </c>
      <c r="F125" s="65"/>
      <c r="G125" s="73" t="s">
        <v>154</v>
      </c>
      <c r="H125" s="67" t="str">
        <f t="shared" ca="1" si="19"/>
        <v>06.001.007.001</v>
      </c>
      <c r="I125" s="74" t="s">
        <v>63</v>
      </c>
      <c r="J125" s="96">
        <v>1</v>
      </c>
      <c r="K125" s="127" t="s">
        <v>217</v>
      </c>
      <c r="L125" s="115">
        <v>23661.308000000008</v>
      </c>
      <c r="M125" s="74"/>
    </row>
    <row r="126" spans="1:13" ht="20.45" customHeight="1" outlineLevel="1" x14ac:dyDescent="0.55000000000000004">
      <c r="A126" s="63">
        <f ca="1">IF($G126="UNIDADE CONSTRUTIVA",OFFSET(A126,0,0)+1,LARGE(A$3:A124,1))</f>
        <v>3</v>
      </c>
      <c r="B126" s="63">
        <f t="shared" ca="1" si="20"/>
        <v>6</v>
      </c>
      <c r="C126" s="63">
        <f t="shared" ca="1" si="21"/>
        <v>1</v>
      </c>
      <c r="D126" s="64">
        <f t="shared" ca="1" si="22"/>
        <v>8</v>
      </c>
      <c r="E126" s="64">
        <f t="shared" ca="1" si="23"/>
        <v>0</v>
      </c>
      <c r="F126" s="65"/>
      <c r="G126" s="73" t="s">
        <v>153</v>
      </c>
      <c r="H126" s="67" t="str">
        <f t="shared" ca="1" si="19"/>
        <v>06.001.008</v>
      </c>
      <c r="I126" s="74" t="s">
        <v>64</v>
      </c>
      <c r="J126" s="96"/>
      <c r="K126" s="127"/>
      <c r="L126" s="115">
        <f>SUM(L127:L129)</f>
        <v>137016.00000000003</v>
      </c>
      <c r="M126" s="74"/>
    </row>
    <row r="127" spans="1:13" ht="20.45" customHeight="1" outlineLevel="1" x14ac:dyDescent="0.55000000000000004">
      <c r="A127" s="63">
        <f ca="1">IF($G127="UNIDADE CONSTRUTIVA",OFFSET(A127,0,0)+1,LARGE(A$3:A125,1))</f>
        <v>3</v>
      </c>
      <c r="B127" s="63">
        <f t="shared" ca="1" si="20"/>
        <v>6</v>
      </c>
      <c r="C127" s="63">
        <f t="shared" ca="1" si="21"/>
        <v>1</v>
      </c>
      <c r="D127" s="64">
        <f t="shared" ca="1" si="22"/>
        <v>8</v>
      </c>
      <c r="E127" s="64">
        <f t="shared" ca="1" si="23"/>
        <v>1</v>
      </c>
      <c r="F127" s="65"/>
      <c r="G127" s="73" t="s">
        <v>154</v>
      </c>
      <c r="H127" s="67" t="str">
        <f t="shared" ca="1" si="19"/>
        <v>06.001.008.001</v>
      </c>
      <c r="I127" s="74" t="s">
        <v>298</v>
      </c>
      <c r="J127" s="96">
        <v>1</v>
      </c>
      <c r="K127" s="127" t="s">
        <v>217</v>
      </c>
      <c r="L127" s="115">
        <v>113960.00000000001</v>
      </c>
      <c r="M127" s="74"/>
    </row>
    <row r="128" spans="1:13" ht="20.45" customHeight="1" outlineLevel="1" x14ac:dyDescent="0.55000000000000004">
      <c r="A128" s="63">
        <f ca="1">IF($G128="UNIDADE CONSTRUTIVA",OFFSET(A128,0,0)+1,LARGE(A$3:A125,1))</f>
        <v>3</v>
      </c>
      <c r="B128" s="63">
        <f t="shared" ca="1" si="20"/>
        <v>6</v>
      </c>
      <c r="C128" s="63">
        <f t="shared" ca="1" si="21"/>
        <v>1</v>
      </c>
      <c r="D128" s="64">
        <f t="shared" ca="1" si="22"/>
        <v>8</v>
      </c>
      <c r="E128" s="64">
        <f t="shared" ca="1" si="23"/>
        <v>2</v>
      </c>
      <c r="F128" s="65"/>
      <c r="G128" s="73" t="s">
        <v>154</v>
      </c>
      <c r="H128" s="67" t="str">
        <f t="shared" ca="1" si="19"/>
        <v>06.001.008.002</v>
      </c>
      <c r="I128" s="74" t="s">
        <v>299</v>
      </c>
      <c r="J128" s="96"/>
      <c r="K128" s="127"/>
      <c r="L128" s="115"/>
      <c r="M128" s="74" t="s">
        <v>300</v>
      </c>
    </row>
    <row r="129" spans="1:13" ht="20.45" customHeight="1" outlineLevel="1" x14ac:dyDescent="0.55000000000000004">
      <c r="A129" s="63">
        <f ca="1">IF($G129="UNIDADE CONSTRUTIVA",OFFSET(A129,0,0)+1,LARGE(A$3:A126,1))</f>
        <v>3</v>
      </c>
      <c r="B129" s="63">
        <f t="shared" ref="B129" ca="1" si="24">IF(G129="UNIDADE CONSTRUTIVA",0,IF(G129="CÉLULA CONSTRUTIVA",OFFSET(B129,-1,0)+1,OFFSET(B129,-1,0)))</f>
        <v>6</v>
      </c>
      <c r="C129" s="63">
        <f t="shared" ref="C129" ca="1" si="25">IF(G129="CÉLULA CONSTRUTIVA",0,IF(G129="ETAPA",OFFSET(C129,-1,0)+1,OFFSET(C129,-1,0)))</f>
        <v>1</v>
      </c>
      <c r="D129" s="64">
        <f t="shared" ref="D129" ca="1" si="26">IF(G129="ETAPA",0,IF(G129="SUBETAPA",OFFSET(D129,-1,0)+1,OFFSET(D129,-1,0)))</f>
        <v>8</v>
      </c>
      <c r="E129" s="64">
        <f t="shared" ref="E129" ca="1" si="27">IF(G129="Subetapa",0,IF(G129="serviço",OFFSET(E129,-1,0)+1,OFFSET(E129,-1,0)))</f>
        <v>3</v>
      </c>
      <c r="F129" s="65"/>
      <c r="G129" s="73" t="s">
        <v>154</v>
      </c>
      <c r="H129" s="67" t="str">
        <f t="shared" ref="H129" ca="1" si="28">IF(G129="Unidade Construtiva",TEXT(A129,"00"),IF(G129="Célula Construtiva",TEXT(B129,"00"),IF(G129="Etapa",CONCATENATE(TEXT(B129,"00"),".",TEXT(C129,"000")),IF(G129="Subetapa",CONCATENATE(TEXT(B129,"00"),".",TEXT(C129,"000"),".",TEXT(D129,"000")),IF(G129="Serviço",CONCATENATE(TEXT(B129,"00"),".",TEXT(C129,"000"),".",TEXT(D129,"000"),".",TEXT(E129,"000")),"")))))</f>
        <v>06.001.008.003</v>
      </c>
      <c r="I129" s="74" t="s">
        <v>606</v>
      </c>
      <c r="J129" s="96">
        <v>1</v>
      </c>
      <c r="K129" s="127" t="s">
        <v>217</v>
      </c>
      <c r="L129" s="115">
        <v>23056.000000000004</v>
      </c>
      <c r="M129" s="74"/>
    </row>
    <row r="130" spans="1:13" ht="20.45" customHeight="1" outlineLevel="1" x14ac:dyDescent="0.55000000000000004">
      <c r="A130" s="63">
        <f ca="1">IF($G130="UNIDADE CONSTRUTIVA",OFFSET(A130,0,0)+1,LARGE(A$3:A126,1))</f>
        <v>3</v>
      </c>
      <c r="B130" s="63">
        <f t="shared" ca="1" si="20"/>
        <v>6</v>
      </c>
      <c r="C130" s="63">
        <f t="shared" ca="1" si="21"/>
        <v>1</v>
      </c>
      <c r="D130" s="64">
        <f t="shared" ca="1" si="22"/>
        <v>9</v>
      </c>
      <c r="E130" s="64">
        <f t="shared" ca="1" si="23"/>
        <v>0</v>
      </c>
      <c r="F130" s="65"/>
      <c r="G130" s="73" t="s">
        <v>153</v>
      </c>
      <c r="H130" s="67" t="str">
        <f t="shared" ca="1" si="19"/>
        <v>06.001.009</v>
      </c>
      <c r="I130" s="74" t="s">
        <v>39</v>
      </c>
      <c r="J130" s="96"/>
      <c r="K130" s="127"/>
      <c r="L130" s="115">
        <f>L131</f>
        <v>1301371.9400000004</v>
      </c>
      <c r="M130" s="74"/>
    </row>
    <row r="131" spans="1:13" ht="20.45" customHeight="1" outlineLevel="1" x14ac:dyDescent="0.55000000000000004">
      <c r="A131" s="63">
        <f ca="1">IF($G131="UNIDADE CONSTRUTIVA",OFFSET(A131,0,0)+1,LARGE(A$3:A128,1))</f>
        <v>3</v>
      </c>
      <c r="B131" s="63">
        <f t="shared" ca="1" si="20"/>
        <v>6</v>
      </c>
      <c r="C131" s="63">
        <f t="shared" ca="1" si="21"/>
        <v>1</v>
      </c>
      <c r="D131" s="64">
        <f t="shared" ca="1" si="22"/>
        <v>9</v>
      </c>
      <c r="E131" s="64">
        <f t="shared" ca="1" si="23"/>
        <v>1</v>
      </c>
      <c r="F131" s="65"/>
      <c r="G131" s="73" t="s">
        <v>154</v>
      </c>
      <c r="H131" s="67" t="str">
        <f t="shared" ca="1" si="19"/>
        <v>06.001.009.001</v>
      </c>
      <c r="I131" s="74" t="s">
        <v>297</v>
      </c>
      <c r="J131" s="96">
        <v>21510.280000000006</v>
      </c>
      <c r="K131" s="127" t="s">
        <v>185</v>
      </c>
      <c r="L131" s="115">
        <v>1301371.9400000004</v>
      </c>
      <c r="M131" s="74"/>
    </row>
    <row r="132" spans="1:13" ht="20.45" customHeight="1" x14ac:dyDescent="0.55000000000000004">
      <c r="A132" s="63">
        <f ca="1">IF($G132="UNIDADE CONSTRUTIVA",OFFSET(A132,0,0)+1,LARGE(A$3:A131,1))</f>
        <v>3</v>
      </c>
      <c r="B132" s="63">
        <f t="shared" ca="1" si="20"/>
        <v>7</v>
      </c>
      <c r="C132" s="63">
        <f t="shared" ca="1" si="21"/>
        <v>0</v>
      </c>
      <c r="D132" s="64">
        <f t="shared" ca="1" si="22"/>
        <v>9</v>
      </c>
      <c r="E132" s="64">
        <f t="shared" ca="1" si="23"/>
        <v>1</v>
      </c>
      <c r="F132" s="65"/>
      <c r="G132" s="71" t="s">
        <v>156</v>
      </c>
      <c r="H132" s="67" t="str">
        <f t="shared" ca="1" si="19"/>
        <v>07</v>
      </c>
      <c r="I132" s="72" t="s">
        <v>65</v>
      </c>
      <c r="J132" s="95"/>
      <c r="K132" s="112"/>
      <c r="L132" s="113">
        <f>L133</f>
        <v>4092128.8540000012</v>
      </c>
      <c r="M132" s="72"/>
    </row>
    <row r="133" spans="1:13" ht="20.45" customHeight="1" outlineLevel="1" x14ac:dyDescent="0.55000000000000004">
      <c r="A133" s="63">
        <f ca="1">IF($G133="UNIDADE CONSTRUTIVA",OFFSET(A133,0,0)+1,LARGE(A$3:A132,1))</f>
        <v>3</v>
      </c>
      <c r="B133" s="63">
        <f t="shared" ca="1" si="20"/>
        <v>7</v>
      </c>
      <c r="C133" s="63">
        <f t="shared" ca="1" si="21"/>
        <v>1</v>
      </c>
      <c r="D133" s="64">
        <f t="shared" ca="1" si="22"/>
        <v>0</v>
      </c>
      <c r="E133" s="64">
        <f t="shared" ca="1" si="23"/>
        <v>1</v>
      </c>
      <c r="F133" s="65"/>
      <c r="G133" s="71" t="s">
        <v>157</v>
      </c>
      <c r="H133" s="67" t="str">
        <f t="shared" ca="1" si="19"/>
        <v>07.001</v>
      </c>
      <c r="I133" s="80" t="s">
        <v>66</v>
      </c>
      <c r="J133" s="107"/>
      <c r="K133" s="138"/>
      <c r="L133" s="126">
        <f>SUM(L134:L154)/2</f>
        <v>4092128.8540000012</v>
      </c>
      <c r="M133" s="80"/>
    </row>
    <row r="134" spans="1:13" ht="20.45" customHeight="1" outlineLevel="1" x14ac:dyDescent="0.55000000000000004">
      <c r="A134" s="63">
        <f ca="1">IF($G134="UNIDADE CONSTRUTIVA",OFFSET(A134,0,0)+1,LARGE(A$3:A133,1))</f>
        <v>3</v>
      </c>
      <c r="B134" s="63">
        <f t="shared" ca="1" si="20"/>
        <v>7</v>
      </c>
      <c r="C134" s="63">
        <f t="shared" ca="1" si="21"/>
        <v>1</v>
      </c>
      <c r="D134" s="64">
        <f t="shared" ca="1" si="22"/>
        <v>1</v>
      </c>
      <c r="E134" s="64">
        <f t="shared" ca="1" si="23"/>
        <v>0</v>
      </c>
      <c r="F134" s="65"/>
      <c r="G134" s="73" t="s">
        <v>153</v>
      </c>
      <c r="H134" s="67" t="str">
        <f t="shared" ca="1" si="19"/>
        <v>07.001.001</v>
      </c>
      <c r="I134" s="74" t="s">
        <v>67</v>
      </c>
      <c r="J134" s="96"/>
      <c r="K134" s="114"/>
      <c r="L134" s="115">
        <f>L135</f>
        <v>130137.19400000005</v>
      </c>
      <c r="M134" s="74"/>
    </row>
    <row r="135" spans="1:13" ht="20.45" customHeight="1" outlineLevel="1" x14ac:dyDescent="0.55000000000000004">
      <c r="A135" s="63">
        <f ca="1">IF($G135="UNIDADE CONSTRUTIVA",OFFSET(A135,0,0)+1,LARGE(A$3:A134,1))</f>
        <v>3</v>
      </c>
      <c r="B135" s="63">
        <f t="shared" ca="1" si="20"/>
        <v>7</v>
      </c>
      <c r="C135" s="63">
        <f t="shared" ca="1" si="21"/>
        <v>1</v>
      </c>
      <c r="D135" s="64">
        <f t="shared" ca="1" si="22"/>
        <v>1</v>
      </c>
      <c r="E135" s="64">
        <f t="shared" ca="1" si="23"/>
        <v>1</v>
      </c>
      <c r="F135" s="65"/>
      <c r="G135" s="73" t="s">
        <v>154</v>
      </c>
      <c r="H135" s="67" t="str">
        <f t="shared" ca="1" si="19"/>
        <v>07.001.001.001</v>
      </c>
      <c r="I135" s="74" t="s">
        <v>67</v>
      </c>
      <c r="J135" s="96">
        <v>1</v>
      </c>
      <c r="K135" s="127" t="s">
        <v>217</v>
      </c>
      <c r="L135" s="115">
        <v>130137.19400000005</v>
      </c>
      <c r="M135" s="74"/>
    </row>
    <row r="136" spans="1:13" ht="20.45" customHeight="1" outlineLevel="1" x14ac:dyDescent="0.55000000000000004">
      <c r="A136" s="63">
        <f ca="1">IF($G136="UNIDADE CONSTRUTIVA",OFFSET(A136,0,0)+1,LARGE(A$3:A133,1))</f>
        <v>3</v>
      </c>
      <c r="B136" s="63">
        <f t="shared" ca="1" si="20"/>
        <v>7</v>
      </c>
      <c r="C136" s="63">
        <f t="shared" ca="1" si="21"/>
        <v>1</v>
      </c>
      <c r="D136" s="64">
        <f t="shared" ca="1" si="22"/>
        <v>2</v>
      </c>
      <c r="E136" s="64">
        <f t="shared" ca="1" si="23"/>
        <v>0</v>
      </c>
      <c r="F136" s="65"/>
      <c r="G136" s="73" t="s">
        <v>153</v>
      </c>
      <c r="H136" s="67" t="str">
        <f t="shared" ca="1" si="19"/>
        <v>07.001.002</v>
      </c>
      <c r="I136" s="74" t="s">
        <v>275</v>
      </c>
      <c r="J136" s="96"/>
      <c r="K136" s="114"/>
      <c r="L136" s="115">
        <f>SUM(L137:L140)</f>
        <v>531102</v>
      </c>
      <c r="M136" s="74"/>
    </row>
    <row r="137" spans="1:13" ht="20.45" customHeight="1" outlineLevel="1" x14ac:dyDescent="0.55000000000000004">
      <c r="A137" s="63">
        <f ca="1">IF($G137="UNIDADE CONSTRUTIVA",OFFSET(A137,0,0)+1,LARGE(A$3:A134,1))</f>
        <v>3</v>
      </c>
      <c r="B137" s="63">
        <f t="shared" ca="1" si="20"/>
        <v>7</v>
      </c>
      <c r="C137" s="63">
        <f t="shared" ca="1" si="21"/>
        <v>1</v>
      </c>
      <c r="D137" s="64">
        <f t="shared" ca="1" si="22"/>
        <v>2</v>
      </c>
      <c r="E137" s="64">
        <f t="shared" ca="1" si="23"/>
        <v>1</v>
      </c>
      <c r="F137" s="65"/>
      <c r="G137" s="73" t="s">
        <v>154</v>
      </c>
      <c r="H137" s="67" t="str">
        <f t="shared" ca="1" si="19"/>
        <v>07.001.002.001</v>
      </c>
      <c r="I137" s="74" t="s">
        <v>68</v>
      </c>
      <c r="J137" s="96">
        <v>1</v>
      </c>
      <c r="K137" s="127" t="s">
        <v>265</v>
      </c>
      <c r="L137" s="115">
        <v>310000</v>
      </c>
      <c r="M137" s="74" t="s">
        <v>278</v>
      </c>
    </row>
    <row r="138" spans="1:13" ht="20.45" customHeight="1" outlineLevel="1" x14ac:dyDescent="0.55000000000000004">
      <c r="A138" s="63">
        <f ca="1">IF($G138="UNIDADE CONSTRUTIVA",OFFSET(A138,0,0)+1,LARGE(A$3:A137,1))</f>
        <v>3</v>
      </c>
      <c r="B138" s="63">
        <f t="shared" ca="1" si="20"/>
        <v>7</v>
      </c>
      <c r="C138" s="63">
        <f t="shared" ca="1" si="21"/>
        <v>1</v>
      </c>
      <c r="D138" s="64">
        <f t="shared" ca="1" si="22"/>
        <v>2</v>
      </c>
      <c r="E138" s="64">
        <f t="shared" ca="1" si="23"/>
        <v>2</v>
      </c>
      <c r="F138" s="65"/>
      <c r="G138" s="73" t="s">
        <v>154</v>
      </c>
      <c r="H138" s="67" t="str">
        <f t="shared" ca="1" si="19"/>
        <v>07.001.002.002</v>
      </c>
      <c r="I138" s="74" t="s">
        <v>69</v>
      </c>
      <c r="J138" s="96">
        <v>1</v>
      </c>
      <c r="K138" s="127" t="s">
        <v>265</v>
      </c>
      <c r="L138" s="115">
        <v>185000</v>
      </c>
      <c r="M138" s="74"/>
    </row>
    <row r="139" spans="1:13" ht="20.45" customHeight="1" outlineLevel="1" x14ac:dyDescent="0.55000000000000004">
      <c r="A139" s="63">
        <f ca="1">IF($G139="UNIDADE CONSTRUTIVA",OFFSET(A139,0,0)+1,LARGE(A$3:A138,1))</f>
        <v>3</v>
      </c>
      <c r="B139" s="63">
        <f t="shared" ca="1" si="20"/>
        <v>7</v>
      </c>
      <c r="C139" s="63">
        <f t="shared" ca="1" si="21"/>
        <v>1</v>
      </c>
      <c r="D139" s="64">
        <f t="shared" ca="1" si="22"/>
        <v>2</v>
      </c>
      <c r="E139" s="64">
        <f t="shared" ca="1" si="23"/>
        <v>3</v>
      </c>
      <c r="F139" s="65"/>
      <c r="G139" s="73" t="s">
        <v>154</v>
      </c>
      <c r="H139" s="67" t="str">
        <f t="shared" ca="1" si="19"/>
        <v>07.001.002.003</v>
      </c>
      <c r="I139" s="74" t="s">
        <v>276</v>
      </c>
      <c r="J139" s="96">
        <v>60</v>
      </c>
      <c r="K139" s="127" t="s">
        <v>265</v>
      </c>
      <c r="L139" s="115">
        <v>36102</v>
      </c>
      <c r="M139" s="74" t="s">
        <v>280</v>
      </c>
    </row>
    <row r="140" spans="1:13" ht="20.45" customHeight="1" outlineLevel="1" x14ac:dyDescent="0.55000000000000004">
      <c r="A140" s="63">
        <f ca="1">IF($G140="UNIDADE CONSTRUTIVA",OFFSET(A140,0,0)+1,LARGE(A$3:A139,1))</f>
        <v>3</v>
      </c>
      <c r="B140" s="63">
        <f t="shared" ca="1" si="20"/>
        <v>7</v>
      </c>
      <c r="C140" s="63">
        <f t="shared" ca="1" si="21"/>
        <v>1</v>
      </c>
      <c r="D140" s="64">
        <f t="shared" ca="1" si="22"/>
        <v>2</v>
      </c>
      <c r="E140" s="64">
        <f t="shared" ca="1" si="23"/>
        <v>4</v>
      </c>
      <c r="F140" s="65"/>
      <c r="G140" s="73" t="s">
        <v>154</v>
      </c>
      <c r="H140" s="67" t="str">
        <f t="shared" ca="1" si="19"/>
        <v>07.001.002.004</v>
      </c>
      <c r="I140" s="74" t="s">
        <v>277</v>
      </c>
      <c r="J140" s="96">
        <v>0</v>
      </c>
      <c r="K140" s="127" t="s">
        <v>265</v>
      </c>
      <c r="L140" s="115">
        <v>0</v>
      </c>
      <c r="M140" s="74" t="s">
        <v>279</v>
      </c>
    </row>
    <row r="141" spans="1:13" ht="20.45" customHeight="1" outlineLevel="1" x14ac:dyDescent="0.55000000000000004">
      <c r="A141" s="63">
        <f ca="1">IF($G141="UNIDADE CONSTRUTIVA",OFFSET(A141,0,0)+1,LARGE(A$3:A138,1))</f>
        <v>3</v>
      </c>
      <c r="B141" s="63">
        <f t="shared" ca="1" si="20"/>
        <v>7</v>
      </c>
      <c r="C141" s="63">
        <f t="shared" ca="1" si="21"/>
        <v>1</v>
      </c>
      <c r="D141" s="64">
        <f t="shared" ca="1" si="22"/>
        <v>3</v>
      </c>
      <c r="E141" s="64">
        <f t="shared" ca="1" si="23"/>
        <v>0</v>
      </c>
      <c r="F141" s="65"/>
      <c r="G141" s="73" t="s">
        <v>153</v>
      </c>
      <c r="H141" s="67" t="str">
        <f t="shared" ca="1" si="19"/>
        <v>07.001.003</v>
      </c>
      <c r="I141" s="74" t="s">
        <v>158</v>
      </c>
      <c r="J141" s="96"/>
      <c r="K141" s="114"/>
      <c r="L141" s="115">
        <f>L142</f>
        <v>0</v>
      </c>
      <c r="M141" s="74"/>
    </row>
    <row r="142" spans="1:13" ht="20.45" customHeight="1" outlineLevel="1" x14ac:dyDescent="0.55000000000000004">
      <c r="A142" s="63">
        <f ca="1">IF($G142="UNIDADE CONSTRUTIVA",OFFSET(A142,0,0)+1,LARGE(A$3:A141,1))</f>
        <v>3</v>
      </c>
      <c r="B142" s="63">
        <f t="shared" ca="1" si="20"/>
        <v>7</v>
      </c>
      <c r="C142" s="63">
        <f t="shared" ca="1" si="21"/>
        <v>1</v>
      </c>
      <c r="D142" s="64">
        <f t="shared" ca="1" si="22"/>
        <v>3</v>
      </c>
      <c r="E142" s="64">
        <f t="shared" ca="1" si="23"/>
        <v>1</v>
      </c>
      <c r="F142" s="65"/>
      <c r="G142" s="73" t="s">
        <v>154</v>
      </c>
      <c r="H142" s="67" t="str">
        <f t="shared" ca="1" si="19"/>
        <v>07.001.003.001</v>
      </c>
      <c r="I142" s="74" t="s">
        <v>158</v>
      </c>
      <c r="J142" s="96"/>
      <c r="K142" s="127"/>
      <c r="L142" s="115"/>
      <c r="M142" s="74"/>
    </row>
    <row r="143" spans="1:13" ht="20.45" customHeight="1" outlineLevel="1" x14ac:dyDescent="0.55000000000000004">
      <c r="A143" s="63">
        <f ca="1">IF($G143="UNIDADE CONSTRUTIVA",OFFSET(A143,0,0)+1,LARGE(A$3:A141,1))</f>
        <v>3</v>
      </c>
      <c r="B143" s="63">
        <f t="shared" ca="1" si="20"/>
        <v>7</v>
      </c>
      <c r="C143" s="63">
        <f t="shared" ca="1" si="21"/>
        <v>1</v>
      </c>
      <c r="D143" s="64">
        <f t="shared" ca="1" si="22"/>
        <v>4</v>
      </c>
      <c r="E143" s="64">
        <f t="shared" ca="1" si="23"/>
        <v>0</v>
      </c>
      <c r="F143" s="65"/>
      <c r="G143" s="73" t="s">
        <v>153</v>
      </c>
      <c r="H143" s="67" t="str">
        <f t="shared" ca="1" si="19"/>
        <v>07.001.004</v>
      </c>
      <c r="I143" s="74" t="s">
        <v>70</v>
      </c>
      <c r="J143" s="96"/>
      <c r="K143" s="127"/>
      <c r="L143" s="115">
        <f>L144</f>
        <v>354919.62000000011</v>
      </c>
      <c r="M143" s="74"/>
    </row>
    <row r="144" spans="1:13" ht="20.45" customHeight="1" outlineLevel="1" x14ac:dyDescent="0.55000000000000004">
      <c r="A144" s="63">
        <f ca="1">IF($G144="UNIDADE CONSTRUTIVA",OFFSET(A144,0,0)+1,LARGE(A$3:A142,1))</f>
        <v>3</v>
      </c>
      <c r="B144" s="63">
        <f t="shared" ca="1" si="20"/>
        <v>7</v>
      </c>
      <c r="C144" s="63">
        <f t="shared" ca="1" si="21"/>
        <v>1</v>
      </c>
      <c r="D144" s="64">
        <f t="shared" ca="1" si="22"/>
        <v>4</v>
      </c>
      <c r="E144" s="64">
        <f t="shared" ca="1" si="23"/>
        <v>1</v>
      </c>
      <c r="F144" s="65"/>
      <c r="G144" s="73" t="s">
        <v>154</v>
      </c>
      <c r="H144" s="67" t="str">
        <f t="shared" ca="1" si="19"/>
        <v>07.001.004.001</v>
      </c>
      <c r="I144" s="74" t="s">
        <v>70</v>
      </c>
      <c r="J144" s="96">
        <v>1</v>
      </c>
      <c r="K144" s="127" t="s">
        <v>217</v>
      </c>
      <c r="L144" s="115">
        <v>354919.62000000011</v>
      </c>
      <c r="M144" s="74"/>
    </row>
    <row r="145" spans="1:13" ht="20.45" customHeight="1" outlineLevel="1" x14ac:dyDescent="0.55000000000000004">
      <c r="A145" s="63">
        <f ca="1">IF($G145="UNIDADE CONSTRUTIVA",OFFSET(A145,0,0)+1,LARGE(A$3:A143,1))</f>
        <v>3</v>
      </c>
      <c r="B145" s="63">
        <f t="shared" ca="1" si="20"/>
        <v>7</v>
      </c>
      <c r="C145" s="63">
        <f t="shared" ca="1" si="21"/>
        <v>1</v>
      </c>
      <c r="D145" s="64">
        <f t="shared" ca="1" si="22"/>
        <v>5</v>
      </c>
      <c r="E145" s="64">
        <f t="shared" ca="1" si="23"/>
        <v>0</v>
      </c>
      <c r="F145" s="65"/>
      <c r="G145" s="73" t="s">
        <v>153</v>
      </c>
      <c r="H145" s="67" t="str">
        <f t="shared" ca="1" si="19"/>
        <v>07.001.005</v>
      </c>
      <c r="I145" s="74" t="s">
        <v>71</v>
      </c>
      <c r="J145" s="96"/>
      <c r="K145" s="127"/>
      <c r="L145" s="115">
        <f>L146</f>
        <v>425903.54400000011</v>
      </c>
      <c r="M145" s="74"/>
    </row>
    <row r="146" spans="1:13" ht="20.45" customHeight="1" outlineLevel="1" x14ac:dyDescent="0.55000000000000004">
      <c r="A146" s="63">
        <f ca="1">IF($G146="UNIDADE CONSTRUTIVA",OFFSET(A146,0,0)+1,LARGE(A$3:A144,1))</f>
        <v>3</v>
      </c>
      <c r="B146" s="63">
        <f t="shared" ca="1" si="20"/>
        <v>7</v>
      </c>
      <c r="C146" s="63">
        <f t="shared" ca="1" si="21"/>
        <v>1</v>
      </c>
      <c r="D146" s="64">
        <f t="shared" ca="1" si="22"/>
        <v>5</v>
      </c>
      <c r="E146" s="64">
        <f t="shared" ca="1" si="23"/>
        <v>1</v>
      </c>
      <c r="F146" s="65"/>
      <c r="G146" s="73" t="s">
        <v>154</v>
      </c>
      <c r="H146" s="67" t="str">
        <f t="shared" ca="1" si="19"/>
        <v>07.001.005.001</v>
      </c>
      <c r="I146" s="74" t="s">
        <v>71</v>
      </c>
      <c r="J146" s="96">
        <v>1</v>
      </c>
      <c r="K146" s="127" t="s">
        <v>217</v>
      </c>
      <c r="L146" s="115">
        <v>425903.54400000011</v>
      </c>
      <c r="M146" s="74"/>
    </row>
    <row r="147" spans="1:13" ht="20.45" customHeight="1" outlineLevel="1" x14ac:dyDescent="0.55000000000000004">
      <c r="A147" s="63">
        <f ca="1">IF($G147="UNIDADE CONSTRUTIVA",OFFSET(A147,0,0)+1,LARGE(A$3:A145,1))</f>
        <v>3</v>
      </c>
      <c r="B147" s="63">
        <f t="shared" ca="1" si="20"/>
        <v>7</v>
      </c>
      <c r="C147" s="63">
        <f t="shared" ca="1" si="21"/>
        <v>1</v>
      </c>
      <c r="D147" s="64">
        <f t="shared" ca="1" si="22"/>
        <v>6</v>
      </c>
      <c r="E147" s="64">
        <f t="shared" ca="1" si="23"/>
        <v>0</v>
      </c>
      <c r="F147" s="65"/>
      <c r="G147" s="73" t="s">
        <v>153</v>
      </c>
      <c r="H147" s="67" t="str">
        <f t="shared" ca="1" si="19"/>
        <v>07.001.006</v>
      </c>
      <c r="I147" s="74" t="s">
        <v>72</v>
      </c>
      <c r="J147" s="96"/>
      <c r="K147" s="127"/>
      <c r="L147" s="115">
        <f>L148</f>
        <v>709839.24000000022</v>
      </c>
      <c r="M147" s="74"/>
    </row>
    <row r="148" spans="1:13" ht="20.45" customHeight="1" outlineLevel="1" x14ac:dyDescent="0.55000000000000004">
      <c r="A148" s="63">
        <f ca="1">IF($G148="UNIDADE CONSTRUTIVA",OFFSET(A148,0,0)+1,LARGE(A$3:A146,1))</f>
        <v>3</v>
      </c>
      <c r="B148" s="63">
        <f t="shared" ca="1" si="20"/>
        <v>7</v>
      </c>
      <c r="C148" s="63">
        <f t="shared" ca="1" si="21"/>
        <v>1</v>
      </c>
      <c r="D148" s="64">
        <f t="shared" ca="1" si="22"/>
        <v>6</v>
      </c>
      <c r="E148" s="64">
        <f t="shared" ca="1" si="23"/>
        <v>1</v>
      </c>
      <c r="F148" s="65"/>
      <c r="G148" s="73" t="s">
        <v>154</v>
      </c>
      <c r="H148" s="67" t="str">
        <f t="shared" ca="1" si="19"/>
        <v>07.001.006.001</v>
      </c>
      <c r="I148" s="74" t="s">
        <v>72</v>
      </c>
      <c r="J148" s="96">
        <v>1</v>
      </c>
      <c r="K148" s="127" t="s">
        <v>217</v>
      </c>
      <c r="L148" s="115">
        <v>709839.24000000022</v>
      </c>
      <c r="M148" s="74"/>
    </row>
    <row r="149" spans="1:13" ht="20.45" customHeight="1" outlineLevel="1" x14ac:dyDescent="0.55000000000000004">
      <c r="A149" s="63">
        <f ca="1">IF($G149="UNIDADE CONSTRUTIVA",OFFSET(A149,0,0)+1,LARGE(A$3:A147,1))</f>
        <v>3</v>
      </c>
      <c r="B149" s="63">
        <f t="shared" ca="1" si="20"/>
        <v>7</v>
      </c>
      <c r="C149" s="63">
        <f t="shared" ca="1" si="21"/>
        <v>1</v>
      </c>
      <c r="D149" s="64">
        <f t="shared" ca="1" si="22"/>
        <v>7</v>
      </c>
      <c r="E149" s="64">
        <f t="shared" ca="1" si="23"/>
        <v>0</v>
      </c>
      <c r="F149" s="65"/>
      <c r="G149" s="73" t="s">
        <v>153</v>
      </c>
      <c r="H149" s="67" t="str">
        <f t="shared" ca="1" si="19"/>
        <v>07.001.007</v>
      </c>
      <c r="I149" s="74" t="s">
        <v>73</v>
      </c>
      <c r="J149" s="96"/>
      <c r="K149" s="127"/>
      <c r="L149" s="115">
        <f>L150</f>
        <v>283935.69600000011</v>
      </c>
      <c r="M149" s="74"/>
    </row>
    <row r="150" spans="1:13" ht="20.45" customHeight="1" outlineLevel="1" x14ac:dyDescent="0.55000000000000004">
      <c r="A150" s="63">
        <f ca="1">IF($G150="UNIDADE CONSTRUTIVA",OFFSET(A150,0,0)+1,LARGE(A$3:A148,1))</f>
        <v>3</v>
      </c>
      <c r="B150" s="63">
        <f t="shared" ca="1" si="20"/>
        <v>7</v>
      </c>
      <c r="C150" s="63">
        <f t="shared" ca="1" si="21"/>
        <v>1</v>
      </c>
      <c r="D150" s="64">
        <f t="shared" ca="1" si="22"/>
        <v>7</v>
      </c>
      <c r="E150" s="64">
        <f t="shared" ca="1" si="23"/>
        <v>1</v>
      </c>
      <c r="F150" s="65"/>
      <c r="G150" s="73" t="s">
        <v>154</v>
      </c>
      <c r="H150" s="67" t="str">
        <f t="shared" ca="1" si="19"/>
        <v>07.001.007.001</v>
      </c>
      <c r="I150" s="74" t="s">
        <v>73</v>
      </c>
      <c r="J150" s="96">
        <v>1</v>
      </c>
      <c r="K150" s="127" t="s">
        <v>217</v>
      </c>
      <c r="L150" s="115">
        <v>283935.69600000011</v>
      </c>
      <c r="M150" s="74"/>
    </row>
    <row r="151" spans="1:13" ht="20.45" customHeight="1" outlineLevel="1" x14ac:dyDescent="0.55000000000000004">
      <c r="A151" s="63">
        <f ca="1">IF($G151="UNIDADE CONSTRUTIVA",OFFSET(A151,0,0)+1,LARGE(A$3:A149,1))</f>
        <v>3</v>
      </c>
      <c r="B151" s="63">
        <f t="shared" ca="1" si="20"/>
        <v>7</v>
      </c>
      <c r="C151" s="63">
        <f t="shared" ca="1" si="21"/>
        <v>1</v>
      </c>
      <c r="D151" s="64">
        <f t="shared" ca="1" si="22"/>
        <v>8</v>
      </c>
      <c r="E151" s="64">
        <f t="shared" ca="1" si="23"/>
        <v>0</v>
      </c>
      <c r="F151" s="65"/>
      <c r="G151" s="73" t="s">
        <v>153</v>
      </c>
      <c r="H151" s="67" t="str">
        <f t="shared" ca="1" si="19"/>
        <v>07.001.008</v>
      </c>
      <c r="I151" s="74" t="s">
        <v>74</v>
      </c>
      <c r="J151" s="96"/>
      <c r="K151" s="127"/>
      <c r="L151" s="115">
        <f>L152</f>
        <v>118306.54000000004</v>
      </c>
      <c r="M151" s="74"/>
    </row>
    <row r="152" spans="1:13" ht="20.45" customHeight="1" outlineLevel="1" x14ac:dyDescent="0.55000000000000004">
      <c r="A152" s="63">
        <f ca="1">IF($G152="UNIDADE CONSTRUTIVA",OFFSET(A152,0,0)+1,LARGE(A$3:A151,1))</f>
        <v>3</v>
      </c>
      <c r="B152" s="63">
        <f t="shared" ca="1" si="20"/>
        <v>7</v>
      </c>
      <c r="C152" s="63">
        <f t="shared" ca="1" si="21"/>
        <v>1</v>
      </c>
      <c r="D152" s="64">
        <f t="shared" ca="1" si="22"/>
        <v>8</v>
      </c>
      <c r="E152" s="64">
        <f t="shared" ca="1" si="23"/>
        <v>1</v>
      </c>
      <c r="F152" s="65"/>
      <c r="G152" s="73" t="s">
        <v>154</v>
      </c>
      <c r="H152" s="67" t="str">
        <f t="shared" ca="1" si="19"/>
        <v>07.001.008.001</v>
      </c>
      <c r="I152" s="74" t="s">
        <v>74</v>
      </c>
      <c r="J152" s="96">
        <v>1</v>
      </c>
      <c r="K152" s="127" t="s">
        <v>217</v>
      </c>
      <c r="L152" s="115">
        <v>118306.54000000004</v>
      </c>
      <c r="M152" s="74"/>
    </row>
    <row r="153" spans="1:13" ht="20.45" customHeight="1" outlineLevel="1" x14ac:dyDescent="0.55000000000000004">
      <c r="A153" s="63">
        <f ca="1">IF($G153="UNIDADE CONSTRUTIVA",OFFSET(A153,0,0)+1,LARGE(A$3:A151,1))</f>
        <v>3</v>
      </c>
      <c r="B153" s="63">
        <f t="shared" ca="1" si="20"/>
        <v>7</v>
      </c>
      <c r="C153" s="63">
        <f t="shared" ca="1" si="21"/>
        <v>1</v>
      </c>
      <c r="D153" s="64">
        <f t="shared" ca="1" si="22"/>
        <v>9</v>
      </c>
      <c r="E153" s="64">
        <f t="shared" ca="1" si="23"/>
        <v>0</v>
      </c>
      <c r="F153" s="65"/>
      <c r="G153" s="73" t="s">
        <v>153</v>
      </c>
      <c r="H153" s="67" t="str">
        <f t="shared" ca="1" si="19"/>
        <v>07.001.009</v>
      </c>
      <c r="I153" s="74" t="s">
        <v>39</v>
      </c>
      <c r="J153" s="96"/>
      <c r="K153" s="127"/>
      <c r="L153" s="115">
        <f>L154</f>
        <v>1537985.0200000005</v>
      </c>
      <c r="M153" s="74"/>
    </row>
    <row r="154" spans="1:13" ht="20.45" customHeight="1" outlineLevel="1" x14ac:dyDescent="0.55000000000000004">
      <c r="A154" s="63">
        <f ca="1">IF($G154="UNIDADE CONSTRUTIVA",OFFSET(A154,0,0)+1,LARGE(A$3:A152,1))</f>
        <v>3</v>
      </c>
      <c r="B154" s="63">
        <f t="shared" ca="1" si="20"/>
        <v>7</v>
      </c>
      <c r="C154" s="63">
        <f t="shared" ca="1" si="21"/>
        <v>1</v>
      </c>
      <c r="D154" s="64">
        <f t="shared" ca="1" si="22"/>
        <v>9</v>
      </c>
      <c r="E154" s="64">
        <f t="shared" ca="1" si="23"/>
        <v>1</v>
      </c>
      <c r="F154" s="65"/>
      <c r="G154" s="73" t="s">
        <v>154</v>
      </c>
      <c r="H154" s="67" t="str">
        <f t="shared" ca="1" si="19"/>
        <v>07.001.009.001</v>
      </c>
      <c r="I154" s="74" t="s">
        <v>281</v>
      </c>
      <c r="J154" s="96">
        <v>21510.280000000006</v>
      </c>
      <c r="K154" s="127" t="s">
        <v>282</v>
      </c>
      <c r="L154" s="115">
        <v>1537985.0200000005</v>
      </c>
      <c r="M154" s="74"/>
    </row>
    <row r="155" spans="1:13" ht="20.45" customHeight="1" x14ac:dyDescent="0.55000000000000004">
      <c r="A155" s="63">
        <f ca="1">IF($G155="UNIDADE CONSTRUTIVA",OFFSET(A155,0,0)+1,LARGE(A$3:A153,1))</f>
        <v>3</v>
      </c>
      <c r="B155" s="63">
        <f t="shared" ca="1" si="20"/>
        <v>8</v>
      </c>
      <c r="C155" s="63">
        <f t="shared" ca="1" si="21"/>
        <v>0</v>
      </c>
      <c r="D155" s="64">
        <f t="shared" ca="1" si="22"/>
        <v>9</v>
      </c>
      <c r="E155" s="64">
        <f t="shared" ca="1" si="23"/>
        <v>1</v>
      </c>
      <c r="F155" s="65"/>
      <c r="G155" s="71" t="s">
        <v>156</v>
      </c>
      <c r="H155" s="67" t="str">
        <f t="shared" ca="1" si="19"/>
        <v>08</v>
      </c>
      <c r="I155" s="72" t="s">
        <v>75</v>
      </c>
      <c r="J155" s="95"/>
      <c r="K155" s="112"/>
      <c r="L155" s="113">
        <f>L156</f>
        <v>759339.24000000034</v>
      </c>
      <c r="M155" s="72"/>
    </row>
    <row r="156" spans="1:13" ht="20.45" customHeight="1" outlineLevel="1" x14ac:dyDescent="0.55000000000000004">
      <c r="A156" s="63">
        <f ca="1">IF($G156="UNIDADE CONSTRUTIVA",OFFSET(A156,0,0)+1,LARGE(A$3:A155,1))</f>
        <v>3</v>
      </c>
      <c r="B156" s="63">
        <f t="shared" ca="1" si="20"/>
        <v>8</v>
      </c>
      <c r="C156" s="63">
        <f t="shared" ca="1" si="21"/>
        <v>1</v>
      </c>
      <c r="D156" s="64">
        <f t="shared" ca="1" si="22"/>
        <v>0</v>
      </c>
      <c r="E156" s="64">
        <f t="shared" ca="1" si="23"/>
        <v>1</v>
      </c>
      <c r="F156" s="65"/>
      <c r="G156" s="71" t="s">
        <v>157</v>
      </c>
      <c r="H156" s="67" t="str">
        <f t="shared" ca="1" si="19"/>
        <v>08.001</v>
      </c>
      <c r="I156" s="80" t="s">
        <v>75</v>
      </c>
      <c r="J156" s="107"/>
      <c r="K156" s="138"/>
      <c r="L156" s="126">
        <f>SUM(L157:L168)/2</f>
        <v>759339.24000000034</v>
      </c>
      <c r="M156" s="80"/>
    </row>
    <row r="157" spans="1:13" ht="20.45" customHeight="1" outlineLevel="1" x14ac:dyDescent="0.55000000000000004">
      <c r="A157" s="63">
        <f ca="1">IF($G157="UNIDADE CONSTRUTIVA",OFFSET(A157,0,0)+1,LARGE(A$3:A156,1))</f>
        <v>3</v>
      </c>
      <c r="B157" s="63">
        <f t="shared" ca="1" si="20"/>
        <v>8</v>
      </c>
      <c r="C157" s="63">
        <f t="shared" ca="1" si="21"/>
        <v>1</v>
      </c>
      <c r="D157" s="64">
        <f t="shared" ca="1" si="22"/>
        <v>1</v>
      </c>
      <c r="E157" s="64">
        <f t="shared" ca="1" si="23"/>
        <v>0</v>
      </c>
      <c r="F157" s="65"/>
      <c r="G157" s="73" t="s">
        <v>153</v>
      </c>
      <c r="H157" s="67" t="str">
        <f t="shared" ca="1" si="19"/>
        <v>08.001.001</v>
      </c>
      <c r="I157" s="74" t="s">
        <v>76</v>
      </c>
      <c r="J157" s="96"/>
      <c r="K157" s="114"/>
      <c r="L157" s="115">
        <f>SUM(L158:L160)</f>
        <v>167806.54000000004</v>
      </c>
      <c r="M157" s="74"/>
    </row>
    <row r="158" spans="1:13" ht="20.45" customHeight="1" outlineLevel="1" x14ac:dyDescent="0.55000000000000004">
      <c r="A158" s="63">
        <f ca="1">IF($G158="UNIDADE CONSTRUTIVA",OFFSET(A158,0,0)+1,LARGE(A$3:A157,1))</f>
        <v>3</v>
      </c>
      <c r="B158" s="63">
        <f t="shared" ca="1" si="20"/>
        <v>8</v>
      </c>
      <c r="C158" s="63">
        <f t="shared" ca="1" si="21"/>
        <v>1</v>
      </c>
      <c r="D158" s="64">
        <f t="shared" ca="1" si="22"/>
        <v>1</v>
      </c>
      <c r="E158" s="64">
        <f t="shared" ca="1" si="23"/>
        <v>1</v>
      </c>
      <c r="F158" s="65"/>
      <c r="G158" s="73" t="s">
        <v>154</v>
      </c>
      <c r="H158" s="67" t="str">
        <f t="shared" ca="1" si="19"/>
        <v>08.001.001.001</v>
      </c>
      <c r="I158" s="74" t="s">
        <v>160</v>
      </c>
      <c r="J158" s="96"/>
      <c r="K158" s="127"/>
      <c r="L158" s="115"/>
      <c r="M158" s="74"/>
    </row>
    <row r="159" spans="1:13" ht="20.45" customHeight="1" outlineLevel="1" x14ac:dyDescent="0.55000000000000004">
      <c r="A159" s="63">
        <f ca="1">IF($G159="UNIDADE CONSTRUTIVA",OFFSET(A159,0,0)+1,LARGE(A$3:A156,1))</f>
        <v>3</v>
      </c>
      <c r="B159" s="63">
        <f t="shared" ca="1" si="20"/>
        <v>8</v>
      </c>
      <c r="C159" s="63">
        <f t="shared" ca="1" si="21"/>
        <v>1</v>
      </c>
      <c r="D159" s="64">
        <f t="shared" ca="1" si="22"/>
        <v>1</v>
      </c>
      <c r="E159" s="64">
        <f t="shared" ca="1" si="23"/>
        <v>2</v>
      </c>
      <c r="F159" s="65"/>
      <c r="G159" s="73" t="s">
        <v>154</v>
      </c>
      <c r="H159" s="67" t="str">
        <f t="shared" ca="1" si="19"/>
        <v>08.001.001.002</v>
      </c>
      <c r="I159" s="74" t="s">
        <v>285</v>
      </c>
      <c r="J159" s="96">
        <v>1</v>
      </c>
      <c r="K159" s="127" t="s">
        <v>217</v>
      </c>
      <c r="L159" s="115">
        <v>118306.54000000004</v>
      </c>
      <c r="M159" s="74"/>
    </row>
    <row r="160" spans="1:13" ht="20.45" customHeight="1" outlineLevel="1" x14ac:dyDescent="0.55000000000000004">
      <c r="A160" s="63">
        <f ca="1">IF($G160="UNIDADE CONSTRUTIVA",OFFSET(A160,0,0)+1,LARGE(A$3:A157,1))</f>
        <v>3</v>
      </c>
      <c r="B160" s="63">
        <f t="shared" ca="1" si="20"/>
        <v>8</v>
      </c>
      <c r="C160" s="63">
        <f t="shared" ca="1" si="21"/>
        <v>1</v>
      </c>
      <c r="D160" s="64">
        <f t="shared" ca="1" si="22"/>
        <v>1</v>
      </c>
      <c r="E160" s="64">
        <f t="shared" ca="1" si="23"/>
        <v>3</v>
      </c>
      <c r="F160" s="65"/>
      <c r="G160" s="73" t="s">
        <v>154</v>
      </c>
      <c r="H160" s="67" t="str">
        <f t="shared" ca="1" si="19"/>
        <v>08.001.001.003</v>
      </c>
      <c r="I160" s="74" t="s">
        <v>64</v>
      </c>
      <c r="J160" s="96">
        <v>1</v>
      </c>
      <c r="K160" s="127" t="s">
        <v>217</v>
      </c>
      <c r="L160" s="115">
        <v>49500.000000000007</v>
      </c>
      <c r="M160" s="74"/>
    </row>
    <row r="161" spans="1:13" ht="20.45" customHeight="1" outlineLevel="1" x14ac:dyDescent="0.55000000000000004">
      <c r="A161" s="63">
        <f ca="1">IF($G161="UNIDADE CONSTRUTIVA",OFFSET(A161,0,0)+1,LARGE(A$3:A160,1))</f>
        <v>3</v>
      </c>
      <c r="B161" s="63">
        <f t="shared" ca="1" si="20"/>
        <v>8</v>
      </c>
      <c r="C161" s="63">
        <f t="shared" ca="1" si="21"/>
        <v>1</v>
      </c>
      <c r="D161" s="64">
        <f t="shared" ca="1" si="22"/>
        <v>2</v>
      </c>
      <c r="E161" s="64">
        <f t="shared" ca="1" si="23"/>
        <v>0</v>
      </c>
      <c r="F161" s="65"/>
      <c r="G161" s="73" t="s">
        <v>153</v>
      </c>
      <c r="H161" s="67" t="str">
        <f t="shared" ca="1" si="19"/>
        <v>08.001.002</v>
      </c>
      <c r="I161" s="74" t="s">
        <v>77</v>
      </c>
      <c r="J161" s="96"/>
      <c r="K161" s="127"/>
      <c r="L161" s="115">
        <f>L162</f>
        <v>106475.88600000003</v>
      </c>
      <c r="M161" s="74"/>
    </row>
    <row r="162" spans="1:13" ht="20.45" customHeight="1" outlineLevel="1" x14ac:dyDescent="0.55000000000000004">
      <c r="A162" s="63">
        <f ca="1">IF($G162="UNIDADE CONSTRUTIVA",OFFSET(A162,0,0)+1,LARGE(A$3:A161,1))</f>
        <v>3</v>
      </c>
      <c r="B162" s="63">
        <f t="shared" ca="1" si="20"/>
        <v>8</v>
      </c>
      <c r="C162" s="63">
        <f t="shared" ca="1" si="21"/>
        <v>1</v>
      </c>
      <c r="D162" s="64">
        <f t="shared" ca="1" si="22"/>
        <v>2</v>
      </c>
      <c r="E162" s="64">
        <f t="shared" ca="1" si="23"/>
        <v>1</v>
      </c>
      <c r="F162" s="65"/>
      <c r="G162" s="73" t="s">
        <v>154</v>
      </c>
      <c r="H162" s="67" t="str">
        <f t="shared" ca="1" si="19"/>
        <v>08.001.002.001</v>
      </c>
      <c r="I162" s="74" t="s">
        <v>77</v>
      </c>
      <c r="J162" s="96">
        <v>1</v>
      </c>
      <c r="K162" s="127" t="s">
        <v>217</v>
      </c>
      <c r="L162" s="115">
        <v>106475.88600000003</v>
      </c>
      <c r="M162" s="74"/>
    </row>
    <row r="163" spans="1:13" ht="20.45" customHeight="1" outlineLevel="1" x14ac:dyDescent="0.55000000000000004">
      <c r="A163" s="63">
        <f ca="1">IF($G163="UNIDADE CONSTRUTIVA",OFFSET(A163,0,0)+1,LARGE(A$3:A160,1))</f>
        <v>3</v>
      </c>
      <c r="B163" s="63">
        <f t="shared" ca="1" si="20"/>
        <v>8</v>
      </c>
      <c r="C163" s="63">
        <f t="shared" ca="1" si="21"/>
        <v>1</v>
      </c>
      <c r="D163" s="64">
        <f t="shared" ca="1" si="22"/>
        <v>3</v>
      </c>
      <c r="E163" s="64">
        <f t="shared" ca="1" si="23"/>
        <v>0</v>
      </c>
      <c r="F163" s="65"/>
      <c r="G163" s="73" t="s">
        <v>153</v>
      </c>
      <c r="H163" s="67" t="str">
        <f t="shared" ca="1" si="19"/>
        <v>08.001.003</v>
      </c>
      <c r="I163" s="74" t="s">
        <v>78</v>
      </c>
      <c r="J163" s="96"/>
      <c r="K163" s="127"/>
      <c r="L163" s="115">
        <f>L164</f>
        <v>236613.08000000007</v>
      </c>
      <c r="M163" s="74"/>
    </row>
    <row r="164" spans="1:13" ht="20.45" customHeight="1" outlineLevel="1" x14ac:dyDescent="0.55000000000000004">
      <c r="A164" s="63">
        <f ca="1">IF($G164="UNIDADE CONSTRUTIVA",OFFSET(A164,0,0)+1,LARGE(A$3:A161,1))</f>
        <v>3</v>
      </c>
      <c r="B164" s="63">
        <f t="shared" ca="1" si="20"/>
        <v>8</v>
      </c>
      <c r="C164" s="63">
        <f t="shared" ca="1" si="21"/>
        <v>1</v>
      </c>
      <c r="D164" s="64">
        <f t="shared" ca="1" si="22"/>
        <v>3</v>
      </c>
      <c r="E164" s="64">
        <f t="shared" ca="1" si="23"/>
        <v>1</v>
      </c>
      <c r="F164" s="65"/>
      <c r="G164" s="73" t="s">
        <v>154</v>
      </c>
      <c r="H164" s="67" t="str">
        <f t="shared" ca="1" si="19"/>
        <v>08.001.003.001</v>
      </c>
      <c r="I164" s="74" t="s">
        <v>78</v>
      </c>
      <c r="J164" s="96">
        <v>1</v>
      </c>
      <c r="K164" s="127" t="s">
        <v>217</v>
      </c>
      <c r="L164" s="115">
        <v>236613.08000000007</v>
      </c>
      <c r="M164" s="74"/>
    </row>
    <row r="165" spans="1:13" ht="20.45" customHeight="1" outlineLevel="1" x14ac:dyDescent="0.55000000000000004">
      <c r="A165" s="63">
        <f ca="1">IF($G165="UNIDADE CONSTRUTIVA",OFFSET(A165,0,0)+1,LARGE(A$3:A163,1))</f>
        <v>3</v>
      </c>
      <c r="B165" s="63">
        <f t="shared" ca="1" si="20"/>
        <v>8</v>
      </c>
      <c r="C165" s="63">
        <f t="shared" ca="1" si="21"/>
        <v>1</v>
      </c>
      <c r="D165" s="64">
        <f t="shared" ca="1" si="22"/>
        <v>4</v>
      </c>
      <c r="E165" s="64">
        <f t="shared" ca="1" si="23"/>
        <v>0</v>
      </c>
      <c r="F165" s="65"/>
      <c r="G165" s="73" t="s">
        <v>153</v>
      </c>
      <c r="H165" s="67" t="str">
        <f t="shared" ca="1" si="19"/>
        <v>08.001.004</v>
      </c>
      <c r="I165" s="74" t="s">
        <v>79</v>
      </c>
      <c r="J165" s="96"/>
      <c r="K165" s="127"/>
      <c r="L165" s="115">
        <f>L166</f>
        <v>59153.270000000019</v>
      </c>
      <c r="M165" s="74"/>
    </row>
    <row r="166" spans="1:13" ht="20.45" customHeight="1" outlineLevel="1" x14ac:dyDescent="0.55000000000000004">
      <c r="A166" s="63">
        <f ca="1">IF($G166="UNIDADE CONSTRUTIVA",OFFSET(A166,0,0)+1,LARGE(A$3:A164,1))</f>
        <v>3</v>
      </c>
      <c r="B166" s="63">
        <f t="shared" ca="1" si="20"/>
        <v>8</v>
      </c>
      <c r="C166" s="63">
        <f t="shared" ca="1" si="21"/>
        <v>1</v>
      </c>
      <c r="D166" s="64">
        <f t="shared" ca="1" si="22"/>
        <v>4</v>
      </c>
      <c r="E166" s="64">
        <f t="shared" ca="1" si="23"/>
        <v>1</v>
      </c>
      <c r="F166" s="65"/>
      <c r="G166" s="73" t="s">
        <v>154</v>
      </c>
      <c r="H166" s="67" t="str">
        <f t="shared" ca="1" si="19"/>
        <v>08.001.004.001</v>
      </c>
      <c r="I166" s="74" t="s">
        <v>79</v>
      </c>
      <c r="J166" s="96">
        <v>1</v>
      </c>
      <c r="K166" s="127" t="s">
        <v>217</v>
      </c>
      <c r="L166" s="115">
        <v>59153.270000000019</v>
      </c>
      <c r="M166" s="74"/>
    </row>
    <row r="167" spans="1:13" ht="20.45" customHeight="1" outlineLevel="1" x14ac:dyDescent="0.55000000000000004">
      <c r="A167" s="63">
        <f ca="1">IF($G167="UNIDADE CONSTRUTIVA",OFFSET(A167,0,0)+1,LARGE(A$3:A166,1))</f>
        <v>3</v>
      </c>
      <c r="B167" s="63">
        <f t="shared" ca="1" si="20"/>
        <v>8</v>
      </c>
      <c r="C167" s="63">
        <f t="shared" ca="1" si="21"/>
        <v>1</v>
      </c>
      <c r="D167" s="64">
        <f t="shared" ca="1" si="22"/>
        <v>5</v>
      </c>
      <c r="E167" s="64">
        <f t="shared" ca="1" si="23"/>
        <v>0</v>
      </c>
      <c r="F167" s="65"/>
      <c r="G167" s="73" t="s">
        <v>153</v>
      </c>
      <c r="H167" s="67" t="str">
        <f t="shared" ca="1" si="19"/>
        <v>08.001.005</v>
      </c>
      <c r="I167" s="74" t="s">
        <v>39</v>
      </c>
      <c r="J167" s="96"/>
      <c r="K167" s="127"/>
      <c r="L167" s="115">
        <f>L168</f>
        <v>189290.46400000007</v>
      </c>
      <c r="M167" s="74"/>
    </row>
    <row r="168" spans="1:13" ht="20.45" customHeight="1" outlineLevel="1" x14ac:dyDescent="0.55000000000000004">
      <c r="A168" s="63">
        <f ca="1">IF($G168="UNIDADE CONSTRUTIVA",OFFSET(A168,0,0)+1,LARGE(A$3:A167,1))</f>
        <v>3</v>
      </c>
      <c r="B168" s="63">
        <f t="shared" ca="1" si="20"/>
        <v>8</v>
      </c>
      <c r="C168" s="63">
        <f t="shared" ca="1" si="21"/>
        <v>1</v>
      </c>
      <c r="D168" s="64">
        <f t="shared" ca="1" si="22"/>
        <v>5</v>
      </c>
      <c r="E168" s="64">
        <f t="shared" ca="1" si="23"/>
        <v>1</v>
      </c>
      <c r="F168" s="65"/>
      <c r="G168" s="73" t="s">
        <v>154</v>
      </c>
      <c r="H168" s="67" t="str">
        <f t="shared" ref="H168:H236" ca="1" si="29">IF(G168="Unidade Construtiva",TEXT(A168,"00"),IF(G168="Célula Construtiva",TEXT(B168,"00"),IF(G168="Etapa",CONCATENATE(TEXT(B168,"00"),".",TEXT(C168,"000")),IF(G168="Subetapa",CONCATENATE(TEXT(B168,"00"),".",TEXT(C168,"000"),".",TEXT(D168,"000")),IF(G168="Serviço",CONCATENATE(TEXT(B168,"00"),".",TEXT(C168,"000"),".",TEXT(D168,"000"),".",TEXT(E168,"000")),"")))))</f>
        <v>08.001.005.001</v>
      </c>
      <c r="I168" s="74" t="s">
        <v>286</v>
      </c>
      <c r="J168" s="96">
        <v>21510.280000000006</v>
      </c>
      <c r="K168" s="127" t="s">
        <v>282</v>
      </c>
      <c r="L168" s="115">
        <v>189290.46400000007</v>
      </c>
      <c r="M168" s="74" t="s">
        <v>287</v>
      </c>
    </row>
    <row r="169" spans="1:13" ht="20.45" customHeight="1" x14ac:dyDescent="0.55000000000000004">
      <c r="A169" s="63">
        <f ca="1">IF($G169="UNIDADE CONSTRUTIVA",OFFSET(A169,0,0)+1,LARGE(A$3:A168,1))</f>
        <v>3</v>
      </c>
      <c r="B169" s="63">
        <f t="shared" ca="1" si="20"/>
        <v>9</v>
      </c>
      <c r="C169" s="63">
        <f t="shared" ca="1" si="21"/>
        <v>0</v>
      </c>
      <c r="D169" s="64">
        <f t="shared" ca="1" si="22"/>
        <v>5</v>
      </c>
      <c r="E169" s="64">
        <f t="shared" ca="1" si="23"/>
        <v>1</v>
      </c>
      <c r="F169" s="65"/>
      <c r="G169" s="71" t="s">
        <v>156</v>
      </c>
      <c r="H169" s="67" t="str">
        <f t="shared" ca="1" si="29"/>
        <v>09</v>
      </c>
      <c r="I169" s="72" t="s">
        <v>80</v>
      </c>
      <c r="J169" s="95"/>
      <c r="K169" s="112"/>
      <c r="L169" s="113">
        <f>L170</f>
        <v>241345.3416000001</v>
      </c>
      <c r="M169" s="72"/>
    </row>
    <row r="170" spans="1:13" ht="20.45" customHeight="1" outlineLevel="1" x14ac:dyDescent="0.55000000000000004">
      <c r="A170" s="63">
        <f ca="1">IF($G170="UNIDADE CONSTRUTIVA",OFFSET(A170,0,0)+1,LARGE(A$3:A169,1))</f>
        <v>3</v>
      </c>
      <c r="B170" s="63">
        <f t="shared" ca="1" si="20"/>
        <v>9</v>
      </c>
      <c r="C170" s="63">
        <f t="shared" ca="1" si="21"/>
        <v>1</v>
      </c>
      <c r="D170" s="64">
        <f t="shared" ca="1" si="22"/>
        <v>0</v>
      </c>
      <c r="E170" s="64">
        <f t="shared" ca="1" si="23"/>
        <v>1</v>
      </c>
      <c r="F170" s="65"/>
      <c r="G170" s="71" t="s">
        <v>157</v>
      </c>
      <c r="H170" s="67" t="str">
        <f t="shared" ca="1" si="29"/>
        <v>09.001</v>
      </c>
      <c r="I170" s="80" t="s">
        <v>80</v>
      </c>
      <c r="J170" s="107"/>
      <c r="K170" s="138"/>
      <c r="L170" s="126">
        <f>SUM(L171:L180)/2</f>
        <v>241345.3416000001</v>
      </c>
      <c r="M170" s="80"/>
    </row>
    <row r="171" spans="1:13" ht="20.45" customHeight="1" outlineLevel="1" x14ac:dyDescent="0.55000000000000004">
      <c r="A171" s="63">
        <f ca="1">IF($G171="UNIDADE CONSTRUTIVA",OFFSET(A171,0,0)+1,LARGE(A$3:A170,1))</f>
        <v>3</v>
      </c>
      <c r="B171" s="63">
        <f t="shared" ca="1" si="20"/>
        <v>9</v>
      </c>
      <c r="C171" s="63">
        <f t="shared" ca="1" si="21"/>
        <v>1</v>
      </c>
      <c r="D171" s="64">
        <f t="shared" ca="1" si="22"/>
        <v>1</v>
      </c>
      <c r="E171" s="64">
        <f t="shared" ca="1" si="23"/>
        <v>0</v>
      </c>
      <c r="F171" s="65"/>
      <c r="G171" s="73" t="s">
        <v>153</v>
      </c>
      <c r="H171" s="67" t="str">
        <f t="shared" ca="1" si="29"/>
        <v>09.001.001</v>
      </c>
      <c r="I171" s="74" t="s">
        <v>81</v>
      </c>
      <c r="J171" s="96"/>
      <c r="K171" s="114"/>
      <c r="L171" s="115"/>
      <c r="M171" s="74"/>
    </row>
    <row r="172" spans="1:13" ht="20.45" customHeight="1" outlineLevel="1" x14ac:dyDescent="0.55000000000000004">
      <c r="A172" s="63">
        <f ca="1">IF($G172="UNIDADE CONSTRUTIVA",OFFSET(A172,0,0)+1,LARGE(A$3:A171,1))</f>
        <v>3</v>
      </c>
      <c r="B172" s="63">
        <f t="shared" ca="1" si="20"/>
        <v>9</v>
      </c>
      <c r="C172" s="63">
        <f t="shared" ca="1" si="21"/>
        <v>1</v>
      </c>
      <c r="D172" s="64">
        <f t="shared" ca="1" si="22"/>
        <v>1</v>
      </c>
      <c r="E172" s="64">
        <f t="shared" ca="1" si="23"/>
        <v>1</v>
      </c>
      <c r="F172" s="65"/>
      <c r="G172" s="73" t="s">
        <v>154</v>
      </c>
      <c r="H172" s="67" t="str">
        <f t="shared" ca="1" si="29"/>
        <v>09.001.001.001</v>
      </c>
      <c r="I172" s="74" t="s">
        <v>81</v>
      </c>
      <c r="J172" s="96"/>
      <c r="K172" s="127"/>
      <c r="L172" s="115"/>
      <c r="M172" s="74"/>
    </row>
    <row r="173" spans="1:13" ht="20.45" customHeight="1" outlineLevel="1" x14ac:dyDescent="0.55000000000000004">
      <c r="A173" s="63">
        <f ca="1">IF($G173="UNIDADE CONSTRUTIVA",OFFSET(A173,0,0)+1,LARGE(A$3:A171,1))</f>
        <v>3</v>
      </c>
      <c r="B173" s="63">
        <f t="shared" ca="1" si="20"/>
        <v>9</v>
      </c>
      <c r="C173" s="63">
        <f t="shared" ca="1" si="21"/>
        <v>1</v>
      </c>
      <c r="D173" s="64">
        <f t="shared" ca="1" si="22"/>
        <v>2</v>
      </c>
      <c r="E173" s="64">
        <f t="shared" ca="1" si="23"/>
        <v>0</v>
      </c>
      <c r="F173" s="65"/>
      <c r="G173" s="73" t="s">
        <v>153</v>
      </c>
      <c r="H173" s="67" t="str">
        <f t="shared" ca="1" si="29"/>
        <v>09.001.002</v>
      </c>
      <c r="I173" s="74" t="s">
        <v>82</v>
      </c>
      <c r="J173" s="96"/>
      <c r="K173" s="127"/>
      <c r="L173" s="115"/>
      <c r="M173" s="74"/>
    </row>
    <row r="174" spans="1:13" ht="20.45" customHeight="1" outlineLevel="1" x14ac:dyDescent="0.55000000000000004">
      <c r="A174" s="63">
        <f ca="1">IF($G174="UNIDADE CONSTRUTIVA",OFFSET(A174,0,0)+1,LARGE(A$3:A172,1))</f>
        <v>3</v>
      </c>
      <c r="B174" s="63">
        <f t="shared" ca="1" si="20"/>
        <v>9</v>
      </c>
      <c r="C174" s="63">
        <f t="shared" ca="1" si="21"/>
        <v>1</v>
      </c>
      <c r="D174" s="64">
        <f t="shared" ca="1" si="22"/>
        <v>2</v>
      </c>
      <c r="E174" s="64">
        <f t="shared" ca="1" si="23"/>
        <v>1</v>
      </c>
      <c r="F174" s="65"/>
      <c r="G174" s="73" t="s">
        <v>154</v>
      </c>
      <c r="H174" s="67" t="str">
        <f t="shared" ca="1" si="29"/>
        <v>09.001.002.001</v>
      </c>
      <c r="I174" s="74" t="s">
        <v>82</v>
      </c>
      <c r="J174" s="96"/>
      <c r="K174" s="127"/>
      <c r="L174" s="115"/>
      <c r="M174" s="74" t="s">
        <v>283</v>
      </c>
    </row>
    <row r="175" spans="1:13" ht="20.45" customHeight="1" outlineLevel="1" x14ac:dyDescent="0.55000000000000004">
      <c r="A175" s="63">
        <f ca="1">IF($G175="UNIDADE CONSTRUTIVA",OFFSET(A175,0,0)+1,LARGE(A$3:A173,1))</f>
        <v>3</v>
      </c>
      <c r="B175" s="63">
        <f t="shared" ca="1" si="20"/>
        <v>9</v>
      </c>
      <c r="C175" s="63">
        <f t="shared" ca="1" si="21"/>
        <v>1</v>
      </c>
      <c r="D175" s="64">
        <f t="shared" ca="1" si="22"/>
        <v>3</v>
      </c>
      <c r="E175" s="64">
        <f t="shared" ca="1" si="23"/>
        <v>0</v>
      </c>
      <c r="F175" s="65"/>
      <c r="G175" s="73" t="s">
        <v>153</v>
      </c>
      <c r="H175" s="67" t="str">
        <f t="shared" ca="1" si="29"/>
        <v>09.001.003</v>
      </c>
      <c r="I175" s="74" t="s">
        <v>161</v>
      </c>
      <c r="J175" s="96"/>
      <c r="K175" s="127"/>
      <c r="L175" s="115"/>
      <c r="M175" s="74"/>
    </row>
    <row r="176" spans="1:13" ht="20.45" customHeight="1" outlineLevel="1" x14ac:dyDescent="0.55000000000000004">
      <c r="A176" s="63">
        <f ca="1">IF($G176="UNIDADE CONSTRUTIVA",OFFSET(A176,0,0)+1,LARGE(A$3:A174,1))</f>
        <v>3</v>
      </c>
      <c r="B176" s="63">
        <f t="shared" ca="1" si="20"/>
        <v>9</v>
      </c>
      <c r="C176" s="63">
        <f t="shared" ca="1" si="21"/>
        <v>1</v>
      </c>
      <c r="D176" s="64">
        <f t="shared" ca="1" si="22"/>
        <v>3</v>
      </c>
      <c r="E176" s="64">
        <f t="shared" ca="1" si="23"/>
        <v>1</v>
      </c>
      <c r="F176" s="65"/>
      <c r="G176" s="73" t="s">
        <v>154</v>
      </c>
      <c r="H176" s="67" t="str">
        <f t="shared" ca="1" si="29"/>
        <v>09.001.003.001</v>
      </c>
      <c r="I176" s="74" t="s">
        <v>161</v>
      </c>
      <c r="J176" s="96"/>
      <c r="K176" s="127"/>
      <c r="L176" s="115"/>
      <c r="M176" s="74"/>
    </row>
    <row r="177" spans="1:13" ht="20.45" customHeight="1" outlineLevel="1" x14ac:dyDescent="0.55000000000000004">
      <c r="A177" s="63">
        <f ca="1">IF($G177="UNIDADE CONSTRUTIVA",OFFSET(A177,0,0)+1,LARGE(A$3:A175,1))</f>
        <v>3</v>
      </c>
      <c r="B177" s="63">
        <f t="shared" ca="1" si="20"/>
        <v>9</v>
      </c>
      <c r="C177" s="63">
        <f t="shared" ca="1" si="21"/>
        <v>1</v>
      </c>
      <c r="D177" s="64">
        <f t="shared" ca="1" si="22"/>
        <v>4</v>
      </c>
      <c r="E177" s="64">
        <f t="shared" ca="1" si="23"/>
        <v>0</v>
      </c>
      <c r="F177" s="65"/>
      <c r="G177" s="73" t="s">
        <v>153</v>
      </c>
      <c r="H177" s="67" t="str">
        <f t="shared" ca="1" si="29"/>
        <v>09.001.004</v>
      </c>
      <c r="I177" s="74" t="s">
        <v>83</v>
      </c>
      <c r="J177" s="96"/>
      <c r="K177" s="127"/>
      <c r="L177" s="115">
        <f>L178</f>
        <v>170361.41760000007</v>
      </c>
      <c r="M177" s="74"/>
    </row>
    <row r="178" spans="1:13" ht="20.45" customHeight="1" outlineLevel="1" x14ac:dyDescent="0.55000000000000004">
      <c r="A178" s="63">
        <f ca="1">IF($G178="UNIDADE CONSTRUTIVA",OFFSET(A178,0,0)+1,LARGE(A$3:A176,1))</f>
        <v>3</v>
      </c>
      <c r="B178" s="63">
        <f t="shared" ca="1" si="20"/>
        <v>9</v>
      </c>
      <c r="C178" s="63">
        <f t="shared" ca="1" si="21"/>
        <v>1</v>
      </c>
      <c r="D178" s="64">
        <f t="shared" ca="1" si="22"/>
        <v>4</v>
      </c>
      <c r="E178" s="64">
        <f t="shared" ca="1" si="23"/>
        <v>1</v>
      </c>
      <c r="F178" s="65"/>
      <c r="G178" s="73" t="s">
        <v>154</v>
      </c>
      <c r="H178" s="67" t="str">
        <f t="shared" ca="1" si="29"/>
        <v>09.001.004.001</v>
      </c>
      <c r="I178" s="74" t="s">
        <v>83</v>
      </c>
      <c r="J178" s="96">
        <v>1</v>
      </c>
      <c r="K178" s="127" t="s">
        <v>217</v>
      </c>
      <c r="L178" s="115">
        <v>170361.41760000007</v>
      </c>
      <c r="M178" s="74"/>
    </row>
    <row r="179" spans="1:13" ht="20.45" customHeight="1" outlineLevel="1" x14ac:dyDescent="0.55000000000000004">
      <c r="A179" s="63">
        <f ca="1">IF($G179="UNIDADE CONSTRUTIVA",OFFSET(A179,0,0)+1,LARGE(A$3:A176,1))</f>
        <v>3</v>
      </c>
      <c r="B179" s="63">
        <f t="shared" ca="1" si="20"/>
        <v>9</v>
      </c>
      <c r="C179" s="63">
        <f t="shared" ca="1" si="21"/>
        <v>1</v>
      </c>
      <c r="D179" s="64">
        <f t="shared" ca="1" si="22"/>
        <v>5</v>
      </c>
      <c r="E179" s="64">
        <f t="shared" ca="1" si="23"/>
        <v>0</v>
      </c>
      <c r="F179" s="65"/>
      <c r="G179" s="73" t="s">
        <v>153</v>
      </c>
      <c r="H179" s="67" t="str">
        <f t="shared" ca="1" si="29"/>
        <v>09.001.005</v>
      </c>
      <c r="I179" s="74" t="s">
        <v>39</v>
      </c>
      <c r="J179" s="96"/>
      <c r="K179" s="127"/>
      <c r="L179" s="115">
        <f>L180</f>
        <v>70983.924000000028</v>
      </c>
      <c r="M179" s="74"/>
    </row>
    <row r="180" spans="1:13" ht="20.45" customHeight="1" outlineLevel="1" x14ac:dyDescent="0.55000000000000004">
      <c r="A180" s="63">
        <f ca="1">IF($G180="UNIDADE CONSTRUTIVA",OFFSET(A180,0,0)+1,LARGE(A$3:A177,1))</f>
        <v>3</v>
      </c>
      <c r="B180" s="63">
        <f t="shared" ca="1" si="20"/>
        <v>9</v>
      </c>
      <c r="C180" s="63">
        <f t="shared" ca="1" si="21"/>
        <v>1</v>
      </c>
      <c r="D180" s="64">
        <f t="shared" ca="1" si="22"/>
        <v>5</v>
      </c>
      <c r="E180" s="64">
        <f t="shared" ca="1" si="23"/>
        <v>1</v>
      </c>
      <c r="F180" s="65"/>
      <c r="G180" s="73" t="s">
        <v>154</v>
      </c>
      <c r="H180" s="67" t="str">
        <f t="shared" ca="1" si="29"/>
        <v>09.001.005.001</v>
      </c>
      <c r="I180" s="74" t="s">
        <v>284</v>
      </c>
      <c r="J180" s="96">
        <v>21510.280000000006</v>
      </c>
      <c r="K180" s="127" t="s">
        <v>282</v>
      </c>
      <c r="L180" s="115">
        <v>70983.924000000028</v>
      </c>
      <c r="M180" s="74"/>
    </row>
    <row r="181" spans="1:13" ht="20.45" customHeight="1" x14ac:dyDescent="0.55000000000000004">
      <c r="A181" s="63">
        <f ca="1">IF($G181="UNIDADE CONSTRUTIVA",OFFSET(A181,0,0)+1,LARGE(A$3:A180,1))</f>
        <v>3</v>
      </c>
      <c r="B181" s="63">
        <f t="shared" ca="1" si="20"/>
        <v>10</v>
      </c>
      <c r="C181" s="63">
        <f t="shared" ca="1" si="21"/>
        <v>0</v>
      </c>
      <c r="D181" s="64">
        <f t="shared" ca="1" si="22"/>
        <v>5</v>
      </c>
      <c r="E181" s="64">
        <f t="shared" ca="1" si="23"/>
        <v>1</v>
      </c>
      <c r="F181" s="65"/>
      <c r="G181" s="71" t="s">
        <v>156</v>
      </c>
      <c r="H181" s="67" t="str">
        <f t="shared" ca="1" si="29"/>
        <v>10</v>
      </c>
      <c r="I181" s="72" t="s">
        <v>84</v>
      </c>
      <c r="J181" s="95"/>
      <c r="K181" s="112"/>
      <c r="L181" s="113">
        <f>L182+L189</f>
        <v>520548.77600000019</v>
      </c>
      <c r="M181" s="72"/>
    </row>
    <row r="182" spans="1:13" ht="20.45" customHeight="1" outlineLevel="1" x14ac:dyDescent="0.55000000000000004">
      <c r="A182" s="63">
        <f ca="1">IF($G182="UNIDADE CONSTRUTIVA",OFFSET(A182,0,0)+1,LARGE(A$3:A181,1))</f>
        <v>3</v>
      </c>
      <c r="B182" s="63">
        <f t="shared" ca="1" si="20"/>
        <v>10</v>
      </c>
      <c r="C182" s="63">
        <f t="shared" ca="1" si="21"/>
        <v>1</v>
      </c>
      <c r="D182" s="64">
        <f t="shared" ca="1" si="22"/>
        <v>0</v>
      </c>
      <c r="E182" s="64">
        <f t="shared" ca="1" si="23"/>
        <v>1</v>
      </c>
      <c r="F182" s="65"/>
      <c r="G182" s="71" t="s">
        <v>157</v>
      </c>
      <c r="H182" s="67" t="str">
        <f t="shared" ca="1" si="29"/>
        <v>10.001</v>
      </c>
      <c r="I182" s="72" t="s">
        <v>84</v>
      </c>
      <c r="J182" s="95"/>
      <c r="K182" s="112"/>
      <c r="L182" s="126">
        <f>SUM(L183:L188)/2</f>
        <v>283935.69600000011</v>
      </c>
      <c r="M182" s="80"/>
    </row>
    <row r="183" spans="1:13" ht="20.45" customHeight="1" outlineLevel="1" x14ac:dyDescent="0.55000000000000004">
      <c r="A183" s="63">
        <f ca="1">IF($G183="UNIDADE CONSTRUTIVA",OFFSET(A183,0,0)+1,LARGE(A$3:A182,1))</f>
        <v>3</v>
      </c>
      <c r="B183" s="63">
        <f t="shared" ca="1" si="20"/>
        <v>10</v>
      </c>
      <c r="C183" s="63">
        <f t="shared" ca="1" si="21"/>
        <v>1</v>
      </c>
      <c r="D183" s="64">
        <f t="shared" ca="1" si="22"/>
        <v>1</v>
      </c>
      <c r="E183" s="64">
        <f t="shared" ca="1" si="23"/>
        <v>0</v>
      </c>
      <c r="F183" s="65"/>
      <c r="G183" s="73" t="s">
        <v>153</v>
      </c>
      <c r="H183" s="67" t="str">
        <f t="shared" ca="1" si="29"/>
        <v>10.001.001</v>
      </c>
      <c r="I183" s="74" t="s">
        <v>85</v>
      </c>
      <c r="J183" s="96"/>
      <c r="K183" s="127"/>
      <c r="L183" s="115">
        <f>L184</f>
        <v>70983.924000000028</v>
      </c>
      <c r="M183" s="74"/>
    </row>
    <row r="184" spans="1:13" ht="20.45" customHeight="1" outlineLevel="1" x14ac:dyDescent="0.55000000000000004">
      <c r="A184" s="63">
        <f ca="1">IF($G184="UNIDADE CONSTRUTIVA",OFFSET(A184,0,0)+1,LARGE(A$3:A183,1))</f>
        <v>3</v>
      </c>
      <c r="B184" s="63">
        <f t="shared" ca="1" si="20"/>
        <v>10</v>
      </c>
      <c r="C184" s="63">
        <f t="shared" ca="1" si="21"/>
        <v>1</v>
      </c>
      <c r="D184" s="64">
        <f t="shared" ca="1" si="22"/>
        <v>1</v>
      </c>
      <c r="E184" s="64">
        <f t="shared" ca="1" si="23"/>
        <v>1</v>
      </c>
      <c r="F184" s="65"/>
      <c r="G184" s="73" t="s">
        <v>154</v>
      </c>
      <c r="H184" s="67" t="str">
        <f t="shared" ca="1" si="29"/>
        <v>10.001.001.001</v>
      </c>
      <c r="I184" s="74" t="s">
        <v>85</v>
      </c>
      <c r="J184" s="96">
        <v>1</v>
      </c>
      <c r="K184" s="127" t="s">
        <v>217</v>
      </c>
      <c r="L184" s="115">
        <v>70983.924000000028</v>
      </c>
      <c r="M184" s="74"/>
    </row>
    <row r="185" spans="1:13" ht="20.45" customHeight="1" outlineLevel="1" x14ac:dyDescent="0.55000000000000004">
      <c r="A185" s="63">
        <f ca="1">IF($G185="UNIDADE CONSTRUTIVA",OFFSET(A185,0,0)+1,LARGE(A$3:A183,1))</f>
        <v>3</v>
      </c>
      <c r="B185" s="63">
        <f t="shared" ca="1" si="20"/>
        <v>10</v>
      </c>
      <c r="C185" s="63">
        <f t="shared" ca="1" si="21"/>
        <v>1</v>
      </c>
      <c r="D185" s="64">
        <f t="shared" ca="1" si="22"/>
        <v>2</v>
      </c>
      <c r="E185" s="64">
        <f t="shared" ca="1" si="23"/>
        <v>0</v>
      </c>
      <c r="F185" s="65"/>
      <c r="G185" s="73" t="s">
        <v>153</v>
      </c>
      <c r="H185" s="67" t="str">
        <f ca="1">IF(G185="Unidade Construtiva",TEXT(A185,"00"),IF(G185="Célula Construtiva",TEXT(B185,"00"),IF(G185="Etapa",CONCATENATE(TEXT(B185,"00"),".",TEXT(C185,"000")),IF(G185="Subetapa",CONCATENATE(TEXT(B185,"00"),".",TEXT(C185,"000"),".",TEXT(D185,"000")),IF(G185="Serviço",CONCATENATE(TEXT(B185,"00"),".",TEXT(C185,"000"),".",TEXT(D185,"000"),".",TEXT(E185,"000")),"")))))</f>
        <v>10.001.002</v>
      </c>
      <c r="I185" s="74" t="s">
        <v>86</v>
      </c>
      <c r="J185" s="96"/>
      <c r="K185" s="127"/>
      <c r="L185" s="115">
        <f>L186</f>
        <v>94645.232000000033</v>
      </c>
      <c r="M185" s="74"/>
    </row>
    <row r="186" spans="1:13" ht="20.45" customHeight="1" outlineLevel="1" x14ac:dyDescent="0.55000000000000004">
      <c r="A186" s="63">
        <f ca="1">IF($G186="UNIDADE CONSTRUTIVA",OFFSET(A186,0,0)+1,LARGE(A$3:A184,1))</f>
        <v>3</v>
      </c>
      <c r="B186" s="63">
        <f t="shared" ca="1" si="20"/>
        <v>10</v>
      </c>
      <c r="C186" s="63">
        <f t="shared" ca="1" si="21"/>
        <v>1</v>
      </c>
      <c r="D186" s="64">
        <f t="shared" ca="1" si="22"/>
        <v>2</v>
      </c>
      <c r="E186" s="64">
        <f t="shared" ca="1" si="23"/>
        <v>1</v>
      </c>
      <c r="F186" s="65"/>
      <c r="G186" s="73" t="s">
        <v>154</v>
      </c>
      <c r="H186" s="67" t="str">
        <f ca="1">IF(G186="Unidade Construtiva",TEXT(A186,"00"),IF(G186="Célula Construtiva",TEXT(B186,"00"),IF(G186="Etapa",CONCATENATE(TEXT(B186,"00"),".",TEXT(C186,"000")),IF(G186="Subetapa",CONCATENATE(TEXT(B186,"00"),".",TEXT(C186,"000"),".",TEXT(D186,"000")),IF(G186="Serviço",CONCATENATE(TEXT(B186,"00"),".",TEXT(C186,"000"),".",TEXT(D186,"000"),".",TEXT(E186,"000")),"")))))</f>
        <v>10.001.002.001</v>
      </c>
      <c r="I186" s="74" t="s">
        <v>86</v>
      </c>
      <c r="J186" s="96">
        <v>1</v>
      </c>
      <c r="K186" s="127" t="s">
        <v>217</v>
      </c>
      <c r="L186" s="115">
        <v>94645.232000000033</v>
      </c>
      <c r="M186" s="74"/>
    </row>
    <row r="187" spans="1:13" ht="20.45" customHeight="1" outlineLevel="1" x14ac:dyDescent="0.55000000000000004">
      <c r="A187" s="63">
        <f ca="1">IF($G187="UNIDADE CONSTRUTIVA",OFFSET(A187,0,0)+1,LARGE(A$3:A185,1))</f>
        <v>3</v>
      </c>
      <c r="B187" s="63">
        <f t="shared" ca="1" si="20"/>
        <v>10</v>
      </c>
      <c r="C187" s="63">
        <f t="shared" ca="1" si="21"/>
        <v>1</v>
      </c>
      <c r="D187" s="64">
        <f t="shared" ca="1" si="22"/>
        <v>3</v>
      </c>
      <c r="E187" s="64">
        <f t="shared" ca="1" si="23"/>
        <v>0</v>
      </c>
      <c r="F187" s="65"/>
      <c r="G187" s="73" t="s">
        <v>153</v>
      </c>
      <c r="H187" s="67" t="str">
        <f t="shared" ca="1" si="29"/>
        <v>10.001.003</v>
      </c>
      <c r="I187" s="74" t="s">
        <v>87</v>
      </c>
      <c r="J187" s="96"/>
      <c r="K187" s="127"/>
      <c r="L187" s="115">
        <f>L188</f>
        <v>118306.54000000004</v>
      </c>
      <c r="M187" s="74"/>
    </row>
    <row r="188" spans="1:13" ht="20.45" customHeight="1" outlineLevel="1" x14ac:dyDescent="0.55000000000000004">
      <c r="A188" s="63">
        <f ca="1">IF($G188="UNIDADE CONSTRUTIVA",OFFSET(A188,0,0)+1,LARGE(A$3:A186,1))</f>
        <v>3</v>
      </c>
      <c r="B188" s="63">
        <f t="shared" ca="1" si="20"/>
        <v>10</v>
      </c>
      <c r="C188" s="63">
        <f t="shared" ca="1" si="21"/>
        <v>1</v>
      </c>
      <c r="D188" s="64">
        <f t="shared" ca="1" si="22"/>
        <v>3</v>
      </c>
      <c r="E188" s="64">
        <f t="shared" ca="1" si="23"/>
        <v>1</v>
      </c>
      <c r="F188" s="65"/>
      <c r="G188" s="73" t="s">
        <v>154</v>
      </c>
      <c r="H188" s="67" t="str">
        <f t="shared" ca="1" si="29"/>
        <v>10.001.003.001</v>
      </c>
      <c r="I188" s="74" t="s">
        <v>87</v>
      </c>
      <c r="J188" s="96">
        <v>1</v>
      </c>
      <c r="K188" s="127" t="s">
        <v>217</v>
      </c>
      <c r="L188" s="115">
        <v>118306.54000000004</v>
      </c>
      <c r="M188" s="74"/>
    </row>
    <row r="189" spans="1:13" ht="20.45" customHeight="1" outlineLevel="1" x14ac:dyDescent="0.55000000000000004">
      <c r="A189" s="63">
        <f ca="1">IF($G189="UNIDADE CONSTRUTIVA",OFFSET(A189,0,0)+1,LARGE(A$3:A188,1))</f>
        <v>3</v>
      </c>
      <c r="B189" s="63">
        <f t="shared" ca="1" si="20"/>
        <v>10</v>
      </c>
      <c r="C189" s="63">
        <f t="shared" ca="1" si="21"/>
        <v>2</v>
      </c>
      <c r="D189" s="64">
        <f t="shared" ca="1" si="22"/>
        <v>0</v>
      </c>
      <c r="E189" s="64">
        <f t="shared" ca="1" si="23"/>
        <v>1</v>
      </c>
      <c r="F189" s="65"/>
      <c r="G189" s="71" t="s">
        <v>157</v>
      </c>
      <c r="H189" s="67" t="str">
        <f t="shared" ca="1" si="29"/>
        <v>10.002</v>
      </c>
      <c r="I189" s="72" t="s">
        <v>88</v>
      </c>
      <c r="J189" s="95"/>
      <c r="K189" s="127"/>
      <c r="L189" s="113">
        <f>L190</f>
        <v>236613.08000000007</v>
      </c>
      <c r="M189" s="72"/>
    </row>
    <row r="190" spans="1:13" ht="20.45" customHeight="1" outlineLevel="1" x14ac:dyDescent="0.55000000000000004">
      <c r="A190" s="63">
        <f ca="1">IF($G190="UNIDADE CONSTRUTIVA",OFFSET(A190,0,0)+1,LARGE(A$3:A189,1))</f>
        <v>3</v>
      </c>
      <c r="B190" s="63">
        <f t="shared" ca="1" si="20"/>
        <v>10</v>
      </c>
      <c r="C190" s="63">
        <f t="shared" ca="1" si="21"/>
        <v>2</v>
      </c>
      <c r="D190" s="64">
        <f t="shared" ca="1" si="22"/>
        <v>1</v>
      </c>
      <c r="E190" s="64">
        <f t="shared" ca="1" si="23"/>
        <v>0</v>
      </c>
      <c r="F190" s="65"/>
      <c r="G190" s="73" t="s">
        <v>153</v>
      </c>
      <c r="H190" s="67" t="str">
        <f t="shared" ca="1" si="29"/>
        <v>10.002.001</v>
      </c>
      <c r="I190" s="74" t="s">
        <v>89</v>
      </c>
      <c r="J190" s="96"/>
      <c r="K190" s="127"/>
      <c r="L190" s="115">
        <f>L191</f>
        <v>236613.08000000007</v>
      </c>
      <c r="M190" s="74"/>
    </row>
    <row r="191" spans="1:13" ht="20.45" customHeight="1" outlineLevel="1" x14ac:dyDescent="0.55000000000000004">
      <c r="A191" s="63">
        <f ca="1">IF($G191="UNIDADE CONSTRUTIVA",OFFSET(A191,0,0)+1,LARGE(A$3:A190,1))</f>
        <v>3</v>
      </c>
      <c r="B191" s="63">
        <f t="shared" ca="1" si="20"/>
        <v>10</v>
      </c>
      <c r="C191" s="63">
        <f t="shared" ca="1" si="21"/>
        <v>2</v>
      </c>
      <c r="D191" s="64">
        <f t="shared" ca="1" si="22"/>
        <v>1</v>
      </c>
      <c r="E191" s="64">
        <f t="shared" ca="1" si="23"/>
        <v>1</v>
      </c>
      <c r="F191" s="65"/>
      <c r="G191" s="73" t="s">
        <v>154</v>
      </c>
      <c r="H191" s="67" t="str">
        <f t="shared" ca="1" si="29"/>
        <v>10.002.001.001</v>
      </c>
      <c r="I191" s="74" t="s">
        <v>89</v>
      </c>
      <c r="J191" s="96">
        <v>1</v>
      </c>
      <c r="K191" s="127" t="s">
        <v>217</v>
      </c>
      <c r="L191" s="115">
        <v>236613.08000000007</v>
      </c>
      <c r="M191" s="74"/>
    </row>
    <row r="192" spans="1:13" ht="20.45" customHeight="1" x14ac:dyDescent="0.55000000000000004">
      <c r="A192" s="63">
        <f ca="1">IF($G192="UNIDADE CONSTRUTIVA",OFFSET(A192,0,0)+1,LARGE(A$3:A190,1))</f>
        <v>3</v>
      </c>
      <c r="B192" s="63">
        <f t="shared" ca="1" si="20"/>
        <v>11</v>
      </c>
      <c r="C192" s="63">
        <f t="shared" ca="1" si="21"/>
        <v>0</v>
      </c>
      <c r="D192" s="64">
        <f t="shared" ca="1" si="22"/>
        <v>1</v>
      </c>
      <c r="E192" s="64">
        <f t="shared" ca="1" si="23"/>
        <v>1</v>
      </c>
      <c r="F192" s="65"/>
      <c r="G192" s="71" t="s">
        <v>156</v>
      </c>
      <c r="H192" s="67" t="str">
        <f t="shared" ca="1" si="29"/>
        <v>11</v>
      </c>
      <c r="I192" s="72" t="s">
        <v>90</v>
      </c>
      <c r="J192" s="95"/>
      <c r="K192" s="112"/>
      <c r="L192" s="113">
        <f>L193+L203+L208</f>
        <v>3034600.514</v>
      </c>
      <c r="M192" s="72"/>
    </row>
    <row r="193" spans="1:17" ht="20.45" customHeight="1" outlineLevel="1" x14ac:dyDescent="0.55000000000000004">
      <c r="A193" s="63">
        <f ca="1">IF($G193="UNIDADE CONSTRUTIVA",OFFSET(A193,0,0)+1,LARGE(A$3:A192,1))</f>
        <v>3</v>
      </c>
      <c r="B193" s="63">
        <f t="shared" ca="1" si="20"/>
        <v>11</v>
      </c>
      <c r="C193" s="63">
        <f t="shared" ca="1" si="21"/>
        <v>1</v>
      </c>
      <c r="D193" s="64">
        <f t="shared" ca="1" si="22"/>
        <v>0</v>
      </c>
      <c r="E193" s="64">
        <f t="shared" ca="1" si="23"/>
        <v>1</v>
      </c>
      <c r="F193" s="65"/>
      <c r="G193" s="71" t="s">
        <v>157</v>
      </c>
      <c r="H193" s="67" t="str">
        <f t="shared" ca="1" si="29"/>
        <v>11.001</v>
      </c>
      <c r="I193" s="72" t="s">
        <v>288</v>
      </c>
      <c r="J193" s="95"/>
      <c r="K193" s="112"/>
      <c r="L193" s="126">
        <f>SUM(L194:L202)/2</f>
        <v>390188.15</v>
      </c>
      <c r="M193" s="80"/>
    </row>
    <row r="194" spans="1:17" ht="20.45" customHeight="1" outlineLevel="1" x14ac:dyDescent="0.55000000000000004">
      <c r="A194" s="63">
        <f ca="1">IF($G194="UNIDADE CONSTRUTIVA",OFFSET(A194,0,0)+1,LARGE(A$3:A193,1))</f>
        <v>3</v>
      </c>
      <c r="B194" s="63">
        <f t="shared" ca="1" si="20"/>
        <v>11</v>
      </c>
      <c r="C194" s="63">
        <f t="shared" ca="1" si="21"/>
        <v>1</v>
      </c>
      <c r="D194" s="64">
        <f t="shared" ca="1" si="22"/>
        <v>1</v>
      </c>
      <c r="E194" s="64">
        <f t="shared" ca="1" si="23"/>
        <v>0</v>
      </c>
      <c r="F194" s="65"/>
      <c r="G194" s="73" t="s">
        <v>153</v>
      </c>
      <c r="H194" s="67" t="str">
        <f t="shared" ca="1" si="29"/>
        <v>11.001.001</v>
      </c>
      <c r="I194" s="74" t="s">
        <v>269</v>
      </c>
      <c r="J194" s="96"/>
      <c r="K194" s="114"/>
      <c r="L194" s="115">
        <f>SUM(L195:L199)</f>
        <v>390188.15</v>
      </c>
      <c r="M194" s="74"/>
    </row>
    <row r="195" spans="1:17" ht="20.45" customHeight="1" outlineLevel="1" x14ac:dyDescent="0.55000000000000004">
      <c r="A195" s="63">
        <f ca="1">IF($G195="UNIDADE CONSTRUTIVA",OFFSET(A195,0,0)+1,LARGE(A$3:A194,1))</f>
        <v>3</v>
      </c>
      <c r="B195" s="63">
        <f t="shared" ca="1" si="20"/>
        <v>11</v>
      </c>
      <c r="C195" s="63">
        <f t="shared" ca="1" si="21"/>
        <v>1</v>
      </c>
      <c r="D195" s="64">
        <f t="shared" ca="1" si="22"/>
        <v>1</v>
      </c>
      <c r="E195" s="64">
        <f t="shared" ca="1" si="23"/>
        <v>1</v>
      </c>
      <c r="F195" s="65"/>
      <c r="G195" s="73" t="s">
        <v>154</v>
      </c>
      <c r="H195" s="67" t="str">
        <f t="shared" ca="1" si="29"/>
        <v>11.001.001.001</v>
      </c>
      <c r="I195" s="74" t="s">
        <v>270</v>
      </c>
      <c r="J195" s="96">
        <v>5</v>
      </c>
      <c r="K195" s="114" t="s">
        <v>265</v>
      </c>
      <c r="L195" s="115">
        <v>205212.15000000002</v>
      </c>
      <c r="M195" s="81" t="s">
        <v>611</v>
      </c>
      <c r="Q195" s="82"/>
    </row>
    <row r="196" spans="1:17" ht="20.45" customHeight="1" outlineLevel="1" x14ac:dyDescent="0.55000000000000004">
      <c r="A196" s="63">
        <f ca="1">IF($G196="UNIDADE CONSTRUTIVA",OFFSET(A196,0,0)+1,LARGE(A$3:A195,1))</f>
        <v>3</v>
      </c>
      <c r="B196" s="63">
        <f t="shared" ca="1" si="20"/>
        <v>11</v>
      </c>
      <c r="C196" s="63">
        <f t="shared" ca="1" si="21"/>
        <v>1</v>
      </c>
      <c r="D196" s="64">
        <f t="shared" ca="1" si="22"/>
        <v>1</v>
      </c>
      <c r="E196" s="64">
        <f t="shared" ca="1" si="23"/>
        <v>2</v>
      </c>
      <c r="F196" s="65"/>
      <c r="G196" s="73" t="s">
        <v>154</v>
      </c>
      <c r="H196" s="67" t="str">
        <f t="shared" ca="1" si="29"/>
        <v>11.001.001.002</v>
      </c>
      <c r="I196" s="74" t="s">
        <v>480</v>
      </c>
      <c r="J196" s="96">
        <v>4</v>
      </c>
      <c r="K196" s="114" t="s">
        <v>265</v>
      </c>
      <c r="L196" s="115">
        <v>111320.00000000001</v>
      </c>
      <c r="M196" s="74" t="s">
        <v>612</v>
      </c>
      <c r="Q196" s="82"/>
    </row>
    <row r="197" spans="1:17" ht="20.45" customHeight="1" outlineLevel="1" x14ac:dyDescent="0.55000000000000004">
      <c r="A197" s="63">
        <f ca="1">IF($G197="UNIDADE CONSTRUTIVA",OFFSET(A197,0,0)+1,LARGE(A$3:A196,1))</f>
        <v>3</v>
      </c>
      <c r="B197" s="63">
        <f t="shared" ca="1" si="20"/>
        <v>11</v>
      </c>
      <c r="C197" s="63">
        <f t="shared" ca="1" si="21"/>
        <v>1</v>
      </c>
      <c r="D197" s="64">
        <f t="shared" ca="1" si="22"/>
        <v>1</v>
      </c>
      <c r="E197" s="64">
        <f t="shared" ca="1" si="23"/>
        <v>3</v>
      </c>
      <c r="F197" s="65"/>
      <c r="G197" s="73" t="s">
        <v>154</v>
      </c>
      <c r="H197" s="67" t="str">
        <f t="shared" ca="1" si="29"/>
        <v>11.001.001.003</v>
      </c>
      <c r="I197" s="74" t="s">
        <v>272</v>
      </c>
      <c r="J197" s="96">
        <v>2</v>
      </c>
      <c r="K197" s="114" t="s">
        <v>265</v>
      </c>
      <c r="L197" s="115">
        <v>54956.000000000007</v>
      </c>
      <c r="M197" s="74" t="s">
        <v>271</v>
      </c>
    </row>
    <row r="198" spans="1:17" ht="20.45" customHeight="1" outlineLevel="1" x14ac:dyDescent="0.55000000000000004">
      <c r="A198" s="63">
        <f ca="1">IF($G198="UNIDADE CONSTRUTIVA",OFFSET(A198,0,0)+1,LARGE(A$3:A197,1))</f>
        <v>3</v>
      </c>
      <c r="B198" s="63">
        <f t="shared" ca="1" si="20"/>
        <v>11</v>
      </c>
      <c r="C198" s="63">
        <f t="shared" ca="1" si="21"/>
        <v>1</v>
      </c>
      <c r="D198" s="64">
        <f t="shared" ca="1" si="22"/>
        <v>1</v>
      </c>
      <c r="E198" s="64">
        <f t="shared" ca="1" si="23"/>
        <v>4</v>
      </c>
      <c r="F198" s="65"/>
      <c r="G198" s="73" t="s">
        <v>154</v>
      </c>
      <c r="H198" s="67" t="str">
        <f t="shared" ca="1" si="29"/>
        <v>11.001.001.004</v>
      </c>
      <c r="I198" s="74" t="s">
        <v>273</v>
      </c>
      <c r="J198" s="96"/>
      <c r="K198" s="114"/>
      <c r="L198" s="115"/>
      <c r="M198" s="74" t="s">
        <v>274</v>
      </c>
    </row>
    <row r="199" spans="1:17" ht="20.45" customHeight="1" outlineLevel="1" x14ac:dyDescent="0.55000000000000004">
      <c r="A199" s="63">
        <f ca="1">IF($G199="UNIDADE CONSTRUTIVA",OFFSET(A199,0,0)+1,LARGE(A$3:A198,1))</f>
        <v>3</v>
      </c>
      <c r="B199" s="63">
        <f t="shared" ca="1" si="20"/>
        <v>11</v>
      </c>
      <c r="C199" s="63">
        <f t="shared" ca="1" si="21"/>
        <v>1</v>
      </c>
      <c r="D199" s="64">
        <f t="shared" ca="1" si="22"/>
        <v>1</v>
      </c>
      <c r="E199" s="64">
        <f t="shared" ca="1" si="23"/>
        <v>5</v>
      </c>
      <c r="F199" s="65"/>
      <c r="G199" s="73" t="s">
        <v>154</v>
      </c>
      <c r="H199" s="67" t="str">
        <f t="shared" ca="1" si="29"/>
        <v>11.001.001.005</v>
      </c>
      <c r="I199" s="74" t="s">
        <v>162</v>
      </c>
      <c r="J199" s="96">
        <v>2</v>
      </c>
      <c r="K199" s="114" t="s">
        <v>265</v>
      </c>
      <c r="L199" s="115">
        <v>18700</v>
      </c>
      <c r="M199" s="74"/>
    </row>
    <row r="200" spans="1:17" ht="20.45" customHeight="1" outlineLevel="1" x14ac:dyDescent="0.55000000000000004">
      <c r="A200" s="63">
        <f ca="1">IF($G200="UNIDADE CONSTRUTIVA",OFFSET(A200,0,0)+1,LARGE(A$3:A199,1))</f>
        <v>3</v>
      </c>
      <c r="B200" s="63">
        <f t="shared" ca="1" si="20"/>
        <v>11</v>
      </c>
      <c r="C200" s="63">
        <f t="shared" ca="1" si="21"/>
        <v>1</v>
      </c>
      <c r="D200" s="64">
        <f t="shared" ca="1" si="22"/>
        <v>2</v>
      </c>
      <c r="E200" s="64">
        <f t="shared" ca="1" si="23"/>
        <v>0</v>
      </c>
      <c r="F200" s="65"/>
      <c r="G200" s="73" t="s">
        <v>153</v>
      </c>
      <c r="H200" s="67" t="str">
        <f t="shared" ca="1" si="29"/>
        <v>11.001.002</v>
      </c>
      <c r="I200" s="74" t="s">
        <v>482</v>
      </c>
      <c r="J200" s="96"/>
      <c r="K200" s="114"/>
      <c r="L200" s="115">
        <f>SUM(L201:L202)</f>
        <v>0</v>
      </c>
      <c r="M200" s="74"/>
    </row>
    <row r="201" spans="1:17" ht="20.45" customHeight="1" outlineLevel="1" x14ac:dyDescent="0.55000000000000004">
      <c r="A201" s="63">
        <f ca="1">IF($G201="UNIDADE CONSTRUTIVA",OFFSET(A201,0,0)+1,LARGE(A$3:A200,1))</f>
        <v>3</v>
      </c>
      <c r="B201" s="63">
        <f t="shared" ca="1" si="20"/>
        <v>11</v>
      </c>
      <c r="C201" s="63">
        <f t="shared" ca="1" si="21"/>
        <v>1</v>
      </c>
      <c r="D201" s="64">
        <f t="shared" ca="1" si="22"/>
        <v>2</v>
      </c>
      <c r="E201" s="64">
        <f t="shared" ca="1" si="23"/>
        <v>1</v>
      </c>
      <c r="F201" s="65"/>
      <c r="G201" s="73" t="s">
        <v>154</v>
      </c>
      <c r="H201" s="67" t="str">
        <f t="shared" ca="1" si="29"/>
        <v>11.001.002.001</v>
      </c>
      <c r="I201" s="74" t="s">
        <v>483</v>
      </c>
      <c r="J201" s="96"/>
      <c r="K201" s="114"/>
      <c r="L201" s="115"/>
      <c r="M201" s="74"/>
    </row>
    <row r="202" spans="1:17" ht="20.45" customHeight="1" outlineLevel="1" x14ac:dyDescent="0.55000000000000004">
      <c r="A202" s="63">
        <f ca="1">IF($G202="UNIDADE CONSTRUTIVA",OFFSET(A202,0,0)+1,LARGE(A$3:A201,1))</f>
        <v>3</v>
      </c>
      <c r="B202" s="63">
        <f t="shared" ca="1" si="20"/>
        <v>11</v>
      </c>
      <c r="C202" s="63">
        <f t="shared" ca="1" si="21"/>
        <v>1</v>
      </c>
      <c r="D202" s="64">
        <f t="shared" ca="1" si="22"/>
        <v>2</v>
      </c>
      <c r="E202" s="64">
        <f t="shared" ca="1" si="23"/>
        <v>2</v>
      </c>
      <c r="F202" s="65"/>
      <c r="G202" s="73" t="s">
        <v>154</v>
      </c>
      <c r="H202" s="67" t="str">
        <f t="shared" ca="1" si="29"/>
        <v>11.001.002.002</v>
      </c>
      <c r="I202" s="74" t="s">
        <v>484</v>
      </c>
      <c r="J202" s="96"/>
      <c r="K202" s="114"/>
      <c r="L202" s="115"/>
      <c r="M202" s="74"/>
    </row>
    <row r="203" spans="1:17" ht="20.45" customHeight="1" outlineLevel="1" x14ac:dyDescent="0.55000000000000004">
      <c r="A203" s="63">
        <f ca="1">IF($G203="UNIDADE CONSTRUTIVA",OFFSET(A203,0,0)+1,LARGE(A$3:A199,1))</f>
        <v>3</v>
      </c>
      <c r="B203" s="63">
        <f t="shared" ca="1" si="20"/>
        <v>11</v>
      </c>
      <c r="C203" s="63">
        <f t="shared" ca="1" si="21"/>
        <v>2</v>
      </c>
      <c r="D203" s="64">
        <f t="shared" ca="1" si="22"/>
        <v>0</v>
      </c>
      <c r="E203" s="64">
        <f t="shared" ca="1" si="23"/>
        <v>2</v>
      </c>
      <c r="F203" s="65"/>
      <c r="G203" s="71" t="s">
        <v>157</v>
      </c>
      <c r="H203" s="67" t="str">
        <f t="shared" ca="1" si="29"/>
        <v>11.002</v>
      </c>
      <c r="I203" s="72" t="s">
        <v>293</v>
      </c>
      <c r="J203" s="95"/>
      <c r="K203" s="112"/>
      <c r="L203" s="113">
        <f>L204+L206</f>
        <v>200079.264</v>
      </c>
      <c r="M203" s="72"/>
    </row>
    <row r="204" spans="1:17" ht="20.45" customHeight="1" outlineLevel="1" x14ac:dyDescent="0.55000000000000004">
      <c r="A204" s="63">
        <f ca="1">IF($G204="UNIDADE CONSTRUTIVA",OFFSET(A204,0,0)+1,LARGE(A$3:A203,1))</f>
        <v>3</v>
      </c>
      <c r="B204" s="63">
        <f t="shared" ca="1" si="20"/>
        <v>11</v>
      </c>
      <c r="C204" s="63">
        <f t="shared" ca="1" si="21"/>
        <v>2</v>
      </c>
      <c r="D204" s="64">
        <f t="shared" ca="1" si="22"/>
        <v>1</v>
      </c>
      <c r="E204" s="64">
        <f t="shared" ca="1" si="23"/>
        <v>0</v>
      </c>
      <c r="F204" s="65"/>
      <c r="G204" s="73" t="s">
        <v>153</v>
      </c>
      <c r="H204" s="67" t="str">
        <f t="shared" ca="1" si="29"/>
        <v>11.002.001</v>
      </c>
      <c r="I204" s="74" t="s">
        <v>164</v>
      </c>
      <c r="J204" s="96"/>
      <c r="K204" s="114"/>
      <c r="L204" s="115"/>
      <c r="M204" s="74"/>
    </row>
    <row r="205" spans="1:17" ht="20.45" customHeight="1" outlineLevel="1" x14ac:dyDescent="0.55000000000000004">
      <c r="A205" s="63">
        <f ca="1">IF($G205="UNIDADE CONSTRUTIVA",OFFSET(A205,0,0)+1,LARGE(A$3:A204,1))</f>
        <v>3</v>
      </c>
      <c r="B205" s="63">
        <f t="shared" ca="1" si="20"/>
        <v>11</v>
      </c>
      <c r="C205" s="63">
        <f t="shared" ca="1" si="21"/>
        <v>2</v>
      </c>
      <c r="D205" s="64">
        <f t="shared" ca="1" si="22"/>
        <v>1</v>
      </c>
      <c r="E205" s="64">
        <f t="shared" ca="1" si="23"/>
        <v>1</v>
      </c>
      <c r="F205" s="65"/>
      <c r="G205" s="73" t="s">
        <v>154</v>
      </c>
      <c r="H205" s="67" t="str">
        <f t="shared" ca="1" si="29"/>
        <v>11.002.001.001</v>
      </c>
      <c r="I205" s="74" t="s">
        <v>164</v>
      </c>
      <c r="J205" s="96"/>
      <c r="K205" s="114"/>
      <c r="L205" s="115"/>
      <c r="M205" s="74" t="s">
        <v>291</v>
      </c>
      <c r="Q205" s="82"/>
    </row>
    <row r="206" spans="1:17" ht="20.45" customHeight="1" outlineLevel="1" x14ac:dyDescent="0.55000000000000004">
      <c r="A206" s="63">
        <f ca="1">IF($G206="UNIDADE CONSTRUTIVA",OFFSET(A206,0,0)+1,LARGE(A$3:A205,1))</f>
        <v>3</v>
      </c>
      <c r="B206" s="63">
        <f t="shared" ca="1" si="20"/>
        <v>11</v>
      </c>
      <c r="C206" s="63">
        <f t="shared" ca="1" si="21"/>
        <v>2</v>
      </c>
      <c r="D206" s="64">
        <f t="shared" ca="1" si="22"/>
        <v>2</v>
      </c>
      <c r="E206" s="64">
        <f t="shared" ca="1" si="23"/>
        <v>0</v>
      </c>
      <c r="F206" s="65"/>
      <c r="G206" s="73" t="s">
        <v>153</v>
      </c>
      <c r="H206" s="67" t="str">
        <f t="shared" ca="1" si="29"/>
        <v>11.002.002</v>
      </c>
      <c r="I206" s="74" t="s">
        <v>290</v>
      </c>
      <c r="J206" s="96"/>
      <c r="K206" s="114"/>
      <c r="L206" s="115">
        <f>L207</f>
        <v>200079.264</v>
      </c>
      <c r="M206" s="74"/>
    </row>
    <row r="207" spans="1:17" ht="20.45" customHeight="1" outlineLevel="1" x14ac:dyDescent="0.55000000000000004">
      <c r="A207" s="63">
        <f ca="1">IF($G207="UNIDADE CONSTRUTIVA",OFFSET(A207,0,0)+1,LARGE(A$3:A206,1))</f>
        <v>3</v>
      </c>
      <c r="B207" s="63">
        <f t="shared" ca="1" si="20"/>
        <v>11</v>
      </c>
      <c r="C207" s="63">
        <f t="shared" ca="1" si="21"/>
        <v>2</v>
      </c>
      <c r="D207" s="64">
        <f t="shared" ca="1" si="22"/>
        <v>2</v>
      </c>
      <c r="E207" s="64">
        <f t="shared" ca="1" si="23"/>
        <v>1</v>
      </c>
      <c r="F207" s="65"/>
      <c r="G207" s="73" t="s">
        <v>154</v>
      </c>
      <c r="H207" s="67" t="str">
        <f t="shared" ca="1" si="29"/>
        <v>11.002.002.001</v>
      </c>
      <c r="I207" s="74" t="s">
        <v>289</v>
      </c>
      <c r="J207" s="96">
        <v>1</v>
      </c>
      <c r="K207" s="114" t="s">
        <v>217</v>
      </c>
      <c r="L207" s="115">
        <v>200079.264</v>
      </c>
      <c r="M207" s="74" t="s">
        <v>292</v>
      </c>
      <c r="Q207" s="82"/>
    </row>
    <row r="208" spans="1:17" ht="20.45" customHeight="1" outlineLevel="1" x14ac:dyDescent="0.55000000000000004">
      <c r="A208" s="63">
        <f ca="1">IF($G208="UNIDADE CONSTRUTIVA",OFFSET(A208,0,0)+1,LARGE(A$3:A196,1))</f>
        <v>3</v>
      </c>
      <c r="B208" s="63">
        <f t="shared" ca="1" si="20"/>
        <v>11</v>
      </c>
      <c r="C208" s="63">
        <f t="shared" ca="1" si="21"/>
        <v>3</v>
      </c>
      <c r="D208" s="64">
        <f t="shared" ca="1" si="22"/>
        <v>0</v>
      </c>
      <c r="E208" s="64">
        <f t="shared" ca="1" si="23"/>
        <v>1</v>
      </c>
      <c r="F208" s="65"/>
      <c r="G208" s="71" t="s">
        <v>157</v>
      </c>
      <c r="H208" s="67" t="str">
        <f t="shared" ca="1" si="29"/>
        <v>11.003</v>
      </c>
      <c r="I208" s="72" t="s">
        <v>91</v>
      </c>
      <c r="J208" s="95"/>
      <c r="K208" s="112"/>
      <c r="L208" s="113">
        <f>L209</f>
        <v>2444333.1</v>
      </c>
      <c r="M208" s="72"/>
    </row>
    <row r="209" spans="1:13" ht="20.45" customHeight="1" outlineLevel="1" x14ac:dyDescent="0.55000000000000004">
      <c r="A209" s="63">
        <f ca="1">IF($G209="UNIDADE CONSTRUTIVA",OFFSET(A209,0,0)+1,LARGE(A$3:A208,1))</f>
        <v>3</v>
      </c>
      <c r="B209" s="63">
        <f t="shared" ca="1" si="20"/>
        <v>11</v>
      </c>
      <c r="C209" s="63">
        <f t="shared" ca="1" si="21"/>
        <v>3</v>
      </c>
      <c r="D209" s="64">
        <f t="shared" ca="1" si="22"/>
        <v>1</v>
      </c>
      <c r="E209" s="64">
        <f t="shared" ca="1" si="23"/>
        <v>0</v>
      </c>
      <c r="F209" s="65"/>
      <c r="G209" s="73" t="s">
        <v>153</v>
      </c>
      <c r="H209" s="67" t="str">
        <f t="shared" ca="1" si="29"/>
        <v>11.003.001</v>
      </c>
      <c r="I209" s="74" t="s">
        <v>92</v>
      </c>
      <c r="J209" s="96"/>
      <c r="K209" s="114"/>
      <c r="L209" s="115">
        <f>SUM(L210:L211)</f>
        <v>2444333.1</v>
      </c>
      <c r="M209" s="74"/>
    </row>
    <row r="210" spans="1:13" ht="20.45" customHeight="1" outlineLevel="1" x14ac:dyDescent="0.55000000000000004">
      <c r="A210" s="63">
        <f ca="1">IF($G210="UNIDADE CONSTRUTIVA",OFFSET(A210,0,0)+1,LARGE(A$3:A209,1))</f>
        <v>3</v>
      </c>
      <c r="B210" s="63">
        <f t="shared" ca="1" si="20"/>
        <v>11</v>
      </c>
      <c r="C210" s="63">
        <f t="shared" ca="1" si="21"/>
        <v>3</v>
      </c>
      <c r="D210" s="64">
        <f t="shared" ca="1" si="22"/>
        <v>1</v>
      </c>
      <c r="E210" s="64">
        <f t="shared" ca="1" si="23"/>
        <v>1</v>
      </c>
      <c r="F210" s="65"/>
      <c r="G210" s="73" t="s">
        <v>154</v>
      </c>
      <c r="H210" s="67" t="str">
        <f t="shared" ca="1" si="29"/>
        <v>11.003.001.001</v>
      </c>
      <c r="I210" s="74" t="s">
        <v>640</v>
      </c>
      <c r="J210" s="96">
        <v>4</v>
      </c>
      <c r="K210" s="114" t="s">
        <v>265</v>
      </c>
      <c r="L210" s="115">
        <v>1725411.6</v>
      </c>
      <c r="M210" s="74"/>
    </row>
    <row r="211" spans="1:13" ht="20.45" customHeight="1" outlineLevel="1" x14ac:dyDescent="0.55000000000000004">
      <c r="A211" s="63">
        <f ca="1">IF($G211="UNIDADE CONSTRUTIVA",OFFSET(A211,0,0)+1,LARGE(A$3:A210,1))</f>
        <v>3</v>
      </c>
      <c r="B211" s="63">
        <f t="shared" ref="B211" ca="1" si="30">IF(G211="UNIDADE CONSTRUTIVA",0,IF(G211="CÉLULA CONSTRUTIVA",OFFSET(B211,-1,0)+1,OFFSET(B211,-1,0)))</f>
        <v>11</v>
      </c>
      <c r="C211" s="63">
        <f t="shared" ref="C211" ca="1" si="31">IF(G211="CÉLULA CONSTRUTIVA",0,IF(G211="ETAPA",OFFSET(C211,-1,0)+1,OFFSET(C211,-1,0)))</f>
        <v>3</v>
      </c>
      <c r="D211" s="64">
        <f t="shared" ref="D211" ca="1" si="32">IF(G211="ETAPA",0,IF(G211="SUBETAPA",OFFSET(D211,-1,0)+1,OFFSET(D211,-1,0)))</f>
        <v>1</v>
      </c>
      <c r="E211" s="64">
        <f t="shared" ref="E211" ca="1" si="33">IF(G211="Subetapa",0,IF(G211="serviço",OFFSET(E211,-1,0)+1,OFFSET(E211,-1,0)))</f>
        <v>2</v>
      </c>
      <c r="F211" s="65"/>
      <c r="G211" s="73" t="s">
        <v>154</v>
      </c>
      <c r="H211" s="67" t="str">
        <f t="shared" ref="H211" ca="1" si="34">IF(G211="Unidade Construtiva",TEXT(A211,"00"),IF(G211="Célula Construtiva",TEXT(B211,"00"),IF(G211="Etapa",CONCATENATE(TEXT(B211,"00"),".",TEXT(C211,"000")),IF(G211="Subetapa",CONCATENATE(TEXT(B211,"00"),".",TEXT(C211,"000"),".",TEXT(D211,"000")),IF(G211="Serviço",CONCATENATE(TEXT(B211,"00"),".",TEXT(C211,"000"),".",TEXT(D211,"000"),".",TEXT(E211,"000")),"")))))</f>
        <v>11.003.001.002</v>
      </c>
      <c r="I211" s="74" t="s">
        <v>641</v>
      </c>
      <c r="J211" s="96">
        <v>2</v>
      </c>
      <c r="K211" s="114" t="s">
        <v>265</v>
      </c>
      <c r="L211" s="115">
        <v>718921.5</v>
      </c>
      <c r="M211" s="74"/>
    </row>
    <row r="212" spans="1:13" ht="20.45" customHeight="1" x14ac:dyDescent="0.55000000000000004">
      <c r="A212" s="63">
        <f ca="1">IF($G212="UNIDADE CONSTRUTIVA",OFFSET(A212,0,0)+1,LARGE(A$3:A209,1))</f>
        <v>3</v>
      </c>
      <c r="B212" s="63">
        <f t="shared" ca="1" si="20"/>
        <v>12</v>
      </c>
      <c r="C212" s="63">
        <f t="shared" ca="1" si="21"/>
        <v>0</v>
      </c>
      <c r="D212" s="64">
        <f t="shared" ca="1" si="22"/>
        <v>1</v>
      </c>
      <c r="E212" s="64">
        <f t="shared" ca="1" si="23"/>
        <v>2</v>
      </c>
      <c r="F212" s="65"/>
      <c r="G212" s="71" t="s">
        <v>156</v>
      </c>
      <c r="H212" s="67" t="str">
        <f t="shared" ca="1" si="29"/>
        <v>12</v>
      </c>
      <c r="I212" s="72" t="s">
        <v>93</v>
      </c>
      <c r="J212" s="95"/>
      <c r="K212" s="112"/>
      <c r="L212" s="113">
        <f>L213</f>
        <v>1611280.0000000002</v>
      </c>
      <c r="M212" s="72"/>
    </row>
    <row r="213" spans="1:13" ht="20.45" customHeight="1" outlineLevel="1" x14ac:dyDescent="0.55000000000000004">
      <c r="A213" s="63">
        <f ca="1">IF($G213="UNIDADE CONSTRUTIVA",OFFSET(A213,0,0)+1,LARGE(A$3:A212,1))</f>
        <v>3</v>
      </c>
      <c r="B213" s="63">
        <f t="shared" ca="1" si="20"/>
        <v>12</v>
      </c>
      <c r="C213" s="63">
        <f t="shared" ca="1" si="21"/>
        <v>1</v>
      </c>
      <c r="D213" s="64">
        <f t="shared" ca="1" si="22"/>
        <v>0</v>
      </c>
      <c r="E213" s="64">
        <f t="shared" ca="1" si="23"/>
        <v>2</v>
      </c>
      <c r="F213" s="65"/>
      <c r="G213" s="71" t="s">
        <v>157</v>
      </c>
      <c r="H213" s="67" t="str">
        <f t="shared" ca="1" si="29"/>
        <v>12.001</v>
      </c>
      <c r="I213" s="72" t="s">
        <v>93</v>
      </c>
      <c r="J213" s="95"/>
      <c r="K213" s="112"/>
      <c r="L213" s="126">
        <f>SUM(L214:L230)/2</f>
        <v>1611280.0000000002</v>
      </c>
      <c r="M213" s="80"/>
    </row>
    <row r="214" spans="1:13" ht="20.45" customHeight="1" outlineLevel="1" x14ac:dyDescent="0.55000000000000004">
      <c r="A214" s="63">
        <f ca="1">IF($G214="UNIDADE CONSTRUTIVA",OFFSET(A214,0,0)+1,LARGE(A$3:A213,1))</f>
        <v>3</v>
      </c>
      <c r="B214" s="63">
        <f t="shared" ca="1" si="20"/>
        <v>12</v>
      </c>
      <c r="C214" s="63">
        <f t="shared" ca="1" si="21"/>
        <v>1</v>
      </c>
      <c r="D214" s="64">
        <f t="shared" ca="1" si="22"/>
        <v>1</v>
      </c>
      <c r="E214" s="64">
        <f t="shared" ca="1" si="23"/>
        <v>0</v>
      </c>
      <c r="F214" s="65"/>
      <c r="G214" s="73" t="s">
        <v>153</v>
      </c>
      <c r="H214" s="67" t="str">
        <f t="shared" ca="1" si="29"/>
        <v>12.001.001</v>
      </c>
      <c r="I214" s="74" t="s">
        <v>94</v>
      </c>
      <c r="J214" s="96"/>
      <c r="K214" s="114"/>
      <c r="L214" s="115">
        <f>SUM(L215:L222)</f>
        <v>1017390.0000000001</v>
      </c>
      <c r="M214" s="74"/>
    </row>
    <row r="215" spans="1:13" ht="37.5" outlineLevel="1" x14ac:dyDescent="0.55000000000000004">
      <c r="A215" s="63">
        <f ca="1">IF($G215="UNIDADE CONSTRUTIVA",OFFSET(A215,0,0)+1,LARGE(A$3:A214,1))</f>
        <v>3</v>
      </c>
      <c r="B215" s="63">
        <f t="shared" ca="1" si="20"/>
        <v>12</v>
      </c>
      <c r="C215" s="63">
        <f t="shared" ca="1" si="21"/>
        <v>1</v>
      </c>
      <c r="D215" s="64">
        <f t="shared" ca="1" si="22"/>
        <v>1</v>
      </c>
      <c r="E215" s="64">
        <f t="shared" ca="1" si="23"/>
        <v>1</v>
      </c>
      <c r="F215" s="65"/>
      <c r="G215" s="73" t="s">
        <v>154</v>
      </c>
      <c r="H215" s="67" t="str">
        <f t="shared" ca="1" si="29"/>
        <v>12.001.001.001</v>
      </c>
      <c r="I215" s="74" t="s">
        <v>261</v>
      </c>
      <c r="J215" s="96"/>
      <c r="K215" s="127"/>
      <c r="L215" s="115"/>
      <c r="M215" s="74" t="s">
        <v>163</v>
      </c>
    </row>
    <row r="216" spans="1:13" outlineLevel="1" x14ac:dyDescent="0.55000000000000004">
      <c r="A216" s="63">
        <f ca="1">IF($G216="UNIDADE CONSTRUTIVA",OFFSET(A216,0,0)+1,LARGE(A$3:A215,1))</f>
        <v>3</v>
      </c>
      <c r="B216" s="63">
        <f t="shared" ref="B216" ca="1" si="35">IF(G216="UNIDADE CONSTRUTIVA",0,IF(G216="CÉLULA CONSTRUTIVA",OFFSET(B216,-1,0)+1,OFFSET(B216,-1,0)))</f>
        <v>12</v>
      </c>
      <c r="C216" s="63">
        <f t="shared" ref="C216" ca="1" si="36">IF(G216="CÉLULA CONSTRUTIVA",0,IF(G216="ETAPA",OFFSET(C216,-1,0)+1,OFFSET(C216,-1,0)))</f>
        <v>1</v>
      </c>
      <c r="D216" s="64">
        <f t="shared" ref="D216" ca="1" si="37">IF(G216="ETAPA",0,IF(G216="SUBETAPA",OFFSET(D216,-1,0)+1,OFFSET(D216,-1,0)))</f>
        <v>1</v>
      </c>
      <c r="E216" s="64">
        <f t="shared" ref="E216" ca="1" si="38">IF(G216="Subetapa",0,IF(G216="serviço",OFFSET(E216,-1,0)+1,OFFSET(E216,-1,0)))</f>
        <v>2</v>
      </c>
      <c r="F216" s="65"/>
      <c r="G216" s="73" t="s">
        <v>154</v>
      </c>
      <c r="H216" s="67" t="str">
        <f t="shared" ref="H216" ca="1" si="39">IF(G216="Unidade Construtiva",TEXT(A216,"00"),IF(G216="Célula Construtiva",TEXT(B216,"00"),IF(G216="Etapa",CONCATENATE(TEXT(B216,"00"),".",TEXT(C216,"000")),IF(G216="Subetapa",CONCATENATE(TEXT(B216,"00"),".",TEXT(C216,"000"),".",TEXT(D216,"000")),IF(G216="Serviço",CONCATENATE(TEXT(B216,"00"),".",TEXT(C216,"000"),".",TEXT(D216,"000"),".",TEXT(E216,"000")),"")))))</f>
        <v>12.001.001.002</v>
      </c>
      <c r="I216" s="74" t="s">
        <v>610</v>
      </c>
      <c r="J216" s="96">
        <v>455</v>
      </c>
      <c r="K216" s="127" t="s">
        <v>265</v>
      </c>
      <c r="L216" s="115">
        <v>750750.00000000012</v>
      </c>
      <c r="M216" s="74" t="s">
        <v>520</v>
      </c>
    </row>
    <row r="217" spans="1:13" ht="20.45" customHeight="1" outlineLevel="1" x14ac:dyDescent="0.55000000000000004">
      <c r="A217" s="63">
        <f ca="1">IF($G217="UNIDADE CONSTRUTIVA",OFFSET(A217,0,0)+1,LARGE(A$3:A214,1))</f>
        <v>3</v>
      </c>
      <c r="B217" s="63">
        <f t="shared" ca="1" si="20"/>
        <v>12</v>
      </c>
      <c r="C217" s="63">
        <f t="shared" ca="1" si="21"/>
        <v>1</v>
      </c>
      <c r="D217" s="64">
        <f t="shared" ca="1" si="22"/>
        <v>1</v>
      </c>
      <c r="E217" s="64">
        <f t="shared" ca="1" si="23"/>
        <v>3</v>
      </c>
      <c r="F217" s="65"/>
      <c r="G217" s="73" t="s">
        <v>154</v>
      </c>
      <c r="H217" s="67" t="str">
        <f t="shared" ca="1" si="29"/>
        <v>12.001.001.003</v>
      </c>
      <c r="I217" s="74" t="s">
        <v>501</v>
      </c>
      <c r="J217" s="96"/>
      <c r="K217" s="127"/>
      <c r="L217" s="115"/>
      <c r="M217" s="74" t="s">
        <v>163</v>
      </c>
    </row>
    <row r="218" spans="1:13" ht="20.45" customHeight="1" outlineLevel="1" x14ac:dyDescent="0.55000000000000004">
      <c r="A218" s="63">
        <f ca="1">IF($G218="UNIDADE CONSTRUTIVA",OFFSET(A218,0,0)+1,LARGE(A$3:A215,1))</f>
        <v>3</v>
      </c>
      <c r="B218" s="63">
        <f t="shared" ca="1" si="20"/>
        <v>12</v>
      </c>
      <c r="C218" s="63">
        <f t="shared" ca="1" si="21"/>
        <v>1</v>
      </c>
      <c r="D218" s="64">
        <f t="shared" ca="1" si="22"/>
        <v>1</v>
      </c>
      <c r="E218" s="64">
        <f t="shared" ca="1" si="23"/>
        <v>4</v>
      </c>
      <c r="F218" s="65"/>
      <c r="G218" s="73" t="s">
        <v>154</v>
      </c>
      <c r="H218" s="67" t="str">
        <f t="shared" ca="1" si="29"/>
        <v>12.001.001.004</v>
      </c>
      <c r="I218" s="74" t="s">
        <v>502</v>
      </c>
      <c r="J218" s="96"/>
      <c r="K218" s="127"/>
      <c r="L218" s="115"/>
      <c r="M218" s="74" t="s">
        <v>163</v>
      </c>
    </row>
    <row r="219" spans="1:13" ht="20.45" customHeight="1" outlineLevel="1" x14ac:dyDescent="0.55000000000000004">
      <c r="A219" s="63">
        <f ca="1">IF($G219="UNIDADE CONSTRUTIVA",OFFSET(A219,0,0)+1,LARGE(A$3:A217,1))</f>
        <v>3</v>
      </c>
      <c r="B219" s="63">
        <f t="shared" ca="1" si="20"/>
        <v>12</v>
      </c>
      <c r="C219" s="63">
        <f t="shared" ca="1" si="21"/>
        <v>1</v>
      </c>
      <c r="D219" s="64">
        <f t="shared" ca="1" si="22"/>
        <v>1</v>
      </c>
      <c r="E219" s="64">
        <f t="shared" ca="1" si="23"/>
        <v>5</v>
      </c>
      <c r="F219" s="65"/>
      <c r="G219" s="73" t="s">
        <v>154</v>
      </c>
      <c r="H219" s="67" t="str">
        <f t="shared" ca="1" si="29"/>
        <v>12.001.001.005</v>
      </c>
      <c r="I219" s="74" t="s">
        <v>503</v>
      </c>
      <c r="J219" s="96"/>
      <c r="K219" s="127"/>
      <c r="L219" s="115"/>
      <c r="M219" s="74" t="s">
        <v>163</v>
      </c>
    </row>
    <row r="220" spans="1:13" ht="20.45" customHeight="1" outlineLevel="1" x14ac:dyDescent="0.55000000000000004">
      <c r="A220" s="63">
        <f ca="1">IF($G220="UNIDADE CONSTRUTIVA",OFFSET(A220,0,0)+1,LARGE(A$3:A215,1))</f>
        <v>3</v>
      </c>
      <c r="B220" s="63">
        <f t="shared" ca="1" si="20"/>
        <v>12</v>
      </c>
      <c r="C220" s="63">
        <f t="shared" ca="1" si="21"/>
        <v>1</v>
      </c>
      <c r="D220" s="64">
        <f t="shared" ca="1" si="22"/>
        <v>1</v>
      </c>
      <c r="E220" s="64">
        <f t="shared" ca="1" si="23"/>
        <v>6</v>
      </c>
      <c r="F220" s="65"/>
      <c r="G220" s="73" t="s">
        <v>154</v>
      </c>
      <c r="H220" s="67" t="str">
        <f t="shared" ca="1" si="29"/>
        <v>12.001.001.006</v>
      </c>
      <c r="I220" s="74" t="s">
        <v>262</v>
      </c>
      <c r="J220" s="96">
        <v>4</v>
      </c>
      <c r="K220" s="127" t="s">
        <v>265</v>
      </c>
      <c r="L220" s="115">
        <v>13200.000000000002</v>
      </c>
      <c r="M220" s="74" t="s">
        <v>263</v>
      </c>
    </row>
    <row r="221" spans="1:13" ht="20.45" customHeight="1" outlineLevel="1" x14ac:dyDescent="0.55000000000000004">
      <c r="A221" s="63">
        <f ca="1">IF($G221="UNIDADE CONSTRUTIVA",OFFSET(A221,0,0)+1,LARGE(A$3:A217,1))</f>
        <v>3</v>
      </c>
      <c r="B221" s="63">
        <f t="shared" ca="1" si="20"/>
        <v>12</v>
      </c>
      <c r="C221" s="63">
        <f t="shared" ca="1" si="21"/>
        <v>1</v>
      </c>
      <c r="D221" s="64">
        <f t="shared" ca="1" si="22"/>
        <v>1</v>
      </c>
      <c r="E221" s="64">
        <f t="shared" ca="1" si="23"/>
        <v>7</v>
      </c>
      <c r="F221" s="65"/>
      <c r="G221" s="73" t="s">
        <v>154</v>
      </c>
      <c r="H221" s="67" t="str">
        <f t="shared" ca="1" si="29"/>
        <v>12.001.001.007</v>
      </c>
      <c r="I221" s="74" t="s">
        <v>266</v>
      </c>
      <c r="J221" s="96">
        <v>16</v>
      </c>
      <c r="K221" s="127" t="s">
        <v>265</v>
      </c>
      <c r="L221" s="115">
        <v>253440.00000000003</v>
      </c>
      <c r="M221" s="74" t="s">
        <v>264</v>
      </c>
    </row>
    <row r="222" spans="1:13" ht="20.45" customHeight="1" outlineLevel="1" x14ac:dyDescent="0.55000000000000004">
      <c r="A222" s="63">
        <f ca="1">IF($G222="UNIDADE CONSTRUTIVA",OFFSET(A222,0,0)+1,LARGE(A$3:A220,1))</f>
        <v>3</v>
      </c>
      <c r="B222" s="63">
        <f t="shared" ca="1" si="20"/>
        <v>12</v>
      </c>
      <c r="C222" s="63">
        <f t="shared" ca="1" si="21"/>
        <v>1</v>
      </c>
      <c r="D222" s="64">
        <f t="shared" ca="1" si="22"/>
        <v>1</v>
      </c>
      <c r="E222" s="64">
        <f t="shared" ca="1" si="23"/>
        <v>8</v>
      </c>
      <c r="F222" s="65"/>
      <c r="G222" s="73" t="s">
        <v>154</v>
      </c>
      <c r="H222" s="67" t="str">
        <f t="shared" ca="1" si="29"/>
        <v>12.001.001.008</v>
      </c>
      <c r="I222" s="74" t="s">
        <v>301</v>
      </c>
      <c r="J222" s="96"/>
      <c r="K222" s="127"/>
      <c r="L222" s="115"/>
      <c r="M222" s="74" t="s">
        <v>302</v>
      </c>
    </row>
    <row r="223" spans="1:13" ht="20.45" customHeight="1" outlineLevel="1" x14ac:dyDescent="0.55000000000000004">
      <c r="A223" s="63">
        <f ca="1">IF($G223="UNIDADE CONSTRUTIVA",OFFSET(A223,0,0)+1,LARGE(A$3:A214,1))</f>
        <v>3</v>
      </c>
      <c r="B223" s="63">
        <f t="shared" ca="1" si="20"/>
        <v>12</v>
      </c>
      <c r="C223" s="63">
        <f t="shared" ca="1" si="21"/>
        <v>1</v>
      </c>
      <c r="D223" s="64">
        <f t="shared" ca="1" si="22"/>
        <v>2</v>
      </c>
      <c r="E223" s="64">
        <f t="shared" ca="1" si="23"/>
        <v>0</v>
      </c>
      <c r="F223" s="65"/>
      <c r="G223" s="73" t="s">
        <v>153</v>
      </c>
      <c r="H223" s="67" t="str">
        <f t="shared" ca="1" si="29"/>
        <v>12.001.002</v>
      </c>
      <c r="I223" s="74" t="s">
        <v>95</v>
      </c>
      <c r="J223" s="96"/>
      <c r="K223" s="114"/>
      <c r="L223" s="115">
        <f>SUM(L224:L227)</f>
        <v>244750.00000000003</v>
      </c>
      <c r="M223" s="74"/>
    </row>
    <row r="224" spans="1:13" ht="20.45" customHeight="1" outlineLevel="1" x14ac:dyDescent="0.55000000000000004">
      <c r="A224" s="63">
        <f ca="1">IF($G224="UNIDADE CONSTRUTIVA",OFFSET(A224,0,0)+1,LARGE(A$3:A215,1))</f>
        <v>3</v>
      </c>
      <c r="B224" s="63">
        <f t="shared" ca="1" si="20"/>
        <v>12</v>
      </c>
      <c r="C224" s="63">
        <f t="shared" ca="1" si="21"/>
        <v>1</v>
      </c>
      <c r="D224" s="64">
        <f t="shared" ca="1" si="22"/>
        <v>2</v>
      </c>
      <c r="E224" s="64">
        <f t="shared" ca="1" si="23"/>
        <v>1</v>
      </c>
      <c r="F224" s="65"/>
      <c r="G224" s="73" t="s">
        <v>154</v>
      </c>
      <c r="H224" s="67" t="str">
        <f t="shared" ca="1" si="29"/>
        <v>12.001.002.001</v>
      </c>
      <c r="I224" s="74" t="s">
        <v>267</v>
      </c>
      <c r="J224" s="96">
        <v>10</v>
      </c>
      <c r="K224" s="127" t="s">
        <v>265</v>
      </c>
      <c r="L224" s="115">
        <v>9900</v>
      </c>
      <c r="M224" s="74"/>
    </row>
    <row r="225" spans="1:13" ht="20.45" customHeight="1" outlineLevel="1" x14ac:dyDescent="0.55000000000000004">
      <c r="A225" s="63">
        <f ca="1">IF($G225="UNIDADE CONSTRUTIVA",OFFSET(A225,0,0)+1,LARGE(A$3:A215,1))</f>
        <v>3</v>
      </c>
      <c r="B225" s="63">
        <f t="shared" ref="B225" ca="1" si="40">IF(G225="UNIDADE CONSTRUTIVA",0,IF(G225="CÉLULA CONSTRUTIVA",OFFSET(B225,-1,0)+1,OFFSET(B225,-1,0)))</f>
        <v>12</v>
      </c>
      <c r="C225" s="63">
        <f t="shared" ref="C225" ca="1" si="41">IF(G225="CÉLULA CONSTRUTIVA",0,IF(G225="ETAPA",OFFSET(C225,-1,0)+1,OFFSET(C225,-1,0)))</f>
        <v>1</v>
      </c>
      <c r="D225" s="64">
        <f t="shared" ref="D225" ca="1" si="42">IF(G225="ETAPA",0,IF(G225="SUBETAPA",OFFSET(D225,-1,0)+1,OFFSET(D225,-1,0)))</f>
        <v>2</v>
      </c>
      <c r="E225" s="64">
        <f t="shared" ref="E225" ca="1" si="43">IF(G225="Subetapa",0,IF(G225="serviço",OFFSET(E225,-1,0)+1,OFFSET(E225,-1,0)))</f>
        <v>2</v>
      </c>
      <c r="F225" s="65"/>
      <c r="G225" s="73" t="s">
        <v>154</v>
      </c>
      <c r="H225" s="67" t="str">
        <f t="shared" ref="H225" ca="1" si="44">IF(G225="Unidade Construtiva",TEXT(A225,"00"),IF(G225="Célula Construtiva",TEXT(B225,"00"),IF(G225="Etapa",CONCATENATE(TEXT(B225,"00"),".",TEXT(C225,"000")),IF(G225="Subetapa",CONCATENATE(TEXT(B225,"00"),".",TEXT(C225,"000"),".",TEXT(D225,"000")),IF(G225="Serviço",CONCATENATE(TEXT(B225,"00"),".",TEXT(C225,"000"),".",TEXT(D225,"000"),".",TEXT(E225,"000")),"")))))</f>
        <v>12.001.002.002</v>
      </c>
      <c r="I225" s="74" t="s">
        <v>504</v>
      </c>
      <c r="J225" s="96"/>
      <c r="K225" s="127"/>
      <c r="L225" s="115"/>
      <c r="M225" s="74"/>
    </row>
    <row r="226" spans="1:13" ht="20.45" customHeight="1" outlineLevel="1" x14ac:dyDescent="0.55000000000000004">
      <c r="A226" s="63">
        <f ca="1">IF($G226="UNIDADE CONSTRUTIVA",OFFSET(A226,0,0)+1,LARGE(A$3:A217,1))</f>
        <v>3</v>
      </c>
      <c r="B226" s="63">
        <f t="shared" ref="B226" ca="1" si="45">IF(G226="UNIDADE CONSTRUTIVA",0,IF(G226="CÉLULA CONSTRUTIVA",OFFSET(B226,-1,0)+1,OFFSET(B226,-1,0)))</f>
        <v>12</v>
      </c>
      <c r="C226" s="63">
        <f t="shared" ref="C226" ca="1" si="46">IF(G226="CÉLULA CONSTRUTIVA",0,IF(G226="ETAPA",OFFSET(C226,-1,0)+1,OFFSET(C226,-1,0)))</f>
        <v>1</v>
      </c>
      <c r="D226" s="64">
        <f t="shared" ref="D226" ca="1" si="47">IF(G226="ETAPA",0,IF(G226="SUBETAPA",OFFSET(D226,-1,0)+1,OFFSET(D226,-1,0)))</f>
        <v>2</v>
      </c>
      <c r="E226" s="64">
        <f t="shared" ref="E226" ca="1" si="48">IF(G226="Subetapa",0,IF(G226="serviço",OFFSET(E226,-1,0)+1,OFFSET(E226,-1,0)))</f>
        <v>3</v>
      </c>
      <c r="F226" s="65"/>
      <c r="G226" s="73" t="s">
        <v>154</v>
      </c>
      <c r="H226" s="67" t="str">
        <f t="shared" ref="H226" ca="1" si="49">IF(G226="Unidade Construtiva",TEXT(A226,"00"),IF(G226="Célula Construtiva",TEXT(B226,"00"),IF(G226="Etapa",CONCATENATE(TEXT(B226,"00"),".",TEXT(C226,"000")),IF(G226="Subetapa",CONCATENATE(TEXT(B226,"00"),".",TEXT(C226,"000"),".",TEXT(D226,"000")),IF(G226="Serviço",CONCATENATE(TEXT(B226,"00"),".",TEXT(C226,"000"),".",TEXT(D226,"000"),".",TEXT(E226,"000")),"")))))</f>
        <v>12.001.002.003</v>
      </c>
      <c r="I226" s="74" t="s">
        <v>609</v>
      </c>
      <c r="J226" s="96">
        <v>44</v>
      </c>
      <c r="K226" s="127" t="s">
        <v>265</v>
      </c>
      <c r="L226" s="115">
        <v>121000.00000000001</v>
      </c>
      <c r="M226" s="74"/>
    </row>
    <row r="227" spans="1:13" ht="20.45" customHeight="1" outlineLevel="1" x14ac:dyDescent="0.55000000000000004">
      <c r="A227" s="63">
        <f ca="1">IF($G227="UNIDADE CONSTRUTIVA",OFFSET(A227,0,0)+1,LARGE(A$3:A217,1))</f>
        <v>3</v>
      </c>
      <c r="B227" s="63">
        <f t="shared" ca="1" si="20"/>
        <v>12</v>
      </c>
      <c r="C227" s="63">
        <f t="shared" ca="1" si="21"/>
        <v>1</v>
      </c>
      <c r="D227" s="64">
        <f t="shared" ca="1" si="22"/>
        <v>2</v>
      </c>
      <c r="E227" s="64">
        <f t="shared" ca="1" si="23"/>
        <v>4</v>
      </c>
      <c r="F227" s="65"/>
      <c r="G227" s="73" t="s">
        <v>154</v>
      </c>
      <c r="H227" s="67" t="str">
        <f t="shared" ca="1" si="29"/>
        <v>12.001.002.004</v>
      </c>
      <c r="I227" s="74" t="s">
        <v>608</v>
      </c>
      <c r="J227" s="96">
        <v>1</v>
      </c>
      <c r="K227" s="127" t="s">
        <v>217</v>
      </c>
      <c r="L227" s="115">
        <v>113850.00000000001</v>
      </c>
      <c r="M227" s="74"/>
    </row>
    <row r="228" spans="1:13" ht="20.45" customHeight="1" outlineLevel="1" x14ac:dyDescent="0.55000000000000004">
      <c r="A228" s="63">
        <f ca="1">IF($G228="UNIDADE CONSTRUTIVA",OFFSET(A228,0,0)+1,LARGE(A$3:A223,1))</f>
        <v>3</v>
      </c>
      <c r="B228" s="63">
        <f t="shared" ca="1" si="20"/>
        <v>12</v>
      </c>
      <c r="C228" s="63">
        <f t="shared" ca="1" si="21"/>
        <v>1</v>
      </c>
      <c r="D228" s="64">
        <f t="shared" ca="1" si="22"/>
        <v>3</v>
      </c>
      <c r="E228" s="64">
        <f t="shared" ca="1" si="23"/>
        <v>0</v>
      </c>
      <c r="F228" s="65"/>
      <c r="G228" s="73" t="s">
        <v>153</v>
      </c>
      <c r="H228" s="67" t="str">
        <f t="shared" ca="1" si="29"/>
        <v>12.001.003</v>
      </c>
      <c r="I228" s="74" t="s">
        <v>96</v>
      </c>
      <c r="J228" s="96"/>
      <c r="K228" s="114"/>
      <c r="L228" s="115">
        <f>SUM(L229:L230)</f>
        <v>349140</v>
      </c>
      <c r="M228" s="74"/>
    </row>
    <row r="229" spans="1:13" ht="20.45" customHeight="1" outlineLevel="1" x14ac:dyDescent="0.55000000000000004">
      <c r="A229" s="63">
        <f ca="1">IF($G229="UNIDADE CONSTRUTIVA",OFFSET(A229,0,0)+1,LARGE(A$3:A223,1))</f>
        <v>3</v>
      </c>
      <c r="B229" s="63">
        <f t="shared" ref="B229" ca="1" si="50">IF(G229="UNIDADE CONSTRUTIVA",0,IF(G229="CÉLULA CONSTRUTIVA",OFFSET(B229,-1,0)+1,OFFSET(B229,-1,0)))</f>
        <v>12</v>
      </c>
      <c r="C229" s="63">
        <f t="shared" ref="C229" ca="1" si="51">IF(G229="CÉLULA CONSTRUTIVA",0,IF(G229="ETAPA",OFFSET(C229,-1,0)+1,OFFSET(C229,-1,0)))</f>
        <v>1</v>
      </c>
      <c r="D229" s="64">
        <f t="shared" ref="D229" ca="1" si="52">IF(G229="ETAPA",0,IF(G229="SUBETAPA",OFFSET(D229,-1,0)+1,OFFSET(D229,-1,0)))</f>
        <v>3</v>
      </c>
      <c r="E229" s="64">
        <f t="shared" ref="E229" ca="1" si="53">IF(G229="Subetapa",0,IF(G229="serviço",OFFSET(E229,-1,0)+1,OFFSET(E229,-1,0)))</f>
        <v>1</v>
      </c>
      <c r="F229" s="65"/>
      <c r="G229" s="73" t="s">
        <v>154</v>
      </c>
      <c r="H229" s="67" t="str">
        <f t="shared" ref="H229" ca="1" si="54">IF(G229="Unidade Construtiva",TEXT(A229,"00"),IF(G229="Célula Construtiva",TEXT(B229,"00"),IF(G229="Etapa",CONCATENATE(TEXT(B229,"00"),".",TEXT(C229,"000")),IF(G229="Subetapa",CONCATENATE(TEXT(B229,"00"),".",TEXT(C229,"000"),".",TEXT(D229,"000")),IF(G229="Serviço",CONCATENATE(TEXT(B229,"00"),".",TEXT(C229,"000"),".",TEXT(D229,"000"),".",TEXT(E229,"000")),"")))))</f>
        <v>12.001.003.001</v>
      </c>
      <c r="I229" s="74" t="s">
        <v>607</v>
      </c>
      <c r="J229" s="96">
        <v>60</v>
      </c>
      <c r="K229" s="127" t="s">
        <v>265</v>
      </c>
      <c r="L229" s="115">
        <v>62700.000000000007</v>
      </c>
      <c r="M229" s="74" t="s">
        <v>268</v>
      </c>
    </row>
    <row r="230" spans="1:13" ht="20.45" customHeight="1" outlineLevel="1" x14ac:dyDescent="0.55000000000000004">
      <c r="A230" s="63">
        <f ca="1">IF($G230="UNIDADE CONSTRUTIVA",OFFSET(A230,0,0)+1,LARGE(A$3:A224,1))</f>
        <v>3</v>
      </c>
      <c r="B230" s="63">
        <f t="shared" ca="1" si="20"/>
        <v>12</v>
      </c>
      <c r="C230" s="63">
        <f t="shared" ca="1" si="21"/>
        <v>1</v>
      </c>
      <c r="D230" s="64">
        <f t="shared" ca="1" si="22"/>
        <v>3</v>
      </c>
      <c r="E230" s="64">
        <f t="shared" ca="1" si="23"/>
        <v>2</v>
      </c>
      <c r="F230" s="65"/>
      <c r="G230" s="73" t="s">
        <v>154</v>
      </c>
      <c r="H230" s="67" t="str">
        <f t="shared" ca="1" si="29"/>
        <v>12.001.003.002</v>
      </c>
      <c r="I230" s="74" t="s">
        <v>96</v>
      </c>
      <c r="J230" s="96">
        <v>62</v>
      </c>
      <c r="K230" s="127" t="s">
        <v>265</v>
      </c>
      <c r="L230" s="115">
        <v>286440</v>
      </c>
      <c r="M230" s="74" t="s">
        <v>268</v>
      </c>
    </row>
    <row r="231" spans="1:13" ht="20.45" customHeight="1" x14ac:dyDescent="0.55000000000000004">
      <c r="A231" s="63">
        <f ca="1">IF($G231="UNIDADE CONSTRUTIVA",OFFSET(A231,0,0)+1,LARGE(A$3:A230,1))</f>
        <v>3</v>
      </c>
      <c r="B231" s="63">
        <f t="shared" ca="1" si="20"/>
        <v>13</v>
      </c>
      <c r="C231" s="63">
        <f t="shared" ca="1" si="21"/>
        <v>0</v>
      </c>
      <c r="D231" s="64">
        <f t="shared" ca="1" si="22"/>
        <v>3</v>
      </c>
      <c r="E231" s="64">
        <f t="shared" ca="1" si="23"/>
        <v>2</v>
      </c>
      <c r="F231" s="65"/>
      <c r="G231" s="71" t="s">
        <v>156</v>
      </c>
      <c r="H231" s="67" t="str">
        <f t="shared" ca="1" si="29"/>
        <v>13</v>
      </c>
      <c r="I231" s="72" t="s">
        <v>97</v>
      </c>
      <c r="J231" s="95"/>
      <c r="K231" s="112"/>
      <c r="L231" s="113">
        <f>L232</f>
        <v>2958539.6660600007</v>
      </c>
      <c r="M231" s="72"/>
    </row>
    <row r="232" spans="1:13" ht="20.45" customHeight="1" outlineLevel="1" x14ac:dyDescent="0.55000000000000004">
      <c r="A232" s="63">
        <f ca="1">IF($G232="UNIDADE CONSTRUTIVA",OFFSET(A232,0,0)+1,LARGE(A$3:A231,1))</f>
        <v>3</v>
      </c>
      <c r="B232" s="63">
        <f t="shared" ca="1" si="20"/>
        <v>13</v>
      </c>
      <c r="C232" s="63">
        <f t="shared" ca="1" si="21"/>
        <v>1</v>
      </c>
      <c r="D232" s="64">
        <f t="shared" ca="1" si="22"/>
        <v>0</v>
      </c>
      <c r="E232" s="64">
        <f t="shared" ca="1" si="23"/>
        <v>2</v>
      </c>
      <c r="F232" s="65"/>
      <c r="G232" s="71" t="s">
        <v>157</v>
      </c>
      <c r="H232" s="67" t="str">
        <f t="shared" ca="1" si="29"/>
        <v>13.001</v>
      </c>
      <c r="I232" s="72" t="s">
        <v>97</v>
      </c>
      <c r="J232" s="95"/>
      <c r="K232" s="112"/>
      <c r="L232" s="113">
        <f>SUM(L233:L254)/2</f>
        <v>2958539.6660600007</v>
      </c>
      <c r="M232" s="72">
        <f>L232/OBRA!F15</f>
        <v>137.54073243398039</v>
      </c>
    </row>
    <row r="233" spans="1:13" ht="20.45" customHeight="1" outlineLevel="1" x14ac:dyDescent="0.55000000000000004">
      <c r="A233" s="63">
        <f ca="1">IF($G233="UNIDADE CONSTRUTIVA",OFFSET(A233,0,0)+1,LARGE(A$3:A232,1))</f>
        <v>3</v>
      </c>
      <c r="B233" s="63">
        <f t="shared" ca="1" si="20"/>
        <v>13</v>
      </c>
      <c r="C233" s="63">
        <f t="shared" ca="1" si="21"/>
        <v>1</v>
      </c>
      <c r="D233" s="64">
        <f t="shared" ca="1" si="22"/>
        <v>1</v>
      </c>
      <c r="E233" s="64">
        <f t="shared" ca="1" si="23"/>
        <v>0</v>
      </c>
      <c r="F233" s="65"/>
      <c r="G233" s="73" t="s">
        <v>153</v>
      </c>
      <c r="H233" s="67" t="str">
        <f t="shared" ca="1" si="29"/>
        <v>13.001.001</v>
      </c>
      <c r="I233" s="74" t="s">
        <v>330</v>
      </c>
      <c r="J233" s="96"/>
      <c r="K233" s="114"/>
      <c r="L233" s="115">
        <f>SUM(L234:L236)</f>
        <v>534346.54636000004</v>
      </c>
      <c r="M233" s="74"/>
    </row>
    <row r="234" spans="1:13" ht="20.45" customHeight="1" outlineLevel="1" x14ac:dyDescent="0.55000000000000004">
      <c r="A234" s="63">
        <f ca="1">IF($G234="UNIDADE CONSTRUTIVA",OFFSET(A234,0,0)+1,LARGE(A$3:A230,1))</f>
        <v>3</v>
      </c>
      <c r="B234" s="63">
        <f t="shared" ref="B234:B306" ca="1" si="55">IF(G234="UNIDADE CONSTRUTIVA",0,IF(G234="CÉLULA CONSTRUTIVA",OFFSET(B234,-1,0)+1,OFFSET(B234,-1,0)))</f>
        <v>13</v>
      </c>
      <c r="C234" s="63">
        <f t="shared" ref="C234:C306" ca="1" si="56">IF(G234="CÉLULA CONSTRUTIVA",0,IF(G234="ETAPA",OFFSET(C234,-1,0)+1,OFFSET(C234,-1,0)))</f>
        <v>1</v>
      </c>
      <c r="D234" s="64">
        <f t="shared" ref="D234:D306" ca="1" si="57">IF(G234="ETAPA",0,IF(G234="SUBETAPA",OFFSET(D234,-1,0)+1,OFFSET(D234,-1,0)))</f>
        <v>1</v>
      </c>
      <c r="E234" s="64">
        <f t="shared" ref="E234:E306" ca="1" si="58">IF(G234="Subetapa",0,IF(G234="serviço",OFFSET(E234,-1,0)+1,OFFSET(E234,-1,0)))</f>
        <v>1</v>
      </c>
      <c r="F234" s="65"/>
      <c r="G234" s="73" t="s">
        <v>154</v>
      </c>
      <c r="H234" s="67" t="str">
        <f t="shared" ca="1" si="29"/>
        <v>13.001.001.001</v>
      </c>
      <c r="I234" s="74" t="s">
        <v>331</v>
      </c>
      <c r="J234" s="96">
        <v>22080.435800000003</v>
      </c>
      <c r="K234" s="127" t="s">
        <v>185</v>
      </c>
      <c r="L234" s="115">
        <v>121442.39690000004</v>
      </c>
      <c r="M234" s="74"/>
    </row>
    <row r="235" spans="1:13" ht="20.45" customHeight="1" outlineLevel="1" x14ac:dyDescent="0.55000000000000004">
      <c r="A235" s="63">
        <f ca="1">IF($G235="UNIDADE CONSTRUTIVA",OFFSET(A235,0,0)+1,LARGE(A$3:A231,1))</f>
        <v>3</v>
      </c>
      <c r="B235" s="63">
        <f t="shared" ca="1" si="55"/>
        <v>13</v>
      </c>
      <c r="C235" s="63">
        <f t="shared" ca="1" si="56"/>
        <v>1</v>
      </c>
      <c r="D235" s="64">
        <f t="shared" ca="1" si="57"/>
        <v>1</v>
      </c>
      <c r="E235" s="64">
        <f t="shared" ca="1" si="58"/>
        <v>2</v>
      </c>
      <c r="F235" s="65"/>
      <c r="G235" s="73" t="s">
        <v>154</v>
      </c>
      <c r="H235" s="67" t="str">
        <f t="shared" ca="1" si="29"/>
        <v>13.001.001.002</v>
      </c>
      <c r="I235" s="74" t="s">
        <v>332</v>
      </c>
      <c r="J235" s="96">
        <v>22080.435800000003</v>
      </c>
      <c r="K235" s="127" t="s">
        <v>185</v>
      </c>
      <c r="L235" s="115">
        <v>412904.14946000004</v>
      </c>
      <c r="M235" s="74"/>
    </row>
    <row r="236" spans="1:13" ht="20.45" customHeight="1" outlineLevel="1" x14ac:dyDescent="0.55000000000000004">
      <c r="A236" s="63">
        <f ca="1">IF($G236="UNIDADE CONSTRUTIVA",OFFSET(A236,0,0)+1,LARGE(A$3:A232,1))</f>
        <v>3</v>
      </c>
      <c r="B236" s="63">
        <f t="shared" ca="1" si="55"/>
        <v>13</v>
      </c>
      <c r="C236" s="63">
        <f t="shared" ca="1" si="56"/>
        <v>1</v>
      </c>
      <c r="D236" s="64">
        <f t="shared" ca="1" si="57"/>
        <v>1</v>
      </c>
      <c r="E236" s="64">
        <f t="shared" ca="1" si="58"/>
        <v>3</v>
      </c>
      <c r="F236" s="65"/>
      <c r="G236" s="73" t="s">
        <v>154</v>
      </c>
      <c r="H236" s="67" t="str">
        <f t="shared" ca="1" si="29"/>
        <v>13.001.001.003</v>
      </c>
      <c r="I236" s="74" t="s">
        <v>329</v>
      </c>
      <c r="J236" s="96"/>
      <c r="K236" s="127"/>
      <c r="L236" s="115"/>
      <c r="M236" s="74"/>
    </row>
    <row r="237" spans="1:13" ht="20.45" customHeight="1" outlineLevel="1" x14ac:dyDescent="0.55000000000000004">
      <c r="A237" s="63">
        <f ca="1">IF($G237="UNIDADE CONSTRUTIVA",OFFSET(A237,0,0)+1,LARGE(A$3:A233,1))</f>
        <v>3</v>
      </c>
      <c r="B237" s="63">
        <f t="shared" ca="1" si="55"/>
        <v>13</v>
      </c>
      <c r="C237" s="63">
        <f t="shared" ca="1" si="56"/>
        <v>1</v>
      </c>
      <c r="D237" s="64">
        <f t="shared" ca="1" si="57"/>
        <v>2</v>
      </c>
      <c r="E237" s="64">
        <f t="shared" ca="1" si="58"/>
        <v>0</v>
      </c>
      <c r="F237" s="65"/>
      <c r="G237" s="73" t="s">
        <v>153</v>
      </c>
      <c r="H237" s="67" t="str">
        <f t="shared" ref="H237:H328" ca="1" si="59">IF(G237="Unidade Construtiva",TEXT(A237,"00"),IF(G237="Célula Construtiva",TEXT(B237,"00"),IF(G237="Etapa",CONCATENATE(TEXT(B237,"00"),".",TEXT(C237,"000")),IF(G237="Subetapa",CONCATENATE(TEXT(B237,"00"),".",TEXT(C237,"000"),".",TEXT(D237,"000")),IF(G237="Serviço",CONCATENATE(TEXT(B237,"00"),".",TEXT(C237,"000"),".",TEXT(D237,"000"),".",TEXT(E237,"000")),"")))))</f>
        <v>13.001.002</v>
      </c>
      <c r="I237" s="74" t="s">
        <v>328</v>
      </c>
      <c r="J237" s="96"/>
      <c r="K237" s="127"/>
      <c r="L237" s="115">
        <f>L238</f>
        <v>0</v>
      </c>
      <c r="M237" s="74"/>
    </row>
    <row r="238" spans="1:13" ht="37.5" outlineLevel="1" x14ac:dyDescent="0.55000000000000004">
      <c r="A238" s="63">
        <f ca="1">IF($G238="UNIDADE CONSTRUTIVA",OFFSET(A238,0,0)+1,LARGE(A$3:A234,1))</f>
        <v>3</v>
      </c>
      <c r="B238" s="63">
        <f t="shared" ca="1" si="55"/>
        <v>13</v>
      </c>
      <c r="C238" s="63">
        <f t="shared" ca="1" si="56"/>
        <v>1</v>
      </c>
      <c r="D238" s="64">
        <f t="shared" ca="1" si="57"/>
        <v>2</v>
      </c>
      <c r="E238" s="64">
        <f t="shared" ca="1" si="58"/>
        <v>1</v>
      </c>
      <c r="F238" s="65"/>
      <c r="G238" s="73" t="s">
        <v>154</v>
      </c>
      <c r="H238" s="67" t="str">
        <f t="shared" ca="1" si="59"/>
        <v>13.001.002.001</v>
      </c>
      <c r="I238" s="74" t="s">
        <v>341</v>
      </c>
      <c r="J238" s="96"/>
      <c r="K238" s="127"/>
      <c r="L238" s="115"/>
      <c r="M238" s="74" t="s">
        <v>342</v>
      </c>
    </row>
    <row r="239" spans="1:13" ht="20.45" customHeight="1" outlineLevel="1" x14ac:dyDescent="0.55000000000000004">
      <c r="A239" s="63">
        <f ca="1">IF($G239="UNIDADE CONSTRUTIVA",OFFSET(A239,0,0)+1,LARGE(A$3:A237,1))</f>
        <v>3</v>
      </c>
      <c r="B239" s="63">
        <f t="shared" ca="1" si="55"/>
        <v>13</v>
      </c>
      <c r="C239" s="63">
        <f t="shared" ca="1" si="56"/>
        <v>1</v>
      </c>
      <c r="D239" s="64">
        <f t="shared" ca="1" si="57"/>
        <v>3</v>
      </c>
      <c r="E239" s="64">
        <f t="shared" ca="1" si="58"/>
        <v>0</v>
      </c>
      <c r="F239" s="65"/>
      <c r="G239" s="73" t="s">
        <v>153</v>
      </c>
      <c r="H239" s="67" t="str">
        <f t="shared" ca="1" si="59"/>
        <v>13.001.003</v>
      </c>
      <c r="I239" s="74" t="s">
        <v>98</v>
      </c>
      <c r="J239" s="96"/>
      <c r="K239" s="114"/>
      <c r="L239" s="115">
        <f>L240</f>
        <v>909461.85</v>
      </c>
      <c r="M239" s="74"/>
    </row>
    <row r="240" spans="1:13" ht="20.45" customHeight="1" outlineLevel="1" x14ac:dyDescent="0.55000000000000004">
      <c r="A240" s="63">
        <f ca="1">IF($G240="UNIDADE CONSTRUTIVA",OFFSET(A240,0,0)+1,LARGE(A$3:A238,1))</f>
        <v>3</v>
      </c>
      <c r="B240" s="63">
        <f t="shared" ca="1" si="55"/>
        <v>13</v>
      </c>
      <c r="C240" s="63">
        <f t="shared" ca="1" si="56"/>
        <v>1</v>
      </c>
      <c r="D240" s="64">
        <f t="shared" ca="1" si="57"/>
        <v>3</v>
      </c>
      <c r="E240" s="64">
        <f t="shared" ca="1" si="58"/>
        <v>1</v>
      </c>
      <c r="F240" s="65"/>
      <c r="G240" s="73" t="s">
        <v>154</v>
      </c>
      <c r="H240" s="67" t="str">
        <f t="shared" ca="1" si="59"/>
        <v>13.001.003.001</v>
      </c>
      <c r="I240" s="74" t="s">
        <v>340</v>
      </c>
      <c r="J240" s="96">
        <v>6311.2960000000012</v>
      </c>
      <c r="K240" s="127" t="s">
        <v>185</v>
      </c>
      <c r="L240" s="115">
        <f>1515769.75*0.6</f>
        <v>909461.85</v>
      </c>
      <c r="M240" s="74" t="s">
        <v>336</v>
      </c>
    </row>
    <row r="241" spans="1:13" ht="20.45" customHeight="1" outlineLevel="1" x14ac:dyDescent="0.55000000000000004">
      <c r="A241" s="63">
        <f ca="1">IF($G241="UNIDADE CONSTRUTIVA",OFFSET(A241,0,0)+1,LARGE(A$3:A239,1))</f>
        <v>3</v>
      </c>
      <c r="B241" s="63">
        <f t="shared" ca="1" si="55"/>
        <v>13</v>
      </c>
      <c r="C241" s="63">
        <f t="shared" ca="1" si="56"/>
        <v>1</v>
      </c>
      <c r="D241" s="64">
        <f t="shared" ca="1" si="57"/>
        <v>4</v>
      </c>
      <c r="E241" s="64">
        <f t="shared" ca="1" si="58"/>
        <v>0</v>
      </c>
      <c r="F241" s="65"/>
      <c r="G241" s="73" t="s">
        <v>153</v>
      </c>
      <c r="H241" s="67" t="str">
        <f t="shared" ca="1" si="59"/>
        <v>13.001.004</v>
      </c>
      <c r="I241" s="74" t="s">
        <v>99</v>
      </c>
      <c r="J241" s="96"/>
      <c r="K241" s="114"/>
      <c r="L241" s="115"/>
      <c r="M241" s="74"/>
    </row>
    <row r="242" spans="1:13" ht="20.45" customHeight="1" outlineLevel="1" x14ac:dyDescent="0.55000000000000004">
      <c r="A242" s="63">
        <f ca="1">IF($G242="UNIDADE CONSTRUTIVA",OFFSET(A242,0,0)+1,LARGE(A$3:A239,1))</f>
        <v>3</v>
      </c>
      <c r="B242" s="63">
        <f t="shared" ca="1" si="55"/>
        <v>13</v>
      </c>
      <c r="C242" s="63">
        <f t="shared" ca="1" si="56"/>
        <v>1</v>
      </c>
      <c r="D242" s="64">
        <f t="shared" ca="1" si="57"/>
        <v>4</v>
      </c>
      <c r="E242" s="64">
        <f t="shared" ca="1" si="58"/>
        <v>1</v>
      </c>
      <c r="F242" s="65"/>
      <c r="G242" s="73" t="s">
        <v>154</v>
      </c>
      <c r="H242" s="67" t="str">
        <f t="shared" ca="1" si="59"/>
        <v>13.001.004.001</v>
      </c>
      <c r="I242" s="74" t="s">
        <v>337</v>
      </c>
      <c r="J242" s="96"/>
      <c r="K242" s="127"/>
      <c r="L242" s="115"/>
      <c r="M242" s="74"/>
    </row>
    <row r="243" spans="1:13" ht="20.45" customHeight="1" outlineLevel="1" x14ac:dyDescent="0.55000000000000004">
      <c r="A243" s="63">
        <f ca="1">IF($G243="UNIDADE CONSTRUTIVA",OFFSET(A243,0,0)+1,LARGE(A$3:A240,1))</f>
        <v>3</v>
      </c>
      <c r="B243" s="63">
        <f t="shared" ca="1" si="55"/>
        <v>13</v>
      </c>
      <c r="C243" s="63">
        <f t="shared" ca="1" si="56"/>
        <v>1</v>
      </c>
      <c r="D243" s="64">
        <f t="shared" ca="1" si="57"/>
        <v>4</v>
      </c>
      <c r="E243" s="64">
        <f t="shared" ca="1" si="58"/>
        <v>2</v>
      </c>
      <c r="F243" s="65"/>
      <c r="G243" s="73" t="s">
        <v>154</v>
      </c>
      <c r="H243" s="67" t="str">
        <f t="shared" ca="1" si="59"/>
        <v>13.001.004.002</v>
      </c>
      <c r="I243" s="74" t="s">
        <v>460</v>
      </c>
      <c r="J243" s="96"/>
      <c r="K243" s="127"/>
      <c r="L243" s="115"/>
      <c r="M243" s="74" t="s">
        <v>338</v>
      </c>
    </row>
    <row r="244" spans="1:13" ht="20.45" customHeight="1" outlineLevel="1" x14ac:dyDescent="0.55000000000000004">
      <c r="A244" s="63">
        <f ca="1">IF($G244="UNIDADE CONSTRUTIVA",OFFSET(A244,0,0)+1,LARGE(A$3:A241,1))</f>
        <v>3</v>
      </c>
      <c r="B244" s="63">
        <f t="shared" ca="1" si="55"/>
        <v>13</v>
      </c>
      <c r="C244" s="63">
        <f t="shared" ca="1" si="56"/>
        <v>1</v>
      </c>
      <c r="D244" s="64">
        <f t="shared" ca="1" si="57"/>
        <v>4</v>
      </c>
      <c r="E244" s="64">
        <f t="shared" ca="1" si="58"/>
        <v>3</v>
      </c>
      <c r="F244" s="65"/>
      <c r="G244" s="73" t="s">
        <v>154</v>
      </c>
      <c r="H244" s="67" t="str">
        <f t="shared" ca="1" si="59"/>
        <v>13.001.004.003</v>
      </c>
      <c r="I244" s="74" t="s">
        <v>515</v>
      </c>
      <c r="J244" s="96"/>
      <c r="K244" s="127"/>
      <c r="L244" s="115"/>
      <c r="M244" s="74"/>
    </row>
    <row r="245" spans="1:13" ht="20.45" customHeight="1" outlineLevel="1" x14ac:dyDescent="0.55000000000000004">
      <c r="A245" s="63">
        <f ca="1">IF($G245="UNIDADE CONSTRUTIVA",OFFSET(A245,0,0)+1,LARGE(A$3:A242,1))</f>
        <v>3</v>
      </c>
      <c r="B245" s="63">
        <f t="shared" ca="1" si="55"/>
        <v>13</v>
      </c>
      <c r="C245" s="63">
        <f t="shared" ca="1" si="56"/>
        <v>1</v>
      </c>
      <c r="D245" s="64">
        <f t="shared" ca="1" si="57"/>
        <v>4</v>
      </c>
      <c r="E245" s="64">
        <f t="shared" ca="1" si="58"/>
        <v>4</v>
      </c>
      <c r="F245" s="65"/>
      <c r="G245" s="73" t="s">
        <v>154</v>
      </c>
      <c r="H245" s="67" t="str">
        <f t="shared" ca="1" si="59"/>
        <v>13.001.004.004</v>
      </c>
      <c r="I245" s="74" t="s">
        <v>517</v>
      </c>
      <c r="J245" s="96"/>
      <c r="K245" s="127"/>
      <c r="L245" s="115"/>
      <c r="M245" s="74"/>
    </row>
    <row r="246" spans="1:13" ht="20.45" customHeight="1" outlineLevel="1" x14ac:dyDescent="0.55000000000000004">
      <c r="A246" s="63">
        <f ca="1">IF($G246="UNIDADE CONSTRUTIVA",OFFSET(A246,0,0)+1,LARGE(A$3:A242,1))</f>
        <v>3</v>
      </c>
      <c r="B246" s="63">
        <f t="shared" ca="1" si="55"/>
        <v>13</v>
      </c>
      <c r="C246" s="63">
        <f t="shared" ca="1" si="56"/>
        <v>1</v>
      </c>
      <c r="D246" s="64">
        <f t="shared" ca="1" si="57"/>
        <v>4</v>
      </c>
      <c r="E246" s="64">
        <f t="shared" ca="1" si="58"/>
        <v>5</v>
      </c>
      <c r="F246" s="65"/>
      <c r="G246" s="73" t="s">
        <v>154</v>
      </c>
      <c r="H246" s="67" t="str">
        <f t="shared" ca="1" si="59"/>
        <v>13.001.004.005</v>
      </c>
      <c r="I246" s="74" t="s">
        <v>516</v>
      </c>
      <c r="J246" s="96"/>
      <c r="K246" s="127"/>
      <c r="L246" s="115"/>
      <c r="M246" s="74"/>
    </row>
    <row r="247" spans="1:13" ht="20.45" customHeight="1" outlineLevel="1" x14ac:dyDescent="0.55000000000000004">
      <c r="A247" s="63">
        <f ca="1">IF($G247="UNIDADE CONSTRUTIVA",OFFSET(A247,0,0)+1,LARGE(A$3:A241,1))</f>
        <v>3</v>
      </c>
      <c r="B247" s="63">
        <f t="shared" ca="1" si="55"/>
        <v>13</v>
      </c>
      <c r="C247" s="63">
        <f t="shared" ca="1" si="56"/>
        <v>1</v>
      </c>
      <c r="D247" s="64">
        <f t="shared" ca="1" si="57"/>
        <v>5</v>
      </c>
      <c r="E247" s="64">
        <f t="shared" ca="1" si="58"/>
        <v>0</v>
      </c>
      <c r="F247" s="65"/>
      <c r="G247" s="73" t="s">
        <v>153</v>
      </c>
      <c r="H247" s="67" t="str">
        <f t="shared" ca="1" si="59"/>
        <v>13.001.005</v>
      </c>
      <c r="I247" s="74" t="s">
        <v>100</v>
      </c>
      <c r="J247" s="96"/>
      <c r="K247" s="127"/>
      <c r="L247" s="115">
        <f>L248</f>
        <v>235700.90326200004</v>
      </c>
      <c r="M247" s="74"/>
    </row>
    <row r="248" spans="1:13" ht="20.45" customHeight="1" outlineLevel="1" x14ac:dyDescent="0.55000000000000004">
      <c r="A248" s="63">
        <f ca="1">IF($G248="UNIDADE CONSTRUTIVA",OFFSET(A248,0,0)+1,LARGE(A$3:A243,1))</f>
        <v>3</v>
      </c>
      <c r="B248" s="63">
        <f t="shared" ca="1" si="55"/>
        <v>13</v>
      </c>
      <c r="C248" s="63">
        <f t="shared" ca="1" si="56"/>
        <v>1</v>
      </c>
      <c r="D248" s="64">
        <f t="shared" ca="1" si="57"/>
        <v>5</v>
      </c>
      <c r="E248" s="64">
        <f t="shared" ca="1" si="58"/>
        <v>1</v>
      </c>
      <c r="F248" s="65"/>
      <c r="G248" s="73" t="s">
        <v>154</v>
      </c>
      <c r="H248" s="67" t="str">
        <f t="shared" ca="1" si="59"/>
        <v>13.001.005.001</v>
      </c>
      <c r="I248" s="74" t="s">
        <v>100</v>
      </c>
      <c r="J248" s="96">
        <v>4042.89714</v>
      </c>
      <c r="K248" s="127" t="s">
        <v>183</v>
      </c>
      <c r="L248" s="115">
        <v>235700.90326200004</v>
      </c>
      <c r="M248" s="74"/>
    </row>
    <row r="249" spans="1:13" ht="20.45" customHeight="1" outlineLevel="1" x14ac:dyDescent="0.55000000000000004">
      <c r="A249" s="63">
        <f ca="1">IF($G249="UNIDADE CONSTRUTIVA",OFFSET(A249,0,0)+1,LARGE(A$3:A247,1))</f>
        <v>3</v>
      </c>
      <c r="B249" s="63">
        <f t="shared" ca="1" si="55"/>
        <v>13</v>
      </c>
      <c r="C249" s="63">
        <f t="shared" ca="1" si="56"/>
        <v>1</v>
      </c>
      <c r="D249" s="64">
        <f t="shared" ca="1" si="57"/>
        <v>6</v>
      </c>
      <c r="E249" s="64">
        <f t="shared" ca="1" si="58"/>
        <v>0</v>
      </c>
      <c r="F249" s="65"/>
      <c r="G249" s="73" t="s">
        <v>153</v>
      </c>
      <c r="H249" s="67" t="str">
        <f t="shared" ca="1" si="59"/>
        <v>13.001.006</v>
      </c>
      <c r="I249" s="74" t="s">
        <v>39</v>
      </c>
      <c r="J249" s="96"/>
      <c r="K249" s="114"/>
      <c r="L249" s="115">
        <f>SUM(L250:L254)</f>
        <v>1279030.3664380002</v>
      </c>
      <c r="M249" s="74"/>
    </row>
    <row r="250" spans="1:13" ht="20.45" customHeight="1" outlineLevel="1" x14ac:dyDescent="0.55000000000000004">
      <c r="A250" s="63">
        <f ca="1">IF($G250="UNIDADE CONSTRUTIVA",OFFSET(A250,0,0)+1,LARGE(A$3:A247,1))</f>
        <v>3</v>
      </c>
      <c r="B250" s="63">
        <f t="shared" ca="1" si="55"/>
        <v>13</v>
      </c>
      <c r="C250" s="63">
        <f t="shared" ca="1" si="56"/>
        <v>1</v>
      </c>
      <c r="D250" s="64">
        <f t="shared" ca="1" si="57"/>
        <v>6</v>
      </c>
      <c r="E250" s="64">
        <f t="shared" ca="1" si="58"/>
        <v>1</v>
      </c>
      <c r="F250" s="65"/>
      <c r="G250" s="73" t="s">
        <v>154</v>
      </c>
      <c r="H250" s="67" t="str">
        <f t="shared" ca="1" si="59"/>
        <v>13.001.006.001</v>
      </c>
      <c r="I250" s="74" t="s">
        <v>333</v>
      </c>
      <c r="J250" s="96">
        <v>22080.435800000003</v>
      </c>
      <c r="K250" s="127" t="s">
        <v>185</v>
      </c>
      <c r="L250" s="115">
        <v>619356.2241900001</v>
      </c>
      <c r="M250" s="74"/>
    </row>
    <row r="251" spans="1:13" ht="20.45" customHeight="1" outlineLevel="1" x14ac:dyDescent="0.55000000000000004">
      <c r="A251" s="63">
        <f ca="1">IF($G251="UNIDADE CONSTRUTIVA",OFFSET(A251,0,0)+1,LARGE(A$3:A247,1))</f>
        <v>3</v>
      </c>
      <c r="B251" s="63">
        <f t="shared" ca="1" si="55"/>
        <v>13</v>
      </c>
      <c r="C251" s="63">
        <f t="shared" ca="1" si="56"/>
        <v>1</v>
      </c>
      <c r="D251" s="64">
        <f t="shared" ca="1" si="57"/>
        <v>6</v>
      </c>
      <c r="E251" s="64">
        <f t="shared" ca="1" si="58"/>
        <v>2</v>
      </c>
      <c r="F251" s="65"/>
      <c r="G251" s="73" t="s">
        <v>154</v>
      </c>
      <c r="H251" s="67" t="str">
        <f t="shared" ca="1" si="59"/>
        <v>13.001.006.002</v>
      </c>
      <c r="I251" s="74" t="s">
        <v>334</v>
      </c>
      <c r="J251" s="96"/>
      <c r="K251" s="127"/>
      <c r="L251" s="115"/>
      <c r="M251" s="74"/>
    </row>
    <row r="252" spans="1:13" ht="20.45" customHeight="1" outlineLevel="1" x14ac:dyDescent="0.55000000000000004">
      <c r="A252" s="63">
        <f ca="1">IF($G252="UNIDADE CONSTRUTIVA",OFFSET(A252,0,0)+1,LARGE(A$3:A248,1))</f>
        <v>3</v>
      </c>
      <c r="B252" s="63">
        <f t="shared" ca="1" si="55"/>
        <v>13</v>
      </c>
      <c r="C252" s="63">
        <f t="shared" ca="1" si="56"/>
        <v>1</v>
      </c>
      <c r="D252" s="64">
        <f t="shared" ca="1" si="57"/>
        <v>6</v>
      </c>
      <c r="E252" s="64">
        <f t="shared" ca="1" si="58"/>
        <v>3</v>
      </c>
      <c r="F252" s="65"/>
      <c r="G252" s="73" t="s">
        <v>154</v>
      </c>
      <c r="H252" s="67" t="str">
        <f t="shared" ca="1" si="59"/>
        <v>13.001.006.003</v>
      </c>
      <c r="I252" s="74" t="s">
        <v>335</v>
      </c>
      <c r="J252" s="96">
        <v>6311.2960000000012</v>
      </c>
      <c r="K252" s="127" t="s">
        <v>185</v>
      </c>
      <c r="L252" s="115">
        <f>1515769.75*0.4</f>
        <v>606307.9</v>
      </c>
      <c r="M252" s="74"/>
    </row>
    <row r="253" spans="1:13" ht="20.45" customHeight="1" outlineLevel="1" x14ac:dyDescent="0.55000000000000004">
      <c r="A253" s="63">
        <f ca="1">IF($G253="UNIDADE CONSTRUTIVA",OFFSET(A253,0,0)+1,LARGE(A$3:A249,1))</f>
        <v>3</v>
      </c>
      <c r="B253" s="63">
        <f t="shared" ca="1" si="55"/>
        <v>13</v>
      </c>
      <c r="C253" s="63">
        <f t="shared" ca="1" si="56"/>
        <v>1</v>
      </c>
      <c r="D253" s="64">
        <f t="shared" ca="1" si="57"/>
        <v>6</v>
      </c>
      <c r="E253" s="64">
        <f t="shared" ca="1" si="58"/>
        <v>4</v>
      </c>
      <c r="F253" s="65"/>
      <c r="G253" s="73" t="s">
        <v>154</v>
      </c>
      <c r="H253" s="67" t="str">
        <f t="shared" ca="1" si="59"/>
        <v>13.001.006.004</v>
      </c>
      <c r="I253" s="74" t="s">
        <v>343</v>
      </c>
      <c r="J253" s="96"/>
      <c r="K253" s="127"/>
      <c r="L253" s="115"/>
      <c r="M253" s="74"/>
    </row>
    <row r="254" spans="1:13" ht="20.45" customHeight="1" outlineLevel="1" x14ac:dyDescent="0.55000000000000004">
      <c r="A254" s="63">
        <f ca="1">IF($G254="UNIDADE CONSTRUTIVA",OFFSET(A254,0,0)+1,LARGE(A$3:A250,1))</f>
        <v>3</v>
      </c>
      <c r="B254" s="63">
        <f t="shared" ca="1" si="55"/>
        <v>13</v>
      </c>
      <c r="C254" s="63">
        <f t="shared" ca="1" si="56"/>
        <v>1</v>
      </c>
      <c r="D254" s="64">
        <f t="shared" ca="1" si="57"/>
        <v>6</v>
      </c>
      <c r="E254" s="64">
        <f t="shared" ca="1" si="58"/>
        <v>5</v>
      </c>
      <c r="F254" s="65"/>
      <c r="G254" s="73" t="s">
        <v>154</v>
      </c>
      <c r="H254" s="67" t="str">
        <f t="shared" ca="1" si="59"/>
        <v>13.001.006.005</v>
      </c>
      <c r="I254" s="74" t="s">
        <v>344</v>
      </c>
      <c r="J254" s="96">
        <v>4042.89714</v>
      </c>
      <c r="K254" s="127" t="s">
        <v>183</v>
      </c>
      <c r="L254" s="115">
        <v>53366.242248000002</v>
      </c>
      <c r="M254" s="74"/>
    </row>
    <row r="255" spans="1:13" ht="20.45" customHeight="1" x14ac:dyDescent="0.55000000000000004">
      <c r="A255" s="63">
        <f ca="1">IF($G255="UNIDADE CONSTRUTIVA",OFFSET(A255,0,0)+1,LARGE(A$3:A249,1))</f>
        <v>3</v>
      </c>
      <c r="B255" s="63">
        <f t="shared" ca="1" si="55"/>
        <v>14</v>
      </c>
      <c r="C255" s="63">
        <f t="shared" ca="1" si="56"/>
        <v>0</v>
      </c>
      <c r="D255" s="64">
        <f t="shared" ca="1" si="57"/>
        <v>6</v>
      </c>
      <c r="E255" s="64">
        <f t="shared" ca="1" si="58"/>
        <v>5</v>
      </c>
      <c r="F255" s="65"/>
      <c r="G255" s="71" t="s">
        <v>156</v>
      </c>
      <c r="H255" s="67" t="str">
        <f t="shared" ca="1" si="59"/>
        <v>14</v>
      </c>
      <c r="I255" s="72" t="s">
        <v>101</v>
      </c>
      <c r="J255" s="95"/>
      <c r="K255" s="112"/>
      <c r="L255" s="113">
        <f>L256</f>
        <v>2442171.8032000009</v>
      </c>
      <c r="M255" s="72"/>
    </row>
    <row r="256" spans="1:13" ht="20.45" customHeight="1" outlineLevel="1" x14ac:dyDescent="0.55000000000000004">
      <c r="A256" s="63">
        <f ca="1">IF($G256="UNIDADE CONSTRUTIVA",OFFSET(A256,0,0)+1,LARGE(A$3:A255,1))</f>
        <v>3</v>
      </c>
      <c r="B256" s="63">
        <f t="shared" ca="1" si="55"/>
        <v>14</v>
      </c>
      <c r="C256" s="63">
        <f t="shared" ca="1" si="56"/>
        <v>1</v>
      </c>
      <c r="D256" s="64">
        <f t="shared" ca="1" si="57"/>
        <v>0</v>
      </c>
      <c r="E256" s="64">
        <f t="shared" ca="1" si="58"/>
        <v>5</v>
      </c>
      <c r="F256" s="65"/>
      <c r="G256" s="71" t="s">
        <v>157</v>
      </c>
      <c r="H256" s="67" t="str">
        <f t="shared" ca="1" si="59"/>
        <v>14.001</v>
      </c>
      <c r="I256" s="80" t="s">
        <v>101</v>
      </c>
      <c r="J256" s="107"/>
      <c r="K256" s="138"/>
      <c r="L256" s="126">
        <f>SUM(L257:L273)/2</f>
        <v>2442171.8032000009</v>
      </c>
      <c r="M256" s="80"/>
    </row>
    <row r="257" spans="1:13" ht="20.45" customHeight="1" outlineLevel="1" x14ac:dyDescent="0.55000000000000004">
      <c r="A257" s="63">
        <f ca="1">IF($G257="UNIDADE CONSTRUTIVA",OFFSET(A257,0,0)+1,LARGE(A$3:A256,1))</f>
        <v>3</v>
      </c>
      <c r="B257" s="63">
        <f t="shared" ca="1" si="55"/>
        <v>14</v>
      </c>
      <c r="C257" s="63">
        <f t="shared" ca="1" si="56"/>
        <v>1</v>
      </c>
      <c r="D257" s="64">
        <f t="shared" ca="1" si="57"/>
        <v>1</v>
      </c>
      <c r="E257" s="64">
        <f t="shared" ca="1" si="58"/>
        <v>0</v>
      </c>
      <c r="F257" s="65"/>
      <c r="G257" s="73" t="s">
        <v>153</v>
      </c>
      <c r="H257" s="67" t="str">
        <f t="shared" ca="1" si="59"/>
        <v>14.001.001</v>
      </c>
      <c r="I257" s="74" t="s">
        <v>102</v>
      </c>
      <c r="J257" s="96"/>
      <c r="K257" s="114"/>
      <c r="L257" s="115">
        <f>SUM(L258:L259)</f>
        <v>45801.51675000001</v>
      </c>
      <c r="M257" s="74"/>
    </row>
    <row r="258" spans="1:13" ht="20.45" customHeight="1" outlineLevel="1" x14ac:dyDescent="0.55000000000000004">
      <c r="A258" s="63">
        <f ca="1">IF($G258="UNIDADE CONSTRUTIVA",OFFSET(A258,0,0)+1,LARGE(A$3:A253,1))</f>
        <v>3</v>
      </c>
      <c r="B258" s="63">
        <f t="shared" ref="B258:B259" ca="1" si="60">IF(G258="UNIDADE CONSTRUTIVA",0,IF(G258="CÉLULA CONSTRUTIVA",OFFSET(B258,-1,0)+1,OFFSET(B258,-1,0)))</f>
        <v>14</v>
      </c>
      <c r="C258" s="63">
        <f t="shared" ref="C258:C259" ca="1" si="61">IF(G258="CÉLULA CONSTRUTIVA",0,IF(G258="ETAPA",OFFSET(C258,-1,0)+1,OFFSET(C258,-1,0)))</f>
        <v>1</v>
      </c>
      <c r="D258" s="64">
        <f t="shared" ref="D258:D259" ca="1" si="62">IF(G258="ETAPA",0,IF(G258="SUBETAPA",OFFSET(D258,-1,0)+1,OFFSET(D258,-1,0)))</f>
        <v>1</v>
      </c>
      <c r="E258" s="64">
        <f t="shared" ref="E258:E259" ca="1" si="63">IF(G258="Subetapa",0,IF(G258="serviço",OFFSET(E258,-1,0)+1,OFFSET(E258,-1,0)))</f>
        <v>1</v>
      </c>
      <c r="F258" s="65"/>
      <c r="G258" s="73" t="s">
        <v>154</v>
      </c>
      <c r="H258" s="67" t="str">
        <f t="shared" ref="H258:H259" ca="1" si="64">IF(G258="Unidade Construtiva",TEXT(A258,"00"),IF(G258="Célula Construtiva",TEXT(B258,"00"),IF(G258="Etapa",CONCATENATE(TEXT(B258,"00"),".",TEXT(C258,"000")),IF(G258="Subetapa",CONCATENATE(TEXT(B258,"00"),".",TEXT(C258,"000"),".",TEXT(D258,"000")),IF(G258="Serviço",CONCATENATE(TEXT(B258,"00"),".",TEXT(C258,"000"),".",TEXT(D258,"000"),".",TEXT(E258,"000")),"")))))</f>
        <v>14.001.001.001</v>
      </c>
      <c r="I258" s="74" t="s">
        <v>329</v>
      </c>
      <c r="J258" s="96">
        <v>461.67000000000013</v>
      </c>
      <c r="K258" s="127" t="s">
        <v>185</v>
      </c>
      <c r="L258" s="115">
        <v>2031.3480000000006</v>
      </c>
      <c r="M258" s="74"/>
    </row>
    <row r="259" spans="1:13" ht="20.45" customHeight="1" outlineLevel="1" x14ac:dyDescent="0.55000000000000004">
      <c r="A259" s="63">
        <f ca="1">IF($G259="UNIDADE CONSTRUTIVA",OFFSET(A259,0,0)+1,LARGE(A$3:A255,1))</f>
        <v>3</v>
      </c>
      <c r="B259" s="63">
        <f t="shared" ca="1" si="60"/>
        <v>14</v>
      </c>
      <c r="C259" s="63">
        <f t="shared" ca="1" si="61"/>
        <v>1</v>
      </c>
      <c r="D259" s="64">
        <f t="shared" ca="1" si="62"/>
        <v>1</v>
      </c>
      <c r="E259" s="64">
        <f t="shared" ca="1" si="63"/>
        <v>2</v>
      </c>
      <c r="F259" s="65"/>
      <c r="G259" s="73" t="s">
        <v>154</v>
      </c>
      <c r="H259" s="67" t="str">
        <f t="shared" ca="1" si="64"/>
        <v>14.001.001.002</v>
      </c>
      <c r="I259" s="74" t="s">
        <v>613</v>
      </c>
      <c r="J259" s="96">
        <v>1067.5000000000002</v>
      </c>
      <c r="K259" s="127" t="s">
        <v>185</v>
      </c>
      <c r="L259" s="115">
        <v>43770.168750000012</v>
      </c>
      <c r="M259" s="74"/>
    </row>
    <row r="260" spans="1:13" ht="20.45" customHeight="1" outlineLevel="1" x14ac:dyDescent="0.55000000000000004">
      <c r="A260" s="63">
        <f ca="1">IF($G260="UNIDADE CONSTRUTIVA",OFFSET(A260,0,0)+1,LARGE(A$3:A256,1))</f>
        <v>3</v>
      </c>
      <c r="B260" s="63">
        <f t="shared" ca="1" si="55"/>
        <v>14</v>
      </c>
      <c r="C260" s="63">
        <f t="shared" ca="1" si="56"/>
        <v>1</v>
      </c>
      <c r="D260" s="64">
        <f t="shared" ca="1" si="57"/>
        <v>2</v>
      </c>
      <c r="E260" s="64">
        <f t="shared" ca="1" si="58"/>
        <v>0</v>
      </c>
      <c r="F260" s="65"/>
      <c r="G260" s="73" t="s">
        <v>153</v>
      </c>
      <c r="H260" s="67" t="str">
        <f t="shared" ca="1" si="59"/>
        <v>14.001.002</v>
      </c>
      <c r="I260" s="74" t="s">
        <v>103</v>
      </c>
      <c r="J260" s="96"/>
      <c r="K260" s="114"/>
      <c r="L260" s="115">
        <f>SUM(L261:L267)</f>
        <v>2329104.5054500005</v>
      </c>
      <c r="M260" s="74"/>
    </row>
    <row r="261" spans="1:13" outlineLevel="1" x14ac:dyDescent="0.55000000000000004">
      <c r="A261" s="63">
        <f ca="1">IF($G261="UNIDADE CONSTRUTIVA",OFFSET(A261,0,0)+1,LARGE(A$3:A256,1))</f>
        <v>3</v>
      </c>
      <c r="B261" s="63">
        <f t="shared" ca="1" si="55"/>
        <v>14</v>
      </c>
      <c r="C261" s="63">
        <f t="shared" ca="1" si="56"/>
        <v>1</v>
      </c>
      <c r="D261" s="64">
        <f t="shared" ca="1" si="57"/>
        <v>2</v>
      </c>
      <c r="E261" s="64">
        <f t="shared" ca="1" si="58"/>
        <v>1</v>
      </c>
      <c r="F261" s="65"/>
      <c r="G261" s="73" t="s">
        <v>154</v>
      </c>
      <c r="H261" s="67" t="str">
        <f t="shared" ca="1" si="59"/>
        <v>14.001.002.001</v>
      </c>
      <c r="I261" s="74" t="s">
        <v>348</v>
      </c>
      <c r="J261" s="96"/>
      <c r="K261" s="127" t="s">
        <v>185</v>
      </c>
      <c r="L261" s="115"/>
      <c r="M261" s="74" t="s">
        <v>347</v>
      </c>
    </row>
    <row r="262" spans="1:13" ht="20.45" customHeight="1" outlineLevel="1" x14ac:dyDescent="0.55000000000000004">
      <c r="A262" s="63">
        <f ca="1">IF($G262="UNIDADE CONSTRUTIVA",OFFSET(A262,0,0)+1,LARGE(A$3:A257,1))</f>
        <v>3</v>
      </c>
      <c r="B262" s="63">
        <f t="shared" ca="1" si="55"/>
        <v>14</v>
      </c>
      <c r="C262" s="63">
        <f t="shared" ca="1" si="56"/>
        <v>1</v>
      </c>
      <c r="D262" s="64">
        <f t="shared" ca="1" si="57"/>
        <v>2</v>
      </c>
      <c r="E262" s="64">
        <f t="shared" ca="1" si="58"/>
        <v>2</v>
      </c>
      <c r="F262" s="65"/>
      <c r="G262" s="73" t="s">
        <v>154</v>
      </c>
      <c r="H262" s="67" t="str">
        <f t="shared" ca="1" si="59"/>
        <v>14.001.002.002</v>
      </c>
      <c r="I262" s="74" t="s">
        <v>457</v>
      </c>
      <c r="J262" s="96"/>
      <c r="K262" s="127" t="s">
        <v>185</v>
      </c>
      <c r="L262" s="115"/>
      <c r="M262" s="74" t="s">
        <v>618</v>
      </c>
    </row>
    <row r="263" spans="1:13" ht="20.45" customHeight="1" outlineLevel="1" x14ac:dyDescent="0.55000000000000004">
      <c r="A263" s="63">
        <f ca="1">IF($G263="UNIDADE CONSTRUTIVA",OFFSET(A263,0,0)+1,LARGE(A$3:A257,1))</f>
        <v>3</v>
      </c>
      <c r="B263" s="63">
        <f t="shared" ca="1" si="55"/>
        <v>14</v>
      </c>
      <c r="C263" s="63">
        <f t="shared" ca="1" si="56"/>
        <v>1</v>
      </c>
      <c r="D263" s="64">
        <f t="shared" ca="1" si="57"/>
        <v>2</v>
      </c>
      <c r="E263" s="64">
        <f t="shared" ca="1" si="58"/>
        <v>3</v>
      </c>
      <c r="F263" s="65"/>
      <c r="G263" s="73" t="s">
        <v>154</v>
      </c>
      <c r="H263" s="67" t="str">
        <f t="shared" ca="1" si="59"/>
        <v>14.001.002.003</v>
      </c>
      <c r="I263" s="74" t="s">
        <v>456</v>
      </c>
      <c r="J263" s="96"/>
      <c r="K263" s="127" t="s">
        <v>185</v>
      </c>
      <c r="L263" s="115"/>
      <c r="M263" s="74" t="s">
        <v>618</v>
      </c>
    </row>
    <row r="264" spans="1:13" ht="20.45" customHeight="1" outlineLevel="1" x14ac:dyDescent="0.55000000000000004">
      <c r="A264" s="63">
        <f ca="1">IF($G264="UNIDADE CONSTRUTIVA",OFFSET(A264,0,0)+1,LARGE(A$3:A257,1))</f>
        <v>3</v>
      </c>
      <c r="B264" s="63">
        <f t="shared" ca="1" si="55"/>
        <v>14</v>
      </c>
      <c r="C264" s="63">
        <f t="shared" ca="1" si="56"/>
        <v>1</v>
      </c>
      <c r="D264" s="64">
        <f t="shared" ca="1" si="57"/>
        <v>2</v>
      </c>
      <c r="E264" s="64">
        <f t="shared" ca="1" si="58"/>
        <v>4</v>
      </c>
      <c r="F264" s="65"/>
      <c r="G264" s="73" t="s">
        <v>154</v>
      </c>
      <c r="H264" s="67" t="str">
        <f t="shared" ca="1" si="59"/>
        <v>14.001.002.004</v>
      </c>
      <c r="I264" s="74" t="s">
        <v>349</v>
      </c>
      <c r="J264" s="96">
        <v>14546.635300000004</v>
      </c>
      <c r="K264" s="127" t="s">
        <v>185</v>
      </c>
      <c r="L264" s="115">
        <v>1840149.3654500006</v>
      </c>
      <c r="M264" s="74" t="s">
        <v>346</v>
      </c>
    </row>
    <row r="265" spans="1:13" ht="20.45" customHeight="1" outlineLevel="1" x14ac:dyDescent="0.55000000000000004">
      <c r="A265" s="63">
        <f ca="1">IF($G265="UNIDADE CONSTRUTIVA",OFFSET(A265,0,0)+1,LARGE(A$3:A258,1))</f>
        <v>3</v>
      </c>
      <c r="B265" s="63">
        <f t="shared" ref="B265" ca="1" si="65">IF(G265="UNIDADE CONSTRUTIVA",0,IF(G265="CÉLULA CONSTRUTIVA",OFFSET(B265,-1,0)+1,OFFSET(B265,-1,0)))</f>
        <v>14</v>
      </c>
      <c r="C265" s="63">
        <f t="shared" ref="C265" ca="1" si="66">IF(G265="CÉLULA CONSTRUTIVA",0,IF(G265="ETAPA",OFFSET(C265,-1,0)+1,OFFSET(C265,-1,0)))</f>
        <v>1</v>
      </c>
      <c r="D265" s="64">
        <f t="shared" ref="D265" ca="1" si="67">IF(G265="ETAPA",0,IF(G265="SUBETAPA",OFFSET(D265,-1,0)+1,OFFSET(D265,-1,0)))</f>
        <v>2</v>
      </c>
      <c r="E265" s="64">
        <f t="shared" ref="E265" ca="1" si="68">IF(G265="Subetapa",0,IF(G265="serviço",OFFSET(E265,-1,0)+1,OFFSET(E265,-1,0)))</f>
        <v>5</v>
      </c>
      <c r="F265" s="65"/>
      <c r="G265" s="73" t="s">
        <v>154</v>
      </c>
      <c r="H265" s="67" t="str">
        <f t="shared" ref="H265" ca="1" si="69">IF(G265="Unidade Construtiva",TEXT(A265,"00"),IF(G265="Célula Construtiva",TEXT(B265,"00"),IF(G265="Etapa",CONCATENATE(TEXT(B265,"00"),".",TEXT(C265,"000")),IF(G265="Subetapa",CONCATENATE(TEXT(B265,"00"),".",TEXT(C265,"000"),".",TEXT(D265,"000")),IF(G265="Serviço",CONCATENATE(TEXT(B265,"00"),".",TEXT(C265,"000"),".",TEXT(D265,"000"),".",TEXT(E265,"000")),"")))))</f>
        <v>14.001.002.005</v>
      </c>
      <c r="I265" s="74" t="s">
        <v>615</v>
      </c>
      <c r="J265" s="96">
        <v>106.6</v>
      </c>
      <c r="K265" s="127" t="s">
        <v>185</v>
      </c>
      <c r="L265" s="115">
        <v>16416.400000000001</v>
      </c>
      <c r="M265" s="74" t="s">
        <v>619</v>
      </c>
    </row>
    <row r="266" spans="1:13" ht="20.45" customHeight="1" outlineLevel="1" x14ac:dyDescent="0.55000000000000004">
      <c r="A266" s="63">
        <f ca="1">IF($G266="UNIDADE CONSTRUTIVA",OFFSET(A266,0,0)+1,LARGE(A$3:A256,1))</f>
        <v>3</v>
      </c>
      <c r="B266" s="63">
        <f t="shared" ca="1" si="55"/>
        <v>14</v>
      </c>
      <c r="C266" s="63">
        <f t="shared" ca="1" si="56"/>
        <v>1</v>
      </c>
      <c r="D266" s="64">
        <f t="shared" ca="1" si="57"/>
        <v>2</v>
      </c>
      <c r="E266" s="64">
        <f t="shared" ca="1" si="58"/>
        <v>6</v>
      </c>
      <c r="F266" s="65"/>
      <c r="G266" s="73" t="s">
        <v>154</v>
      </c>
      <c r="H266" s="67" t="str">
        <f t="shared" ca="1" si="59"/>
        <v>14.001.002.006</v>
      </c>
      <c r="I266" s="74" t="s">
        <v>350</v>
      </c>
      <c r="J266" s="140">
        <v>18540.47</v>
      </c>
      <c r="K266" s="127" t="s">
        <v>183</v>
      </c>
      <c r="L266" s="115">
        <v>472538.74</v>
      </c>
      <c r="M266" s="74" t="s">
        <v>642</v>
      </c>
    </row>
    <row r="267" spans="1:13" ht="20.45" customHeight="1" outlineLevel="1" x14ac:dyDescent="0.55000000000000004">
      <c r="A267" s="63">
        <f ca="1">IF($G267="UNIDADE CONSTRUTIVA",OFFSET(A267,0,0)+1,LARGE(A$3:A257,1))</f>
        <v>3</v>
      </c>
      <c r="B267" s="63">
        <f t="shared" ca="1" si="55"/>
        <v>14</v>
      </c>
      <c r="C267" s="63">
        <f t="shared" ca="1" si="56"/>
        <v>1</v>
      </c>
      <c r="D267" s="64">
        <f t="shared" ca="1" si="57"/>
        <v>2</v>
      </c>
      <c r="E267" s="64">
        <f t="shared" ca="1" si="58"/>
        <v>7</v>
      </c>
      <c r="F267" s="65"/>
      <c r="G267" s="73" t="s">
        <v>154</v>
      </c>
      <c r="H267" s="67" t="str">
        <f t="shared" ca="1" si="59"/>
        <v>14.001.002.007</v>
      </c>
      <c r="I267" s="74" t="s">
        <v>458</v>
      </c>
      <c r="J267" s="96"/>
      <c r="K267" s="127" t="s">
        <v>183</v>
      </c>
      <c r="L267" s="115"/>
      <c r="M267" s="74"/>
    </row>
    <row r="268" spans="1:13" ht="20.45" customHeight="1" outlineLevel="1" x14ac:dyDescent="0.55000000000000004">
      <c r="A268" s="63">
        <f ca="1">IF($G268="UNIDADE CONSTRUTIVA",OFFSET(A268,0,0)+1,LARGE(A$3:A264,1))</f>
        <v>3</v>
      </c>
      <c r="B268" s="63">
        <f t="shared" ref="B268:B269" ca="1" si="70">IF(G268="UNIDADE CONSTRUTIVA",0,IF(G268="CÉLULA CONSTRUTIVA",OFFSET(B268,-1,0)+1,OFFSET(B268,-1,0)))</f>
        <v>14</v>
      </c>
      <c r="C268" s="63">
        <f t="shared" ref="C268:C269" ca="1" si="71">IF(G268="CÉLULA CONSTRUTIVA",0,IF(G268="ETAPA",OFFSET(C268,-1,0)+1,OFFSET(C268,-1,0)))</f>
        <v>1</v>
      </c>
      <c r="D268" s="64">
        <f t="shared" ref="D268:D269" ca="1" si="72">IF(G268="ETAPA",0,IF(G268="SUBETAPA",OFFSET(D268,-1,0)+1,OFFSET(D268,-1,0)))</f>
        <v>3</v>
      </c>
      <c r="E268" s="64">
        <f t="shared" ref="E268:E269" ca="1" si="73">IF(G268="Subetapa",0,IF(G268="serviço",OFFSET(E268,-1,0)+1,OFFSET(E268,-1,0)))</f>
        <v>0</v>
      </c>
      <c r="F268" s="65"/>
      <c r="G268" s="73" t="s">
        <v>153</v>
      </c>
      <c r="H268" s="67" t="str">
        <f t="shared" ref="H268:H269" ca="1" si="74">IF(G268="Unidade Construtiva",TEXT(A268,"00"),IF(G268="Célula Construtiva",TEXT(B268,"00"),IF(G268="Etapa",CONCATENATE(TEXT(B268,"00"),".",TEXT(C268,"000")),IF(G268="Subetapa",CONCATENATE(TEXT(B268,"00"),".",TEXT(C268,"000"),".",TEXT(D268,"000")),IF(G268="Serviço",CONCATENATE(TEXT(B268,"00"),".",TEXT(C268,"000"),".",TEXT(D268,"000"),".",TEXT(E268,"000")),"")))))</f>
        <v>14.001.003</v>
      </c>
      <c r="I268" s="74" t="s">
        <v>616</v>
      </c>
      <c r="J268" s="96"/>
      <c r="K268" s="114"/>
      <c r="L268" s="115">
        <f>SUM(L269:L270)</f>
        <v>12714.108</v>
      </c>
      <c r="M268" s="74"/>
    </row>
    <row r="269" spans="1:13" ht="20.45" customHeight="1" outlineLevel="1" x14ac:dyDescent="0.55000000000000004">
      <c r="A269" s="63">
        <f ca="1">IF($G269="UNIDADE CONSTRUTIVA",OFFSET(A269,0,0)+1,LARGE(A$3:A259,1))</f>
        <v>3</v>
      </c>
      <c r="B269" s="63">
        <f t="shared" ca="1" si="70"/>
        <v>14</v>
      </c>
      <c r="C269" s="63">
        <f t="shared" ca="1" si="71"/>
        <v>1</v>
      </c>
      <c r="D269" s="64">
        <f t="shared" ca="1" si="72"/>
        <v>3</v>
      </c>
      <c r="E269" s="64">
        <f t="shared" ca="1" si="73"/>
        <v>1</v>
      </c>
      <c r="F269" s="65"/>
      <c r="G269" s="73" t="s">
        <v>154</v>
      </c>
      <c r="H269" s="67" t="str">
        <f t="shared" ca="1" si="74"/>
        <v>14.001.003.001</v>
      </c>
      <c r="I269" s="74" t="s">
        <v>617</v>
      </c>
      <c r="J269" s="96">
        <v>7.32</v>
      </c>
      <c r="K269" s="127" t="s">
        <v>185</v>
      </c>
      <c r="L269" s="115">
        <v>4662.1080000000002</v>
      </c>
      <c r="M269" s="74"/>
    </row>
    <row r="270" spans="1:13" ht="20.45" customHeight="1" outlineLevel="1" x14ac:dyDescent="0.55000000000000004">
      <c r="A270" s="63">
        <f ca="1">IF($G270="UNIDADE CONSTRUTIVA",OFFSET(A270,0,0)+1,LARGE(A$3:A260,1))</f>
        <v>3</v>
      </c>
      <c r="B270" s="63">
        <f t="shared" ref="B270" ca="1" si="75">IF(G270="UNIDADE CONSTRUTIVA",0,IF(G270="CÉLULA CONSTRUTIVA",OFFSET(B270,-1,0)+1,OFFSET(B270,-1,0)))</f>
        <v>14</v>
      </c>
      <c r="C270" s="63">
        <f t="shared" ref="C270" ca="1" si="76">IF(G270="CÉLULA CONSTRUTIVA",0,IF(G270="ETAPA",OFFSET(C270,-1,0)+1,OFFSET(C270,-1,0)))</f>
        <v>1</v>
      </c>
      <c r="D270" s="64">
        <f t="shared" ref="D270" ca="1" si="77">IF(G270="ETAPA",0,IF(G270="SUBETAPA",OFFSET(D270,-1,0)+1,OFFSET(D270,-1,0)))</f>
        <v>3</v>
      </c>
      <c r="E270" s="64">
        <f t="shared" ref="E270" ca="1" si="78">IF(G270="Subetapa",0,IF(G270="serviço",OFFSET(E270,-1,0)+1,OFFSET(E270,-1,0)))</f>
        <v>2</v>
      </c>
      <c r="F270" s="65"/>
      <c r="G270" s="73" t="s">
        <v>154</v>
      </c>
      <c r="H270" s="67" t="str">
        <f t="shared" ref="H270" ca="1" si="79">IF(G270="Unidade Construtiva",TEXT(A270,"00"),IF(G270="Célula Construtiva",TEXT(B270,"00"),IF(G270="Etapa",CONCATENATE(TEXT(B270,"00"),".",TEXT(C270,"000")),IF(G270="Subetapa",CONCATENATE(TEXT(B270,"00"),".",TEXT(C270,"000"),".",TEXT(D270,"000")),IF(G270="Serviço",CONCATENATE(TEXT(B270,"00"),".",TEXT(C270,"000"),".",TEXT(D270,"000"),".",TEXT(E270,"000")),"")))))</f>
        <v>14.001.003.002</v>
      </c>
      <c r="I270" s="74" t="s">
        <v>643</v>
      </c>
      <c r="J270" s="96">
        <v>7.32</v>
      </c>
      <c r="K270" s="127" t="s">
        <v>185</v>
      </c>
      <c r="L270" s="115">
        <v>8052.0000000000009</v>
      </c>
      <c r="M270" s="74"/>
    </row>
    <row r="271" spans="1:13" ht="20.45" customHeight="1" outlineLevel="1" x14ac:dyDescent="0.55000000000000004">
      <c r="A271" s="63">
        <f ca="1">IF($G271="UNIDADE CONSTRUTIVA",OFFSET(A271,0,0)+1,LARGE(A$3:A267,1))</f>
        <v>3</v>
      </c>
      <c r="B271" s="63">
        <f t="shared" ca="1" si="55"/>
        <v>14</v>
      </c>
      <c r="C271" s="63">
        <f t="shared" ca="1" si="56"/>
        <v>1</v>
      </c>
      <c r="D271" s="64">
        <f t="shared" ca="1" si="57"/>
        <v>4</v>
      </c>
      <c r="E271" s="64">
        <f t="shared" ca="1" si="58"/>
        <v>0</v>
      </c>
      <c r="F271" s="65"/>
      <c r="G271" s="73" t="s">
        <v>153</v>
      </c>
      <c r="H271" s="67" t="str">
        <f t="shared" ca="1" si="59"/>
        <v>14.001.004</v>
      </c>
      <c r="I271" s="74" t="s">
        <v>39</v>
      </c>
      <c r="J271" s="96"/>
      <c r="K271" s="114"/>
      <c r="L271" s="115">
        <f>SUM(L272:L274)</f>
        <v>54994.533000000018</v>
      </c>
      <c r="M271" s="74"/>
    </row>
    <row r="272" spans="1:13" ht="20.45" customHeight="1" outlineLevel="1" x14ac:dyDescent="0.55000000000000004">
      <c r="A272" s="63">
        <f ca="1">IF($G272="UNIDADE CONSTRUTIVA",OFFSET(A272,0,0)+1,LARGE(A$3:A261,1))</f>
        <v>3</v>
      </c>
      <c r="B272" s="63">
        <f t="shared" ca="1" si="55"/>
        <v>14</v>
      </c>
      <c r="C272" s="63">
        <f t="shared" ca="1" si="56"/>
        <v>1</v>
      </c>
      <c r="D272" s="64">
        <f t="shared" ca="1" si="57"/>
        <v>4</v>
      </c>
      <c r="E272" s="64">
        <f t="shared" ca="1" si="58"/>
        <v>1</v>
      </c>
      <c r="F272" s="65"/>
      <c r="G272" s="73" t="s">
        <v>154</v>
      </c>
      <c r="H272" s="67" t="str">
        <f t="shared" ca="1" si="59"/>
        <v>14.001.004.001</v>
      </c>
      <c r="I272" s="74" t="s">
        <v>345</v>
      </c>
      <c r="J272" s="96">
        <v>461.67000000000013</v>
      </c>
      <c r="K272" s="127" t="s">
        <v>185</v>
      </c>
      <c r="L272" s="115">
        <v>12188.088000000005</v>
      </c>
      <c r="M272" s="74"/>
    </row>
    <row r="273" spans="1:13" ht="20.45" customHeight="1" outlineLevel="1" x14ac:dyDescent="0.55000000000000004">
      <c r="A273" s="63">
        <f ca="1">IF($G273="UNIDADE CONSTRUTIVA",OFFSET(A273,0,0)+1,LARGE(A$3:A267,1))</f>
        <v>3</v>
      </c>
      <c r="B273" s="63">
        <f t="shared" ref="B273" ca="1" si="80">IF(G273="UNIDADE CONSTRUTIVA",0,IF(G273="CÉLULA CONSTRUTIVA",OFFSET(B273,-1,0)+1,OFFSET(B273,-1,0)))</f>
        <v>14</v>
      </c>
      <c r="C273" s="63">
        <f t="shared" ref="C273" ca="1" si="81">IF(G273="CÉLULA CONSTRUTIVA",0,IF(G273="ETAPA",OFFSET(C273,-1,0)+1,OFFSET(C273,-1,0)))</f>
        <v>1</v>
      </c>
      <c r="D273" s="64">
        <f t="shared" ref="D273" ca="1" si="82">IF(G273="ETAPA",0,IF(G273="SUBETAPA",OFFSET(D273,-1,0)+1,OFFSET(D273,-1,0)))</f>
        <v>4</v>
      </c>
      <c r="E273" s="64">
        <f t="shared" ref="E273" ca="1" si="83">IF(G273="Subetapa",0,IF(G273="serviço",OFFSET(E273,-1,0)+1,OFFSET(E273,-1,0)))</f>
        <v>2</v>
      </c>
      <c r="F273" s="65"/>
      <c r="G273" s="73" t="s">
        <v>154</v>
      </c>
      <c r="H273" s="67" t="str">
        <f t="shared" ref="H273" ca="1" si="84">IF(G273="Unidade Construtiva",TEXT(A273,"00"),IF(G273="Célula Construtiva",TEXT(B273,"00"),IF(G273="Etapa",CONCATENATE(TEXT(B273,"00"),".",TEXT(C273,"000")),IF(G273="Subetapa",CONCATENATE(TEXT(B273,"00"),".",TEXT(C273,"000"),".",TEXT(D273,"000")),IF(G273="Serviço",CONCATENATE(TEXT(B273,"00"),".",TEXT(C273,"000"),".",TEXT(D273,"000"),".",TEXT(E273,"000")),"")))))</f>
        <v>14.001.004.002</v>
      </c>
      <c r="I273" s="74" t="s">
        <v>614</v>
      </c>
      <c r="J273" s="96">
        <f>J259</f>
        <v>1067.5000000000002</v>
      </c>
      <c r="K273" s="127" t="s">
        <v>185</v>
      </c>
      <c r="L273" s="115">
        <v>41920.725000000013</v>
      </c>
      <c r="M273" s="74"/>
    </row>
    <row r="274" spans="1:13" ht="20.45" customHeight="1" outlineLevel="1" x14ac:dyDescent="0.55000000000000004">
      <c r="A274" s="63">
        <f ca="1">IF($G274="UNIDADE CONSTRUTIVA",OFFSET(A274,0,0)+1,LARGE(A$3:A268,1))</f>
        <v>3</v>
      </c>
      <c r="B274" s="63">
        <f t="shared" ref="B274" ca="1" si="85">IF(G274="UNIDADE CONSTRUTIVA",0,IF(G274="CÉLULA CONSTRUTIVA",OFFSET(B274,-1,0)+1,OFFSET(B274,-1,0)))</f>
        <v>14</v>
      </c>
      <c r="C274" s="63">
        <f t="shared" ref="C274" ca="1" si="86">IF(G274="CÉLULA CONSTRUTIVA",0,IF(G274="ETAPA",OFFSET(C274,-1,0)+1,OFFSET(C274,-1,0)))</f>
        <v>1</v>
      </c>
      <c r="D274" s="64">
        <f t="shared" ref="D274" ca="1" si="87">IF(G274="ETAPA",0,IF(G274="SUBETAPA",OFFSET(D274,-1,0)+1,OFFSET(D274,-1,0)))</f>
        <v>4</v>
      </c>
      <c r="E274" s="64">
        <f t="shared" ref="E274" ca="1" si="88">IF(G274="Subetapa",0,IF(G274="serviço",OFFSET(E274,-1,0)+1,OFFSET(E274,-1,0)))</f>
        <v>3</v>
      </c>
      <c r="F274" s="65"/>
      <c r="G274" s="73" t="s">
        <v>154</v>
      </c>
      <c r="H274" s="67" t="str">
        <f t="shared" ref="H274" ca="1" si="89">IF(G274="Unidade Construtiva",TEXT(A274,"00"),IF(G274="Célula Construtiva",TEXT(B274,"00"),IF(G274="Etapa",CONCATENATE(TEXT(B274,"00"),".",TEXT(C274,"000")),IF(G274="Subetapa",CONCATENATE(TEXT(B274,"00"),".",TEXT(C274,"000"),".",TEXT(D274,"000")),IF(G274="Serviço",CONCATENATE(TEXT(B274,"00"),".",TEXT(C274,"000"),".",TEXT(D274,"000"),".",TEXT(E274,"000")),"")))))</f>
        <v>14.001.004.003</v>
      </c>
      <c r="I274" s="74" t="s">
        <v>644</v>
      </c>
      <c r="J274" s="96">
        <v>7.32</v>
      </c>
      <c r="K274" s="127" t="s">
        <v>185</v>
      </c>
      <c r="L274" s="115">
        <v>885.72000000000014</v>
      </c>
      <c r="M274" s="74"/>
    </row>
    <row r="275" spans="1:13" ht="20.45" customHeight="1" x14ac:dyDescent="0.55000000000000004">
      <c r="A275" s="63">
        <f ca="1">IF($G275="UNIDADE CONSTRUTIVA",OFFSET(A275,0,0)+1,LARGE(A$3:A271,1))</f>
        <v>3</v>
      </c>
      <c r="B275" s="63">
        <f t="shared" ca="1" si="55"/>
        <v>15</v>
      </c>
      <c r="C275" s="63">
        <f t="shared" ca="1" si="56"/>
        <v>0</v>
      </c>
      <c r="D275" s="64">
        <f t="shared" ca="1" si="57"/>
        <v>4</v>
      </c>
      <c r="E275" s="64">
        <f t="shared" ca="1" si="58"/>
        <v>3</v>
      </c>
      <c r="F275" s="65"/>
      <c r="G275" s="71" t="s">
        <v>156</v>
      </c>
      <c r="H275" s="67" t="str">
        <f t="shared" ca="1" si="59"/>
        <v>15</v>
      </c>
      <c r="I275" s="72" t="s">
        <v>104</v>
      </c>
      <c r="J275" s="95"/>
      <c r="K275" s="112"/>
      <c r="L275" s="113">
        <f>L276</f>
        <v>7331642.2581452597</v>
      </c>
      <c r="M275" s="72"/>
    </row>
    <row r="276" spans="1:13" ht="20.45" customHeight="1" outlineLevel="1" x14ac:dyDescent="0.55000000000000004">
      <c r="A276" s="63">
        <f ca="1">IF($G276="UNIDADE CONSTRUTIVA",OFFSET(A276,0,0)+1,LARGE(A$3:A275,1))</f>
        <v>3</v>
      </c>
      <c r="B276" s="63">
        <f t="shared" ca="1" si="55"/>
        <v>15</v>
      </c>
      <c r="C276" s="63">
        <f t="shared" ca="1" si="56"/>
        <v>1</v>
      </c>
      <c r="D276" s="64">
        <f t="shared" ca="1" si="57"/>
        <v>0</v>
      </c>
      <c r="E276" s="64">
        <f t="shared" ca="1" si="58"/>
        <v>3</v>
      </c>
      <c r="F276" s="65"/>
      <c r="G276" s="71" t="s">
        <v>157</v>
      </c>
      <c r="H276" s="67" t="str">
        <f t="shared" ca="1" si="59"/>
        <v>15.001</v>
      </c>
      <c r="I276" s="80" t="s">
        <v>104</v>
      </c>
      <c r="J276" s="107"/>
      <c r="K276" s="138"/>
      <c r="L276" s="126">
        <f>SUM(L277:L315)/2</f>
        <v>7331642.2581452597</v>
      </c>
      <c r="M276" s="80"/>
    </row>
    <row r="277" spans="1:13" ht="20.45" customHeight="1" outlineLevel="1" x14ac:dyDescent="0.55000000000000004">
      <c r="A277" s="63">
        <f ca="1">IF($G277="UNIDADE CONSTRUTIVA",OFFSET(A277,0,0)+1,LARGE(A$3:A276,1))</f>
        <v>3</v>
      </c>
      <c r="B277" s="63">
        <f t="shared" ca="1" si="55"/>
        <v>15</v>
      </c>
      <c r="C277" s="63">
        <f t="shared" ca="1" si="56"/>
        <v>1</v>
      </c>
      <c r="D277" s="64">
        <f t="shared" ca="1" si="57"/>
        <v>1</v>
      </c>
      <c r="E277" s="64">
        <f t="shared" ca="1" si="58"/>
        <v>0</v>
      </c>
      <c r="F277" s="65"/>
      <c r="G277" s="73" t="s">
        <v>153</v>
      </c>
      <c r="H277" s="67" t="str">
        <f t="shared" ca="1" si="59"/>
        <v>15.001.001</v>
      </c>
      <c r="I277" s="74" t="s">
        <v>105</v>
      </c>
      <c r="J277" s="96"/>
      <c r="K277" s="114"/>
      <c r="L277" s="115">
        <f>L278</f>
        <v>894663.89526470017</v>
      </c>
      <c r="M277" s="74"/>
    </row>
    <row r="278" spans="1:13" ht="20.45" customHeight="1" outlineLevel="1" x14ac:dyDescent="0.55000000000000004">
      <c r="A278" s="63">
        <f ca="1">IF($G278="UNIDADE CONSTRUTIVA",OFFSET(A278,0,0)+1,LARGE(A$3:A277,1))</f>
        <v>3</v>
      </c>
      <c r="B278" s="63">
        <f t="shared" ca="1" si="55"/>
        <v>15</v>
      </c>
      <c r="C278" s="63">
        <f t="shared" ca="1" si="56"/>
        <v>1</v>
      </c>
      <c r="D278" s="64">
        <f t="shared" ca="1" si="57"/>
        <v>1</v>
      </c>
      <c r="E278" s="64">
        <f t="shared" ca="1" si="58"/>
        <v>1</v>
      </c>
      <c r="F278" s="65"/>
      <c r="G278" s="73" t="s">
        <v>154</v>
      </c>
      <c r="H278" s="67" t="str">
        <f t="shared" ca="1" si="59"/>
        <v>15.001.001.001</v>
      </c>
      <c r="I278" s="74" t="s">
        <v>355</v>
      </c>
      <c r="J278" s="96">
        <v>12434.349700000002</v>
      </c>
      <c r="K278" s="127" t="s">
        <v>185</v>
      </c>
      <c r="L278" s="115">
        <v>894663.89526470017</v>
      </c>
      <c r="M278" s="74" t="s">
        <v>351</v>
      </c>
    </row>
    <row r="279" spans="1:13" ht="20.45" customHeight="1" outlineLevel="1" x14ac:dyDescent="0.55000000000000004">
      <c r="A279" s="63">
        <f ca="1">IF($G279="UNIDADE CONSTRUTIVA",OFFSET(A279,0,0)+1,LARGE(A$3:A277,1))</f>
        <v>3</v>
      </c>
      <c r="B279" s="63">
        <f t="shared" ca="1" si="55"/>
        <v>15</v>
      </c>
      <c r="C279" s="63">
        <f t="shared" ca="1" si="56"/>
        <v>1</v>
      </c>
      <c r="D279" s="64">
        <f t="shared" ca="1" si="57"/>
        <v>2</v>
      </c>
      <c r="E279" s="64">
        <f t="shared" ca="1" si="58"/>
        <v>0</v>
      </c>
      <c r="F279" s="65"/>
      <c r="G279" s="73" t="s">
        <v>153</v>
      </c>
      <c r="H279" s="67" t="str">
        <f t="shared" ca="1" si="59"/>
        <v>15.001.002</v>
      </c>
      <c r="I279" s="74" t="s">
        <v>328</v>
      </c>
      <c r="J279" s="96"/>
      <c r="K279" s="127"/>
      <c r="L279" s="115">
        <f>SUM(L280:L283)</f>
        <v>176200.75</v>
      </c>
      <c r="M279" s="74"/>
    </row>
    <row r="280" spans="1:13" ht="20.45" customHeight="1" outlineLevel="1" x14ac:dyDescent="0.55000000000000004">
      <c r="A280" s="63">
        <f ca="1">IF($G280="UNIDADE CONSTRUTIVA",OFFSET(A280,0,0)+1,LARGE(A$3:A278,1))</f>
        <v>3</v>
      </c>
      <c r="B280" s="63">
        <f t="shared" ca="1" si="55"/>
        <v>15</v>
      </c>
      <c r="C280" s="63">
        <f t="shared" ca="1" si="56"/>
        <v>1</v>
      </c>
      <c r="D280" s="64">
        <f t="shared" ca="1" si="57"/>
        <v>2</v>
      </c>
      <c r="E280" s="64">
        <f t="shared" ca="1" si="58"/>
        <v>1</v>
      </c>
      <c r="F280" s="65"/>
      <c r="G280" s="73" t="s">
        <v>154</v>
      </c>
      <c r="H280" s="67" t="str">
        <f t="shared" ca="1" si="59"/>
        <v>15.001.002.001</v>
      </c>
      <c r="I280" s="74" t="s">
        <v>439</v>
      </c>
      <c r="J280" s="96">
        <v>6407.3</v>
      </c>
      <c r="K280" s="127" t="s">
        <v>185</v>
      </c>
      <c r="L280" s="115">
        <v>176200.75</v>
      </c>
      <c r="M280" s="74"/>
    </row>
    <row r="281" spans="1:13" ht="20.45" customHeight="1" outlineLevel="1" x14ac:dyDescent="0.55000000000000004">
      <c r="A281" s="63">
        <f ca="1">IF($G281="UNIDADE CONSTRUTIVA",OFFSET(A281,0,0)+1,LARGE(A$3:A279,1))</f>
        <v>3</v>
      </c>
      <c r="B281" s="63">
        <f t="shared" ca="1" si="55"/>
        <v>15</v>
      </c>
      <c r="C281" s="63">
        <f t="shared" ca="1" si="56"/>
        <v>1</v>
      </c>
      <c r="D281" s="64">
        <f t="shared" ca="1" si="57"/>
        <v>2</v>
      </c>
      <c r="E281" s="64">
        <f t="shared" ca="1" si="58"/>
        <v>2</v>
      </c>
      <c r="F281" s="65"/>
      <c r="G281" s="73" t="s">
        <v>154</v>
      </c>
      <c r="H281" s="67" t="str">
        <f t="shared" ca="1" si="59"/>
        <v>15.001.002.002</v>
      </c>
      <c r="I281" s="74" t="s">
        <v>440</v>
      </c>
      <c r="J281" s="96"/>
      <c r="K281" s="127" t="s">
        <v>185</v>
      </c>
      <c r="L281" s="115"/>
      <c r="M281" s="74"/>
    </row>
    <row r="282" spans="1:13" ht="20.45" customHeight="1" outlineLevel="1" x14ac:dyDescent="0.55000000000000004">
      <c r="A282" s="63">
        <f ca="1">IF($G282="UNIDADE CONSTRUTIVA",OFFSET(A282,0,0)+1,LARGE(A$3:A280,1))</f>
        <v>3</v>
      </c>
      <c r="B282" s="63">
        <f t="shared" ca="1" si="55"/>
        <v>15</v>
      </c>
      <c r="C282" s="63">
        <f t="shared" ca="1" si="56"/>
        <v>1</v>
      </c>
      <c r="D282" s="64">
        <f t="shared" ca="1" si="57"/>
        <v>2</v>
      </c>
      <c r="E282" s="64">
        <f t="shared" ca="1" si="58"/>
        <v>3</v>
      </c>
      <c r="F282" s="65"/>
      <c r="G282" s="73" t="s">
        <v>154</v>
      </c>
      <c r="H282" s="67" t="str">
        <f t="shared" ca="1" si="59"/>
        <v>15.001.002.003</v>
      </c>
      <c r="I282" s="74" t="s">
        <v>441</v>
      </c>
      <c r="J282" s="96"/>
      <c r="K282" s="127" t="s">
        <v>185</v>
      </c>
      <c r="L282" s="115"/>
      <c r="M282" s="74"/>
    </row>
    <row r="283" spans="1:13" ht="20.45" customHeight="1" outlineLevel="1" x14ac:dyDescent="0.55000000000000004">
      <c r="A283" s="63">
        <f ca="1">IF($G283="UNIDADE CONSTRUTIVA",OFFSET(A283,0,0)+1,LARGE(A$3:A281,1))</f>
        <v>3</v>
      </c>
      <c r="B283" s="63">
        <f t="shared" ca="1" si="55"/>
        <v>15</v>
      </c>
      <c r="C283" s="63">
        <f t="shared" ca="1" si="56"/>
        <v>1</v>
      </c>
      <c r="D283" s="64">
        <f t="shared" ca="1" si="57"/>
        <v>2</v>
      </c>
      <c r="E283" s="64">
        <f t="shared" ca="1" si="58"/>
        <v>4</v>
      </c>
      <c r="F283" s="65"/>
      <c r="G283" s="73" t="s">
        <v>154</v>
      </c>
      <c r="H283" s="67" t="str">
        <f t="shared" ca="1" si="59"/>
        <v>15.001.002.004</v>
      </c>
      <c r="I283" s="74" t="s">
        <v>442</v>
      </c>
      <c r="J283" s="96"/>
      <c r="K283" s="127" t="s">
        <v>185</v>
      </c>
      <c r="L283" s="115"/>
      <c r="M283" s="74"/>
    </row>
    <row r="284" spans="1:13" ht="20.45" customHeight="1" outlineLevel="1" x14ac:dyDescent="0.55000000000000004">
      <c r="A284" s="63">
        <f ca="1">IF($G284="UNIDADE CONSTRUTIVA",OFFSET(A284,0,0)+1,LARGE(A$3:A279,1))</f>
        <v>3</v>
      </c>
      <c r="B284" s="63">
        <f t="shared" ca="1" si="55"/>
        <v>15</v>
      </c>
      <c r="C284" s="63">
        <f t="shared" ca="1" si="56"/>
        <v>1</v>
      </c>
      <c r="D284" s="64">
        <f t="shared" ca="1" si="57"/>
        <v>3</v>
      </c>
      <c r="E284" s="64">
        <f t="shared" ca="1" si="58"/>
        <v>0</v>
      </c>
      <c r="F284" s="65"/>
      <c r="G284" s="73" t="s">
        <v>153</v>
      </c>
      <c r="H284" s="67" t="str">
        <f t="shared" ca="1" si="59"/>
        <v>15.001.003</v>
      </c>
      <c r="I284" s="74" t="s">
        <v>106</v>
      </c>
      <c r="J284" s="96"/>
      <c r="K284" s="127"/>
      <c r="L284" s="115">
        <f>SUM(L285:L287)</f>
        <v>635370.64910000004</v>
      </c>
      <c r="M284" s="74"/>
    </row>
    <row r="285" spans="1:13" ht="20.45" customHeight="1" outlineLevel="1" x14ac:dyDescent="0.55000000000000004">
      <c r="A285" s="63">
        <f ca="1">IF($G285="UNIDADE CONSTRUTIVA",OFFSET(A285,0,0)+1,LARGE(A$3:A279,1))</f>
        <v>3</v>
      </c>
      <c r="B285" s="63">
        <f t="shared" ca="1" si="55"/>
        <v>15</v>
      </c>
      <c r="C285" s="63">
        <f t="shared" ca="1" si="56"/>
        <v>1</v>
      </c>
      <c r="D285" s="64">
        <f t="shared" ca="1" si="57"/>
        <v>3</v>
      </c>
      <c r="E285" s="64">
        <f t="shared" ca="1" si="58"/>
        <v>1</v>
      </c>
      <c r="F285" s="65"/>
      <c r="G285" s="73" t="s">
        <v>154</v>
      </c>
      <c r="H285" s="67" t="str">
        <f t="shared" ca="1" si="59"/>
        <v>15.001.003.001</v>
      </c>
      <c r="I285" s="74" t="s">
        <v>356</v>
      </c>
      <c r="J285" s="96">
        <v>36.93</v>
      </c>
      <c r="K285" s="127" t="s">
        <v>185</v>
      </c>
      <c r="L285" s="115">
        <v>1015.575</v>
      </c>
      <c r="M285" s="74"/>
    </row>
    <row r="286" spans="1:13" ht="20.45" customHeight="1" outlineLevel="1" x14ac:dyDescent="0.55000000000000004">
      <c r="A286" s="63">
        <f ca="1">IF($G286="UNIDADE CONSTRUTIVA",OFFSET(A286,0,0)+1,LARGE(A$3:A279,1))</f>
        <v>3</v>
      </c>
      <c r="B286" s="63">
        <f t="shared" ca="1" si="55"/>
        <v>15</v>
      </c>
      <c r="C286" s="63">
        <f t="shared" ca="1" si="56"/>
        <v>1</v>
      </c>
      <c r="D286" s="64">
        <f t="shared" ca="1" si="57"/>
        <v>3</v>
      </c>
      <c r="E286" s="64">
        <f t="shared" ca="1" si="58"/>
        <v>2</v>
      </c>
      <c r="F286" s="65"/>
      <c r="G286" s="73" t="s">
        <v>154</v>
      </c>
      <c r="H286" s="67" t="str">
        <f t="shared" ca="1" si="59"/>
        <v>15.001.003.002</v>
      </c>
      <c r="I286" s="74" t="s">
        <v>357</v>
      </c>
      <c r="J286" s="96">
        <v>5830.0599999999995</v>
      </c>
      <c r="K286" s="127" t="s">
        <v>185</v>
      </c>
      <c r="L286" s="115">
        <v>596094.48470000003</v>
      </c>
      <c r="M286" s="74"/>
    </row>
    <row r="287" spans="1:13" ht="20.45" customHeight="1" outlineLevel="1" x14ac:dyDescent="0.55000000000000004">
      <c r="A287" s="63">
        <f ca="1">IF($G287="UNIDADE CONSTRUTIVA",OFFSET(A287,0,0)+1,LARGE(A$3:A280,1))</f>
        <v>3</v>
      </c>
      <c r="B287" s="63">
        <f t="shared" ref="B287" ca="1" si="90">IF(G287="UNIDADE CONSTRUTIVA",0,IF(G287="CÉLULA CONSTRUTIVA",OFFSET(B287,-1,0)+1,OFFSET(B287,-1,0)))</f>
        <v>15</v>
      </c>
      <c r="C287" s="63">
        <f t="shared" ref="C287" ca="1" si="91">IF(G287="CÉLULA CONSTRUTIVA",0,IF(G287="ETAPA",OFFSET(C287,-1,0)+1,OFFSET(C287,-1,0)))</f>
        <v>1</v>
      </c>
      <c r="D287" s="64">
        <f t="shared" ref="D287" ca="1" si="92">IF(G287="ETAPA",0,IF(G287="SUBETAPA",OFFSET(D287,-1,0)+1,OFFSET(D287,-1,0)))</f>
        <v>3</v>
      </c>
      <c r="E287" s="64">
        <f t="shared" ref="E287" ca="1" si="93">IF(G287="Subetapa",0,IF(G287="serviço",OFFSET(E287,-1,0)+1,OFFSET(E287,-1,0)))</f>
        <v>3</v>
      </c>
      <c r="F287" s="65"/>
      <c r="G287" s="73" t="s">
        <v>154</v>
      </c>
      <c r="H287" s="67" t="str">
        <f t="shared" ref="H287" ca="1" si="94">IF(G287="Unidade Construtiva",TEXT(A287,"00"),IF(G287="Célula Construtiva",TEXT(B287,"00"),IF(G287="Etapa",CONCATENATE(TEXT(B287,"00"),".",TEXT(C287,"000")),IF(G287="Subetapa",CONCATENATE(TEXT(B287,"00"),".",TEXT(C287,"000"),".",TEXT(D287,"000")),IF(G287="Serviço",CONCATENATE(TEXT(B287,"00"),".",TEXT(C287,"000"),".",TEXT(D287,"000"),".",TEXT(E287,"000")),"")))))</f>
        <v>15.001.003.003</v>
      </c>
      <c r="I287" s="74" t="s">
        <v>622</v>
      </c>
      <c r="J287" s="96">
        <v>193.2353</v>
      </c>
      <c r="K287" s="127" t="s">
        <v>185</v>
      </c>
      <c r="L287" s="115">
        <v>38260.589400000004</v>
      </c>
      <c r="M287" s="74"/>
    </row>
    <row r="288" spans="1:13" ht="20.45" customHeight="1" outlineLevel="1" x14ac:dyDescent="0.55000000000000004">
      <c r="A288" s="63">
        <f ca="1">IF($G288="UNIDADE CONSTRUTIVA",OFFSET(A288,0,0)+1,LARGE(A$3:A284,1))</f>
        <v>3</v>
      </c>
      <c r="B288" s="63">
        <f t="shared" ca="1" si="55"/>
        <v>15</v>
      </c>
      <c r="C288" s="63">
        <f t="shared" ca="1" si="56"/>
        <v>1</v>
      </c>
      <c r="D288" s="64">
        <f t="shared" ca="1" si="57"/>
        <v>4</v>
      </c>
      <c r="E288" s="64">
        <f t="shared" ca="1" si="58"/>
        <v>0</v>
      </c>
      <c r="F288" s="65"/>
      <c r="G288" s="73" t="s">
        <v>153</v>
      </c>
      <c r="H288" s="67" t="str">
        <f t="shared" ca="1" si="59"/>
        <v>15.001.004</v>
      </c>
      <c r="I288" s="74" t="s">
        <v>107</v>
      </c>
      <c r="J288" s="96"/>
      <c r="K288" s="127"/>
      <c r="L288" s="115">
        <f>SUM(L289:L291)</f>
        <v>1221054.6115591996</v>
      </c>
      <c r="M288" s="74"/>
    </row>
    <row r="289" spans="1:13" ht="37.5" outlineLevel="1" x14ac:dyDescent="0.55000000000000004">
      <c r="A289" s="63">
        <f ca="1">IF($G289="UNIDADE CONSTRUTIVA",OFFSET(A289,0,0)+1,LARGE(A$3:A288,1))</f>
        <v>3</v>
      </c>
      <c r="B289" s="63">
        <f t="shared" ca="1" si="55"/>
        <v>15</v>
      </c>
      <c r="C289" s="63">
        <f t="shared" ca="1" si="56"/>
        <v>1</v>
      </c>
      <c r="D289" s="64">
        <f t="shared" ca="1" si="57"/>
        <v>4</v>
      </c>
      <c r="E289" s="64">
        <f t="shared" ca="1" si="58"/>
        <v>1</v>
      </c>
      <c r="F289" s="65"/>
      <c r="G289" s="73" t="s">
        <v>154</v>
      </c>
      <c r="H289" s="67" t="str">
        <f t="shared" ca="1" si="59"/>
        <v>15.001.004.001</v>
      </c>
      <c r="I289" s="74" t="s">
        <v>446</v>
      </c>
      <c r="J289" s="96">
        <v>3892.5403999999985</v>
      </c>
      <c r="K289" s="127" t="s">
        <v>185</v>
      </c>
      <c r="L289" s="115">
        <v>572246.87822719978</v>
      </c>
      <c r="M289" s="74" t="s">
        <v>352</v>
      </c>
    </row>
    <row r="290" spans="1:13" ht="37.5" outlineLevel="1" x14ac:dyDescent="0.55000000000000004">
      <c r="A290" s="63">
        <f ca="1">IF($G290="UNIDADE CONSTRUTIVA",OFFSET(A290,0,0)+1,LARGE(A$3:A289,1))</f>
        <v>3</v>
      </c>
      <c r="B290" s="63">
        <f t="shared" ca="1" si="55"/>
        <v>15</v>
      </c>
      <c r="C290" s="63">
        <f t="shared" ca="1" si="56"/>
        <v>1</v>
      </c>
      <c r="D290" s="64">
        <f t="shared" ca="1" si="57"/>
        <v>4</v>
      </c>
      <c r="E290" s="64">
        <f t="shared" ca="1" si="58"/>
        <v>2</v>
      </c>
      <c r="F290" s="65"/>
      <c r="G290" s="73" t="s">
        <v>154</v>
      </c>
      <c r="H290" s="67" t="str">
        <f t="shared" ca="1" si="59"/>
        <v>15.001.004.002</v>
      </c>
      <c r="I290" s="74" t="s">
        <v>447</v>
      </c>
      <c r="J290" s="96">
        <v>3692.7739999999999</v>
      </c>
      <c r="K290" s="127" t="s">
        <v>185</v>
      </c>
      <c r="L290" s="115">
        <v>578354.87833199999</v>
      </c>
      <c r="M290" s="74" t="s">
        <v>352</v>
      </c>
    </row>
    <row r="291" spans="1:13" ht="37.5" outlineLevel="1" x14ac:dyDescent="0.55000000000000004">
      <c r="A291" s="63">
        <f ca="1">IF($G291="UNIDADE CONSTRUTIVA",OFFSET(A291,0,0)+1,LARGE(A$3:A290,1))</f>
        <v>3</v>
      </c>
      <c r="B291" s="63">
        <f t="shared" ca="1" si="55"/>
        <v>15</v>
      </c>
      <c r="C291" s="63">
        <f t="shared" ca="1" si="56"/>
        <v>1</v>
      </c>
      <c r="D291" s="64">
        <f t="shared" ca="1" si="57"/>
        <v>4</v>
      </c>
      <c r="E291" s="64">
        <f t="shared" ca="1" si="58"/>
        <v>3</v>
      </c>
      <c r="F291" s="65"/>
      <c r="G291" s="73" t="s">
        <v>154</v>
      </c>
      <c r="H291" s="67" t="str">
        <f t="shared" ca="1" si="59"/>
        <v>15.001.004.003</v>
      </c>
      <c r="I291" s="74" t="s">
        <v>450</v>
      </c>
      <c r="J291" s="96">
        <v>427.5</v>
      </c>
      <c r="K291" s="127" t="s">
        <v>185</v>
      </c>
      <c r="L291" s="115">
        <v>70452.854999999996</v>
      </c>
      <c r="M291" s="74" t="s">
        <v>352</v>
      </c>
    </row>
    <row r="292" spans="1:13" ht="20.45" customHeight="1" outlineLevel="1" x14ac:dyDescent="0.55000000000000004">
      <c r="A292" s="63">
        <f ca="1">IF($G292="UNIDADE CONSTRUTIVA",OFFSET(A292,0,0)+1,LARGE(A$3:A289,1))</f>
        <v>3</v>
      </c>
      <c r="B292" s="63">
        <f t="shared" ca="1" si="55"/>
        <v>15</v>
      </c>
      <c r="C292" s="63">
        <f t="shared" ca="1" si="56"/>
        <v>1</v>
      </c>
      <c r="D292" s="64">
        <f t="shared" ca="1" si="57"/>
        <v>5</v>
      </c>
      <c r="E292" s="64">
        <f t="shared" ca="1" si="58"/>
        <v>0</v>
      </c>
      <c r="F292" s="65"/>
      <c r="G292" s="73" t="s">
        <v>153</v>
      </c>
      <c r="H292" s="67" t="str">
        <f t="shared" ca="1" si="59"/>
        <v>15.001.005</v>
      </c>
      <c r="I292" s="74" t="s">
        <v>108</v>
      </c>
      <c r="J292" s="96"/>
      <c r="K292" s="127"/>
      <c r="L292" s="115">
        <f>L293</f>
        <v>7050.3312000000014</v>
      </c>
      <c r="M292" s="74"/>
    </row>
    <row r="293" spans="1:13" ht="20.45" customHeight="1" outlineLevel="1" x14ac:dyDescent="0.55000000000000004">
      <c r="A293" s="63">
        <f ca="1">IF($G293="UNIDADE CONSTRUTIVA",OFFSET(A293,0,0)+1,LARGE(A$3:A291,1))</f>
        <v>3</v>
      </c>
      <c r="B293" s="63">
        <f t="shared" ca="1" si="55"/>
        <v>15</v>
      </c>
      <c r="C293" s="63">
        <f t="shared" ca="1" si="56"/>
        <v>1</v>
      </c>
      <c r="D293" s="64">
        <f t="shared" ca="1" si="57"/>
        <v>5</v>
      </c>
      <c r="E293" s="64">
        <f t="shared" ca="1" si="58"/>
        <v>1</v>
      </c>
      <c r="F293" s="65"/>
      <c r="G293" s="73" t="s">
        <v>154</v>
      </c>
      <c r="H293" s="67" t="str">
        <f t="shared" ca="1" si="59"/>
        <v>15.001.005.001</v>
      </c>
      <c r="I293" s="74" t="s">
        <v>620</v>
      </c>
      <c r="J293" s="96">
        <v>14.64</v>
      </c>
      <c r="K293" s="127" t="s">
        <v>185</v>
      </c>
      <c r="L293" s="115">
        <v>7050.3312000000014</v>
      </c>
      <c r="M293" s="74" t="s">
        <v>354</v>
      </c>
    </row>
    <row r="294" spans="1:13" ht="20.45" customHeight="1" outlineLevel="1" x14ac:dyDescent="0.55000000000000004">
      <c r="A294" s="63">
        <f ca="1">IF($G294="UNIDADE CONSTRUTIVA",OFFSET(A294,0,0)+1,LARGE(A$3:A289,1))</f>
        <v>3</v>
      </c>
      <c r="B294" s="63">
        <f t="shared" ca="1" si="55"/>
        <v>15</v>
      </c>
      <c r="C294" s="63">
        <f t="shared" ca="1" si="56"/>
        <v>1</v>
      </c>
      <c r="D294" s="64">
        <f t="shared" ca="1" si="57"/>
        <v>6</v>
      </c>
      <c r="E294" s="64">
        <f t="shared" ca="1" si="58"/>
        <v>0</v>
      </c>
      <c r="F294" s="65"/>
      <c r="G294" s="73" t="s">
        <v>153</v>
      </c>
      <c r="H294" s="67" t="str">
        <f t="shared" ca="1" si="59"/>
        <v>15.001.006</v>
      </c>
      <c r="I294" s="74" t="s">
        <v>109</v>
      </c>
      <c r="J294" s="96"/>
      <c r="K294" s="127"/>
      <c r="L294" s="115">
        <f>SUM(L295:L297)</f>
        <v>50713.343999999997</v>
      </c>
      <c r="M294" s="74"/>
    </row>
    <row r="295" spans="1:13" ht="20.45" customHeight="1" outlineLevel="1" x14ac:dyDescent="0.55000000000000004">
      <c r="A295" s="63">
        <f ca="1">IF($G295="UNIDADE CONSTRUTIVA",OFFSET(A295,0,0)+1,LARGE(A$3:A292,1))</f>
        <v>3</v>
      </c>
      <c r="B295" s="63">
        <f t="shared" ca="1" si="55"/>
        <v>15</v>
      </c>
      <c r="C295" s="63">
        <f t="shared" ca="1" si="56"/>
        <v>1</v>
      </c>
      <c r="D295" s="64">
        <f t="shared" ca="1" si="57"/>
        <v>6</v>
      </c>
      <c r="E295" s="64">
        <f t="shared" ca="1" si="58"/>
        <v>1</v>
      </c>
      <c r="F295" s="65"/>
      <c r="G295" s="73" t="s">
        <v>154</v>
      </c>
      <c r="H295" s="67" t="str">
        <f t="shared" ca="1" si="59"/>
        <v>15.001.006.001</v>
      </c>
      <c r="I295" s="74" t="s">
        <v>645</v>
      </c>
      <c r="J295" s="96">
        <v>24.839999999999996</v>
      </c>
      <c r="K295" s="127" t="s">
        <v>185</v>
      </c>
      <c r="L295" s="115">
        <v>50713.343999999997</v>
      </c>
      <c r="M295" s="74"/>
    </row>
    <row r="296" spans="1:13" ht="20.45" customHeight="1" outlineLevel="1" x14ac:dyDescent="0.55000000000000004">
      <c r="A296" s="63">
        <f ca="1">IF($G296="UNIDADE CONSTRUTIVA",OFFSET(A296,0,0)+1,LARGE(A$3:A294,1))</f>
        <v>3</v>
      </c>
      <c r="B296" s="63">
        <f t="shared" ca="1" si="55"/>
        <v>15</v>
      </c>
      <c r="C296" s="63">
        <f t="shared" ca="1" si="56"/>
        <v>1</v>
      </c>
      <c r="D296" s="64">
        <f t="shared" ca="1" si="57"/>
        <v>6</v>
      </c>
      <c r="E296" s="64">
        <f t="shared" ca="1" si="58"/>
        <v>2</v>
      </c>
      <c r="F296" s="65"/>
      <c r="G296" s="73" t="s">
        <v>154</v>
      </c>
      <c r="H296" s="67" t="str">
        <f t="shared" ca="1" si="59"/>
        <v>15.001.006.002</v>
      </c>
      <c r="I296" s="74" t="s">
        <v>448</v>
      </c>
      <c r="J296" s="96"/>
      <c r="K296" s="127" t="s">
        <v>185</v>
      </c>
      <c r="L296" s="115"/>
      <c r="M296" s="74"/>
    </row>
    <row r="297" spans="1:13" ht="20.45" customHeight="1" outlineLevel="1" x14ac:dyDescent="0.55000000000000004">
      <c r="A297" s="63">
        <f ca="1">IF($G297="UNIDADE CONSTRUTIVA",OFFSET(A297,0,0)+1,LARGE(A$3:A295,1))</f>
        <v>3</v>
      </c>
      <c r="B297" s="63">
        <f t="shared" ca="1" si="55"/>
        <v>15</v>
      </c>
      <c r="C297" s="63">
        <f t="shared" ca="1" si="56"/>
        <v>1</v>
      </c>
      <c r="D297" s="64">
        <f t="shared" ca="1" si="57"/>
        <v>6</v>
      </c>
      <c r="E297" s="64">
        <f t="shared" ca="1" si="58"/>
        <v>3</v>
      </c>
      <c r="F297" s="65"/>
      <c r="G297" s="73" t="s">
        <v>154</v>
      </c>
      <c r="H297" s="67" t="str">
        <f t="shared" ca="1" si="59"/>
        <v>15.001.006.003</v>
      </c>
      <c r="I297" s="83" t="s">
        <v>449</v>
      </c>
      <c r="J297" s="96"/>
      <c r="K297" s="127" t="s">
        <v>185</v>
      </c>
      <c r="L297" s="115"/>
      <c r="M297" s="74"/>
    </row>
    <row r="298" spans="1:13" ht="20.45" customHeight="1" outlineLevel="1" x14ac:dyDescent="0.55000000000000004">
      <c r="A298" s="63">
        <f ca="1">IF($G298="UNIDADE CONSTRUTIVA",OFFSET(A298,0,0)+1,LARGE(A$3:A294,1))</f>
        <v>3</v>
      </c>
      <c r="B298" s="63">
        <f t="shared" ca="1" si="55"/>
        <v>15</v>
      </c>
      <c r="C298" s="63">
        <f t="shared" ca="1" si="56"/>
        <v>1</v>
      </c>
      <c r="D298" s="64">
        <f t="shared" ca="1" si="57"/>
        <v>7</v>
      </c>
      <c r="E298" s="64">
        <f t="shared" ca="1" si="58"/>
        <v>0</v>
      </c>
      <c r="F298" s="65"/>
      <c r="G298" s="73" t="s">
        <v>153</v>
      </c>
      <c r="H298" s="67" t="str">
        <f t="shared" ca="1" si="59"/>
        <v>15.001.007</v>
      </c>
      <c r="I298" s="74" t="s">
        <v>99</v>
      </c>
      <c r="J298" s="96"/>
      <c r="K298" s="127"/>
      <c r="L298" s="115">
        <f>SUM(L299:L301)</f>
        <v>1537205.8020000001</v>
      </c>
      <c r="M298" s="74"/>
    </row>
    <row r="299" spans="1:13" ht="20.45" customHeight="1" outlineLevel="1" x14ac:dyDescent="0.55000000000000004">
      <c r="A299" s="63">
        <f ca="1">IF($G299="UNIDADE CONSTRUTIVA",OFFSET(A299,0,0)+1,LARGE(A$3:A298,1))</f>
        <v>3</v>
      </c>
      <c r="B299" s="63">
        <f t="shared" ca="1" si="55"/>
        <v>15</v>
      </c>
      <c r="C299" s="63">
        <f t="shared" ca="1" si="56"/>
        <v>1</v>
      </c>
      <c r="D299" s="64">
        <f t="shared" ca="1" si="57"/>
        <v>7</v>
      </c>
      <c r="E299" s="64">
        <f t="shared" ca="1" si="58"/>
        <v>1</v>
      </c>
      <c r="F299" s="65"/>
      <c r="G299" s="73" t="s">
        <v>154</v>
      </c>
      <c r="H299" s="67" t="str">
        <f t="shared" ca="1" si="59"/>
        <v>15.001.007.001</v>
      </c>
      <c r="I299" s="74" t="s">
        <v>454</v>
      </c>
      <c r="J299" s="96">
        <v>3468.5600000000004</v>
      </c>
      <c r="K299" s="127" t="s">
        <v>185</v>
      </c>
      <c r="L299" s="115">
        <v>1438411.8320000002</v>
      </c>
      <c r="M299" s="74" t="s">
        <v>353</v>
      </c>
    </row>
    <row r="300" spans="1:13" ht="20.45" customHeight="1" outlineLevel="1" x14ac:dyDescent="0.55000000000000004">
      <c r="A300" s="63">
        <f ca="1">IF($G300="UNIDADE CONSTRUTIVA",OFFSET(A300,0,0)+1,LARGE(A$3:A298,1))</f>
        <v>3</v>
      </c>
      <c r="B300" s="63">
        <f t="shared" ref="B300" ca="1" si="95">IF(G300="UNIDADE CONSTRUTIVA",0,IF(G300="CÉLULA CONSTRUTIVA",OFFSET(B300,-1,0)+1,OFFSET(B300,-1,0)))</f>
        <v>15</v>
      </c>
      <c r="C300" s="63">
        <f t="shared" ref="C300" ca="1" si="96">IF(G300="CÉLULA CONSTRUTIVA",0,IF(G300="ETAPA",OFFSET(C300,-1,0)+1,OFFSET(C300,-1,0)))</f>
        <v>1</v>
      </c>
      <c r="D300" s="64">
        <f t="shared" ref="D300" ca="1" si="97">IF(G300="ETAPA",0,IF(G300="SUBETAPA",OFFSET(D300,-1,0)+1,OFFSET(D300,-1,0)))</f>
        <v>7</v>
      </c>
      <c r="E300" s="64">
        <f t="shared" ref="E300" ca="1" si="98">IF(G300="Subetapa",0,IF(G300="serviço",OFFSET(E300,-1,0)+1,OFFSET(E300,-1,0)))</f>
        <v>2</v>
      </c>
      <c r="F300" s="65"/>
      <c r="G300" s="73" t="s">
        <v>154</v>
      </c>
      <c r="H300" s="67" t="str">
        <f t="shared" ref="H300" ca="1" si="99">IF(G300="Unidade Construtiva",TEXT(A300,"00"),IF(G300="Célula Construtiva",TEXT(B300,"00"),IF(G300="Etapa",CONCATENATE(TEXT(B300,"00"),".",TEXT(C300,"000")),IF(G300="Subetapa",CONCATENATE(TEXT(B300,"00"),".",TEXT(C300,"000"),".",TEXT(D300,"000")),IF(G300="Serviço",CONCATENATE(TEXT(B300,"00"),".",TEXT(C300,"000"),".",TEXT(D300,"000"),".",TEXT(E300,"000")),"")))))</f>
        <v>15.001.007.002</v>
      </c>
      <c r="I300" s="74" t="s">
        <v>621</v>
      </c>
      <c r="J300" s="96">
        <v>390.49</v>
      </c>
      <c r="K300" s="127" t="s">
        <v>185</v>
      </c>
      <c r="L300" s="115">
        <v>98793.97</v>
      </c>
      <c r="M300" s="74" t="s">
        <v>354</v>
      </c>
    </row>
    <row r="301" spans="1:13" ht="20.45" customHeight="1" outlineLevel="1" x14ac:dyDescent="0.55000000000000004">
      <c r="A301" s="63">
        <f ca="1">IF($G301="UNIDADE CONSTRUTIVA",OFFSET(A301,0,0)+1,LARGE(A$3:A299,1))</f>
        <v>3</v>
      </c>
      <c r="B301" s="63">
        <f t="shared" ca="1" si="55"/>
        <v>15</v>
      </c>
      <c r="C301" s="63">
        <f t="shared" ca="1" si="56"/>
        <v>1</v>
      </c>
      <c r="D301" s="64">
        <f t="shared" ca="1" si="57"/>
        <v>7</v>
      </c>
      <c r="E301" s="64">
        <f t="shared" ca="1" si="58"/>
        <v>3</v>
      </c>
      <c r="F301" s="65"/>
      <c r="G301" s="73" t="s">
        <v>154</v>
      </c>
      <c r="H301" s="67" t="str">
        <f t="shared" ca="1" si="59"/>
        <v>15.001.007.003</v>
      </c>
      <c r="I301" s="74" t="s">
        <v>455</v>
      </c>
      <c r="J301" s="96"/>
      <c r="K301" s="127" t="s">
        <v>185</v>
      </c>
      <c r="L301" s="115"/>
      <c r="M301" s="74" t="s">
        <v>354</v>
      </c>
    </row>
    <row r="302" spans="1:13" ht="20.45" customHeight="1" outlineLevel="1" x14ac:dyDescent="0.55000000000000004">
      <c r="A302" s="63">
        <f ca="1">IF($G302="UNIDADE CONSTRUTIVA",OFFSET(A302,0,0)+1,LARGE(A$3:A298,1))</f>
        <v>3</v>
      </c>
      <c r="B302" s="63">
        <f t="shared" ca="1" si="55"/>
        <v>15</v>
      </c>
      <c r="C302" s="63">
        <f t="shared" ca="1" si="56"/>
        <v>1</v>
      </c>
      <c r="D302" s="64">
        <f t="shared" ca="1" si="57"/>
        <v>8</v>
      </c>
      <c r="E302" s="64">
        <f t="shared" ca="1" si="58"/>
        <v>0</v>
      </c>
      <c r="F302" s="65"/>
      <c r="G302" s="73" t="s">
        <v>153</v>
      </c>
      <c r="H302" s="67" t="str">
        <f t="shared" ca="1" si="59"/>
        <v>15.001.008</v>
      </c>
      <c r="I302" s="74" t="s">
        <v>110</v>
      </c>
      <c r="J302" s="96"/>
      <c r="K302" s="127"/>
      <c r="L302" s="115">
        <f>SUM(L303:L304)</f>
        <v>628106.42247936002</v>
      </c>
      <c r="M302" s="74"/>
    </row>
    <row r="303" spans="1:13" ht="20.45" customHeight="1" outlineLevel="1" x14ac:dyDescent="0.55000000000000004">
      <c r="A303" s="63">
        <f ca="1">IF($G303="UNIDADE CONSTRUTIVA",OFFSET(A303,0,0)+1,LARGE(A$3:A299,1))</f>
        <v>3</v>
      </c>
      <c r="B303" s="63">
        <f t="shared" ca="1" si="55"/>
        <v>15</v>
      </c>
      <c r="C303" s="63">
        <f t="shared" ca="1" si="56"/>
        <v>1</v>
      </c>
      <c r="D303" s="64">
        <f t="shared" ca="1" si="57"/>
        <v>8</v>
      </c>
      <c r="E303" s="64">
        <f t="shared" ca="1" si="58"/>
        <v>1</v>
      </c>
      <c r="F303" s="65"/>
      <c r="G303" s="73" t="s">
        <v>154</v>
      </c>
      <c r="H303" s="67" t="str">
        <f t="shared" ca="1" si="59"/>
        <v>15.001.008.001</v>
      </c>
      <c r="I303" s="74" t="s">
        <v>359</v>
      </c>
      <c r="J303" s="96">
        <v>9102.377279999997</v>
      </c>
      <c r="K303" s="127" t="s">
        <v>183</v>
      </c>
      <c r="L303" s="115">
        <v>199451.29095935996</v>
      </c>
      <c r="M303" s="74"/>
    </row>
    <row r="304" spans="1:13" ht="20.45" customHeight="1" outlineLevel="1" x14ac:dyDescent="0.55000000000000004">
      <c r="A304" s="63">
        <f ca="1">IF($G304="UNIDADE CONSTRUTIVA",OFFSET(A304,0,0)+1,LARGE(A$3:A302,1))</f>
        <v>3</v>
      </c>
      <c r="B304" s="63">
        <f t="shared" ca="1" si="55"/>
        <v>15</v>
      </c>
      <c r="C304" s="63">
        <f t="shared" ca="1" si="56"/>
        <v>1</v>
      </c>
      <c r="D304" s="64">
        <f t="shared" ca="1" si="57"/>
        <v>8</v>
      </c>
      <c r="E304" s="64">
        <f t="shared" ca="1" si="58"/>
        <v>2</v>
      </c>
      <c r="F304" s="65"/>
      <c r="G304" s="73" t="s">
        <v>154</v>
      </c>
      <c r="H304" s="67" t="str">
        <f t="shared" ca="1" si="59"/>
        <v>15.001.008.002</v>
      </c>
      <c r="I304" s="74" t="s">
        <v>360</v>
      </c>
      <c r="J304" s="96">
        <v>4179.84</v>
      </c>
      <c r="K304" s="127" t="s">
        <v>183</v>
      </c>
      <c r="L304" s="115">
        <v>428655.13152000005</v>
      </c>
      <c r="M304" s="74"/>
    </row>
    <row r="305" spans="1:13" ht="20.45" customHeight="1" outlineLevel="1" x14ac:dyDescent="0.55000000000000004">
      <c r="A305" s="63">
        <f ca="1">IF($G305="UNIDADE CONSTRUTIVA",OFFSET(A305,0,0)+1,LARGE(A$3:A302,1))</f>
        <v>3</v>
      </c>
      <c r="B305" s="63">
        <f t="shared" ca="1" si="55"/>
        <v>15</v>
      </c>
      <c r="C305" s="63">
        <f t="shared" ca="1" si="56"/>
        <v>1</v>
      </c>
      <c r="D305" s="64">
        <f t="shared" ca="1" si="57"/>
        <v>9</v>
      </c>
      <c r="E305" s="64">
        <f t="shared" ca="1" si="58"/>
        <v>0</v>
      </c>
      <c r="F305" s="65"/>
      <c r="G305" s="73" t="s">
        <v>153</v>
      </c>
      <c r="H305" s="67" t="str">
        <f t="shared" ca="1" si="59"/>
        <v>15.001.009</v>
      </c>
      <c r="I305" s="74" t="s">
        <v>111</v>
      </c>
      <c r="J305" s="96"/>
      <c r="K305" s="127"/>
      <c r="L305" s="115">
        <f>L306</f>
        <v>531542.78580479999</v>
      </c>
      <c r="M305" s="74"/>
    </row>
    <row r="306" spans="1:13" ht="20.45" customHeight="1" outlineLevel="1" x14ac:dyDescent="0.55000000000000004">
      <c r="A306" s="63">
        <f ca="1">IF($G306="UNIDADE CONSTRUTIVA",OFFSET(A306,0,0)+1,LARGE(A$3:A303,1))</f>
        <v>3</v>
      </c>
      <c r="B306" s="63">
        <f t="shared" ca="1" si="55"/>
        <v>15</v>
      </c>
      <c r="C306" s="63">
        <f t="shared" ca="1" si="56"/>
        <v>1</v>
      </c>
      <c r="D306" s="64">
        <f t="shared" ca="1" si="57"/>
        <v>9</v>
      </c>
      <c r="E306" s="64">
        <f t="shared" ca="1" si="58"/>
        <v>1</v>
      </c>
      <c r="F306" s="65"/>
      <c r="G306" s="73" t="s">
        <v>154</v>
      </c>
      <c r="H306" s="67" t="str">
        <f t="shared" ca="1" si="59"/>
        <v>15.001.009.001</v>
      </c>
      <c r="I306" s="74" t="s">
        <v>361</v>
      </c>
      <c r="J306" s="96">
        <v>4930.8236159999997</v>
      </c>
      <c r="K306" s="127" t="s">
        <v>183</v>
      </c>
      <c r="L306" s="115">
        <v>531542.78580479999</v>
      </c>
      <c r="M306" s="74" t="s">
        <v>362</v>
      </c>
    </row>
    <row r="307" spans="1:13" ht="20.45" customHeight="1" outlineLevel="1" x14ac:dyDescent="0.55000000000000004">
      <c r="A307" s="63">
        <f ca="1">IF($G307="UNIDADE CONSTRUTIVA",OFFSET(A307,0,0)+1,LARGE(A$3:A305,1))</f>
        <v>3</v>
      </c>
      <c r="B307" s="63">
        <f t="shared" ref="B307:B462" ca="1" si="100">IF(G307="UNIDADE CONSTRUTIVA",0,IF(G307="CÉLULA CONSTRUTIVA",OFFSET(B307,-1,0)+1,OFFSET(B307,-1,0)))</f>
        <v>15</v>
      </c>
      <c r="C307" s="63">
        <f t="shared" ref="C307:C462" ca="1" si="101">IF(G307="CÉLULA CONSTRUTIVA",0,IF(G307="ETAPA",OFFSET(C307,-1,0)+1,OFFSET(C307,-1,0)))</f>
        <v>1</v>
      </c>
      <c r="D307" s="64">
        <f t="shared" ref="D307:D462" ca="1" si="102">IF(G307="ETAPA",0,IF(G307="SUBETAPA",OFFSET(D307,-1,0)+1,OFFSET(D307,-1,0)))</f>
        <v>10</v>
      </c>
      <c r="E307" s="64">
        <f t="shared" ref="E307:E462" ca="1" si="103">IF(G307="Subetapa",0,IF(G307="serviço",OFFSET(E307,-1,0)+1,OFFSET(E307,-1,0)))</f>
        <v>0</v>
      </c>
      <c r="F307" s="65"/>
      <c r="G307" s="73" t="s">
        <v>153</v>
      </c>
      <c r="H307" s="67" t="str">
        <f t="shared" ca="1" si="59"/>
        <v>15.001.010</v>
      </c>
      <c r="I307" s="74" t="s">
        <v>39</v>
      </c>
      <c r="J307" s="96"/>
      <c r="K307" s="127"/>
      <c r="L307" s="115">
        <f>SUM(L308:L315)</f>
        <v>1649733.6667372002</v>
      </c>
      <c r="M307" s="74"/>
    </row>
    <row r="308" spans="1:13" ht="20.45" customHeight="1" outlineLevel="1" x14ac:dyDescent="0.55000000000000004">
      <c r="A308" s="63">
        <f ca="1">IF($G308="UNIDADE CONSTRUTIVA",OFFSET(A308,0,0)+1,LARGE(A$3:A306,1))</f>
        <v>3</v>
      </c>
      <c r="B308" s="63">
        <f t="shared" ca="1" si="100"/>
        <v>15</v>
      </c>
      <c r="C308" s="63">
        <f t="shared" ca="1" si="101"/>
        <v>1</v>
      </c>
      <c r="D308" s="64">
        <f t="shared" ca="1" si="102"/>
        <v>10</v>
      </c>
      <c r="E308" s="64">
        <f t="shared" ca="1" si="103"/>
        <v>1</v>
      </c>
      <c r="F308" s="65"/>
      <c r="G308" s="73" t="s">
        <v>154</v>
      </c>
      <c r="H308" s="67" t="str">
        <f t="shared" ca="1" si="59"/>
        <v>15.001.010.001</v>
      </c>
      <c r="I308" s="74" t="s">
        <v>363</v>
      </c>
      <c r="J308" s="96">
        <v>12434.349700000002</v>
      </c>
      <c r="K308" s="127" t="s">
        <v>185</v>
      </c>
      <c r="L308" s="115">
        <v>889056.00355000026</v>
      </c>
      <c r="M308" s="74"/>
    </row>
    <row r="309" spans="1:13" ht="20.45" customHeight="1" outlineLevel="1" x14ac:dyDescent="0.55000000000000004">
      <c r="A309" s="63">
        <f ca="1">IF($G309="UNIDADE CONSTRUTIVA",OFFSET(A309,0,0)+1,LARGE(A$3:A307,1))</f>
        <v>3</v>
      </c>
      <c r="B309" s="63">
        <f t="shared" ca="1" si="100"/>
        <v>15</v>
      </c>
      <c r="C309" s="63">
        <f t="shared" ca="1" si="101"/>
        <v>1</v>
      </c>
      <c r="D309" s="64">
        <f t="shared" ca="1" si="102"/>
        <v>10</v>
      </c>
      <c r="E309" s="64">
        <f t="shared" ca="1" si="103"/>
        <v>2</v>
      </c>
      <c r="F309" s="65"/>
      <c r="G309" s="73" t="s">
        <v>154</v>
      </c>
      <c r="H309" s="67" t="str">
        <f t="shared" ca="1" si="59"/>
        <v>15.001.010.002</v>
      </c>
      <c r="I309" s="74" t="s">
        <v>365</v>
      </c>
      <c r="J309" s="96"/>
      <c r="K309" s="127" t="s">
        <v>185</v>
      </c>
      <c r="L309" s="115"/>
      <c r="M309" s="74"/>
    </row>
    <row r="310" spans="1:13" ht="20.45" customHeight="1" outlineLevel="1" x14ac:dyDescent="0.55000000000000004">
      <c r="A310" s="63">
        <f ca="1">IF($G310="UNIDADE CONSTRUTIVA",OFFSET(A310,0,0)+1,LARGE(A$3:A309,1))</f>
        <v>3</v>
      </c>
      <c r="B310" s="63">
        <f t="shared" ca="1" si="100"/>
        <v>15</v>
      </c>
      <c r="C310" s="63">
        <f t="shared" ca="1" si="101"/>
        <v>1</v>
      </c>
      <c r="D310" s="64">
        <f t="shared" ca="1" si="102"/>
        <v>10</v>
      </c>
      <c r="E310" s="64">
        <f t="shared" ca="1" si="103"/>
        <v>3</v>
      </c>
      <c r="F310" s="65"/>
      <c r="G310" s="73" t="s">
        <v>154</v>
      </c>
      <c r="H310" s="67" t="str">
        <f t="shared" ca="1" si="59"/>
        <v>15.001.010.003</v>
      </c>
      <c r="I310" s="74" t="s">
        <v>364</v>
      </c>
      <c r="J310" s="96">
        <v>7585.3143999999984</v>
      </c>
      <c r="K310" s="127" t="s">
        <v>185</v>
      </c>
      <c r="L310" s="115">
        <v>350441.52527999994</v>
      </c>
      <c r="M310" s="74"/>
    </row>
    <row r="311" spans="1:13" ht="20.45" customHeight="1" outlineLevel="1" x14ac:dyDescent="0.55000000000000004">
      <c r="A311" s="63">
        <f ca="1">IF($G311="UNIDADE CONSTRUTIVA",OFFSET(A311,0,0)+1,LARGE(A$3:A309,1))</f>
        <v>3</v>
      </c>
      <c r="B311" s="63">
        <f t="shared" ca="1" si="100"/>
        <v>15</v>
      </c>
      <c r="C311" s="63">
        <f t="shared" ca="1" si="101"/>
        <v>1</v>
      </c>
      <c r="D311" s="64">
        <f t="shared" ca="1" si="102"/>
        <v>10</v>
      </c>
      <c r="E311" s="64">
        <f t="shared" ca="1" si="103"/>
        <v>4</v>
      </c>
      <c r="F311" s="65"/>
      <c r="G311" s="73" t="s">
        <v>154</v>
      </c>
      <c r="H311" s="67" t="str">
        <f t="shared" ca="1" si="59"/>
        <v>15.001.010.004</v>
      </c>
      <c r="I311" s="74" t="s">
        <v>451</v>
      </c>
      <c r="J311" s="96">
        <v>427.5</v>
      </c>
      <c r="K311" s="127" t="s">
        <v>185</v>
      </c>
      <c r="L311" s="115">
        <v>22572.000000000004</v>
      </c>
      <c r="M311" s="74"/>
    </row>
    <row r="312" spans="1:13" ht="20.45" customHeight="1" outlineLevel="1" x14ac:dyDescent="0.55000000000000004">
      <c r="A312" s="63">
        <f ca="1">IF($G312="UNIDADE CONSTRUTIVA",OFFSET(A312,0,0)+1,LARGE(A$3:A309,1))</f>
        <v>3</v>
      </c>
      <c r="B312" s="63">
        <f t="shared" ca="1" si="100"/>
        <v>15</v>
      </c>
      <c r="C312" s="63">
        <f t="shared" ca="1" si="101"/>
        <v>1</v>
      </c>
      <c r="D312" s="64">
        <f t="shared" ca="1" si="102"/>
        <v>10</v>
      </c>
      <c r="E312" s="64">
        <f t="shared" ca="1" si="103"/>
        <v>5</v>
      </c>
      <c r="F312" s="65"/>
      <c r="G312" s="73" t="s">
        <v>154</v>
      </c>
      <c r="H312" s="67" t="str">
        <f t="shared" ca="1" si="59"/>
        <v>15.001.010.005</v>
      </c>
      <c r="I312" s="74" t="s">
        <v>366</v>
      </c>
      <c r="J312" s="96">
        <v>24.839999999999996</v>
      </c>
      <c r="K312" s="127" t="s">
        <v>185</v>
      </c>
      <c r="L312" s="115">
        <v>1147.6079999999997</v>
      </c>
      <c r="M312" s="74"/>
    </row>
    <row r="313" spans="1:13" ht="20.45" customHeight="1" outlineLevel="1" x14ac:dyDescent="0.55000000000000004">
      <c r="A313" s="63">
        <f ca="1">IF($G313="UNIDADE CONSTRUTIVA",OFFSET(A313,0,0)+1,LARGE(A$3:A310,1))</f>
        <v>3</v>
      </c>
      <c r="B313" s="63">
        <f t="shared" ca="1" si="100"/>
        <v>15</v>
      </c>
      <c r="C313" s="63">
        <f t="shared" ca="1" si="101"/>
        <v>1</v>
      </c>
      <c r="D313" s="64">
        <f t="shared" ca="1" si="102"/>
        <v>10</v>
      </c>
      <c r="E313" s="64">
        <f t="shared" ca="1" si="103"/>
        <v>6</v>
      </c>
      <c r="F313" s="65"/>
      <c r="G313" s="73" t="s">
        <v>154</v>
      </c>
      <c r="H313" s="67" t="str">
        <f t="shared" ca="1" si="59"/>
        <v>15.001.010.006</v>
      </c>
      <c r="I313" s="74" t="s">
        <v>452</v>
      </c>
      <c r="J313" s="96"/>
      <c r="K313" s="127" t="s">
        <v>185</v>
      </c>
      <c r="L313" s="115"/>
      <c r="M313" s="74"/>
    </row>
    <row r="314" spans="1:13" ht="20.45" customHeight="1" outlineLevel="1" x14ac:dyDescent="0.55000000000000004">
      <c r="A314" s="63">
        <f ca="1">IF($G314="UNIDADE CONSTRUTIVA",OFFSET(A314,0,0)+1,LARGE(A$3:A313,1))</f>
        <v>3</v>
      </c>
      <c r="B314" s="63">
        <f t="shared" ca="1" si="100"/>
        <v>15</v>
      </c>
      <c r="C314" s="63">
        <f t="shared" ca="1" si="101"/>
        <v>1</v>
      </c>
      <c r="D314" s="64">
        <f t="shared" ca="1" si="102"/>
        <v>10</v>
      </c>
      <c r="E314" s="64">
        <f t="shared" ca="1" si="103"/>
        <v>7</v>
      </c>
      <c r="F314" s="65"/>
      <c r="G314" s="73" t="s">
        <v>154</v>
      </c>
      <c r="H314" s="67" t="str">
        <f t="shared" ca="1" si="59"/>
        <v>15.001.010.007</v>
      </c>
      <c r="I314" s="74" t="s">
        <v>453</v>
      </c>
      <c r="J314" s="96">
        <v>13282.217279999997</v>
      </c>
      <c r="K314" s="127" t="s">
        <v>183</v>
      </c>
      <c r="L314" s="115">
        <v>321429.658176</v>
      </c>
      <c r="M314" s="74"/>
    </row>
    <row r="315" spans="1:13" ht="20.45" customHeight="1" outlineLevel="1" x14ac:dyDescent="0.55000000000000004">
      <c r="A315" s="63">
        <f ca="1">IF($G315="UNIDADE CONSTRUTIVA",OFFSET(A315,0,0)+1,LARGE(A$3:A314,1))</f>
        <v>3</v>
      </c>
      <c r="B315" s="63">
        <f t="shared" ca="1" si="100"/>
        <v>15</v>
      </c>
      <c r="C315" s="63">
        <f t="shared" ca="1" si="101"/>
        <v>1</v>
      </c>
      <c r="D315" s="64">
        <f t="shared" ca="1" si="102"/>
        <v>10</v>
      </c>
      <c r="E315" s="64">
        <f t="shared" ca="1" si="103"/>
        <v>8</v>
      </c>
      <c r="F315" s="65"/>
      <c r="G315" s="73" t="s">
        <v>154</v>
      </c>
      <c r="H315" s="67" t="str">
        <f t="shared" ca="1" si="59"/>
        <v>15.001.010.008</v>
      </c>
      <c r="I315" s="74" t="s">
        <v>367</v>
      </c>
      <c r="J315" s="96">
        <v>4930.8236159999997</v>
      </c>
      <c r="K315" s="127" t="s">
        <v>183</v>
      </c>
      <c r="L315" s="115">
        <v>65086.871731200001</v>
      </c>
      <c r="M315" s="74"/>
    </row>
    <row r="316" spans="1:13" ht="20.45" customHeight="1" x14ac:dyDescent="0.55000000000000004">
      <c r="A316" s="63">
        <f ca="1">IF($G316="UNIDADE CONSTRUTIVA",OFFSET(A316,0,0)+1,LARGE(A$3:A307,1))</f>
        <v>3</v>
      </c>
      <c r="B316" s="63">
        <f t="shared" ca="1" si="100"/>
        <v>16</v>
      </c>
      <c r="C316" s="63">
        <f t="shared" ca="1" si="101"/>
        <v>0</v>
      </c>
      <c r="D316" s="64">
        <f t="shared" ca="1" si="102"/>
        <v>10</v>
      </c>
      <c r="E316" s="64">
        <f t="shared" ca="1" si="103"/>
        <v>8</v>
      </c>
      <c r="F316" s="65"/>
      <c r="G316" s="71" t="s">
        <v>156</v>
      </c>
      <c r="H316" s="67" t="str">
        <f t="shared" ca="1" si="59"/>
        <v>16</v>
      </c>
      <c r="I316" s="72" t="s">
        <v>112</v>
      </c>
      <c r="J316" s="95"/>
      <c r="K316" s="112"/>
      <c r="L316" s="113">
        <f>L317</f>
        <v>3699799.5191454012</v>
      </c>
      <c r="M316" s="72"/>
    </row>
    <row r="317" spans="1:13" ht="20.45" customHeight="1" outlineLevel="1" x14ac:dyDescent="0.55000000000000004">
      <c r="A317" s="63">
        <f ca="1">IF($G317="UNIDADE CONSTRUTIVA",OFFSET(A317,0,0)+1,LARGE(A$3:A316,1))</f>
        <v>3</v>
      </c>
      <c r="B317" s="63">
        <f t="shared" ca="1" si="100"/>
        <v>16</v>
      </c>
      <c r="C317" s="63">
        <f t="shared" ca="1" si="101"/>
        <v>1</v>
      </c>
      <c r="D317" s="64">
        <f t="shared" ca="1" si="102"/>
        <v>0</v>
      </c>
      <c r="E317" s="64">
        <f t="shared" ca="1" si="103"/>
        <v>8</v>
      </c>
      <c r="F317" s="65"/>
      <c r="G317" s="71" t="s">
        <v>157</v>
      </c>
      <c r="H317" s="67" t="str">
        <f t="shared" ca="1" si="59"/>
        <v>16.001</v>
      </c>
      <c r="I317" s="80" t="s">
        <v>113</v>
      </c>
      <c r="J317" s="107"/>
      <c r="K317" s="138"/>
      <c r="L317" s="126">
        <f>SUM(L318:L334)/2</f>
        <v>3699799.5191454012</v>
      </c>
      <c r="M317" s="80"/>
    </row>
    <row r="318" spans="1:13" ht="20.45" customHeight="1" outlineLevel="1" x14ac:dyDescent="0.55000000000000004">
      <c r="A318" s="63">
        <f ca="1">IF($G318="UNIDADE CONSTRUTIVA",OFFSET(A318,0,0)+1,LARGE(A$3:A317,1))</f>
        <v>3</v>
      </c>
      <c r="B318" s="63">
        <f t="shared" ca="1" si="100"/>
        <v>16</v>
      </c>
      <c r="C318" s="63">
        <f t="shared" ca="1" si="101"/>
        <v>1</v>
      </c>
      <c r="D318" s="64">
        <f t="shared" ca="1" si="102"/>
        <v>1</v>
      </c>
      <c r="E318" s="64">
        <f t="shared" ca="1" si="103"/>
        <v>0</v>
      </c>
      <c r="F318" s="65"/>
      <c r="G318" s="73" t="s">
        <v>153</v>
      </c>
      <c r="H318" s="67" t="str">
        <f t="shared" ca="1" si="59"/>
        <v>16.001.001</v>
      </c>
      <c r="I318" s="74" t="s">
        <v>114</v>
      </c>
      <c r="J318" s="96"/>
      <c r="K318" s="114"/>
      <c r="L318" s="115">
        <f>SUM(L319:L320)</f>
        <v>70543.725999999995</v>
      </c>
      <c r="M318" s="74"/>
    </row>
    <row r="319" spans="1:13" outlineLevel="1" x14ac:dyDescent="0.55000000000000004">
      <c r="A319" s="63">
        <f ca="1">IF($G319="UNIDADE CONSTRUTIVA",OFFSET(A319,0,0)+1,LARGE(A$3:A317,1))</f>
        <v>3</v>
      </c>
      <c r="B319" s="63">
        <f t="shared" ca="1" si="100"/>
        <v>16</v>
      </c>
      <c r="C319" s="63">
        <f t="shared" ca="1" si="101"/>
        <v>1</v>
      </c>
      <c r="D319" s="64">
        <f t="shared" ca="1" si="102"/>
        <v>1</v>
      </c>
      <c r="E319" s="64">
        <f t="shared" ca="1" si="103"/>
        <v>1</v>
      </c>
      <c r="F319" s="65"/>
      <c r="G319" s="73" t="s">
        <v>154</v>
      </c>
      <c r="H319" s="67" t="str">
        <f t="shared" ca="1" si="59"/>
        <v>16.001.001.001</v>
      </c>
      <c r="I319" s="74" t="s">
        <v>303</v>
      </c>
      <c r="J319" s="96">
        <v>583.00599999999997</v>
      </c>
      <c r="K319" s="127" t="s">
        <v>185</v>
      </c>
      <c r="L319" s="115">
        <v>70543.725999999995</v>
      </c>
      <c r="M319" s="74" t="s">
        <v>623</v>
      </c>
    </row>
    <row r="320" spans="1:13" ht="20.45" customHeight="1" outlineLevel="1" x14ac:dyDescent="0.55000000000000004">
      <c r="A320" s="63">
        <f ca="1">IF($G320="UNIDADE CONSTRUTIVA",OFFSET(A320,0,0)+1,LARGE(A$3:A318,1))</f>
        <v>3</v>
      </c>
      <c r="B320" s="63">
        <f t="shared" ca="1" si="100"/>
        <v>16</v>
      </c>
      <c r="C320" s="63">
        <f t="shared" ca="1" si="101"/>
        <v>1</v>
      </c>
      <c r="D320" s="64">
        <f t="shared" ca="1" si="102"/>
        <v>1</v>
      </c>
      <c r="E320" s="64">
        <f t="shared" ca="1" si="103"/>
        <v>2</v>
      </c>
      <c r="F320" s="65"/>
      <c r="G320" s="73" t="s">
        <v>154</v>
      </c>
      <c r="H320" s="67" t="str">
        <f t="shared" ca="1" si="59"/>
        <v>16.001.001.002</v>
      </c>
      <c r="I320" s="74" t="s">
        <v>304</v>
      </c>
      <c r="J320" s="96"/>
      <c r="K320" s="127" t="s">
        <v>185</v>
      </c>
      <c r="L320" s="115"/>
      <c r="M320" s="74" t="s">
        <v>305</v>
      </c>
    </row>
    <row r="321" spans="1:13" ht="20.45" customHeight="1" outlineLevel="1" x14ac:dyDescent="0.55000000000000004">
      <c r="A321" s="63">
        <f ca="1">IF($G321="UNIDADE CONSTRUTIVA",OFFSET(A321,0,0)+1,LARGE(A$3:A317,1))</f>
        <v>3</v>
      </c>
      <c r="B321" s="63">
        <f t="shared" ca="1" si="100"/>
        <v>16</v>
      </c>
      <c r="C321" s="63">
        <f t="shared" ca="1" si="101"/>
        <v>1</v>
      </c>
      <c r="D321" s="64">
        <f t="shared" ca="1" si="102"/>
        <v>2</v>
      </c>
      <c r="E321" s="64">
        <f t="shared" ca="1" si="103"/>
        <v>0</v>
      </c>
      <c r="F321" s="65"/>
      <c r="G321" s="73" t="s">
        <v>153</v>
      </c>
      <c r="H321" s="67" t="str">
        <f t="shared" ca="1" si="59"/>
        <v>16.001.002</v>
      </c>
      <c r="I321" s="74" t="s">
        <v>115</v>
      </c>
      <c r="J321" s="96"/>
      <c r="K321" s="127"/>
      <c r="L321" s="115">
        <f>SUM(L322:L324)</f>
        <v>744070.28934920032</v>
      </c>
      <c r="M321" s="74"/>
    </row>
    <row r="322" spans="1:13" ht="20.45" customHeight="1" outlineLevel="1" x14ac:dyDescent="0.55000000000000004">
      <c r="A322" s="63">
        <f ca="1">IF($G322="UNIDADE CONSTRUTIVA",OFFSET(A322,0,0)+1,LARGE(A$3:A317,1))</f>
        <v>3</v>
      </c>
      <c r="B322" s="63">
        <f t="shared" ca="1" si="100"/>
        <v>16</v>
      </c>
      <c r="C322" s="63">
        <f t="shared" ca="1" si="101"/>
        <v>1</v>
      </c>
      <c r="D322" s="64">
        <f t="shared" ca="1" si="102"/>
        <v>2</v>
      </c>
      <c r="E322" s="64">
        <f t="shared" ca="1" si="103"/>
        <v>1</v>
      </c>
      <c r="F322" s="65"/>
      <c r="G322" s="73" t="s">
        <v>154</v>
      </c>
      <c r="H322" s="67" t="str">
        <f t="shared" ca="1" si="59"/>
        <v>16.001.002.001</v>
      </c>
      <c r="I322" s="74" t="s">
        <v>308</v>
      </c>
      <c r="J322" s="96">
        <v>54487.64380000002</v>
      </c>
      <c r="K322" s="127" t="s">
        <v>185</v>
      </c>
      <c r="L322" s="115">
        <v>667691.58712520031</v>
      </c>
      <c r="M322" s="74" t="s">
        <v>311</v>
      </c>
    </row>
    <row r="323" spans="1:13" ht="20.45" customHeight="1" outlineLevel="1" x14ac:dyDescent="0.55000000000000004">
      <c r="A323" s="63">
        <f ca="1">IF($G323="UNIDADE CONSTRUTIVA",OFFSET(A323,0,0)+1,LARGE(A$3:A318,1))</f>
        <v>3</v>
      </c>
      <c r="B323" s="63">
        <f t="shared" ca="1" si="100"/>
        <v>16</v>
      </c>
      <c r="C323" s="63">
        <f t="shared" ca="1" si="101"/>
        <v>1</v>
      </c>
      <c r="D323" s="64">
        <f t="shared" ca="1" si="102"/>
        <v>2</v>
      </c>
      <c r="E323" s="64">
        <f t="shared" ca="1" si="103"/>
        <v>2</v>
      </c>
      <c r="F323" s="65"/>
      <c r="G323" s="73" t="s">
        <v>154</v>
      </c>
      <c r="H323" s="67" t="str">
        <f t="shared" ca="1" si="59"/>
        <v>16.001.002.002</v>
      </c>
      <c r="I323" s="74" t="s">
        <v>309</v>
      </c>
      <c r="J323" s="96"/>
      <c r="K323" s="127" t="s">
        <v>185</v>
      </c>
      <c r="L323" s="115"/>
      <c r="M323" s="74" t="s">
        <v>311</v>
      </c>
    </row>
    <row r="324" spans="1:13" ht="20.45" customHeight="1" outlineLevel="1" x14ac:dyDescent="0.55000000000000004">
      <c r="A324" s="63">
        <f ca="1">IF($G324="UNIDADE CONSTRUTIVA",OFFSET(A324,0,0)+1,LARGE(A$3:A318,1))</f>
        <v>3</v>
      </c>
      <c r="B324" s="63">
        <f t="shared" ca="1" si="100"/>
        <v>16</v>
      </c>
      <c r="C324" s="63">
        <f t="shared" ca="1" si="101"/>
        <v>1</v>
      </c>
      <c r="D324" s="64">
        <f t="shared" ca="1" si="102"/>
        <v>2</v>
      </c>
      <c r="E324" s="64">
        <f t="shared" ca="1" si="103"/>
        <v>3</v>
      </c>
      <c r="F324" s="65"/>
      <c r="G324" s="73" t="s">
        <v>154</v>
      </c>
      <c r="H324" s="67" t="str">
        <f t="shared" ca="1" si="59"/>
        <v>16.001.002.003</v>
      </c>
      <c r="I324" s="74" t="s">
        <v>306</v>
      </c>
      <c r="J324" s="96">
        <v>8604.1120000000028</v>
      </c>
      <c r="K324" s="127" t="s">
        <v>185</v>
      </c>
      <c r="L324" s="115">
        <v>76378.702224000037</v>
      </c>
      <c r="M324" s="74" t="s">
        <v>305</v>
      </c>
    </row>
    <row r="325" spans="1:13" ht="20.45" customHeight="1" outlineLevel="1" x14ac:dyDescent="0.55000000000000004">
      <c r="A325" s="63">
        <f ca="1">IF($G325="UNIDADE CONSTRUTIVA",OFFSET(A325,0,0)+1,LARGE(A$3:A321,1))</f>
        <v>3</v>
      </c>
      <c r="B325" s="63">
        <f t="shared" ca="1" si="100"/>
        <v>16</v>
      </c>
      <c r="C325" s="63">
        <f t="shared" ca="1" si="101"/>
        <v>1</v>
      </c>
      <c r="D325" s="64">
        <f t="shared" ca="1" si="102"/>
        <v>3</v>
      </c>
      <c r="E325" s="64">
        <f t="shared" ca="1" si="103"/>
        <v>0</v>
      </c>
      <c r="F325" s="65"/>
      <c r="G325" s="73" t="s">
        <v>153</v>
      </c>
      <c r="H325" s="67" t="str">
        <f t="shared" ca="1" si="59"/>
        <v>16.001.003</v>
      </c>
      <c r="I325" s="74" t="s">
        <v>116</v>
      </c>
      <c r="J325" s="96"/>
      <c r="K325" s="127"/>
      <c r="L325" s="115">
        <f>SUM(L326:L327)</f>
        <v>193070.20781620007</v>
      </c>
      <c r="M325" s="74"/>
    </row>
    <row r="326" spans="1:13" ht="20.45" customHeight="1" outlineLevel="1" x14ac:dyDescent="0.55000000000000004">
      <c r="A326" s="63">
        <f ca="1">IF($G326="UNIDADE CONSTRUTIVA",OFFSET(A326,0,0)+1,LARGE(A$3:A323,1))</f>
        <v>3</v>
      </c>
      <c r="B326" s="63">
        <f t="shared" ca="1" si="100"/>
        <v>16</v>
      </c>
      <c r="C326" s="63">
        <f t="shared" ca="1" si="101"/>
        <v>1</v>
      </c>
      <c r="D326" s="64">
        <f t="shared" ca="1" si="102"/>
        <v>3</v>
      </c>
      <c r="E326" s="64">
        <f t="shared" ca="1" si="103"/>
        <v>1</v>
      </c>
      <c r="F326" s="65"/>
      <c r="G326" s="73" t="s">
        <v>154</v>
      </c>
      <c r="H326" s="67" t="str">
        <f t="shared" ca="1" si="59"/>
        <v>16.001.003.001</v>
      </c>
      <c r="I326" s="74" t="s">
        <v>310</v>
      </c>
      <c r="J326" s="96">
        <v>14653.235300000004</v>
      </c>
      <c r="K326" s="127" t="s">
        <v>185</v>
      </c>
      <c r="L326" s="115">
        <v>179560.74536620008</v>
      </c>
      <c r="M326" s="74" t="s">
        <v>311</v>
      </c>
    </row>
    <row r="327" spans="1:13" ht="20.45" customHeight="1" outlineLevel="1" x14ac:dyDescent="0.55000000000000004">
      <c r="A327" s="63">
        <f ca="1">IF($G327="UNIDADE CONSTRUTIVA",OFFSET(A327,0,0)+1,LARGE(A$3:A324,1))</f>
        <v>3</v>
      </c>
      <c r="B327" s="63">
        <f t="shared" ca="1" si="100"/>
        <v>16</v>
      </c>
      <c r="C327" s="63">
        <f t="shared" ca="1" si="101"/>
        <v>1</v>
      </c>
      <c r="D327" s="64">
        <f t="shared" ca="1" si="102"/>
        <v>3</v>
      </c>
      <c r="E327" s="64">
        <f t="shared" ca="1" si="103"/>
        <v>2</v>
      </c>
      <c r="F327" s="65"/>
      <c r="G327" s="73" t="s">
        <v>154</v>
      </c>
      <c r="H327" s="67" t="str">
        <f t="shared" ca="1" si="59"/>
        <v>16.001.003.002</v>
      </c>
      <c r="I327" s="74" t="s">
        <v>307</v>
      </c>
      <c r="J327" s="96">
        <v>1521.8499999999997</v>
      </c>
      <c r="K327" s="127" t="s">
        <v>185</v>
      </c>
      <c r="L327" s="115">
        <v>13509.462449999999</v>
      </c>
      <c r="M327" s="74" t="s">
        <v>305</v>
      </c>
    </row>
    <row r="328" spans="1:13" ht="20.45" customHeight="1" outlineLevel="1" x14ac:dyDescent="0.55000000000000004">
      <c r="A328" s="63">
        <f ca="1">IF($G328="UNIDADE CONSTRUTIVA",OFFSET(A328,0,0)+1,LARGE(A$3:A327,1))</f>
        <v>3</v>
      </c>
      <c r="B328" s="63">
        <f t="shared" ca="1" si="100"/>
        <v>16</v>
      </c>
      <c r="C328" s="63">
        <f t="shared" ca="1" si="101"/>
        <v>1</v>
      </c>
      <c r="D328" s="64">
        <f t="shared" ca="1" si="102"/>
        <v>4</v>
      </c>
      <c r="E328" s="64">
        <f t="shared" ca="1" si="103"/>
        <v>0</v>
      </c>
      <c r="F328" s="65"/>
      <c r="G328" s="73" t="s">
        <v>153</v>
      </c>
      <c r="H328" s="67" t="str">
        <f t="shared" ca="1" si="59"/>
        <v>16.001.004</v>
      </c>
      <c r="I328" s="74" t="s">
        <v>39</v>
      </c>
      <c r="J328" s="96"/>
      <c r="K328" s="127"/>
      <c r="L328" s="115">
        <f>SUM(L329:L334)</f>
        <v>2692115.2959800013</v>
      </c>
      <c r="M328" s="74"/>
    </row>
    <row r="329" spans="1:13" ht="20.45" customHeight="1" outlineLevel="1" x14ac:dyDescent="0.55000000000000004">
      <c r="A329" s="63">
        <f ca="1">IF($G329="UNIDADE CONSTRUTIVA",OFFSET(A329,0,0)+1,LARGE(A$3:A324,1))</f>
        <v>3</v>
      </c>
      <c r="B329" s="63">
        <f t="shared" ca="1" si="100"/>
        <v>16</v>
      </c>
      <c r="C329" s="63">
        <f t="shared" ca="1" si="101"/>
        <v>1</v>
      </c>
      <c r="D329" s="64">
        <f t="shared" ca="1" si="102"/>
        <v>4</v>
      </c>
      <c r="E329" s="64">
        <f t="shared" ca="1" si="103"/>
        <v>1</v>
      </c>
      <c r="F329" s="65"/>
      <c r="G329" s="73" t="s">
        <v>154</v>
      </c>
      <c r="H329" s="67" t="str">
        <f t="shared" ref="H329:H336" ca="1" si="104">IF(G329="Unidade Construtiva",TEXT(A329,"00"),IF(G329="Célula Construtiva",TEXT(B329,"00"),IF(G329="Etapa",CONCATENATE(TEXT(B329,"00"),".",TEXT(C329,"000")),IF(G329="Subetapa",CONCATENATE(TEXT(B329,"00"),".",TEXT(C329,"000"),".",TEXT(D329,"000")),IF(G329="Serviço",CONCATENATE(TEXT(B329,"00"),".",TEXT(C329,"000"),".",TEXT(D329,"000"),".",TEXT(E329,"000")),"")))))</f>
        <v>16.001.004.001</v>
      </c>
      <c r="I329" s="74" t="s">
        <v>312</v>
      </c>
      <c r="J329" s="96"/>
      <c r="K329" s="127" t="s">
        <v>185</v>
      </c>
      <c r="L329" s="115"/>
      <c r="M329" s="74"/>
    </row>
    <row r="330" spans="1:13" ht="20.45" customHeight="1" outlineLevel="1" x14ac:dyDescent="0.55000000000000004">
      <c r="A330" s="63">
        <f ca="1">IF($G330="UNIDADE CONSTRUTIVA",OFFSET(A330,0,0)+1,LARGE(A$3:A325,1))</f>
        <v>3</v>
      </c>
      <c r="B330" s="63">
        <f t="shared" ca="1" si="100"/>
        <v>16</v>
      </c>
      <c r="C330" s="63">
        <f t="shared" ca="1" si="101"/>
        <v>1</v>
      </c>
      <c r="D330" s="64">
        <f t="shared" ca="1" si="102"/>
        <v>4</v>
      </c>
      <c r="E330" s="64">
        <f t="shared" ca="1" si="103"/>
        <v>2</v>
      </c>
      <c r="F330" s="65"/>
      <c r="G330" s="73" t="s">
        <v>154</v>
      </c>
      <c r="H330" s="67" t="str">
        <f t="shared" ca="1" si="104"/>
        <v>16.001.004.002</v>
      </c>
      <c r="I330" s="74" t="s">
        <v>313</v>
      </c>
      <c r="J330" s="96"/>
      <c r="K330" s="127" t="s">
        <v>185</v>
      </c>
      <c r="L330" s="115"/>
      <c r="M330" s="74"/>
    </row>
    <row r="331" spans="1:13" ht="20.45" customHeight="1" outlineLevel="1" x14ac:dyDescent="0.55000000000000004">
      <c r="A331" s="63">
        <f ca="1">IF($G331="UNIDADE CONSTRUTIVA",OFFSET(A331,0,0)+1,LARGE(A$3:A324,1))</f>
        <v>3</v>
      </c>
      <c r="B331" s="63">
        <f t="shared" ca="1" si="100"/>
        <v>16</v>
      </c>
      <c r="C331" s="63">
        <f t="shared" ca="1" si="101"/>
        <v>1</v>
      </c>
      <c r="D331" s="64">
        <f t="shared" ca="1" si="102"/>
        <v>4</v>
      </c>
      <c r="E331" s="64">
        <f t="shared" ca="1" si="103"/>
        <v>3</v>
      </c>
      <c r="F331" s="65"/>
      <c r="G331" s="73" t="s">
        <v>154</v>
      </c>
      <c r="H331" s="67" t="str">
        <f t="shared" ca="1" si="104"/>
        <v>16.001.004.003</v>
      </c>
      <c r="I331" s="74" t="s">
        <v>314</v>
      </c>
      <c r="J331" s="96">
        <v>54487.64380000002</v>
      </c>
      <c r="K331" s="127" t="s">
        <v>185</v>
      </c>
      <c r="L331" s="115">
        <v>1917965.0617600009</v>
      </c>
      <c r="M331" s="74"/>
    </row>
    <row r="332" spans="1:13" ht="20.45" customHeight="1" outlineLevel="1" x14ac:dyDescent="0.55000000000000004">
      <c r="A332" s="63">
        <f ca="1">IF($G332="UNIDADE CONSTRUTIVA",OFFSET(A332,0,0)+1,LARGE(A$3:A325,1))</f>
        <v>3</v>
      </c>
      <c r="B332" s="63">
        <f t="shared" ca="1" si="100"/>
        <v>16</v>
      </c>
      <c r="C332" s="63">
        <f t="shared" ca="1" si="101"/>
        <v>1</v>
      </c>
      <c r="D332" s="64">
        <f t="shared" ca="1" si="102"/>
        <v>4</v>
      </c>
      <c r="E332" s="64">
        <f t="shared" ca="1" si="103"/>
        <v>4</v>
      </c>
      <c r="F332" s="65"/>
      <c r="G332" s="73" t="s">
        <v>154</v>
      </c>
      <c r="H332" s="67" t="str">
        <f t="shared" ca="1" si="104"/>
        <v>16.001.004.004</v>
      </c>
      <c r="I332" s="74" t="s">
        <v>315</v>
      </c>
      <c r="J332" s="96">
        <v>8604.1120000000028</v>
      </c>
      <c r="K332" s="127" t="s">
        <v>185</v>
      </c>
      <c r="L332" s="115">
        <v>189290.46400000007</v>
      </c>
      <c r="M332" s="74"/>
    </row>
    <row r="333" spans="1:13" ht="20.45" customHeight="1" outlineLevel="1" x14ac:dyDescent="0.55000000000000004">
      <c r="A333" s="63">
        <f ca="1">IF($G333="UNIDADE CONSTRUTIVA",OFFSET(A333,0,0)+1,LARGE(A$3:A326,1))</f>
        <v>3</v>
      </c>
      <c r="B333" s="63">
        <f t="shared" ca="1" si="100"/>
        <v>16</v>
      </c>
      <c r="C333" s="63">
        <f t="shared" ca="1" si="101"/>
        <v>1</v>
      </c>
      <c r="D333" s="64">
        <f t="shared" ca="1" si="102"/>
        <v>4</v>
      </c>
      <c r="E333" s="64">
        <f t="shared" ca="1" si="103"/>
        <v>5</v>
      </c>
      <c r="F333" s="65"/>
      <c r="G333" s="73" t="s">
        <v>154</v>
      </c>
      <c r="H333" s="67" t="str">
        <f t="shared" ca="1" si="104"/>
        <v>16.001.004.005</v>
      </c>
      <c r="I333" s="74" t="s">
        <v>316</v>
      </c>
      <c r="J333" s="96">
        <v>14653.235300000004</v>
      </c>
      <c r="K333" s="127" t="s">
        <v>185</v>
      </c>
      <c r="L333" s="115">
        <v>548031.00022000016</v>
      </c>
      <c r="M333" s="74"/>
    </row>
    <row r="334" spans="1:13" ht="20.45" customHeight="1" outlineLevel="1" x14ac:dyDescent="0.55000000000000004">
      <c r="A334" s="63">
        <f ca="1">IF($G334="UNIDADE CONSTRUTIVA",OFFSET(A334,0,0)+1,LARGE(A$3:A327,1))</f>
        <v>3</v>
      </c>
      <c r="B334" s="63">
        <f t="shared" ca="1" si="100"/>
        <v>16</v>
      </c>
      <c r="C334" s="63">
        <f t="shared" ca="1" si="101"/>
        <v>1</v>
      </c>
      <c r="D334" s="64">
        <f t="shared" ca="1" si="102"/>
        <v>4</v>
      </c>
      <c r="E334" s="64">
        <f t="shared" ca="1" si="103"/>
        <v>6</v>
      </c>
      <c r="F334" s="65"/>
      <c r="G334" s="73" t="s">
        <v>154</v>
      </c>
      <c r="H334" s="67" t="str">
        <f t="shared" ca="1" si="104"/>
        <v>16.001.004.006</v>
      </c>
      <c r="I334" s="74" t="s">
        <v>317</v>
      </c>
      <c r="J334" s="96">
        <v>1521.8499999999997</v>
      </c>
      <c r="K334" s="127" t="s">
        <v>185</v>
      </c>
      <c r="L334" s="115">
        <v>36828.76999999999</v>
      </c>
      <c r="M334" s="74"/>
    </row>
    <row r="335" spans="1:13" ht="20.45" customHeight="1" x14ac:dyDescent="0.55000000000000004">
      <c r="A335" s="63">
        <f ca="1">IF($G335="UNIDADE CONSTRUTIVA",OFFSET(A335,0,0)+1,LARGE(A$3:A334,1))</f>
        <v>3</v>
      </c>
      <c r="B335" s="63">
        <f t="shared" ca="1" si="100"/>
        <v>17</v>
      </c>
      <c r="C335" s="63">
        <f t="shared" ca="1" si="101"/>
        <v>0</v>
      </c>
      <c r="D335" s="64">
        <f t="shared" ca="1" si="102"/>
        <v>4</v>
      </c>
      <c r="E335" s="64">
        <f t="shared" ca="1" si="103"/>
        <v>6</v>
      </c>
      <c r="F335" s="65"/>
      <c r="G335" s="71" t="s">
        <v>156</v>
      </c>
      <c r="H335" s="67" t="str">
        <f t="shared" ca="1" si="104"/>
        <v>17</v>
      </c>
      <c r="I335" s="72" t="s">
        <v>117</v>
      </c>
      <c r="J335" s="95"/>
      <c r="K335" s="112"/>
      <c r="L335" s="113">
        <f>L336+L357+L372</f>
        <v>17129486.265701953</v>
      </c>
      <c r="M335" s="72"/>
    </row>
    <row r="336" spans="1:13" ht="20.45" customHeight="1" outlineLevel="1" x14ac:dyDescent="0.55000000000000004">
      <c r="A336" s="63">
        <f ca="1">IF($G336="UNIDADE CONSTRUTIVA",OFFSET(A336,0,0)+1,LARGE(A$3:A335,1))</f>
        <v>3</v>
      </c>
      <c r="B336" s="63">
        <f t="shared" ca="1" si="100"/>
        <v>17</v>
      </c>
      <c r="C336" s="63">
        <f t="shared" ca="1" si="101"/>
        <v>1</v>
      </c>
      <c r="D336" s="64">
        <f t="shared" ca="1" si="102"/>
        <v>0</v>
      </c>
      <c r="E336" s="64">
        <f t="shared" ca="1" si="103"/>
        <v>6</v>
      </c>
      <c r="F336" s="65"/>
      <c r="G336" s="71" t="s">
        <v>157</v>
      </c>
      <c r="H336" s="67" t="str">
        <f t="shared" ca="1" si="104"/>
        <v>17.001</v>
      </c>
      <c r="I336" s="79" t="s">
        <v>239</v>
      </c>
      <c r="J336" s="106"/>
      <c r="K336" s="137"/>
      <c r="L336" s="132">
        <f>SUM(L337:L356)/2</f>
        <v>14557684.205035284</v>
      </c>
      <c r="M336" s="79"/>
    </row>
    <row r="337" spans="1:13" ht="20.45" customHeight="1" outlineLevel="1" x14ac:dyDescent="0.55000000000000004">
      <c r="A337" s="63">
        <f ca="1">IF($G337="UNIDADE CONSTRUTIVA",OFFSET(A337,0,0)+1,LARGE(A$3:A336,1))</f>
        <v>3</v>
      </c>
      <c r="B337" s="63">
        <f t="shared" ca="1" si="100"/>
        <v>17</v>
      </c>
      <c r="C337" s="63">
        <f t="shared" ca="1" si="101"/>
        <v>1</v>
      </c>
      <c r="D337" s="64">
        <f t="shared" ca="1" si="102"/>
        <v>1</v>
      </c>
      <c r="E337" s="64">
        <f t="shared" ca="1" si="103"/>
        <v>0</v>
      </c>
      <c r="F337" s="65"/>
      <c r="G337" s="73" t="s">
        <v>153</v>
      </c>
      <c r="H337" s="67" t="str">
        <f ca="1">IF(G337="Unidade Construtiva",TEXT(A337,"00"),IF(G337="Célula Construtiva",TEXT(B337,"00"),IF(G337="Etapa",CONCATENATE(TEXT(B337,"00"),".",TEXT(C337,"000")),IF(G337="Subetapa",CONCATENATE(TEXT(B337,"00"),".",TEXT(C337,"000"),".",TEXT(D337,"000")),IF(G337="Serviço",CONCATENATE(TEXT(B337,"00"),".",TEXT(C337,"000"),".",TEXT(D337,"000"),".",TEXT(E337,"000")),"")))))</f>
        <v>17.001.001</v>
      </c>
      <c r="I337" s="74" t="s">
        <v>118</v>
      </c>
      <c r="J337" s="96"/>
      <c r="K337" s="114"/>
      <c r="L337" s="115">
        <f>L338</f>
        <v>343641.51224092802</v>
      </c>
      <c r="M337" s="74"/>
    </row>
    <row r="338" spans="1:13" ht="20.45" customHeight="1" outlineLevel="1" x14ac:dyDescent="0.55000000000000004">
      <c r="A338" s="63">
        <f ca="1">IF($G338="UNIDADE CONSTRUTIVA",OFFSET(A338,0,0)+1,LARGE(A$3:A337,1))</f>
        <v>3</v>
      </c>
      <c r="B338" s="63">
        <f t="shared" ca="1" si="100"/>
        <v>17</v>
      </c>
      <c r="C338" s="63">
        <f t="shared" ca="1" si="101"/>
        <v>1</v>
      </c>
      <c r="D338" s="64">
        <f t="shared" ca="1" si="102"/>
        <v>1</v>
      </c>
      <c r="E338" s="64">
        <f t="shared" ca="1" si="103"/>
        <v>1</v>
      </c>
      <c r="F338" s="65"/>
      <c r="G338" s="73" t="s">
        <v>154</v>
      </c>
      <c r="H338" s="67" t="str">
        <f t="shared" ref="H338" ca="1" si="105">IF(G338="Unidade Construtiva",TEXT(A338,"00"),IF(G338="Célula Construtiva",TEXT(B338,"00"),IF(G338="Etapa",CONCATENATE(TEXT(B338,"00"),".",TEXT(C338,"000")),IF(G338="Subetapa",CONCATENATE(TEXT(B338,"00"),".",TEXT(C338,"000"),".",TEXT(D338,"000")),IF(G338="Serviço",CONCATENATE(TEXT(B338,"00"),".",TEXT(C338,"000"),".",TEXT(D338,"000"),".",TEXT(E338,"000")),"")))))</f>
        <v>17.001.001.001</v>
      </c>
      <c r="I338" s="74" t="s">
        <v>118</v>
      </c>
      <c r="J338" s="96">
        <v>7096.8054240000001</v>
      </c>
      <c r="K338" s="114" t="s">
        <v>183</v>
      </c>
      <c r="L338" s="115">
        <v>343641.51224092802</v>
      </c>
      <c r="M338" s="74"/>
    </row>
    <row r="339" spans="1:13" ht="20.45" customHeight="1" outlineLevel="1" x14ac:dyDescent="0.55000000000000004">
      <c r="A339" s="63">
        <f ca="1">IF($G339="UNIDADE CONSTRUTIVA",OFFSET(A339,0,0)+1,LARGE(A$3:A338,1))</f>
        <v>3</v>
      </c>
      <c r="B339" s="63">
        <f t="shared" ca="1" si="100"/>
        <v>17</v>
      </c>
      <c r="C339" s="63">
        <f t="shared" ca="1" si="101"/>
        <v>1</v>
      </c>
      <c r="D339" s="64">
        <f t="shared" ca="1" si="102"/>
        <v>2</v>
      </c>
      <c r="E339" s="64">
        <f t="shared" ca="1" si="103"/>
        <v>0</v>
      </c>
      <c r="F339" s="65"/>
      <c r="G339" s="73" t="s">
        <v>153</v>
      </c>
      <c r="H339" s="67" t="str">
        <f ca="1">IF(G339="Unidade Construtiva",TEXT(A339,"00"),IF(G339="Célula Construtiva",TEXT(B339,"00"),IF(G339="Etapa",CONCATENATE(TEXT(B339,"00"),".",TEXT(C339,"000")),IF(G339="Subetapa",CONCATENATE(TEXT(B339,"00"),".",TEXT(C339,"000"),".",TEXT(D339,"000")),IF(G339="Serviço",CONCATENATE(TEXT(B339,"00"),".",TEXT(C339,"000"),".",TEXT(D339,"000"),".",TEXT(E339,"000")),"")))))</f>
        <v>17.001.002</v>
      </c>
      <c r="I339" s="74" t="s">
        <v>242</v>
      </c>
      <c r="J339" s="96"/>
      <c r="K339" s="114"/>
      <c r="L339" s="115">
        <f>SUM(L340:L342)</f>
        <v>11114269.544533562</v>
      </c>
      <c r="M339" s="74"/>
    </row>
    <row r="340" spans="1:13" ht="20.45" customHeight="1" outlineLevel="1" x14ac:dyDescent="0.55000000000000004">
      <c r="A340" s="63">
        <f ca="1">IF($G340="UNIDADE CONSTRUTIVA",OFFSET(A340,0,0)+1,LARGE(A$3:A339,1))</f>
        <v>3</v>
      </c>
      <c r="B340" s="63">
        <f t="shared" ca="1" si="100"/>
        <v>17</v>
      </c>
      <c r="C340" s="63">
        <f t="shared" ca="1" si="101"/>
        <v>1</v>
      </c>
      <c r="D340" s="64">
        <f t="shared" ca="1" si="102"/>
        <v>2</v>
      </c>
      <c r="E340" s="64">
        <f t="shared" ca="1" si="103"/>
        <v>1</v>
      </c>
      <c r="F340" s="65"/>
      <c r="G340" s="73" t="s">
        <v>154</v>
      </c>
      <c r="H340" s="67" t="str">
        <f t="shared" ref="H340:H342" ca="1" si="106">IF(G340="Unidade Construtiva",TEXT(A340,"00"),IF(G340="Célula Construtiva",TEXT(B340,"00"),IF(G340="Etapa",CONCATENATE(TEXT(B340,"00"),".",TEXT(C340,"000")),IF(G340="Subetapa",CONCATENATE(TEXT(B340,"00"),".",TEXT(C340,"000"),".",TEXT(D340,"000")),IF(G340="Serviço",CONCATENATE(TEXT(B340,"00"),".",TEXT(C340,"000"),".",TEXT(D340,"000"),".",TEXT(E340,"000")),"")))))</f>
        <v>17.001.002.001</v>
      </c>
      <c r="I340" s="74" t="s">
        <v>243</v>
      </c>
      <c r="J340" s="96"/>
      <c r="K340" s="127" t="s">
        <v>185</v>
      </c>
      <c r="L340" s="115"/>
      <c r="M340" s="74" t="s">
        <v>244</v>
      </c>
    </row>
    <row r="341" spans="1:13" ht="20.45" customHeight="1" outlineLevel="1" x14ac:dyDescent="0.55000000000000004">
      <c r="A341" s="63">
        <f ca="1">IF($G341="UNIDADE CONSTRUTIVA",OFFSET(A341,0,0)+1,LARGE(A$3:A340,1))</f>
        <v>3</v>
      </c>
      <c r="B341" s="63">
        <f t="shared" ca="1" si="100"/>
        <v>17</v>
      </c>
      <c r="C341" s="63">
        <f t="shared" ca="1" si="101"/>
        <v>1</v>
      </c>
      <c r="D341" s="64">
        <f t="shared" ca="1" si="102"/>
        <v>2</v>
      </c>
      <c r="E341" s="64">
        <f t="shared" ca="1" si="103"/>
        <v>2</v>
      </c>
      <c r="F341" s="65"/>
      <c r="G341" s="73" t="s">
        <v>154</v>
      </c>
      <c r="H341" s="67" t="str">
        <f t="shared" ca="1" si="106"/>
        <v>17.001.002.002</v>
      </c>
      <c r="I341" s="74" t="s">
        <v>245</v>
      </c>
      <c r="J341" s="128">
        <f>[7]ESQUADRIAS!$D$12+[7]ESQUADRIAS!$D$13</f>
        <v>5801.3645200000001</v>
      </c>
      <c r="K341" s="127" t="s">
        <v>185</v>
      </c>
      <c r="L341" s="115">
        <f>[7]ESQUADRIAS!$G$12+[7]ESQUADRIAS!$G$13</f>
        <v>11114269.544533562</v>
      </c>
      <c r="M341" s="74" t="s">
        <v>246</v>
      </c>
    </row>
    <row r="342" spans="1:13" ht="20.45" customHeight="1" outlineLevel="1" x14ac:dyDescent="0.55000000000000004">
      <c r="A342" s="63">
        <f ca="1">IF($G342="UNIDADE CONSTRUTIVA",OFFSET(A342,0,0)+1,LARGE(A$3:A341,1))</f>
        <v>3</v>
      </c>
      <c r="B342" s="63">
        <f t="shared" ca="1" si="100"/>
        <v>17</v>
      </c>
      <c r="C342" s="63">
        <f t="shared" ca="1" si="101"/>
        <v>1</v>
      </c>
      <c r="D342" s="64">
        <f t="shared" ca="1" si="102"/>
        <v>2</v>
      </c>
      <c r="E342" s="64">
        <f t="shared" ca="1" si="103"/>
        <v>3</v>
      </c>
      <c r="F342" s="65"/>
      <c r="G342" s="73" t="s">
        <v>154</v>
      </c>
      <c r="H342" s="67" t="str">
        <f t="shared" ca="1" si="106"/>
        <v>17.001.002.003</v>
      </c>
      <c r="I342" s="74" t="s">
        <v>461</v>
      </c>
      <c r="J342" s="96"/>
      <c r="K342" s="127" t="s">
        <v>185</v>
      </c>
      <c r="L342" s="115"/>
      <c r="M342" s="74" t="s">
        <v>244</v>
      </c>
    </row>
    <row r="343" spans="1:13" ht="20.45" customHeight="1" outlineLevel="1" x14ac:dyDescent="0.55000000000000004">
      <c r="A343" s="63">
        <f ca="1">IF($G343="UNIDADE CONSTRUTIVA",OFFSET(A343,0,0)+1,LARGE(A$3:A342,1))</f>
        <v>3</v>
      </c>
      <c r="B343" s="63">
        <f t="shared" ca="1" si="100"/>
        <v>17</v>
      </c>
      <c r="C343" s="63">
        <f t="shared" ca="1" si="101"/>
        <v>1</v>
      </c>
      <c r="D343" s="64">
        <f t="shared" ca="1" si="102"/>
        <v>3</v>
      </c>
      <c r="E343" s="64">
        <f t="shared" ca="1" si="103"/>
        <v>0</v>
      </c>
      <c r="F343" s="65"/>
      <c r="G343" s="73" t="s">
        <v>153</v>
      </c>
      <c r="H343" s="67" t="str">
        <f ca="1">IF(G343="Unidade Construtiva",TEXT(A343,"00"),IF(G343="Célula Construtiva",TEXT(B343,"00"),IF(G343="Etapa",CONCATENATE(TEXT(B343,"00"),".",TEXT(C343,"000")),IF(G343="Subetapa",CONCATENATE(TEXT(B343,"00"),".",TEXT(C343,"000"),".",TEXT(D343,"000")),IF(G343="Serviço",CONCATENATE(TEXT(B343,"00"),".",TEXT(C343,"000"),".",TEXT(D343,"000"),".",TEXT(E343,"000")),"")))))</f>
        <v>17.001.003</v>
      </c>
      <c r="I343" s="74" t="s">
        <v>462</v>
      </c>
      <c r="J343" s="96"/>
      <c r="K343" s="114"/>
      <c r="L343" s="115">
        <f>SUM(L344:L345)</f>
        <v>87120</v>
      </c>
      <c r="M343" s="74"/>
    </row>
    <row r="344" spans="1:13" ht="20.45" customHeight="1" outlineLevel="1" x14ac:dyDescent="0.55000000000000004">
      <c r="A344" s="63">
        <f ca="1">IF($G344="UNIDADE CONSTRUTIVA",OFFSET(A344,0,0)+1,LARGE(A$3:A343,1))</f>
        <v>3</v>
      </c>
      <c r="B344" s="63">
        <f t="shared" ca="1" si="100"/>
        <v>17</v>
      </c>
      <c r="C344" s="63">
        <f t="shared" ca="1" si="101"/>
        <v>1</v>
      </c>
      <c r="D344" s="64">
        <f t="shared" ca="1" si="102"/>
        <v>3</v>
      </c>
      <c r="E344" s="64">
        <f t="shared" ca="1" si="103"/>
        <v>1</v>
      </c>
      <c r="F344" s="65"/>
      <c r="G344" s="73" t="s">
        <v>154</v>
      </c>
      <c r="H344" s="67" t="str">
        <f t="shared" ref="H344:H407" ca="1" si="107">IF(G344="Unidade Construtiva",TEXT(A344,"00"),IF(G344="Célula Construtiva",TEXT(B344,"00"),IF(G344="Etapa",CONCATENATE(TEXT(B344,"00"),".",TEXT(C344,"000")),IF(G344="Subetapa",CONCATENATE(TEXT(B344,"00"),".",TEXT(C344,"000"),".",TEXT(D344,"000")),IF(G344="Serviço",CONCATENATE(TEXT(B344,"00"),".",TEXT(C344,"000"),".",TEXT(D344,"000"),".",TEXT(E344,"000")),"")))))</f>
        <v>17.001.003.001</v>
      </c>
      <c r="I344" s="74" t="s">
        <v>463</v>
      </c>
      <c r="J344" s="96">
        <v>1</v>
      </c>
      <c r="K344" s="127" t="s">
        <v>184</v>
      </c>
      <c r="L344" s="115">
        <v>19800</v>
      </c>
      <c r="M344" s="74"/>
    </row>
    <row r="345" spans="1:13" ht="20.45" customHeight="1" outlineLevel="1" x14ac:dyDescent="0.55000000000000004">
      <c r="A345" s="63">
        <f ca="1">IF($G345="UNIDADE CONSTRUTIVA",OFFSET(A345,0,0)+1,LARGE(A$3:A344,1))</f>
        <v>3</v>
      </c>
      <c r="B345" s="63">
        <f t="shared" ca="1" si="100"/>
        <v>17</v>
      </c>
      <c r="C345" s="63">
        <f t="shared" ca="1" si="101"/>
        <v>1</v>
      </c>
      <c r="D345" s="64">
        <f t="shared" ca="1" si="102"/>
        <v>3</v>
      </c>
      <c r="E345" s="64">
        <f t="shared" ca="1" si="103"/>
        <v>2</v>
      </c>
      <c r="F345" s="65"/>
      <c r="G345" s="73" t="s">
        <v>154</v>
      </c>
      <c r="H345" s="67" t="str">
        <f t="shared" ca="1" si="107"/>
        <v>17.001.003.002</v>
      </c>
      <c r="I345" s="74" t="s">
        <v>466</v>
      </c>
      <c r="J345" s="96">
        <v>72</v>
      </c>
      <c r="K345" s="127" t="s">
        <v>184</v>
      </c>
      <c r="L345" s="115">
        <v>67320</v>
      </c>
      <c r="M345" s="74"/>
    </row>
    <row r="346" spans="1:13" ht="20.45" customHeight="1" outlineLevel="1" x14ac:dyDescent="0.55000000000000004">
      <c r="A346" s="63">
        <f ca="1">IF($G346="UNIDADE CONSTRUTIVA",OFFSET(A346,0,0)+1,LARGE(A$3:A339,1))</f>
        <v>3</v>
      </c>
      <c r="B346" s="63">
        <f t="shared" ca="1" si="100"/>
        <v>17</v>
      </c>
      <c r="C346" s="63">
        <f t="shared" ca="1" si="101"/>
        <v>1</v>
      </c>
      <c r="D346" s="64">
        <f t="shared" ca="1" si="102"/>
        <v>4</v>
      </c>
      <c r="E346" s="64">
        <f t="shared" ca="1" si="103"/>
        <v>0</v>
      </c>
      <c r="F346" s="65"/>
      <c r="G346" s="73" t="s">
        <v>153</v>
      </c>
      <c r="H346" s="67" t="str">
        <f t="shared" ca="1" si="107"/>
        <v>17.001.004</v>
      </c>
      <c r="I346" s="74" t="s">
        <v>119</v>
      </c>
      <c r="J346" s="96"/>
      <c r="K346" s="114"/>
      <c r="L346" s="115">
        <f>SUM(L347:L350)</f>
        <v>2687486.4169999976</v>
      </c>
      <c r="M346" s="74"/>
    </row>
    <row r="347" spans="1:13" ht="20.45" customHeight="1" outlineLevel="1" x14ac:dyDescent="0.55000000000000004">
      <c r="A347" s="63">
        <f ca="1">IF($G347="UNIDADE CONSTRUTIVA",OFFSET(A347,0,0)+1,LARGE(A$3:A340,1))</f>
        <v>3</v>
      </c>
      <c r="B347" s="63">
        <f t="shared" ca="1" si="100"/>
        <v>17</v>
      </c>
      <c r="C347" s="63">
        <f t="shared" ca="1" si="101"/>
        <v>1</v>
      </c>
      <c r="D347" s="64">
        <f t="shared" ca="1" si="102"/>
        <v>4</v>
      </c>
      <c r="E347" s="64">
        <f t="shared" ca="1" si="103"/>
        <v>1</v>
      </c>
      <c r="F347" s="65"/>
      <c r="G347" s="73" t="s">
        <v>154</v>
      </c>
      <c r="H347" s="67" t="str">
        <f t="shared" ca="1" si="107"/>
        <v>17.001.004.001</v>
      </c>
      <c r="I347" s="74" t="s">
        <v>247</v>
      </c>
      <c r="J347" s="96">
        <v>223.43</v>
      </c>
      <c r="K347" s="114" t="s">
        <v>183</v>
      </c>
      <c r="L347" s="115">
        <v>256832.78500000003</v>
      </c>
      <c r="M347" s="74" t="s">
        <v>624</v>
      </c>
    </row>
    <row r="348" spans="1:13" ht="20.45" customHeight="1" outlineLevel="1" x14ac:dyDescent="0.55000000000000004">
      <c r="A348" s="63">
        <f ca="1">IF($G348="UNIDADE CONSTRUTIVA",OFFSET(A348,0,0)+1,LARGE(A$3:A341,1))</f>
        <v>3</v>
      </c>
      <c r="B348" s="63">
        <f t="shared" ca="1" si="100"/>
        <v>17</v>
      </c>
      <c r="C348" s="63">
        <f t="shared" ca="1" si="101"/>
        <v>1</v>
      </c>
      <c r="D348" s="64">
        <f t="shared" ca="1" si="102"/>
        <v>4</v>
      </c>
      <c r="E348" s="64">
        <f t="shared" ca="1" si="103"/>
        <v>2</v>
      </c>
      <c r="F348" s="65"/>
      <c r="G348" s="73" t="s">
        <v>154</v>
      </c>
      <c r="H348" s="67" t="str">
        <f t="shared" ca="1" si="107"/>
        <v>17.001.004.002</v>
      </c>
      <c r="I348" s="74" t="s">
        <v>506</v>
      </c>
      <c r="J348" s="96">
        <v>904.61999999999989</v>
      </c>
      <c r="K348" s="114" t="s">
        <v>183</v>
      </c>
      <c r="L348" s="115">
        <v>2430653.6319999974</v>
      </c>
      <c r="M348" s="74"/>
    </row>
    <row r="349" spans="1:13" ht="20.45" customHeight="1" outlineLevel="1" x14ac:dyDescent="0.55000000000000004">
      <c r="A349" s="63">
        <f ca="1">IF($G349="UNIDADE CONSTRUTIVA",OFFSET(A349,0,0)+1,LARGE(A$3:A342,1))</f>
        <v>3</v>
      </c>
      <c r="B349" s="63">
        <f t="shared" ca="1" si="100"/>
        <v>17</v>
      </c>
      <c r="C349" s="63">
        <f t="shared" ca="1" si="101"/>
        <v>1</v>
      </c>
      <c r="D349" s="64">
        <f t="shared" ca="1" si="102"/>
        <v>4</v>
      </c>
      <c r="E349" s="64">
        <f t="shared" ca="1" si="103"/>
        <v>3</v>
      </c>
      <c r="F349" s="65"/>
      <c r="G349" s="73" t="s">
        <v>154</v>
      </c>
      <c r="H349" s="67" t="str">
        <f t="shared" ca="1" si="107"/>
        <v>17.001.004.003</v>
      </c>
      <c r="I349" s="74" t="s">
        <v>507</v>
      </c>
      <c r="J349" s="96"/>
      <c r="K349" s="127"/>
      <c r="L349" s="115"/>
      <c r="M349" s="74"/>
    </row>
    <row r="350" spans="1:13" ht="20.45" customHeight="1" outlineLevel="1" x14ac:dyDescent="0.55000000000000004">
      <c r="A350" s="63">
        <f ca="1">IF($G350="UNIDADE CONSTRUTIVA",OFFSET(A350,0,0)+1,LARGE(A$3:A342,1))</f>
        <v>3</v>
      </c>
      <c r="B350" s="63">
        <f t="shared" ca="1" si="100"/>
        <v>17</v>
      </c>
      <c r="C350" s="63">
        <f t="shared" ca="1" si="101"/>
        <v>1</v>
      </c>
      <c r="D350" s="64">
        <f t="shared" ca="1" si="102"/>
        <v>4</v>
      </c>
      <c r="E350" s="64">
        <f t="shared" ca="1" si="103"/>
        <v>4</v>
      </c>
      <c r="F350" s="65"/>
      <c r="G350" s="73" t="s">
        <v>154</v>
      </c>
      <c r="H350" s="67" t="str">
        <f t="shared" ca="1" si="107"/>
        <v>17.001.004.004</v>
      </c>
      <c r="I350" s="74" t="s">
        <v>473</v>
      </c>
      <c r="J350" s="96"/>
      <c r="K350" s="127"/>
      <c r="L350" s="115"/>
      <c r="M350" s="74"/>
    </row>
    <row r="351" spans="1:13" ht="20.45" customHeight="1" outlineLevel="1" x14ac:dyDescent="0.55000000000000004">
      <c r="A351" s="63">
        <f ca="1">IF($G351="UNIDADE CONSTRUTIVA",OFFSET(A351,0,0)+1,LARGE(A$3:A345,1))</f>
        <v>3</v>
      </c>
      <c r="B351" s="63">
        <f t="shared" ca="1" si="100"/>
        <v>17</v>
      </c>
      <c r="C351" s="63">
        <f t="shared" ca="1" si="101"/>
        <v>1</v>
      </c>
      <c r="D351" s="64">
        <f t="shared" ca="1" si="102"/>
        <v>5</v>
      </c>
      <c r="E351" s="64">
        <f t="shared" ca="1" si="103"/>
        <v>0</v>
      </c>
      <c r="F351" s="65"/>
      <c r="G351" s="73" t="s">
        <v>153</v>
      </c>
      <c r="H351" s="67" t="str">
        <f t="shared" ca="1" si="107"/>
        <v>17.001.005</v>
      </c>
      <c r="I351" s="74" t="s">
        <v>510</v>
      </c>
      <c r="J351" s="96"/>
      <c r="K351" s="114"/>
      <c r="L351" s="115">
        <f>L352</f>
        <v>17129.64</v>
      </c>
      <c r="M351" s="74"/>
    </row>
    <row r="352" spans="1:13" ht="20.45" customHeight="1" outlineLevel="1" x14ac:dyDescent="0.55000000000000004">
      <c r="A352" s="63">
        <f ca="1">IF($G352="UNIDADE CONSTRUTIVA",OFFSET(A352,0,0)+1,LARGE(A$3:A346,1))</f>
        <v>3</v>
      </c>
      <c r="B352" s="63">
        <f t="shared" ca="1" si="100"/>
        <v>17</v>
      </c>
      <c r="C352" s="63">
        <f t="shared" ca="1" si="101"/>
        <v>1</v>
      </c>
      <c r="D352" s="64">
        <f t="shared" ca="1" si="102"/>
        <v>5</v>
      </c>
      <c r="E352" s="64">
        <f t="shared" ca="1" si="103"/>
        <v>1</v>
      </c>
      <c r="F352" s="65"/>
      <c r="G352" s="73" t="s">
        <v>154</v>
      </c>
      <c r="H352" s="67" t="str">
        <f t="shared" ca="1" si="107"/>
        <v>17.001.005.001</v>
      </c>
      <c r="I352" s="74" t="s">
        <v>511</v>
      </c>
      <c r="J352" s="96">
        <v>103.816</v>
      </c>
      <c r="K352" s="127" t="s">
        <v>248</v>
      </c>
      <c r="L352" s="115">
        <v>17129.64</v>
      </c>
      <c r="M352" s="74"/>
    </row>
    <row r="353" spans="1:13" ht="20.45" customHeight="1" outlineLevel="1" x14ac:dyDescent="0.55000000000000004">
      <c r="A353" s="63">
        <f ca="1">IF($G353="UNIDADE CONSTRUTIVA",OFFSET(A353,0,0)+1,LARGE(A$3:A346,1))</f>
        <v>3</v>
      </c>
      <c r="B353" s="63">
        <f t="shared" ca="1" si="100"/>
        <v>17</v>
      </c>
      <c r="C353" s="63">
        <f t="shared" ca="1" si="101"/>
        <v>1</v>
      </c>
      <c r="D353" s="64">
        <f t="shared" ca="1" si="102"/>
        <v>6</v>
      </c>
      <c r="E353" s="64">
        <f t="shared" ca="1" si="103"/>
        <v>0</v>
      </c>
      <c r="F353" s="65"/>
      <c r="G353" s="73" t="s">
        <v>153</v>
      </c>
      <c r="H353" s="67" t="str">
        <f t="shared" ca="1" si="107"/>
        <v>17.001.006</v>
      </c>
      <c r="I353" s="74" t="s">
        <v>120</v>
      </c>
      <c r="J353" s="96"/>
      <c r="K353" s="114"/>
      <c r="L353" s="115">
        <f>L354</f>
        <v>136294.39999999999</v>
      </c>
      <c r="M353" s="74"/>
    </row>
    <row r="354" spans="1:13" ht="20.45" customHeight="1" outlineLevel="1" x14ac:dyDescent="0.55000000000000004">
      <c r="A354" s="63">
        <f ca="1">IF($G354="UNIDADE CONSTRUTIVA",OFFSET(A354,0,0)+1,LARGE(A$3:A347,1))</f>
        <v>3</v>
      </c>
      <c r="B354" s="63">
        <f t="shared" ca="1" si="100"/>
        <v>17</v>
      </c>
      <c r="C354" s="63">
        <f t="shared" ca="1" si="101"/>
        <v>1</v>
      </c>
      <c r="D354" s="64">
        <f t="shared" ca="1" si="102"/>
        <v>6</v>
      </c>
      <c r="E354" s="64">
        <f t="shared" ca="1" si="103"/>
        <v>1</v>
      </c>
      <c r="F354" s="65"/>
      <c r="G354" s="73" t="s">
        <v>154</v>
      </c>
      <c r="H354" s="67" t="str">
        <f t="shared" ca="1" si="107"/>
        <v>17.001.006.001</v>
      </c>
      <c r="I354" s="74" t="s">
        <v>120</v>
      </c>
      <c r="J354" s="128">
        <f>[7]ESQUADRIAS!$D$14</f>
        <v>112.63999999999999</v>
      </c>
      <c r="K354" s="127" t="s">
        <v>185</v>
      </c>
      <c r="L354" s="115">
        <f>[7]ESQUADRIAS!$G$14</f>
        <v>136294.39999999999</v>
      </c>
      <c r="M354" s="74"/>
    </row>
    <row r="355" spans="1:13" ht="20.45" customHeight="1" outlineLevel="1" x14ac:dyDescent="0.55000000000000004">
      <c r="A355" s="63">
        <f ca="1">IF($G355="UNIDADE CONSTRUTIVA",OFFSET(A355,0,0)+1,LARGE(A$3:A353,1))</f>
        <v>3</v>
      </c>
      <c r="B355" s="63">
        <f t="shared" ca="1" si="100"/>
        <v>17</v>
      </c>
      <c r="C355" s="63">
        <f t="shared" ca="1" si="101"/>
        <v>1</v>
      </c>
      <c r="D355" s="64">
        <f t="shared" ca="1" si="102"/>
        <v>7</v>
      </c>
      <c r="E355" s="64">
        <f t="shared" ca="1" si="103"/>
        <v>0</v>
      </c>
      <c r="F355" s="65"/>
      <c r="G355" s="73" t="s">
        <v>153</v>
      </c>
      <c r="H355" s="67" t="str">
        <f t="shared" ca="1" si="107"/>
        <v>17.001.007</v>
      </c>
      <c r="I355" s="76" t="s">
        <v>39</v>
      </c>
      <c r="J355" s="98"/>
      <c r="K355" s="118"/>
      <c r="L355" s="119">
        <f>L356</f>
        <v>171742.69126080003</v>
      </c>
      <c r="M355" s="76"/>
    </row>
    <row r="356" spans="1:13" ht="20.45" customHeight="1" outlineLevel="1" x14ac:dyDescent="0.55000000000000004">
      <c r="A356" s="63">
        <f ca="1">IF($G356="UNIDADE CONSTRUTIVA",OFFSET(A356,0,0)+1,LARGE(A$3:A355,1))</f>
        <v>3</v>
      </c>
      <c r="B356" s="63">
        <f t="shared" ca="1" si="100"/>
        <v>17</v>
      </c>
      <c r="C356" s="63">
        <f t="shared" ca="1" si="101"/>
        <v>1</v>
      </c>
      <c r="D356" s="64">
        <f t="shared" ca="1" si="102"/>
        <v>7</v>
      </c>
      <c r="E356" s="64">
        <f t="shared" ca="1" si="103"/>
        <v>1</v>
      </c>
      <c r="F356" s="65"/>
      <c r="G356" s="73" t="s">
        <v>154</v>
      </c>
      <c r="H356" s="67" t="str">
        <f t="shared" ca="1" si="107"/>
        <v>17.001.007.001</v>
      </c>
      <c r="I356" s="76" t="s">
        <v>241</v>
      </c>
      <c r="J356" s="96">
        <v>7096.8054240000001</v>
      </c>
      <c r="K356" s="121" t="s">
        <v>183</v>
      </c>
      <c r="L356" s="119">
        <v>171742.69126080003</v>
      </c>
      <c r="M356" s="76"/>
    </row>
    <row r="357" spans="1:13" ht="20.45" customHeight="1" outlineLevel="1" x14ac:dyDescent="0.55000000000000004">
      <c r="A357" s="63">
        <f ca="1">IF($G357="UNIDADE CONSTRUTIVA",OFFSET(A357,0,0)+1,LARGE(A$3:A356,1))</f>
        <v>3</v>
      </c>
      <c r="B357" s="63">
        <f t="shared" ca="1" si="100"/>
        <v>17</v>
      </c>
      <c r="C357" s="63">
        <f t="shared" ca="1" si="101"/>
        <v>2</v>
      </c>
      <c r="D357" s="64">
        <f t="shared" ca="1" si="102"/>
        <v>0</v>
      </c>
      <c r="E357" s="64">
        <f t="shared" ca="1" si="103"/>
        <v>1</v>
      </c>
      <c r="F357" s="65"/>
      <c r="G357" s="71" t="s">
        <v>157</v>
      </c>
      <c r="H357" s="67" t="str">
        <f t="shared" ca="1" si="107"/>
        <v>17.002</v>
      </c>
      <c r="I357" s="79" t="s">
        <v>121</v>
      </c>
      <c r="J357" s="106"/>
      <c r="K357" s="137"/>
      <c r="L357" s="132">
        <f>SUM(L358:L371)/2</f>
        <v>2170113.2566666673</v>
      </c>
      <c r="M357" s="79"/>
    </row>
    <row r="358" spans="1:13" ht="20.45" customHeight="1" outlineLevel="1" x14ac:dyDescent="0.55000000000000004">
      <c r="A358" s="63">
        <f ca="1">IF($G358="UNIDADE CONSTRUTIVA",OFFSET(A358,0,0)+1,LARGE(A$3:A357,1))</f>
        <v>3</v>
      </c>
      <c r="B358" s="63">
        <f t="shared" ca="1" si="100"/>
        <v>17</v>
      </c>
      <c r="C358" s="63">
        <f t="shared" ca="1" si="101"/>
        <v>2</v>
      </c>
      <c r="D358" s="64">
        <f t="shared" ca="1" si="102"/>
        <v>1</v>
      </c>
      <c r="E358" s="64">
        <f t="shared" ca="1" si="103"/>
        <v>0</v>
      </c>
      <c r="F358" s="65"/>
      <c r="G358" s="73" t="s">
        <v>153</v>
      </c>
      <c r="H358" s="67" t="str">
        <f t="shared" ca="1" si="107"/>
        <v>17.002.001</v>
      </c>
      <c r="I358" s="74" t="s">
        <v>122</v>
      </c>
      <c r="J358" s="96"/>
      <c r="K358" s="114"/>
      <c r="L358" s="115">
        <f>SUM(L359:L361)</f>
        <v>1955690.0000000002</v>
      </c>
      <c r="M358" s="74"/>
    </row>
    <row r="359" spans="1:13" ht="20.45" customHeight="1" outlineLevel="1" x14ac:dyDescent="0.55000000000000004">
      <c r="A359" s="63">
        <f ca="1">IF($G359="UNIDADE CONSTRUTIVA",OFFSET(A359,0,0)+1,LARGE(A$3:A357,1))</f>
        <v>3</v>
      </c>
      <c r="B359" s="63">
        <f t="shared" ca="1" si="100"/>
        <v>17</v>
      </c>
      <c r="C359" s="63">
        <f t="shared" ca="1" si="101"/>
        <v>2</v>
      </c>
      <c r="D359" s="64">
        <f t="shared" ca="1" si="102"/>
        <v>1</v>
      </c>
      <c r="E359" s="64">
        <f t="shared" ca="1" si="103"/>
        <v>1</v>
      </c>
      <c r="F359" s="65"/>
      <c r="G359" s="73" t="s">
        <v>154</v>
      </c>
      <c r="H359" s="67" t="str">
        <f t="shared" ca="1" si="107"/>
        <v>17.002.001.001</v>
      </c>
      <c r="I359" s="74" t="s">
        <v>468</v>
      </c>
      <c r="J359" s="96"/>
      <c r="K359" s="127" t="s">
        <v>184</v>
      </c>
      <c r="L359" s="115"/>
      <c r="M359" s="74" t="s">
        <v>249</v>
      </c>
    </row>
    <row r="360" spans="1:13" ht="20.45" customHeight="1" outlineLevel="1" x14ac:dyDescent="0.55000000000000004">
      <c r="A360" s="63">
        <f ca="1">IF($G360="UNIDADE CONSTRUTIVA",OFFSET(A360,0,0)+1,LARGE(A$3:A358,1))</f>
        <v>3</v>
      </c>
      <c r="B360" s="63">
        <f t="shared" ca="1" si="100"/>
        <v>17</v>
      </c>
      <c r="C360" s="63">
        <f t="shared" ca="1" si="101"/>
        <v>2</v>
      </c>
      <c r="D360" s="64">
        <f t="shared" ca="1" si="102"/>
        <v>1</v>
      </c>
      <c r="E360" s="64">
        <f t="shared" ca="1" si="103"/>
        <v>2</v>
      </c>
      <c r="F360" s="65"/>
      <c r="G360" s="73" t="s">
        <v>154</v>
      </c>
      <c r="H360" s="67" t="str">
        <f t="shared" ca="1" si="107"/>
        <v>17.002.001.002</v>
      </c>
      <c r="I360" s="74" t="s">
        <v>470</v>
      </c>
      <c r="J360" s="96">
        <v>773</v>
      </c>
      <c r="K360" s="127" t="s">
        <v>184</v>
      </c>
      <c r="L360" s="115">
        <v>1955690.0000000002</v>
      </c>
      <c r="M360" s="74" t="s">
        <v>249</v>
      </c>
    </row>
    <row r="361" spans="1:13" outlineLevel="1" x14ac:dyDescent="0.55000000000000004">
      <c r="A361" s="63">
        <f ca="1">IF($G361="UNIDADE CONSTRUTIVA",OFFSET(A361,0,0)+1,LARGE(A$3:A358,1))</f>
        <v>3</v>
      </c>
      <c r="B361" s="63">
        <f t="shared" ca="1" si="100"/>
        <v>17</v>
      </c>
      <c r="C361" s="63">
        <f t="shared" ca="1" si="101"/>
        <v>2</v>
      </c>
      <c r="D361" s="64">
        <f t="shared" ca="1" si="102"/>
        <v>1</v>
      </c>
      <c r="E361" s="64">
        <f t="shared" ca="1" si="103"/>
        <v>3</v>
      </c>
      <c r="F361" s="65"/>
      <c r="G361" s="73" t="s">
        <v>154</v>
      </c>
      <c r="H361" s="67" t="str">
        <f t="shared" ca="1" si="107"/>
        <v>17.002.001.003</v>
      </c>
      <c r="I361" s="74" t="s">
        <v>469</v>
      </c>
      <c r="J361" s="96"/>
      <c r="K361" s="127" t="s">
        <v>184</v>
      </c>
      <c r="L361" s="115"/>
      <c r="M361" s="74" t="s">
        <v>250</v>
      </c>
    </row>
    <row r="362" spans="1:13" ht="20.45" customHeight="1" outlineLevel="1" x14ac:dyDescent="0.55000000000000004">
      <c r="A362" s="63">
        <f ca="1">IF($G362="UNIDADE CONSTRUTIVA",OFFSET(A362,0,0)+1,LARGE(A$3:A358,1))</f>
        <v>3</v>
      </c>
      <c r="B362" s="63">
        <f t="shared" ca="1" si="100"/>
        <v>17</v>
      </c>
      <c r="C362" s="63">
        <f t="shared" ca="1" si="101"/>
        <v>2</v>
      </c>
      <c r="D362" s="64">
        <f t="shared" ca="1" si="102"/>
        <v>2</v>
      </c>
      <c r="E362" s="64">
        <f t="shared" ca="1" si="103"/>
        <v>0</v>
      </c>
      <c r="F362" s="65"/>
      <c r="G362" s="73" t="s">
        <v>153</v>
      </c>
      <c r="H362" s="67" t="str">
        <f t="shared" ca="1" si="107"/>
        <v>17.002.002</v>
      </c>
      <c r="I362" s="74" t="s">
        <v>123</v>
      </c>
      <c r="J362" s="96"/>
      <c r="K362" s="114"/>
      <c r="L362" s="115">
        <f>L363</f>
        <v>0</v>
      </c>
      <c r="M362" s="74"/>
    </row>
    <row r="363" spans="1:13" ht="20.45" customHeight="1" outlineLevel="1" x14ac:dyDescent="0.55000000000000004">
      <c r="A363" s="63">
        <f ca="1">IF($G363="UNIDADE CONSTRUTIVA",OFFSET(A363,0,0)+1,LARGE(A$3:A359,1))</f>
        <v>3</v>
      </c>
      <c r="B363" s="63">
        <f t="shared" ca="1" si="100"/>
        <v>17</v>
      </c>
      <c r="C363" s="63">
        <f t="shared" ca="1" si="101"/>
        <v>2</v>
      </c>
      <c r="D363" s="64">
        <f t="shared" ca="1" si="102"/>
        <v>2</v>
      </c>
      <c r="E363" s="64">
        <f t="shared" ca="1" si="103"/>
        <v>1</v>
      </c>
      <c r="F363" s="65"/>
      <c r="G363" s="73" t="s">
        <v>154</v>
      </c>
      <c r="H363" s="67" t="str">
        <f t="shared" ca="1" si="107"/>
        <v>17.002.002.001</v>
      </c>
      <c r="I363" s="74" t="s">
        <v>123</v>
      </c>
      <c r="J363" s="96"/>
      <c r="K363" s="114"/>
      <c r="L363" s="115"/>
      <c r="M363" s="74" t="s">
        <v>251</v>
      </c>
    </row>
    <row r="364" spans="1:13" ht="20.45" customHeight="1" outlineLevel="1" x14ac:dyDescent="0.55000000000000004">
      <c r="A364" s="63">
        <f ca="1">IF($G364="UNIDADE CONSTRUTIVA",OFFSET(A364,0,0)+1,LARGE(A$3:A362,1))</f>
        <v>3</v>
      </c>
      <c r="B364" s="63">
        <f t="shared" ca="1" si="100"/>
        <v>17</v>
      </c>
      <c r="C364" s="63">
        <f t="shared" ca="1" si="101"/>
        <v>2</v>
      </c>
      <c r="D364" s="64">
        <f t="shared" ca="1" si="102"/>
        <v>3</v>
      </c>
      <c r="E364" s="64">
        <f t="shared" ca="1" si="103"/>
        <v>0</v>
      </c>
      <c r="F364" s="65"/>
      <c r="G364" s="73" t="s">
        <v>153</v>
      </c>
      <c r="H364" s="67" t="str">
        <f t="shared" ca="1" si="107"/>
        <v>17.002.003</v>
      </c>
      <c r="I364" s="74" t="s">
        <v>124</v>
      </c>
      <c r="J364" s="96"/>
      <c r="K364" s="114"/>
      <c r="L364" s="115">
        <f>SUM(L365:L368)</f>
        <v>95381.256666666668</v>
      </c>
      <c r="M364" s="74"/>
    </row>
    <row r="365" spans="1:13" ht="20.45" customHeight="1" outlineLevel="1" x14ac:dyDescent="0.55000000000000004">
      <c r="A365" s="63">
        <f ca="1">IF($G365="UNIDADE CONSTRUTIVA",OFFSET(A365,0,0)+1,LARGE(A$3:A363,1))</f>
        <v>3</v>
      </c>
      <c r="B365" s="63">
        <f t="shared" ca="1" si="100"/>
        <v>17</v>
      </c>
      <c r="C365" s="63">
        <f t="shared" ca="1" si="101"/>
        <v>2</v>
      </c>
      <c r="D365" s="64">
        <f t="shared" ca="1" si="102"/>
        <v>3</v>
      </c>
      <c r="E365" s="64">
        <f t="shared" ca="1" si="103"/>
        <v>1</v>
      </c>
      <c r="F365" s="65"/>
      <c r="G365" s="73" t="s">
        <v>154</v>
      </c>
      <c r="H365" s="67" t="str">
        <f t="shared" ca="1" si="107"/>
        <v>17.002.003.001</v>
      </c>
      <c r="I365" s="74" t="s">
        <v>124</v>
      </c>
      <c r="J365" s="96"/>
      <c r="K365" s="127"/>
      <c r="L365" s="115"/>
      <c r="M365" s="74"/>
    </row>
    <row r="366" spans="1:13" ht="20.45" customHeight="1" outlineLevel="1" x14ac:dyDescent="0.55000000000000004">
      <c r="A366" s="63">
        <f ca="1">IF($G366="UNIDADE CONSTRUTIVA",OFFSET(A366,0,0)+1,LARGE(A$3:A364,1))</f>
        <v>3</v>
      </c>
      <c r="B366" s="63">
        <f t="shared" ca="1" si="100"/>
        <v>17</v>
      </c>
      <c r="C366" s="63">
        <f t="shared" ca="1" si="101"/>
        <v>2</v>
      </c>
      <c r="D366" s="64">
        <f t="shared" ca="1" si="102"/>
        <v>3</v>
      </c>
      <c r="E366" s="64">
        <f t="shared" ca="1" si="103"/>
        <v>2</v>
      </c>
      <c r="F366" s="65"/>
      <c r="G366" s="73" t="s">
        <v>154</v>
      </c>
      <c r="H366" s="67" t="str">
        <f t="shared" ca="1" si="107"/>
        <v>17.002.003.002</v>
      </c>
      <c r="I366" s="74" t="s">
        <v>472</v>
      </c>
      <c r="J366" s="96"/>
      <c r="K366" s="127"/>
      <c r="L366" s="115"/>
      <c r="M366" s="74"/>
    </row>
    <row r="367" spans="1:13" ht="20.45" customHeight="1" outlineLevel="1" x14ac:dyDescent="0.55000000000000004">
      <c r="A367" s="63">
        <f ca="1">IF($G367="UNIDADE CONSTRUTIVA",OFFSET(A367,0,0)+1,LARGE(A$3:A364,1))</f>
        <v>3</v>
      </c>
      <c r="B367" s="63">
        <f t="shared" ca="1" si="100"/>
        <v>17</v>
      </c>
      <c r="C367" s="63">
        <f t="shared" ca="1" si="101"/>
        <v>2</v>
      </c>
      <c r="D367" s="64">
        <f t="shared" ca="1" si="102"/>
        <v>3</v>
      </c>
      <c r="E367" s="64">
        <f t="shared" ca="1" si="103"/>
        <v>3</v>
      </c>
      <c r="F367" s="65"/>
      <c r="G367" s="73" t="s">
        <v>154</v>
      </c>
      <c r="H367" s="67" t="str">
        <f t="shared" ca="1" si="107"/>
        <v>17.002.003.003</v>
      </c>
      <c r="I367" s="74" t="s">
        <v>254</v>
      </c>
      <c r="J367" s="96">
        <v>60</v>
      </c>
      <c r="K367" s="127" t="s">
        <v>184</v>
      </c>
      <c r="L367" s="115">
        <v>95381.256666666668</v>
      </c>
      <c r="M367" s="74" t="s">
        <v>255</v>
      </c>
    </row>
    <row r="368" spans="1:13" ht="20.45" customHeight="1" outlineLevel="1" x14ac:dyDescent="0.55000000000000004">
      <c r="A368" s="63">
        <f ca="1">IF($G368="UNIDADE CONSTRUTIVA",OFFSET(A368,0,0)+1,LARGE(A$3:A365,1))</f>
        <v>3</v>
      </c>
      <c r="B368" s="63">
        <f t="shared" ca="1" si="100"/>
        <v>17</v>
      </c>
      <c r="C368" s="63">
        <f t="shared" ca="1" si="101"/>
        <v>2</v>
      </c>
      <c r="D368" s="64">
        <f t="shared" ca="1" si="102"/>
        <v>3</v>
      </c>
      <c r="E368" s="64">
        <f t="shared" ca="1" si="103"/>
        <v>4</v>
      </c>
      <c r="F368" s="65"/>
      <c r="G368" s="73" t="s">
        <v>154</v>
      </c>
      <c r="H368" s="67" t="str">
        <f t="shared" ca="1" si="107"/>
        <v>17.002.003.004</v>
      </c>
      <c r="I368" s="74" t="s">
        <v>256</v>
      </c>
      <c r="J368" s="96"/>
      <c r="K368" s="127"/>
      <c r="L368" s="115"/>
      <c r="M368" s="74" t="s">
        <v>257</v>
      </c>
    </row>
    <row r="369" spans="1:13" ht="20.45" customHeight="1" outlineLevel="1" x14ac:dyDescent="0.55000000000000004">
      <c r="A369" s="63">
        <f ca="1">IF($G369="UNIDADE CONSTRUTIVA",OFFSET(A369,0,0)+1,LARGE(A$3:A365,1))</f>
        <v>3</v>
      </c>
      <c r="B369" s="63">
        <f t="shared" ca="1" si="100"/>
        <v>17</v>
      </c>
      <c r="C369" s="63">
        <f t="shared" ca="1" si="101"/>
        <v>2</v>
      </c>
      <c r="D369" s="64">
        <f t="shared" ca="1" si="102"/>
        <v>4</v>
      </c>
      <c r="E369" s="64">
        <f t="shared" ca="1" si="103"/>
        <v>0</v>
      </c>
      <c r="F369" s="65"/>
      <c r="G369" s="73" t="s">
        <v>153</v>
      </c>
      <c r="H369" s="67" t="str">
        <f t="shared" ca="1" si="107"/>
        <v>17.002.004</v>
      </c>
      <c r="I369" s="74" t="s">
        <v>39</v>
      </c>
      <c r="J369" s="96"/>
      <c r="K369" s="114"/>
      <c r="L369" s="115">
        <f>SUM(L370:L371)</f>
        <v>119042.00000000001</v>
      </c>
      <c r="M369" s="74"/>
    </row>
    <row r="370" spans="1:13" ht="20.45" customHeight="1" outlineLevel="1" x14ac:dyDescent="0.55000000000000004">
      <c r="A370" s="63">
        <f ca="1">IF($G370="UNIDADE CONSTRUTIVA",OFFSET(A370,0,0)+1,LARGE(A$3:A369,1))</f>
        <v>3</v>
      </c>
      <c r="B370" s="63">
        <f t="shared" ca="1" si="100"/>
        <v>17</v>
      </c>
      <c r="C370" s="63">
        <f t="shared" ca="1" si="101"/>
        <v>2</v>
      </c>
      <c r="D370" s="64">
        <f t="shared" ca="1" si="102"/>
        <v>4</v>
      </c>
      <c r="E370" s="64">
        <f t="shared" ca="1" si="103"/>
        <v>1</v>
      </c>
      <c r="F370" s="65"/>
      <c r="G370" s="73" t="s">
        <v>154</v>
      </c>
      <c r="H370" s="67" t="str">
        <f t="shared" ca="1" si="107"/>
        <v>17.002.004.001</v>
      </c>
      <c r="I370" s="74" t="s">
        <v>252</v>
      </c>
      <c r="J370" s="96">
        <v>773</v>
      </c>
      <c r="K370" s="127" t="s">
        <v>184</v>
      </c>
      <c r="L370" s="115">
        <v>119042.00000000001</v>
      </c>
      <c r="M370" s="74"/>
    </row>
    <row r="371" spans="1:13" ht="20.45" customHeight="1" outlineLevel="1" x14ac:dyDescent="0.55000000000000004">
      <c r="A371" s="63">
        <f ca="1">IF($G371="UNIDADE CONSTRUTIVA",OFFSET(A371,0,0)+1,LARGE(A$3:A370,1))</f>
        <v>3</v>
      </c>
      <c r="B371" s="63">
        <f t="shared" ca="1" si="100"/>
        <v>17</v>
      </c>
      <c r="C371" s="63">
        <f t="shared" ca="1" si="101"/>
        <v>2</v>
      </c>
      <c r="D371" s="64">
        <f t="shared" ca="1" si="102"/>
        <v>4</v>
      </c>
      <c r="E371" s="64">
        <f t="shared" ca="1" si="103"/>
        <v>2</v>
      </c>
      <c r="F371" s="65"/>
      <c r="G371" s="73" t="s">
        <v>154</v>
      </c>
      <c r="H371" s="67" t="str">
        <f t="shared" ca="1" si="107"/>
        <v>17.002.004.002</v>
      </c>
      <c r="I371" s="74" t="s">
        <v>253</v>
      </c>
      <c r="J371" s="96"/>
      <c r="K371" s="127"/>
      <c r="L371" s="115"/>
      <c r="M371" s="74"/>
    </row>
    <row r="372" spans="1:13" ht="20.45" customHeight="1" outlineLevel="1" x14ac:dyDescent="0.55000000000000004">
      <c r="A372" s="63">
        <f ca="1">IF($G372="UNIDADE CONSTRUTIVA",OFFSET(A372,0,0)+1,LARGE(A$3:A369,1))</f>
        <v>3</v>
      </c>
      <c r="B372" s="63">
        <f t="shared" ca="1" si="100"/>
        <v>17</v>
      </c>
      <c r="C372" s="63">
        <f t="shared" ca="1" si="101"/>
        <v>3</v>
      </c>
      <c r="D372" s="64">
        <f t="shared" ca="1" si="102"/>
        <v>0</v>
      </c>
      <c r="E372" s="64">
        <f t="shared" ca="1" si="103"/>
        <v>2</v>
      </c>
      <c r="F372" s="65"/>
      <c r="G372" s="71" t="s">
        <v>157</v>
      </c>
      <c r="H372" s="67" t="str">
        <f t="shared" ca="1" si="107"/>
        <v>17.003</v>
      </c>
      <c r="I372" s="79" t="s">
        <v>125</v>
      </c>
      <c r="J372" s="106"/>
      <c r="K372" s="137"/>
      <c r="L372" s="132">
        <f>SUM(L373:L381)/2</f>
        <v>401688.80400000006</v>
      </c>
      <c r="M372" s="79"/>
    </row>
    <row r="373" spans="1:13" ht="20.45" customHeight="1" outlineLevel="1" x14ac:dyDescent="0.55000000000000004">
      <c r="A373" s="63">
        <f ca="1">IF($G373="UNIDADE CONSTRUTIVA",OFFSET(A373,0,0)+1,LARGE(A$3:A372,1))</f>
        <v>3</v>
      </c>
      <c r="B373" s="63">
        <f t="shared" ca="1" si="100"/>
        <v>17</v>
      </c>
      <c r="C373" s="63">
        <f t="shared" ca="1" si="101"/>
        <v>3</v>
      </c>
      <c r="D373" s="64">
        <f t="shared" ca="1" si="102"/>
        <v>1</v>
      </c>
      <c r="E373" s="64">
        <f t="shared" ca="1" si="103"/>
        <v>0</v>
      </c>
      <c r="F373" s="65"/>
      <c r="G373" s="73" t="s">
        <v>153</v>
      </c>
      <c r="H373" s="67" t="str">
        <f t="shared" ca="1" si="107"/>
        <v>17.003.001</v>
      </c>
      <c r="I373" s="74" t="s">
        <v>126</v>
      </c>
      <c r="J373" s="96"/>
      <c r="K373" s="114"/>
      <c r="L373" s="115">
        <f>SUM(L374:L377)</f>
        <v>187220.00000000003</v>
      </c>
      <c r="M373" s="74"/>
    </row>
    <row r="374" spans="1:13" ht="20.45" customHeight="1" outlineLevel="1" x14ac:dyDescent="0.55000000000000004">
      <c r="A374" s="63">
        <f ca="1">IF($G374="UNIDADE CONSTRUTIVA",OFFSET(A374,0,0)+1,LARGE(A$3:A373,1))</f>
        <v>3</v>
      </c>
      <c r="B374" s="63">
        <f t="shared" ca="1" si="100"/>
        <v>17</v>
      </c>
      <c r="C374" s="63">
        <f t="shared" ca="1" si="101"/>
        <v>3</v>
      </c>
      <c r="D374" s="64">
        <f t="shared" ca="1" si="102"/>
        <v>1</v>
      </c>
      <c r="E374" s="64">
        <f t="shared" ca="1" si="103"/>
        <v>1</v>
      </c>
      <c r="F374" s="65"/>
      <c r="G374" s="73" t="s">
        <v>154</v>
      </c>
      <c r="H374" s="67" t="str">
        <f t="shared" ca="1" si="107"/>
        <v>17.003.001.001</v>
      </c>
      <c r="I374" s="74" t="s">
        <v>258</v>
      </c>
      <c r="J374" s="96">
        <v>92</v>
      </c>
      <c r="K374" s="127" t="s">
        <v>184</v>
      </c>
      <c r="L374" s="115">
        <v>187220.00000000003</v>
      </c>
      <c r="M374" s="74"/>
    </row>
    <row r="375" spans="1:13" ht="20.45" customHeight="1" outlineLevel="1" x14ac:dyDescent="0.55000000000000004">
      <c r="A375" s="63">
        <f ca="1">IF($G375="UNIDADE CONSTRUTIVA",OFFSET(A375,0,0)+1,LARGE(A$3:A374,1))</f>
        <v>3</v>
      </c>
      <c r="B375" s="63">
        <f t="shared" ca="1" si="100"/>
        <v>17</v>
      </c>
      <c r="C375" s="63">
        <f t="shared" ca="1" si="101"/>
        <v>3</v>
      </c>
      <c r="D375" s="64">
        <f t="shared" ca="1" si="102"/>
        <v>1</v>
      </c>
      <c r="E375" s="64">
        <f t="shared" ca="1" si="103"/>
        <v>2</v>
      </c>
      <c r="F375" s="65"/>
      <c r="G375" s="73" t="s">
        <v>154</v>
      </c>
      <c r="H375" s="67" t="str">
        <f t="shared" ca="1" si="107"/>
        <v>17.003.001.002</v>
      </c>
      <c r="I375" s="74" t="s">
        <v>259</v>
      </c>
      <c r="J375" s="96"/>
      <c r="K375" s="127" t="s">
        <v>184</v>
      </c>
      <c r="L375" s="115"/>
      <c r="M375" s="74"/>
    </row>
    <row r="376" spans="1:13" ht="20.45" customHeight="1" outlineLevel="1" x14ac:dyDescent="0.55000000000000004">
      <c r="A376" s="63">
        <f ca="1">IF($G376="UNIDADE CONSTRUTIVA",OFFSET(A376,0,0)+1,LARGE(A$3:A375,1))</f>
        <v>3</v>
      </c>
      <c r="B376" s="63">
        <f t="shared" ca="1" si="100"/>
        <v>17</v>
      </c>
      <c r="C376" s="63">
        <f t="shared" ca="1" si="101"/>
        <v>3</v>
      </c>
      <c r="D376" s="64">
        <f t="shared" ca="1" si="102"/>
        <v>1</v>
      </c>
      <c r="E376" s="64">
        <f t="shared" ca="1" si="103"/>
        <v>3</v>
      </c>
      <c r="F376" s="65"/>
      <c r="G376" s="73" t="s">
        <v>154</v>
      </c>
      <c r="H376" s="67" t="str">
        <f t="shared" ca="1" si="107"/>
        <v>17.003.001.003</v>
      </c>
      <c r="I376" s="74" t="s">
        <v>509</v>
      </c>
      <c r="J376" s="96"/>
      <c r="K376" s="127" t="s">
        <v>184</v>
      </c>
      <c r="L376" s="115"/>
      <c r="M376" s="74"/>
    </row>
    <row r="377" spans="1:13" ht="20.45" customHeight="1" outlineLevel="1" x14ac:dyDescent="0.55000000000000004">
      <c r="A377" s="63">
        <f ca="1">IF($G377="UNIDADE CONSTRUTIVA",OFFSET(A377,0,0)+1,LARGE(A$3:A369,1))</f>
        <v>3</v>
      </c>
      <c r="B377" s="63">
        <f t="shared" ca="1" si="100"/>
        <v>17</v>
      </c>
      <c r="C377" s="63">
        <f t="shared" ca="1" si="101"/>
        <v>3</v>
      </c>
      <c r="D377" s="64">
        <f t="shared" ca="1" si="102"/>
        <v>1</v>
      </c>
      <c r="E377" s="64">
        <f t="shared" ca="1" si="103"/>
        <v>4</v>
      </c>
      <c r="F377" s="65"/>
      <c r="G377" s="73" t="s">
        <v>154</v>
      </c>
      <c r="H377" s="67" t="str">
        <f t="shared" ca="1" si="107"/>
        <v>17.003.001.004</v>
      </c>
      <c r="I377" s="74" t="s">
        <v>508</v>
      </c>
      <c r="J377" s="96"/>
      <c r="K377" s="127" t="s">
        <v>248</v>
      </c>
      <c r="L377" s="115"/>
      <c r="M377" s="74"/>
    </row>
    <row r="378" spans="1:13" ht="20.45" customHeight="1" outlineLevel="1" x14ac:dyDescent="0.55000000000000004">
      <c r="A378" s="63">
        <f ca="1">IF($G378="UNIDADE CONSTRUTIVA",OFFSET(A378,0,0)+1,LARGE(A$3:A376,1))</f>
        <v>3</v>
      </c>
      <c r="B378" s="63">
        <f t="shared" ca="1" si="100"/>
        <v>17</v>
      </c>
      <c r="C378" s="63">
        <f t="shared" ca="1" si="101"/>
        <v>3</v>
      </c>
      <c r="D378" s="64">
        <f t="shared" ca="1" si="102"/>
        <v>2</v>
      </c>
      <c r="E378" s="64">
        <f t="shared" ca="1" si="103"/>
        <v>0</v>
      </c>
      <c r="F378" s="65"/>
      <c r="G378" s="73" t="s">
        <v>153</v>
      </c>
      <c r="H378" s="67" t="str">
        <f t="shared" ca="1" si="107"/>
        <v>17.003.002</v>
      </c>
      <c r="I378" s="74" t="s">
        <v>510</v>
      </c>
      <c r="J378" s="96"/>
      <c r="K378" s="114"/>
      <c r="L378" s="115">
        <f>L379</f>
        <v>96162.263999999996</v>
      </c>
      <c r="M378" s="74"/>
    </row>
    <row r="379" spans="1:13" ht="20.45" customHeight="1" outlineLevel="1" x14ac:dyDescent="0.55000000000000004">
      <c r="A379" s="63">
        <f ca="1">IF($G379="UNIDADE CONSTRUTIVA",OFFSET(A379,0,0)+1,LARGE(A$3:A378,1))</f>
        <v>3</v>
      </c>
      <c r="B379" s="63">
        <f t="shared" ca="1" si="100"/>
        <v>17</v>
      </c>
      <c r="C379" s="63">
        <f t="shared" ca="1" si="101"/>
        <v>3</v>
      </c>
      <c r="D379" s="64">
        <f t="shared" ca="1" si="102"/>
        <v>2</v>
      </c>
      <c r="E379" s="64">
        <f t="shared" ca="1" si="103"/>
        <v>1</v>
      </c>
      <c r="F379" s="65"/>
      <c r="G379" s="73" t="s">
        <v>154</v>
      </c>
      <c r="H379" s="67" t="str">
        <f t="shared" ca="1" si="107"/>
        <v>17.003.002.001</v>
      </c>
      <c r="I379" s="74" t="s">
        <v>512</v>
      </c>
      <c r="J379" s="96">
        <v>728.50199999999995</v>
      </c>
      <c r="K379" s="127" t="s">
        <v>183</v>
      </c>
      <c r="L379" s="115">
        <v>96162.263999999996</v>
      </c>
      <c r="M379" s="74"/>
    </row>
    <row r="380" spans="1:13" ht="20.45" customHeight="1" outlineLevel="1" x14ac:dyDescent="0.55000000000000004">
      <c r="A380" s="63">
        <f ca="1">IF($G380="UNIDADE CONSTRUTIVA",OFFSET(A380,0,0)+1,LARGE(A$3:A373,1))</f>
        <v>3</v>
      </c>
      <c r="B380" s="63">
        <f t="shared" ca="1" si="100"/>
        <v>17</v>
      </c>
      <c r="C380" s="63">
        <f t="shared" ca="1" si="101"/>
        <v>3</v>
      </c>
      <c r="D380" s="64">
        <f t="shared" ca="1" si="102"/>
        <v>3</v>
      </c>
      <c r="E380" s="64">
        <f t="shared" ca="1" si="103"/>
        <v>0</v>
      </c>
      <c r="F380" s="65"/>
      <c r="G380" s="73" t="s">
        <v>153</v>
      </c>
      <c r="H380" s="67" t="str">
        <f t="shared" ca="1" si="107"/>
        <v>17.003.003</v>
      </c>
      <c r="I380" s="74" t="s">
        <v>127</v>
      </c>
      <c r="J380" s="96"/>
      <c r="K380" s="114"/>
      <c r="L380" s="115">
        <f>L381</f>
        <v>118306.54000000004</v>
      </c>
      <c r="M380" s="74"/>
    </row>
    <row r="381" spans="1:13" ht="20.45" customHeight="1" outlineLevel="1" x14ac:dyDescent="0.55000000000000004">
      <c r="A381" s="63">
        <f ca="1">IF($G381="UNIDADE CONSTRUTIVA",OFFSET(A381,0,0)+1,LARGE(A$3:A374,1))</f>
        <v>3</v>
      </c>
      <c r="B381" s="63">
        <f t="shared" ca="1" si="100"/>
        <v>17</v>
      </c>
      <c r="C381" s="63">
        <f t="shared" ca="1" si="101"/>
        <v>3</v>
      </c>
      <c r="D381" s="64">
        <f t="shared" ca="1" si="102"/>
        <v>3</v>
      </c>
      <c r="E381" s="64">
        <f t="shared" ca="1" si="103"/>
        <v>1</v>
      </c>
      <c r="F381" s="65"/>
      <c r="G381" s="73" t="s">
        <v>154</v>
      </c>
      <c r="H381" s="67" t="str">
        <f t="shared" ca="1" si="107"/>
        <v>17.003.003.001</v>
      </c>
      <c r="I381" s="74" t="s">
        <v>127</v>
      </c>
      <c r="J381" s="96">
        <v>1</v>
      </c>
      <c r="K381" s="114" t="s">
        <v>217</v>
      </c>
      <c r="L381" s="115">
        <v>118306.54000000004</v>
      </c>
      <c r="M381" s="74" t="s">
        <v>260</v>
      </c>
    </row>
    <row r="382" spans="1:13" ht="20.45" customHeight="1" x14ac:dyDescent="0.55000000000000004">
      <c r="A382" s="63">
        <f ca="1">IF($G382="UNIDADE CONSTRUTIVA",OFFSET(A382,0,0)+1,LARGE(A$3:A380,1))</f>
        <v>3</v>
      </c>
      <c r="B382" s="63">
        <f t="shared" ca="1" si="100"/>
        <v>18</v>
      </c>
      <c r="C382" s="63">
        <f t="shared" ca="1" si="101"/>
        <v>0</v>
      </c>
      <c r="D382" s="64">
        <f t="shared" ca="1" si="102"/>
        <v>3</v>
      </c>
      <c r="E382" s="64">
        <f t="shared" ca="1" si="103"/>
        <v>1</v>
      </c>
      <c r="F382" s="65"/>
      <c r="G382" s="71" t="s">
        <v>156</v>
      </c>
      <c r="H382" s="67" t="str">
        <f t="shared" ca="1" si="107"/>
        <v>18</v>
      </c>
      <c r="I382" s="72" t="s">
        <v>128</v>
      </c>
      <c r="J382" s="95"/>
      <c r="K382" s="112"/>
      <c r="L382" s="113">
        <f>L383</f>
        <v>1092256.7539840001</v>
      </c>
      <c r="M382" s="72"/>
    </row>
    <row r="383" spans="1:13" ht="37.5" outlineLevel="1" x14ac:dyDescent="0.55000000000000004">
      <c r="A383" s="63">
        <f ca="1">IF($G383="UNIDADE CONSTRUTIVA",OFFSET(A383,0,0)+1,LARGE(A$3:A382,1))</f>
        <v>3</v>
      </c>
      <c r="B383" s="63">
        <f t="shared" ca="1" si="100"/>
        <v>18</v>
      </c>
      <c r="C383" s="63">
        <f t="shared" ca="1" si="101"/>
        <v>1</v>
      </c>
      <c r="D383" s="64">
        <f t="shared" ca="1" si="102"/>
        <v>0</v>
      </c>
      <c r="E383" s="64">
        <f t="shared" ca="1" si="103"/>
        <v>1</v>
      </c>
      <c r="F383" s="65"/>
      <c r="G383" s="71" t="s">
        <v>157</v>
      </c>
      <c r="H383" s="67" t="str">
        <f t="shared" ca="1" si="107"/>
        <v>18.001</v>
      </c>
      <c r="I383" s="80" t="s">
        <v>128</v>
      </c>
      <c r="J383" s="107"/>
      <c r="K383" s="138"/>
      <c r="L383" s="126">
        <f>SUM(L384:L392)/2</f>
        <v>1092256.7539840001</v>
      </c>
      <c r="M383" s="84" t="s">
        <v>238</v>
      </c>
    </row>
    <row r="384" spans="1:13" ht="20.45" customHeight="1" outlineLevel="1" x14ac:dyDescent="0.55000000000000004">
      <c r="A384" s="63">
        <f ca="1">IF($G384="UNIDADE CONSTRUTIVA",OFFSET(A384,0,0)+1,LARGE(A$3:A383,1))</f>
        <v>3</v>
      </c>
      <c r="B384" s="63">
        <f t="shared" ca="1" si="100"/>
        <v>18</v>
      </c>
      <c r="C384" s="63">
        <f t="shared" ca="1" si="101"/>
        <v>1</v>
      </c>
      <c r="D384" s="64">
        <f t="shared" ca="1" si="102"/>
        <v>1</v>
      </c>
      <c r="E384" s="64">
        <f t="shared" ca="1" si="103"/>
        <v>0</v>
      </c>
      <c r="F384" s="65"/>
      <c r="G384" s="73" t="s">
        <v>153</v>
      </c>
      <c r="H384" s="67" t="str">
        <f t="shared" ca="1" si="107"/>
        <v>18.001.001</v>
      </c>
      <c r="I384" s="74" t="s">
        <v>129</v>
      </c>
      <c r="J384" s="96"/>
      <c r="K384" s="114"/>
      <c r="L384" s="115">
        <f>SUM(L385:L386)</f>
        <v>400062.74598400004</v>
      </c>
      <c r="M384" s="74"/>
    </row>
    <row r="385" spans="1:13" ht="20.45" customHeight="1" outlineLevel="1" x14ac:dyDescent="0.55000000000000004">
      <c r="A385" s="63">
        <f ca="1">IF($G385="UNIDADE CONSTRUTIVA",OFFSET(A385,0,0)+1,LARGE(A$3:A384,1))</f>
        <v>3</v>
      </c>
      <c r="B385" s="63">
        <f t="shared" ca="1" si="100"/>
        <v>18</v>
      </c>
      <c r="C385" s="63">
        <f t="shared" ca="1" si="101"/>
        <v>1</v>
      </c>
      <c r="D385" s="64">
        <f t="shared" ca="1" si="102"/>
        <v>1</v>
      </c>
      <c r="E385" s="64">
        <f t="shared" ca="1" si="103"/>
        <v>1</v>
      </c>
      <c r="F385" s="65"/>
      <c r="G385" s="73" t="s">
        <v>154</v>
      </c>
      <c r="H385" s="67" t="str">
        <f t="shared" ca="1" si="107"/>
        <v>18.001.001.001</v>
      </c>
      <c r="I385" s="74" t="s">
        <v>235</v>
      </c>
      <c r="J385" s="96">
        <v>214</v>
      </c>
      <c r="K385" s="127" t="s">
        <v>184</v>
      </c>
      <c r="L385" s="115">
        <v>360185.76598400006</v>
      </c>
      <c r="M385" s="74"/>
    </row>
    <row r="386" spans="1:13" ht="20.45" customHeight="1" outlineLevel="1" x14ac:dyDescent="0.55000000000000004">
      <c r="A386" s="63">
        <f ca="1">IF($G386="UNIDADE CONSTRUTIVA",OFFSET(A386,0,0)+1,LARGE(A$3:A385,1))</f>
        <v>3</v>
      </c>
      <c r="B386" s="63">
        <f t="shared" ca="1" si="100"/>
        <v>18</v>
      </c>
      <c r="C386" s="63">
        <f t="shared" ca="1" si="101"/>
        <v>1</v>
      </c>
      <c r="D386" s="64">
        <f t="shared" ca="1" si="102"/>
        <v>1</v>
      </c>
      <c r="E386" s="64">
        <f t="shared" ca="1" si="103"/>
        <v>2</v>
      </c>
      <c r="F386" s="65"/>
      <c r="G386" s="73" t="s">
        <v>154</v>
      </c>
      <c r="H386" s="67" t="str">
        <f t="shared" ca="1" si="107"/>
        <v>18.001.001.002</v>
      </c>
      <c r="I386" s="74" t="s">
        <v>236</v>
      </c>
      <c r="J386" s="96">
        <v>22</v>
      </c>
      <c r="K386" s="127" t="s">
        <v>184</v>
      </c>
      <c r="L386" s="115">
        <v>39876.979999999996</v>
      </c>
      <c r="M386" s="74"/>
    </row>
    <row r="387" spans="1:13" ht="20.45" customHeight="1" outlineLevel="1" x14ac:dyDescent="0.55000000000000004">
      <c r="A387" s="63">
        <f ca="1">IF($G387="UNIDADE CONSTRUTIVA",OFFSET(A387,0,0)+1,LARGE(A$3:A386,1))</f>
        <v>3</v>
      </c>
      <c r="B387" s="63">
        <f t="shared" ca="1" si="100"/>
        <v>18</v>
      </c>
      <c r="C387" s="63">
        <f t="shared" ca="1" si="101"/>
        <v>1</v>
      </c>
      <c r="D387" s="64">
        <f t="shared" ca="1" si="102"/>
        <v>2</v>
      </c>
      <c r="E387" s="64">
        <f t="shared" ca="1" si="103"/>
        <v>0</v>
      </c>
      <c r="F387" s="65"/>
      <c r="G387" s="73" t="s">
        <v>153</v>
      </c>
      <c r="H387" s="67" t="str">
        <f t="shared" ca="1" si="107"/>
        <v>18.001.002</v>
      </c>
      <c r="I387" s="74" t="s">
        <v>130</v>
      </c>
      <c r="J387" s="96"/>
      <c r="K387" s="114"/>
      <c r="L387" s="115">
        <f>L388</f>
        <v>378580.92800000013</v>
      </c>
      <c r="M387" s="74"/>
    </row>
    <row r="388" spans="1:13" ht="20.45" customHeight="1" outlineLevel="1" x14ac:dyDescent="0.55000000000000004">
      <c r="A388" s="63">
        <f ca="1">IF($G388="UNIDADE CONSTRUTIVA",OFFSET(A388,0,0)+1,LARGE(A$3:A387,1))</f>
        <v>3</v>
      </c>
      <c r="B388" s="63">
        <f t="shared" ca="1" si="100"/>
        <v>18</v>
      </c>
      <c r="C388" s="63">
        <f t="shared" ca="1" si="101"/>
        <v>1</v>
      </c>
      <c r="D388" s="64">
        <f t="shared" ca="1" si="102"/>
        <v>2</v>
      </c>
      <c r="E388" s="64">
        <f t="shared" ca="1" si="103"/>
        <v>1</v>
      </c>
      <c r="F388" s="65"/>
      <c r="G388" s="73" t="s">
        <v>154</v>
      </c>
      <c r="H388" s="67" t="str">
        <f t="shared" ca="1" si="107"/>
        <v>18.001.002.001</v>
      </c>
      <c r="I388" s="74" t="s">
        <v>130</v>
      </c>
      <c r="J388" s="96">
        <v>1</v>
      </c>
      <c r="K388" s="127" t="s">
        <v>217</v>
      </c>
      <c r="L388" s="115">
        <v>378580.92800000013</v>
      </c>
      <c r="M388" s="74"/>
    </row>
    <row r="389" spans="1:13" ht="20.45" customHeight="1" outlineLevel="1" x14ac:dyDescent="0.55000000000000004">
      <c r="A389" s="63">
        <f ca="1">IF($G389="UNIDADE CONSTRUTIVA",OFFSET(A389,0,0)+1,LARGE(A$3:A388,1))</f>
        <v>3</v>
      </c>
      <c r="B389" s="63">
        <f t="shared" ca="1" si="100"/>
        <v>18</v>
      </c>
      <c r="C389" s="63">
        <f t="shared" ca="1" si="101"/>
        <v>1</v>
      </c>
      <c r="D389" s="64">
        <f t="shared" ca="1" si="102"/>
        <v>3</v>
      </c>
      <c r="E389" s="64">
        <f t="shared" ca="1" si="103"/>
        <v>0</v>
      </c>
      <c r="F389" s="65"/>
      <c r="G389" s="73" t="s">
        <v>153</v>
      </c>
      <c r="H389" s="67" t="str">
        <f t="shared" ca="1" si="107"/>
        <v>18.001.003</v>
      </c>
      <c r="I389" s="74" t="s">
        <v>131</v>
      </c>
      <c r="J389" s="96"/>
      <c r="K389" s="114"/>
      <c r="L389" s="115">
        <f>L390</f>
        <v>77000</v>
      </c>
      <c r="M389" s="74"/>
    </row>
    <row r="390" spans="1:13" ht="20.45" customHeight="1" outlineLevel="1" x14ac:dyDescent="0.55000000000000004">
      <c r="A390" s="63">
        <f ca="1">IF($G390="UNIDADE CONSTRUTIVA",OFFSET(A390,0,0)+1,LARGE(A$3:A389,1))</f>
        <v>3</v>
      </c>
      <c r="B390" s="63">
        <f t="shared" ca="1" si="100"/>
        <v>18</v>
      </c>
      <c r="C390" s="63">
        <f t="shared" ca="1" si="101"/>
        <v>1</v>
      </c>
      <c r="D390" s="64">
        <f t="shared" ca="1" si="102"/>
        <v>3</v>
      </c>
      <c r="E390" s="64">
        <f t="shared" ca="1" si="103"/>
        <v>1</v>
      </c>
      <c r="F390" s="65"/>
      <c r="G390" s="73" t="s">
        <v>154</v>
      </c>
      <c r="H390" s="67" t="str">
        <f t="shared" ca="1" si="107"/>
        <v>18.001.003.001</v>
      </c>
      <c r="I390" s="74" t="s">
        <v>131</v>
      </c>
      <c r="J390" s="96">
        <v>1</v>
      </c>
      <c r="K390" s="127" t="s">
        <v>217</v>
      </c>
      <c r="L390" s="115">
        <v>77000</v>
      </c>
      <c r="M390" s="74"/>
    </row>
    <row r="391" spans="1:13" ht="20.45" customHeight="1" outlineLevel="1" x14ac:dyDescent="0.55000000000000004">
      <c r="A391" s="63">
        <f ca="1">IF($G391="UNIDADE CONSTRUTIVA",OFFSET(A391,0,0)+1,LARGE(A$3:A390,1))</f>
        <v>3</v>
      </c>
      <c r="B391" s="63">
        <f t="shared" ca="1" si="100"/>
        <v>18</v>
      </c>
      <c r="C391" s="63">
        <f t="shared" ca="1" si="101"/>
        <v>1</v>
      </c>
      <c r="D391" s="64">
        <f t="shared" ca="1" si="102"/>
        <v>4</v>
      </c>
      <c r="E391" s="64">
        <f t="shared" ca="1" si="103"/>
        <v>0</v>
      </c>
      <c r="F391" s="65"/>
      <c r="G391" s="73" t="s">
        <v>153</v>
      </c>
      <c r="H391" s="67" t="str">
        <f t="shared" ca="1" si="107"/>
        <v>18.001.004</v>
      </c>
      <c r="I391" s="74" t="s">
        <v>39</v>
      </c>
      <c r="J391" s="96"/>
      <c r="K391" s="114"/>
      <c r="L391" s="115">
        <f>L392</f>
        <v>236613.08000000007</v>
      </c>
      <c r="M391" s="74"/>
    </row>
    <row r="392" spans="1:13" ht="20.45" customHeight="1" outlineLevel="1" x14ac:dyDescent="0.55000000000000004">
      <c r="A392" s="63">
        <f ca="1">IF($G392="UNIDADE CONSTRUTIVA",OFFSET(A392,0,0)+1,LARGE(A$3:A391,1))</f>
        <v>3</v>
      </c>
      <c r="B392" s="63">
        <f t="shared" ca="1" si="100"/>
        <v>18</v>
      </c>
      <c r="C392" s="63">
        <f t="shared" ca="1" si="101"/>
        <v>1</v>
      </c>
      <c r="D392" s="64">
        <f t="shared" ca="1" si="102"/>
        <v>4</v>
      </c>
      <c r="E392" s="64">
        <f t="shared" ca="1" si="103"/>
        <v>1</v>
      </c>
      <c r="F392" s="65"/>
      <c r="G392" s="73" t="s">
        <v>154</v>
      </c>
      <c r="H392" s="67" t="str">
        <f t="shared" ca="1" si="107"/>
        <v>18.001.004.001</v>
      </c>
      <c r="I392" s="74" t="s">
        <v>237</v>
      </c>
      <c r="J392" s="96">
        <v>1</v>
      </c>
      <c r="K392" s="127" t="s">
        <v>217</v>
      </c>
      <c r="L392" s="115">
        <v>236613.08000000007</v>
      </c>
      <c r="M392" s="74"/>
    </row>
    <row r="393" spans="1:13" ht="20.45" customHeight="1" x14ac:dyDescent="0.55000000000000004">
      <c r="A393" s="63">
        <f ca="1">IF($G393="UNIDADE CONSTRUTIVA",OFFSET(A393,0,0)+1,LARGE(A$3:A392,1))</f>
        <v>3</v>
      </c>
      <c r="B393" s="63">
        <f t="shared" ca="1" si="100"/>
        <v>19</v>
      </c>
      <c r="C393" s="63">
        <f t="shared" ca="1" si="101"/>
        <v>0</v>
      </c>
      <c r="D393" s="64">
        <f t="shared" ca="1" si="102"/>
        <v>4</v>
      </c>
      <c r="E393" s="64">
        <f t="shared" ca="1" si="103"/>
        <v>1</v>
      </c>
      <c r="F393" s="65"/>
      <c r="G393" s="71" t="s">
        <v>156</v>
      </c>
      <c r="H393" s="67" t="str">
        <f t="shared" ca="1" si="107"/>
        <v>19</v>
      </c>
      <c r="I393" s="72" t="s">
        <v>132</v>
      </c>
      <c r="J393" s="95"/>
      <c r="K393" s="112"/>
      <c r="L393" s="113">
        <f>L394</f>
        <v>1138286.0528894998</v>
      </c>
      <c r="M393" s="72"/>
    </row>
    <row r="394" spans="1:13" ht="20.45" customHeight="1" outlineLevel="1" x14ac:dyDescent="0.55000000000000004">
      <c r="A394" s="63">
        <f ca="1">IF($G394="UNIDADE CONSTRUTIVA",OFFSET(A394,0,0)+1,LARGE(A$3:A393,1))</f>
        <v>3</v>
      </c>
      <c r="B394" s="63">
        <f t="shared" ca="1" si="100"/>
        <v>19</v>
      </c>
      <c r="C394" s="63">
        <f t="shared" ca="1" si="101"/>
        <v>1</v>
      </c>
      <c r="D394" s="64">
        <f t="shared" ca="1" si="102"/>
        <v>0</v>
      </c>
      <c r="E394" s="64">
        <f t="shared" ca="1" si="103"/>
        <v>1</v>
      </c>
      <c r="F394" s="65"/>
      <c r="G394" s="71" t="s">
        <v>157</v>
      </c>
      <c r="H394" s="67" t="str">
        <f t="shared" ca="1" si="107"/>
        <v>19.001</v>
      </c>
      <c r="I394" s="80" t="s">
        <v>132</v>
      </c>
      <c r="J394" s="107"/>
      <c r="K394" s="138"/>
      <c r="L394" s="126">
        <f>SUM(L395:L410)/2</f>
        <v>1138286.0528894998</v>
      </c>
      <c r="M394" s="80"/>
    </row>
    <row r="395" spans="1:13" ht="20.45" customHeight="1" outlineLevel="1" x14ac:dyDescent="0.55000000000000004">
      <c r="A395" s="63">
        <f ca="1">IF($G395="UNIDADE CONSTRUTIVA",OFFSET(A395,0,0)+1,LARGE(A$3:A394,1))</f>
        <v>3</v>
      </c>
      <c r="B395" s="63">
        <f t="shared" ca="1" si="100"/>
        <v>19</v>
      </c>
      <c r="C395" s="63">
        <f t="shared" ca="1" si="101"/>
        <v>1</v>
      </c>
      <c r="D395" s="64">
        <f t="shared" ca="1" si="102"/>
        <v>1</v>
      </c>
      <c r="E395" s="64">
        <f t="shared" ca="1" si="103"/>
        <v>0</v>
      </c>
      <c r="F395" s="65"/>
      <c r="G395" s="73" t="s">
        <v>153</v>
      </c>
      <c r="H395" s="67" t="str">
        <f t="shared" ca="1" si="107"/>
        <v>19.001.001</v>
      </c>
      <c r="I395" s="74" t="s">
        <v>133</v>
      </c>
      <c r="J395" s="96"/>
      <c r="K395" s="114"/>
      <c r="L395" s="115">
        <f>L396</f>
        <v>89445.676319999984</v>
      </c>
      <c r="M395" s="74"/>
    </row>
    <row r="396" spans="1:13" ht="20.45" customHeight="1" outlineLevel="1" x14ac:dyDescent="0.55000000000000004">
      <c r="A396" s="63">
        <f ca="1">IF($G396="UNIDADE CONSTRUTIVA",OFFSET(A396,0,0)+1,LARGE(A$3:A395,1))</f>
        <v>3</v>
      </c>
      <c r="B396" s="63">
        <f t="shared" ca="1" si="100"/>
        <v>19</v>
      </c>
      <c r="C396" s="63">
        <f t="shared" ca="1" si="101"/>
        <v>1</v>
      </c>
      <c r="D396" s="64">
        <f t="shared" ca="1" si="102"/>
        <v>1</v>
      </c>
      <c r="E396" s="64">
        <f t="shared" ca="1" si="103"/>
        <v>1</v>
      </c>
      <c r="F396" s="65"/>
      <c r="G396" s="73" t="s">
        <v>154</v>
      </c>
      <c r="H396" s="67" t="str">
        <f t="shared" ca="1" si="107"/>
        <v>19.001.001.001</v>
      </c>
      <c r="I396" s="74" t="s">
        <v>227</v>
      </c>
      <c r="J396" s="96">
        <v>620.53</v>
      </c>
      <c r="K396" s="127" t="s">
        <v>185</v>
      </c>
      <c r="L396" s="115">
        <v>89445.676319999984</v>
      </c>
      <c r="M396" s="74"/>
    </row>
    <row r="397" spans="1:13" ht="20.45" customHeight="1" outlineLevel="1" x14ac:dyDescent="0.55000000000000004">
      <c r="A397" s="63">
        <f ca="1">IF($G397="UNIDADE CONSTRUTIVA",OFFSET(A397,0,0)+1,LARGE(A$3:A396,1))</f>
        <v>3</v>
      </c>
      <c r="B397" s="63">
        <f t="shared" ca="1" si="100"/>
        <v>19</v>
      </c>
      <c r="C397" s="63">
        <f t="shared" ca="1" si="101"/>
        <v>1</v>
      </c>
      <c r="D397" s="64">
        <f t="shared" ca="1" si="102"/>
        <v>2</v>
      </c>
      <c r="E397" s="64">
        <f t="shared" ca="1" si="103"/>
        <v>0</v>
      </c>
      <c r="F397" s="65"/>
      <c r="G397" s="73" t="s">
        <v>153</v>
      </c>
      <c r="H397" s="67" t="str">
        <f t="shared" ca="1" si="107"/>
        <v>19.001.002</v>
      </c>
      <c r="I397" s="74" t="s">
        <v>134</v>
      </c>
      <c r="J397" s="96"/>
      <c r="K397" s="127"/>
      <c r="L397" s="115">
        <f>L398</f>
        <v>587879.04553950008</v>
      </c>
      <c r="M397" s="74"/>
    </row>
    <row r="398" spans="1:13" ht="20.45" customHeight="1" outlineLevel="1" x14ac:dyDescent="0.55000000000000004">
      <c r="A398" s="63">
        <f ca="1">IF($G398="UNIDADE CONSTRUTIVA",OFFSET(A398,0,0)+1,LARGE(A$3:A397,1))</f>
        <v>3</v>
      </c>
      <c r="B398" s="63">
        <f t="shared" ca="1" si="100"/>
        <v>19</v>
      </c>
      <c r="C398" s="63">
        <f t="shared" ca="1" si="101"/>
        <v>1</v>
      </c>
      <c r="D398" s="64">
        <f t="shared" ca="1" si="102"/>
        <v>2</v>
      </c>
      <c r="E398" s="64">
        <f t="shared" ca="1" si="103"/>
        <v>1</v>
      </c>
      <c r="F398" s="65"/>
      <c r="G398" s="73" t="s">
        <v>154</v>
      </c>
      <c r="H398" s="67" t="str">
        <f t="shared" ca="1" si="107"/>
        <v>19.001.002.001</v>
      </c>
      <c r="I398" s="74" t="s">
        <v>228</v>
      </c>
      <c r="J398" s="96">
        <v>2699.3054999999995</v>
      </c>
      <c r="K398" s="127" t="s">
        <v>185</v>
      </c>
      <c r="L398" s="115">
        <v>587879.04553950008</v>
      </c>
      <c r="M398" s="74"/>
    </row>
    <row r="399" spans="1:13" ht="20.45" customHeight="1" outlineLevel="1" x14ac:dyDescent="0.55000000000000004">
      <c r="A399" s="63">
        <f ca="1">IF($G399="UNIDADE CONSTRUTIVA",OFFSET(A399,0,0)+1,LARGE(A$3:A398,1))</f>
        <v>3</v>
      </c>
      <c r="B399" s="63">
        <f t="shared" ca="1" si="100"/>
        <v>19</v>
      </c>
      <c r="C399" s="63">
        <f t="shared" ca="1" si="101"/>
        <v>1</v>
      </c>
      <c r="D399" s="64">
        <f t="shared" ca="1" si="102"/>
        <v>3</v>
      </c>
      <c r="E399" s="64">
        <f t="shared" ca="1" si="103"/>
        <v>0</v>
      </c>
      <c r="F399" s="65"/>
      <c r="G399" s="73" t="s">
        <v>153</v>
      </c>
      <c r="H399" s="67" t="str">
        <f t="shared" ca="1" si="107"/>
        <v>19.001.003</v>
      </c>
      <c r="I399" s="74" t="s">
        <v>135</v>
      </c>
      <c r="J399" s="96"/>
      <c r="K399" s="127"/>
      <c r="L399" s="115">
        <f>SUM(L400:L403)</f>
        <v>61432.47</v>
      </c>
      <c r="M399" s="74"/>
    </row>
    <row r="400" spans="1:13" ht="20.45" customHeight="1" outlineLevel="1" x14ac:dyDescent="0.55000000000000004">
      <c r="A400" s="63">
        <f ca="1">IF($G400="UNIDADE CONSTRUTIVA",OFFSET(A400,0,0)+1,LARGE(A$3:A399,1))</f>
        <v>3</v>
      </c>
      <c r="B400" s="63">
        <f t="shared" ca="1" si="100"/>
        <v>19</v>
      </c>
      <c r="C400" s="63">
        <f t="shared" ca="1" si="101"/>
        <v>1</v>
      </c>
      <c r="D400" s="64">
        <f t="shared" ca="1" si="102"/>
        <v>3</v>
      </c>
      <c r="E400" s="64">
        <f t="shared" ca="1" si="103"/>
        <v>1</v>
      </c>
      <c r="F400" s="65"/>
      <c r="G400" s="73" t="s">
        <v>154</v>
      </c>
      <c r="H400" s="67" t="str">
        <f t="shared" ca="1" si="107"/>
        <v>19.001.003.001</v>
      </c>
      <c r="I400" s="74" t="s">
        <v>229</v>
      </c>
      <c r="J400" s="96"/>
      <c r="K400" s="127"/>
      <c r="L400" s="115"/>
      <c r="M400" s="74"/>
    </row>
    <row r="401" spans="1:13" ht="20.45" customHeight="1" outlineLevel="1" x14ac:dyDescent="0.55000000000000004">
      <c r="A401" s="63">
        <f ca="1">IF($G401="UNIDADE CONSTRUTIVA",OFFSET(A401,0,0)+1,LARGE(A$3:A400,1))</f>
        <v>3</v>
      </c>
      <c r="B401" s="63">
        <f t="shared" ca="1" si="100"/>
        <v>19</v>
      </c>
      <c r="C401" s="63">
        <f t="shared" ca="1" si="101"/>
        <v>1</v>
      </c>
      <c r="D401" s="64">
        <f t="shared" ca="1" si="102"/>
        <v>3</v>
      </c>
      <c r="E401" s="64">
        <f t="shared" ca="1" si="103"/>
        <v>2</v>
      </c>
      <c r="F401" s="65"/>
      <c r="G401" s="73" t="s">
        <v>154</v>
      </c>
      <c r="H401" s="67" t="str">
        <f t="shared" ca="1" si="107"/>
        <v>19.001.003.002</v>
      </c>
      <c r="I401" s="74" t="s">
        <v>230</v>
      </c>
      <c r="J401" s="96"/>
      <c r="K401" s="127"/>
      <c r="L401" s="115"/>
      <c r="M401" s="74"/>
    </row>
    <row r="402" spans="1:13" ht="20.45" customHeight="1" outlineLevel="1" x14ac:dyDescent="0.55000000000000004">
      <c r="A402" s="63">
        <f ca="1">IF($G402="UNIDADE CONSTRUTIVA",OFFSET(A402,0,0)+1,LARGE(A$3:A401,1))</f>
        <v>3</v>
      </c>
      <c r="B402" s="63">
        <f t="shared" ca="1" si="100"/>
        <v>19</v>
      </c>
      <c r="C402" s="63">
        <f t="shared" ca="1" si="101"/>
        <v>1</v>
      </c>
      <c r="D402" s="64">
        <f t="shared" ca="1" si="102"/>
        <v>3</v>
      </c>
      <c r="E402" s="64">
        <f t="shared" ca="1" si="103"/>
        <v>3</v>
      </c>
      <c r="F402" s="65"/>
      <c r="G402" s="73" t="s">
        <v>154</v>
      </c>
      <c r="H402" s="67" t="str">
        <f t="shared" ca="1" si="107"/>
        <v>19.001.003.003</v>
      </c>
      <c r="I402" s="74" t="s">
        <v>231</v>
      </c>
      <c r="J402" s="96"/>
      <c r="K402" s="127"/>
      <c r="L402" s="115"/>
      <c r="M402" s="74"/>
    </row>
    <row r="403" spans="1:13" ht="20.45" customHeight="1" outlineLevel="1" x14ac:dyDescent="0.55000000000000004">
      <c r="A403" s="63">
        <f ca="1">IF($G403="UNIDADE CONSTRUTIVA",OFFSET(A403,0,0)+1,LARGE(A$3:A402,1))</f>
        <v>3</v>
      </c>
      <c r="B403" s="63">
        <f t="shared" ca="1" si="100"/>
        <v>19</v>
      </c>
      <c r="C403" s="63">
        <f t="shared" ca="1" si="101"/>
        <v>1</v>
      </c>
      <c r="D403" s="64">
        <f t="shared" ca="1" si="102"/>
        <v>3</v>
      </c>
      <c r="E403" s="64">
        <f t="shared" ca="1" si="103"/>
        <v>4</v>
      </c>
      <c r="F403" s="65"/>
      <c r="G403" s="73" t="s">
        <v>154</v>
      </c>
      <c r="H403" s="67" t="str">
        <f t="shared" ca="1" si="107"/>
        <v>19.001.003.004</v>
      </c>
      <c r="I403" s="74" t="s">
        <v>135</v>
      </c>
      <c r="J403" s="96">
        <v>1</v>
      </c>
      <c r="K403" s="127" t="s">
        <v>217</v>
      </c>
      <c r="L403" s="115">
        <v>61432.47</v>
      </c>
      <c r="M403" s="74"/>
    </row>
    <row r="404" spans="1:13" outlineLevel="1" x14ac:dyDescent="0.55000000000000004">
      <c r="A404" s="63">
        <f ca="1">IF($G404="UNIDADE CONSTRUTIVA",OFFSET(A404,0,0)+1,LARGE(A$3:A402,1))</f>
        <v>3</v>
      </c>
      <c r="B404" s="63">
        <f t="shared" ca="1" si="100"/>
        <v>19</v>
      </c>
      <c r="C404" s="63">
        <f t="shared" ca="1" si="101"/>
        <v>1</v>
      </c>
      <c r="D404" s="64">
        <f t="shared" ca="1" si="102"/>
        <v>4</v>
      </c>
      <c r="E404" s="64">
        <f t="shared" ca="1" si="103"/>
        <v>0</v>
      </c>
      <c r="F404" s="65"/>
      <c r="G404" s="73" t="s">
        <v>153</v>
      </c>
      <c r="H404" s="67" t="str">
        <f t="shared" ca="1" si="107"/>
        <v>19.001.004</v>
      </c>
      <c r="I404" s="74" t="s">
        <v>136</v>
      </c>
      <c r="J404" s="96"/>
      <c r="K404" s="127"/>
      <c r="L404" s="115">
        <f>SUM(L405:L407)</f>
        <v>0</v>
      </c>
      <c r="M404" s="74"/>
    </row>
    <row r="405" spans="1:13" ht="20.45" customHeight="1" outlineLevel="1" x14ac:dyDescent="0.55000000000000004">
      <c r="A405" s="63">
        <f ca="1">IF($G405="UNIDADE CONSTRUTIVA",OFFSET(A405,0,0)+1,LARGE(A$3:A404,1))</f>
        <v>3</v>
      </c>
      <c r="B405" s="63">
        <f t="shared" ca="1" si="100"/>
        <v>19</v>
      </c>
      <c r="C405" s="63">
        <f t="shared" ca="1" si="101"/>
        <v>1</v>
      </c>
      <c r="D405" s="64">
        <f t="shared" ca="1" si="102"/>
        <v>4</v>
      </c>
      <c r="E405" s="64">
        <f t="shared" ca="1" si="103"/>
        <v>1</v>
      </c>
      <c r="F405" s="65"/>
      <c r="G405" s="73" t="s">
        <v>154</v>
      </c>
      <c r="H405" s="67" t="str">
        <f t="shared" ca="1" si="107"/>
        <v>19.001.004.001</v>
      </c>
      <c r="I405" s="74" t="s">
        <v>232</v>
      </c>
      <c r="J405" s="96"/>
      <c r="K405" s="127"/>
      <c r="L405" s="115"/>
      <c r="M405" s="74"/>
    </row>
    <row r="406" spans="1:13" ht="20.45" customHeight="1" outlineLevel="1" x14ac:dyDescent="0.55000000000000004">
      <c r="A406" s="63">
        <f ca="1">IF($G406="UNIDADE CONSTRUTIVA",OFFSET(A406,0,0)+1,LARGE(A$3:A405,1))</f>
        <v>3</v>
      </c>
      <c r="B406" s="63">
        <f t="shared" ca="1" si="100"/>
        <v>19</v>
      </c>
      <c r="C406" s="63">
        <f t="shared" ca="1" si="101"/>
        <v>1</v>
      </c>
      <c r="D406" s="64">
        <f t="shared" ca="1" si="102"/>
        <v>4</v>
      </c>
      <c r="E406" s="64">
        <f t="shared" ca="1" si="103"/>
        <v>2</v>
      </c>
      <c r="F406" s="65"/>
      <c r="G406" s="73" t="s">
        <v>154</v>
      </c>
      <c r="H406" s="67" t="str">
        <f t="shared" ca="1" si="107"/>
        <v>19.001.004.002</v>
      </c>
      <c r="I406" s="74" t="s">
        <v>513</v>
      </c>
      <c r="J406" s="96"/>
      <c r="K406" s="127"/>
      <c r="L406" s="115"/>
      <c r="M406" s="74"/>
    </row>
    <row r="407" spans="1:13" ht="20.45" customHeight="1" outlineLevel="1" x14ac:dyDescent="0.55000000000000004">
      <c r="A407" s="63">
        <f ca="1">IF($G407="UNIDADE CONSTRUTIVA",OFFSET(A407,0,0)+1,LARGE(A$3:A406,1))</f>
        <v>3</v>
      </c>
      <c r="B407" s="63">
        <f t="shared" ca="1" si="100"/>
        <v>19</v>
      </c>
      <c r="C407" s="63">
        <f t="shared" ca="1" si="101"/>
        <v>1</v>
      </c>
      <c r="D407" s="64">
        <f t="shared" ca="1" si="102"/>
        <v>4</v>
      </c>
      <c r="E407" s="64">
        <f t="shared" ca="1" si="103"/>
        <v>3</v>
      </c>
      <c r="F407" s="65"/>
      <c r="G407" s="73" t="s">
        <v>154</v>
      </c>
      <c r="H407" s="67" t="str">
        <f t="shared" ca="1" si="107"/>
        <v>19.001.004.003</v>
      </c>
      <c r="I407" s="74" t="s">
        <v>514</v>
      </c>
      <c r="J407" s="96"/>
      <c r="K407" s="127"/>
      <c r="L407" s="115"/>
      <c r="M407" s="74"/>
    </row>
    <row r="408" spans="1:13" ht="20.45" customHeight="1" outlineLevel="1" x14ac:dyDescent="0.55000000000000004">
      <c r="A408" s="63">
        <f ca="1">IF($G408="UNIDADE CONSTRUTIVA",OFFSET(A408,0,0)+1,LARGE(A$3:A405,1))</f>
        <v>3</v>
      </c>
      <c r="B408" s="63">
        <f t="shared" ca="1" si="100"/>
        <v>19</v>
      </c>
      <c r="C408" s="63">
        <f t="shared" ca="1" si="101"/>
        <v>1</v>
      </c>
      <c r="D408" s="64">
        <f t="shared" ca="1" si="102"/>
        <v>5</v>
      </c>
      <c r="E408" s="64">
        <f t="shared" ca="1" si="103"/>
        <v>0</v>
      </c>
      <c r="F408" s="65"/>
      <c r="G408" s="73" t="s">
        <v>153</v>
      </c>
      <c r="H408" s="67" t="str">
        <f t="shared" ref="H408:H467" ca="1" si="108">IF(G408="Unidade Construtiva",TEXT(A408,"00"),IF(G408="Célula Construtiva",TEXT(B408,"00"),IF(G408="Etapa",CONCATENATE(TEXT(B408,"00"),".",TEXT(C408,"000")),IF(G408="Subetapa",CONCATENATE(TEXT(B408,"00"),".",TEXT(C408,"000"),".",TEXT(D408,"000")),IF(G408="Serviço",CONCATENATE(TEXT(B408,"00"),".",TEXT(C408,"000"),".",TEXT(D408,"000"),".",TEXT(E408,"000")),"")))))</f>
        <v>19.001.005</v>
      </c>
      <c r="I408" s="74" t="s">
        <v>39</v>
      </c>
      <c r="J408" s="96"/>
      <c r="K408" s="127"/>
      <c r="L408" s="115">
        <f>SUM(L409:L410)</f>
        <v>399528.86102999991</v>
      </c>
      <c r="M408" s="74"/>
    </row>
    <row r="409" spans="1:13" ht="20.45" customHeight="1" outlineLevel="1" x14ac:dyDescent="0.55000000000000004">
      <c r="A409" s="63">
        <f ca="1">IF($G409="UNIDADE CONSTRUTIVA",OFFSET(A409,0,0)+1,LARGE(A$3:A408,1))</f>
        <v>3</v>
      </c>
      <c r="B409" s="63">
        <f t="shared" ca="1" si="100"/>
        <v>19</v>
      </c>
      <c r="C409" s="63">
        <f t="shared" ca="1" si="101"/>
        <v>1</v>
      </c>
      <c r="D409" s="64">
        <f t="shared" ca="1" si="102"/>
        <v>5</v>
      </c>
      <c r="E409" s="64">
        <f t="shared" ca="1" si="103"/>
        <v>1</v>
      </c>
      <c r="F409" s="65"/>
      <c r="G409" s="73" t="s">
        <v>154</v>
      </c>
      <c r="H409" s="67" t="str">
        <f t="shared" ca="1" si="108"/>
        <v>19.001.005.001</v>
      </c>
      <c r="I409" s="74" t="s">
        <v>233</v>
      </c>
      <c r="J409" s="96">
        <v>620.53</v>
      </c>
      <c r="K409" s="127" t="s">
        <v>185</v>
      </c>
      <c r="L409" s="115">
        <v>399528.86102999991</v>
      </c>
      <c r="M409" s="74"/>
    </row>
    <row r="410" spans="1:13" ht="20.45" customHeight="1" outlineLevel="1" x14ac:dyDescent="0.55000000000000004">
      <c r="A410" s="63">
        <f ca="1">IF($G410="UNIDADE CONSTRUTIVA",OFFSET(A410,0,0)+1,LARGE(A$3:A409,1))</f>
        <v>3</v>
      </c>
      <c r="B410" s="63">
        <f t="shared" ca="1" si="100"/>
        <v>19</v>
      </c>
      <c r="C410" s="63">
        <f t="shared" ca="1" si="101"/>
        <v>1</v>
      </c>
      <c r="D410" s="64">
        <f t="shared" ca="1" si="102"/>
        <v>5</v>
      </c>
      <c r="E410" s="64">
        <f t="shared" ca="1" si="103"/>
        <v>2</v>
      </c>
      <c r="F410" s="65"/>
      <c r="G410" s="73" t="s">
        <v>154</v>
      </c>
      <c r="H410" s="67" t="str">
        <f t="shared" ca="1" si="108"/>
        <v>19.001.005.002</v>
      </c>
      <c r="I410" s="74" t="s">
        <v>234</v>
      </c>
      <c r="J410" s="96"/>
      <c r="K410" s="127"/>
      <c r="L410" s="115"/>
      <c r="M410" s="74"/>
    </row>
    <row r="411" spans="1:13" ht="20.45" customHeight="1" x14ac:dyDescent="0.55000000000000004">
      <c r="A411" s="63">
        <f ca="1">IF($G411="UNIDADE CONSTRUTIVA",OFFSET(A411,0,0)+1,LARGE(A$3:A410,1))</f>
        <v>3</v>
      </c>
      <c r="B411" s="63">
        <f t="shared" ca="1" si="100"/>
        <v>20</v>
      </c>
      <c r="C411" s="63">
        <f t="shared" ca="1" si="101"/>
        <v>0</v>
      </c>
      <c r="D411" s="64">
        <f t="shared" ca="1" si="102"/>
        <v>5</v>
      </c>
      <c r="E411" s="64">
        <f t="shared" ca="1" si="103"/>
        <v>2</v>
      </c>
      <c r="F411" s="65"/>
      <c r="G411" s="71" t="s">
        <v>156</v>
      </c>
      <c r="H411" s="67" t="str">
        <f t="shared" ca="1" si="108"/>
        <v>20</v>
      </c>
      <c r="I411" s="72" t="s">
        <v>137</v>
      </c>
      <c r="J411" s="95"/>
      <c r="K411" s="112"/>
      <c r="L411" s="113">
        <f>L412</f>
        <v>3653145.0130340005</v>
      </c>
      <c r="M411" s="72"/>
    </row>
    <row r="412" spans="1:13" ht="20.45" customHeight="1" outlineLevel="1" x14ac:dyDescent="0.55000000000000004">
      <c r="A412" s="63">
        <f ca="1">IF($G412="UNIDADE CONSTRUTIVA",OFFSET(A412,0,0)+1,LARGE(A$3:A411,1))</f>
        <v>3</v>
      </c>
      <c r="B412" s="63">
        <f t="shared" ca="1" si="100"/>
        <v>20</v>
      </c>
      <c r="C412" s="63">
        <f t="shared" ca="1" si="101"/>
        <v>1</v>
      </c>
      <c r="D412" s="64">
        <f t="shared" ca="1" si="102"/>
        <v>0</v>
      </c>
      <c r="E412" s="64">
        <f t="shared" ca="1" si="103"/>
        <v>2</v>
      </c>
      <c r="F412" s="65"/>
      <c r="G412" s="71" t="s">
        <v>157</v>
      </c>
      <c r="H412" s="67" t="str">
        <f t="shared" ca="1" si="108"/>
        <v>20.001</v>
      </c>
      <c r="I412" s="80" t="s">
        <v>137</v>
      </c>
      <c r="J412" s="107"/>
      <c r="K412" s="138"/>
      <c r="L412" s="115">
        <f>SUM(L413:L444)/2</f>
        <v>3653145.0130340005</v>
      </c>
      <c r="M412" s="80"/>
    </row>
    <row r="413" spans="1:13" ht="20.45" customHeight="1" outlineLevel="1" x14ac:dyDescent="0.55000000000000004">
      <c r="A413" s="63">
        <f ca="1">IF($G413="UNIDADE CONSTRUTIVA",OFFSET(A413,0,0)+1,LARGE(A$3:A412,1))</f>
        <v>3</v>
      </c>
      <c r="B413" s="63">
        <f t="shared" ca="1" si="100"/>
        <v>20</v>
      </c>
      <c r="C413" s="63">
        <f t="shared" ca="1" si="101"/>
        <v>1</v>
      </c>
      <c r="D413" s="64">
        <f t="shared" ca="1" si="102"/>
        <v>1</v>
      </c>
      <c r="E413" s="64">
        <f t="shared" ca="1" si="103"/>
        <v>0</v>
      </c>
      <c r="F413" s="65"/>
      <c r="G413" s="73" t="s">
        <v>153</v>
      </c>
      <c r="H413" s="67" t="str">
        <f t="shared" ca="1" si="108"/>
        <v>20.001.001</v>
      </c>
      <c r="I413" s="74" t="s">
        <v>138</v>
      </c>
      <c r="J413" s="96"/>
      <c r="K413" s="114"/>
      <c r="L413" s="115">
        <f>SUM(L414:L417)</f>
        <v>455639.92977799999</v>
      </c>
      <c r="M413" s="74"/>
    </row>
    <row r="414" spans="1:13" ht="20.45" customHeight="1" outlineLevel="1" x14ac:dyDescent="0.55000000000000004">
      <c r="A414" s="63">
        <f ca="1">IF($G414="UNIDADE CONSTRUTIVA",OFFSET(A414,0,0)+1,LARGE(A$3:A411,1))</f>
        <v>3</v>
      </c>
      <c r="B414" s="63">
        <f t="shared" ca="1" si="100"/>
        <v>20</v>
      </c>
      <c r="C414" s="63">
        <f t="shared" ca="1" si="101"/>
        <v>1</v>
      </c>
      <c r="D414" s="64">
        <f t="shared" ca="1" si="102"/>
        <v>1</v>
      </c>
      <c r="E414" s="64">
        <f t="shared" ca="1" si="103"/>
        <v>1</v>
      </c>
      <c r="F414" s="65"/>
      <c r="G414" s="73" t="s">
        <v>154</v>
      </c>
      <c r="H414" s="67" t="str">
        <f t="shared" ca="1" si="108"/>
        <v>20.001.001.001</v>
      </c>
      <c r="I414" s="74" t="s">
        <v>318</v>
      </c>
      <c r="J414" s="96">
        <v>13476.3238</v>
      </c>
      <c r="K414" s="127" t="s">
        <v>185</v>
      </c>
      <c r="L414" s="115">
        <v>111179.67135</v>
      </c>
      <c r="M414" s="74"/>
    </row>
    <row r="415" spans="1:13" ht="20.45" customHeight="1" outlineLevel="1" x14ac:dyDescent="0.55000000000000004">
      <c r="A415" s="63">
        <f ca="1">IF($G415="UNIDADE CONSTRUTIVA",OFFSET(A415,0,0)+1,LARGE(A$3:A411,1))</f>
        <v>3</v>
      </c>
      <c r="B415" s="63">
        <f t="shared" ca="1" si="100"/>
        <v>20</v>
      </c>
      <c r="C415" s="63">
        <f t="shared" ca="1" si="101"/>
        <v>1</v>
      </c>
      <c r="D415" s="64">
        <f t="shared" ca="1" si="102"/>
        <v>1</v>
      </c>
      <c r="E415" s="64">
        <f t="shared" ca="1" si="103"/>
        <v>2</v>
      </c>
      <c r="F415" s="65"/>
      <c r="G415" s="73" t="s">
        <v>154</v>
      </c>
      <c r="H415" s="67" t="str">
        <f t="shared" ca="1" si="108"/>
        <v>20.001.001.002</v>
      </c>
      <c r="I415" s="74" t="s">
        <v>319</v>
      </c>
      <c r="J415" s="96">
        <v>13476.3238</v>
      </c>
      <c r="K415" s="127" t="s">
        <v>185</v>
      </c>
      <c r="L415" s="115">
        <v>252007.25506000002</v>
      </c>
      <c r="M415" s="74"/>
    </row>
    <row r="416" spans="1:13" ht="20.45" customHeight="1" outlineLevel="1" x14ac:dyDescent="0.55000000000000004">
      <c r="A416" s="63">
        <f ca="1">IF($G416="UNIDADE CONSTRUTIVA",OFFSET(A416,0,0)+1,LARGE(A$3:A412,1))</f>
        <v>3</v>
      </c>
      <c r="B416" s="63">
        <f t="shared" ref="B416" ca="1" si="109">IF(G416="UNIDADE CONSTRUTIVA",0,IF(G416="CÉLULA CONSTRUTIVA",OFFSET(B416,-1,0)+1,OFFSET(B416,-1,0)))</f>
        <v>20</v>
      </c>
      <c r="C416" s="63">
        <f t="shared" ref="C416" ca="1" si="110">IF(G416="CÉLULA CONSTRUTIVA",0,IF(G416="ETAPA",OFFSET(C416,-1,0)+1,OFFSET(C416,-1,0)))</f>
        <v>1</v>
      </c>
      <c r="D416" s="64">
        <f t="shared" ref="D416" ca="1" si="111">IF(G416="ETAPA",0,IF(G416="SUBETAPA",OFFSET(D416,-1,0)+1,OFFSET(D416,-1,0)))</f>
        <v>1</v>
      </c>
      <c r="E416" s="64">
        <f t="shared" ref="E416" ca="1" si="112">IF(G416="Subetapa",0,IF(G416="serviço",OFFSET(E416,-1,0)+1,OFFSET(E416,-1,0)))</f>
        <v>3</v>
      </c>
      <c r="F416" s="65"/>
      <c r="G416" s="73" t="s">
        <v>154</v>
      </c>
      <c r="H416" s="67" t="str">
        <f t="shared" ref="H416" ca="1" si="113">IF(G416="Unidade Construtiva",TEXT(A416,"00"),IF(G416="Célula Construtiva",TEXT(B416,"00"),IF(G416="Etapa",CONCATENATE(TEXT(B416,"00"),".",TEXT(C416,"000")),IF(G416="Subetapa",CONCATENATE(TEXT(B416,"00"),".",TEXT(C416,"000"),".",TEXT(D416,"000")),IF(G416="Serviço",CONCATENATE(TEXT(B416,"00"),".",TEXT(C416,"000"),".",TEXT(D416,"000"),".",TEXT(E416,"000")),"")))))</f>
        <v>20.001.001.003</v>
      </c>
      <c r="I416" s="74" t="s">
        <v>625</v>
      </c>
      <c r="J416" s="96">
        <v>1847.1016</v>
      </c>
      <c r="K416" s="127" t="s">
        <v>185</v>
      </c>
      <c r="L416" s="115">
        <v>69691.143368000005</v>
      </c>
      <c r="M416" s="74"/>
    </row>
    <row r="417" spans="1:13" ht="20.45" customHeight="1" outlineLevel="1" x14ac:dyDescent="0.55000000000000004">
      <c r="A417" s="63">
        <f ca="1">IF($G417="UNIDADE CONSTRUTIVA",OFFSET(A417,0,0)+1,LARGE(A$3:A412,1))</f>
        <v>3</v>
      </c>
      <c r="B417" s="63">
        <f t="shared" ca="1" si="100"/>
        <v>20</v>
      </c>
      <c r="C417" s="63">
        <f t="shared" ca="1" si="101"/>
        <v>1</v>
      </c>
      <c r="D417" s="64">
        <f t="shared" ca="1" si="102"/>
        <v>1</v>
      </c>
      <c r="E417" s="64">
        <f t="shared" ca="1" si="103"/>
        <v>4</v>
      </c>
      <c r="F417" s="65"/>
      <c r="G417" s="73" t="s">
        <v>154</v>
      </c>
      <c r="H417" s="67" t="str">
        <f t="shared" ca="1" si="108"/>
        <v>20.001.001.004</v>
      </c>
      <c r="I417" s="74" t="s">
        <v>320</v>
      </c>
      <c r="J417" s="96">
        <v>4138.5200000000004</v>
      </c>
      <c r="K417" s="127" t="s">
        <v>183</v>
      </c>
      <c r="L417" s="115">
        <v>22761.860000000004</v>
      </c>
      <c r="M417" s="74"/>
    </row>
    <row r="418" spans="1:13" ht="20.45" customHeight="1" outlineLevel="1" x14ac:dyDescent="0.55000000000000004">
      <c r="A418" s="63">
        <f ca="1">IF($G418="UNIDADE CONSTRUTIVA",OFFSET(A418,0,0)+1,LARGE(A$3:A413,1))</f>
        <v>3</v>
      </c>
      <c r="B418" s="63">
        <f t="shared" ca="1" si="100"/>
        <v>20</v>
      </c>
      <c r="C418" s="63">
        <f t="shared" ca="1" si="101"/>
        <v>1</v>
      </c>
      <c r="D418" s="64">
        <f t="shared" ca="1" si="102"/>
        <v>2</v>
      </c>
      <c r="E418" s="64">
        <f t="shared" ca="1" si="103"/>
        <v>0</v>
      </c>
      <c r="F418" s="65"/>
      <c r="G418" s="73" t="s">
        <v>153</v>
      </c>
      <c r="H418" s="67" t="str">
        <f t="shared" ca="1" si="108"/>
        <v>20.001.002</v>
      </c>
      <c r="I418" s="74" t="s">
        <v>139</v>
      </c>
      <c r="J418" s="96"/>
      <c r="K418" s="114"/>
      <c r="L418" s="115">
        <f>SUM(L419:L421)</f>
        <v>416689.03667600005</v>
      </c>
      <c r="M418" s="74"/>
    </row>
    <row r="419" spans="1:13" ht="20.45" customHeight="1" outlineLevel="1" x14ac:dyDescent="0.55000000000000004">
      <c r="A419" s="63">
        <f ca="1">IF($G419="UNIDADE CONSTRUTIVA",OFFSET(A419,0,0)+1,LARGE(A$3:A414,1))</f>
        <v>3</v>
      </c>
      <c r="B419" s="63">
        <f t="shared" ca="1" si="100"/>
        <v>20</v>
      </c>
      <c r="C419" s="63">
        <f t="shared" ca="1" si="101"/>
        <v>1</v>
      </c>
      <c r="D419" s="64">
        <f t="shared" ca="1" si="102"/>
        <v>2</v>
      </c>
      <c r="E419" s="64">
        <f t="shared" ca="1" si="103"/>
        <v>1</v>
      </c>
      <c r="F419" s="65"/>
      <c r="G419" s="73" t="s">
        <v>154</v>
      </c>
      <c r="H419" s="67" t="str">
        <f t="shared" ca="1" si="108"/>
        <v>20.001.002.001</v>
      </c>
      <c r="I419" s="74" t="s">
        <v>323</v>
      </c>
      <c r="J419" s="96">
        <v>13476.3238</v>
      </c>
      <c r="K419" s="127" t="s">
        <v>185</v>
      </c>
      <c r="L419" s="115">
        <v>370598.90450000006</v>
      </c>
      <c r="M419" s="74"/>
    </row>
    <row r="420" spans="1:13" ht="20.45" customHeight="1" outlineLevel="1" x14ac:dyDescent="0.55000000000000004">
      <c r="A420" s="63">
        <f ca="1">IF($G420="UNIDADE CONSTRUTIVA",OFFSET(A420,0,0)+1,LARGE(A$3:A414,1))</f>
        <v>3</v>
      </c>
      <c r="B420" s="63">
        <f t="shared" ref="B420" ca="1" si="114">IF(G420="UNIDADE CONSTRUTIVA",0,IF(G420="CÉLULA CONSTRUTIVA",OFFSET(B420,-1,0)+1,OFFSET(B420,-1,0)))</f>
        <v>20</v>
      </c>
      <c r="C420" s="63">
        <f t="shared" ref="C420" ca="1" si="115">IF(G420="CÉLULA CONSTRUTIVA",0,IF(G420="ETAPA",OFFSET(C420,-1,0)+1,OFFSET(C420,-1,0)))</f>
        <v>1</v>
      </c>
      <c r="D420" s="64">
        <f t="shared" ref="D420" ca="1" si="116">IF(G420="ETAPA",0,IF(G420="SUBETAPA",OFFSET(D420,-1,0)+1,OFFSET(D420,-1,0)))</f>
        <v>2</v>
      </c>
      <c r="E420" s="64">
        <f t="shared" ref="E420" ca="1" si="117">IF(G420="Subetapa",0,IF(G420="serviço",OFFSET(E420,-1,0)+1,OFFSET(E420,-1,0)))</f>
        <v>2</v>
      </c>
      <c r="F420" s="65"/>
      <c r="G420" s="73" t="s">
        <v>154</v>
      </c>
      <c r="H420" s="67" t="str">
        <f t="shared" ref="H420" ca="1" si="118">IF(G420="Unidade Construtiva",TEXT(A420,"00"),IF(G420="Célula Construtiva",TEXT(B420,"00"),IF(G420="Etapa",CONCATENATE(TEXT(B420,"00"),".",TEXT(C420,"000")),IF(G420="Subetapa",CONCATENATE(TEXT(B420,"00"),".",TEXT(C420,"000"),".",TEXT(D420,"000")),IF(G420="Serviço",CONCATENATE(TEXT(B420,"00"),".",TEXT(C420,"000"),".",TEXT(D420,"000"),".",TEXT(E420,"000")),"")))))</f>
        <v>20.001.002.002</v>
      </c>
      <c r="I420" s="74" t="s">
        <v>627</v>
      </c>
      <c r="J420" s="96">
        <v>1847.1016</v>
      </c>
      <c r="K420" s="127" t="s">
        <v>183</v>
      </c>
      <c r="L420" s="115">
        <v>19505.392895999998</v>
      </c>
      <c r="M420" s="74"/>
    </row>
    <row r="421" spans="1:13" ht="20.45" customHeight="1" outlineLevel="1" x14ac:dyDescent="0.55000000000000004">
      <c r="A421" s="63">
        <f ca="1">IF($G421="UNIDADE CONSTRUTIVA",OFFSET(A421,0,0)+1,LARGE(A$3:A415,1))</f>
        <v>3</v>
      </c>
      <c r="B421" s="63">
        <f t="shared" ca="1" si="100"/>
        <v>20</v>
      </c>
      <c r="C421" s="63">
        <f t="shared" ca="1" si="101"/>
        <v>1</v>
      </c>
      <c r="D421" s="64">
        <f t="shared" ca="1" si="102"/>
        <v>2</v>
      </c>
      <c r="E421" s="64">
        <f t="shared" ca="1" si="103"/>
        <v>3</v>
      </c>
      <c r="F421" s="65"/>
      <c r="G421" s="73" t="s">
        <v>154</v>
      </c>
      <c r="H421" s="67" t="str">
        <f t="shared" ca="1" si="108"/>
        <v>20.001.002.003</v>
      </c>
      <c r="I421" s="74" t="s">
        <v>324</v>
      </c>
      <c r="J421" s="96">
        <v>2013.9953999999998</v>
      </c>
      <c r="K421" s="127" t="s">
        <v>185</v>
      </c>
      <c r="L421" s="115">
        <v>26584.739279999998</v>
      </c>
      <c r="M421" s="74"/>
    </row>
    <row r="422" spans="1:13" ht="20.45" customHeight="1" outlineLevel="1" x14ac:dyDescent="0.55000000000000004">
      <c r="A422" s="63">
        <f ca="1">IF($G422="UNIDADE CONSTRUTIVA",OFFSET(A422,0,0)+1,LARGE(A$3:A418,1))</f>
        <v>3</v>
      </c>
      <c r="B422" s="63">
        <f t="shared" ca="1" si="100"/>
        <v>20</v>
      </c>
      <c r="C422" s="63">
        <f t="shared" ca="1" si="101"/>
        <v>1</v>
      </c>
      <c r="D422" s="64">
        <f t="shared" ca="1" si="102"/>
        <v>3</v>
      </c>
      <c r="E422" s="64">
        <f t="shared" ca="1" si="103"/>
        <v>0</v>
      </c>
      <c r="F422" s="65"/>
      <c r="G422" s="73" t="s">
        <v>153</v>
      </c>
      <c r="H422" s="67" t="str">
        <f t="shared" ca="1" si="108"/>
        <v>20.001.003</v>
      </c>
      <c r="I422" s="74" t="s">
        <v>140</v>
      </c>
      <c r="J422" s="96"/>
      <c r="K422" s="114"/>
      <c r="L422" s="115">
        <f>SUM(L423:L436)</f>
        <v>123195.68799999999</v>
      </c>
      <c r="M422" s="74"/>
    </row>
    <row r="423" spans="1:13" ht="20.45" customHeight="1" outlineLevel="1" x14ac:dyDescent="0.55000000000000004">
      <c r="A423" s="63">
        <f ca="1">IF($G423="UNIDADE CONSTRUTIVA",OFFSET(A423,0,0)+1,LARGE(A$3:A419,1))</f>
        <v>3</v>
      </c>
      <c r="B423" s="63">
        <f t="shared" ca="1" si="100"/>
        <v>20</v>
      </c>
      <c r="C423" s="63">
        <f t="shared" ca="1" si="101"/>
        <v>1</v>
      </c>
      <c r="D423" s="64">
        <f t="shared" ca="1" si="102"/>
        <v>3</v>
      </c>
      <c r="E423" s="64">
        <f t="shared" ca="1" si="103"/>
        <v>1</v>
      </c>
      <c r="F423" s="65"/>
      <c r="G423" s="73" t="s">
        <v>154</v>
      </c>
      <c r="H423" s="67" t="str">
        <f t="shared" ca="1" si="108"/>
        <v>20.001.003.001</v>
      </c>
      <c r="I423" s="74" t="s">
        <v>488</v>
      </c>
      <c r="J423" s="96"/>
      <c r="K423" s="127" t="s">
        <v>183</v>
      </c>
      <c r="L423" s="115"/>
      <c r="M423" s="74"/>
    </row>
    <row r="424" spans="1:13" ht="20.45" customHeight="1" outlineLevel="1" x14ac:dyDescent="0.55000000000000004">
      <c r="A424" s="63">
        <f ca="1">IF($G424="UNIDADE CONSTRUTIVA",OFFSET(A424,0,0)+1,LARGE(A$3:A421,1))</f>
        <v>3</v>
      </c>
      <c r="B424" s="63">
        <f t="shared" ca="1" si="100"/>
        <v>20</v>
      </c>
      <c r="C424" s="63">
        <f t="shared" ca="1" si="101"/>
        <v>1</v>
      </c>
      <c r="D424" s="64">
        <f t="shared" ca="1" si="102"/>
        <v>3</v>
      </c>
      <c r="E424" s="64">
        <f t="shared" ca="1" si="103"/>
        <v>2</v>
      </c>
      <c r="F424" s="65"/>
      <c r="G424" s="73" t="s">
        <v>154</v>
      </c>
      <c r="H424" s="67" t="str">
        <f t="shared" ca="1" si="108"/>
        <v>20.001.003.002</v>
      </c>
      <c r="I424" s="74" t="s">
        <v>489</v>
      </c>
      <c r="J424" s="96"/>
      <c r="K424" s="127" t="s">
        <v>183</v>
      </c>
      <c r="L424" s="115"/>
      <c r="M424" s="74"/>
    </row>
    <row r="425" spans="1:13" ht="20.45" customHeight="1" outlineLevel="1" x14ac:dyDescent="0.55000000000000004">
      <c r="A425" s="63">
        <f ca="1">IF($G425="UNIDADE CONSTRUTIVA",OFFSET(A425,0,0)+1,LARGE(A$3:A422,1))</f>
        <v>3</v>
      </c>
      <c r="B425" s="63">
        <f t="shared" ca="1" si="100"/>
        <v>20</v>
      </c>
      <c r="C425" s="63">
        <f t="shared" ca="1" si="101"/>
        <v>1</v>
      </c>
      <c r="D425" s="64">
        <f t="shared" ca="1" si="102"/>
        <v>3</v>
      </c>
      <c r="E425" s="64">
        <f t="shared" ca="1" si="103"/>
        <v>3</v>
      </c>
      <c r="F425" s="65"/>
      <c r="G425" s="73" t="s">
        <v>154</v>
      </c>
      <c r="H425" s="67" t="str">
        <f t="shared" ca="1" si="108"/>
        <v>20.001.003.003</v>
      </c>
      <c r="I425" s="74" t="s">
        <v>490</v>
      </c>
      <c r="J425" s="96"/>
      <c r="K425" s="127" t="s">
        <v>183</v>
      </c>
      <c r="L425" s="115"/>
      <c r="M425" s="74"/>
    </row>
    <row r="426" spans="1:13" ht="20.45" customHeight="1" outlineLevel="1" x14ac:dyDescent="0.55000000000000004">
      <c r="A426" s="63">
        <f ca="1">IF($G426="UNIDADE CONSTRUTIVA",OFFSET(A426,0,0)+1,LARGE(A$3:A422,1))</f>
        <v>3</v>
      </c>
      <c r="B426" s="63">
        <f t="shared" ca="1" si="100"/>
        <v>20</v>
      </c>
      <c r="C426" s="63">
        <f t="shared" ca="1" si="101"/>
        <v>1</v>
      </c>
      <c r="D426" s="64">
        <f t="shared" ca="1" si="102"/>
        <v>3</v>
      </c>
      <c r="E426" s="64">
        <f t="shared" ca="1" si="103"/>
        <v>4</v>
      </c>
      <c r="F426" s="65"/>
      <c r="G426" s="73" t="s">
        <v>154</v>
      </c>
      <c r="H426" s="67" t="str">
        <f t="shared" ca="1" si="108"/>
        <v>20.001.003.004</v>
      </c>
      <c r="I426" s="74" t="s">
        <v>491</v>
      </c>
      <c r="J426" s="96">
        <v>23</v>
      </c>
      <c r="K426" s="127" t="s">
        <v>183</v>
      </c>
      <c r="L426" s="115">
        <v>1138.5</v>
      </c>
      <c r="M426" s="74"/>
    </row>
    <row r="427" spans="1:13" ht="20.45" customHeight="1" outlineLevel="1" x14ac:dyDescent="0.55000000000000004">
      <c r="A427" s="63">
        <f ca="1">IF($G427="UNIDADE CONSTRUTIVA",OFFSET(A427,0,0)+1,LARGE(A$3:A423,1))</f>
        <v>3</v>
      </c>
      <c r="B427" s="63">
        <f t="shared" ca="1" si="100"/>
        <v>20</v>
      </c>
      <c r="C427" s="63">
        <f t="shared" ca="1" si="101"/>
        <v>1</v>
      </c>
      <c r="D427" s="64">
        <f t="shared" ca="1" si="102"/>
        <v>3</v>
      </c>
      <c r="E427" s="64">
        <f t="shared" ca="1" si="103"/>
        <v>5</v>
      </c>
      <c r="F427" s="65"/>
      <c r="G427" s="73" t="s">
        <v>154</v>
      </c>
      <c r="H427" s="67" t="str">
        <f t="shared" ca="1" si="108"/>
        <v>20.001.003.005</v>
      </c>
      <c r="I427" s="74" t="s">
        <v>492</v>
      </c>
      <c r="J427" s="96"/>
      <c r="K427" s="127" t="s">
        <v>183</v>
      </c>
      <c r="L427" s="115"/>
      <c r="M427" s="74"/>
    </row>
    <row r="428" spans="1:13" ht="20.45" customHeight="1" outlineLevel="1" x14ac:dyDescent="0.55000000000000004">
      <c r="A428" s="63">
        <f ca="1">IF($G428="UNIDADE CONSTRUTIVA",OFFSET(A428,0,0)+1,LARGE(A$3:A424,1))</f>
        <v>3</v>
      </c>
      <c r="B428" s="63">
        <f t="shared" ca="1" si="100"/>
        <v>20</v>
      </c>
      <c r="C428" s="63">
        <f t="shared" ca="1" si="101"/>
        <v>1</v>
      </c>
      <c r="D428" s="64">
        <f t="shared" ca="1" si="102"/>
        <v>3</v>
      </c>
      <c r="E428" s="64">
        <f t="shared" ca="1" si="103"/>
        <v>6</v>
      </c>
      <c r="F428" s="65"/>
      <c r="G428" s="73" t="s">
        <v>154</v>
      </c>
      <c r="H428" s="67" t="str">
        <f t="shared" ca="1" si="108"/>
        <v>20.001.003.006</v>
      </c>
      <c r="I428" s="74" t="s">
        <v>493</v>
      </c>
      <c r="J428" s="96">
        <v>33.599999999999994</v>
      </c>
      <c r="K428" s="127" t="s">
        <v>183</v>
      </c>
      <c r="L428" s="115">
        <v>1921.9199999999998</v>
      </c>
      <c r="M428" s="74"/>
    </row>
    <row r="429" spans="1:13" ht="20.45" customHeight="1" outlineLevel="1" x14ac:dyDescent="0.55000000000000004">
      <c r="A429" s="63">
        <f ca="1">IF($G429="UNIDADE CONSTRUTIVA",OFFSET(A429,0,0)+1,LARGE(A$3:A425,1))</f>
        <v>3</v>
      </c>
      <c r="B429" s="63">
        <f t="shared" ca="1" si="100"/>
        <v>20</v>
      </c>
      <c r="C429" s="63">
        <f t="shared" ca="1" si="101"/>
        <v>1</v>
      </c>
      <c r="D429" s="64">
        <f t="shared" ca="1" si="102"/>
        <v>3</v>
      </c>
      <c r="E429" s="64">
        <f t="shared" ca="1" si="103"/>
        <v>7</v>
      </c>
      <c r="F429" s="65"/>
      <c r="G429" s="73" t="s">
        <v>154</v>
      </c>
      <c r="H429" s="67" t="str">
        <f t="shared" ca="1" si="108"/>
        <v>20.001.003.007</v>
      </c>
      <c r="I429" s="74" t="s">
        <v>494</v>
      </c>
      <c r="J429" s="96"/>
      <c r="K429" s="127" t="s">
        <v>183</v>
      </c>
      <c r="L429" s="115"/>
      <c r="M429" s="74"/>
    </row>
    <row r="430" spans="1:13" ht="20.45" customHeight="1" outlineLevel="1" x14ac:dyDescent="0.55000000000000004">
      <c r="A430" s="63">
        <f ca="1">IF($G430="UNIDADE CONSTRUTIVA",OFFSET(A430,0,0)+1,LARGE(A$3:A427,1))</f>
        <v>3</v>
      </c>
      <c r="B430" s="63">
        <f t="shared" ca="1" si="100"/>
        <v>20</v>
      </c>
      <c r="C430" s="63">
        <f t="shared" ca="1" si="101"/>
        <v>1</v>
      </c>
      <c r="D430" s="64">
        <f t="shared" ca="1" si="102"/>
        <v>3</v>
      </c>
      <c r="E430" s="64">
        <f t="shared" ca="1" si="103"/>
        <v>8</v>
      </c>
      <c r="F430" s="65"/>
      <c r="G430" s="73" t="s">
        <v>154</v>
      </c>
      <c r="H430" s="67" t="str">
        <f t="shared" ca="1" si="108"/>
        <v>20.001.003.008</v>
      </c>
      <c r="I430" s="74" t="s">
        <v>495</v>
      </c>
      <c r="J430" s="96"/>
      <c r="K430" s="127" t="s">
        <v>183</v>
      </c>
      <c r="L430" s="115"/>
      <c r="M430" s="74"/>
    </row>
    <row r="431" spans="1:13" ht="20.45" customHeight="1" outlineLevel="1" x14ac:dyDescent="0.55000000000000004">
      <c r="A431" s="63">
        <f ca="1">IF($G431="UNIDADE CONSTRUTIVA",OFFSET(A431,0,0)+1,LARGE(A$3:A428,1))</f>
        <v>3</v>
      </c>
      <c r="B431" s="63">
        <f t="shared" ca="1" si="100"/>
        <v>20</v>
      </c>
      <c r="C431" s="63">
        <f t="shared" ca="1" si="101"/>
        <v>1</v>
      </c>
      <c r="D431" s="64">
        <f t="shared" ca="1" si="102"/>
        <v>3</v>
      </c>
      <c r="E431" s="64">
        <f t="shared" ca="1" si="103"/>
        <v>9</v>
      </c>
      <c r="F431" s="65"/>
      <c r="G431" s="73" t="s">
        <v>154</v>
      </c>
      <c r="H431" s="67" t="str">
        <f t="shared" ca="1" si="108"/>
        <v>20.001.003.009</v>
      </c>
      <c r="I431" s="74" t="s">
        <v>496</v>
      </c>
      <c r="J431" s="96">
        <v>2588.8599999999997</v>
      </c>
      <c r="K431" s="127" t="s">
        <v>183</v>
      </c>
      <c r="L431" s="115">
        <v>108214.348</v>
      </c>
      <c r="M431" s="74"/>
    </row>
    <row r="432" spans="1:13" ht="20.45" customHeight="1" outlineLevel="1" x14ac:dyDescent="0.55000000000000004">
      <c r="A432" s="63">
        <f ca="1">IF($G432="UNIDADE CONSTRUTIVA",OFFSET(A432,0,0)+1,LARGE(A$3:A429,1))</f>
        <v>3</v>
      </c>
      <c r="B432" s="63">
        <f t="shared" ca="1" si="100"/>
        <v>20</v>
      </c>
      <c r="C432" s="63">
        <f t="shared" ca="1" si="101"/>
        <v>1</v>
      </c>
      <c r="D432" s="64">
        <f t="shared" ca="1" si="102"/>
        <v>3</v>
      </c>
      <c r="E432" s="64">
        <f t="shared" ca="1" si="103"/>
        <v>10</v>
      </c>
      <c r="F432" s="65"/>
      <c r="G432" s="73" t="s">
        <v>154</v>
      </c>
      <c r="H432" s="67" t="str">
        <f t="shared" ca="1" si="108"/>
        <v>20.001.003.010</v>
      </c>
      <c r="I432" s="74" t="s">
        <v>497</v>
      </c>
      <c r="J432" s="96"/>
      <c r="K432" s="127" t="s">
        <v>183</v>
      </c>
      <c r="L432" s="115"/>
      <c r="M432" s="74"/>
    </row>
    <row r="433" spans="1:13" ht="20.45" customHeight="1" outlineLevel="1" x14ac:dyDescent="0.55000000000000004">
      <c r="A433" s="63">
        <f ca="1">IF($G433="UNIDADE CONSTRUTIVA",OFFSET(A433,0,0)+1,LARGE(A$3:A423,1))</f>
        <v>3</v>
      </c>
      <c r="B433" s="63">
        <f t="shared" ca="1" si="100"/>
        <v>20</v>
      </c>
      <c r="C433" s="63">
        <f t="shared" ca="1" si="101"/>
        <v>1</v>
      </c>
      <c r="D433" s="64">
        <f t="shared" ca="1" si="102"/>
        <v>3</v>
      </c>
      <c r="E433" s="64">
        <f t="shared" ca="1" si="103"/>
        <v>11</v>
      </c>
      <c r="F433" s="65"/>
      <c r="G433" s="73" t="s">
        <v>154</v>
      </c>
      <c r="H433" s="67" t="str">
        <f t="shared" ca="1" si="108"/>
        <v>20.001.003.011</v>
      </c>
      <c r="I433" s="74" t="s">
        <v>498</v>
      </c>
      <c r="J433" s="96">
        <v>2</v>
      </c>
      <c r="K433" s="127" t="s">
        <v>265</v>
      </c>
      <c r="L433" s="115">
        <v>4752</v>
      </c>
      <c r="M433" s="74"/>
    </row>
    <row r="434" spans="1:13" ht="20.45" customHeight="1" outlineLevel="1" x14ac:dyDescent="0.55000000000000004">
      <c r="A434" s="63">
        <f ca="1">IF($G434="UNIDADE CONSTRUTIVA",OFFSET(A434,0,0)+1,LARGE(A$3:A424,1))</f>
        <v>3</v>
      </c>
      <c r="B434" s="63">
        <f t="shared" ca="1" si="100"/>
        <v>20</v>
      </c>
      <c r="C434" s="63">
        <f t="shared" ca="1" si="101"/>
        <v>1</v>
      </c>
      <c r="D434" s="64">
        <f t="shared" ca="1" si="102"/>
        <v>3</v>
      </c>
      <c r="E434" s="64">
        <f t="shared" ca="1" si="103"/>
        <v>12</v>
      </c>
      <c r="F434" s="65"/>
      <c r="G434" s="73" t="s">
        <v>154</v>
      </c>
      <c r="H434" s="67" t="str">
        <f t="shared" ca="1" si="108"/>
        <v>20.001.003.012</v>
      </c>
      <c r="I434" s="74" t="s">
        <v>499</v>
      </c>
      <c r="J434" s="96">
        <v>9</v>
      </c>
      <c r="K434" s="127" t="s">
        <v>265</v>
      </c>
      <c r="L434" s="115">
        <v>841.50000000000011</v>
      </c>
      <c r="M434" s="74"/>
    </row>
    <row r="435" spans="1:13" ht="20.45" customHeight="1" outlineLevel="1" x14ac:dyDescent="0.55000000000000004">
      <c r="A435" s="63">
        <f ca="1">IF($G435="UNIDADE CONSTRUTIVA",OFFSET(A435,0,0)+1,LARGE(A$3:A425,1))</f>
        <v>3</v>
      </c>
      <c r="B435" s="63">
        <f t="shared" ca="1" si="100"/>
        <v>20</v>
      </c>
      <c r="C435" s="63">
        <f t="shared" ca="1" si="101"/>
        <v>1</v>
      </c>
      <c r="D435" s="64">
        <f t="shared" ca="1" si="102"/>
        <v>3</v>
      </c>
      <c r="E435" s="64">
        <f t="shared" ca="1" si="103"/>
        <v>13</v>
      </c>
      <c r="F435" s="65"/>
      <c r="G435" s="73" t="s">
        <v>154</v>
      </c>
      <c r="H435" s="67" t="str">
        <f t="shared" ca="1" si="108"/>
        <v>20.001.003.013</v>
      </c>
      <c r="I435" s="74" t="s">
        <v>500</v>
      </c>
      <c r="J435" s="139">
        <f>3*2</f>
        <v>6</v>
      </c>
      <c r="K435" s="127" t="s">
        <v>183</v>
      </c>
      <c r="L435" s="115">
        <v>594</v>
      </c>
      <c r="M435" s="74"/>
    </row>
    <row r="436" spans="1:13" ht="20.45" customHeight="1" outlineLevel="1" x14ac:dyDescent="0.55000000000000004">
      <c r="A436" s="63">
        <f ca="1">IF($G436="UNIDADE CONSTRUTIVA",OFFSET(A436,0,0)+1,LARGE(A$3:A421,1))</f>
        <v>3</v>
      </c>
      <c r="B436" s="63">
        <f t="shared" ca="1" si="100"/>
        <v>20</v>
      </c>
      <c r="C436" s="63">
        <f t="shared" ca="1" si="101"/>
        <v>1</v>
      </c>
      <c r="D436" s="64">
        <f t="shared" ca="1" si="102"/>
        <v>3</v>
      </c>
      <c r="E436" s="64">
        <f t="shared" ca="1" si="103"/>
        <v>14</v>
      </c>
      <c r="F436" s="65"/>
      <c r="G436" s="73" t="s">
        <v>154</v>
      </c>
      <c r="H436" s="67" t="str">
        <f t="shared" ca="1" si="108"/>
        <v>20.001.003.014</v>
      </c>
      <c r="I436" s="74" t="s">
        <v>321</v>
      </c>
      <c r="J436" s="96">
        <v>1</v>
      </c>
      <c r="K436" s="127" t="s">
        <v>217</v>
      </c>
      <c r="L436" s="115">
        <v>5733.42</v>
      </c>
      <c r="M436" s="74"/>
    </row>
    <row r="437" spans="1:13" ht="20.45" customHeight="1" outlineLevel="1" x14ac:dyDescent="0.55000000000000004">
      <c r="A437" s="63">
        <f ca="1">IF($G437="UNIDADE CONSTRUTIVA",OFFSET(A437,0,0)+1,LARGE(A$3:A422,1))</f>
        <v>3</v>
      </c>
      <c r="B437" s="63">
        <f t="shared" ca="1" si="100"/>
        <v>20</v>
      </c>
      <c r="C437" s="63">
        <f t="shared" ca="1" si="101"/>
        <v>1</v>
      </c>
      <c r="D437" s="64">
        <f t="shared" ca="1" si="102"/>
        <v>4</v>
      </c>
      <c r="E437" s="64">
        <f t="shared" ca="1" si="103"/>
        <v>0</v>
      </c>
      <c r="F437" s="65"/>
      <c r="G437" s="73" t="s">
        <v>153</v>
      </c>
      <c r="H437" s="67" t="str">
        <f t="shared" ca="1" si="108"/>
        <v>20.001.004</v>
      </c>
      <c r="I437" s="74" t="s">
        <v>39</v>
      </c>
      <c r="J437" s="96"/>
      <c r="K437" s="114"/>
      <c r="L437" s="115">
        <f>SUM(L438:L444)</f>
        <v>2657620.3585799998</v>
      </c>
      <c r="M437" s="74"/>
    </row>
    <row r="438" spans="1:13" ht="20.45" customHeight="1" outlineLevel="1" x14ac:dyDescent="0.55000000000000004">
      <c r="A438" s="63">
        <f ca="1">IF($G438="UNIDADE CONSTRUTIVA",OFFSET(A438,0,0)+1,LARGE(A$3:A437,1))</f>
        <v>3</v>
      </c>
      <c r="B438" s="63">
        <f t="shared" ca="1" si="100"/>
        <v>20</v>
      </c>
      <c r="C438" s="63">
        <f t="shared" ca="1" si="101"/>
        <v>1</v>
      </c>
      <c r="D438" s="64">
        <f t="shared" ca="1" si="102"/>
        <v>4</v>
      </c>
      <c r="E438" s="64">
        <f t="shared" ca="1" si="103"/>
        <v>1</v>
      </c>
      <c r="F438" s="65"/>
      <c r="G438" s="73" t="s">
        <v>154</v>
      </c>
      <c r="H438" s="67" t="str">
        <f t="shared" ca="1" si="108"/>
        <v>20.001.004.001</v>
      </c>
      <c r="I438" s="74" t="s">
        <v>322</v>
      </c>
      <c r="J438" s="96">
        <v>13476.3238</v>
      </c>
      <c r="K438" s="127" t="s">
        <v>185</v>
      </c>
      <c r="L438" s="115">
        <v>963557.15170000005</v>
      </c>
      <c r="M438" s="74"/>
    </row>
    <row r="439" spans="1:13" ht="20.45" customHeight="1" outlineLevel="1" x14ac:dyDescent="0.55000000000000004">
      <c r="A439" s="63">
        <f ca="1">IF($G439="UNIDADE CONSTRUTIVA",OFFSET(A439,0,0)+1,LARGE(A$3:A438,1))</f>
        <v>3</v>
      </c>
      <c r="B439" s="63">
        <f t="shared" ref="B439" ca="1" si="119">IF(G439="UNIDADE CONSTRUTIVA",0,IF(G439="CÉLULA CONSTRUTIVA",OFFSET(B439,-1,0)+1,OFFSET(B439,-1,0)))</f>
        <v>20</v>
      </c>
      <c r="C439" s="63">
        <f t="shared" ref="C439" ca="1" si="120">IF(G439="CÉLULA CONSTRUTIVA",0,IF(G439="ETAPA",OFFSET(C439,-1,0)+1,OFFSET(C439,-1,0)))</f>
        <v>1</v>
      </c>
      <c r="D439" s="64">
        <f t="shared" ref="D439" ca="1" si="121">IF(G439="ETAPA",0,IF(G439="SUBETAPA",OFFSET(D439,-1,0)+1,OFFSET(D439,-1,0)))</f>
        <v>4</v>
      </c>
      <c r="E439" s="64">
        <f t="shared" ref="E439" ca="1" si="122">IF(G439="Subetapa",0,IF(G439="serviço",OFFSET(E439,-1,0)+1,OFFSET(E439,-1,0)))</f>
        <v>2</v>
      </c>
      <c r="F439" s="65"/>
      <c r="G439" s="73" t="s">
        <v>154</v>
      </c>
      <c r="H439" s="67" t="str">
        <f t="shared" ref="H439" ca="1" si="123">IF(G439="Unidade Construtiva",TEXT(A439,"00"),IF(G439="Célula Construtiva",TEXT(B439,"00"),IF(G439="Etapa",CONCATENATE(TEXT(B439,"00"),".",TEXT(C439,"000")),IF(G439="Subetapa",CONCATENATE(TEXT(B439,"00"),".",TEXT(C439,"000"),".",TEXT(D439,"000")),IF(G439="Serviço",CONCATENATE(TEXT(B439,"00"),".",TEXT(C439,"000"),".",TEXT(D439,"000"),".",TEXT(E439,"000")),"")))))</f>
        <v>20.001.004.002</v>
      </c>
      <c r="I439" s="74" t="s">
        <v>626</v>
      </c>
      <c r="J439" s="96">
        <v>1847.1016</v>
      </c>
      <c r="K439" s="127" t="s">
        <v>185</v>
      </c>
      <c r="L439" s="115">
        <v>264135.52880000003</v>
      </c>
      <c r="M439" s="74"/>
    </row>
    <row r="440" spans="1:13" ht="20.45" customHeight="1" outlineLevel="1" x14ac:dyDescent="0.55000000000000004">
      <c r="A440" s="63">
        <f ca="1">IF($G440="UNIDADE CONSTRUTIVA",OFFSET(A440,0,0)+1,LARGE(A$3:A438,1))</f>
        <v>3</v>
      </c>
      <c r="B440" s="63">
        <f t="shared" ca="1" si="100"/>
        <v>20</v>
      </c>
      <c r="C440" s="63">
        <f t="shared" ca="1" si="101"/>
        <v>1</v>
      </c>
      <c r="D440" s="64">
        <f t="shared" ca="1" si="102"/>
        <v>4</v>
      </c>
      <c r="E440" s="64">
        <f t="shared" ca="1" si="103"/>
        <v>3</v>
      </c>
      <c r="F440" s="65"/>
      <c r="G440" s="73" t="s">
        <v>154</v>
      </c>
      <c r="H440" s="67" t="str">
        <f t="shared" ca="1" si="108"/>
        <v>20.001.004.003</v>
      </c>
      <c r="I440" s="74" t="s">
        <v>325</v>
      </c>
      <c r="J440" s="96">
        <v>13476.3238</v>
      </c>
      <c r="K440" s="127" t="s">
        <v>185</v>
      </c>
      <c r="L440" s="115">
        <v>770845.72136000008</v>
      </c>
      <c r="M440" s="74"/>
    </row>
    <row r="441" spans="1:13" ht="20.45" customHeight="1" outlineLevel="1" x14ac:dyDescent="0.55000000000000004">
      <c r="A441" s="63">
        <f ca="1">IF($G441="UNIDADE CONSTRUTIVA",OFFSET(A441,0,0)+1,LARGE(A$3:A439,1))</f>
        <v>3</v>
      </c>
      <c r="B441" s="63">
        <f t="shared" ref="B441" ca="1" si="124">IF(G441="UNIDADE CONSTRUTIVA",0,IF(G441="CÉLULA CONSTRUTIVA",OFFSET(B441,-1,0)+1,OFFSET(B441,-1,0)))</f>
        <v>20</v>
      </c>
      <c r="C441" s="63">
        <f t="shared" ref="C441" ca="1" si="125">IF(G441="CÉLULA CONSTRUTIVA",0,IF(G441="ETAPA",OFFSET(C441,-1,0)+1,OFFSET(C441,-1,0)))</f>
        <v>1</v>
      </c>
      <c r="D441" s="64">
        <f t="shared" ref="D441" ca="1" si="126">IF(G441="ETAPA",0,IF(G441="SUBETAPA",OFFSET(D441,-1,0)+1,OFFSET(D441,-1,0)))</f>
        <v>4</v>
      </c>
      <c r="E441" s="64">
        <f t="shared" ref="E441" ca="1" si="127">IF(G441="Subetapa",0,IF(G441="serviço",OFFSET(E441,-1,0)+1,OFFSET(E441,-1,0)))</f>
        <v>4</v>
      </c>
      <c r="F441" s="65"/>
      <c r="G441" s="73" t="s">
        <v>154</v>
      </c>
      <c r="H441" s="67" t="str">
        <f t="shared" ref="H441" ca="1" si="128">IF(G441="Unidade Construtiva",TEXT(A441,"00"),IF(G441="Célula Construtiva",TEXT(B441,"00"),IF(G441="Etapa",CONCATENATE(TEXT(B441,"00"),".",TEXT(C441,"000")),IF(G441="Subetapa",CONCATENATE(TEXT(B441,"00"),".",TEXT(C441,"000"),".",TEXT(D441,"000")),IF(G441="Serviço",CONCATENATE(TEXT(B441,"00"),".",TEXT(C441,"000"),".",TEXT(D441,"000"),".",TEXT(E441,"000")),"")))))</f>
        <v>20.001.004.004</v>
      </c>
      <c r="I441" s="74" t="s">
        <v>628</v>
      </c>
      <c r="J441" s="96">
        <v>1847.1016</v>
      </c>
      <c r="K441" s="127" t="s">
        <v>183</v>
      </c>
      <c r="L441" s="115">
        <v>162544.94080000001</v>
      </c>
      <c r="M441" s="74"/>
    </row>
    <row r="442" spans="1:13" ht="20.45" customHeight="1" outlineLevel="1" x14ac:dyDescent="0.55000000000000004">
      <c r="A442" s="63">
        <f ca="1">IF($G442="UNIDADE CONSTRUTIVA",OFFSET(A442,0,0)+1,LARGE(A$3:A440,1))</f>
        <v>3</v>
      </c>
      <c r="B442" s="63">
        <f t="shared" ca="1" si="100"/>
        <v>20</v>
      </c>
      <c r="C442" s="63">
        <f t="shared" ca="1" si="101"/>
        <v>1</v>
      </c>
      <c r="D442" s="64">
        <f t="shared" ca="1" si="102"/>
        <v>4</v>
      </c>
      <c r="E442" s="64">
        <f t="shared" ca="1" si="103"/>
        <v>5</v>
      </c>
      <c r="F442" s="65"/>
      <c r="G442" s="73" t="s">
        <v>154</v>
      </c>
      <c r="H442" s="67" t="str">
        <f t="shared" ca="1" si="108"/>
        <v>20.001.004.005</v>
      </c>
      <c r="I442" s="74" t="s">
        <v>326</v>
      </c>
      <c r="J442" s="96">
        <v>2013.9953999999998</v>
      </c>
      <c r="K442" s="127" t="s">
        <v>185</v>
      </c>
      <c r="L442" s="115">
        <v>443078.98800000001</v>
      </c>
      <c r="M442" s="74"/>
    </row>
    <row r="443" spans="1:13" ht="20.45" customHeight="1" outlineLevel="1" x14ac:dyDescent="0.55000000000000004">
      <c r="A443" s="63">
        <f ca="1">IF($G443="UNIDADE CONSTRUTIVA",OFFSET(A443,0,0)+1,LARGE(A$3:A442,1))</f>
        <v>3</v>
      </c>
      <c r="B443" s="63">
        <f t="shared" ca="1" si="100"/>
        <v>20</v>
      </c>
      <c r="C443" s="63">
        <f t="shared" ca="1" si="101"/>
        <v>1</v>
      </c>
      <c r="D443" s="64">
        <f t="shared" ca="1" si="102"/>
        <v>4</v>
      </c>
      <c r="E443" s="64">
        <f t="shared" ca="1" si="103"/>
        <v>6</v>
      </c>
      <c r="F443" s="65"/>
      <c r="G443" s="73" t="s">
        <v>154</v>
      </c>
      <c r="H443" s="67" t="str">
        <f t="shared" ca="1" si="108"/>
        <v>20.001.004.006</v>
      </c>
      <c r="I443" s="74" t="s">
        <v>327</v>
      </c>
      <c r="J443" s="96">
        <v>1</v>
      </c>
      <c r="K443" s="127" t="s">
        <v>217</v>
      </c>
      <c r="L443" s="115">
        <v>1774.63</v>
      </c>
      <c r="M443" s="74"/>
    </row>
    <row r="444" spans="1:13" ht="20.45" customHeight="1" outlineLevel="1" x14ac:dyDescent="0.55000000000000004">
      <c r="A444" s="63">
        <f ca="1">IF($G444="UNIDADE CONSTRUTIVA",OFFSET(A444,0,0)+1,LARGE(A$3:A443,1))</f>
        <v>3</v>
      </c>
      <c r="B444" s="63">
        <f t="shared" ca="1" si="100"/>
        <v>20</v>
      </c>
      <c r="C444" s="63">
        <f t="shared" ca="1" si="101"/>
        <v>1</v>
      </c>
      <c r="D444" s="64">
        <f t="shared" ca="1" si="102"/>
        <v>4</v>
      </c>
      <c r="E444" s="64">
        <f t="shared" ca="1" si="103"/>
        <v>7</v>
      </c>
      <c r="F444" s="65"/>
      <c r="G444" s="73" t="s">
        <v>154</v>
      </c>
      <c r="H444" s="67" t="str">
        <f t="shared" ca="1" si="108"/>
        <v>20.001.004.007</v>
      </c>
      <c r="I444" s="74" t="s">
        <v>505</v>
      </c>
      <c r="J444" s="96">
        <v>1</v>
      </c>
      <c r="K444" s="127" t="s">
        <v>217</v>
      </c>
      <c r="L444" s="115">
        <v>51683.397920000003</v>
      </c>
      <c r="M444" s="74"/>
    </row>
    <row r="445" spans="1:13" ht="20.45" customHeight="1" x14ac:dyDescent="0.55000000000000004">
      <c r="A445" s="63">
        <f ca="1">IF($G445="UNIDADE CONSTRUTIVA",OFFSET(A445,0,0)+1,LARGE(A$3:A437,1))</f>
        <v>3</v>
      </c>
      <c r="B445" s="63">
        <f t="shared" ca="1" si="100"/>
        <v>21</v>
      </c>
      <c r="C445" s="63">
        <f t="shared" ca="1" si="101"/>
        <v>0</v>
      </c>
      <c r="D445" s="64">
        <f t="shared" ca="1" si="102"/>
        <v>4</v>
      </c>
      <c r="E445" s="64">
        <f t="shared" ca="1" si="103"/>
        <v>7</v>
      </c>
      <c r="F445" s="65"/>
      <c r="G445" s="71" t="s">
        <v>156</v>
      </c>
      <c r="H445" s="67" t="str">
        <f t="shared" ca="1" si="108"/>
        <v>21</v>
      </c>
      <c r="I445" s="72" t="s">
        <v>141</v>
      </c>
      <c r="J445" s="95"/>
      <c r="K445" s="112"/>
      <c r="L445" s="113">
        <f>L446+L453</f>
        <v>6972618.0764803598</v>
      </c>
      <c r="M445" s="72"/>
    </row>
    <row r="446" spans="1:13" ht="20.45" customHeight="1" outlineLevel="1" x14ac:dyDescent="0.55000000000000004">
      <c r="A446" s="63">
        <f ca="1">IF($G446="UNIDADE CONSTRUTIVA",OFFSET(A446,0,0)+1,LARGE(A$3:A445,1))</f>
        <v>3</v>
      </c>
      <c r="B446" s="63">
        <f t="shared" ca="1" si="100"/>
        <v>21</v>
      </c>
      <c r="C446" s="63">
        <f t="shared" ca="1" si="101"/>
        <v>1</v>
      </c>
      <c r="D446" s="64">
        <f t="shared" ca="1" si="102"/>
        <v>0</v>
      </c>
      <c r="E446" s="64">
        <f t="shared" ca="1" si="103"/>
        <v>7</v>
      </c>
      <c r="F446" s="65"/>
      <c r="G446" s="71" t="s">
        <v>157</v>
      </c>
      <c r="H446" s="67" t="str">
        <f t="shared" ca="1" si="108"/>
        <v>21.001</v>
      </c>
      <c r="I446" s="80" t="s">
        <v>142</v>
      </c>
      <c r="J446" s="107"/>
      <c r="K446" s="138"/>
      <c r="L446" s="126">
        <f>SUM(L447:L452)/2</f>
        <v>59530.085999999996</v>
      </c>
      <c r="M446" s="80"/>
    </row>
    <row r="447" spans="1:13" ht="20.45" customHeight="1" outlineLevel="1" x14ac:dyDescent="0.55000000000000004">
      <c r="A447" s="63">
        <f ca="1">IF($G447="UNIDADE CONSTRUTIVA",OFFSET(A447,0,0)+1,LARGE(A$3:A446,1))</f>
        <v>3</v>
      </c>
      <c r="B447" s="63">
        <f t="shared" ca="1" si="100"/>
        <v>21</v>
      </c>
      <c r="C447" s="63">
        <f t="shared" ca="1" si="101"/>
        <v>1</v>
      </c>
      <c r="D447" s="64">
        <f t="shared" ca="1" si="102"/>
        <v>1</v>
      </c>
      <c r="E447" s="64">
        <f t="shared" ca="1" si="103"/>
        <v>0</v>
      </c>
      <c r="F447" s="65"/>
      <c r="G447" s="73" t="s">
        <v>153</v>
      </c>
      <c r="H447" s="67" t="str">
        <f t="shared" ca="1" si="108"/>
        <v>21.001.001</v>
      </c>
      <c r="I447" s="74" t="s">
        <v>143</v>
      </c>
      <c r="J447" s="96"/>
      <c r="K447" s="114"/>
      <c r="L447" s="115">
        <f>L448</f>
        <v>59530.085999999996</v>
      </c>
      <c r="M447" s="74"/>
    </row>
    <row r="448" spans="1:13" ht="37.5" outlineLevel="1" x14ac:dyDescent="0.55000000000000004">
      <c r="A448" s="63">
        <f ca="1">IF($G448="UNIDADE CONSTRUTIVA",OFFSET(A448,0,0)+1,LARGE(A$3:A447,1))</f>
        <v>3</v>
      </c>
      <c r="B448" s="63">
        <f t="shared" ca="1" si="100"/>
        <v>21</v>
      </c>
      <c r="C448" s="63">
        <f t="shared" ca="1" si="101"/>
        <v>1</v>
      </c>
      <c r="D448" s="64">
        <f t="shared" ca="1" si="102"/>
        <v>1</v>
      </c>
      <c r="E448" s="64">
        <f t="shared" ca="1" si="103"/>
        <v>1</v>
      </c>
      <c r="F448" s="65"/>
      <c r="G448" s="73" t="s">
        <v>154</v>
      </c>
      <c r="H448" s="67" t="str">
        <f t="shared" ca="1" si="108"/>
        <v>21.001.001.001</v>
      </c>
      <c r="I448" s="74" t="s">
        <v>143</v>
      </c>
      <c r="J448" s="96">
        <v>300.65699999999998</v>
      </c>
      <c r="K448" s="127" t="s">
        <v>185</v>
      </c>
      <c r="L448" s="115">
        <v>59530.085999999996</v>
      </c>
      <c r="M448" s="74" t="s">
        <v>226</v>
      </c>
    </row>
    <row r="449" spans="1:13" ht="20.45" customHeight="1" outlineLevel="1" x14ac:dyDescent="0.55000000000000004">
      <c r="A449" s="63">
        <f ca="1">IF($G449="UNIDADE CONSTRUTIVA",OFFSET(A449,0,0)+1,LARGE(A$3:A448,1))</f>
        <v>3</v>
      </c>
      <c r="B449" s="63">
        <f t="shared" ca="1" si="100"/>
        <v>21</v>
      </c>
      <c r="C449" s="63">
        <f t="shared" ca="1" si="101"/>
        <v>1</v>
      </c>
      <c r="D449" s="64">
        <f t="shared" ca="1" si="102"/>
        <v>2</v>
      </c>
      <c r="E449" s="64">
        <f t="shared" ca="1" si="103"/>
        <v>0</v>
      </c>
      <c r="F449" s="65"/>
      <c r="G449" s="73" t="s">
        <v>153</v>
      </c>
      <c r="H449" s="67" t="str">
        <f t="shared" ca="1" si="108"/>
        <v>21.001.002</v>
      </c>
      <c r="I449" s="74" t="s">
        <v>144</v>
      </c>
      <c r="J449" s="96"/>
      <c r="K449" s="127"/>
      <c r="L449" s="115">
        <f>L450</f>
        <v>0</v>
      </c>
      <c r="M449" s="74"/>
    </row>
    <row r="450" spans="1:13" ht="20.45" customHeight="1" outlineLevel="1" x14ac:dyDescent="0.55000000000000004">
      <c r="A450" s="63">
        <f ca="1">IF($G450="UNIDADE CONSTRUTIVA",OFFSET(A450,0,0)+1,LARGE(A$3:A449,1))</f>
        <v>3</v>
      </c>
      <c r="B450" s="63">
        <f t="shared" ca="1" si="100"/>
        <v>21</v>
      </c>
      <c r="C450" s="63">
        <f t="shared" ca="1" si="101"/>
        <v>1</v>
      </c>
      <c r="D450" s="64">
        <f t="shared" ca="1" si="102"/>
        <v>2</v>
      </c>
      <c r="E450" s="64">
        <f t="shared" ca="1" si="103"/>
        <v>1</v>
      </c>
      <c r="F450" s="65"/>
      <c r="G450" s="73" t="s">
        <v>154</v>
      </c>
      <c r="H450" s="67" t="str">
        <f t="shared" ca="1" si="108"/>
        <v>21.001.002.001</v>
      </c>
      <c r="I450" s="74" t="s">
        <v>144</v>
      </c>
      <c r="J450" s="96"/>
      <c r="K450" s="127"/>
      <c r="L450" s="115"/>
      <c r="M450" s="74" t="s">
        <v>225</v>
      </c>
    </row>
    <row r="451" spans="1:13" ht="20.45" customHeight="1" outlineLevel="1" x14ac:dyDescent="0.55000000000000004">
      <c r="A451" s="63">
        <f ca="1">IF($G451="UNIDADE CONSTRUTIVA",OFFSET(A451,0,0)+1,LARGE(A$3:A450,1))</f>
        <v>3</v>
      </c>
      <c r="B451" s="63">
        <f t="shared" ca="1" si="100"/>
        <v>21</v>
      </c>
      <c r="C451" s="63">
        <f t="shared" ca="1" si="101"/>
        <v>1</v>
      </c>
      <c r="D451" s="64">
        <f t="shared" ca="1" si="102"/>
        <v>3</v>
      </c>
      <c r="E451" s="64">
        <f t="shared" ca="1" si="103"/>
        <v>0</v>
      </c>
      <c r="F451" s="65"/>
      <c r="G451" s="73" t="s">
        <v>153</v>
      </c>
      <c r="H451" s="67" t="str">
        <f t="shared" ca="1" si="108"/>
        <v>21.001.003</v>
      </c>
      <c r="I451" s="74" t="s">
        <v>145</v>
      </c>
      <c r="J451" s="96"/>
      <c r="K451" s="127"/>
      <c r="L451" s="115">
        <f>L452</f>
        <v>0</v>
      </c>
      <c r="M451" s="74"/>
    </row>
    <row r="452" spans="1:13" ht="20.45" customHeight="1" outlineLevel="1" x14ac:dyDescent="0.55000000000000004">
      <c r="A452" s="63">
        <f ca="1">IF($G452="UNIDADE CONSTRUTIVA",OFFSET(A452,0,0)+1,LARGE(A$3:A451,1))</f>
        <v>3</v>
      </c>
      <c r="B452" s="63">
        <f t="shared" ca="1" si="100"/>
        <v>21</v>
      </c>
      <c r="C452" s="63">
        <f t="shared" ca="1" si="101"/>
        <v>1</v>
      </c>
      <c r="D452" s="64">
        <f t="shared" ca="1" si="102"/>
        <v>3</v>
      </c>
      <c r="E452" s="64">
        <f t="shared" ca="1" si="103"/>
        <v>1</v>
      </c>
      <c r="F452" s="65"/>
      <c r="G452" s="73" t="s">
        <v>154</v>
      </c>
      <c r="H452" s="67" t="str">
        <f t="shared" ca="1" si="108"/>
        <v>21.001.003.001</v>
      </c>
      <c r="I452" s="74" t="s">
        <v>145</v>
      </c>
      <c r="J452" s="96"/>
      <c r="K452" s="127"/>
      <c r="L452" s="115"/>
      <c r="M452" s="74" t="s">
        <v>224</v>
      </c>
    </row>
    <row r="453" spans="1:13" ht="20.45" customHeight="1" outlineLevel="1" x14ac:dyDescent="0.55000000000000004">
      <c r="A453" s="63">
        <f ca="1">IF($G453="UNIDADE CONSTRUTIVA",OFFSET(A453,0,0)+1,LARGE(A$3:A452,1))</f>
        <v>3</v>
      </c>
      <c r="B453" s="63">
        <f t="shared" ca="1" si="100"/>
        <v>21</v>
      </c>
      <c r="C453" s="63">
        <f t="shared" ca="1" si="101"/>
        <v>2</v>
      </c>
      <c r="D453" s="64">
        <f t="shared" ca="1" si="102"/>
        <v>0</v>
      </c>
      <c r="E453" s="64">
        <f t="shared" ca="1" si="103"/>
        <v>1</v>
      </c>
      <c r="F453" s="65"/>
      <c r="G453" s="71" t="s">
        <v>157</v>
      </c>
      <c r="H453" s="67" t="str">
        <f t="shared" ca="1" si="108"/>
        <v>21.002</v>
      </c>
      <c r="I453" s="80" t="s">
        <v>141</v>
      </c>
      <c r="J453" s="107"/>
      <c r="K453" s="138"/>
      <c r="L453" s="126">
        <f>SUM(L454:L467)/2</f>
        <v>6913087.9904803596</v>
      </c>
      <c r="M453" s="80"/>
    </row>
    <row r="454" spans="1:13" ht="20.45" customHeight="1" outlineLevel="1" x14ac:dyDescent="0.55000000000000004">
      <c r="A454" s="63">
        <f ca="1">IF($G454="UNIDADE CONSTRUTIVA",OFFSET(A454,0,0)+1,LARGE(A$3:A453,1))</f>
        <v>3</v>
      </c>
      <c r="B454" s="63">
        <f t="shared" ca="1" si="100"/>
        <v>21</v>
      </c>
      <c r="C454" s="63">
        <f t="shared" ca="1" si="101"/>
        <v>2</v>
      </c>
      <c r="D454" s="64">
        <f t="shared" ca="1" si="102"/>
        <v>1</v>
      </c>
      <c r="E454" s="64">
        <f t="shared" ca="1" si="103"/>
        <v>0</v>
      </c>
      <c r="F454" s="65"/>
      <c r="G454" s="73" t="s">
        <v>153</v>
      </c>
      <c r="H454" s="67" t="str">
        <f t="shared" ca="1" si="108"/>
        <v>21.002.001</v>
      </c>
      <c r="I454" s="74" t="s">
        <v>146</v>
      </c>
      <c r="J454" s="96"/>
      <c r="K454" s="114"/>
      <c r="L454" s="115">
        <f>SUM(L455:L458)</f>
        <v>5386933.6244803583</v>
      </c>
      <c r="M454" s="74"/>
    </row>
    <row r="455" spans="1:13" ht="20.45" customHeight="1" outlineLevel="1" x14ac:dyDescent="0.55000000000000004">
      <c r="A455" s="63">
        <f ca="1">IF($G455="UNIDADE CONSTRUTIVA",OFFSET(A455,0,0)+1,LARGE(A$3:A454,1))</f>
        <v>3</v>
      </c>
      <c r="B455" s="63">
        <f t="shared" ca="1" si="100"/>
        <v>21</v>
      </c>
      <c r="C455" s="63">
        <f t="shared" ca="1" si="101"/>
        <v>2</v>
      </c>
      <c r="D455" s="64">
        <f t="shared" ca="1" si="102"/>
        <v>1</v>
      </c>
      <c r="E455" s="64">
        <f t="shared" ca="1" si="103"/>
        <v>1</v>
      </c>
      <c r="F455" s="65"/>
      <c r="G455" s="85" t="s">
        <v>154</v>
      </c>
      <c r="H455" s="86" t="str">
        <f t="shared" ca="1" si="108"/>
        <v>21.002.001.001</v>
      </c>
      <c r="I455" s="87" t="s">
        <v>629</v>
      </c>
      <c r="J455" s="108">
        <v>1</v>
      </c>
      <c r="K455" s="134" t="s">
        <v>217</v>
      </c>
      <c r="L455" s="135">
        <v>4976532</v>
      </c>
      <c r="M455" s="87" t="s">
        <v>632</v>
      </c>
    </row>
    <row r="456" spans="1:13" outlineLevel="1" x14ac:dyDescent="0.55000000000000004">
      <c r="A456" s="63">
        <f ca="1">IF($G456="UNIDADE CONSTRUTIVA",OFFSET(A456,0,0)+1,LARGE(A$3:A455,1))</f>
        <v>3</v>
      </c>
      <c r="B456" s="63">
        <f t="shared" ca="1" si="100"/>
        <v>21</v>
      </c>
      <c r="C456" s="63">
        <f t="shared" ca="1" si="101"/>
        <v>2</v>
      </c>
      <c r="D456" s="64">
        <f t="shared" ca="1" si="102"/>
        <v>1</v>
      </c>
      <c r="E456" s="64">
        <f t="shared" ca="1" si="103"/>
        <v>2</v>
      </c>
      <c r="F456" s="65"/>
      <c r="G456" s="73" t="s">
        <v>154</v>
      </c>
      <c r="H456" s="67" t="str">
        <f t="shared" ca="1" si="108"/>
        <v>21.002.001.002</v>
      </c>
      <c r="I456" s="74" t="s">
        <v>218</v>
      </c>
      <c r="J456" s="96">
        <v>45.12</v>
      </c>
      <c r="K456" s="127" t="s">
        <v>185</v>
      </c>
      <c r="L456" s="115">
        <v>27297.600000000002</v>
      </c>
      <c r="M456" s="74" t="s">
        <v>223</v>
      </c>
    </row>
    <row r="457" spans="1:13" ht="20.45" customHeight="1" outlineLevel="1" x14ac:dyDescent="0.55000000000000004">
      <c r="A457" s="63">
        <f ca="1">IF($G457="UNIDADE CONSTRUTIVA",OFFSET(A457,0,0)+1,LARGE(A$3:A456,1))</f>
        <v>3</v>
      </c>
      <c r="B457" s="63">
        <f t="shared" ca="1" si="100"/>
        <v>21</v>
      </c>
      <c r="C457" s="63">
        <f t="shared" ca="1" si="101"/>
        <v>2</v>
      </c>
      <c r="D457" s="64">
        <f t="shared" ca="1" si="102"/>
        <v>1</v>
      </c>
      <c r="E457" s="64">
        <f t="shared" ca="1" si="103"/>
        <v>3</v>
      </c>
      <c r="F457" s="65"/>
      <c r="G457" s="73" t="s">
        <v>154</v>
      </c>
      <c r="H457" s="67" t="str">
        <f t="shared" ca="1" si="108"/>
        <v>21.002.001.003</v>
      </c>
      <c r="I457" s="74" t="s">
        <v>219</v>
      </c>
      <c r="J457" s="96">
        <v>1</v>
      </c>
      <c r="K457" s="127" t="s">
        <v>217</v>
      </c>
      <c r="L457" s="115">
        <v>318041.40702711052</v>
      </c>
      <c r="M457" s="74" t="s">
        <v>220</v>
      </c>
    </row>
    <row r="458" spans="1:13" ht="20.45" customHeight="1" outlineLevel="1" x14ac:dyDescent="0.55000000000000004">
      <c r="A458" s="63">
        <f ca="1">IF($G458="UNIDADE CONSTRUTIVA",OFFSET(A458,0,0)+1,LARGE(A$3:A457,1))</f>
        <v>3</v>
      </c>
      <c r="B458" s="63">
        <f t="shared" ref="B458" ca="1" si="129">IF(G458="UNIDADE CONSTRUTIVA",0,IF(G458="CÉLULA CONSTRUTIVA",OFFSET(B458,-1,0)+1,OFFSET(B458,-1,0)))</f>
        <v>21</v>
      </c>
      <c r="C458" s="63">
        <f t="shared" ref="C458" ca="1" si="130">IF(G458="CÉLULA CONSTRUTIVA",0,IF(G458="ETAPA",OFFSET(C458,-1,0)+1,OFFSET(C458,-1,0)))</f>
        <v>2</v>
      </c>
      <c r="D458" s="64">
        <f t="shared" ref="D458" ca="1" si="131">IF(G458="ETAPA",0,IF(G458="SUBETAPA",OFFSET(D458,-1,0)+1,OFFSET(D458,-1,0)))</f>
        <v>1</v>
      </c>
      <c r="E458" s="64">
        <f t="shared" ref="E458" ca="1" si="132">IF(G458="Subetapa",0,IF(G458="serviço",OFFSET(E458,-1,0)+1,OFFSET(E458,-1,0)))</f>
        <v>4</v>
      </c>
      <c r="F458" s="65"/>
      <c r="G458" s="73" t="s">
        <v>154</v>
      </c>
      <c r="H458" s="67" t="str">
        <f t="shared" ref="H458" ca="1" si="133">IF(G458="Unidade Construtiva",TEXT(A458,"00"),IF(G458="Célula Construtiva",TEXT(B458,"00"),IF(G458="Etapa",CONCATENATE(TEXT(B458,"00"),".",TEXT(C458,"000")),IF(G458="Subetapa",CONCATENATE(TEXT(B458,"00"),".",TEXT(C458,"000"),".",TEXT(D458,"000")),IF(G458="Serviço",CONCATENATE(TEXT(B458,"00"),".",TEXT(C458,"000"),".",TEXT(D458,"000"),".",TEXT(E458,"000")),"")))))</f>
        <v>21.002.001.004</v>
      </c>
      <c r="I458" s="74" t="s">
        <v>630</v>
      </c>
      <c r="J458" s="96">
        <v>1</v>
      </c>
      <c r="K458" s="127" t="s">
        <v>217</v>
      </c>
      <c r="L458" s="115">
        <v>65062.617453248415</v>
      </c>
      <c r="M458" s="74" t="s">
        <v>631</v>
      </c>
    </row>
    <row r="459" spans="1:13" ht="20.45" customHeight="1" outlineLevel="1" x14ac:dyDescent="0.55000000000000004">
      <c r="A459" s="63">
        <f ca="1">IF($G459="UNIDADE CONSTRUTIVA",OFFSET(A459,0,0)+1,LARGE(A$3:A455,1))</f>
        <v>3</v>
      </c>
      <c r="B459" s="63">
        <f t="shared" ca="1" si="100"/>
        <v>21</v>
      </c>
      <c r="C459" s="63">
        <f t="shared" ca="1" si="101"/>
        <v>2</v>
      </c>
      <c r="D459" s="64">
        <f t="shared" ca="1" si="102"/>
        <v>2</v>
      </c>
      <c r="E459" s="64">
        <f t="shared" ca="1" si="103"/>
        <v>0</v>
      </c>
      <c r="F459" s="65"/>
      <c r="G459" s="73" t="s">
        <v>153</v>
      </c>
      <c r="H459" s="67" t="str">
        <f t="shared" ca="1" si="108"/>
        <v>21.002.002</v>
      </c>
      <c r="I459" s="74" t="s">
        <v>487</v>
      </c>
      <c r="J459" s="96"/>
      <c r="K459" s="127"/>
      <c r="L459" s="115">
        <f>L460</f>
        <v>236613.08000000007</v>
      </c>
      <c r="M459" s="74"/>
    </row>
    <row r="460" spans="1:13" ht="20.45" customHeight="1" outlineLevel="1" x14ac:dyDescent="0.55000000000000004">
      <c r="A460" s="63">
        <f ca="1">IF($G460="UNIDADE CONSTRUTIVA",OFFSET(A460,0,0)+1,LARGE(A$3:A459,1))</f>
        <v>3</v>
      </c>
      <c r="B460" s="63">
        <f t="shared" ca="1" si="100"/>
        <v>21</v>
      </c>
      <c r="C460" s="63">
        <f t="shared" ca="1" si="101"/>
        <v>2</v>
      </c>
      <c r="D460" s="64">
        <f t="shared" ca="1" si="102"/>
        <v>2</v>
      </c>
      <c r="E460" s="64">
        <f t="shared" ca="1" si="103"/>
        <v>1</v>
      </c>
      <c r="F460" s="65"/>
      <c r="G460" s="73" t="s">
        <v>154</v>
      </c>
      <c r="H460" s="67" t="str">
        <f t="shared" ca="1" si="108"/>
        <v>21.002.002.001</v>
      </c>
      <c r="I460" s="74" t="s">
        <v>487</v>
      </c>
      <c r="J460" s="96">
        <v>1</v>
      </c>
      <c r="K460" s="127" t="s">
        <v>217</v>
      </c>
      <c r="L460" s="115">
        <v>236613.08000000007</v>
      </c>
      <c r="M460" s="74"/>
    </row>
    <row r="461" spans="1:13" ht="20.45" customHeight="1" outlineLevel="1" x14ac:dyDescent="0.55000000000000004">
      <c r="A461" s="63">
        <f ca="1">IF($G461="UNIDADE CONSTRUTIVA",OFFSET(A461,0,0)+1,LARGE(A$3:A457,1))</f>
        <v>3</v>
      </c>
      <c r="B461" s="63">
        <f t="shared" ca="1" si="100"/>
        <v>21</v>
      </c>
      <c r="C461" s="63">
        <f t="shared" ca="1" si="101"/>
        <v>2</v>
      </c>
      <c r="D461" s="64">
        <f t="shared" ca="1" si="102"/>
        <v>3</v>
      </c>
      <c r="E461" s="64">
        <f t="shared" ca="1" si="103"/>
        <v>0</v>
      </c>
      <c r="F461" s="65"/>
      <c r="G461" s="73" t="s">
        <v>153</v>
      </c>
      <c r="H461" s="67" t="str">
        <f t="shared" ca="1" si="108"/>
        <v>21.002.003</v>
      </c>
      <c r="I461" s="74" t="s">
        <v>147</v>
      </c>
      <c r="J461" s="96"/>
      <c r="K461" s="127"/>
      <c r="L461" s="115">
        <f>L462</f>
        <v>638855.31600000022</v>
      </c>
      <c r="M461" s="74"/>
    </row>
    <row r="462" spans="1:13" ht="20.45" customHeight="1" outlineLevel="1" x14ac:dyDescent="0.55000000000000004">
      <c r="A462" s="63">
        <f ca="1">IF($G462="UNIDADE CONSTRUTIVA",OFFSET(A462,0,0)+1,LARGE(A$3:A461,1))</f>
        <v>3</v>
      </c>
      <c r="B462" s="63">
        <f t="shared" ca="1" si="100"/>
        <v>21</v>
      </c>
      <c r="C462" s="63">
        <f t="shared" ca="1" si="101"/>
        <v>2</v>
      </c>
      <c r="D462" s="64">
        <f t="shared" ca="1" si="102"/>
        <v>3</v>
      </c>
      <c r="E462" s="64">
        <f t="shared" ca="1" si="103"/>
        <v>1</v>
      </c>
      <c r="F462" s="65"/>
      <c r="G462" s="73" t="s">
        <v>154</v>
      </c>
      <c r="H462" s="67" t="str">
        <f t="shared" ca="1" si="108"/>
        <v>21.002.003.001</v>
      </c>
      <c r="I462" s="74" t="s">
        <v>147</v>
      </c>
      <c r="J462" s="96">
        <v>1</v>
      </c>
      <c r="K462" s="127" t="s">
        <v>217</v>
      </c>
      <c r="L462" s="115">
        <v>638855.31600000022</v>
      </c>
      <c r="M462" s="74"/>
    </row>
    <row r="463" spans="1:13" ht="20.45" customHeight="1" outlineLevel="1" x14ac:dyDescent="0.55000000000000004">
      <c r="A463" s="63">
        <f ca="1">IF($G463="UNIDADE CONSTRUTIVA",OFFSET(A463,0,0)+1,LARGE(A$3:A462,1))</f>
        <v>3</v>
      </c>
      <c r="B463" s="63">
        <f t="shared" ref="B463:B467" ca="1" si="134">IF(G463="UNIDADE CONSTRUTIVA",0,IF(G463="CÉLULA CONSTRUTIVA",OFFSET(B463,-1,0)+1,OFFSET(B463,-1,0)))</f>
        <v>21</v>
      </c>
      <c r="C463" s="63">
        <f t="shared" ref="C463:C467" ca="1" si="135">IF(G463="CÉLULA CONSTRUTIVA",0,IF(G463="ETAPA",OFFSET(C463,-1,0)+1,OFFSET(C463,-1,0)))</f>
        <v>2</v>
      </c>
      <c r="D463" s="64">
        <f t="shared" ref="D463:D467" ca="1" si="136">IF(G463="ETAPA",0,IF(G463="SUBETAPA",OFFSET(D463,-1,0)+1,OFFSET(D463,-1,0)))</f>
        <v>4</v>
      </c>
      <c r="E463" s="64">
        <f t="shared" ref="E463:E467" ca="1" si="137">IF(G463="Subetapa",0,IF(G463="serviço",OFFSET(E463,-1,0)+1,OFFSET(E463,-1,0)))</f>
        <v>0</v>
      </c>
      <c r="F463" s="65"/>
      <c r="G463" s="73" t="s">
        <v>153</v>
      </c>
      <c r="H463" s="67" t="str">
        <f t="shared" ca="1" si="108"/>
        <v>21.002.004</v>
      </c>
      <c r="I463" s="74" t="s">
        <v>148</v>
      </c>
      <c r="J463" s="96"/>
      <c r="K463" s="127"/>
      <c r="L463" s="115">
        <f>SUM(L464:L465)</f>
        <v>556040.73800000013</v>
      </c>
      <c r="M463" s="74"/>
    </row>
    <row r="464" spans="1:13" ht="20.45" customHeight="1" outlineLevel="1" x14ac:dyDescent="0.55000000000000004">
      <c r="A464" s="63">
        <f ca="1">IF($G464="UNIDADE CONSTRUTIVA",OFFSET(A464,0,0)+1,LARGE(A$3:A463,1))</f>
        <v>3</v>
      </c>
      <c r="B464" s="63">
        <f t="shared" ca="1" si="134"/>
        <v>21</v>
      </c>
      <c r="C464" s="63">
        <f t="shared" ca="1" si="135"/>
        <v>2</v>
      </c>
      <c r="D464" s="64">
        <f t="shared" ca="1" si="136"/>
        <v>4</v>
      </c>
      <c r="E464" s="64">
        <f t="shared" ca="1" si="137"/>
        <v>1</v>
      </c>
      <c r="F464" s="65"/>
      <c r="G464" s="73" t="s">
        <v>154</v>
      </c>
      <c r="H464" s="67" t="str">
        <f t="shared" ca="1" si="108"/>
        <v>21.002.004.001</v>
      </c>
      <c r="I464" s="74" t="s">
        <v>485</v>
      </c>
      <c r="J464" s="96">
        <v>1</v>
      </c>
      <c r="K464" s="127" t="s">
        <v>217</v>
      </c>
      <c r="L464" s="115">
        <v>82814.578000000038</v>
      </c>
      <c r="M464" s="74"/>
    </row>
    <row r="465" spans="1:13" ht="20.45" customHeight="1" outlineLevel="1" x14ac:dyDescent="0.55000000000000004">
      <c r="A465" s="63">
        <f ca="1">IF($G465="UNIDADE CONSTRUTIVA",OFFSET(A465,0,0)+1,LARGE(A$3:A464,1))</f>
        <v>3</v>
      </c>
      <c r="B465" s="63">
        <f t="shared" ca="1" si="134"/>
        <v>21</v>
      </c>
      <c r="C465" s="63">
        <f t="shared" ca="1" si="135"/>
        <v>2</v>
      </c>
      <c r="D465" s="64">
        <f t="shared" ca="1" si="136"/>
        <v>4</v>
      </c>
      <c r="E465" s="64">
        <f t="shared" ca="1" si="137"/>
        <v>2</v>
      </c>
      <c r="F465" s="65"/>
      <c r="G465" s="73" t="s">
        <v>154</v>
      </c>
      <c r="H465" s="67" t="str">
        <f t="shared" ca="1" si="108"/>
        <v>21.002.004.002</v>
      </c>
      <c r="I465" s="74" t="s">
        <v>486</v>
      </c>
      <c r="J465" s="96">
        <v>1</v>
      </c>
      <c r="K465" s="127" t="s">
        <v>217</v>
      </c>
      <c r="L465" s="115">
        <v>473226.16000000015</v>
      </c>
      <c r="M465" s="74"/>
    </row>
    <row r="466" spans="1:13" ht="20.45" customHeight="1" outlineLevel="1" x14ac:dyDescent="0.55000000000000004">
      <c r="A466" s="63">
        <f ca="1">IF($G466="UNIDADE CONSTRUTIVA",OFFSET(A466,0,0)+1,LARGE(A$3:A464,1))</f>
        <v>3</v>
      </c>
      <c r="B466" s="63">
        <f t="shared" ca="1" si="134"/>
        <v>21</v>
      </c>
      <c r="C466" s="63">
        <f t="shared" ca="1" si="135"/>
        <v>2</v>
      </c>
      <c r="D466" s="64">
        <f t="shared" ca="1" si="136"/>
        <v>5</v>
      </c>
      <c r="E466" s="64">
        <f t="shared" ca="1" si="137"/>
        <v>0</v>
      </c>
      <c r="F466" s="65"/>
      <c r="G466" s="73" t="s">
        <v>153</v>
      </c>
      <c r="H466" s="67" t="str">
        <f t="shared" ca="1" si="108"/>
        <v>21.002.005</v>
      </c>
      <c r="I466" s="74" t="s">
        <v>149</v>
      </c>
      <c r="J466" s="96"/>
      <c r="K466" s="127"/>
      <c r="L466" s="115">
        <f>L467</f>
        <v>94645.232000000033</v>
      </c>
      <c r="M466" s="74"/>
    </row>
    <row r="467" spans="1:13" ht="20.45" customHeight="1" outlineLevel="1" x14ac:dyDescent="0.55000000000000004">
      <c r="A467" s="63">
        <f ca="1">IF($G467="UNIDADE CONSTRUTIVA",OFFSET(A467,0,0)+1,LARGE(A$3:A466,1))</f>
        <v>3</v>
      </c>
      <c r="B467" s="63">
        <f t="shared" ca="1" si="134"/>
        <v>21</v>
      </c>
      <c r="C467" s="63">
        <f t="shared" ca="1" si="135"/>
        <v>2</v>
      </c>
      <c r="D467" s="64">
        <f t="shared" ca="1" si="136"/>
        <v>5</v>
      </c>
      <c r="E467" s="64">
        <f t="shared" ca="1" si="137"/>
        <v>1</v>
      </c>
      <c r="F467" s="65"/>
      <c r="G467" s="73" t="s">
        <v>154</v>
      </c>
      <c r="H467" s="67" t="str">
        <f t="shared" ca="1" si="108"/>
        <v>21.002.005.001</v>
      </c>
      <c r="I467" s="74" t="s">
        <v>149</v>
      </c>
      <c r="J467" s="96">
        <v>1</v>
      </c>
      <c r="K467" s="127" t="s">
        <v>217</v>
      </c>
      <c r="L467" s="115">
        <v>94645.232000000033</v>
      </c>
      <c r="M467" s="74"/>
    </row>
    <row r="468" spans="1:13" x14ac:dyDescent="0.55000000000000004">
      <c r="G468" s="91"/>
    </row>
    <row r="469" spans="1:13" x14ac:dyDescent="0.55000000000000004">
      <c r="G469" s="91"/>
    </row>
    <row r="470" spans="1:13" x14ac:dyDescent="0.55000000000000004">
      <c r="G470" s="91"/>
    </row>
    <row r="471" spans="1:13" x14ac:dyDescent="0.55000000000000004">
      <c r="G471" s="91"/>
    </row>
    <row r="472" spans="1:13" x14ac:dyDescent="0.55000000000000004">
      <c r="G472" s="91"/>
    </row>
    <row r="473" spans="1:13" x14ac:dyDescent="0.55000000000000004">
      <c r="G473" s="91"/>
    </row>
    <row r="474" spans="1:13" x14ac:dyDescent="0.55000000000000004">
      <c r="G474" s="91"/>
    </row>
    <row r="475" spans="1:13" x14ac:dyDescent="0.55000000000000004">
      <c r="G475" s="91"/>
    </row>
    <row r="476" spans="1:13" x14ac:dyDescent="0.55000000000000004">
      <c r="G476" s="91"/>
    </row>
    <row r="477" spans="1:13" x14ac:dyDescent="0.55000000000000004">
      <c r="G477" s="91"/>
    </row>
    <row r="478" spans="1:13" x14ac:dyDescent="0.55000000000000004">
      <c r="G478" s="91"/>
    </row>
    <row r="479" spans="1:13" x14ac:dyDescent="0.55000000000000004">
      <c r="G479" s="91"/>
    </row>
    <row r="480" spans="1:13" x14ac:dyDescent="0.55000000000000004">
      <c r="G480" s="91"/>
    </row>
    <row r="481" spans="7:7" x14ac:dyDescent="0.55000000000000004">
      <c r="G481" s="91"/>
    </row>
    <row r="482" spans="7:7" x14ac:dyDescent="0.55000000000000004">
      <c r="G482" s="91"/>
    </row>
    <row r="483" spans="7:7" x14ac:dyDescent="0.55000000000000004">
      <c r="G483" s="91"/>
    </row>
    <row r="484" spans="7:7" x14ac:dyDescent="0.55000000000000004">
      <c r="G484" s="91"/>
    </row>
    <row r="485" spans="7:7" x14ac:dyDescent="0.55000000000000004">
      <c r="G485" s="91"/>
    </row>
    <row r="486" spans="7:7" x14ac:dyDescent="0.55000000000000004">
      <c r="G486" s="91"/>
    </row>
    <row r="487" spans="7:7" x14ac:dyDescent="0.55000000000000004">
      <c r="G487" s="91"/>
    </row>
    <row r="488" spans="7:7" x14ac:dyDescent="0.55000000000000004">
      <c r="G488" s="91"/>
    </row>
    <row r="489" spans="7:7" x14ac:dyDescent="0.55000000000000004">
      <c r="G489" s="91"/>
    </row>
    <row r="490" spans="7:7" x14ac:dyDescent="0.55000000000000004">
      <c r="G490" s="91"/>
    </row>
    <row r="491" spans="7:7" x14ac:dyDescent="0.55000000000000004">
      <c r="G491" s="91"/>
    </row>
    <row r="492" spans="7:7" x14ac:dyDescent="0.55000000000000004">
      <c r="G492" s="91"/>
    </row>
    <row r="493" spans="7:7" x14ac:dyDescent="0.55000000000000004">
      <c r="G493" s="91"/>
    </row>
    <row r="494" spans="7:7" x14ac:dyDescent="0.55000000000000004">
      <c r="G494" s="91"/>
    </row>
    <row r="495" spans="7:7" x14ac:dyDescent="0.55000000000000004">
      <c r="G495" s="91"/>
    </row>
    <row r="496" spans="7:7" x14ac:dyDescent="0.55000000000000004">
      <c r="G496" s="91"/>
    </row>
    <row r="497" spans="7:7" x14ac:dyDescent="0.55000000000000004">
      <c r="G497" s="91"/>
    </row>
    <row r="498" spans="7:7" x14ac:dyDescent="0.55000000000000004">
      <c r="G498" s="91"/>
    </row>
    <row r="499" spans="7:7" x14ac:dyDescent="0.55000000000000004">
      <c r="G499" s="91"/>
    </row>
    <row r="500" spans="7:7" x14ac:dyDescent="0.55000000000000004">
      <c r="G500" s="91"/>
    </row>
    <row r="501" spans="7:7" x14ac:dyDescent="0.55000000000000004">
      <c r="G501" s="91"/>
    </row>
    <row r="502" spans="7:7" x14ac:dyDescent="0.55000000000000004">
      <c r="G502" s="91"/>
    </row>
    <row r="503" spans="7:7" x14ac:dyDescent="0.55000000000000004">
      <c r="G503" s="91"/>
    </row>
    <row r="504" spans="7:7" x14ac:dyDescent="0.55000000000000004">
      <c r="G504" s="91"/>
    </row>
    <row r="505" spans="7:7" x14ac:dyDescent="0.55000000000000004">
      <c r="G505" s="91"/>
    </row>
    <row r="506" spans="7:7" x14ac:dyDescent="0.55000000000000004">
      <c r="G506" s="91"/>
    </row>
    <row r="507" spans="7:7" x14ac:dyDescent="0.55000000000000004">
      <c r="G507" s="91"/>
    </row>
    <row r="508" spans="7:7" x14ac:dyDescent="0.55000000000000004">
      <c r="G508" s="91"/>
    </row>
    <row r="509" spans="7:7" x14ac:dyDescent="0.55000000000000004">
      <c r="G509" s="91"/>
    </row>
    <row r="510" spans="7:7" x14ac:dyDescent="0.55000000000000004">
      <c r="G510" s="91"/>
    </row>
    <row r="511" spans="7:7" x14ac:dyDescent="0.55000000000000004">
      <c r="G511" s="91"/>
    </row>
    <row r="512" spans="7:7" x14ac:dyDescent="0.55000000000000004">
      <c r="G512" s="91"/>
    </row>
    <row r="513" spans="7:7" x14ac:dyDescent="0.55000000000000004">
      <c r="G513" s="91"/>
    </row>
    <row r="514" spans="7:7" x14ac:dyDescent="0.55000000000000004">
      <c r="G514" s="91"/>
    </row>
    <row r="515" spans="7:7" x14ac:dyDescent="0.55000000000000004">
      <c r="G515" s="91"/>
    </row>
    <row r="516" spans="7:7" x14ac:dyDescent="0.55000000000000004">
      <c r="G516" s="91"/>
    </row>
    <row r="517" spans="7:7" x14ac:dyDescent="0.55000000000000004">
      <c r="G517" s="91"/>
    </row>
    <row r="518" spans="7:7" x14ac:dyDescent="0.55000000000000004">
      <c r="G518" s="91"/>
    </row>
    <row r="519" spans="7:7" x14ac:dyDescent="0.55000000000000004">
      <c r="G519" s="91"/>
    </row>
    <row r="520" spans="7:7" x14ac:dyDescent="0.55000000000000004">
      <c r="G520" s="91"/>
    </row>
    <row r="521" spans="7:7" x14ac:dyDescent="0.55000000000000004">
      <c r="G521" s="91"/>
    </row>
    <row r="522" spans="7:7" x14ac:dyDescent="0.55000000000000004">
      <c r="G522" s="91"/>
    </row>
    <row r="523" spans="7:7" x14ac:dyDescent="0.55000000000000004">
      <c r="G523" s="91"/>
    </row>
    <row r="524" spans="7:7" x14ac:dyDescent="0.55000000000000004">
      <c r="G524" s="91"/>
    </row>
    <row r="525" spans="7:7" x14ac:dyDescent="0.55000000000000004">
      <c r="G525" s="91"/>
    </row>
    <row r="526" spans="7:7" x14ac:dyDescent="0.55000000000000004">
      <c r="G526" s="91"/>
    </row>
    <row r="527" spans="7:7" x14ac:dyDescent="0.55000000000000004">
      <c r="G527" s="91"/>
    </row>
    <row r="528" spans="7:7" x14ac:dyDescent="0.55000000000000004">
      <c r="G528" s="91"/>
    </row>
    <row r="529" spans="7:7" x14ac:dyDescent="0.55000000000000004">
      <c r="G529" s="91"/>
    </row>
    <row r="530" spans="7:7" x14ac:dyDescent="0.55000000000000004">
      <c r="G530" s="91"/>
    </row>
    <row r="531" spans="7:7" x14ac:dyDescent="0.55000000000000004">
      <c r="G531" s="91"/>
    </row>
    <row r="532" spans="7:7" x14ac:dyDescent="0.55000000000000004">
      <c r="G532" s="91"/>
    </row>
    <row r="533" spans="7:7" x14ac:dyDescent="0.55000000000000004">
      <c r="G533" s="91"/>
    </row>
    <row r="534" spans="7:7" x14ac:dyDescent="0.55000000000000004">
      <c r="G534" s="91"/>
    </row>
    <row r="535" spans="7:7" x14ac:dyDescent="0.55000000000000004">
      <c r="G535" s="91"/>
    </row>
    <row r="536" spans="7:7" x14ac:dyDescent="0.55000000000000004">
      <c r="G536" s="91"/>
    </row>
    <row r="537" spans="7:7" x14ac:dyDescent="0.55000000000000004">
      <c r="G537" s="91"/>
    </row>
    <row r="538" spans="7:7" x14ac:dyDescent="0.55000000000000004">
      <c r="G538" s="91"/>
    </row>
    <row r="539" spans="7:7" x14ac:dyDescent="0.55000000000000004">
      <c r="G539" s="91"/>
    </row>
    <row r="540" spans="7:7" x14ac:dyDescent="0.55000000000000004">
      <c r="G540" s="91"/>
    </row>
    <row r="541" spans="7:7" x14ac:dyDescent="0.55000000000000004">
      <c r="G541" s="91"/>
    </row>
    <row r="542" spans="7:7" x14ac:dyDescent="0.55000000000000004">
      <c r="G542" s="91"/>
    </row>
    <row r="543" spans="7:7" x14ac:dyDescent="0.55000000000000004">
      <c r="G543" s="91"/>
    </row>
    <row r="544" spans="7:7" x14ac:dyDescent="0.55000000000000004">
      <c r="G544" s="91"/>
    </row>
    <row r="545" spans="7:7" x14ac:dyDescent="0.55000000000000004">
      <c r="G545" s="91"/>
    </row>
    <row r="546" spans="7:7" x14ac:dyDescent="0.55000000000000004">
      <c r="G546" s="91"/>
    </row>
    <row r="547" spans="7:7" x14ac:dyDescent="0.55000000000000004">
      <c r="G547" s="91"/>
    </row>
    <row r="548" spans="7:7" x14ac:dyDescent="0.55000000000000004">
      <c r="G548" s="91"/>
    </row>
    <row r="549" spans="7:7" x14ac:dyDescent="0.55000000000000004">
      <c r="G549" s="91"/>
    </row>
    <row r="550" spans="7:7" x14ac:dyDescent="0.55000000000000004">
      <c r="G550" s="91"/>
    </row>
    <row r="551" spans="7:7" x14ac:dyDescent="0.55000000000000004">
      <c r="G551" s="91"/>
    </row>
    <row r="552" spans="7:7" x14ac:dyDescent="0.55000000000000004">
      <c r="G552" s="91"/>
    </row>
    <row r="553" spans="7:7" x14ac:dyDescent="0.55000000000000004">
      <c r="G553" s="91"/>
    </row>
    <row r="554" spans="7:7" x14ac:dyDescent="0.55000000000000004">
      <c r="G554" s="91"/>
    </row>
    <row r="555" spans="7:7" x14ac:dyDescent="0.55000000000000004">
      <c r="G555" s="91"/>
    </row>
    <row r="556" spans="7:7" x14ac:dyDescent="0.55000000000000004">
      <c r="G556" s="91"/>
    </row>
    <row r="557" spans="7:7" x14ac:dyDescent="0.55000000000000004">
      <c r="G557" s="91"/>
    </row>
    <row r="558" spans="7:7" x14ac:dyDescent="0.55000000000000004">
      <c r="G558" s="91"/>
    </row>
    <row r="559" spans="7:7" x14ac:dyDescent="0.55000000000000004">
      <c r="G559" s="91"/>
    </row>
    <row r="560" spans="7:7" x14ac:dyDescent="0.55000000000000004">
      <c r="G560" s="91"/>
    </row>
    <row r="561" spans="7:7" x14ac:dyDescent="0.55000000000000004">
      <c r="G561" s="91"/>
    </row>
    <row r="562" spans="7:7" x14ac:dyDescent="0.55000000000000004">
      <c r="G562" s="91"/>
    </row>
    <row r="563" spans="7:7" x14ac:dyDescent="0.55000000000000004">
      <c r="G563" s="91"/>
    </row>
    <row r="564" spans="7:7" x14ac:dyDescent="0.55000000000000004">
      <c r="G564" s="91"/>
    </row>
    <row r="565" spans="7:7" x14ac:dyDescent="0.55000000000000004">
      <c r="G565" s="91"/>
    </row>
    <row r="566" spans="7:7" x14ac:dyDescent="0.55000000000000004">
      <c r="G566" s="91"/>
    </row>
    <row r="567" spans="7:7" x14ac:dyDescent="0.55000000000000004">
      <c r="G567" s="91"/>
    </row>
    <row r="568" spans="7:7" x14ac:dyDescent="0.55000000000000004">
      <c r="G568" s="91"/>
    </row>
    <row r="569" spans="7:7" x14ac:dyDescent="0.55000000000000004">
      <c r="G569" s="91"/>
    </row>
    <row r="570" spans="7:7" x14ac:dyDescent="0.55000000000000004">
      <c r="G570" s="91"/>
    </row>
    <row r="571" spans="7:7" x14ac:dyDescent="0.55000000000000004">
      <c r="G571" s="91"/>
    </row>
    <row r="572" spans="7:7" x14ac:dyDescent="0.55000000000000004">
      <c r="G572" s="91"/>
    </row>
    <row r="573" spans="7:7" x14ac:dyDescent="0.55000000000000004">
      <c r="G573" s="91"/>
    </row>
    <row r="574" spans="7:7" x14ac:dyDescent="0.55000000000000004">
      <c r="G574" s="91"/>
    </row>
    <row r="575" spans="7:7" x14ac:dyDescent="0.55000000000000004">
      <c r="G575" s="91"/>
    </row>
    <row r="576" spans="7:7" x14ac:dyDescent="0.55000000000000004">
      <c r="G576" s="91"/>
    </row>
    <row r="577" spans="7:7" x14ac:dyDescent="0.55000000000000004">
      <c r="G577" s="91"/>
    </row>
    <row r="578" spans="7:7" x14ac:dyDescent="0.55000000000000004">
      <c r="G578" s="91"/>
    </row>
    <row r="579" spans="7:7" x14ac:dyDescent="0.55000000000000004">
      <c r="G579" s="91"/>
    </row>
    <row r="580" spans="7:7" x14ac:dyDescent="0.55000000000000004">
      <c r="G580" s="91"/>
    </row>
    <row r="581" spans="7:7" x14ac:dyDescent="0.55000000000000004">
      <c r="G581" s="91"/>
    </row>
    <row r="582" spans="7:7" x14ac:dyDescent="0.55000000000000004">
      <c r="G582" s="91"/>
    </row>
    <row r="583" spans="7:7" x14ac:dyDescent="0.55000000000000004">
      <c r="G583" s="91"/>
    </row>
    <row r="584" spans="7:7" x14ac:dyDescent="0.55000000000000004">
      <c r="G584" s="91"/>
    </row>
    <row r="585" spans="7:7" x14ac:dyDescent="0.55000000000000004">
      <c r="G585" s="91"/>
    </row>
    <row r="586" spans="7:7" x14ac:dyDescent="0.55000000000000004">
      <c r="G586" s="91"/>
    </row>
    <row r="587" spans="7:7" x14ac:dyDescent="0.55000000000000004">
      <c r="G587" s="91"/>
    </row>
    <row r="588" spans="7:7" x14ac:dyDescent="0.55000000000000004">
      <c r="G588" s="91"/>
    </row>
    <row r="589" spans="7:7" x14ac:dyDescent="0.55000000000000004">
      <c r="G589" s="91"/>
    </row>
    <row r="590" spans="7:7" x14ac:dyDescent="0.55000000000000004">
      <c r="G590" s="91"/>
    </row>
    <row r="591" spans="7:7" x14ac:dyDescent="0.55000000000000004">
      <c r="G591" s="91"/>
    </row>
    <row r="592" spans="7:7" x14ac:dyDescent="0.55000000000000004">
      <c r="G592" s="91"/>
    </row>
    <row r="593" spans="7:7" x14ac:dyDescent="0.55000000000000004">
      <c r="G593" s="91"/>
    </row>
    <row r="594" spans="7:7" x14ac:dyDescent="0.55000000000000004">
      <c r="G594" s="91"/>
    </row>
    <row r="595" spans="7:7" x14ac:dyDescent="0.55000000000000004">
      <c r="G595" s="91"/>
    </row>
    <row r="596" spans="7:7" x14ac:dyDescent="0.55000000000000004">
      <c r="G596" s="91"/>
    </row>
    <row r="597" spans="7:7" x14ac:dyDescent="0.55000000000000004">
      <c r="G597" s="91"/>
    </row>
    <row r="598" spans="7:7" x14ac:dyDescent="0.55000000000000004">
      <c r="G598" s="91"/>
    </row>
    <row r="599" spans="7:7" x14ac:dyDescent="0.55000000000000004">
      <c r="G599" s="91"/>
    </row>
    <row r="600" spans="7:7" x14ac:dyDescent="0.55000000000000004">
      <c r="G600" s="91"/>
    </row>
    <row r="601" spans="7:7" x14ac:dyDescent="0.55000000000000004">
      <c r="G601" s="91"/>
    </row>
    <row r="602" spans="7:7" x14ac:dyDescent="0.55000000000000004">
      <c r="G602" s="91"/>
    </row>
    <row r="603" spans="7:7" x14ac:dyDescent="0.55000000000000004">
      <c r="G603" s="91"/>
    </row>
    <row r="604" spans="7:7" x14ac:dyDescent="0.55000000000000004">
      <c r="G604" s="91"/>
    </row>
    <row r="605" spans="7:7" x14ac:dyDescent="0.55000000000000004">
      <c r="G605" s="91"/>
    </row>
    <row r="606" spans="7:7" x14ac:dyDescent="0.55000000000000004">
      <c r="G606" s="91"/>
    </row>
    <row r="607" spans="7:7" x14ac:dyDescent="0.55000000000000004">
      <c r="G607" s="91"/>
    </row>
    <row r="608" spans="7:7" x14ac:dyDescent="0.55000000000000004">
      <c r="G608" s="91"/>
    </row>
    <row r="609" spans="7:7" x14ac:dyDescent="0.55000000000000004">
      <c r="G609" s="91"/>
    </row>
    <row r="610" spans="7:7" x14ac:dyDescent="0.55000000000000004">
      <c r="G610" s="91"/>
    </row>
    <row r="611" spans="7:7" x14ac:dyDescent="0.55000000000000004">
      <c r="G611" s="91"/>
    </row>
    <row r="612" spans="7:7" x14ac:dyDescent="0.55000000000000004">
      <c r="G612" s="91"/>
    </row>
    <row r="613" spans="7:7" x14ac:dyDescent="0.55000000000000004">
      <c r="G613" s="91"/>
    </row>
    <row r="614" spans="7:7" x14ac:dyDescent="0.55000000000000004">
      <c r="G614" s="91"/>
    </row>
    <row r="615" spans="7:7" x14ac:dyDescent="0.55000000000000004">
      <c r="G615" s="91"/>
    </row>
    <row r="616" spans="7:7" x14ac:dyDescent="0.55000000000000004">
      <c r="G616" s="91"/>
    </row>
    <row r="617" spans="7:7" x14ac:dyDescent="0.55000000000000004">
      <c r="G617" s="91"/>
    </row>
    <row r="618" spans="7:7" x14ac:dyDescent="0.55000000000000004">
      <c r="G618" s="91"/>
    </row>
    <row r="619" spans="7:7" x14ac:dyDescent="0.55000000000000004">
      <c r="G619" s="91"/>
    </row>
    <row r="620" spans="7:7" x14ac:dyDescent="0.55000000000000004">
      <c r="G620" s="91"/>
    </row>
    <row r="621" spans="7:7" x14ac:dyDescent="0.55000000000000004">
      <c r="G621" s="91"/>
    </row>
    <row r="622" spans="7:7" x14ac:dyDescent="0.55000000000000004">
      <c r="G622" s="91"/>
    </row>
    <row r="623" spans="7:7" x14ac:dyDescent="0.55000000000000004">
      <c r="G623" s="91"/>
    </row>
    <row r="624" spans="7:7" x14ac:dyDescent="0.55000000000000004">
      <c r="G624" s="91"/>
    </row>
    <row r="625" spans="7:7" x14ac:dyDescent="0.55000000000000004">
      <c r="G625" s="91"/>
    </row>
    <row r="626" spans="7:7" x14ac:dyDescent="0.55000000000000004">
      <c r="G626" s="91"/>
    </row>
    <row r="627" spans="7:7" x14ac:dyDescent="0.55000000000000004">
      <c r="G627" s="91"/>
    </row>
    <row r="628" spans="7:7" x14ac:dyDescent="0.55000000000000004">
      <c r="G628" s="91"/>
    </row>
    <row r="629" spans="7:7" x14ac:dyDescent="0.55000000000000004">
      <c r="G629" s="91"/>
    </row>
    <row r="630" spans="7:7" x14ac:dyDescent="0.55000000000000004">
      <c r="G630" s="91"/>
    </row>
    <row r="631" spans="7:7" x14ac:dyDescent="0.55000000000000004">
      <c r="G631" s="91"/>
    </row>
    <row r="632" spans="7:7" x14ac:dyDescent="0.55000000000000004">
      <c r="G632" s="91"/>
    </row>
    <row r="633" spans="7:7" x14ac:dyDescent="0.55000000000000004">
      <c r="G633" s="91"/>
    </row>
    <row r="634" spans="7:7" x14ac:dyDescent="0.55000000000000004">
      <c r="G634" s="91"/>
    </row>
    <row r="635" spans="7:7" x14ac:dyDescent="0.55000000000000004">
      <c r="G635" s="91"/>
    </row>
    <row r="636" spans="7:7" x14ac:dyDescent="0.55000000000000004">
      <c r="G636" s="91"/>
    </row>
    <row r="637" spans="7:7" x14ac:dyDescent="0.55000000000000004">
      <c r="G637" s="91"/>
    </row>
    <row r="638" spans="7:7" x14ac:dyDescent="0.55000000000000004">
      <c r="G638" s="91"/>
    </row>
    <row r="639" spans="7:7" x14ac:dyDescent="0.55000000000000004">
      <c r="G639" s="91"/>
    </row>
    <row r="640" spans="7:7" x14ac:dyDescent="0.55000000000000004">
      <c r="G640" s="91"/>
    </row>
    <row r="641" spans="7:7" x14ac:dyDescent="0.55000000000000004">
      <c r="G641" s="91"/>
    </row>
    <row r="642" spans="7:7" x14ac:dyDescent="0.55000000000000004">
      <c r="G642" s="91"/>
    </row>
    <row r="643" spans="7:7" x14ac:dyDescent="0.55000000000000004">
      <c r="G643" s="91"/>
    </row>
    <row r="644" spans="7:7" x14ac:dyDescent="0.55000000000000004">
      <c r="G644" s="91"/>
    </row>
    <row r="645" spans="7:7" x14ac:dyDescent="0.55000000000000004">
      <c r="G645" s="91"/>
    </row>
    <row r="646" spans="7:7" x14ac:dyDescent="0.55000000000000004">
      <c r="G646" s="91"/>
    </row>
    <row r="647" spans="7:7" x14ac:dyDescent="0.55000000000000004">
      <c r="G647" s="91"/>
    </row>
    <row r="648" spans="7:7" x14ac:dyDescent="0.55000000000000004">
      <c r="G648" s="91"/>
    </row>
    <row r="649" spans="7:7" x14ac:dyDescent="0.55000000000000004">
      <c r="G649" s="91"/>
    </row>
    <row r="650" spans="7:7" x14ac:dyDescent="0.55000000000000004">
      <c r="G650" s="91"/>
    </row>
    <row r="651" spans="7:7" x14ac:dyDescent="0.55000000000000004">
      <c r="G651" s="91"/>
    </row>
    <row r="652" spans="7:7" x14ac:dyDescent="0.55000000000000004">
      <c r="G652" s="91"/>
    </row>
    <row r="653" spans="7:7" x14ac:dyDescent="0.55000000000000004">
      <c r="G653" s="91"/>
    </row>
    <row r="654" spans="7:7" x14ac:dyDescent="0.55000000000000004">
      <c r="G654" s="91"/>
    </row>
    <row r="655" spans="7:7" x14ac:dyDescent="0.55000000000000004">
      <c r="G655" s="91"/>
    </row>
    <row r="656" spans="7:7" x14ac:dyDescent="0.55000000000000004">
      <c r="G656" s="91"/>
    </row>
    <row r="657" spans="7:7" x14ac:dyDescent="0.55000000000000004">
      <c r="G657" s="91"/>
    </row>
    <row r="658" spans="7:7" x14ac:dyDescent="0.55000000000000004">
      <c r="G658" s="91"/>
    </row>
    <row r="659" spans="7:7" x14ac:dyDescent="0.55000000000000004">
      <c r="G659" s="91"/>
    </row>
    <row r="660" spans="7:7" x14ac:dyDescent="0.55000000000000004">
      <c r="G660" s="91"/>
    </row>
    <row r="661" spans="7:7" x14ac:dyDescent="0.55000000000000004">
      <c r="G661" s="91"/>
    </row>
    <row r="662" spans="7:7" x14ac:dyDescent="0.55000000000000004">
      <c r="G662" s="91"/>
    </row>
    <row r="663" spans="7:7" x14ac:dyDescent="0.55000000000000004">
      <c r="G663" s="91"/>
    </row>
    <row r="664" spans="7:7" x14ac:dyDescent="0.55000000000000004">
      <c r="G664" s="91"/>
    </row>
    <row r="665" spans="7:7" x14ac:dyDescent="0.55000000000000004">
      <c r="G665" s="91"/>
    </row>
    <row r="666" spans="7:7" x14ac:dyDescent="0.55000000000000004">
      <c r="G666" s="91"/>
    </row>
    <row r="667" spans="7:7" x14ac:dyDescent="0.55000000000000004">
      <c r="G667" s="91"/>
    </row>
  </sheetData>
  <mergeCells count="4">
    <mergeCell ref="G1:I2"/>
    <mergeCell ref="J2:L2"/>
    <mergeCell ref="M2:M3"/>
    <mergeCell ref="G3:I3"/>
  </mergeCells>
  <conditionalFormatting sqref="G67:G70 G278:M287 G288:J288 K288:M315 J289:J302 G294:I302">
    <cfRule type="expression" dxfId="263" priority="693">
      <formula>$G67="Etapa"</formula>
    </cfRule>
  </conditionalFormatting>
  <conditionalFormatting sqref="G115:G117 J118:K118 G119:J121 G184:J191 G192:K193 G194:M194 G210:M211 G212:K213 G214:M221 G247:M247 J307:J315 J316:M318 J334 G335:M339 G459:I462 I463:I466 G223:M223 G343:M343">
    <cfRule type="expression" dxfId="262" priority="726">
      <formula>$G115="Etapa"</formula>
    </cfRule>
  </conditionalFormatting>
  <conditionalFormatting sqref="G115:G117 J118:K121 G184:J191 G192:K193 G247:M247 J307:J315 G335:M337 G459:I462 I463:I466 G194:M194 G210:M211 G212:K213 G214:M221 J334 J316:M318">
    <cfRule type="expression" dxfId="261" priority="725">
      <formula>$G115="Unidade Construtiva"</formula>
    </cfRule>
  </conditionalFormatting>
  <conditionalFormatting sqref="G62:I66">
    <cfRule type="expression" dxfId="260" priority="691">
      <formula>$G62="Etapa"</formula>
    </cfRule>
  </conditionalFormatting>
  <conditionalFormatting sqref="G118:I118">
    <cfRule type="expression" dxfId="259" priority="532">
      <formula>$G118="Etapa"</formula>
    </cfRule>
  </conditionalFormatting>
  <conditionalFormatting sqref="G118:I121 G278:M287 G288:J288 K288:M315 J289:J302">
    <cfRule type="expression" dxfId="258" priority="432">
      <formula>$G118="Unidade Construtiva"</formula>
    </cfRule>
  </conditionalFormatting>
  <conditionalFormatting sqref="G131:I134">
    <cfRule type="expression" dxfId="257" priority="521">
      <formula>$G131="Unidade Construtiva"</formula>
    </cfRule>
    <cfRule type="expression" dxfId="256" priority="522">
      <formula>$G131="Etapa"</formula>
    </cfRule>
  </conditionalFormatting>
  <conditionalFormatting sqref="G158:I163">
    <cfRule type="expression" dxfId="255" priority="545">
      <formula>$G158="Célula Construtiva"</formula>
    </cfRule>
    <cfRule type="expression" dxfId="254" priority="546">
      <formula>$G158="Unidade Construtiva"</formula>
    </cfRule>
    <cfRule type="expression" dxfId="253" priority="547">
      <formula>$G158="Etapa"</formula>
    </cfRule>
  </conditionalFormatting>
  <conditionalFormatting sqref="G158:I164">
    <cfRule type="expression" dxfId="252" priority="541">
      <formula>$G158="Serviço"</formula>
    </cfRule>
  </conditionalFormatting>
  <conditionalFormatting sqref="G164:I172 G43:L53 G56:M108 G197:I198">
    <cfRule type="expression" dxfId="251" priority="563">
      <formula>$G43="Célula Construtiva"</formula>
    </cfRule>
  </conditionalFormatting>
  <conditionalFormatting sqref="G173:I191">
    <cfRule type="expression" dxfId="250" priority="533">
      <formula>$G173="Serviço"</formula>
    </cfRule>
    <cfRule type="expression" dxfId="249" priority="534">
      <formula>$G173="Célula Construtiva"</formula>
    </cfRule>
  </conditionalFormatting>
  <conditionalFormatting sqref="G180:I183">
    <cfRule type="expression" dxfId="248" priority="552">
      <formula>$G180="Unidade Construtiva"</formula>
    </cfRule>
    <cfRule type="expression" dxfId="247" priority="553">
      <formula>$G180="Etapa"</formula>
    </cfRule>
  </conditionalFormatting>
  <conditionalFormatting sqref="G192:I196 G249:M249 G250:I250 K250:M250 G251:M251 G252:I252 M252 G253:M253 G254:I254 L254:M254 G255:M256 G257:K257 M257 G258:M259 G303:J306">
    <cfRule type="expression" dxfId="246" priority="719">
      <formula>$G192="Célula Construtiva"</formula>
    </cfRule>
  </conditionalFormatting>
  <conditionalFormatting sqref="G192:I202">
    <cfRule type="expression" dxfId="245" priority="616">
      <formula>$G192="Serviço"</formula>
    </cfRule>
  </conditionalFormatting>
  <conditionalFormatting sqref="G195:I196 G303:J306 G155:K156 G157:M157 G277:M277 G275:K276 M275:M276">
    <cfRule type="expression" dxfId="244" priority="720">
      <formula>$G155="Unidade Construtiva"</formula>
    </cfRule>
  </conditionalFormatting>
  <conditionalFormatting sqref="G247:I247">
    <cfRule type="expression" dxfId="243" priority="263">
      <formula>$G247="Serviço"</formula>
    </cfRule>
  </conditionalFormatting>
  <conditionalFormatting sqref="G273:I273 K273:M274">
    <cfRule type="expression" dxfId="242" priority="68">
      <formula>$G273="Serviço"</formula>
    </cfRule>
    <cfRule type="expression" dxfId="241" priority="69">
      <formula>$G273="Célula Construtiva"</formula>
    </cfRule>
  </conditionalFormatting>
  <conditionalFormatting sqref="G274:I274">
    <cfRule type="expression" dxfId="240" priority="4">
      <formula>$G274="Etapa"</formula>
    </cfRule>
    <cfRule type="expression" dxfId="239" priority="5">
      <formula>$G274="Serviço"</formula>
    </cfRule>
    <cfRule type="expression" dxfId="238" priority="6">
      <formula>$G274="Célula Construtiva"</formula>
    </cfRule>
  </conditionalFormatting>
  <conditionalFormatting sqref="G289:I292">
    <cfRule type="expression" dxfId="237" priority="471">
      <formula>$G289="Célula Construtiva"</formula>
    </cfRule>
    <cfRule type="expression" dxfId="236" priority="472">
      <formula>$G289="Unidade Construtiva"</formula>
    </cfRule>
    <cfRule type="expression" dxfId="235" priority="473">
      <formula>$G289="Etapa"</formula>
    </cfRule>
  </conditionalFormatting>
  <conditionalFormatting sqref="G293:I293">
    <cfRule type="expression" dxfId="234" priority="36">
      <formula>$G293="Célula Construtiva"</formula>
    </cfRule>
    <cfRule type="expression" dxfId="233" priority="38">
      <formula>$G293="Etapa"</formula>
    </cfRule>
  </conditionalFormatting>
  <conditionalFormatting sqref="G293:I302">
    <cfRule type="expression" dxfId="232" priority="37">
      <formula>$G293="Unidade Construtiva"</formula>
    </cfRule>
  </conditionalFormatting>
  <conditionalFormatting sqref="G307:I318 G258:M259">
    <cfRule type="expression" dxfId="231" priority="520">
      <formula>$G258="Etapa"</formula>
    </cfRule>
  </conditionalFormatting>
  <conditionalFormatting sqref="G307:I318">
    <cfRule type="expression" dxfId="230" priority="519">
      <formula>$G307="Unidade Construtiva"</formula>
    </cfRule>
  </conditionalFormatting>
  <conditionalFormatting sqref="G322:I324">
    <cfRule type="expression" dxfId="229" priority="380">
      <formula>$G322="Unidade Construtiva"</formula>
    </cfRule>
    <cfRule type="expression" dxfId="228" priority="381">
      <formula>$G322="Etapa"</formula>
    </cfRule>
  </conditionalFormatting>
  <conditionalFormatting sqref="G326:I334">
    <cfRule type="expression" dxfId="227" priority="378">
      <formula>$G326="Unidade Construtiva"</formula>
    </cfRule>
    <cfRule type="expression" dxfId="226" priority="379">
      <formula>$G326="Etapa"</formula>
    </cfRule>
  </conditionalFormatting>
  <conditionalFormatting sqref="G456:I458">
    <cfRule type="expression" dxfId="225" priority="600">
      <formula>$G456="Célula Construtiva"</formula>
    </cfRule>
    <cfRule type="expression" dxfId="224" priority="601">
      <formula>$G456="Unidade Construtiva"</formula>
    </cfRule>
    <cfRule type="expression" dxfId="223" priority="603">
      <formula>$G456="Etapa"</formula>
    </cfRule>
  </conditionalFormatting>
  <conditionalFormatting sqref="G456:I465">
    <cfRule type="expression" dxfId="222" priority="599">
      <formula>$G456="Serviço"</formula>
    </cfRule>
  </conditionalFormatting>
  <conditionalFormatting sqref="G459:I462 I463:I466 G275:K276 M275:M276 G277:M287 G132:K133 G134:M141 J169:K170 J171:M180 J181:K182 J183:M191 G110:M131 L132:M132 M133 J192:K193 G247:M247 G307:I337 G288:J288 K288:M315 J289:J302 G294:I302 J307:J315">
    <cfRule type="expression" dxfId="221" priority="724">
      <formula>$G110="Célula Construtiva"</formula>
    </cfRule>
  </conditionalFormatting>
  <conditionalFormatting sqref="G463:I465">
    <cfRule type="expression" dxfId="220" priority="628">
      <formula>$G463="Célula Construtiva"</formula>
    </cfRule>
    <cfRule type="expression" dxfId="219" priority="629">
      <formula>$G463="Unidade Construtiva"</formula>
    </cfRule>
    <cfRule type="expression" dxfId="218" priority="630">
      <formula>$G463="Etapa"</formula>
    </cfRule>
  </conditionalFormatting>
  <conditionalFormatting sqref="G466:I466 H467:I467">
    <cfRule type="expression" dxfId="217" priority="639">
      <formula>$G466="Serviço"</formula>
    </cfRule>
    <cfRule type="expression" dxfId="216" priority="640">
      <formula>$G466="Célula Construtiva"</formula>
    </cfRule>
    <cfRule type="expression" dxfId="215" priority="641">
      <formula>$G466="Unidade Construtiva"</formula>
    </cfRule>
    <cfRule type="expression" dxfId="214" priority="642">
      <formula>$G466="Etapa"</formula>
    </cfRule>
  </conditionalFormatting>
  <conditionalFormatting sqref="G242:J246 G248:J248 G467 G199:I202 J194:M202">
    <cfRule type="expression" dxfId="213" priority="632">
      <formula>$G194="Célula Construtiva"</formula>
    </cfRule>
  </conditionalFormatting>
  <conditionalFormatting sqref="G242:J246 G248:J248 G467">
    <cfRule type="expression" dxfId="212" priority="631">
      <formula>$G242="Serviço"</formula>
    </cfRule>
  </conditionalFormatting>
  <conditionalFormatting sqref="G109:K114 H115:K117 G122:K130 G135:M154 J158:J168 G172:K179 G319:K321 G325:K325">
    <cfRule type="expression" dxfId="211" priority="549">
      <formula>$G109="Etapa"</formula>
    </cfRule>
  </conditionalFormatting>
  <conditionalFormatting sqref="G155:K156 G157:M157 G195:I196 G275:K276 M275:M276 G277:M277 G303:J306">
    <cfRule type="expression" dxfId="210" priority="721">
      <formula>$G155="Etapa"</formula>
    </cfRule>
  </conditionalFormatting>
  <conditionalFormatting sqref="G43:L53 G56:M61">
    <cfRule type="expression" dxfId="209" priority="698">
      <formula>$G43="Etapa"</formula>
    </cfRule>
  </conditionalFormatting>
  <conditionalFormatting sqref="G43:L53 G56:M108 G164:I171 G197:I198">
    <cfRule type="expression" dxfId="208" priority="564">
      <formula>$G43="Unidade Construtiva"</formula>
    </cfRule>
  </conditionalFormatting>
  <conditionalFormatting sqref="G4:M42">
    <cfRule type="expression" dxfId="207" priority="190">
      <formula>$G4="Serviço"</formula>
    </cfRule>
    <cfRule type="expression" dxfId="206" priority="191">
      <formula>$G4="Célula Construtiva"</formula>
    </cfRule>
    <cfRule type="expression" dxfId="205" priority="192">
      <formula>$G4="Unidade Construtiva"</formula>
    </cfRule>
    <cfRule type="expression" dxfId="204" priority="193">
      <formula>$G4="Etapa"</formula>
    </cfRule>
  </conditionalFormatting>
  <conditionalFormatting sqref="G54:M55">
    <cfRule type="expression" dxfId="203" priority="163">
      <formula>$G54="Serviço"</formula>
    </cfRule>
    <cfRule type="expression" dxfId="202" priority="164">
      <formula>$G54="Célula Construtiva"</formula>
    </cfRule>
    <cfRule type="expression" dxfId="201" priority="165">
      <formula>$G54="Unidade Construtiva"</formula>
    </cfRule>
    <cfRule type="expression" dxfId="200" priority="166">
      <formula>$G54="Etapa"</formula>
    </cfRule>
  </conditionalFormatting>
  <conditionalFormatting sqref="G71:M108 G164:I171 G197:I198">
    <cfRule type="expression" dxfId="199" priority="565">
      <formula>$G71="Etapa"</formula>
    </cfRule>
  </conditionalFormatting>
  <conditionalFormatting sqref="G109:M109">
    <cfRule type="expression" dxfId="198" priority="157">
      <formula>$G109="Serviço"</formula>
    </cfRule>
    <cfRule type="expression" dxfId="197" priority="158">
      <formula>$G109="Célula Construtiva"</formula>
    </cfRule>
  </conditionalFormatting>
  <conditionalFormatting sqref="G142:M154 G155:K156 G157:M157">
    <cfRule type="expression" dxfId="196" priority="574">
      <formula>$G142="Célula Construtiva"</formula>
    </cfRule>
  </conditionalFormatting>
  <conditionalFormatting sqref="G203:M211 G212:K213 G214:M241">
    <cfRule type="expression" dxfId="195" priority="606">
      <formula>$G203="Célula Construtiva"</formula>
    </cfRule>
  </conditionalFormatting>
  <conditionalFormatting sqref="G214:M241">
    <cfRule type="expression" dxfId="194" priority="217">
      <formula>$G214="Serviço"</formula>
    </cfRule>
  </conditionalFormatting>
  <conditionalFormatting sqref="G222:M222">
    <cfRule type="expression" dxfId="193" priority="219">
      <formula>$G222="Unidade Construtiva"</formula>
    </cfRule>
    <cfRule type="expression" dxfId="192" priority="220">
      <formula>$G222="Etapa"</formula>
    </cfRule>
  </conditionalFormatting>
  <conditionalFormatting sqref="G223:M241">
    <cfRule type="expression" dxfId="191" priority="607">
      <formula>$G223="Unidade Construtiva"</formula>
    </cfRule>
  </conditionalFormatting>
  <conditionalFormatting sqref="G224:M227">
    <cfRule type="expression" dxfId="190" priority="585">
      <formula>$G224="Etapa"</formula>
    </cfRule>
  </conditionalFormatting>
  <conditionalFormatting sqref="G228:M241">
    <cfRule type="expression" dxfId="189" priority="608">
      <formula>$G228="Etapa"</formula>
    </cfRule>
  </conditionalFormatting>
  <conditionalFormatting sqref="G249:M251">
    <cfRule type="expression" dxfId="188" priority="92">
      <formula>$G249="Unidade Construtiva"</formula>
    </cfRule>
    <cfRule type="expression" dxfId="187" priority="93">
      <formula>$G249="Etapa"</formula>
    </cfRule>
  </conditionalFormatting>
  <conditionalFormatting sqref="G252:M252">
    <cfRule type="expression" dxfId="186" priority="31">
      <formula>$G252="Unidade Construtiva"</formula>
    </cfRule>
    <cfRule type="expression" dxfId="185" priority="32">
      <formula>$G252="Etapa"</formula>
    </cfRule>
  </conditionalFormatting>
  <conditionalFormatting sqref="G253:M254">
    <cfRule type="expression" dxfId="184" priority="76">
      <formula>$G253="Unidade Construtiva"</formula>
    </cfRule>
    <cfRule type="expression" dxfId="183" priority="77">
      <formula>$G253="Etapa"</formula>
    </cfRule>
  </conditionalFormatting>
  <conditionalFormatting sqref="G255:M257">
    <cfRule type="expression" dxfId="182" priority="56">
      <formula>$G255="Etapa"</formula>
    </cfRule>
  </conditionalFormatting>
  <conditionalFormatting sqref="G255:M259">
    <cfRule type="expression" dxfId="181" priority="55">
      <formula>$G255="Unidade Construtiva"</formula>
    </cfRule>
  </conditionalFormatting>
  <conditionalFormatting sqref="G260:M268">
    <cfRule type="expression" dxfId="180" priority="48">
      <formula>$G260="Etapa"</formula>
    </cfRule>
  </conditionalFormatting>
  <conditionalFormatting sqref="G260:M272">
    <cfRule type="expression" dxfId="179" priority="46">
      <formula>$G260="Serviço"</formula>
    </cfRule>
    <cfRule type="expression" dxfId="178" priority="49">
      <formula>$G260="Célula Construtiva"</formula>
    </cfRule>
  </conditionalFormatting>
  <conditionalFormatting sqref="G260:M273">
    <cfRule type="expression" dxfId="177" priority="47">
      <formula>$G260="Unidade Construtiva"</formula>
    </cfRule>
  </conditionalFormatting>
  <conditionalFormatting sqref="G269:M273 J274:M274">
    <cfRule type="expression" dxfId="176" priority="60">
      <formula>$G269="Etapa"</formula>
    </cfRule>
  </conditionalFormatting>
  <conditionalFormatting sqref="G274:M274">
    <cfRule type="expression" dxfId="175" priority="3">
      <formula>$G274="Unidade Construtiva"</formula>
    </cfRule>
  </conditionalFormatting>
  <conditionalFormatting sqref="G275:M276">
    <cfRule type="expression" dxfId="174" priority="44">
      <formula>$G275="Serviço"</formula>
    </cfRule>
  </conditionalFormatting>
  <conditionalFormatting sqref="G277:M441 G43:L53 G56:M108 G259:M259 J440:K442">
    <cfRule type="expression" dxfId="173" priority="434">
      <formula>$G43="Serviço"</formula>
    </cfRule>
  </conditionalFormatting>
  <conditionalFormatting sqref="G338:M443">
    <cfRule type="expression" dxfId="172" priority="590">
      <formula>$G338="Célula Construtiva"</formula>
    </cfRule>
    <cfRule type="expression" dxfId="171" priority="591">
      <formula>$G338="Unidade Construtiva"</formula>
    </cfRule>
  </conditionalFormatting>
  <conditionalFormatting sqref="G340:M342 G344:M345">
    <cfRule type="expression" dxfId="170" priority="587">
      <formula>$G340="Etapa"</formula>
    </cfRule>
  </conditionalFormatting>
  <conditionalFormatting sqref="G346:M455">
    <cfRule type="expression" dxfId="169" priority="604">
      <formula>$G346="Etapa"</formula>
    </cfRule>
  </conditionalFormatting>
  <conditionalFormatting sqref="G442:M455 J456:M467">
    <cfRule type="expression" dxfId="168" priority="396">
      <formula>$G442="Serviço"</formula>
    </cfRule>
  </conditionalFormatting>
  <conditionalFormatting sqref="G444:M455 J456:M467">
    <cfRule type="expression" dxfId="167" priority="397">
      <formula>$G444="Célula Construtiva"</formula>
    </cfRule>
    <cfRule type="expression" dxfId="166" priority="398">
      <formula>$G444="Unidade Construtiva"</formula>
    </cfRule>
  </conditionalFormatting>
  <conditionalFormatting sqref="H67:I68">
    <cfRule type="expression" dxfId="165" priority="694">
      <formula>$G67="Etapa"</formula>
    </cfRule>
  </conditionalFormatting>
  <conditionalFormatting sqref="H69:I69 L69:M69">
    <cfRule type="expression" dxfId="164" priority="341">
      <formula>$G69="Etapa"</formula>
    </cfRule>
  </conditionalFormatting>
  <conditionalFormatting sqref="H70:I70 L70:M70">
    <cfRule type="expression" dxfId="163" priority="695">
      <formula>$G70="Etapa"</formula>
    </cfRule>
  </conditionalFormatting>
  <conditionalFormatting sqref="I53">
    <cfRule type="expression" dxfId="162" priority="342">
      <formula>$G53="Etapa"</formula>
    </cfRule>
  </conditionalFormatting>
  <conditionalFormatting sqref="I459:I466">
    <cfRule type="expression" dxfId="161" priority="723">
      <formula>$G459="Serviço"</formula>
    </cfRule>
  </conditionalFormatting>
  <conditionalFormatting sqref="I466:I467">
    <cfRule type="expression" dxfId="160" priority="635">
      <formula>$G466="Serviço"</formula>
    </cfRule>
    <cfRule type="expression" dxfId="159" priority="636">
      <formula>$G466="Célula Construtiva"</formula>
    </cfRule>
    <cfRule type="expression" dxfId="158" priority="637">
      <formula>$G466="Unidade Construtiva"</formula>
    </cfRule>
    <cfRule type="expression" dxfId="157" priority="638">
      <formula>$G466="Etapa"</formula>
    </cfRule>
  </conditionalFormatting>
  <conditionalFormatting sqref="J73">
    <cfRule type="expression" dxfId="156" priority="28">
      <formula>$G73="Etapa"</formula>
    </cfRule>
  </conditionalFormatting>
  <conditionalFormatting sqref="J154">
    <cfRule type="expression" dxfId="155" priority="148">
      <formula>$G154="Unidade Construtiva"</formula>
    </cfRule>
    <cfRule type="expression" dxfId="154" priority="149">
      <formula>$G154="Etapa"</formula>
    </cfRule>
    <cfRule type="expression" dxfId="153" priority="150">
      <formula>$G154="Célula Construtiva"</formula>
    </cfRule>
  </conditionalFormatting>
  <conditionalFormatting sqref="J158:J168 G172:K179 G319:K321 G325:K325 G109:K114 G135:M154 H115:K117 G122:K130">
    <cfRule type="expression" dxfId="152" priority="548">
      <formula>$G109="Unidade Construtiva"</formula>
    </cfRule>
  </conditionalFormatting>
  <conditionalFormatting sqref="J168">
    <cfRule type="expression" dxfId="151" priority="132">
      <formula>$G168="Unidade Construtiva"</formula>
    </cfRule>
    <cfRule type="expression" dxfId="150" priority="133">
      <formula>$G168="Etapa"</formula>
    </cfRule>
    <cfRule type="expression" dxfId="149" priority="134">
      <formula>$G168="Célula Construtiva"</formula>
    </cfRule>
    <cfRule type="expression" dxfId="148" priority="135">
      <formula>$G168="Serviço"</formula>
    </cfRule>
    <cfRule type="expression" dxfId="147" priority="136">
      <formula>$G168="Célula Construtiva"</formula>
    </cfRule>
  </conditionalFormatting>
  <conditionalFormatting sqref="J180">
    <cfRule type="expression" dxfId="146" priority="126">
      <formula>$G180="Unidade Construtiva"</formula>
    </cfRule>
    <cfRule type="expression" dxfId="145" priority="127">
      <formula>$G180="Etapa"</formula>
    </cfRule>
    <cfRule type="expression" dxfId="144" priority="128">
      <formula>$G180="Célula Construtiva"</formula>
    </cfRule>
    <cfRule type="expression" dxfId="143" priority="129">
      <formula>$G180="Unidade Construtiva"</formula>
    </cfRule>
    <cfRule type="expression" dxfId="142" priority="130">
      <formula>$G180="Etapa"</formula>
    </cfRule>
    <cfRule type="expression" dxfId="141" priority="131">
      <formula>$G180="Célula Construtiva"</formula>
    </cfRule>
  </conditionalFormatting>
  <conditionalFormatting sqref="J250">
    <cfRule type="expression" dxfId="140" priority="90">
      <formula>$G250="Serviço"</formula>
    </cfRule>
    <cfRule type="expression" dxfId="139" priority="91">
      <formula>$G250="Célula Construtiva"</formula>
    </cfRule>
  </conditionalFormatting>
  <conditionalFormatting sqref="J273:J274">
    <cfRule type="expression" dxfId="138" priority="59">
      <formula>$G273="Serviço"</formula>
    </cfRule>
    <cfRule type="expression" dxfId="137" priority="61">
      <formula>$G273="Célula Construtiva"</formula>
    </cfRule>
  </conditionalFormatting>
  <conditionalFormatting sqref="J274">
    <cfRule type="expression" dxfId="136" priority="1">
      <formula>$G274="Serviço"</formula>
    </cfRule>
    <cfRule type="expression" dxfId="135" priority="2">
      <formula>$G274="Célula Construtiva"</formula>
    </cfRule>
  </conditionalFormatting>
  <conditionalFormatting sqref="J315">
    <cfRule type="expression" dxfId="134" priority="33">
      <formula>$G315="Célula Construtiva"</formula>
    </cfRule>
    <cfRule type="expression" dxfId="133" priority="34">
      <formula>$G315="Unidade Construtiva"</formula>
    </cfRule>
    <cfRule type="expression" dxfId="132" priority="35">
      <formula>$G315="Etapa"</formula>
    </cfRule>
  </conditionalFormatting>
  <conditionalFormatting sqref="J332">
    <cfRule type="expression" dxfId="131" priority="26">
      <formula>$G332="Unidade Construtiva"</formula>
    </cfRule>
    <cfRule type="expression" dxfId="130" priority="27">
      <formula>$G332="Etapa"</formula>
    </cfRule>
  </conditionalFormatting>
  <conditionalFormatting sqref="J356">
    <cfRule type="expression" dxfId="129" priority="23">
      <formula>$G356="Etapa"</formula>
    </cfRule>
  </conditionalFormatting>
  <conditionalFormatting sqref="J62:K70">
    <cfRule type="expression" dxfId="128" priority="685">
      <formula>$G62="Etapa"</formula>
    </cfRule>
  </conditionalFormatting>
  <conditionalFormatting sqref="J131:K131">
    <cfRule type="expression" dxfId="127" priority="430">
      <formula>$G131="Unidade Construtiva"</formula>
    </cfRule>
    <cfRule type="expression" dxfId="126" priority="431">
      <formula>$G131="Etapa"</formula>
    </cfRule>
  </conditionalFormatting>
  <conditionalFormatting sqref="J132:K133 J134:M134 J169:K170 J171:M171 J181:K182 J183">
    <cfRule type="expression" dxfId="125" priority="717">
      <formula>$G132="Unidade Construtiva"</formula>
    </cfRule>
    <cfRule type="expression" dxfId="124" priority="718">
      <formula>$G132="Etapa"</formula>
    </cfRule>
  </conditionalFormatting>
  <conditionalFormatting sqref="J180:K180">
    <cfRule type="expression" dxfId="123" priority="550">
      <formula>$G180="Unidade Construtiva"</formula>
    </cfRule>
    <cfRule type="expression" dxfId="122" priority="551">
      <formula>$G180="Etapa"</formula>
    </cfRule>
  </conditionalFormatting>
  <conditionalFormatting sqref="J254:K254">
    <cfRule type="expression" dxfId="121" priority="74">
      <formula>$G254="Serviço"</formula>
    </cfRule>
    <cfRule type="expression" dxfId="120" priority="75">
      <formula>$G254="Célula Construtiva"</formula>
    </cfRule>
  </conditionalFormatting>
  <conditionalFormatting sqref="J322:K324">
    <cfRule type="expression" dxfId="119" priority="505">
      <formula>$G322="Unidade Construtiva"</formula>
    </cfRule>
    <cfRule type="expression" dxfId="118" priority="506">
      <formula>$G322="Etapa"</formula>
    </cfRule>
  </conditionalFormatting>
  <conditionalFormatting sqref="J326:K334">
    <cfRule type="expression" dxfId="117" priority="503">
      <formula>$G326="Unidade Construtiva"</formula>
    </cfRule>
    <cfRule type="expression" dxfId="116" priority="504">
      <formula>$G326="Etapa"</formula>
    </cfRule>
  </conditionalFormatting>
  <conditionalFormatting sqref="J252:L252">
    <cfRule type="expression" dxfId="115" priority="29">
      <formula>$G252="Serviço"</formula>
    </cfRule>
    <cfRule type="expression" dxfId="114" priority="30">
      <formula>$G252="Célula Construtiva"</formula>
    </cfRule>
  </conditionalFormatting>
  <conditionalFormatting sqref="J158:M168">
    <cfRule type="expression" dxfId="113" priority="537">
      <formula>$G158="Serviço"</formula>
    </cfRule>
    <cfRule type="expression" dxfId="112" priority="538">
      <formula>$G158="Célula Construtiva"</formula>
    </cfRule>
  </conditionalFormatting>
  <conditionalFormatting sqref="J171:M180 G110:M131 G134:M154 G165:I172 J183:M191 G203:M211 G132:K133 G258:M258 J247:M247 L132:M132 M133 L155:M155 M156 L169:M169 M170 L181:M181 M182 L192:M192 M193 L212:M212 M213 G249:M249 G250:I250 K250:M250 G251:M251 G253:M253 G254:I254 L254:M254 G255:M256 G257:K257 M257 G252:I252 M252 G155:K156 G157:M157 J169:K170 J181:K182 J192:K193 J194:M202 G212:K213">
    <cfRule type="expression" dxfId="111" priority="562">
      <formula>$G110="Serviço"</formula>
    </cfRule>
  </conditionalFormatting>
  <conditionalFormatting sqref="J195:M202 G199:I202 G242:J246 G248:J248 G467">
    <cfRule type="expression" dxfId="110" priority="633">
      <formula>$G195="Unidade Construtiva"</formula>
    </cfRule>
    <cfRule type="expression" dxfId="109" priority="634">
      <formula>$G195="Etapa"</formula>
    </cfRule>
  </conditionalFormatting>
  <conditionalFormatting sqref="J316:M337">
    <cfRule type="expression" dxfId="108" priority="502">
      <formula>$G316="Célula Construtiva"</formula>
    </cfRule>
  </conditionalFormatting>
  <conditionalFormatting sqref="J456:M467">
    <cfRule type="expression" dxfId="107" priority="602">
      <formula>$G456="Etapa"</formula>
    </cfRule>
  </conditionalFormatting>
  <conditionalFormatting sqref="K119:K121">
    <cfRule type="expression" dxfId="106" priority="425">
      <formula>$G119="Etapa"</formula>
    </cfRule>
  </conditionalFormatting>
  <conditionalFormatting sqref="K242:K248">
    <cfRule type="expression" dxfId="105" priority="478">
      <formula>$G242="Serviço"</formula>
    </cfRule>
    <cfRule type="expression" dxfId="104" priority="479">
      <formula>$G242="Célula Construtiva"</formula>
    </cfRule>
    <cfRule type="expression" dxfId="103" priority="480">
      <formula>$G242="Unidade Construtiva"</formula>
    </cfRule>
    <cfRule type="expression" dxfId="102" priority="481">
      <formula>$G242="Etapa"</formula>
    </cfRule>
  </conditionalFormatting>
  <conditionalFormatting sqref="K347:K348">
    <cfRule type="expression" dxfId="101" priority="21">
      <formula>$G347="Etapa"</formula>
    </cfRule>
  </conditionalFormatting>
  <conditionalFormatting sqref="K354">
    <cfRule type="expression" dxfId="100" priority="22">
      <formula>$G354="Etapa"</formula>
    </cfRule>
  </conditionalFormatting>
  <conditionalFormatting sqref="K444">
    <cfRule type="expression" dxfId="99" priority="10">
      <formula>$G444="Célula Construtiva"</formula>
    </cfRule>
    <cfRule type="expression" dxfId="98" priority="11">
      <formula>$G444="Unidade Construtiva"</formula>
    </cfRule>
    <cfRule type="expression" dxfId="97" priority="12">
      <formula>$G444="Etapa"</formula>
    </cfRule>
  </conditionalFormatting>
  <conditionalFormatting sqref="K158:M168">
    <cfRule type="expression" dxfId="96" priority="535">
      <formula>$G158="Unidade Construtiva"</formula>
    </cfRule>
    <cfRule type="expression" dxfId="95" priority="536">
      <formula>$G158="Etapa"</formula>
    </cfRule>
  </conditionalFormatting>
  <conditionalFormatting sqref="K183:M191 G203:M209">
    <cfRule type="expression" dxfId="94" priority="526">
      <formula>$G183="Unidade Construtiva"</formula>
    </cfRule>
    <cfRule type="expression" dxfId="93" priority="527">
      <formula>$G183="Etapa"</formula>
    </cfRule>
  </conditionalFormatting>
  <conditionalFormatting sqref="L6">
    <cfRule type="expression" dxfId="92" priority="189">
      <formula>$G6="Etapa"</formula>
    </cfRule>
  </conditionalFormatting>
  <conditionalFormatting sqref="L64">
    <cfRule type="expression" dxfId="91" priority="161">
      <formula>$G64="Etapa"</formula>
    </cfRule>
  </conditionalFormatting>
  <conditionalFormatting sqref="L71">
    <cfRule type="expression" dxfId="90" priority="162">
      <formula>$G71="Etapa"</formula>
    </cfRule>
  </conditionalFormatting>
  <conditionalFormatting sqref="L133">
    <cfRule type="expression" dxfId="89" priority="151">
      <formula>$G133="Serviço"</formula>
    </cfRule>
    <cfRule type="expression" dxfId="88" priority="152">
      <formula>$G133="Célula Construtiva"</formula>
    </cfRule>
  </conditionalFormatting>
  <conditionalFormatting sqref="L134">
    <cfRule type="expression" dxfId="87" priority="144">
      <formula>$G134="Unidade Construtiva"</formula>
    </cfRule>
    <cfRule type="expression" dxfId="86" priority="145">
      <formula>$G134="Etapa"</formula>
    </cfRule>
    <cfRule type="expression" dxfId="85" priority="146">
      <formula>$G134="Célula Construtiva"</formula>
    </cfRule>
  </conditionalFormatting>
  <conditionalFormatting sqref="L141">
    <cfRule type="expression" dxfId="84" priority="147">
      <formula>$G141="Célula Construtiva"</formula>
    </cfRule>
  </conditionalFormatting>
  <conditionalFormatting sqref="L156">
    <cfRule type="expression" dxfId="83" priority="137">
      <formula>$G156="Serviço"</formula>
    </cfRule>
    <cfRule type="expression" dxfId="82" priority="138">
      <formula>$G156="Célula Construtiva"</formula>
    </cfRule>
  </conditionalFormatting>
  <conditionalFormatting sqref="L170">
    <cfRule type="expression" dxfId="81" priority="119">
      <formula>$G170="Serviço"</formula>
    </cfRule>
    <cfRule type="expression" dxfId="80" priority="120">
      <formula>$G170="Célula Construtiva"</formula>
    </cfRule>
  </conditionalFormatting>
  <conditionalFormatting sqref="L182">
    <cfRule type="expression" dxfId="79" priority="112">
      <formula>$G182="Serviço"</formula>
    </cfRule>
    <cfRule type="expression" dxfId="78" priority="113">
      <formula>$G182="Célula Construtiva"</formula>
    </cfRule>
  </conditionalFormatting>
  <conditionalFormatting sqref="L193">
    <cfRule type="expression" dxfId="77" priority="105">
      <formula>$G193="Serviço"</formula>
    </cfRule>
    <cfRule type="expression" dxfId="76" priority="106">
      <formula>$G193="Célula Construtiva"</formula>
    </cfRule>
  </conditionalFormatting>
  <conditionalFormatting sqref="L213">
    <cfRule type="expression" dxfId="75" priority="99">
      <formula>$G213="Célula Construtiva"</formula>
    </cfRule>
  </conditionalFormatting>
  <conditionalFormatting sqref="L213:L214">
    <cfRule type="expression" dxfId="74" priority="95">
      <formula>$G213="Serviço"</formula>
    </cfRule>
  </conditionalFormatting>
  <conditionalFormatting sqref="L214">
    <cfRule type="expression" dxfId="73" priority="94">
      <formula>$G214="Etapa"</formula>
    </cfRule>
    <cfRule type="expression" dxfId="72" priority="96">
      <formula>$G214="Unidade Construtiva"</formula>
    </cfRule>
  </conditionalFormatting>
  <conditionalFormatting sqref="L223">
    <cfRule type="expression" dxfId="71" priority="97">
      <formula>$G223="Etapa"</formula>
    </cfRule>
  </conditionalFormatting>
  <conditionalFormatting sqref="L257">
    <cfRule type="expression" dxfId="70" priority="54">
      <formula>$G257="Serviço"</formula>
    </cfRule>
    <cfRule type="expression" dxfId="69" priority="57">
      <formula>$G257="Célula Construtiva"</formula>
    </cfRule>
  </conditionalFormatting>
  <conditionalFormatting sqref="L275:L276">
    <cfRule type="expression" dxfId="68" priority="42">
      <formula>$G275="Unidade Construtiva"</formula>
    </cfRule>
    <cfRule type="expression" dxfId="67" priority="43">
      <formula>$G275="Etapa"</formula>
    </cfRule>
    <cfRule type="expression" dxfId="66" priority="45">
      <formula>$G275="Célula Construtiva"</formula>
    </cfRule>
  </conditionalFormatting>
  <conditionalFormatting sqref="L318">
    <cfRule type="expression" dxfId="65" priority="24">
      <formula>$G318="Unidade Construtiva"</formula>
    </cfRule>
    <cfRule type="expression" dxfId="64" priority="25">
      <formula>$G318="Etapa"</formula>
    </cfRule>
  </conditionalFormatting>
  <conditionalFormatting sqref="L346">
    <cfRule type="expression" dxfId="63" priority="20">
      <formula>$G346="Etapa"</formula>
    </cfRule>
  </conditionalFormatting>
  <conditionalFormatting sqref="L357">
    <cfRule type="expression" dxfId="62" priority="13">
      <formula>$G357="Célula Construtiva"</formula>
    </cfRule>
    <cfRule type="expression" dxfId="61" priority="14">
      <formula>$G357="Unidade Construtiva"</formula>
    </cfRule>
    <cfRule type="expression" dxfId="60" priority="15">
      <formula>$G357="Etapa"</formula>
    </cfRule>
  </conditionalFormatting>
  <conditionalFormatting sqref="L372">
    <cfRule type="expression" dxfId="59" priority="16">
      <formula>$G372="Célula Construtiva"</formula>
    </cfRule>
    <cfRule type="expression" dxfId="58" priority="17">
      <formula>$G372="Unidade Construtiva"</formula>
    </cfRule>
  </conditionalFormatting>
  <conditionalFormatting sqref="L372:L373">
    <cfRule type="expression" dxfId="57" priority="18">
      <formula>$G372="Etapa"</formula>
    </cfRule>
  </conditionalFormatting>
  <conditionalFormatting sqref="L453">
    <cfRule type="expression" dxfId="56" priority="7">
      <formula>$G453="Serviço"</formula>
    </cfRule>
    <cfRule type="expression" dxfId="55" priority="8">
      <formula>$G453="Célula Construtiva"</formula>
    </cfRule>
    <cfRule type="expression" dxfId="54" priority="9">
      <formula>$G453="Unidade Construtiva"</formula>
    </cfRule>
  </conditionalFormatting>
  <conditionalFormatting sqref="L62:M68">
    <cfRule type="expression" dxfId="53" priority="692">
      <formula>$G62="Etapa"</formula>
    </cfRule>
  </conditionalFormatting>
  <conditionalFormatting sqref="L109:M109">
    <cfRule type="expression" dxfId="52" priority="159">
      <formula>$G109="Unidade Construtiva"</formula>
    </cfRule>
    <cfRule type="expression" dxfId="51" priority="160">
      <formula>$G109="Etapa"</formula>
    </cfRule>
  </conditionalFormatting>
  <conditionalFormatting sqref="L110:M133">
    <cfRule type="expression" dxfId="50" priority="153">
      <formula>$G110="Unidade Construtiva"</formula>
    </cfRule>
    <cfRule type="expression" dxfId="49" priority="154">
      <formula>$G110="Etapa"</formula>
    </cfRule>
  </conditionalFormatting>
  <conditionalFormatting sqref="L155:M155 M156">
    <cfRule type="expression" dxfId="48" priority="143">
      <formula>$G155="Célula Construtiva"</formula>
    </cfRule>
  </conditionalFormatting>
  <conditionalFormatting sqref="L155:M156">
    <cfRule type="expression" dxfId="47" priority="139">
      <formula>$G155="Unidade Construtiva"</formula>
    </cfRule>
    <cfRule type="expression" dxfId="46" priority="140">
      <formula>$G155="Etapa"</formula>
    </cfRule>
  </conditionalFormatting>
  <conditionalFormatting sqref="L169:M169 M170">
    <cfRule type="expression" dxfId="45" priority="125">
      <formula>$G169="Célula Construtiva"</formula>
    </cfRule>
  </conditionalFormatting>
  <conditionalFormatting sqref="L169:M170">
    <cfRule type="expression" dxfId="44" priority="121">
      <formula>$G169="Unidade Construtiva"</formula>
    </cfRule>
    <cfRule type="expression" dxfId="43" priority="122">
      <formula>$G169="Etapa"</formula>
    </cfRule>
  </conditionalFormatting>
  <conditionalFormatting sqref="L172:M180">
    <cfRule type="expression" dxfId="42" priority="568">
      <formula>$G172="Unidade Construtiva"</formula>
    </cfRule>
    <cfRule type="expression" dxfId="41" priority="569">
      <formula>$G172="Etapa"</formula>
    </cfRule>
  </conditionalFormatting>
  <conditionalFormatting sqref="L181:M181 M182">
    <cfRule type="expression" dxfId="40" priority="118">
      <formula>$G181="Célula Construtiva"</formula>
    </cfRule>
  </conditionalFormatting>
  <conditionalFormatting sqref="L181:M182">
    <cfRule type="expression" dxfId="39" priority="114">
      <formula>$G181="Unidade Construtiva"</formula>
    </cfRule>
    <cfRule type="expression" dxfId="38" priority="115">
      <formula>$G181="Etapa"</formula>
    </cfRule>
  </conditionalFormatting>
  <conditionalFormatting sqref="L192:M192 M193">
    <cfRule type="expression" dxfId="37" priority="111">
      <formula>$G192="Célula Construtiva"</formula>
    </cfRule>
  </conditionalFormatting>
  <conditionalFormatting sqref="L192:M193">
    <cfRule type="expression" dxfId="36" priority="107">
      <formula>$G192="Unidade Construtiva"</formula>
    </cfRule>
    <cfRule type="expression" dxfId="35" priority="108">
      <formula>$G192="Etapa"</formula>
    </cfRule>
  </conditionalFormatting>
  <conditionalFormatting sqref="L212:M212 M213">
    <cfRule type="expression" dxfId="34" priority="104">
      <formula>$G212="Célula Construtiva"</formula>
    </cfRule>
  </conditionalFormatting>
  <conditionalFormatting sqref="L212:M213">
    <cfRule type="expression" dxfId="33" priority="100">
      <formula>$G212="Unidade Construtiva"</formula>
    </cfRule>
    <cfRule type="expression" dxfId="32" priority="101">
      <formula>$G212="Etapa"</formula>
    </cfRule>
  </conditionalFormatting>
  <conditionalFormatting sqref="L242:M246">
    <cfRule type="expression" dxfId="31" priority="489">
      <formula>$G242="Serviço"</formula>
    </cfRule>
    <cfRule type="expression" dxfId="30" priority="490">
      <formula>$G242="Célula Construtiva"</formula>
    </cfRule>
    <cfRule type="expression" dxfId="29" priority="491">
      <formula>$G242="Unidade Construtiva"</formula>
    </cfRule>
    <cfRule type="expression" dxfId="28" priority="492">
      <formula>$G242="Etapa"</formula>
    </cfRule>
  </conditionalFormatting>
  <conditionalFormatting sqref="L248:M248">
    <cfRule type="expression" dxfId="27" priority="495">
      <formula>$G248="Serviço"</formula>
    </cfRule>
    <cfRule type="expression" dxfId="26" priority="496">
      <formula>$G248="Célula Construtiva"</formula>
    </cfRule>
    <cfRule type="expression" dxfId="25" priority="497">
      <formula>$G248="Unidade Construtiva"</formula>
    </cfRule>
    <cfRule type="expression" dxfId="24" priority="498">
      <formula>$G248="Etapa"</formula>
    </cfRule>
  </conditionalFormatting>
  <conditionalFormatting sqref="L319:M334">
    <cfRule type="expression" dxfId="23" priority="513">
      <formula>$G319="Unidade Construtiva"</formula>
    </cfRule>
    <cfRule type="expression" dxfId="22" priority="514">
      <formula>$G319="Etapa"</formula>
    </cfRule>
  </conditionalFormatting>
  <conditionalFormatting sqref="M43:M51">
    <cfRule type="expression" dxfId="21" priority="188">
      <formula>$G43="Etapa"</formula>
    </cfRule>
  </conditionalFormatting>
  <conditionalFormatting sqref="M43:M53">
    <cfRule type="expression" dxfId="20" priority="184">
      <formula>$G43="Serviço"</formula>
    </cfRule>
    <cfRule type="expression" dxfId="19" priority="185">
      <formula>$G43="Célula Construtiva"</formula>
    </cfRule>
    <cfRule type="expression" dxfId="18" priority="186">
      <formula>$G43="Unidade Construtiva"</formula>
    </cfRule>
  </conditionalFormatting>
  <conditionalFormatting sqref="M44">
    <cfRule type="expression" dxfId="17" priority="177">
      <formula>$G44="Célula Construtiva"</formula>
    </cfRule>
    <cfRule type="expression" dxfId="16" priority="178">
      <formula>$G44="Unidade Construtiva"</formula>
    </cfRule>
    <cfRule type="expression" dxfId="15" priority="179">
      <formula>$G44="Etapa"</formula>
    </cfRule>
    <cfRule type="expression" dxfId="14" priority="180">
      <formula>$G44="Célula Construtiva"</formula>
    </cfRule>
    <cfRule type="expression" dxfId="13" priority="181">
      <formula>$G44="Unidade Construtiva"</formula>
    </cfRule>
    <cfRule type="expression" dxfId="12" priority="182">
      <formula>$G44="Etapa"</formula>
    </cfRule>
  </conditionalFormatting>
  <conditionalFormatting sqref="M46">
    <cfRule type="expression" dxfId="11" priority="174">
      <formula>$G46="Célula Construtiva"</formula>
    </cfRule>
    <cfRule type="expression" dxfId="10" priority="175">
      <formula>$G46="Unidade Construtiva"</formula>
    </cfRule>
    <cfRule type="expression" dxfId="9" priority="176">
      <formula>$G46="Etapa"</formula>
    </cfRule>
  </conditionalFormatting>
  <conditionalFormatting sqref="M48">
    <cfRule type="expression" dxfId="8" priority="168">
      <formula>$G48="Célula Construtiva"</formula>
    </cfRule>
    <cfRule type="expression" dxfId="7" priority="169">
      <formula>$G48="Unidade Construtiva"</formula>
    </cfRule>
    <cfRule type="expression" dxfId="6" priority="170">
      <formula>$G48="Etapa"</formula>
    </cfRule>
    <cfRule type="expression" dxfId="5" priority="171">
      <formula>$G48="Célula Construtiva"</formula>
    </cfRule>
    <cfRule type="expression" dxfId="4" priority="172">
      <formula>$G48="Unidade Construtiva"</formula>
    </cfRule>
    <cfRule type="expression" dxfId="3" priority="173">
      <formula>$G48="Etapa"</formula>
    </cfRule>
  </conditionalFormatting>
  <conditionalFormatting sqref="M50">
    <cfRule type="expression" dxfId="2" priority="167">
      <formula>$G50="Etapa"</formula>
    </cfRule>
  </conditionalFormatting>
  <conditionalFormatting sqref="M52">
    <cfRule type="expression" dxfId="1" priority="183">
      <formula>$G52="Etapa"</formula>
    </cfRule>
  </conditionalFormatting>
  <conditionalFormatting sqref="M53">
    <cfRule type="expression" dxfId="0" priority="187">
      <formula>$G53="Etapa"</formula>
    </cfRule>
  </conditionalFormatting>
  <dataValidations count="1">
    <dataValidation type="list" allowBlank="1" showInputMessage="1" showErrorMessage="1" sqref="G4:G467" xr:uid="{89D8D721-E506-497E-8DE8-A44E2CE793D3}">
      <formula1>"UNIDADE CONSTRUTIVA,CÉLULA CONSTRUTIVA,ETAPA,Subetapa,Serviço"</formula1>
    </dataValidation>
  </dataValidations>
  <pageMargins left="0.511811024" right="0.511811024" top="0.78740157499999996" bottom="0.78740157499999996" header="0.31496062000000002" footer="0.31496062000000002"/>
  <pageSetup paperSize="9" scale="5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OBRA</vt:lpstr>
      <vt:lpstr>RESUMOS</vt:lpstr>
      <vt:lpstr>CUB</vt:lpstr>
      <vt:lpstr>INDIRETOS</vt:lpstr>
      <vt:lpstr>HOTEL</vt:lpstr>
      <vt:lpstr>RESIDENCIAL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Bragatto</dc:creator>
  <cp:lastModifiedBy>Patricia Bragatto</cp:lastModifiedBy>
  <cp:lastPrinted>2024-06-30T01:38:08Z</cp:lastPrinted>
  <dcterms:created xsi:type="dcterms:W3CDTF">2025-04-01T11:23:24Z</dcterms:created>
  <dcterms:modified xsi:type="dcterms:W3CDTF">2025-06-16T23:14:03Z</dcterms:modified>
</cp:coreProperties>
</file>