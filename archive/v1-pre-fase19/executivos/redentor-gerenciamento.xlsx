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rasin\Brasin - Redentor\03. Custo\03.0 Custo - Orçamento Paramétrico\R01\"/>
    </mc:Choice>
  </mc:AlternateContent>
  <xr:revisionPtr revIDLastSave="0" documentId="13_ncr:1_{EFCFCCA5-5CEB-4FC0-A8A9-39F7FF0C1D76}" xr6:coauthVersionLast="47" xr6:coauthVersionMax="47" xr10:uidLastSave="{00000000-0000-0000-0000-000000000000}"/>
  <bookViews>
    <workbookView xWindow="19095" yWindow="0" windowWidth="19410" windowHeight="15585" tabRatio="831" firstSheet="4" activeTab="9" xr2:uid="{00000000-000D-0000-FFFF-FFFF00000000}"/>
  </bookViews>
  <sheets>
    <sheet name="Dados Gerais" sheetId="14" r:id="rId1"/>
    <sheet name="Resumo" sheetId="35" r:id="rId2"/>
    <sheet name="Movimentação de Terra" sheetId="13" r:id="rId3"/>
    <sheet name="Infraestrutura" sheetId="21" r:id="rId4"/>
    <sheet name="Supraestrutura" sheetId="22" r:id="rId5"/>
    <sheet name="Alvenaria" sheetId="23" r:id="rId6"/>
    <sheet name="Instalações" sheetId="40" r:id="rId7"/>
    <sheet name="Sistemas especiais" sheetId="38" r:id="rId8"/>
    <sheet name="Impermeabilização" sheetId="25" r:id="rId9"/>
    <sheet name="Acabamentos de Teto" sheetId="27" r:id="rId10"/>
    <sheet name="Rev. Internos Piso e Parede" sheetId="26" r:id="rId11"/>
    <sheet name="Acabamentos de Piso e Parede" sheetId="28" r:id="rId12"/>
    <sheet name="Pintura Interna" sheetId="29" r:id="rId13"/>
    <sheet name="Esquadrias" sheetId="30" r:id="rId14"/>
    <sheet name="Auxiliar" sheetId="36" state="hidden" r:id="rId15"/>
    <sheet name="Cobertura" sheetId="39" r:id="rId16"/>
    <sheet name="Rev. Fachada" sheetId="31" r:id="rId17"/>
    <sheet name="Complementares" sheetId="34" r:id="rId18"/>
  </sheets>
  <externalReferences>
    <externalReference r:id="rId19"/>
    <externalReference r:id="rId20"/>
  </externalReferences>
  <definedNames>
    <definedName name="_xlnm._FilterDatabase" localSheetId="14" hidden="1">Auxiliar!$A$1:$D$68</definedName>
    <definedName name="_xlnm.Print_Area" localSheetId="11">'Acabamentos de Piso e Parede'!$A$1:$K$28</definedName>
    <definedName name="_xlnm.Print_Area" localSheetId="9">'Acabamentos de Teto'!$A$1:$K$20</definedName>
    <definedName name="_xlnm.Print_Area" localSheetId="5">Alvenaria!$A$1:$K$26</definedName>
    <definedName name="_xlnm.Print_Area" localSheetId="15">Cobertura!$A$1:$K$17</definedName>
    <definedName name="_xlnm.Print_Area" localSheetId="17">Complementares!$A$1:$K$20</definedName>
    <definedName name="_xlnm.Print_Area" localSheetId="13">Esquadrias!$A$1:$K$27</definedName>
    <definedName name="_xlnm.Print_Area" localSheetId="8">Impermeabilização!$A$1:$K$24</definedName>
    <definedName name="_xlnm.Print_Area" localSheetId="3">Infraestrutura!$A$1:$K$44</definedName>
    <definedName name="_xlnm.Print_Area" localSheetId="6">Instalações!$A$1:$K$24</definedName>
    <definedName name="_xlnm.Print_Area" localSheetId="2">'Movimentação de Terra'!$A$1:$K$47</definedName>
    <definedName name="_xlnm.Print_Area" localSheetId="12">'Pintura Interna'!$A$1:$K$19</definedName>
    <definedName name="_xlnm.Print_Area" localSheetId="1">Resumo!$A$1:$I$43</definedName>
    <definedName name="_xlnm.Print_Area" localSheetId="16">'Rev. Fachada'!$A$1:$K$23</definedName>
    <definedName name="_xlnm.Print_Area" localSheetId="10">'Rev. Internos Piso e Parede'!$A$1:$K$22</definedName>
    <definedName name="_xlnm.Print_Area" localSheetId="7">'Sistemas especiais'!$A$1:$K$11</definedName>
    <definedName name="_xlnm.Print_Area" localSheetId="4">Supraestrutura!$A$1:$K$29</definedName>
    <definedName name="_xlnm.Print_Titles" localSheetId="11">'Acabamentos de Piso e Parede'!$7:$11</definedName>
    <definedName name="_xlnm.Print_Titles" localSheetId="9">'Acabamentos de Teto'!$7:$11</definedName>
    <definedName name="_xlnm.Print_Titles" localSheetId="5">Alvenaria!$7:$11</definedName>
    <definedName name="_xlnm.Print_Titles" localSheetId="15">Cobertura!$7:$11</definedName>
    <definedName name="_xlnm.Print_Titles" localSheetId="17">Complementares!$7:$11</definedName>
    <definedName name="_xlnm.Print_Titles" localSheetId="0">'Dados Gerais'!$7:$11</definedName>
    <definedName name="_xlnm.Print_Titles" localSheetId="13">Esquadrias!$7:$11</definedName>
    <definedName name="_xlnm.Print_Titles" localSheetId="8">Impermeabilização!$7:$11</definedName>
    <definedName name="_xlnm.Print_Titles" localSheetId="3">Infraestrutura!$7:$11</definedName>
    <definedName name="_xlnm.Print_Titles" localSheetId="6">Instalações!$7:$11</definedName>
    <definedName name="_xlnm.Print_Titles" localSheetId="2">'Movimentação de Terra'!$7:$11</definedName>
    <definedName name="_xlnm.Print_Titles" localSheetId="12">'Pintura Interna'!$7:$11</definedName>
    <definedName name="_xlnm.Print_Titles" localSheetId="1">Resumo!$7:$11</definedName>
    <definedName name="_xlnm.Print_Titles" localSheetId="16">'Rev. Fachada'!$7:$11</definedName>
    <definedName name="_xlnm.Print_Titles" localSheetId="10">'Rev. Internos Piso e Parede'!$7:$11</definedName>
    <definedName name="_xlnm.Print_Titles" localSheetId="7">'Sistemas especiais'!$7:$11</definedName>
    <definedName name="_xlnm.Print_Titles" localSheetId="4">Supraestrutura!$7:$11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2" l="1"/>
  <c r="I18" i="22" s="1"/>
  <c r="F17" i="22"/>
  <c r="I24" i="22" l="1"/>
  <c r="I30" i="21"/>
  <c r="F30" i="21"/>
  <c r="I39" i="21"/>
  <c r="F27" i="27"/>
  <c r="F18" i="27"/>
  <c r="F17" i="27"/>
  <c r="F16" i="27"/>
  <c r="F25" i="27"/>
  <c r="F24" i="27"/>
  <c r="D24" i="27" s="1"/>
  <c r="F21" i="31"/>
  <c r="I25" i="28" l="1"/>
  <c r="D25" i="28"/>
  <c r="I29" i="21"/>
  <c r="I17" i="21"/>
  <c r="D29" i="21"/>
  <c r="D30" i="21"/>
  <c r="I28" i="21"/>
  <c r="I26" i="21"/>
  <c r="I24" i="21"/>
  <c r="D28" i="21" l="1"/>
  <c r="D27" i="21"/>
  <c r="D26" i="21"/>
  <c r="D25" i="21"/>
  <c r="D24" i="21"/>
  <c r="D23" i="21"/>
  <c r="D22" i="21"/>
  <c r="D15" i="21"/>
  <c r="E24" i="14"/>
  <c r="E22" i="14"/>
  <c r="D15" i="31" l="1"/>
  <c r="D21" i="31" l="1"/>
  <c r="I17" i="22"/>
  <c r="M26" i="38"/>
  <c r="M25" i="38"/>
  <c r="M24" i="38"/>
  <c r="I26" i="38"/>
  <c r="I25" i="38"/>
  <c r="I24" i="38"/>
  <c r="I27" i="38" s="1"/>
  <c r="I43" i="38"/>
  <c r="F40" i="38"/>
  <c r="F41" i="38"/>
  <c r="F45" i="38"/>
  <c r="I45" i="38" s="1"/>
  <c r="I15" i="31" l="1"/>
  <c r="D36" i="30"/>
  <c r="D35" i="30"/>
  <c r="P16" i="40"/>
  <c r="M42" i="40"/>
  <c r="N42" i="40" s="1"/>
  <c r="M43" i="40"/>
  <c r="N43" i="40" s="1"/>
  <c r="M41" i="40"/>
  <c r="N41" i="40" s="1"/>
  <c r="M29" i="40"/>
  <c r="M30" i="40"/>
  <c r="M32" i="40"/>
  <c r="M33" i="40"/>
  <c r="L28" i="40"/>
  <c r="M28" i="40" s="1"/>
  <c r="L31" i="40"/>
  <c r="M31" i="40" s="1"/>
  <c r="M16" i="40"/>
  <c r="M18" i="40"/>
  <c r="M19" i="40"/>
  <c r="M20" i="40"/>
  <c r="M21" i="40"/>
  <c r="L16" i="40"/>
  <c r="L15" i="40"/>
  <c r="M15" i="40" s="1"/>
  <c r="I44" i="40"/>
  <c r="I43" i="40"/>
  <c r="I42" i="40"/>
  <c r="I41" i="40"/>
  <c r="I34" i="40"/>
  <c r="I33" i="40"/>
  <c r="I32" i="40"/>
  <c r="I31" i="40"/>
  <c r="I30" i="40"/>
  <c r="I29" i="40"/>
  <c r="I28" i="40"/>
  <c r="I22" i="40"/>
  <c r="I21" i="40"/>
  <c r="I20" i="40"/>
  <c r="I19" i="40"/>
  <c r="I18" i="40"/>
  <c r="I17" i="40"/>
  <c r="I16" i="40"/>
  <c r="I15" i="40"/>
  <c r="B10" i="40"/>
  <c r="B9" i="40"/>
  <c r="B8" i="40"/>
  <c r="B7" i="40"/>
  <c r="D29" i="13"/>
  <c r="I29" i="13" s="1"/>
  <c r="I45" i="40" l="1"/>
  <c r="I35" i="40"/>
  <c r="I23" i="40"/>
  <c r="I48" i="40" s="1"/>
  <c r="K48" i="40" l="1"/>
  <c r="D28" i="31" l="1"/>
  <c r="D27" i="31"/>
  <c r="N22" i="31"/>
  <c r="N23" i="31"/>
  <c r="N24" i="31"/>
  <c r="D15" i="26"/>
  <c r="D27" i="27" s="1"/>
  <c r="D40" i="21"/>
  <c r="I40" i="21" s="1"/>
  <c r="D16" i="26" l="1"/>
  <c r="D18" i="27"/>
  <c r="D17" i="26" l="1"/>
  <c r="I16" i="26"/>
  <c r="F16" i="26"/>
  <c r="I24" i="30"/>
  <c r="D25" i="22"/>
  <c r="I25" i="22" s="1"/>
  <c r="F19" i="22"/>
  <c r="I19" i="22" s="1"/>
  <c r="F26" i="27" l="1"/>
  <c r="D26" i="27"/>
  <c r="D17" i="27"/>
  <c r="I26" i="27" l="1"/>
  <c r="I17" i="27"/>
  <c r="P24" i="13"/>
  <c r="D29" i="31" l="1"/>
  <c r="M19" i="31" l="1"/>
  <c r="I22" i="28"/>
  <c r="I24" i="28" l="1"/>
  <c r="I26" i="28"/>
  <c r="D19" i="28"/>
  <c r="I19" i="28" s="1"/>
  <c r="E88" i="28"/>
  <c r="E86" i="28"/>
  <c r="E81" i="28"/>
  <c r="E78" i="28"/>
  <c r="E76" i="28"/>
  <c r="E75" i="28"/>
  <c r="E72" i="28"/>
  <c r="E71" i="28"/>
  <c r="E69" i="28"/>
  <c r="E68" i="28"/>
  <c r="E65" i="28"/>
  <c r="E64" i="28"/>
  <c r="E63" i="28"/>
  <c r="E62" i="28"/>
  <c r="E58" i="28"/>
  <c r="E57" i="28"/>
  <c r="E56" i="28"/>
  <c r="D23" i="28" s="1"/>
  <c r="I23" i="28" s="1"/>
  <c r="E51" i="28"/>
  <c r="E50" i="28"/>
  <c r="E49" i="28"/>
  <c r="E44" i="28"/>
  <c r="E46" i="28" s="1"/>
  <c r="D16" i="29" s="1"/>
  <c r="E40" i="28"/>
  <c r="E37" i="28"/>
  <c r="E35" i="28"/>
  <c r="E34" i="28"/>
  <c r="K33" i="28"/>
  <c r="D15" i="29" s="1"/>
  <c r="E33" i="28"/>
  <c r="E59" i="28" l="1"/>
  <c r="D20" i="28" s="1"/>
  <c r="I20" i="28" s="1"/>
  <c r="D21" i="28"/>
  <c r="D15" i="28"/>
  <c r="D17" i="28"/>
  <c r="I21" i="28"/>
  <c r="D16" i="28"/>
  <c r="I16" i="28" s="1"/>
  <c r="I15" i="29"/>
  <c r="D18" i="28"/>
  <c r="K26" i="14"/>
  <c r="D39" i="21"/>
  <c r="D38" i="21" s="1"/>
  <c r="I38" i="21" s="1"/>
  <c r="D37" i="21"/>
  <c r="D41" i="21" s="1"/>
  <c r="D20" i="21" l="1"/>
  <c r="D21" i="21" s="1"/>
  <c r="I17" i="28"/>
  <c r="D16" i="21"/>
  <c r="D17" i="21" s="1"/>
  <c r="D18" i="21"/>
  <c r="D19" i="21" s="1"/>
  <c r="I19" i="21" s="1"/>
  <c r="I16" i="30" l="1"/>
  <c r="I22" i="30" l="1"/>
  <c r="D21" i="30"/>
  <c r="I21" i="30" s="1"/>
  <c r="D20" i="30"/>
  <c r="I17" i="30"/>
  <c r="D20" i="25" l="1"/>
  <c r="D15" i="25" s="1"/>
  <c r="I39" i="38"/>
  <c r="I41" i="38"/>
  <c r="I42" i="38"/>
  <c r="I44" i="38"/>
  <c r="D25" i="27" l="1"/>
  <c r="I25" i="27" s="1"/>
  <c r="I24" i="27" l="1"/>
  <c r="D20" i="23" l="1"/>
  <c r="F35" i="22"/>
  <c r="F34" i="22"/>
  <c r="I28" i="31" l="1"/>
  <c r="D19" i="26"/>
  <c r="D18" i="26"/>
  <c r="D16" i="25"/>
  <c r="D18" i="38"/>
  <c r="O19" i="38"/>
  <c r="O17" i="38"/>
  <c r="O26" i="38" s="1"/>
  <c r="N20" i="38"/>
  <c r="N19" i="38"/>
  <c r="N17" i="38"/>
  <c r="D16" i="23"/>
  <c r="D15" i="23"/>
  <c r="D21" i="23"/>
  <c r="D19" i="23"/>
  <c r="D18" i="23"/>
  <c r="D17" i="23"/>
  <c r="D21" i="22"/>
  <c r="D20" i="22"/>
  <c r="D16" i="22"/>
  <c r="D15" i="22" s="1"/>
  <c r="D45" i="13"/>
  <c r="D36" i="13"/>
  <c r="B10" i="34"/>
  <c r="B9" i="34"/>
  <c r="B8" i="34"/>
  <c r="B7" i="34"/>
  <c r="B10" i="31"/>
  <c r="B9" i="31"/>
  <c r="B8" i="31"/>
  <c r="B7" i="31"/>
  <c r="B10" i="39"/>
  <c r="B9" i="39"/>
  <c r="B8" i="39"/>
  <c r="B7" i="39"/>
  <c r="B10" i="30"/>
  <c r="B9" i="30"/>
  <c r="B8" i="30"/>
  <c r="B7" i="30"/>
  <c r="B10" i="29"/>
  <c r="B9" i="29"/>
  <c r="B8" i="29"/>
  <c r="B7" i="29"/>
  <c r="B10" i="28"/>
  <c r="B9" i="28"/>
  <c r="B8" i="28"/>
  <c r="B7" i="28"/>
  <c r="B10" i="27"/>
  <c r="B9" i="27"/>
  <c r="B8" i="27"/>
  <c r="B7" i="27"/>
  <c r="B10" i="26"/>
  <c r="B9" i="26"/>
  <c r="B8" i="26"/>
  <c r="B7" i="26"/>
  <c r="B10" i="25"/>
  <c r="B9" i="25"/>
  <c r="B8" i="25"/>
  <c r="B7" i="25"/>
  <c r="B10" i="38"/>
  <c r="B9" i="38"/>
  <c r="B8" i="38"/>
  <c r="B7" i="38"/>
  <c r="B10" i="23"/>
  <c r="B9" i="23"/>
  <c r="B8" i="23"/>
  <c r="B7" i="23"/>
  <c r="B10" i="22"/>
  <c r="B9" i="22"/>
  <c r="B8" i="22"/>
  <c r="B7" i="22"/>
  <c r="B10" i="21"/>
  <c r="B9" i="21"/>
  <c r="B8" i="21"/>
  <c r="B7" i="21"/>
  <c r="B10" i="13"/>
  <c r="B9" i="13"/>
  <c r="B8" i="13"/>
  <c r="B7" i="13"/>
  <c r="F15" i="28"/>
  <c r="I15" i="28" s="1"/>
  <c r="F18" i="28"/>
  <c r="I18" i="28" s="1"/>
  <c r="D37" i="13" l="1"/>
  <c r="I37" i="13" s="1"/>
  <c r="I36" i="13"/>
  <c r="N26" i="38"/>
  <c r="I29" i="31"/>
  <c r="D23" i="23"/>
  <c r="D22" i="23"/>
  <c r="I20" i="26"/>
  <c r="I22" i="13"/>
  <c r="I45" i="13"/>
  <c r="I27" i="27" l="1"/>
  <c r="I28" i="27" s="1"/>
  <c r="F15" i="27"/>
  <c r="D15" i="27" s="1"/>
  <c r="I15" i="39"/>
  <c r="I16" i="39" s="1"/>
  <c r="J19" i="39" s="1"/>
  <c r="K19" i="39" s="1"/>
  <c r="I18" i="27" l="1"/>
  <c r="I37" i="21"/>
  <c r="D26" i="22" l="1"/>
  <c r="I26" i="22" s="1"/>
  <c r="I41" i="21"/>
  <c r="I18" i="26"/>
  <c r="I18" i="34" l="1"/>
  <c r="I17" i="34"/>
  <c r="I16" i="34"/>
  <c r="I15" i="34"/>
  <c r="I19" i="34" s="1"/>
  <c r="I22" i="34" s="1"/>
  <c r="K22" i="34" l="1"/>
  <c r="D16" i="27"/>
  <c r="I21" i="23"/>
  <c r="I19" i="23"/>
  <c r="I18" i="23"/>
  <c r="I17" i="23"/>
  <c r="I16" i="23"/>
  <c r="I15" i="23"/>
  <c r="I21" i="25" l="1"/>
  <c r="I15" i="26" l="1"/>
  <c r="I16" i="29"/>
  <c r="I20" i="23"/>
  <c r="I15" i="22"/>
  <c r="I16" i="22" l="1"/>
  <c r="A18" i="35"/>
  <c r="A117" i="35" l="1"/>
  <c r="A116" i="35"/>
  <c r="A115" i="35"/>
  <c r="I15" i="27" l="1"/>
  <c r="I40" i="38" l="1"/>
  <c r="I21" i="21" l="1"/>
  <c r="I30" i="13"/>
  <c r="I20" i="30" l="1"/>
  <c r="I15" i="30" l="1"/>
  <c r="I32" i="38" l="1"/>
  <c r="I33" i="38" l="1"/>
  <c r="I17" i="38"/>
  <c r="I16" i="38"/>
  <c r="I15" i="38"/>
  <c r="D116" i="35" l="1"/>
  <c r="I46" i="38"/>
  <c r="I47" i="38" s="1"/>
  <c r="I50" i="38" s="1"/>
  <c r="I18" i="38"/>
  <c r="I19" i="38" s="1"/>
  <c r="D115" i="35" l="1"/>
  <c r="D117" i="35"/>
  <c r="D118" i="35" s="1"/>
  <c r="D24" i="22" l="1"/>
  <c r="D23" i="22" s="1"/>
  <c r="I23" i="22" s="1"/>
  <c r="K50" i="38" l="1"/>
  <c r="D22" i="22"/>
  <c r="I22" i="22"/>
  <c r="H11" i="36" l="1"/>
  <c r="H10" i="36"/>
  <c r="H9" i="36"/>
  <c r="H8" i="36"/>
  <c r="I18" i="30" s="1"/>
  <c r="H7" i="36"/>
  <c r="I25" i="30" s="1"/>
  <c r="H6" i="36"/>
  <c r="H12" i="36"/>
  <c r="H5" i="36"/>
  <c r="I23" i="30" l="1"/>
  <c r="I16" i="31" l="1"/>
  <c r="D17" i="25"/>
  <c r="I42" i="21" l="1"/>
  <c r="I19" i="30" l="1"/>
  <c r="A99" i="35" l="1"/>
  <c r="A101" i="35"/>
  <c r="A100" i="35"/>
  <c r="I19" i="26" l="1"/>
  <c r="I20" i="25"/>
  <c r="D19" i="25"/>
  <c r="I19" i="25" s="1"/>
  <c r="D22" i="25" l="1"/>
  <c r="I22" i="25" s="1"/>
  <c r="D38" i="13" l="1"/>
  <c r="I38" i="13" s="1"/>
  <c r="I39" i="13" s="1"/>
  <c r="D99" i="35" l="1"/>
  <c r="I16" i="27"/>
  <c r="I19" i="27" s="1"/>
  <c r="J31" i="27" l="1"/>
  <c r="I31" i="21"/>
  <c r="I45" i="21" l="1"/>
  <c r="A124" i="35"/>
  <c r="A108" i="35"/>
  <c r="A92" i="35"/>
  <c r="A78" i="35"/>
  <c r="A85" i="35"/>
  <c r="A71" i="35"/>
  <c r="A64" i="35"/>
  <c r="A57" i="35"/>
  <c r="A50" i="35"/>
  <c r="A49" i="35"/>
  <c r="A48" i="35"/>
  <c r="A41" i="35"/>
  <c r="A34" i="35"/>
  <c r="A27" i="35"/>
  <c r="A26" i="35"/>
  <c r="A17" i="35"/>
  <c r="A16" i="35"/>
  <c r="A15" i="35"/>
  <c r="N31" i="21" l="1"/>
  <c r="D124" i="35" l="1"/>
  <c r="D125" i="35" s="1"/>
  <c r="D108" i="35"/>
  <c r="D109" i="35" s="1"/>
  <c r="I26" i="30"/>
  <c r="I29" i="30" s="1"/>
  <c r="I17" i="29"/>
  <c r="I18" i="29" s="1"/>
  <c r="I20" i="29" l="1"/>
  <c r="K20" i="29" s="1"/>
  <c r="K29" i="30"/>
  <c r="D85" i="35"/>
  <c r="D86" i="35" s="1"/>
  <c r="D92" i="35"/>
  <c r="D93" i="35" s="1"/>
  <c r="I15" i="25" l="1"/>
  <c r="I16" i="25"/>
  <c r="I17" i="25"/>
  <c r="I18" i="25"/>
  <c r="I23" i="25" l="1"/>
  <c r="I26" i="25" s="1"/>
  <c r="K26" i="25" l="1"/>
  <c r="D50" i="35"/>
  <c r="D57" i="35"/>
  <c r="D58" i="35" s="1"/>
  <c r="D71" i="35"/>
  <c r="D72" i="35" s="1"/>
  <c r="D49" i="35" l="1"/>
  <c r="I23" i="23" l="1"/>
  <c r="D48" i="35" l="1"/>
  <c r="D51" i="35" s="1"/>
  <c r="I20" i="22"/>
  <c r="I23" i="13"/>
  <c r="D15" i="13"/>
  <c r="I15" i="13" s="1"/>
  <c r="D15" i="35" l="1"/>
  <c r="I16" i="13"/>
  <c r="D26" i="35"/>
  <c r="K45" i="21" l="1"/>
  <c r="D27" i="35"/>
  <c r="D28" i="35" s="1"/>
  <c r="I46" i="13"/>
  <c r="I49" i="13" s="1"/>
  <c r="K49" i="13" l="1"/>
  <c r="D18" i="35"/>
  <c r="D17" i="35"/>
  <c r="D16" i="35"/>
  <c r="I21" i="22"/>
  <c r="I27" i="22" s="1"/>
  <c r="I30" i="22" s="1"/>
  <c r="K30" i="22" l="1"/>
  <c r="D19" i="35"/>
  <c r="D34" i="35" l="1"/>
  <c r="D35" i="35" s="1"/>
  <c r="I22" i="23" l="1"/>
  <c r="I24" i="23" l="1"/>
  <c r="I27" i="23" l="1"/>
  <c r="D41" i="35"/>
  <c r="D42" i="35" s="1"/>
  <c r="I21" i="31"/>
  <c r="I22" i="31" s="1"/>
  <c r="I27" i="31"/>
  <c r="I30" i="31" s="1"/>
  <c r="D100" i="35" l="1"/>
  <c r="I33" i="31"/>
  <c r="K27" i="23"/>
  <c r="D101" i="35"/>
  <c r="K33" i="31" l="1"/>
  <c r="D102" i="35"/>
  <c r="F17" i="26"/>
  <c r="I17" i="26"/>
  <c r="I21" i="26" s="1"/>
  <c r="I24" i="26" l="1"/>
  <c r="K24" i="26" s="1"/>
  <c r="I27" i="28"/>
  <c r="D64" i="35"/>
  <c r="D65" i="35" s="1"/>
  <c r="I30" i="28" l="1"/>
  <c r="K30" i="28" s="1"/>
  <c r="D78" i="35"/>
  <c r="D79" i="35" s="1"/>
</calcChain>
</file>

<file path=xl/sharedStrings.xml><?xml version="1.0" encoding="utf-8"?>
<sst xmlns="http://schemas.openxmlformats.org/spreadsheetml/2006/main" count="1370" uniqueCount="449">
  <si>
    <t>Documento</t>
  </si>
  <si>
    <t>Cliente</t>
  </si>
  <si>
    <t>Obra</t>
  </si>
  <si>
    <t>Data</t>
  </si>
  <si>
    <t>Revisão</t>
  </si>
  <si>
    <t>R00</t>
  </si>
  <si>
    <t>Status</t>
  </si>
  <si>
    <t>Responsável</t>
  </si>
  <si>
    <t>Kelen</t>
  </si>
  <si>
    <t>01</t>
  </si>
  <si>
    <t>UC</t>
  </si>
  <si>
    <t>N° total de pavimentos</t>
  </si>
  <si>
    <t>Área do terreno</t>
  </si>
  <si>
    <t>N° de pavimentos tipo</t>
  </si>
  <si>
    <t>Área de projeção da torre</t>
  </si>
  <si>
    <t>Perímetro de projeção da torre</t>
  </si>
  <si>
    <t>Área total construída</t>
  </si>
  <si>
    <t>m²</t>
  </si>
  <si>
    <t>un</t>
  </si>
  <si>
    <t>m</t>
  </si>
  <si>
    <t>Área de subsolos</t>
  </si>
  <si>
    <t>N° de subsolos</t>
  </si>
  <si>
    <t>Locação da obra</t>
  </si>
  <si>
    <t>Parâmetro</t>
  </si>
  <si>
    <t>R$ / AC</t>
  </si>
  <si>
    <t>AT</t>
  </si>
  <si>
    <t>AC</t>
  </si>
  <si>
    <t>NP</t>
  </si>
  <si>
    <t>NPT</t>
  </si>
  <si>
    <t>APT</t>
  </si>
  <si>
    <t>PPT</t>
  </si>
  <si>
    <t>LC</t>
  </si>
  <si>
    <t>AS</t>
  </si>
  <si>
    <t>NS</t>
  </si>
  <si>
    <t>Descrição</t>
  </si>
  <si>
    <t>Identificador</t>
  </si>
  <si>
    <t>Informação</t>
  </si>
  <si>
    <t>R$ / AT</t>
  </si>
  <si>
    <t>Valor total</t>
  </si>
  <si>
    <t>Referência</t>
  </si>
  <si>
    <t>Resp.</t>
  </si>
  <si>
    <t>-</t>
  </si>
  <si>
    <t>TOTAL</t>
  </si>
  <si>
    <t>EQUIPAMENTOS</t>
  </si>
  <si>
    <r>
      <t xml:space="preserve">ORÇAMENTO PARAMÉTRICO
</t>
    </r>
    <r>
      <rPr>
        <b/>
        <sz val="11"/>
        <color rgb="FF003C66"/>
        <rFont val="Roboto"/>
      </rPr>
      <t>GERENCIAMENTO EXECUTIVO</t>
    </r>
  </si>
  <si>
    <r>
      <t xml:space="preserve">ORÇAMENTO PARAMÉTRICO 
</t>
    </r>
    <r>
      <rPr>
        <b/>
        <sz val="11"/>
        <color rgb="FF003C66"/>
        <rFont val="Roboto"/>
      </rPr>
      <t>GERENCIAMENTO EXECUTIVO</t>
    </r>
  </si>
  <si>
    <r>
      <t xml:space="preserve">ORÇAMENTO PARAMÉTRICO
</t>
    </r>
    <r>
      <rPr>
        <b/>
        <sz val="11"/>
        <color rgb="FF003C66"/>
        <rFont val="Roboto"/>
      </rPr>
      <t>MOVIMENTAÇÃO DE TERRA</t>
    </r>
  </si>
  <si>
    <t>Escavação</t>
  </si>
  <si>
    <t>R$ / m³</t>
  </si>
  <si>
    <t>Quantidade</t>
  </si>
  <si>
    <t>Pedro Chaves</t>
  </si>
  <si>
    <t>ESCAVAÇÃO E REATERRO DE VALAS</t>
  </si>
  <si>
    <t>Movimentação de terra das estacas</t>
  </si>
  <si>
    <t>REBAIXAMENTO DE LENÇOL</t>
  </si>
  <si>
    <t>Rebaixamento de Lençol</t>
  </si>
  <si>
    <t>Escavação mecanizada para blocos e baldrames</t>
  </si>
  <si>
    <t>Reaterro para blocos e baldrames</t>
  </si>
  <si>
    <t>m³ / AT</t>
  </si>
  <si>
    <t>m³</t>
  </si>
  <si>
    <t xml:space="preserve">Lastro de concreto magro e= 10cm - Blocos </t>
  </si>
  <si>
    <t>Armação</t>
  </si>
  <si>
    <t>Concreto</t>
  </si>
  <si>
    <t>Mão de obra</t>
  </si>
  <si>
    <t>ESCAVAÇÃO</t>
  </si>
  <si>
    <t>kg</t>
  </si>
  <si>
    <t>vb</t>
  </si>
  <si>
    <t>R$ / m²</t>
  </si>
  <si>
    <t>FUNDAÇÃO PROFUNDA</t>
  </si>
  <si>
    <t>FUNDAÇÃO RASA</t>
  </si>
  <si>
    <t>Fabricação, montagem e desmontagem de forma para blocos e baldrames</t>
  </si>
  <si>
    <r>
      <t xml:space="preserve">ORÇAMENTO PARAMÉTRICO
</t>
    </r>
    <r>
      <rPr>
        <b/>
        <sz val="11"/>
        <color rgb="FF003C66"/>
        <rFont val="Roboto"/>
      </rPr>
      <t>INFRAESTRUTURA</t>
    </r>
  </si>
  <si>
    <r>
      <t xml:space="preserve">ORÇAMENTO PARAMÉTRICO
</t>
    </r>
    <r>
      <rPr>
        <b/>
        <sz val="11"/>
        <color rgb="FF003C66"/>
        <rFont val="Roboto"/>
      </rPr>
      <t>SUPRAESTRUTURA</t>
    </r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</si>
  <si>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</si>
  <si>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</si>
  <si>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</si>
  <si>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</si>
  <si>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</si>
  <si>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</si>
  <si>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r>
      <t xml:space="preserve">ORÇAMENTO PARAMÉTRICO
</t>
    </r>
    <r>
      <rPr>
        <b/>
        <sz val="11"/>
        <color rgb="FF003C66"/>
        <rFont val="Roboto"/>
      </rPr>
      <t>ALVENARIA</t>
    </r>
  </si>
  <si>
    <t>ALVENARIA</t>
  </si>
  <si>
    <t>m² / APT</t>
  </si>
  <si>
    <t>Alvenaria embasamento</t>
  </si>
  <si>
    <t>Alvenaria cobertura / reservatório</t>
  </si>
  <si>
    <r>
      <t xml:space="preserve">ORÇAMENTO PARAMÉTRICO
</t>
    </r>
    <r>
      <rPr>
        <b/>
        <sz val="11"/>
        <color rgb="FF003C66"/>
        <rFont val="Roboto"/>
      </rPr>
      <t>INSTALAÇÕES</t>
    </r>
  </si>
  <si>
    <t>INSTALAÇÕES ELÉTRICAS</t>
  </si>
  <si>
    <t>Entrada de Energia</t>
  </si>
  <si>
    <t>Eletrodutos e Eletrocalhas</t>
  </si>
  <si>
    <t>Instalações Embutidas e Aparentes</t>
  </si>
  <si>
    <t>Cabos e Fiações</t>
  </si>
  <si>
    <t>Quadros e Disjuntores</t>
  </si>
  <si>
    <t>Equipamentos e Iluminação</t>
  </si>
  <si>
    <t>Mão de Obra para Instalações Elétricas</t>
  </si>
  <si>
    <t>Instalações de Água Fria</t>
  </si>
  <si>
    <t>Instalações de Água Quente</t>
  </si>
  <si>
    <t>Instalações de Águas Pluviais</t>
  </si>
  <si>
    <t>Instalações Sanitárias</t>
  </si>
  <si>
    <t>Suportes</t>
  </si>
  <si>
    <t>Louças e Metais</t>
  </si>
  <si>
    <t>Mão de Obra para Instalações Hidráulicas</t>
  </si>
  <si>
    <t>INSTALAÇÕES PREVENTIVAS E GLP</t>
  </si>
  <si>
    <t>Instalações Preventivas</t>
  </si>
  <si>
    <t>Instalações de GLP</t>
  </si>
  <si>
    <t>CLIMATIZAÇÃO, EXAUSTÃO MECÂNICA E PRESSURIZAÇÃO</t>
  </si>
  <si>
    <t>Churrasqueiras</t>
  </si>
  <si>
    <t>IMPERMEABILIZAÇÃO</t>
  </si>
  <si>
    <t>Poço do elevador</t>
  </si>
  <si>
    <t>Baldrames</t>
  </si>
  <si>
    <t>Ralos</t>
  </si>
  <si>
    <t>Impermeabilizações cimenticias</t>
  </si>
  <si>
    <t>Impermeabilização de peitoril</t>
  </si>
  <si>
    <t>Regularização de Superfície</t>
  </si>
  <si>
    <r>
      <t xml:space="preserve">ORÇAMENTO PARAMÉTRICO
</t>
    </r>
    <r>
      <rPr>
        <b/>
        <sz val="11"/>
        <color rgb="FF003C66"/>
        <rFont val="Roboto"/>
      </rPr>
      <t>IMPERMEABILIZAÇÃO</t>
    </r>
  </si>
  <si>
    <t>R$ / NP</t>
  </si>
  <si>
    <t>Impermeabilizações com manta asfaltica</t>
  </si>
  <si>
    <t>Proteção Mecânica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</si>
  <si>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</si>
  <si>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Chapisco</t>
  </si>
  <si>
    <t>Reboco</t>
  </si>
  <si>
    <t>Contrapiso</t>
  </si>
  <si>
    <t>Negativo</t>
  </si>
  <si>
    <t>kg / m³</t>
  </si>
  <si>
    <t>%</t>
  </si>
  <si>
    <r>
      <t xml:space="preserve">ORÇAMENTO PARAMÉTRICO
</t>
    </r>
    <r>
      <rPr>
        <b/>
        <sz val="11"/>
        <color rgb="FF003C66"/>
        <rFont val="Roboto"/>
      </rPr>
      <t>REVESTIMENTOS E ACABAMENTOS INTERNOS EM TETO</t>
    </r>
  </si>
  <si>
    <r>
      <t xml:space="preserve">ORÇAMENTO PARAMÉTRICO
</t>
    </r>
    <r>
      <rPr>
        <b/>
        <sz val="11"/>
        <color rgb="FF003C66"/>
        <rFont val="Roboto"/>
      </rPr>
      <t>REVESTIMENTOS INTERNOS EM PISO E PAREDE</t>
    </r>
  </si>
  <si>
    <r>
      <t xml:space="preserve">ORÇAMENTO PARAMÉTRICO
</t>
    </r>
    <r>
      <rPr>
        <b/>
        <sz val="11"/>
        <color rgb="FF003C66"/>
        <rFont val="Roboto"/>
      </rPr>
      <t>ACABAMENTOS EM PISO E PAREDE</t>
    </r>
  </si>
  <si>
    <t>Estucamento</t>
  </si>
  <si>
    <t>ACABAMENTOS EM PISO E PAREDE</t>
  </si>
  <si>
    <t>Revestimentos de Parede</t>
  </si>
  <si>
    <r>
      <t xml:space="preserve">ORÇAMENTO PARAMÉTRICO
</t>
    </r>
    <r>
      <rPr>
        <b/>
        <sz val="11"/>
        <color rgb="FF003C66"/>
        <rFont val="Roboto"/>
      </rPr>
      <t>PINTURA INTERNA</t>
    </r>
  </si>
  <si>
    <t>PINTURA INTERNA</t>
  </si>
  <si>
    <t>Pintura Interna</t>
  </si>
  <si>
    <r>
      <t xml:space="preserve">ORÇAMENTO PARAMÉTRICO
</t>
    </r>
    <r>
      <rPr>
        <b/>
        <sz val="11"/>
        <color rgb="FF003C66"/>
        <rFont val="Roboto"/>
      </rPr>
      <t>ESQUADRIAS</t>
    </r>
  </si>
  <si>
    <t>ESQUADRIAS</t>
  </si>
  <si>
    <t>Esquadrias de Alumínio</t>
  </si>
  <si>
    <t>Esquadrias de Madeira</t>
  </si>
  <si>
    <t>Rodapés</t>
  </si>
  <si>
    <r>
      <t xml:space="preserve">ORÇAMENTO PARAMÉTRICO
</t>
    </r>
    <r>
      <rPr>
        <b/>
        <sz val="11"/>
        <color rgb="FF003C66"/>
        <rFont val="Roboto"/>
      </rPr>
      <t>REVESTIMENTOS E ACABAMENTOS DE FACHADA</t>
    </r>
  </si>
  <si>
    <t>REVESTIMENTOS ARGAMASSADOS</t>
  </si>
  <si>
    <t>PINTURA</t>
  </si>
  <si>
    <t>REVESTIMENTOS ESPECIAIS</t>
  </si>
  <si>
    <r>
      <t xml:space="preserve">ORÇAMENTO PARAMÉTRICO
</t>
    </r>
    <r>
      <rPr>
        <b/>
        <sz val="11"/>
        <color rgb="FF003C66"/>
        <rFont val="Roboto"/>
      </rPr>
      <t>EQUIPAMENTOS</t>
    </r>
  </si>
  <si>
    <t>Elevadores</t>
  </si>
  <si>
    <t>Equipamentos para Piscina</t>
  </si>
  <si>
    <t>R$</t>
  </si>
  <si>
    <t>SERVIÇOS COMPLEMENTARES</t>
  </si>
  <si>
    <t>Limpeza</t>
  </si>
  <si>
    <t>MOVIMENTAÇÃO DE TERRA</t>
  </si>
  <si>
    <t>INFRAESTRUTURA</t>
  </si>
  <si>
    <t>INSTALAÇÕES</t>
  </si>
  <si>
    <t>REVESTIMENTOS INTERNOS EM PISO E PAREDE</t>
  </si>
  <si>
    <t>REVESTIMENTOS E ACABAMENTOS INTERNOS EM TETO</t>
  </si>
  <si>
    <t>REVESTIMENTOS DE FACHADA</t>
  </si>
  <si>
    <t>COBERTURA</t>
  </si>
  <si>
    <t>Alvenaria lazer</t>
  </si>
  <si>
    <t>Área do embasamento</t>
  </si>
  <si>
    <t>AE</t>
  </si>
  <si>
    <t>Área Lazer</t>
  </si>
  <si>
    <t>AL</t>
  </si>
  <si>
    <t>m² / AE</t>
  </si>
  <si>
    <t>m² / AL</t>
  </si>
  <si>
    <t>m² / AT</t>
  </si>
  <si>
    <t>Média</t>
  </si>
  <si>
    <t>m / un</t>
  </si>
  <si>
    <t>m³ / m³</t>
  </si>
  <si>
    <t>m² / AC</t>
  </si>
  <si>
    <t>m³ / AC</t>
  </si>
  <si>
    <t>m² / APT*NPT</t>
  </si>
  <si>
    <r>
      <t>m</t>
    </r>
    <r>
      <rPr>
        <sz val="10"/>
        <color theme="1"/>
        <rFont val="Roboto"/>
      </rPr>
      <t xml:space="preserve"> / AC</t>
    </r>
  </si>
  <si>
    <t>PPE</t>
  </si>
  <si>
    <t>Perímetro de projeção embasamento</t>
  </si>
  <si>
    <t>Área de projeção do embasamento</t>
  </si>
  <si>
    <t>N° de pavimentos de embasamento</t>
  </si>
  <si>
    <t>NPE</t>
  </si>
  <si>
    <t>APE</t>
  </si>
  <si>
    <t>Testada do terreno</t>
  </si>
  <si>
    <t>TT</t>
  </si>
  <si>
    <t>N° de pavimentos duplex</t>
  </si>
  <si>
    <t>NPD</t>
  </si>
  <si>
    <t>un / m²</t>
  </si>
  <si>
    <t>m² / APT*NPD</t>
  </si>
  <si>
    <t>N° de pavimentos tipo diferenciado</t>
  </si>
  <si>
    <t>ND</t>
  </si>
  <si>
    <t>Acabamentos Elétricos</t>
  </si>
  <si>
    <t>Instalações de Proteção e Aterramento - SPDA</t>
  </si>
  <si>
    <t>Mão de Obra</t>
  </si>
  <si>
    <t>Serralherias</t>
  </si>
  <si>
    <t xml:space="preserve">m² 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</si>
  <si>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</si>
  <si>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</si>
  <si>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</si>
  <si>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</si>
  <si>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</si>
  <si>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</si>
  <si>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</si>
  <si>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</si>
  <si>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</si>
  <si>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</si>
  <si>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</si>
  <si>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</si>
  <si>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</si>
  <si>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</si>
  <si>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</si>
  <si>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</si>
  <si>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</si>
  <si>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</si>
  <si>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</si>
  <si>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</si>
  <si>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</si>
  <si>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</si>
  <si>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</si>
  <si>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</si>
  <si>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</si>
  <si>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</si>
  <si>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</si>
  <si>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</si>
  <si>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</si>
  <si>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</si>
  <si>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</si>
  <si>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</si>
  <si>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</si>
  <si>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</si>
  <si>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</si>
  <si>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</si>
  <si>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</si>
  <si>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</si>
  <si>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</si>
  <si>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</si>
  <si>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</si>
  <si>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</si>
  <si>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</si>
  <si>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</si>
  <si>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</si>
  <si>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</si>
  <si>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</si>
  <si>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</si>
  <si>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</si>
  <si>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</si>
  <si>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</si>
  <si>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</si>
  <si>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</si>
  <si>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</si>
  <si>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</si>
  <si>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</si>
  <si>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</si>
  <si>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>R$ / un</t>
  </si>
  <si>
    <t>Portão de alumínio</t>
  </si>
  <si>
    <t xml:space="preserve">Concreto </t>
  </si>
  <si>
    <t>Infraestrutura para Instalação de Ar Condicionado</t>
  </si>
  <si>
    <t>OUTROS SISTEMAS ESPECIAIS</t>
  </si>
  <si>
    <t>Outros sistemas</t>
  </si>
  <si>
    <t>Alvenaria tipo - externo</t>
  </si>
  <si>
    <t>Instalação de Ar Condicionado</t>
  </si>
  <si>
    <t>Ventokit</t>
  </si>
  <si>
    <t>PCF</t>
  </si>
  <si>
    <t>Chapisco e reboco</t>
  </si>
  <si>
    <t>Manta acústica</t>
  </si>
  <si>
    <t>m2</t>
  </si>
  <si>
    <t>Alvenaria tipo  - Interno</t>
  </si>
  <si>
    <t xml:space="preserve">Alvenaria tipo diferenciado </t>
  </si>
  <si>
    <t>R21</t>
  </si>
  <si>
    <t>Holmes Residence</t>
  </si>
  <si>
    <t>Alvenaria escadas - sical</t>
  </si>
  <si>
    <t>Grupo de geradores</t>
  </si>
  <si>
    <t>Forro em placa mineral</t>
  </si>
  <si>
    <t>SISTEMAS ESPECIAIS</t>
  </si>
  <si>
    <t>m³ / APE</t>
  </si>
  <si>
    <t>Serviços complementares</t>
  </si>
  <si>
    <t>Piso de concreto polido</t>
  </si>
  <si>
    <t>REGULARIZAÇÃO E APILOAMENTO DE FUNDO DE VALAS</t>
  </si>
  <si>
    <t>CTN_R21-HOL - Gerenciamento executivo_R00</t>
  </si>
  <si>
    <t>Concluido</t>
  </si>
  <si>
    <t>Em andamento</t>
  </si>
  <si>
    <t>unidades</t>
  </si>
  <si>
    <t>Pastilha</t>
  </si>
  <si>
    <t>Móveis e decoração</t>
  </si>
  <si>
    <t>R$ / AL</t>
  </si>
  <si>
    <t>Comunicação visual</t>
  </si>
  <si>
    <t>Paisagismo</t>
  </si>
  <si>
    <t>Mão de obra - estrutura em concreto armado</t>
  </si>
  <si>
    <t>Vinílico</t>
  </si>
  <si>
    <t>Pintura piso epoxi</t>
  </si>
  <si>
    <r>
      <t xml:space="preserve">ORÇAMENTO PARAMÉTRICO
</t>
    </r>
    <r>
      <rPr>
        <b/>
        <sz val="11"/>
        <color rgb="FF003C66"/>
        <rFont val="Roboto"/>
      </rPr>
      <t>COBERTURA</t>
    </r>
  </si>
  <si>
    <t>Área</t>
  </si>
  <si>
    <t>Ático</t>
  </si>
  <si>
    <t>Cobertura</t>
  </si>
  <si>
    <t>R$ / APE</t>
  </si>
  <si>
    <t>m² / APE</t>
  </si>
  <si>
    <t>CTN-BRS-139 - Gerenciamento executivo_R00</t>
  </si>
  <si>
    <t>Brasin</t>
  </si>
  <si>
    <t>00</t>
  </si>
  <si>
    <t>TOTAL MOVIMENTAÇÃO DE TERRA</t>
  </si>
  <si>
    <t>TOTAL INFRAESTRUTURA</t>
  </si>
  <si>
    <t>TOTAL SUPRAESTRUTURA</t>
  </si>
  <si>
    <t>TOTAL ALVENARIA</t>
  </si>
  <si>
    <t>TOTAL INSTALAÇÕES</t>
  </si>
  <si>
    <t>TOTAL SISTEMAS ESPECIAIS</t>
  </si>
  <si>
    <t xml:space="preserve">terreo </t>
  </si>
  <si>
    <t>Lazer</t>
  </si>
  <si>
    <t>tipo 1</t>
  </si>
  <si>
    <t>Tipo 2</t>
  </si>
  <si>
    <t>dif</t>
  </si>
  <si>
    <t>duplex</t>
  </si>
  <si>
    <t>Rooftop</t>
  </si>
  <si>
    <t>Subestação</t>
  </si>
  <si>
    <t>TOTAL IMPERMEABILIZAÇÃO</t>
  </si>
  <si>
    <t>TOTAL ACABAMENTOS</t>
  </si>
  <si>
    <t>TOTAL PINTURA</t>
  </si>
  <si>
    <t>Estaca Raiz Diâmetro 50</t>
  </si>
  <si>
    <t>Terreno rochoso</t>
  </si>
  <si>
    <t>concreto 40 MPA</t>
  </si>
  <si>
    <t>Laje protendida</t>
  </si>
  <si>
    <t>Pilares circulares</t>
  </si>
  <si>
    <t>Alvenaria para isolamento acustico em geradores e subestação</t>
  </si>
  <si>
    <t>Bloco sical nas escadas</t>
  </si>
  <si>
    <t>Gesso acartonado ST e RU</t>
  </si>
  <si>
    <t>Comparação com gesso mineral</t>
  </si>
  <si>
    <t>Escadas, areas tecnicas e haragens sm forro</t>
  </si>
  <si>
    <t>Cortineiros 15/20cm</t>
  </si>
  <si>
    <t>Reboco com massa estabilizada</t>
  </si>
  <si>
    <t>Chapisco rodado em obra</t>
  </si>
  <si>
    <t>Manta acustica em apartamentos</t>
  </si>
  <si>
    <t>Garagem com piso polido e tinta epoxi</t>
  </si>
  <si>
    <t>Contrapiso e revestimento ceramico</t>
  </si>
  <si>
    <t>Contrapiso com argamassa usinada 5cm</t>
  </si>
  <si>
    <t>Sauna</t>
  </si>
  <si>
    <t>Linha gold</t>
  </si>
  <si>
    <t>Persiama integrada</t>
  </si>
  <si>
    <t>Portas de madeira</t>
  </si>
  <si>
    <t>Fechadura eletronica</t>
  </si>
  <si>
    <t>Pele de vidro na fachada</t>
  </si>
  <si>
    <t>Brise nas áreas de garagem, pendente definição de material de brises, a princípio está projetado como metálico.</t>
  </si>
  <si>
    <t>ACM</t>
  </si>
  <si>
    <t>Porcelanato 90x90</t>
  </si>
  <si>
    <t>Porcelanato 80x80</t>
  </si>
  <si>
    <t>Granito</t>
  </si>
  <si>
    <t>Piscina</t>
  </si>
  <si>
    <t>Sauna revestida com porcelanato em paredes</t>
  </si>
  <si>
    <t>Muro da área de lazer será revestido com 80x80</t>
  </si>
  <si>
    <t>Rodapé em poliestireno, com exceção de algumas aplicações em pedras</t>
  </si>
  <si>
    <t>Estaca Raiz Diâmetro 40</t>
  </si>
  <si>
    <t>Estaca Raiz Diâmetro 45</t>
  </si>
  <si>
    <t>Protensão</t>
  </si>
  <si>
    <t>Lumis</t>
  </si>
  <si>
    <t>kg de cordoalha</t>
  </si>
  <si>
    <t>area</t>
  </si>
  <si>
    <t>concreto</t>
  </si>
  <si>
    <t>Hidromassagem</t>
  </si>
  <si>
    <t>ACABAMENTOS DE TETO - OPÇÃO FORRO MINERAL</t>
  </si>
  <si>
    <t>ACABAMENTOS DE TETO - OPÇÃO ACARTONADO</t>
  </si>
  <si>
    <t>Forro acartonado ST e RU</t>
  </si>
  <si>
    <t>Cortineiro</t>
  </si>
  <si>
    <t>DIFERENÇA</t>
  </si>
  <si>
    <t>Detonação de rochas</t>
  </si>
  <si>
    <t>Pele de vidro</t>
  </si>
  <si>
    <t>Guarda-corpo - vidro</t>
  </si>
  <si>
    <t>Gradis</t>
  </si>
  <si>
    <t>Brises</t>
  </si>
  <si>
    <t>Janelas com persiana integrada</t>
  </si>
  <si>
    <t>PINTURA INTERNA - OPÇÃO 1</t>
  </si>
  <si>
    <t>ACABAMENTOS EM PISO E PAREDE - OPÇÃO 1</t>
  </si>
  <si>
    <t>Concreto estampado</t>
  </si>
  <si>
    <t>TERREO</t>
  </si>
  <si>
    <t>Salas comerciais</t>
  </si>
  <si>
    <t>Lixeira, glp</t>
  </si>
  <si>
    <t>Subestação e gerador</t>
  </si>
  <si>
    <t>Bicicletários, box, banbhistas</t>
  </si>
  <si>
    <t>Portaria</t>
  </si>
  <si>
    <t>Hall</t>
  </si>
  <si>
    <t>Pet wah</t>
  </si>
  <si>
    <t>Servidores</t>
  </si>
  <si>
    <t>Lavabo</t>
  </si>
  <si>
    <t>Escada</t>
  </si>
  <si>
    <t>50 meses</t>
  </si>
  <si>
    <t>fundação</t>
  </si>
  <si>
    <t>pode reduzir pra 10</t>
  </si>
  <si>
    <t>estrutura</t>
  </si>
  <si>
    <t>complexa</t>
  </si>
  <si>
    <t>acabamentos</t>
  </si>
  <si>
    <t>grua</t>
  </si>
  <si>
    <t>Pilares circulares - 1.25</t>
  </si>
  <si>
    <t>Pilares circulares - 0.8</t>
  </si>
  <si>
    <t>Pintura piso acrílica</t>
  </si>
  <si>
    <t>academia</t>
  </si>
  <si>
    <t>kids</t>
  </si>
  <si>
    <t>porcelanato 90x90</t>
  </si>
  <si>
    <t>pintura acrilica</t>
  </si>
  <si>
    <t>ceramica</t>
  </si>
  <si>
    <t>porcelanato 80x80</t>
  </si>
  <si>
    <t>G1</t>
  </si>
  <si>
    <t>escadas</t>
  </si>
  <si>
    <t>rampa</t>
  </si>
  <si>
    <t>gaargem</t>
  </si>
  <si>
    <t>cerâmica ou pintura</t>
  </si>
  <si>
    <t>LZER</t>
  </si>
  <si>
    <t>estar e salão de festas</t>
  </si>
  <si>
    <t>lavabos e circulação</t>
  </si>
  <si>
    <t>hall</t>
  </si>
  <si>
    <t>vinilico</t>
  </si>
  <si>
    <t>minimarlet</t>
  </si>
  <si>
    <t>sauna</t>
  </si>
  <si>
    <t>calçadA</t>
  </si>
  <si>
    <t>pedra portuguesa</t>
  </si>
  <si>
    <t>pisicina</t>
  </si>
  <si>
    <t>pastilha</t>
  </si>
  <si>
    <t>bat molhado</t>
  </si>
  <si>
    <t>areas externas</t>
  </si>
  <si>
    <t>granito cortado</t>
  </si>
  <si>
    <t>TIPO 1</t>
  </si>
  <si>
    <t>area tec</t>
  </si>
  <si>
    <t>COZINHA, LIVING, LAVABO E BANHEIROS, SERVIÇO</t>
  </si>
  <si>
    <t>HALL</t>
  </si>
  <si>
    <t>TIPO DIF</t>
  </si>
  <si>
    <t>porcelanato</t>
  </si>
  <si>
    <t>area externa</t>
  </si>
  <si>
    <t>TIPO 2 (X27)</t>
  </si>
  <si>
    <t>OUT</t>
  </si>
  <si>
    <t>ROOF</t>
  </si>
  <si>
    <t>Pedra portuguesa</t>
  </si>
  <si>
    <t>Cerâmica 45x45</t>
  </si>
  <si>
    <t>Deck de Garapeira</t>
  </si>
  <si>
    <t>FACHADA 1</t>
  </si>
  <si>
    <t>FACHADA 2</t>
  </si>
  <si>
    <t>FACHADA 3</t>
  </si>
  <si>
    <t>DETONAÇÃO DE ROCHAS</t>
  </si>
  <si>
    <t>M3</t>
  </si>
  <si>
    <t>M2</t>
  </si>
  <si>
    <t>TOTAL FACHADA</t>
  </si>
  <si>
    <t>m² / un</t>
  </si>
  <si>
    <t>Pilares circulares - 1.00</t>
  </si>
  <si>
    <t>Mão de obra - laje inclinada</t>
  </si>
  <si>
    <t>Fechadura biométrica</t>
  </si>
  <si>
    <t>Piso de concreto armado</t>
  </si>
  <si>
    <t>MARIO LAGO</t>
  </si>
  <si>
    <t>cpvc</t>
  </si>
  <si>
    <t>CFTV</t>
  </si>
  <si>
    <t>Sistema de aquecimento</t>
  </si>
  <si>
    <t>Carro elétrico</t>
  </si>
  <si>
    <t>Interfone</t>
  </si>
  <si>
    <t>TV e internet</t>
  </si>
  <si>
    <t>COMUNICAÇÃO</t>
  </si>
  <si>
    <t>INSTALAÇÕES HIDROSSANITÁRIAS</t>
  </si>
  <si>
    <t>Estaca Helice Diâmetro 50</t>
  </si>
  <si>
    <t>Estaca Helice Diâmetro 60</t>
  </si>
  <si>
    <t>Número de Estacas raiz</t>
  </si>
  <si>
    <t>Número de Estacas helice</t>
  </si>
  <si>
    <t>Estaca Helice Diâmetro 70</t>
  </si>
  <si>
    <t>Revestimentos de Parede muro - Pedra portuguesa</t>
  </si>
  <si>
    <t>Concreto aparente</t>
  </si>
  <si>
    <t>Textura - micro pedras e resina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</si>
</sst>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,##0.0000_-;\-* #,##0.0000_-;_-* &quot;-&quot;??_-;_-@_-"/>
    <numFmt numFmtId="166" formatCode="_-* #,##0.0000_-;\-* #,##0.0000_-;_-* &quot;-&quot;????_-;_-@_-"/>
    <numFmt numFmtId="167" formatCode="_-* #.##0.00_-;\-* #.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4"/>
      <color rgb="FF293549"/>
      <name val="Roboto"/>
    </font>
    <font>
      <sz val="10"/>
      <color rgb="FF000000"/>
      <name val="Roboto"/>
    </font>
    <font>
      <b/>
      <sz val="1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1"/>
      <color rgb="FF003C66"/>
      <name val="Roboto"/>
    </font>
    <font>
      <b/>
      <sz val="10"/>
      <color rgb="FFFF0000"/>
      <name val="Roboto"/>
    </font>
    <font>
      <sz val="8"/>
      <name val="Calibri"/>
      <family val="2"/>
      <scheme val="minor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8D8D8"/>
        <bgColor rgb="FFD8D8D8"/>
      </patternFill>
    </fill>
  </fills>
  <borders count="4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63">
    <xf numFmtId="0" fontId="0" fillId="0" borderId="0" xfId="0"/>
    <xf numFmtId="0" fontId="3" fillId="0" borderId="0" xfId="0" applyFont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9" fillId="5" borderId="35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3" fontId="7" fillId="0" borderId="5" xfId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43" fontId="7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43" fontId="7" fillId="0" borderId="0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43" fontId="7" fillId="0" borderId="7" xfId="1" applyFont="1" applyBorder="1" applyAlignment="1">
      <alignment vertical="center"/>
    </xf>
    <xf numFmtId="43" fontId="9" fillId="0" borderId="7" xfId="1" applyFont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9" xfId="1" applyNumberFormat="1" applyFont="1" applyBorder="1" applyAlignment="1">
      <alignment horizontal="center" vertical="center"/>
    </xf>
    <xf numFmtId="165" fontId="7" fillId="0" borderId="38" xfId="1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43" fontId="7" fillId="0" borderId="23" xfId="1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 wrapText="1"/>
    </xf>
    <xf numFmtId="43" fontId="3" fillId="0" borderId="0" xfId="1" applyFont="1" applyAlignment="1">
      <alignment vertical="center"/>
    </xf>
    <xf numFmtId="43" fontId="3" fillId="2" borderId="9" xfId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7" fillId="0" borderId="0" xfId="1" applyFont="1" applyBorder="1" applyAlignment="1">
      <alignment vertical="center"/>
    </xf>
    <xf numFmtId="43" fontId="7" fillId="0" borderId="26" xfId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43" fontId="7" fillId="0" borderId="42" xfId="1" applyFont="1" applyBorder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7" fillId="0" borderId="29" xfId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 wrapText="1"/>
    </xf>
    <xf numFmtId="43" fontId="7" fillId="0" borderId="32" xfId="1" applyFont="1" applyBorder="1" applyAlignment="1">
      <alignment horizontal="center" vertical="center" wrapText="1"/>
    </xf>
    <xf numFmtId="43" fontId="7" fillId="0" borderId="33" xfId="1" applyFont="1" applyBorder="1" applyAlignment="1">
      <alignment horizontal="center" vertical="center" wrapText="1"/>
    </xf>
    <xf numFmtId="43" fontId="7" fillId="0" borderId="37" xfId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43" fontId="7" fillId="0" borderId="33" xfId="1" quotePrefix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43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43" fontId="7" fillId="0" borderId="7" xfId="0" applyNumberFormat="1" applyFont="1" applyBorder="1" applyAlignment="1">
      <alignment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3" fontId="7" fillId="0" borderId="43" xfId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3" fontId="7" fillId="0" borderId="38" xfId="1" applyFont="1" applyBorder="1" applyAlignment="1">
      <alignment horizontal="left" vertical="center" wrapText="1"/>
    </xf>
    <xf numFmtId="43" fontId="7" fillId="0" borderId="26" xfId="1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43" fontId="7" fillId="0" borderId="29" xfId="1" applyFont="1" applyBorder="1" applyAlignment="1">
      <alignment horizontal="center" vertical="center"/>
    </xf>
    <xf numFmtId="43" fontId="7" fillId="0" borderId="38" xfId="1" applyFont="1" applyFill="1" applyBorder="1" applyAlignment="1">
      <alignment horizontal="left" vertical="center" wrapText="1"/>
    </xf>
    <xf numFmtId="43" fontId="7" fillId="0" borderId="26" xfId="1" applyFont="1" applyFill="1" applyBorder="1" applyAlignment="1">
      <alignment horizontal="left" vertical="center" wrapText="1"/>
    </xf>
    <xf numFmtId="43" fontId="7" fillId="0" borderId="29" xfId="1" applyFont="1" applyFill="1" applyBorder="1" applyAlignment="1">
      <alignment horizontal="center" vertical="center" wrapText="1"/>
    </xf>
    <xf numFmtId="43" fontId="7" fillId="0" borderId="32" xfId="1" applyFont="1" applyFill="1" applyBorder="1" applyAlignment="1">
      <alignment horizontal="center" vertical="center" wrapText="1"/>
    </xf>
    <xf numFmtId="165" fontId="7" fillId="0" borderId="26" xfId="1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43" fontId="7" fillId="0" borderId="31" xfId="1" applyFont="1" applyFill="1" applyBorder="1" applyAlignment="1">
      <alignment horizontal="center" vertical="center" wrapText="1"/>
    </xf>
    <xf numFmtId="165" fontId="7" fillId="0" borderId="31" xfId="1" applyNumberFormat="1" applyFont="1" applyFill="1" applyBorder="1" applyAlignment="1">
      <alignment horizontal="center" vertical="center"/>
    </xf>
    <xf numFmtId="43" fontId="0" fillId="0" borderId="0" xfId="1" applyFont="1"/>
    <xf numFmtId="43" fontId="3" fillId="2" borderId="0" xfId="1" applyFont="1" applyFill="1" applyAlignment="1">
      <alignment vertical="center"/>
    </xf>
    <xf numFmtId="43" fontId="9" fillId="0" borderId="0" xfId="1" applyFont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43" fontId="3" fillId="0" borderId="37" xfId="1" applyFont="1" applyBorder="1" applyAlignment="1">
      <alignment horizontal="center" vertical="center" wrapText="1"/>
    </xf>
    <xf numFmtId="43" fontId="12" fillId="0" borderId="0" xfId="1" applyFont="1" applyBorder="1" applyAlignment="1">
      <alignment vertical="center"/>
    </xf>
    <xf numFmtId="43" fontId="3" fillId="0" borderId="31" xfId="1" applyFont="1" applyBorder="1" applyAlignment="1">
      <alignment horizontal="center" vertical="center" wrapText="1"/>
    </xf>
    <xf numFmtId="165" fontId="3" fillId="0" borderId="33" xfId="1" applyNumberFormat="1" applyFont="1" applyBorder="1" applyAlignment="1">
      <alignment horizontal="center" vertical="center"/>
    </xf>
    <xf numFmtId="165" fontId="3" fillId="0" borderId="26" xfId="1" applyNumberFormat="1" applyFont="1" applyBorder="1" applyAlignment="1">
      <alignment horizontal="center" vertical="center"/>
    </xf>
    <xf numFmtId="43" fontId="3" fillId="0" borderId="32" xfId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 wrapText="1"/>
    </xf>
    <xf numFmtId="43" fontId="7" fillId="0" borderId="23" xfId="1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43" fontId="7" fillId="0" borderId="31" xfId="4" applyFont="1" applyBorder="1" applyAlignment="1">
      <alignment horizontal="center" vertical="center" wrapText="1"/>
    </xf>
    <xf numFmtId="43" fontId="7" fillId="0" borderId="32" xfId="4" applyFont="1" applyBorder="1" applyAlignment="1">
      <alignment horizontal="center" vertical="center" wrapText="1"/>
    </xf>
    <xf numFmtId="43" fontId="7" fillId="0" borderId="31" xfId="4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43" fontId="7" fillId="0" borderId="32" xfId="4" applyFont="1" applyBorder="1" applyAlignment="1">
      <alignment horizontal="center" vertical="center"/>
    </xf>
    <xf numFmtId="43" fontId="7" fillId="0" borderId="32" xfId="1" quotePrefix="1" applyFont="1" applyFill="1" applyBorder="1" applyAlignment="1">
      <alignment horizontal="center" vertical="center" wrapText="1"/>
    </xf>
    <xf numFmtId="165" fontId="7" fillId="0" borderId="31" xfId="1" applyNumberFormat="1" applyFont="1" applyBorder="1" applyAlignment="1">
      <alignment horizontal="center" vertical="center"/>
    </xf>
    <xf numFmtId="43" fontId="3" fillId="0" borderId="32" xfId="1" applyFont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165" fontId="7" fillId="0" borderId="42" xfId="1" applyNumberFormat="1" applyFont="1" applyBorder="1" applyAlignment="1">
      <alignment horizontal="center" vertical="center"/>
    </xf>
    <xf numFmtId="167" fontId="7" fillId="0" borderId="32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7" fillId="0" borderId="0" xfId="0" applyNumberFormat="1" applyFont="1" applyAlignment="1">
      <alignment horizontal="center" vertical="center"/>
    </xf>
    <xf numFmtId="44" fontId="9" fillId="0" borderId="0" xfId="5" applyFont="1" applyAlignment="1">
      <alignment vertical="center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165" fontId="3" fillId="0" borderId="38" xfId="1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2" fontId="7" fillId="0" borderId="32" xfId="1" applyNumberFormat="1" applyFont="1" applyBorder="1" applyAlignment="1">
      <alignment horizontal="center" vertical="center" wrapText="1"/>
    </xf>
    <xf numFmtId="2" fontId="7" fillId="0" borderId="31" xfId="1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vertical="center"/>
    </xf>
    <xf numFmtId="2" fontId="14" fillId="7" borderId="46" xfId="6" applyNumberFormat="1" applyFont="1" applyFill="1" applyBorder="1" applyAlignment="1">
      <alignment vertical="center"/>
    </xf>
    <xf numFmtId="165" fontId="3" fillId="0" borderId="23" xfId="1" applyNumberFormat="1" applyFont="1" applyBorder="1" applyAlignment="1">
      <alignment horizontal="center" vertical="center"/>
    </xf>
    <xf numFmtId="43" fontId="8" fillId="0" borderId="31" xfId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3" fontId="7" fillId="4" borderId="18" xfId="1" applyFont="1" applyFill="1" applyBorder="1" applyAlignment="1">
      <alignment horizontal="center" vertical="center"/>
    </xf>
    <xf numFmtId="43" fontId="7" fillId="4" borderId="20" xfId="1" applyFont="1" applyFill="1" applyBorder="1" applyAlignment="1">
      <alignment horizontal="center" vertical="center"/>
    </xf>
    <xf numFmtId="43" fontId="3" fillId="4" borderId="18" xfId="1" applyFont="1" applyFill="1" applyBorder="1" applyAlignment="1">
      <alignment horizontal="center" vertical="center"/>
    </xf>
    <xf numFmtId="43" fontId="3" fillId="4" borderId="20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3" borderId="11" xfId="0" applyNumberFormat="1" applyFont="1" applyFill="1" applyBorder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/>
    </xf>
    <xf numFmtId="14" fontId="3" fillId="3" borderId="13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43" fontId="7" fillId="4" borderId="15" xfId="1" applyFont="1" applyFill="1" applyBorder="1" applyAlignment="1">
      <alignment horizontal="center" vertical="center"/>
    </xf>
    <xf numFmtId="43" fontId="7" fillId="4" borderId="16" xfId="1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43" fontId="7" fillId="0" borderId="26" xfId="1" applyFont="1" applyBorder="1" applyAlignment="1">
      <alignment horizontal="center" vertical="center"/>
    </xf>
    <xf numFmtId="43" fontId="7" fillId="0" borderId="27" xfId="1" applyFont="1" applyBorder="1" applyAlignment="1">
      <alignment horizontal="center" vertical="center"/>
    </xf>
    <xf numFmtId="43" fontId="7" fillId="0" borderId="28" xfId="1" applyFont="1" applyBorder="1" applyAlignment="1">
      <alignment horizontal="center" vertical="center"/>
    </xf>
    <xf numFmtId="43" fontId="7" fillId="0" borderId="29" xfId="1" applyFont="1" applyBorder="1" applyAlignment="1">
      <alignment horizontal="center" vertical="center"/>
    </xf>
    <xf numFmtId="43" fontId="7" fillId="0" borderId="41" xfId="1" applyFont="1" applyBorder="1" applyAlignment="1">
      <alignment horizontal="center" vertical="center"/>
    </xf>
    <xf numFmtId="43" fontId="7" fillId="0" borderId="30" xfId="1" applyFont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43" fontId="9" fillId="6" borderId="34" xfId="1" applyFont="1" applyFill="1" applyBorder="1" applyAlignment="1">
      <alignment horizontal="center" vertical="center"/>
    </xf>
    <xf numFmtId="43" fontId="9" fillId="6" borderId="35" xfId="1" applyFont="1" applyFill="1" applyBorder="1" applyAlignment="1">
      <alignment horizontal="center" vertical="center"/>
    </xf>
    <xf numFmtId="43" fontId="9" fillId="6" borderId="36" xfId="1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left" vertical="center"/>
    </xf>
    <xf numFmtId="0" fontId="9" fillId="5" borderId="35" xfId="0" applyFont="1" applyFill="1" applyBorder="1" applyAlignment="1">
      <alignment horizontal="left" vertical="center"/>
    </xf>
    <xf numFmtId="0" fontId="9" fillId="5" borderId="36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/>
    </xf>
    <xf numFmtId="43" fontId="7" fillId="0" borderId="24" xfId="1" applyFont="1" applyBorder="1" applyAlignment="1">
      <alignment horizontal="center" vertical="center"/>
    </xf>
    <xf numFmtId="43" fontId="7" fillId="0" borderId="25" xfId="1" applyFont="1" applyBorder="1" applyAlignment="1">
      <alignment horizontal="center" vertical="center"/>
    </xf>
    <xf numFmtId="43" fontId="7" fillId="0" borderId="32" xfId="1" applyFont="1" applyBorder="1" applyAlignment="1">
      <alignment horizontal="left" vertical="center" wrapText="1"/>
    </xf>
    <xf numFmtId="43" fontId="7" fillId="0" borderId="31" xfId="0" applyNumberFormat="1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3" fontId="7" fillId="0" borderId="22" xfId="0" applyNumberFormat="1" applyFont="1" applyBorder="1" applyAlignment="1">
      <alignment horizontal="left" vertical="center" wrapText="1"/>
    </xf>
    <xf numFmtId="43" fontId="9" fillId="6" borderId="22" xfId="1" applyFont="1" applyFill="1" applyBorder="1" applyAlignment="1">
      <alignment horizontal="center" vertical="center"/>
    </xf>
    <xf numFmtId="43" fontId="9" fillId="5" borderId="34" xfId="1" applyFont="1" applyFill="1" applyBorder="1" applyAlignment="1">
      <alignment horizontal="center" vertical="center"/>
    </xf>
    <xf numFmtId="43" fontId="9" fillId="5" borderId="36" xfId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43" fontId="7" fillId="0" borderId="31" xfId="1" applyFont="1" applyBorder="1" applyAlignment="1">
      <alignment horizontal="center" vertical="center"/>
    </xf>
    <xf numFmtId="43" fontId="9" fillId="5" borderId="22" xfId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left" vertical="center" wrapText="1"/>
    </xf>
    <xf numFmtId="43" fontId="7" fillId="0" borderId="36" xfId="1" applyFont="1" applyBorder="1" applyAlignment="1">
      <alignment horizontal="center" vertical="center"/>
    </xf>
    <xf numFmtId="43" fontId="7" fillId="0" borderId="38" xfId="1" applyFont="1" applyBorder="1" applyAlignment="1">
      <alignment horizontal="center" vertical="center"/>
    </xf>
    <xf numFmtId="43" fontId="7" fillId="0" borderId="39" xfId="1" applyFont="1" applyBorder="1" applyAlignment="1">
      <alignment horizontal="center" vertical="center"/>
    </xf>
    <xf numFmtId="43" fontId="7" fillId="0" borderId="34" xfId="0" applyNumberFormat="1" applyFont="1" applyBorder="1" applyAlignment="1">
      <alignment horizontal="center" vertical="center"/>
    </xf>
    <xf numFmtId="43" fontId="7" fillId="0" borderId="26" xfId="1" applyFont="1" applyFill="1" applyBorder="1" applyAlignment="1">
      <alignment horizontal="center" vertical="center"/>
    </xf>
    <xf numFmtId="43" fontId="7" fillId="0" borderId="28" xfId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2" xfId="0" applyFont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43" fontId="7" fillId="0" borderId="32" xfId="1" applyFont="1" applyFill="1" applyBorder="1" applyAlignment="1">
      <alignment horizontal="center" vertical="center"/>
    </xf>
    <xf numFmtId="43" fontId="7" fillId="0" borderId="29" xfId="1" applyFont="1" applyFill="1" applyBorder="1" applyAlignment="1">
      <alignment horizontal="center" vertical="center"/>
    </xf>
    <xf numFmtId="43" fontId="7" fillId="0" borderId="30" xfId="1" applyFont="1" applyFill="1" applyBorder="1" applyAlignment="1">
      <alignment horizontal="center" vertical="center"/>
    </xf>
    <xf numFmtId="43" fontId="7" fillId="0" borderId="23" xfId="1" applyFont="1" applyFill="1" applyBorder="1" applyAlignment="1">
      <alignment horizontal="center" vertical="center"/>
    </xf>
    <xf numFmtId="43" fontId="7" fillId="0" borderId="25" xfId="1" applyFont="1" applyFill="1" applyBorder="1" applyAlignment="1">
      <alignment horizontal="center" vertical="center"/>
    </xf>
    <xf numFmtId="0" fontId="3" fillId="0" borderId="37" xfId="0" applyFont="1" applyBorder="1" applyAlignment="1">
      <alignment horizontal="left" vertical="center" wrapText="1"/>
    </xf>
    <xf numFmtId="43" fontId="3" fillId="0" borderId="26" xfId="1" applyFont="1" applyFill="1" applyBorder="1" applyAlignment="1">
      <alignment horizontal="center" vertical="center"/>
    </xf>
    <xf numFmtId="43" fontId="3" fillId="0" borderId="28" xfId="1" applyFont="1" applyFill="1" applyBorder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43" fontId="3" fillId="0" borderId="32" xfId="1" applyFont="1" applyFill="1" applyBorder="1" applyAlignment="1">
      <alignment horizontal="center" vertical="center"/>
    </xf>
  </cellXfs>
  <cellStyles count="7">
    <cellStyle name="Moeda" xfId="5" builtinId="4"/>
    <cellStyle name="Normal" xfId="0" builtinId="0"/>
    <cellStyle name="Normal 2" xfId="2" xr:uid="{00000000-0005-0000-0000-000001000000}"/>
    <cellStyle name="Normal 7" xfId="6" xr:uid="{B5D56057-44D1-4A2B-9814-263CBEA5E92D}"/>
    <cellStyle name="Vírgula" xfId="1" builtinId="3"/>
    <cellStyle name="Vírgula 2" xfId="3" xr:uid="{00000000-0005-0000-0000-000003000000}"/>
    <cellStyle name="Vírgula 3" xfId="4" xr:uid="{CB7286E0-BC89-40FF-A0E8-A589AC34F77F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28575</xdr:rowOff>
    </xdr:from>
    <xdr:to>
      <xdr:col>11</xdr:col>
      <xdr:colOff>878</xdr:colOff>
      <xdr:row>4</xdr:row>
      <xdr:rowOff>111183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285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66675</xdr:rowOff>
    </xdr:from>
    <xdr:to>
      <xdr:col>8</xdr:col>
      <xdr:colOff>381000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109881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3727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300990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3810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415290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F9D6AF7-69D9-4ACC-93D9-3779EA3E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66675"/>
          <a:ext cx="916305" cy="715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910038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B5485BA1-2A01-400C-BC32-608A868E4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66675"/>
          <a:ext cx="963818" cy="728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26421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834390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415290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9</xdr:col>
      <xdr:colOff>910590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3810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148590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106680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1F7A7162-E215-41B9-AA5B-B3556649F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9010" y="66675"/>
          <a:ext cx="963930" cy="737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36195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590550</xdr:colOff>
      <xdr:row>0</xdr:row>
      <xdr:rowOff>66675</xdr:rowOff>
    </xdr:from>
    <xdr:to>
      <xdr:col>10</xdr:col>
      <xdr:colOff>36195</xdr:colOff>
      <xdr:row>4</xdr:row>
      <xdr:rowOff>149283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34290</xdr:colOff>
      <xdr:row>4</xdr:row>
      <xdr:rowOff>149283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postas%20Fechadas/R21%20-%2011.2022/Cape%20Town/03.%20Custo/03.0%20Custo%20-%20Or&#231;amento%20Param&#233;trico/CTN-R21-CPT%20-%20Gerenciamento%20executivo_R0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Brasin\Brasin%2009.2022\03.%20Custo\03.0%20Custo%20-%20Or&#231;amento%20Param&#233;trico\CTN-BRS-139%20-%20Custos_Indiretos_Estimativas_R00.xlsx" TargetMode="External"/><Relationship Id="rId1" Type="http://schemas.openxmlformats.org/officeDocument/2006/relationships/externalLinkPath" Target="/.shortcut-targets-by-id/16oaQUYgx8kiowDwLhg-oO1zGZ777DJUb/2.%20Propostas%20Fechadas/Brasin/Brasin%2009.2022/03.%20Custo/03.0%20Custo%20-%20Or&#231;amento%20Param&#233;trico/CTN-BRS-139%20-%20Custos_Indiretos_Estimativa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Acabamentos de Teto"/>
      <sheetName val="Acabamentos de Piso e Parede"/>
      <sheetName val="Pintura Interna"/>
      <sheetName val="Esquadrias"/>
      <sheetName val="Auxiliar"/>
      <sheetName val="Rev. Fachada"/>
      <sheetName val="Cobertura"/>
      <sheetName val="Complementares"/>
    </sheetNames>
    <sheetDataSet>
      <sheetData sheetId="0">
        <row r="15">
          <cell r="E15">
            <v>16686.650000000001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MÃO_OBRA"/>
      <sheetName val="EPC's"/>
      <sheetName val="DEMOLIÇÕES"/>
      <sheetName val="CANTEIRO"/>
      <sheetName val="MARIO-LAGO"/>
      <sheetName val="CUSTOS_INDIRETOS"/>
    </sheetNames>
    <sheetDataSet>
      <sheetData sheetId="0"/>
      <sheetData sheetId="1"/>
      <sheetData sheetId="2">
        <row r="42">
          <cell r="D42">
            <v>11735.9182</v>
          </cell>
        </row>
      </sheetData>
      <sheetData sheetId="3"/>
      <sheetData sheetId="4"/>
      <sheetData sheetId="5"/>
      <sheetData sheetId="6">
        <row r="80">
          <cell r="F80">
            <v>7246632.6023396943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M29"/>
  <sheetViews>
    <sheetView showGridLines="0" topLeftCell="A13" zoomScale="130" zoomScaleNormal="130" zoomScaleSheetLayoutView="95" workbookViewId="0">
      <selection activeCell="E15" sqref="E15:G15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14" style="11" customWidth="1"/>
    <col min="4" max="4" width="12.7109375" style="11" customWidth="1"/>
    <col min="5" max="5" width="8.28515625" style="11" customWidth="1"/>
    <col min="6" max="6" width="9.28515625" style="11" customWidth="1"/>
    <col min="7" max="7" width="7.28515625" style="11" bestFit="1" customWidth="1"/>
    <col min="8" max="8" width="13.5703125" style="11" customWidth="1"/>
    <col min="9" max="9" width="12" style="11" customWidth="1"/>
    <col min="10" max="10" width="7.28515625" style="11" bestFit="1" customWidth="1"/>
    <col min="11" max="11" width="9" style="11" bestFit="1" customWidth="1"/>
    <col min="12" max="16384" width="9.140625" style="1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2"/>
    </row>
    <row r="2" spans="1:13" x14ac:dyDescent="0.25">
      <c r="A2" s="154" t="s">
        <v>44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3"/>
      <c r="E5" s="3"/>
      <c r="F5" s="3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1"/>
      <c r="E6" s="1"/>
      <c r="F6" s="1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">
        <v>287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7" t="s">
        <v>288</v>
      </c>
      <c r="C8" s="157"/>
      <c r="D8" s="157"/>
      <c r="E8" s="157"/>
      <c r="F8" s="157"/>
      <c r="G8" s="157"/>
      <c r="H8" s="157"/>
      <c r="I8" s="157"/>
      <c r="J8" s="157"/>
      <c r="K8" s="157"/>
      <c r="M8" s="12"/>
    </row>
    <row r="9" spans="1:13" ht="15" customHeight="1" x14ac:dyDescent="0.25">
      <c r="A9" s="5" t="s">
        <v>2</v>
      </c>
      <c r="B9" s="158">
        <v>139</v>
      </c>
      <c r="C9" s="159"/>
      <c r="D9" s="159"/>
      <c r="E9" s="159"/>
      <c r="F9" s="159"/>
      <c r="G9" s="159"/>
      <c r="H9" s="159"/>
      <c r="I9" s="159"/>
      <c r="J9" s="159"/>
      <c r="K9" s="160"/>
      <c r="M9" s="12"/>
    </row>
    <row r="10" spans="1:13" x14ac:dyDescent="0.25">
      <c r="A10" s="7" t="s">
        <v>3</v>
      </c>
      <c r="B10" s="161">
        <v>45006</v>
      </c>
      <c r="C10" s="162"/>
      <c r="D10" s="163"/>
      <c r="E10" s="9" t="s">
        <v>4</v>
      </c>
      <c r="F10" s="8" t="s">
        <v>5</v>
      </c>
      <c r="G10" s="6" t="s">
        <v>6</v>
      </c>
      <c r="H10" s="8" t="s">
        <v>271</v>
      </c>
      <c r="I10" s="6" t="s">
        <v>7</v>
      </c>
      <c r="J10" s="164"/>
      <c r="K10" s="165"/>
      <c r="M10" s="12"/>
    </row>
    <row r="12" spans="1:13" ht="17.100000000000001" customHeight="1" x14ac:dyDescent="0.25">
      <c r="A12" s="166" t="s">
        <v>34</v>
      </c>
      <c r="B12" s="167"/>
      <c r="C12" s="168"/>
      <c r="D12" s="17" t="s">
        <v>35</v>
      </c>
      <c r="E12" s="166" t="s">
        <v>36</v>
      </c>
      <c r="F12" s="167"/>
      <c r="G12" s="167"/>
      <c r="H12" s="168"/>
    </row>
    <row r="13" spans="1:13" ht="17.25" customHeight="1" x14ac:dyDescent="0.25">
      <c r="A13" s="169" t="s">
        <v>12</v>
      </c>
      <c r="B13" s="170"/>
      <c r="C13" s="171"/>
      <c r="D13" s="13" t="s">
        <v>25</v>
      </c>
      <c r="E13" s="172">
        <v>774.6</v>
      </c>
      <c r="F13" s="173"/>
      <c r="G13" s="173"/>
      <c r="H13" s="14" t="s">
        <v>17</v>
      </c>
    </row>
    <row r="14" spans="1:13" ht="17.100000000000001" customHeight="1" x14ac:dyDescent="0.25">
      <c r="A14" s="147" t="s">
        <v>174</v>
      </c>
      <c r="B14" s="148"/>
      <c r="C14" s="149"/>
      <c r="D14" s="15" t="s">
        <v>175</v>
      </c>
      <c r="E14" s="150"/>
      <c r="F14" s="151"/>
      <c r="G14" s="151"/>
      <c r="H14" s="16" t="s">
        <v>19</v>
      </c>
    </row>
    <row r="15" spans="1:13" ht="17.100000000000001" customHeight="1" x14ac:dyDescent="0.25">
      <c r="A15" s="147" t="s">
        <v>16</v>
      </c>
      <c r="B15" s="148"/>
      <c r="C15" s="149"/>
      <c r="D15" s="15" t="s">
        <v>26</v>
      </c>
      <c r="E15" s="150">
        <v>16727.830000000002</v>
      </c>
      <c r="F15" s="151"/>
      <c r="G15" s="151"/>
      <c r="H15" s="16" t="s">
        <v>17</v>
      </c>
    </row>
    <row r="16" spans="1:13" ht="17.100000000000001" customHeight="1" x14ac:dyDescent="0.25">
      <c r="A16" s="147" t="s">
        <v>11</v>
      </c>
      <c r="B16" s="148"/>
      <c r="C16" s="149"/>
      <c r="D16" s="15" t="s">
        <v>27</v>
      </c>
      <c r="E16" s="150">
        <v>43</v>
      </c>
      <c r="F16" s="151"/>
      <c r="G16" s="151"/>
      <c r="H16" s="16" t="s">
        <v>18</v>
      </c>
    </row>
    <row r="17" spans="1:13" ht="17.100000000000001" customHeight="1" x14ac:dyDescent="0.25">
      <c r="A17" s="147" t="s">
        <v>13</v>
      </c>
      <c r="B17" s="148"/>
      <c r="C17" s="149"/>
      <c r="D17" s="15" t="s">
        <v>28</v>
      </c>
      <c r="E17" s="150">
        <v>32</v>
      </c>
      <c r="F17" s="151"/>
      <c r="G17" s="151"/>
      <c r="H17" s="16" t="s">
        <v>18</v>
      </c>
    </row>
    <row r="18" spans="1:13" ht="17.100000000000001" customHeight="1" x14ac:dyDescent="0.25">
      <c r="A18" s="147" t="s">
        <v>180</v>
      </c>
      <c r="B18" s="148"/>
      <c r="C18" s="149"/>
      <c r="D18" s="15" t="s">
        <v>177</v>
      </c>
      <c r="E18" s="150">
        <v>1</v>
      </c>
      <c r="F18" s="151"/>
      <c r="G18" s="151"/>
      <c r="H18" s="16" t="s">
        <v>18</v>
      </c>
    </row>
    <row r="19" spans="1:13" ht="17.100000000000001" customHeight="1" x14ac:dyDescent="0.25">
      <c r="A19" s="147" t="s">
        <v>176</v>
      </c>
      <c r="B19" s="148"/>
      <c r="C19" s="149"/>
      <c r="D19" s="15" t="s">
        <v>181</v>
      </c>
      <c r="E19" s="150">
        <v>1</v>
      </c>
      <c r="F19" s="151"/>
      <c r="G19" s="151"/>
      <c r="H19" s="16" t="s">
        <v>18</v>
      </c>
      <c r="K19" s="11" t="s">
        <v>272</v>
      </c>
      <c r="L19" s="11">
        <v>40</v>
      </c>
    </row>
    <row r="20" spans="1:13" ht="17.100000000000001" customHeight="1" x14ac:dyDescent="0.25">
      <c r="A20" s="147" t="s">
        <v>14</v>
      </c>
      <c r="B20" s="148"/>
      <c r="C20" s="149"/>
      <c r="D20" s="15" t="s">
        <v>29</v>
      </c>
      <c r="E20" s="150">
        <v>383.13</v>
      </c>
      <c r="F20" s="151"/>
      <c r="G20" s="151"/>
      <c r="H20" s="16" t="s">
        <v>17</v>
      </c>
      <c r="I20" s="81"/>
    </row>
    <row r="21" spans="1:13" ht="17.100000000000001" customHeight="1" x14ac:dyDescent="0.25">
      <c r="A21" s="147" t="s">
        <v>15</v>
      </c>
      <c r="B21" s="148"/>
      <c r="C21" s="149"/>
      <c r="D21" s="15" t="s">
        <v>30</v>
      </c>
      <c r="E21" s="152">
        <v>88.89</v>
      </c>
      <c r="F21" s="153"/>
      <c r="G21" s="153"/>
      <c r="H21" s="16" t="s">
        <v>19</v>
      </c>
      <c r="K21" s="11" t="s">
        <v>372</v>
      </c>
    </row>
    <row r="22" spans="1:13" ht="17.100000000000001" customHeight="1" x14ac:dyDescent="0.25">
      <c r="A22" s="147" t="s">
        <v>156</v>
      </c>
      <c r="B22" s="148"/>
      <c r="C22" s="149"/>
      <c r="D22" s="15" t="s">
        <v>157</v>
      </c>
      <c r="E22" s="152">
        <f>871.23+285.53</f>
        <v>1156.76</v>
      </c>
      <c r="F22" s="153"/>
      <c r="G22" s="153"/>
      <c r="H22" s="16" t="s">
        <v>17</v>
      </c>
      <c r="K22" s="11">
        <v>12</v>
      </c>
      <c r="L22" s="11" t="s">
        <v>373</v>
      </c>
      <c r="M22" s="11" t="s">
        <v>374</v>
      </c>
    </row>
    <row r="23" spans="1:13" ht="17.100000000000001" customHeight="1" x14ac:dyDescent="0.25">
      <c r="A23" s="147" t="s">
        <v>22</v>
      </c>
      <c r="B23" s="148"/>
      <c r="C23" s="149"/>
      <c r="D23" s="15" t="s">
        <v>31</v>
      </c>
      <c r="E23" s="152">
        <v>130.30260000000001</v>
      </c>
      <c r="F23" s="153"/>
      <c r="G23" s="153"/>
      <c r="H23" s="16" t="s">
        <v>19</v>
      </c>
      <c r="K23" s="11">
        <v>26</v>
      </c>
      <c r="L23" s="11" t="s">
        <v>375</v>
      </c>
      <c r="M23" s="11" t="s">
        <v>376</v>
      </c>
    </row>
    <row r="24" spans="1:13" ht="17.100000000000001" customHeight="1" x14ac:dyDescent="0.25">
      <c r="A24" s="147" t="s">
        <v>154</v>
      </c>
      <c r="B24" s="148"/>
      <c r="C24" s="149"/>
      <c r="D24" s="15" t="s">
        <v>155</v>
      </c>
      <c r="E24" s="152">
        <f>764.54+783.23+805.3*3+818.66+871.23</f>
        <v>5653.5599999999995</v>
      </c>
      <c r="F24" s="153"/>
      <c r="G24" s="153"/>
      <c r="H24" s="16" t="s">
        <v>17</v>
      </c>
      <c r="K24" s="11">
        <v>1</v>
      </c>
      <c r="L24" s="11" t="s">
        <v>378</v>
      </c>
    </row>
    <row r="25" spans="1:13" ht="17.100000000000001" customHeight="1" x14ac:dyDescent="0.25">
      <c r="A25" s="147" t="s">
        <v>20</v>
      </c>
      <c r="B25" s="148"/>
      <c r="C25" s="149"/>
      <c r="D25" s="15" t="s">
        <v>32</v>
      </c>
      <c r="E25" s="152">
        <v>0</v>
      </c>
      <c r="F25" s="153"/>
      <c r="G25" s="153"/>
      <c r="H25" s="16" t="s">
        <v>17</v>
      </c>
      <c r="K25" s="11">
        <v>12</v>
      </c>
      <c r="L25" s="11" t="s">
        <v>377</v>
      </c>
    </row>
    <row r="26" spans="1:13" ht="17.100000000000001" customHeight="1" x14ac:dyDescent="0.25">
      <c r="A26" s="147" t="s">
        <v>21</v>
      </c>
      <c r="B26" s="148"/>
      <c r="C26" s="149"/>
      <c r="D26" s="15" t="s">
        <v>33</v>
      </c>
      <c r="E26" s="152">
        <v>0</v>
      </c>
      <c r="F26" s="153"/>
      <c r="G26" s="153"/>
      <c r="H26" s="16" t="s">
        <v>18</v>
      </c>
      <c r="K26" s="11">
        <f>SUM(K22:K25)</f>
        <v>51</v>
      </c>
    </row>
    <row r="27" spans="1:13" ht="17.100000000000001" customHeight="1" x14ac:dyDescent="0.25">
      <c r="A27" s="147" t="s">
        <v>170</v>
      </c>
      <c r="B27" s="148"/>
      <c r="C27" s="149"/>
      <c r="D27" s="15" t="s">
        <v>173</v>
      </c>
      <c r="E27" s="152">
        <v>764.54</v>
      </c>
      <c r="F27" s="153"/>
      <c r="G27" s="153"/>
      <c r="H27" s="16" t="s">
        <v>17</v>
      </c>
    </row>
    <row r="28" spans="1:13" ht="17.100000000000001" customHeight="1" x14ac:dyDescent="0.25">
      <c r="A28" s="147" t="s">
        <v>169</v>
      </c>
      <c r="B28" s="148"/>
      <c r="C28" s="149"/>
      <c r="D28" s="15" t="s">
        <v>168</v>
      </c>
      <c r="E28" s="152">
        <v>130.30260000000001</v>
      </c>
      <c r="F28" s="153"/>
      <c r="G28" s="153"/>
      <c r="H28" s="16" t="s">
        <v>19</v>
      </c>
    </row>
    <row r="29" spans="1:13" ht="17.100000000000001" customHeight="1" x14ac:dyDescent="0.25">
      <c r="A29" s="147" t="s">
        <v>171</v>
      </c>
      <c r="B29" s="148"/>
      <c r="C29" s="149"/>
      <c r="D29" s="15" t="s">
        <v>172</v>
      </c>
      <c r="E29" s="150">
        <v>6</v>
      </c>
      <c r="F29" s="151"/>
      <c r="G29" s="151"/>
      <c r="H29" s="16" t="s">
        <v>18</v>
      </c>
    </row>
  </sheetData>
  <mergeCells count="42">
    <mergeCell ref="A15:C15"/>
    <mergeCell ref="E17:G17"/>
    <mergeCell ref="E16:G16"/>
    <mergeCell ref="E15:G15"/>
    <mergeCell ref="A16:C16"/>
    <mergeCell ref="A17:C17"/>
    <mergeCell ref="E26:G26"/>
    <mergeCell ref="A26:C26"/>
    <mergeCell ref="A27:C27"/>
    <mergeCell ref="A29:C29"/>
    <mergeCell ref="E29:G29"/>
    <mergeCell ref="E27:G27"/>
    <mergeCell ref="A28:C28"/>
    <mergeCell ref="E28:G28"/>
    <mergeCell ref="E12:H12"/>
    <mergeCell ref="A14:C14"/>
    <mergeCell ref="A13:C13"/>
    <mergeCell ref="A12:C12"/>
    <mergeCell ref="E13:G13"/>
    <mergeCell ref="E14:G14"/>
    <mergeCell ref="A2:K4"/>
    <mergeCell ref="B7:K7"/>
    <mergeCell ref="B8:K8"/>
    <mergeCell ref="B9:K9"/>
    <mergeCell ref="B10:D10"/>
    <mergeCell ref="J10:K10"/>
    <mergeCell ref="A19:C19"/>
    <mergeCell ref="E19:G19"/>
    <mergeCell ref="A18:C18"/>
    <mergeCell ref="E18:G18"/>
    <mergeCell ref="A25:C25"/>
    <mergeCell ref="E25:G25"/>
    <mergeCell ref="A24:C24"/>
    <mergeCell ref="A22:C22"/>
    <mergeCell ref="E22:G22"/>
    <mergeCell ref="E24:G24"/>
    <mergeCell ref="A20:C20"/>
    <mergeCell ref="A21:C21"/>
    <mergeCell ref="A23:C23"/>
    <mergeCell ref="E23:G23"/>
    <mergeCell ref="E21:G21"/>
    <mergeCell ref="E20:G20"/>
  </mergeCells>
  <dataValidations disablePrompts="1" count="1">
    <dataValidation type="list" allowBlank="1" showInputMessage="1" showErrorMessage="1" sqref="J10" xr:uid="{00000000-0002-0000-0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642"/>
  </sheetPr>
  <dimension ref="A1:K296"/>
  <sheetViews>
    <sheetView showGridLines="0" zoomScaleNormal="100" zoomScaleSheetLayoutView="95" workbookViewId="0">
      <selection activeCell="K17" sqref="K17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0.7109375" style="18" customWidth="1"/>
    <col min="5" max="5" width="13.28515625" style="11" customWidth="1"/>
    <col min="6" max="6" width="12.85546875" style="11" customWidth="1"/>
    <col min="7" max="7" width="9.28515625" style="11" customWidth="1"/>
    <col min="8" max="8" width="7.28515625" style="11" bestFit="1" customWidth="1"/>
    <col min="9" max="9" width="6.42578125" style="11" customWidth="1"/>
    <col min="10" max="10" width="9.140625" style="11"/>
    <col min="11" max="11" width="12.85546875" style="11" bestFit="1" customWidth="1"/>
    <col min="12" max="16384" width="9.140625" style="11"/>
  </cols>
  <sheetData>
    <row r="1" spans="1:11" x14ac:dyDescent="0.25">
      <c r="A1" s="1"/>
      <c r="B1" s="1"/>
      <c r="C1" s="1"/>
      <c r="D1" s="19"/>
      <c r="E1" s="1"/>
      <c r="F1" s="1"/>
      <c r="G1" s="1"/>
      <c r="H1" s="1"/>
      <c r="I1" s="1"/>
      <c r="K1" s="12"/>
    </row>
    <row r="2" spans="1:11" x14ac:dyDescent="0.25">
      <c r="A2" s="154" t="s">
        <v>45</v>
      </c>
      <c r="B2" s="154"/>
      <c r="C2" s="154"/>
      <c r="D2" s="154"/>
      <c r="E2" s="154"/>
      <c r="F2" s="154"/>
      <c r="G2" s="154"/>
      <c r="H2" s="154"/>
      <c r="I2" s="154"/>
      <c r="K2" s="12"/>
    </row>
    <row r="3" spans="1:11" x14ac:dyDescent="0.25">
      <c r="A3" s="154"/>
      <c r="B3" s="154"/>
      <c r="C3" s="154"/>
      <c r="D3" s="154"/>
      <c r="E3" s="154"/>
      <c r="F3" s="154"/>
      <c r="G3" s="154"/>
      <c r="H3" s="154"/>
      <c r="I3" s="154"/>
      <c r="K3" s="12"/>
    </row>
    <row r="4" spans="1:11" x14ac:dyDescent="0.25">
      <c r="A4" s="154"/>
      <c r="B4" s="154"/>
      <c r="C4" s="154"/>
      <c r="D4" s="154"/>
      <c r="E4" s="154"/>
      <c r="F4" s="154"/>
      <c r="G4" s="154"/>
      <c r="H4" s="154"/>
      <c r="I4" s="154"/>
      <c r="K4" s="12"/>
    </row>
    <row r="5" spans="1:11" ht="13.5" thickBot="1" x14ac:dyDescent="0.3">
      <c r="A5" s="2"/>
      <c r="B5" s="2"/>
      <c r="C5" s="2"/>
      <c r="D5" s="20"/>
      <c r="E5" s="3"/>
      <c r="F5" s="3"/>
      <c r="G5" s="3"/>
      <c r="H5" s="3"/>
      <c r="I5" s="3"/>
      <c r="K5" s="12"/>
    </row>
    <row r="6" spans="1:11" x14ac:dyDescent="0.25">
      <c r="A6" s="4"/>
      <c r="B6" s="4"/>
      <c r="C6" s="4"/>
      <c r="D6" s="19"/>
      <c r="E6" s="1"/>
      <c r="F6" s="1"/>
      <c r="G6" s="1"/>
      <c r="H6" s="1"/>
      <c r="I6" s="1"/>
      <c r="K6" s="12"/>
    </row>
    <row r="7" spans="1:11" x14ac:dyDescent="0.25">
      <c r="A7" s="5" t="s">
        <v>0</v>
      </c>
      <c r="B7" s="174" t="s">
        <v>269</v>
      </c>
      <c r="C7" s="175"/>
      <c r="D7" s="175"/>
      <c r="E7" s="175"/>
      <c r="F7" s="175"/>
      <c r="G7" s="175"/>
      <c r="H7" s="175"/>
      <c r="I7" s="176"/>
      <c r="K7" s="12"/>
    </row>
    <row r="8" spans="1:11" x14ac:dyDescent="0.25">
      <c r="A8" s="5" t="s">
        <v>1</v>
      </c>
      <c r="B8" s="157" t="s">
        <v>259</v>
      </c>
      <c r="C8" s="157"/>
      <c r="D8" s="157"/>
      <c r="E8" s="157"/>
      <c r="F8" s="157"/>
      <c r="G8" s="157"/>
      <c r="H8" s="157"/>
      <c r="I8" s="157"/>
      <c r="K8" s="12"/>
    </row>
    <row r="9" spans="1:11" ht="15" customHeight="1" x14ac:dyDescent="0.25">
      <c r="A9" s="5" t="s">
        <v>2</v>
      </c>
      <c r="B9" s="158" t="s">
        <v>260</v>
      </c>
      <c r="C9" s="159"/>
      <c r="D9" s="160"/>
      <c r="E9" s="9" t="s">
        <v>10</v>
      </c>
      <c r="F9" s="47" t="s">
        <v>9</v>
      </c>
      <c r="G9" s="6" t="s">
        <v>6</v>
      </c>
      <c r="H9" s="157" t="s">
        <v>270</v>
      </c>
      <c r="I9" s="157"/>
    </row>
    <row r="10" spans="1:11" x14ac:dyDescent="0.25">
      <c r="A10" s="7" t="s">
        <v>3</v>
      </c>
      <c r="B10" s="161">
        <v>44938</v>
      </c>
      <c r="C10" s="162"/>
      <c r="D10" s="163"/>
      <c r="E10" s="9" t="s">
        <v>4</v>
      </c>
      <c r="F10" s="8" t="s">
        <v>5</v>
      </c>
      <c r="G10" s="6" t="s">
        <v>40</v>
      </c>
      <c r="H10" s="164" t="s">
        <v>8</v>
      </c>
      <c r="I10" s="165"/>
    </row>
    <row r="12" spans="1:11" ht="14.1" customHeight="1" x14ac:dyDescent="0.25">
      <c r="A12" s="21" t="s">
        <v>146</v>
      </c>
      <c r="B12" s="22"/>
      <c r="C12" s="22"/>
      <c r="D12" s="23"/>
      <c r="E12" s="22"/>
      <c r="F12" s="22"/>
      <c r="G12" s="22"/>
      <c r="H12" s="22"/>
      <c r="I12" s="24"/>
    </row>
    <row r="13" spans="1:11" ht="14.1" customHeight="1" x14ac:dyDescent="0.25">
      <c r="A13" s="25"/>
      <c r="B13" s="26"/>
      <c r="C13" s="26"/>
      <c r="D13" s="26"/>
      <c r="E13" s="26"/>
      <c r="F13" s="26"/>
      <c r="I13" s="27"/>
    </row>
    <row r="14" spans="1:11" ht="15.95" customHeight="1" x14ac:dyDescent="0.25">
      <c r="A14" s="194" t="s">
        <v>34</v>
      </c>
      <c r="B14" s="195"/>
      <c r="C14" s="196"/>
      <c r="D14" s="197" t="s">
        <v>38</v>
      </c>
      <c r="E14" s="198"/>
      <c r="F14" s="198"/>
      <c r="G14" s="198"/>
      <c r="H14" s="199"/>
      <c r="I14" s="27"/>
    </row>
    <row r="15" spans="1:11" s="34" customFormat="1" ht="15.95" customHeight="1" x14ac:dyDescent="0.25">
      <c r="A15" s="179" t="str">
        <f>+'Movimentação de Terra'!A19</f>
        <v>REBAIXAMENTO DE LENÇOL</v>
      </c>
      <c r="B15" s="180"/>
      <c r="C15" s="181"/>
      <c r="D15" s="182">
        <f>+'Movimentação de Terra'!I23</f>
        <v>30581.599999999999</v>
      </c>
      <c r="E15" s="183"/>
      <c r="F15" s="183"/>
      <c r="G15" s="183"/>
      <c r="H15" s="184"/>
      <c r="I15" s="10"/>
    </row>
    <row r="16" spans="1:11" ht="15.95" customHeight="1" x14ac:dyDescent="0.25">
      <c r="A16" s="179" t="str">
        <f>+'Movimentação de Terra'!A33</f>
        <v>ESCAVAÇÃO E REATERRO DE VALAS</v>
      </c>
      <c r="B16" s="180"/>
      <c r="C16" s="181"/>
      <c r="D16" s="182">
        <f>+'Movimentação de Terra'!I39</f>
        <v>146651.80953132137</v>
      </c>
      <c r="E16" s="183"/>
      <c r="F16" s="183"/>
      <c r="G16" s="183"/>
      <c r="H16" s="184"/>
      <c r="I16" s="35"/>
    </row>
    <row r="17" spans="1:11" ht="32.25" customHeight="1" x14ac:dyDescent="0.25">
      <c r="A17" s="179" t="str">
        <f>+'Movimentação de Terra'!A42</f>
        <v>REGULARIZAÇÃO E APILOAMENTO DE FUNDO DE VALAS</v>
      </c>
      <c r="B17" s="180"/>
      <c r="C17" s="181"/>
      <c r="D17" s="185">
        <f>+'Movimentação de Terra'!I46</f>
        <v>3059</v>
      </c>
      <c r="E17" s="186"/>
      <c r="F17" s="186"/>
      <c r="G17" s="186"/>
      <c r="H17" s="187"/>
      <c r="I17" s="35"/>
    </row>
    <row r="18" spans="1:11" ht="32.25" customHeight="1" x14ac:dyDescent="0.25">
      <c r="A18" s="179" t="str">
        <f>+'Movimentação de Terra'!A42</f>
        <v>REGULARIZAÇÃO E APILOAMENTO DE FUNDO DE VALAS</v>
      </c>
      <c r="B18" s="180"/>
      <c r="C18" s="181"/>
      <c r="D18" s="182">
        <f>+'Movimentação de Terra'!I46</f>
        <v>3059</v>
      </c>
      <c r="E18" s="183"/>
      <c r="F18" s="183"/>
      <c r="G18" s="183"/>
      <c r="H18" s="184"/>
      <c r="I18" s="35"/>
    </row>
    <row r="19" spans="1:11" ht="15.95" customHeight="1" x14ac:dyDescent="0.25">
      <c r="A19" s="188" t="s">
        <v>42</v>
      </c>
      <c r="B19" s="189"/>
      <c r="C19" s="190"/>
      <c r="D19" s="191">
        <f>SUM(D15:H18)</f>
        <v>183351.40953132138</v>
      </c>
      <c r="E19" s="192"/>
      <c r="F19" s="192"/>
      <c r="G19" s="192"/>
      <c r="H19" s="193"/>
      <c r="I19" s="35"/>
    </row>
    <row r="20" spans="1:11" ht="15" customHeight="1" x14ac:dyDescent="0.25">
      <c r="A20" s="177"/>
      <c r="B20" s="178"/>
      <c r="C20" s="178"/>
      <c r="D20" s="178"/>
      <c r="E20" s="178"/>
      <c r="F20" s="178"/>
      <c r="G20" s="37"/>
      <c r="H20" s="37"/>
      <c r="I20" s="39"/>
    </row>
    <row r="21" spans="1:11" x14ac:dyDescent="0.25">
      <c r="D21" s="40"/>
      <c r="K21" s="81"/>
    </row>
    <row r="23" spans="1:11" x14ac:dyDescent="0.25">
      <c r="A23" s="21" t="s">
        <v>147</v>
      </c>
      <c r="B23" s="22"/>
      <c r="C23" s="22"/>
      <c r="D23" s="41"/>
      <c r="E23" s="22"/>
      <c r="F23" s="22"/>
      <c r="G23" s="22"/>
      <c r="H23" s="22"/>
      <c r="I23" s="24"/>
    </row>
    <row r="24" spans="1:11" x14ac:dyDescent="0.25">
      <c r="A24" s="42"/>
      <c r="D24" s="40"/>
      <c r="I24" s="27"/>
    </row>
    <row r="25" spans="1:11" x14ac:dyDescent="0.25">
      <c r="A25" s="194" t="s">
        <v>34</v>
      </c>
      <c r="B25" s="195"/>
      <c r="C25" s="195"/>
      <c r="D25" s="197" t="s">
        <v>38</v>
      </c>
      <c r="E25" s="198"/>
      <c r="F25" s="198"/>
      <c r="G25" s="198"/>
      <c r="H25" s="199"/>
      <c r="I25" s="27"/>
    </row>
    <row r="26" spans="1:11" ht="15.95" customHeight="1" x14ac:dyDescent="0.25">
      <c r="A26" s="205" t="str">
        <f>+Infraestrutura!A12</f>
        <v>FUNDAÇÃO PROFUNDA</v>
      </c>
      <c r="B26" s="206"/>
      <c r="C26" s="206"/>
      <c r="D26" s="201">
        <f>+Infraestrutura!I31</f>
        <v>3139502.4</v>
      </c>
      <c r="E26" s="202"/>
      <c r="F26" s="202"/>
      <c r="G26" s="202"/>
      <c r="H26" s="203"/>
      <c r="I26" s="27"/>
    </row>
    <row r="27" spans="1:11" ht="15.95" customHeight="1" x14ac:dyDescent="0.25">
      <c r="A27" s="204" t="str">
        <f>+Infraestrutura!A34</f>
        <v>FUNDAÇÃO RASA</v>
      </c>
      <c r="B27" s="204"/>
      <c r="C27" s="204"/>
      <c r="D27" s="182">
        <f>+Infraestrutura!I42</f>
        <v>897111.23600000003</v>
      </c>
      <c r="E27" s="183"/>
      <c r="F27" s="183"/>
      <c r="G27" s="183"/>
      <c r="H27" s="184"/>
      <c r="I27" s="27"/>
    </row>
    <row r="28" spans="1:11" ht="15.95" customHeight="1" x14ac:dyDescent="0.25">
      <c r="A28" s="188" t="s">
        <v>42</v>
      </c>
      <c r="B28" s="189"/>
      <c r="C28" s="190"/>
      <c r="D28" s="191">
        <f>SUM(D26:H27)</f>
        <v>4036613.6359999999</v>
      </c>
      <c r="E28" s="192"/>
      <c r="F28" s="192"/>
      <c r="G28" s="192"/>
      <c r="H28" s="193"/>
      <c r="I28" s="27"/>
    </row>
    <row r="29" spans="1:11" x14ac:dyDescent="0.25">
      <c r="A29" s="43"/>
      <c r="B29" s="37"/>
      <c r="C29" s="37"/>
      <c r="D29" s="44"/>
      <c r="E29" s="37"/>
      <c r="F29" s="37"/>
      <c r="G29" s="37"/>
      <c r="H29" s="37"/>
      <c r="I29" s="39"/>
    </row>
    <row r="31" spans="1:11" x14ac:dyDescent="0.25">
      <c r="A31" s="21" t="s">
        <v>72</v>
      </c>
      <c r="B31" s="22"/>
      <c r="C31" s="22"/>
      <c r="D31" s="41"/>
      <c r="E31" s="22"/>
      <c r="F31" s="22"/>
      <c r="G31" s="22"/>
      <c r="H31" s="22"/>
      <c r="I31" s="24"/>
    </row>
    <row r="32" spans="1:11" x14ac:dyDescent="0.25">
      <c r="A32" s="42"/>
      <c r="D32" s="40"/>
      <c r="I32" s="27"/>
    </row>
    <row r="33" spans="1:9" x14ac:dyDescent="0.25">
      <c r="A33" s="194" t="s">
        <v>34</v>
      </c>
      <c r="B33" s="195"/>
      <c r="C33" s="195"/>
      <c r="D33" s="197" t="s">
        <v>38</v>
      </c>
      <c r="E33" s="198"/>
      <c r="F33" s="198"/>
      <c r="G33" s="198"/>
      <c r="H33" s="199"/>
      <c r="I33" s="27"/>
    </row>
    <row r="34" spans="1:9" ht="15.95" customHeight="1" x14ac:dyDescent="0.25">
      <c r="A34" s="200" t="str">
        <f>+Supraestrutura!A12</f>
        <v>SUPRAESTRUTURA</v>
      </c>
      <c r="B34" s="200"/>
      <c r="C34" s="200"/>
      <c r="D34" s="201">
        <f>+Supraestrutura!I27</f>
        <v>12902694.902574293</v>
      </c>
      <c r="E34" s="202"/>
      <c r="F34" s="202"/>
      <c r="G34" s="202"/>
      <c r="H34" s="203"/>
      <c r="I34" s="27"/>
    </row>
    <row r="35" spans="1:9" ht="15.95" customHeight="1" x14ac:dyDescent="0.25">
      <c r="A35" s="188" t="s">
        <v>42</v>
      </c>
      <c r="B35" s="189"/>
      <c r="C35" s="190"/>
      <c r="D35" s="191">
        <f>SUM(D34:H34)</f>
        <v>12902694.902574293</v>
      </c>
      <c r="E35" s="192"/>
      <c r="F35" s="192"/>
      <c r="G35" s="192"/>
      <c r="H35" s="193"/>
      <c r="I35" s="27"/>
    </row>
    <row r="36" spans="1:9" x14ac:dyDescent="0.25">
      <c r="A36" s="43"/>
      <c r="B36" s="37"/>
      <c r="C36" s="37"/>
      <c r="D36" s="44"/>
      <c r="E36" s="37"/>
      <c r="F36" s="37"/>
      <c r="G36" s="37"/>
      <c r="H36" s="37"/>
      <c r="I36" s="39"/>
    </row>
    <row r="38" spans="1:9" x14ac:dyDescent="0.25">
      <c r="A38" s="21" t="s">
        <v>79</v>
      </c>
      <c r="B38" s="22"/>
      <c r="C38" s="22"/>
      <c r="D38" s="41"/>
      <c r="E38" s="22"/>
      <c r="F38" s="22"/>
      <c r="G38" s="22"/>
      <c r="H38" s="22"/>
      <c r="I38" s="24"/>
    </row>
    <row r="39" spans="1:9" x14ac:dyDescent="0.25">
      <c r="A39" s="42"/>
      <c r="D39" s="40"/>
      <c r="I39" s="27"/>
    </row>
    <row r="40" spans="1:9" x14ac:dyDescent="0.25">
      <c r="A40" s="194" t="s">
        <v>34</v>
      </c>
      <c r="B40" s="195"/>
      <c r="C40" s="195"/>
      <c r="D40" s="197" t="s">
        <v>38</v>
      </c>
      <c r="E40" s="198"/>
      <c r="F40" s="198"/>
      <c r="G40" s="198"/>
      <c r="H40" s="199"/>
      <c r="I40" s="27"/>
    </row>
    <row r="41" spans="1:9" ht="15.95" customHeight="1" x14ac:dyDescent="0.25">
      <c r="A41" s="210" t="str">
        <f>+Alvenaria!A12</f>
        <v>ALVENARIA</v>
      </c>
      <c r="B41" s="210"/>
      <c r="C41" s="210"/>
      <c r="D41" s="182">
        <f>+Alvenaria!I24</f>
        <v>2845234.7140999995</v>
      </c>
      <c r="E41" s="183"/>
      <c r="F41" s="183"/>
      <c r="G41" s="183"/>
      <c r="H41" s="184"/>
      <c r="I41" s="27"/>
    </row>
    <row r="42" spans="1:9" ht="15.95" customHeight="1" x14ac:dyDescent="0.25">
      <c r="A42" s="188" t="s">
        <v>42</v>
      </c>
      <c r="B42" s="189"/>
      <c r="C42" s="190"/>
      <c r="D42" s="191">
        <f>SUM(D41)</f>
        <v>2845234.7140999995</v>
      </c>
      <c r="E42" s="192"/>
      <c r="F42" s="192"/>
      <c r="G42" s="192"/>
      <c r="H42" s="193"/>
      <c r="I42" s="27"/>
    </row>
    <row r="43" spans="1:9" ht="15.75" customHeight="1" x14ac:dyDescent="0.25">
      <c r="A43" s="43"/>
      <c r="B43" s="37"/>
      <c r="C43" s="37"/>
      <c r="D43" s="38"/>
      <c r="E43" s="45"/>
      <c r="F43" s="45"/>
      <c r="G43" s="46"/>
      <c r="H43" s="37"/>
      <c r="I43" s="39"/>
    </row>
    <row r="44" spans="1:9" ht="15.75" customHeight="1" x14ac:dyDescent="0.25"/>
    <row r="45" spans="1:9" ht="15.75" customHeight="1" x14ac:dyDescent="0.25">
      <c r="A45" s="21" t="s">
        <v>148</v>
      </c>
      <c r="B45" s="22"/>
      <c r="C45" s="22"/>
      <c r="D45" s="23"/>
      <c r="E45" s="22"/>
      <c r="F45" s="22"/>
      <c r="G45" s="22"/>
      <c r="H45" s="22"/>
      <c r="I45" s="24"/>
    </row>
    <row r="46" spans="1:9" ht="15.75" customHeight="1" x14ac:dyDescent="0.25">
      <c r="A46" s="25"/>
      <c r="B46" s="26"/>
      <c r="C46" s="26"/>
      <c r="D46" s="26"/>
      <c r="E46" s="26"/>
      <c r="F46" s="26"/>
      <c r="I46" s="27"/>
    </row>
    <row r="47" spans="1:9" ht="15.75" customHeight="1" x14ac:dyDescent="0.25">
      <c r="A47" s="194" t="s">
        <v>34</v>
      </c>
      <c r="B47" s="195"/>
      <c r="C47" s="196"/>
      <c r="D47" s="197" t="s">
        <v>38</v>
      </c>
      <c r="E47" s="198"/>
      <c r="F47" s="198"/>
      <c r="G47" s="198"/>
      <c r="H47" s="199"/>
      <c r="I47" s="27"/>
    </row>
    <row r="48" spans="1:9" ht="15.75" customHeight="1" x14ac:dyDescent="0.25">
      <c r="A48" s="207" t="e">
        <f>+#REF!</f>
        <v>#REF!</v>
      </c>
      <c r="B48" s="208"/>
      <c r="C48" s="209"/>
      <c r="D48" s="201" t="e">
        <f>+#REF!</f>
        <v>#REF!</v>
      </c>
      <c r="E48" s="202"/>
      <c r="F48" s="202"/>
      <c r="G48" s="202"/>
      <c r="H48" s="203"/>
      <c r="I48" s="31"/>
    </row>
    <row r="49" spans="1:9" ht="15.75" customHeight="1" x14ac:dyDescent="0.25">
      <c r="A49" s="179" t="e">
        <f>+#REF!</f>
        <v>#REF!</v>
      </c>
      <c r="B49" s="180"/>
      <c r="C49" s="181"/>
      <c r="D49" s="182" t="e">
        <f>+#REF!</f>
        <v>#REF!</v>
      </c>
      <c r="E49" s="183"/>
      <c r="F49" s="183"/>
      <c r="G49" s="183"/>
      <c r="H49" s="184"/>
      <c r="I49" s="10"/>
    </row>
    <row r="50" spans="1:9" ht="15.75" customHeight="1" x14ac:dyDescent="0.25">
      <c r="A50" s="179" t="e">
        <f>+#REF!</f>
        <v>#REF!</v>
      </c>
      <c r="B50" s="180"/>
      <c r="C50" s="181"/>
      <c r="D50" s="182" t="e">
        <f>+#REF!</f>
        <v>#REF!</v>
      </c>
      <c r="E50" s="183"/>
      <c r="F50" s="183"/>
      <c r="G50" s="183"/>
      <c r="H50" s="184"/>
      <c r="I50" s="35"/>
    </row>
    <row r="51" spans="1:9" ht="15.75" customHeight="1" x14ac:dyDescent="0.25">
      <c r="A51" s="188" t="s">
        <v>42</v>
      </c>
      <c r="B51" s="189"/>
      <c r="C51" s="190"/>
      <c r="D51" s="191" t="e">
        <f>SUM(D48:H50)</f>
        <v>#REF!</v>
      </c>
      <c r="E51" s="192"/>
      <c r="F51" s="192"/>
      <c r="G51" s="192"/>
      <c r="H51" s="193"/>
      <c r="I51" s="35"/>
    </row>
    <row r="52" spans="1:9" ht="15.75" customHeight="1" x14ac:dyDescent="0.25">
      <c r="A52" s="177"/>
      <c r="B52" s="178"/>
      <c r="C52" s="178"/>
      <c r="D52" s="178"/>
      <c r="E52" s="178"/>
      <c r="F52" s="178"/>
      <c r="G52" s="37"/>
      <c r="H52" s="37"/>
      <c r="I52" s="39"/>
    </row>
    <row r="53" spans="1:9" ht="15.75" customHeight="1" x14ac:dyDescent="0.25"/>
    <row r="54" spans="1:9" ht="15.75" customHeight="1" x14ac:dyDescent="0.25">
      <c r="A54" s="21" t="s">
        <v>104</v>
      </c>
      <c r="B54" s="22"/>
      <c r="C54" s="22"/>
      <c r="D54" s="41"/>
      <c r="E54" s="22"/>
      <c r="F54" s="22"/>
      <c r="G54" s="22"/>
      <c r="H54" s="22"/>
      <c r="I54" s="24"/>
    </row>
    <row r="55" spans="1:9" ht="15.75" customHeight="1" x14ac:dyDescent="0.25">
      <c r="A55" s="42"/>
      <c r="D55" s="40"/>
      <c r="I55" s="27"/>
    </row>
    <row r="56" spans="1:9" ht="15.75" customHeight="1" x14ac:dyDescent="0.25">
      <c r="A56" s="194" t="s">
        <v>34</v>
      </c>
      <c r="B56" s="195"/>
      <c r="C56" s="195"/>
      <c r="D56" s="197" t="s">
        <v>38</v>
      </c>
      <c r="E56" s="198"/>
      <c r="F56" s="198"/>
      <c r="G56" s="198"/>
      <c r="H56" s="199"/>
      <c r="I56" s="27"/>
    </row>
    <row r="57" spans="1:9" ht="15.75" customHeight="1" x14ac:dyDescent="0.25">
      <c r="A57" s="210" t="str">
        <f>+Impermeabilização!A12</f>
        <v>IMPERMEABILIZAÇÃO</v>
      </c>
      <c r="B57" s="210"/>
      <c r="C57" s="210"/>
      <c r="D57" s="182">
        <f>+Impermeabilização!I23</f>
        <v>1396052.0419999999</v>
      </c>
      <c r="E57" s="183"/>
      <c r="F57" s="183"/>
      <c r="G57" s="183"/>
      <c r="H57" s="184"/>
      <c r="I57" s="27"/>
    </row>
    <row r="58" spans="1:9" ht="15.75" customHeight="1" x14ac:dyDescent="0.25">
      <c r="A58" s="188" t="s">
        <v>42</v>
      </c>
      <c r="B58" s="189"/>
      <c r="C58" s="190"/>
      <c r="D58" s="191">
        <f>SUM(D57)</f>
        <v>1396052.0419999999</v>
      </c>
      <c r="E58" s="192"/>
      <c r="F58" s="192"/>
      <c r="G58" s="192"/>
      <c r="H58" s="193"/>
      <c r="I58" s="27"/>
    </row>
    <row r="59" spans="1:9" ht="15.75" customHeight="1" x14ac:dyDescent="0.25">
      <c r="A59" s="43"/>
      <c r="B59" s="37"/>
      <c r="C59" s="37"/>
      <c r="D59" s="38"/>
      <c r="E59" s="45"/>
      <c r="F59" s="45"/>
      <c r="G59" s="46"/>
      <c r="H59" s="37"/>
      <c r="I59" s="39"/>
    </row>
    <row r="60" spans="1:9" ht="15.75" customHeight="1" x14ac:dyDescent="0.25"/>
    <row r="61" spans="1:9" ht="15.75" customHeight="1" x14ac:dyDescent="0.25">
      <c r="A61" s="21" t="s">
        <v>149</v>
      </c>
      <c r="B61" s="22"/>
      <c r="C61" s="22"/>
      <c r="D61" s="41"/>
      <c r="E61" s="22"/>
      <c r="F61" s="22"/>
      <c r="G61" s="22"/>
      <c r="H61" s="22"/>
      <c r="I61" s="24"/>
    </row>
    <row r="62" spans="1:9" ht="15.75" customHeight="1" x14ac:dyDescent="0.25">
      <c r="A62" s="42"/>
      <c r="D62" s="40"/>
      <c r="I62" s="27"/>
    </row>
    <row r="63" spans="1:9" ht="15.75" customHeight="1" x14ac:dyDescent="0.25">
      <c r="A63" s="194" t="s">
        <v>34</v>
      </c>
      <c r="B63" s="195"/>
      <c r="C63" s="195"/>
      <c r="D63" s="197" t="s">
        <v>38</v>
      </c>
      <c r="E63" s="198"/>
      <c r="F63" s="198"/>
      <c r="G63" s="198"/>
      <c r="H63" s="199"/>
      <c r="I63" s="27"/>
    </row>
    <row r="64" spans="1:9" ht="32.25" customHeight="1" x14ac:dyDescent="0.25">
      <c r="A64" s="210" t="str">
        <f>+'Rev. Internos Piso e Parede'!A12</f>
        <v>REVESTIMENTOS INTERNOS EM PISO E PAREDE</v>
      </c>
      <c r="B64" s="210"/>
      <c r="C64" s="210"/>
      <c r="D64" s="182">
        <f>+'Rev. Internos Piso e Parede'!I21</f>
        <v>2856393.7700000005</v>
      </c>
      <c r="E64" s="183"/>
      <c r="F64" s="183"/>
      <c r="G64" s="183"/>
      <c r="H64" s="184"/>
      <c r="I64" s="27"/>
    </row>
    <row r="65" spans="1:9" ht="15.75" customHeight="1" x14ac:dyDescent="0.25">
      <c r="A65" s="188" t="s">
        <v>42</v>
      </c>
      <c r="B65" s="189"/>
      <c r="C65" s="190"/>
      <c r="D65" s="191">
        <f>SUM(D64)</f>
        <v>2856393.7700000005</v>
      </c>
      <c r="E65" s="192"/>
      <c r="F65" s="192"/>
      <c r="G65" s="192"/>
      <c r="H65" s="193"/>
      <c r="I65" s="27"/>
    </row>
    <row r="66" spans="1:9" ht="15.75" customHeight="1" x14ac:dyDescent="0.25">
      <c r="A66" s="43"/>
      <c r="B66" s="37"/>
      <c r="C66" s="37"/>
      <c r="D66" s="38"/>
      <c r="E66" s="45"/>
      <c r="F66" s="45"/>
      <c r="G66" s="46"/>
      <c r="H66" s="37"/>
      <c r="I66" s="39"/>
    </row>
    <row r="67" spans="1:9" ht="15.75" customHeight="1" x14ac:dyDescent="0.25"/>
    <row r="68" spans="1:9" ht="15.75" customHeight="1" x14ac:dyDescent="0.25">
      <c r="A68" s="21" t="s">
        <v>150</v>
      </c>
      <c r="B68" s="22"/>
      <c r="C68" s="22"/>
      <c r="D68" s="41"/>
      <c r="E68" s="22"/>
      <c r="F68" s="22"/>
      <c r="G68" s="22"/>
      <c r="H68" s="22"/>
      <c r="I68" s="24"/>
    </row>
    <row r="69" spans="1:9" ht="15.75" customHeight="1" x14ac:dyDescent="0.25">
      <c r="A69" s="42"/>
      <c r="D69" s="40"/>
      <c r="I69" s="27"/>
    </row>
    <row r="70" spans="1:9" ht="15.75" customHeight="1" x14ac:dyDescent="0.25">
      <c r="A70" s="194" t="s">
        <v>34</v>
      </c>
      <c r="B70" s="195"/>
      <c r="C70" s="195"/>
      <c r="D70" s="197" t="s">
        <v>38</v>
      </c>
      <c r="E70" s="198"/>
      <c r="F70" s="198"/>
      <c r="G70" s="198"/>
      <c r="H70" s="199"/>
      <c r="I70" s="27"/>
    </row>
    <row r="71" spans="1:9" ht="15.75" customHeight="1" x14ac:dyDescent="0.25">
      <c r="A71" s="210" t="str">
        <f>+'Acabamentos de Teto'!A12</f>
        <v>ACABAMENTOS DE TETO - OPÇÃO FORRO MINERAL</v>
      </c>
      <c r="B71" s="210"/>
      <c r="C71" s="210"/>
      <c r="D71" s="182">
        <f>+'Acabamentos de Teto'!I19</f>
        <v>1204683.8200000003</v>
      </c>
      <c r="E71" s="183"/>
      <c r="F71" s="183"/>
      <c r="G71" s="183"/>
      <c r="H71" s="184"/>
      <c r="I71" s="27"/>
    </row>
    <row r="72" spans="1:9" ht="15.75" customHeight="1" x14ac:dyDescent="0.25">
      <c r="A72" s="188" t="s">
        <v>42</v>
      </c>
      <c r="B72" s="189"/>
      <c r="C72" s="190"/>
      <c r="D72" s="191">
        <f>SUM(D71)</f>
        <v>1204683.8200000003</v>
      </c>
      <c r="E72" s="192"/>
      <c r="F72" s="192"/>
      <c r="G72" s="192"/>
      <c r="H72" s="193"/>
      <c r="I72" s="27"/>
    </row>
    <row r="73" spans="1:9" ht="15.75" customHeight="1" x14ac:dyDescent="0.25">
      <c r="A73" s="43"/>
      <c r="B73" s="37"/>
      <c r="C73" s="37"/>
      <c r="D73" s="38"/>
      <c r="E73" s="45"/>
      <c r="F73" s="45"/>
      <c r="G73" s="46"/>
      <c r="H73" s="37"/>
      <c r="I73" s="39"/>
    </row>
    <row r="74" spans="1:9" ht="15.75" customHeight="1" x14ac:dyDescent="0.25"/>
    <row r="75" spans="1:9" ht="15.75" customHeight="1" x14ac:dyDescent="0.25">
      <c r="A75" s="21" t="s">
        <v>126</v>
      </c>
      <c r="B75" s="22"/>
      <c r="C75" s="22"/>
      <c r="D75" s="41"/>
      <c r="E75" s="22"/>
      <c r="F75" s="22"/>
      <c r="G75" s="22"/>
      <c r="H75" s="22"/>
      <c r="I75" s="24"/>
    </row>
    <row r="76" spans="1:9" ht="15.75" customHeight="1" x14ac:dyDescent="0.25">
      <c r="A76" s="42"/>
      <c r="D76" s="40"/>
      <c r="I76" s="27"/>
    </row>
    <row r="77" spans="1:9" ht="15.75" customHeight="1" x14ac:dyDescent="0.25">
      <c r="A77" s="194" t="s">
        <v>34</v>
      </c>
      <c r="B77" s="195"/>
      <c r="C77" s="195"/>
      <c r="D77" s="197" t="s">
        <v>38</v>
      </c>
      <c r="E77" s="198"/>
      <c r="F77" s="198"/>
      <c r="G77" s="198"/>
      <c r="H77" s="199"/>
      <c r="I77" s="27"/>
    </row>
    <row r="78" spans="1:9" ht="15.75" customHeight="1" x14ac:dyDescent="0.25">
      <c r="A78" s="210" t="str">
        <f>+'Acabamentos de Piso e Parede'!A12</f>
        <v>ACABAMENTOS EM PISO E PAREDE - OPÇÃO 1</v>
      </c>
      <c r="B78" s="210"/>
      <c r="C78" s="210"/>
      <c r="D78" s="182">
        <f>+'Acabamentos de Piso e Parede'!I27</f>
        <v>3244481.9640000006</v>
      </c>
      <c r="E78" s="183"/>
      <c r="F78" s="183"/>
      <c r="G78" s="183"/>
      <c r="H78" s="184"/>
      <c r="I78" s="27"/>
    </row>
    <row r="79" spans="1:9" ht="15.75" customHeight="1" x14ac:dyDescent="0.25">
      <c r="A79" s="188" t="s">
        <v>42</v>
      </c>
      <c r="B79" s="189"/>
      <c r="C79" s="190"/>
      <c r="D79" s="191">
        <f>SUM(D78)</f>
        <v>3244481.9640000006</v>
      </c>
      <c r="E79" s="192"/>
      <c r="F79" s="192"/>
      <c r="G79" s="192"/>
      <c r="H79" s="193"/>
      <c r="I79" s="27"/>
    </row>
    <row r="80" spans="1:9" ht="15.75" customHeight="1" x14ac:dyDescent="0.25">
      <c r="A80" s="43"/>
      <c r="B80" s="37"/>
      <c r="C80" s="37"/>
      <c r="D80" s="38"/>
      <c r="E80" s="45"/>
      <c r="F80" s="45"/>
      <c r="G80" s="46"/>
      <c r="H80" s="37"/>
      <c r="I80" s="39"/>
    </row>
    <row r="81" spans="1:9" ht="15.75" customHeight="1" x14ac:dyDescent="0.25"/>
    <row r="82" spans="1:9" ht="15.75" customHeight="1" x14ac:dyDescent="0.25">
      <c r="A82" s="21" t="s">
        <v>129</v>
      </c>
      <c r="B82" s="22"/>
      <c r="C82" s="22"/>
      <c r="D82" s="41"/>
      <c r="E82" s="22"/>
      <c r="F82" s="22"/>
      <c r="G82" s="22"/>
      <c r="H82" s="22"/>
      <c r="I82" s="24"/>
    </row>
    <row r="83" spans="1:9" ht="15.75" customHeight="1" x14ac:dyDescent="0.25">
      <c r="A83" s="42"/>
      <c r="D83" s="40"/>
      <c r="I83" s="27"/>
    </row>
    <row r="84" spans="1:9" ht="15.75" customHeight="1" x14ac:dyDescent="0.25">
      <c r="A84" s="194" t="s">
        <v>34</v>
      </c>
      <c r="B84" s="195"/>
      <c r="C84" s="195"/>
      <c r="D84" s="197" t="s">
        <v>38</v>
      </c>
      <c r="E84" s="198"/>
      <c r="F84" s="198"/>
      <c r="G84" s="198"/>
      <c r="H84" s="199"/>
      <c r="I84" s="27"/>
    </row>
    <row r="85" spans="1:9" ht="15.75" customHeight="1" x14ac:dyDescent="0.25">
      <c r="A85" s="210" t="str">
        <f>+'Pintura Interna'!A12</f>
        <v>PINTURA INTERNA - OPÇÃO 1</v>
      </c>
      <c r="B85" s="210"/>
      <c r="C85" s="210"/>
      <c r="D85" s="182">
        <f>+'Pintura Interna'!I18</f>
        <v>1776411.7000000002</v>
      </c>
      <c r="E85" s="183"/>
      <c r="F85" s="183"/>
      <c r="G85" s="183"/>
      <c r="H85" s="184"/>
      <c r="I85" s="27"/>
    </row>
    <row r="86" spans="1:9" ht="15.75" customHeight="1" x14ac:dyDescent="0.25">
      <c r="A86" s="188" t="s">
        <v>42</v>
      </c>
      <c r="B86" s="189"/>
      <c r="C86" s="190"/>
      <c r="D86" s="191">
        <f>SUM(D85)</f>
        <v>1776411.7000000002</v>
      </c>
      <c r="E86" s="192"/>
      <c r="F86" s="192"/>
      <c r="G86" s="192"/>
      <c r="H86" s="193"/>
      <c r="I86" s="27"/>
    </row>
    <row r="87" spans="1:9" ht="15.75" customHeight="1" x14ac:dyDescent="0.25">
      <c r="A87" s="43"/>
      <c r="B87" s="37"/>
      <c r="C87" s="37"/>
      <c r="D87" s="38"/>
      <c r="E87" s="45"/>
      <c r="F87" s="45"/>
      <c r="G87" s="46"/>
      <c r="H87" s="37"/>
      <c r="I87" s="39"/>
    </row>
    <row r="88" spans="1:9" ht="15.75" customHeight="1" x14ac:dyDescent="0.25"/>
    <row r="89" spans="1:9" ht="15.75" customHeight="1" x14ac:dyDescent="0.25">
      <c r="A89" s="21" t="s">
        <v>132</v>
      </c>
      <c r="B89" s="22"/>
      <c r="C89" s="22"/>
      <c r="D89" s="41"/>
      <c r="E89" s="22"/>
      <c r="F89" s="22"/>
      <c r="G89" s="22"/>
      <c r="H89" s="22"/>
      <c r="I89" s="24"/>
    </row>
    <row r="90" spans="1:9" ht="15.75" customHeight="1" x14ac:dyDescent="0.25">
      <c r="A90" s="42"/>
      <c r="D90" s="40"/>
      <c r="I90" s="27"/>
    </row>
    <row r="91" spans="1:9" ht="15.75" customHeight="1" x14ac:dyDescent="0.25">
      <c r="A91" s="194" t="s">
        <v>34</v>
      </c>
      <c r="B91" s="195"/>
      <c r="C91" s="195"/>
      <c r="D91" s="197" t="s">
        <v>38</v>
      </c>
      <c r="E91" s="198"/>
      <c r="F91" s="198"/>
      <c r="G91" s="198"/>
      <c r="H91" s="199"/>
      <c r="I91" s="27"/>
    </row>
    <row r="92" spans="1:9" ht="15.75" customHeight="1" x14ac:dyDescent="0.25">
      <c r="A92" s="210" t="str">
        <f>+Esquadrias!A12</f>
        <v>ESQUADRIAS</v>
      </c>
      <c r="B92" s="210"/>
      <c r="C92" s="210"/>
      <c r="D92" s="182">
        <f>+Esquadrias!I26</f>
        <v>8406042</v>
      </c>
      <c r="E92" s="183"/>
      <c r="F92" s="183"/>
      <c r="G92" s="183"/>
      <c r="H92" s="184"/>
      <c r="I92" s="27"/>
    </row>
    <row r="93" spans="1:9" ht="15.75" customHeight="1" x14ac:dyDescent="0.25">
      <c r="A93" s="188" t="s">
        <v>42</v>
      </c>
      <c r="B93" s="189"/>
      <c r="C93" s="190"/>
      <c r="D93" s="191">
        <f>SUM(D92)</f>
        <v>8406042</v>
      </c>
      <c r="E93" s="192"/>
      <c r="F93" s="192"/>
      <c r="G93" s="192"/>
      <c r="H93" s="193"/>
      <c r="I93" s="27"/>
    </row>
    <row r="94" spans="1:9" ht="15.75" customHeight="1" x14ac:dyDescent="0.25">
      <c r="A94" s="43"/>
      <c r="B94" s="37"/>
      <c r="C94" s="37"/>
      <c r="D94" s="38"/>
      <c r="E94" s="45"/>
      <c r="F94" s="45"/>
      <c r="G94" s="46"/>
      <c r="H94" s="37"/>
      <c r="I94" s="39"/>
    </row>
    <row r="95" spans="1:9" ht="15.75" customHeight="1" x14ac:dyDescent="0.25"/>
    <row r="96" spans="1:9" ht="15.75" customHeight="1" x14ac:dyDescent="0.25">
      <c r="A96" s="21" t="s">
        <v>151</v>
      </c>
      <c r="B96" s="22"/>
      <c r="C96" s="22"/>
      <c r="D96" s="41"/>
      <c r="E96" s="22"/>
      <c r="F96" s="22"/>
      <c r="G96" s="22"/>
      <c r="H96" s="22"/>
      <c r="I96" s="24"/>
    </row>
    <row r="97" spans="1:9" ht="15.75" customHeight="1" x14ac:dyDescent="0.25">
      <c r="A97" s="42"/>
      <c r="D97" s="40"/>
      <c r="I97" s="27"/>
    </row>
    <row r="98" spans="1:9" ht="15.75" customHeight="1" x14ac:dyDescent="0.25">
      <c r="A98" s="194" t="s">
        <v>34</v>
      </c>
      <c r="B98" s="195"/>
      <c r="C98" s="195"/>
      <c r="D98" s="197" t="s">
        <v>38</v>
      </c>
      <c r="E98" s="198"/>
      <c r="F98" s="198"/>
      <c r="G98" s="198"/>
      <c r="H98" s="199"/>
      <c r="I98" s="27"/>
    </row>
    <row r="99" spans="1:9" ht="15.75" customHeight="1" x14ac:dyDescent="0.25">
      <c r="A99" s="206" t="str">
        <f>+'Rev. Fachada'!A12</f>
        <v>REVESTIMENTOS ARGAMASSADOS</v>
      </c>
      <c r="B99" s="206"/>
      <c r="C99" s="206"/>
      <c r="D99" s="182">
        <f>+'Rev. Fachada'!I16</f>
        <v>645475.50100000005</v>
      </c>
      <c r="E99" s="183"/>
      <c r="F99" s="183"/>
      <c r="G99" s="183"/>
      <c r="H99" s="184"/>
      <c r="I99" s="27"/>
    </row>
    <row r="100" spans="1:9" ht="15.75" customHeight="1" x14ac:dyDescent="0.25">
      <c r="A100" s="200" t="str">
        <f>+'Rev. Fachada'!A18</f>
        <v>PINTURA</v>
      </c>
      <c r="B100" s="200"/>
      <c r="C100" s="200"/>
      <c r="D100" s="182">
        <f>+'Rev. Fachada'!I22</f>
        <v>3115764.0321600004</v>
      </c>
      <c r="E100" s="183"/>
      <c r="F100" s="183"/>
      <c r="G100" s="183"/>
      <c r="H100" s="184"/>
      <c r="I100" s="27"/>
    </row>
    <row r="101" spans="1:9" ht="15.75" customHeight="1" x14ac:dyDescent="0.25">
      <c r="A101" s="200" t="str">
        <f>+'Rev. Fachada'!A24</f>
        <v>REVESTIMENTOS ESPECIAIS</v>
      </c>
      <c r="B101" s="200"/>
      <c r="C101" s="200"/>
      <c r="D101" s="182">
        <f>+'Rev. Fachada'!I30</f>
        <v>709010.17</v>
      </c>
      <c r="E101" s="183"/>
      <c r="F101" s="183"/>
      <c r="G101" s="183"/>
      <c r="H101" s="184"/>
      <c r="I101" s="27"/>
    </row>
    <row r="102" spans="1:9" ht="15.75" customHeight="1" x14ac:dyDescent="0.25">
      <c r="A102" s="188" t="s">
        <v>42</v>
      </c>
      <c r="B102" s="189"/>
      <c r="C102" s="190"/>
      <c r="D102" s="191">
        <f>SUM(D99:H101)</f>
        <v>4470249.703160001</v>
      </c>
      <c r="E102" s="192"/>
      <c r="F102" s="192"/>
      <c r="G102" s="192"/>
      <c r="H102" s="193"/>
      <c r="I102" s="27"/>
    </row>
    <row r="103" spans="1:9" ht="15.75" customHeight="1" x14ac:dyDescent="0.25">
      <c r="A103" s="43"/>
      <c r="B103" s="37"/>
      <c r="C103" s="37"/>
      <c r="D103" s="38"/>
      <c r="E103" s="45"/>
      <c r="F103" s="45"/>
      <c r="G103" s="46"/>
      <c r="H103" s="37"/>
      <c r="I103" s="39"/>
    </row>
    <row r="104" spans="1:9" ht="15.75" customHeight="1" x14ac:dyDescent="0.25"/>
    <row r="105" spans="1:9" ht="15.75" customHeight="1" x14ac:dyDescent="0.25">
      <c r="A105" s="21" t="s">
        <v>152</v>
      </c>
      <c r="B105" s="22"/>
      <c r="C105" s="22"/>
      <c r="D105" s="41"/>
      <c r="E105" s="22"/>
      <c r="F105" s="22"/>
      <c r="G105" s="22"/>
      <c r="H105" s="22"/>
      <c r="I105" s="24"/>
    </row>
    <row r="106" spans="1:9" ht="15.75" customHeight="1" x14ac:dyDescent="0.25">
      <c r="A106" s="42"/>
      <c r="D106" s="40"/>
      <c r="I106" s="27"/>
    </row>
    <row r="107" spans="1:9" ht="15.75" customHeight="1" x14ac:dyDescent="0.25">
      <c r="A107" s="194" t="s">
        <v>34</v>
      </c>
      <c r="B107" s="195"/>
      <c r="C107" s="195"/>
      <c r="D107" s="197" t="s">
        <v>38</v>
      </c>
      <c r="E107" s="198"/>
      <c r="F107" s="198"/>
      <c r="G107" s="198"/>
      <c r="H107" s="199"/>
      <c r="I107" s="27"/>
    </row>
    <row r="108" spans="1:9" ht="15.75" customHeight="1" x14ac:dyDescent="0.25">
      <c r="A108" s="211" t="e">
        <f>+#REF!</f>
        <v>#REF!</v>
      </c>
      <c r="B108" s="210"/>
      <c r="C108" s="210"/>
      <c r="D108" s="182" t="e">
        <f>+#REF!</f>
        <v>#REF!</v>
      </c>
      <c r="E108" s="183"/>
      <c r="F108" s="183"/>
      <c r="G108" s="183"/>
      <c r="H108" s="184"/>
      <c r="I108" s="27"/>
    </row>
    <row r="109" spans="1:9" ht="15.75" customHeight="1" x14ac:dyDescent="0.25">
      <c r="A109" s="188" t="s">
        <v>42</v>
      </c>
      <c r="B109" s="189"/>
      <c r="C109" s="190"/>
      <c r="D109" s="191" t="e">
        <f>SUM(D108)</f>
        <v>#REF!</v>
      </c>
      <c r="E109" s="192"/>
      <c r="F109" s="192"/>
      <c r="G109" s="192"/>
      <c r="H109" s="193"/>
      <c r="I109" s="27"/>
    </row>
    <row r="110" spans="1:9" ht="15.75" customHeight="1" x14ac:dyDescent="0.25">
      <c r="A110" s="43"/>
      <c r="B110" s="37"/>
      <c r="C110" s="37"/>
      <c r="D110" s="38"/>
      <c r="E110" s="45"/>
      <c r="F110" s="45"/>
      <c r="G110" s="46"/>
      <c r="H110" s="37"/>
      <c r="I110" s="39"/>
    </row>
    <row r="111" spans="1:9" ht="15.75" customHeight="1" x14ac:dyDescent="0.25"/>
    <row r="112" spans="1:9" ht="15.75" customHeight="1" x14ac:dyDescent="0.25">
      <c r="A112" s="21" t="s">
        <v>264</v>
      </c>
      <c r="B112" s="22"/>
      <c r="C112" s="22"/>
      <c r="D112" s="41"/>
      <c r="E112" s="22"/>
      <c r="F112" s="22"/>
      <c r="G112" s="22"/>
      <c r="H112" s="22"/>
      <c r="I112" s="24"/>
    </row>
    <row r="113" spans="1:9" ht="15.75" customHeight="1" x14ac:dyDescent="0.25">
      <c r="A113" s="42"/>
      <c r="D113" s="40"/>
      <c r="I113" s="27"/>
    </row>
    <row r="114" spans="1:9" ht="15.75" customHeight="1" x14ac:dyDescent="0.25">
      <c r="A114" s="194" t="s">
        <v>34</v>
      </c>
      <c r="B114" s="195"/>
      <c r="C114" s="195"/>
      <c r="D114" s="197" t="s">
        <v>38</v>
      </c>
      <c r="E114" s="198"/>
      <c r="F114" s="198"/>
      <c r="G114" s="198"/>
      <c r="H114" s="199"/>
      <c r="I114" s="27"/>
    </row>
    <row r="115" spans="1:9" ht="30" customHeight="1" x14ac:dyDescent="0.25">
      <c r="A115" s="200" t="str">
        <f>+'Sistemas especiais'!A12</f>
        <v>CLIMATIZAÇÃO, EXAUSTÃO MECÂNICA E PRESSURIZAÇÃO</v>
      </c>
      <c r="B115" s="200"/>
      <c r="C115" s="200"/>
      <c r="D115" s="182">
        <f>'Sistemas especiais'!I19</f>
        <v>480300</v>
      </c>
      <c r="E115" s="183"/>
      <c r="F115" s="183"/>
      <c r="G115" s="183"/>
      <c r="H115" s="184"/>
      <c r="I115" s="27"/>
    </row>
    <row r="116" spans="1:9" ht="15.75" customHeight="1" x14ac:dyDescent="0.25">
      <c r="A116" s="200" t="str">
        <f>'Sistemas especiais'!A29</f>
        <v>OUTROS SISTEMAS ESPECIAIS</v>
      </c>
      <c r="B116" s="200"/>
      <c r="C116" s="200"/>
      <c r="D116" s="182">
        <f>'Sistemas especiais'!I33</f>
        <v>334556.60000000003</v>
      </c>
      <c r="E116" s="183"/>
      <c r="F116" s="183"/>
      <c r="G116" s="183"/>
      <c r="H116" s="184"/>
      <c r="I116" s="27"/>
    </row>
    <row r="117" spans="1:9" ht="15.75" customHeight="1" x14ac:dyDescent="0.25">
      <c r="A117" s="200" t="str">
        <f>'Sistemas especiais'!A36</f>
        <v>EQUIPAMENTOS</v>
      </c>
      <c r="B117" s="200"/>
      <c r="C117" s="200"/>
      <c r="D117" s="182">
        <f>'Sistemas especiais'!I47</f>
        <v>2805480</v>
      </c>
      <c r="E117" s="183"/>
      <c r="F117" s="183"/>
      <c r="G117" s="183"/>
      <c r="H117" s="184"/>
      <c r="I117" s="27"/>
    </row>
    <row r="118" spans="1:9" ht="15.75" customHeight="1" x14ac:dyDescent="0.25">
      <c r="A118" s="188" t="s">
        <v>42</v>
      </c>
      <c r="B118" s="189"/>
      <c r="C118" s="190"/>
      <c r="D118" s="191">
        <f>SUM(D115:H117)</f>
        <v>3620336.6</v>
      </c>
      <c r="E118" s="192"/>
      <c r="F118" s="192"/>
      <c r="G118" s="192"/>
      <c r="H118" s="193"/>
      <c r="I118" s="27"/>
    </row>
    <row r="119" spans="1:9" ht="15.75" customHeight="1" x14ac:dyDescent="0.25">
      <c r="A119" s="43"/>
      <c r="B119" s="37"/>
      <c r="C119" s="37"/>
      <c r="D119" s="38"/>
      <c r="E119" s="45"/>
      <c r="F119" s="45"/>
      <c r="G119" s="46"/>
      <c r="H119" s="37"/>
      <c r="I119" s="39"/>
    </row>
    <row r="120" spans="1:9" ht="15.75" customHeight="1" x14ac:dyDescent="0.25"/>
    <row r="121" spans="1:9" ht="15.75" customHeight="1" x14ac:dyDescent="0.25">
      <c r="A121" s="21" t="s">
        <v>144</v>
      </c>
      <c r="B121" s="22"/>
      <c r="C121" s="22"/>
      <c r="D121" s="41"/>
      <c r="E121" s="22"/>
      <c r="F121" s="22"/>
      <c r="G121" s="22"/>
      <c r="H121" s="22"/>
      <c r="I121" s="24"/>
    </row>
    <row r="122" spans="1:9" ht="15.75" customHeight="1" x14ac:dyDescent="0.25">
      <c r="A122" s="42"/>
      <c r="D122" s="40"/>
      <c r="I122" s="27"/>
    </row>
    <row r="123" spans="1:9" ht="15.75" customHeight="1" x14ac:dyDescent="0.25">
      <c r="A123" s="194" t="s">
        <v>34</v>
      </c>
      <c r="B123" s="195"/>
      <c r="C123" s="195"/>
      <c r="D123" s="197" t="s">
        <v>38</v>
      </c>
      <c r="E123" s="198"/>
      <c r="F123" s="198"/>
      <c r="G123" s="198"/>
      <c r="H123" s="199"/>
      <c r="I123" s="27"/>
    </row>
    <row r="124" spans="1:9" ht="15.75" customHeight="1" x14ac:dyDescent="0.25">
      <c r="A124" s="211" t="str">
        <f>+Complementares!A12</f>
        <v>SERVIÇOS COMPLEMENTARES</v>
      </c>
      <c r="B124" s="210"/>
      <c r="C124" s="210"/>
      <c r="D124" s="182">
        <f>+Complementares!I19</f>
        <v>3478792.86</v>
      </c>
      <c r="E124" s="183"/>
      <c r="F124" s="183"/>
      <c r="G124" s="183"/>
      <c r="H124" s="184"/>
      <c r="I124" s="27"/>
    </row>
    <row r="125" spans="1:9" ht="15.75" customHeight="1" x14ac:dyDescent="0.25">
      <c r="A125" s="188" t="s">
        <v>42</v>
      </c>
      <c r="B125" s="189"/>
      <c r="C125" s="190"/>
      <c r="D125" s="191">
        <f>SUM(D124)</f>
        <v>3478792.86</v>
      </c>
      <c r="E125" s="192"/>
      <c r="F125" s="192"/>
      <c r="G125" s="192"/>
      <c r="H125" s="193"/>
      <c r="I125" s="27"/>
    </row>
    <row r="126" spans="1:9" ht="15.75" customHeight="1" x14ac:dyDescent="0.25">
      <c r="A126" s="43"/>
      <c r="B126" s="37"/>
      <c r="C126" s="37"/>
      <c r="D126" s="38"/>
      <c r="E126" s="45"/>
      <c r="F126" s="45"/>
      <c r="G126" s="46"/>
      <c r="H126" s="37"/>
      <c r="I126" s="39"/>
    </row>
    <row r="127" spans="1:9" ht="15.75" customHeight="1" x14ac:dyDescent="0.25"/>
    <row r="128" spans="1:9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</sheetData>
  <mergeCells count="119">
    <mergeCell ref="A123:C123"/>
    <mergeCell ref="D123:H123"/>
    <mergeCell ref="A124:C124"/>
    <mergeCell ref="D124:H124"/>
    <mergeCell ref="A125:C125"/>
    <mergeCell ref="D125:H125"/>
    <mergeCell ref="A114:C114"/>
    <mergeCell ref="D114:H114"/>
    <mergeCell ref="A115:C115"/>
    <mergeCell ref="D115:H115"/>
    <mergeCell ref="A118:C118"/>
    <mergeCell ref="D118:H118"/>
    <mergeCell ref="A116:C116"/>
    <mergeCell ref="D116:H116"/>
    <mergeCell ref="A117:C117"/>
    <mergeCell ref="D117:H117"/>
    <mergeCell ref="A107:C107"/>
    <mergeCell ref="D107:H107"/>
    <mergeCell ref="A108:C108"/>
    <mergeCell ref="D108:H108"/>
    <mergeCell ref="A109:C109"/>
    <mergeCell ref="D109:H109"/>
    <mergeCell ref="A102:C102"/>
    <mergeCell ref="D102:H102"/>
    <mergeCell ref="A100:C100"/>
    <mergeCell ref="D100:H100"/>
    <mergeCell ref="A101:C101"/>
    <mergeCell ref="D101:H101"/>
    <mergeCell ref="A93:C93"/>
    <mergeCell ref="D93:H93"/>
    <mergeCell ref="A98:C98"/>
    <mergeCell ref="D98:H98"/>
    <mergeCell ref="A99:C99"/>
    <mergeCell ref="D99:H99"/>
    <mergeCell ref="A86:C86"/>
    <mergeCell ref="D86:H86"/>
    <mergeCell ref="A91:C91"/>
    <mergeCell ref="D91:H91"/>
    <mergeCell ref="A92:C92"/>
    <mergeCell ref="D92:H92"/>
    <mergeCell ref="A79:C79"/>
    <mergeCell ref="D79:H79"/>
    <mergeCell ref="A84:C84"/>
    <mergeCell ref="D84:H84"/>
    <mergeCell ref="A85:C85"/>
    <mergeCell ref="D85:H85"/>
    <mergeCell ref="A72:C72"/>
    <mergeCell ref="D72:H72"/>
    <mergeCell ref="A77:C77"/>
    <mergeCell ref="D77:H77"/>
    <mergeCell ref="A78:C78"/>
    <mergeCell ref="D78:H78"/>
    <mergeCell ref="A65:C65"/>
    <mergeCell ref="D65:H65"/>
    <mergeCell ref="A70:C70"/>
    <mergeCell ref="D70:H70"/>
    <mergeCell ref="A71:C71"/>
    <mergeCell ref="D71:H71"/>
    <mergeCell ref="A58:C58"/>
    <mergeCell ref="D58:H58"/>
    <mergeCell ref="A63:C63"/>
    <mergeCell ref="D63:H63"/>
    <mergeCell ref="A64:C64"/>
    <mergeCell ref="D64:H64"/>
    <mergeCell ref="A51:C51"/>
    <mergeCell ref="D51:H51"/>
    <mergeCell ref="A52:F52"/>
    <mergeCell ref="A56:C56"/>
    <mergeCell ref="D56:H56"/>
    <mergeCell ref="A57:C57"/>
    <mergeCell ref="D57:H57"/>
    <mergeCell ref="A49:C49"/>
    <mergeCell ref="D49:H49"/>
    <mergeCell ref="A50:C50"/>
    <mergeCell ref="D50:H50"/>
    <mergeCell ref="A42:C42"/>
    <mergeCell ref="D42:H42"/>
    <mergeCell ref="A47:C47"/>
    <mergeCell ref="D47:H47"/>
    <mergeCell ref="A48:C48"/>
    <mergeCell ref="D48:H48"/>
    <mergeCell ref="A35:C35"/>
    <mergeCell ref="D35:H35"/>
    <mergeCell ref="A40:C40"/>
    <mergeCell ref="D40:H40"/>
    <mergeCell ref="A41:C41"/>
    <mergeCell ref="D41:H41"/>
    <mergeCell ref="A28:C28"/>
    <mergeCell ref="D28:H28"/>
    <mergeCell ref="A33:C33"/>
    <mergeCell ref="D33:H33"/>
    <mergeCell ref="A34:C34"/>
    <mergeCell ref="D34:H34"/>
    <mergeCell ref="A27:C27"/>
    <mergeCell ref="D27:H27"/>
    <mergeCell ref="A25:C25"/>
    <mergeCell ref="D25:H25"/>
    <mergeCell ref="A26:C26"/>
    <mergeCell ref="D26:H26"/>
    <mergeCell ref="A2:I4"/>
    <mergeCell ref="B7:I7"/>
    <mergeCell ref="B8:I8"/>
    <mergeCell ref="B9:D9"/>
    <mergeCell ref="H9:I9"/>
    <mergeCell ref="B10:D10"/>
    <mergeCell ref="H10:I10"/>
    <mergeCell ref="A20:F20"/>
    <mergeCell ref="A16:C16"/>
    <mergeCell ref="D16:H16"/>
    <mergeCell ref="A17:C17"/>
    <mergeCell ref="D17:H17"/>
    <mergeCell ref="A19:C19"/>
    <mergeCell ref="D19:H19"/>
    <mergeCell ref="A14:C14"/>
    <mergeCell ref="D14:H14"/>
    <mergeCell ref="A15:C15"/>
    <mergeCell ref="D15:H15"/>
    <mergeCell ref="A18:C18"/>
    <mergeCell ref="D18:H18"/>
  </mergeCells>
  <dataValidations count="1">
    <dataValidation type="list" allowBlank="1" showInputMessage="1" showErrorMessage="1" sqref="H10" xr:uid="{00000000-0002-0000-0100-000000000000}">
      <formula1>$L$1:$L$6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rowBreaks count="1" manualBreakCount="1">
    <brk id="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C66"/>
  </sheetPr>
  <dimension ref="A1:Q49"/>
  <sheetViews>
    <sheetView showGridLines="0" topLeftCell="A32" zoomScale="98" zoomScaleNormal="98" zoomScaleSheetLayoutView="95" workbookViewId="0">
      <selection activeCell="D29" sqref="D29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3" style="63" customWidth="1"/>
    <col min="5" max="5" width="7.5703125" style="69" customWidth="1"/>
    <col min="6" max="6" width="10.7109375" style="18" customWidth="1"/>
    <col min="7" max="7" width="13.28515625" style="11" customWidth="1"/>
    <col min="8" max="8" width="12.85546875" style="11" customWidth="1"/>
    <col min="9" max="9" width="13.85546875" style="11" bestFit="1" customWidth="1"/>
    <col min="10" max="10" width="7.28515625" style="11" bestFit="1" customWidth="1"/>
    <col min="11" max="11" width="6.42578125" style="11" customWidth="1"/>
    <col min="12" max="16" width="9.140625" style="11"/>
    <col min="17" max="17" width="10" style="11" bestFit="1" customWidth="1"/>
    <col min="18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46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ht="14.1" hidden="1" customHeight="1" x14ac:dyDescent="0.25">
      <c r="A12" s="21" t="s">
        <v>63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4.1" hidden="1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5" hidden="1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95" hidden="1" customHeight="1" x14ac:dyDescent="0.25">
      <c r="A15" s="206" t="s">
        <v>47</v>
      </c>
      <c r="B15" s="206"/>
      <c r="C15" s="206"/>
      <c r="D15" s="54">
        <f>+'Dados Gerais'!E25*3.06</f>
        <v>0</v>
      </c>
      <c r="E15" s="55" t="s">
        <v>58</v>
      </c>
      <c r="F15" s="48">
        <v>28.5</v>
      </c>
      <c r="G15" s="29" t="s">
        <v>48</v>
      </c>
      <c r="H15" s="30" t="s">
        <v>50</v>
      </c>
      <c r="I15" s="201">
        <f>+D15*F15</f>
        <v>0</v>
      </c>
      <c r="J15" s="203"/>
      <c r="K15" s="31"/>
    </row>
    <row r="16" spans="1:13" ht="15.95" hidden="1" customHeight="1" x14ac:dyDescent="0.25">
      <c r="A16" s="215" t="s">
        <v>42</v>
      </c>
      <c r="B16" s="215"/>
      <c r="C16" s="215"/>
      <c r="D16" s="215"/>
      <c r="E16" s="215"/>
      <c r="F16" s="215"/>
      <c r="G16" s="215"/>
      <c r="H16" s="215"/>
      <c r="I16" s="212">
        <f>SUM(I15:J15)</f>
        <v>0</v>
      </c>
      <c r="J16" s="212"/>
      <c r="K16" s="35"/>
    </row>
    <row r="17" spans="1:17" ht="15" hidden="1" customHeight="1" x14ac:dyDescent="0.25">
      <c r="A17" s="177"/>
      <c r="B17" s="178"/>
      <c r="C17" s="178"/>
      <c r="D17" s="178"/>
      <c r="E17" s="178"/>
      <c r="F17" s="178"/>
      <c r="G17" s="178"/>
      <c r="H17" s="178"/>
      <c r="I17" s="37"/>
      <c r="J17" s="37"/>
      <c r="K17" s="39"/>
    </row>
    <row r="18" spans="1:17" hidden="1" x14ac:dyDescent="0.25">
      <c r="D18" s="61"/>
      <c r="E18" s="40"/>
      <c r="F18" s="40"/>
    </row>
    <row r="19" spans="1:17" x14ac:dyDescent="0.25">
      <c r="A19" s="21" t="s">
        <v>53</v>
      </c>
      <c r="B19" s="22"/>
      <c r="C19" s="22"/>
      <c r="D19" s="59"/>
      <c r="E19" s="41"/>
      <c r="F19" s="23"/>
      <c r="G19" s="22"/>
      <c r="H19" s="22"/>
      <c r="I19" s="22"/>
      <c r="J19" s="22"/>
      <c r="K19" s="24"/>
    </row>
    <row r="20" spans="1:17" ht="15.95" customHeight="1" x14ac:dyDescent="0.25">
      <c r="A20" s="25"/>
      <c r="B20" s="26"/>
      <c r="C20" s="26"/>
      <c r="D20" s="60"/>
      <c r="E20" s="68"/>
      <c r="F20" s="26"/>
      <c r="G20" s="26"/>
      <c r="H20" s="26"/>
      <c r="K20" s="27"/>
    </row>
    <row r="21" spans="1:17" ht="15.95" customHeight="1" x14ac:dyDescent="0.25">
      <c r="A21" s="194" t="s">
        <v>34</v>
      </c>
      <c r="B21" s="195"/>
      <c r="C21" s="195"/>
      <c r="D21" s="213" t="s">
        <v>49</v>
      </c>
      <c r="E21" s="214"/>
      <c r="F21" s="197" t="s">
        <v>23</v>
      </c>
      <c r="G21" s="199"/>
      <c r="H21" s="28" t="s">
        <v>39</v>
      </c>
      <c r="I21" s="197" t="s">
        <v>38</v>
      </c>
      <c r="J21" s="199"/>
      <c r="K21" s="27"/>
    </row>
    <row r="22" spans="1:17" ht="15.95" customHeight="1" x14ac:dyDescent="0.25">
      <c r="A22" s="206" t="s">
        <v>54</v>
      </c>
      <c r="B22" s="206"/>
      <c r="C22" s="206"/>
      <c r="D22" s="55">
        <v>0</v>
      </c>
      <c r="E22" s="55" t="s">
        <v>41</v>
      </c>
      <c r="F22" s="48">
        <v>40</v>
      </c>
      <c r="G22" s="29" t="s">
        <v>285</v>
      </c>
      <c r="H22" s="30" t="s">
        <v>161</v>
      </c>
      <c r="I22" s="182">
        <f>F22*'Dados Gerais'!E27</f>
        <v>30581.599999999999</v>
      </c>
      <c r="J22" s="184"/>
      <c r="K22" s="31"/>
      <c r="P22" s="11">
        <v>421.3</v>
      </c>
      <c r="Q22" s="11" t="s">
        <v>425</v>
      </c>
    </row>
    <row r="23" spans="1:17" ht="15.95" customHeight="1" x14ac:dyDescent="0.25">
      <c r="A23" s="215" t="s">
        <v>42</v>
      </c>
      <c r="B23" s="215"/>
      <c r="C23" s="215"/>
      <c r="D23" s="215"/>
      <c r="E23" s="215"/>
      <c r="F23" s="215"/>
      <c r="G23" s="215"/>
      <c r="H23" s="215"/>
      <c r="I23" s="212">
        <f>SUM(I22:J22)</f>
        <v>30581.599999999999</v>
      </c>
      <c r="J23" s="212"/>
      <c r="K23" s="35"/>
      <c r="P23" s="11">
        <v>1180</v>
      </c>
      <c r="Q23" s="11" t="s">
        <v>424</v>
      </c>
    </row>
    <row r="24" spans="1:17" ht="15.95" customHeight="1" x14ac:dyDescent="0.25">
      <c r="A24" s="177"/>
      <c r="B24" s="178"/>
      <c r="C24" s="178"/>
      <c r="D24" s="178"/>
      <c r="E24" s="178"/>
      <c r="F24" s="178"/>
      <c r="G24" s="178"/>
      <c r="H24" s="178"/>
      <c r="I24" s="37"/>
      <c r="J24" s="37"/>
      <c r="K24" s="39"/>
      <c r="P24" s="11">
        <f>P23/P22</f>
        <v>2.8008544979824355</v>
      </c>
    </row>
    <row r="25" spans="1:17" x14ac:dyDescent="0.25">
      <c r="D25" s="61"/>
      <c r="E25" s="40"/>
      <c r="F25" s="40"/>
    </row>
    <row r="26" spans="1:17" ht="13.5" customHeight="1" x14ac:dyDescent="0.25">
      <c r="A26" s="21" t="s">
        <v>423</v>
      </c>
      <c r="B26" s="22"/>
      <c r="C26" s="22"/>
      <c r="D26" s="59"/>
      <c r="E26" s="41"/>
      <c r="F26" s="41"/>
      <c r="G26" s="22"/>
      <c r="H26" s="22"/>
      <c r="I26" s="22"/>
      <c r="J26" s="22"/>
      <c r="K26" s="24"/>
      <c r="M26" s="11" t="s">
        <v>308</v>
      </c>
    </row>
    <row r="27" spans="1:17" x14ac:dyDescent="0.25">
      <c r="A27" s="42"/>
      <c r="D27" s="61"/>
      <c r="E27" s="40"/>
      <c r="F27" s="40"/>
      <c r="K27" s="27"/>
    </row>
    <row r="28" spans="1:17" ht="15.95" customHeight="1" x14ac:dyDescent="0.25">
      <c r="A28" s="194" t="s">
        <v>34</v>
      </c>
      <c r="B28" s="195"/>
      <c r="C28" s="195"/>
      <c r="D28" s="213" t="s">
        <v>49</v>
      </c>
      <c r="E28" s="214"/>
      <c r="F28" s="197" t="s">
        <v>23</v>
      </c>
      <c r="G28" s="199"/>
      <c r="H28" s="28" t="s">
        <v>39</v>
      </c>
      <c r="I28" s="197" t="s">
        <v>38</v>
      </c>
      <c r="J28" s="199"/>
      <c r="K28" s="27"/>
    </row>
    <row r="29" spans="1:17" ht="25.5" customHeight="1" x14ac:dyDescent="0.25">
      <c r="A29" s="218" t="s">
        <v>352</v>
      </c>
      <c r="B29" s="218"/>
      <c r="C29" s="218"/>
      <c r="D29" s="55">
        <f>F29*'Dados Gerais'!E27</f>
        <v>1911.35</v>
      </c>
      <c r="E29" s="55" t="s">
        <v>58</v>
      </c>
      <c r="F29" s="48">
        <v>2.5</v>
      </c>
      <c r="G29" s="29" t="s">
        <v>265</v>
      </c>
      <c r="H29" s="79" t="s">
        <v>161</v>
      </c>
      <c r="I29" s="182">
        <f>320*D29</f>
        <v>611632</v>
      </c>
      <c r="J29" s="184"/>
      <c r="K29" s="27"/>
    </row>
    <row r="30" spans="1:17" ht="15.95" customHeight="1" x14ac:dyDescent="0.25">
      <c r="A30" s="215" t="s">
        <v>42</v>
      </c>
      <c r="B30" s="215"/>
      <c r="C30" s="215"/>
      <c r="D30" s="215"/>
      <c r="E30" s="215"/>
      <c r="F30" s="215"/>
      <c r="G30" s="215"/>
      <c r="H30" s="215"/>
      <c r="I30" s="212">
        <f>SUM(I29:J29)</f>
        <v>611632</v>
      </c>
      <c r="J30" s="212"/>
      <c r="K30" s="27"/>
    </row>
    <row r="31" spans="1:17" x14ac:dyDescent="0.25">
      <c r="A31" s="43"/>
      <c r="B31" s="37"/>
      <c r="C31" s="37"/>
      <c r="D31" s="45"/>
      <c r="E31" s="38"/>
      <c r="F31" s="44"/>
      <c r="G31" s="37"/>
      <c r="H31" s="37"/>
      <c r="I31" s="37"/>
      <c r="J31" s="37"/>
      <c r="K31" s="39"/>
    </row>
    <row r="32" spans="1:17" x14ac:dyDescent="0.25">
      <c r="A32" s="110"/>
      <c r="D32" s="61"/>
      <c r="E32" s="40"/>
      <c r="K32" s="27"/>
    </row>
    <row r="33" spans="1:13" ht="13.5" customHeight="1" x14ac:dyDescent="0.25">
      <c r="A33" s="21" t="s">
        <v>51</v>
      </c>
      <c r="B33" s="22"/>
      <c r="C33" s="22"/>
      <c r="D33" s="59"/>
      <c r="E33" s="41"/>
      <c r="F33" s="41"/>
      <c r="G33" s="22"/>
      <c r="H33" s="22"/>
      <c r="I33" s="22"/>
      <c r="J33" s="22"/>
      <c r="K33" s="24"/>
    </row>
    <row r="34" spans="1:13" x14ac:dyDescent="0.25">
      <c r="A34" s="42"/>
      <c r="D34" s="61"/>
      <c r="E34" s="40"/>
      <c r="F34" s="40"/>
      <c r="K34" s="27"/>
      <c r="M34" s="11" t="s">
        <v>352</v>
      </c>
    </row>
    <row r="35" spans="1:13" ht="15.95" customHeight="1" x14ac:dyDescent="0.25">
      <c r="A35" s="194" t="s">
        <v>34</v>
      </c>
      <c r="B35" s="195"/>
      <c r="C35" s="195"/>
      <c r="D35" s="213" t="s">
        <v>49</v>
      </c>
      <c r="E35" s="214"/>
      <c r="F35" s="197" t="s">
        <v>23</v>
      </c>
      <c r="G35" s="199"/>
      <c r="H35" s="28" t="s">
        <v>39</v>
      </c>
      <c r="I35" s="197" t="s">
        <v>38</v>
      </c>
      <c r="J35" s="199"/>
      <c r="K35" s="27"/>
    </row>
    <row r="36" spans="1:13" ht="25.5" customHeight="1" x14ac:dyDescent="0.25">
      <c r="A36" s="206" t="s">
        <v>55</v>
      </c>
      <c r="B36" s="206"/>
      <c r="C36" s="206"/>
      <c r="D36" s="55">
        <f>F36*'Dados Gerais'!E27</f>
        <v>382.27</v>
      </c>
      <c r="E36" s="70" t="s">
        <v>58</v>
      </c>
      <c r="F36" s="48">
        <v>0.5</v>
      </c>
      <c r="G36" s="29" t="s">
        <v>265</v>
      </c>
      <c r="H36" s="79" t="s">
        <v>161</v>
      </c>
      <c r="I36" s="216">
        <f>+ROUNDUP((D36*70),0)</f>
        <v>26759</v>
      </c>
      <c r="J36" s="216"/>
      <c r="K36" s="27"/>
    </row>
    <row r="37" spans="1:13" x14ac:dyDescent="0.25">
      <c r="A37" s="200" t="s">
        <v>56</v>
      </c>
      <c r="B37" s="200"/>
      <c r="C37" s="200"/>
      <c r="D37" s="62">
        <f>F37*D36</f>
        <v>76.453999999999994</v>
      </c>
      <c r="E37" s="70" t="s">
        <v>58</v>
      </c>
      <c r="F37" s="49">
        <v>0.2</v>
      </c>
      <c r="G37" s="32" t="s">
        <v>265</v>
      </c>
      <c r="H37" s="77" t="s">
        <v>161</v>
      </c>
      <c r="I37" s="182">
        <f>+ROUNDUP((D37*25),0)</f>
        <v>1912</v>
      </c>
      <c r="J37" s="184"/>
      <c r="K37" s="27"/>
    </row>
    <row r="38" spans="1:13" x14ac:dyDescent="0.25">
      <c r="A38" s="200" t="s">
        <v>52</v>
      </c>
      <c r="B38" s="200"/>
      <c r="C38" s="200"/>
      <c r="D38" s="101">
        <f>+Infraestrutura!D30*F38+D36-D37</f>
        <v>1310.8978836813485</v>
      </c>
      <c r="E38" s="70" t="s">
        <v>58</v>
      </c>
      <c r="F38" s="98">
        <v>1</v>
      </c>
      <c r="G38" s="36" t="s">
        <v>163</v>
      </c>
      <c r="H38" s="104" t="s">
        <v>161</v>
      </c>
      <c r="I38" s="185">
        <f>+D38*90</f>
        <v>117980.80953132137</v>
      </c>
      <c r="J38" s="187"/>
      <c r="K38" s="27"/>
    </row>
    <row r="39" spans="1:13" ht="15.95" customHeight="1" x14ac:dyDescent="0.25">
      <c r="A39" s="215" t="s">
        <v>42</v>
      </c>
      <c r="B39" s="215"/>
      <c r="C39" s="215"/>
      <c r="D39" s="215"/>
      <c r="E39" s="215"/>
      <c r="F39" s="215"/>
      <c r="G39" s="215"/>
      <c r="H39" s="215"/>
      <c r="I39" s="212">
        <f>SUM(I36:J38)</f>
        <v>146651.80953132137</v>
      </c>
      <c r="J39" s="212"/>
      <c r="K39" s="27"/>
    </row>
    <row r="40" spans="1:13" x14ac:dyDescent="0.25">
      <c r="A40" s="43"/>
      <c r="B40" s="37"/>
      <c r="C40" s="37"/>
      <c r="D40" s="45"/>
      <c r="E40" s="38"/>
      <c r="F40" s="44"/>
      <c r="G40" s="37"/>
      <c r="H40" s="37"/>
      <c r="I40" s="37"/>
      <c r="J40" s="37"/>
      <c r="K40" s="39"/>
    </row>
    <row r="42" spans="1:13" x14ac:dyDescent="0.25">
      <c r="A42" s="21" t="s">
        <v>268</v>
      </c>
      <c r="B42" s="22"/>
      <c r="C42" s="22"/>
      <c r="D42" s="59"/>
      <c r="E42" s="41"/>
      <c r="F42" s="41"/>
      <c r="G42" s="22"/>
      <c r="H42" s="22"/>
      <c r="I42" s="22"/>
      <c r="J42" s="22"/>
      <c r="K42" s="24"/>
    </row>
    <row r="43" spans="1:13" x14ac:dyDescent="0.25">
      <c r="A43" s="42"/>
      <c r="D43" s="61"/>
      <c r="E43" s="40"/>
      <c r="F43" s="40"/>
      <c r="K43" s="27"/>
    </row>
    <row r="44" spans="1:13" x14ac:dyDescent="0.25">
      <c r="A44" s="194" t="s">
        <v>34</v>
      </c>
      <c r="B44" s="195"/>
      <c r="C44" s="195"/>
      <c r="D44" s="213" t="s">
        <v>49</v>
      </c>
      <c r="E44" s="214"/>
      <c r="F44" s="197" t="s">
        <v>23</v>
      </c>
      <c r="G44" s="199"/>
      <c r="H44" s="28" t="s">
        <v>39</v>
      </c>
      <c r="I44" s="197" t="s">
        <v>38</v>
      </c>
      <c r="J44" s="199"/>
      <c r="K44" s="27"/>
    </row>
    <row r="45" spans="1:13" ht="30.75" customHeight="1" x14ac:dyDescent="0.25">
      <c r="A45" s="206" t="s">
        <v>59</v>
      </c>
      <c r="B45" s="206"/>
      <c r="C45" s="206"/>
      <c r="D45" s="62">
        <f>F45*'Dados Gerais'!E27</f>
        <v>382.27</v>
      </c>
      <c r="E45" s="64" t="s">
        <v>17</v>
      </c>
      <c r="F45" s="49">
        <v>0.5</v>
      </c>
      <c r="G45" s="32" t="s">
        <v>286</v>
      </c>
      <c r="H45" s="79" t="s">
        <v>161</v>
      </c>
      <c r="I45" s="185">
        <f>ROUNDUP((D45*8),0)</f>
        <v>3059</v>
      </c>
      <c r="J45" s="219"/>
      <c r="K45" s="27"/>
    </row>
    <row r="46" spans="1:13" ht="15.95" customHeight="1" x14ac:dyDescent="0.25">
      <c r="A46" s="215" t="s">
        <v>42</v>
      </c>
      <c r="B46" s="215"/>
      <c r="C46" s="215"/>
      <c r="D46" s="215"/>
      <c r="E46" s="215"/>
      <c r="F46" s="215"/>
      <c r="G46" s="215"/>
      <c r="H46" s="215"/>
      <c r="I46" s="212">
        <f>SUM(I45:J45)</f>
        <v>3059</v>
      </c>
      <c r="J46" s="212"/>
      <c r="K46" s="27"/>
    </row>
    <row r="47" spans="1:13" x14ac:dyDescent="0.25">
      <c r="A47" s="43"/>
      <c r="B47" s="37"/>
      <c r="C47" s="37"/>
      <c r="D47" s="45"/>
      <c r="E47" s="38"/>
      <c r="F47" s="44"/>
      <c r="G47" s="37"/>
      <c r="H47" s="37"/>
      <c r="I47" s="37"/>
      <c r="J47" s="37"/>
      <c r="K47" s="39"/>
    </row>
    <row r="49" spans="1:12" x14ac:dyDescent="0.25">
      <c r="A49" s="215" t="s">
        <v>290</v>
      </c>
      <c r="B49" s="215"/>
      <c r="C49" s="215"/>
      <c r="D49" s="215"/>
      <c r="E49" s="215"/>
      <c r="F49" s="215"/>
      <c r="G49" s="215"/>
      <c r="H49" s="215"/>
      <c r="I49" s="191">
        <f>I23+I30+I39+I46</f>
        <v>791924.40953132138</v>
      </c>
      <c r="J49" s="193"/>
      <c r="K49" s="217">
        <f>I49/'Dados Gerais'!E15</f>
        <v>47.341729891523364</v>
      </c>
      <c r="L49" s="217"/>
    </row>
  </sheetData>
  <mergeCells count="56">
    <mergeCell ref="A49:H49"/>
    <mergeCell ref="I49:J49"/>
    <mergeCell ref="K49:L49"/>
    <mergeCell ref="I30:J30"/>
    <mergeCell ref="I28:J28"/>
    <mergeCell ref="A29:C29"/>
    <mergeCell ref="I29:J29"/>
    <mergeCell ref="D35:E35"/>
    <mergeCell ref="D44:E44"/>
    <mergeCell ref="I46:J46"/>
    <mergeCell ref="I44:J44"/>
    <mergeCell ref="I45:J45"/>
    <mergeCell ref="I37:J37"/>
    <mergeCell ref="I38:J38"/>
    <mergeCell ref="F44:G44"/>
    <mergeCell ref="A46:H46"/>
    <mergeCell ref="A17:H17"/>
    <mergeCell ref="A16:H16"/>
    <mergeCell ref="A21:C21"/>
    <mergeCell ref="A14:C14"/>
    <mergeCell ref="A28:C28"/>
    <mergeCell ref="D28:E28"/>
    <mergeCell ref="F28:G28"/>
    <mergeCell ref="A44:C44"/>
    <mergeCell ref="A45:C45"/>
    <mergeCell ref="A37:C37"/>
    <mergeCell ref="A38:C38"/>
    <mergeCell ref="A35:C35"/>
    <mergeCell ref="A39:H39"/>
    <mergeCell ref="I39:J39"/>
    <mergeCell ref="F21:G21"/>
    <mergeCell ref="I21:J21"/>
    <mergeCell ref="A22:C22"/>
    <mergeCell ref="I22:J22"/>
    <mergeCell ref="A23:H23"/>
    <mergeCell ref="I23:J23"/>
    <mergeCell ref="A24:H24"/>
    <mergeCell ref="D21:E21"/>
    <mergeCell ref="A36:C36"/>
    <mergeCell ref="I36:J36"/>
    <mergeCell ref="I35:J35"/>
    <mergeCell ref="A30:H30"/>
    <mergeCell ref="F35:G35"/>
    <mergeCell ref="A2:K4"/>
    <mergeCell ref="B7:K7"/>
    <mergeCell ref="B8:K8"/>
    <mergeCell ref="B10:F10"/>
    <mergeCell ref="J10:K10"/>
    <mergeCell ref="B9:F9"/>
    <mergeCell ref="J9:K9"/>
    <mergeCell ref="I14:J14"/>
    <mergeCell ref="I15:J15"/>
    <mergeCell ref="A15:C15"/>
    <mergeCell ref="I16:J16"/>
    <mergeCell ref="D14:E14"/>
    <mergeCell ref="F14:G14"/>
  </mergeCells>
  <dataValidations disablePrompts="1" count="1">
    <dataValidation type="list" allowBlank="1" showInputMessage="1" showErrorMessage="1" sqref="J10" xr:uid="{7810B8CE-9AC6-445E-94FB-E9D741DB8DE9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C66"/>
  </sheetPr>
  <dimension ref="A1:N45"/>
  <sheetViews>
    <sheetView showGridLines="0" topLeftCell="A26" zoomScale="115" zoomScaleNormal="115" zoomScaleSheetLayoutView="95" workbookViewId="0">
      <selection activeCell="F30" sqref="F3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3" style="63" customWidth="1"/>
    <col min="5" max="5" width="7.5703125" style="69" customWidth="1"/>
    <col min="6" max="6" width="10.7109375" style="18" customWidth="1"/>
    <col min="7" max="7" width="13.28515625" style="11" customWidth="1"/>
    <col min="8" max="8" width="12.85546875" style="11" customWidth="1"/>
    <col min="9" max="9" width="15.140625" style="11" customWidth="1"/>
    <col min="10" max="10" width="7.28515625" style="11" bestFit="1" customWidth="1"/>
    <col min="11" max="11" width="11.28515625" style="11" customWidth="1"/>
    <col min="12" max="13" width="9.140625" style="11"/>
    <col min="14" max="14" width="10.42578125" style="11" bestFit="1" customWidth="1"/>
    <col min="15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70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ht="14.1" customHeight="1" x14ac:dyDescent="0.25">
      <c r="A12" s="21" t="s">
        <v>67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4.1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95" customHeight="1" x14ac:dyDescent="0.25">
      <c r="A15" s="206" t="s">
        <v>443</v>
      </c>
      <c r="B15" s="206"/>
      <c r="C15" s="206"/>
      <c r="D15" s="54">
        <f>ROUNDUP((F15*'Dados Gerais'!E27/2),0)</f>
        <v>85</v>
      </c>
      <c r="E15" s="55" t="s">
        <v>18</v>
      </c>
      <c r="F15" s="48">
        <v>0.22</v>
      </c>
      <c r="G15" s="29" t="s">
        <v>178</v>
      </c>
      <c r="H15" s="30" t="s">
        <v>161</v>
      </c>
      <c r="I15" s="201">
        <v>0</v>
      </c>
      <c r="J15" s="203"/>
      <c r="K15" s="31"/>
    </row>
    <row r="16" spans="1:13" ht="15.95" customHeight="1" x14ac:dyDescent="0.25">
      <c r="A16" s="179" t="s">
        <v>339</v>
      </c>
      <c r="B16" s="180"/>
      <c r="C16" s="181"/>
      <c r="D16" s="94">
        <f>ROUNDUP(($D$15*(F16/100)),0)</f>
        <v>11</v>
      </c>
      <c r="E16" s="76" t="s">
        <v>18</v>
      </c>
      <c r="F16" s="51">
        <v>12</v>
      </c>
      <c r="G16" s="52" t="s">
        <v>121</v>
      </c>
      <c r="H16" s="53" t="s">
        <v>161</v>
      </c>
      <c r="I16" s="182">
        <v>0</v>
      </c>
      <c r="J16" s="184"/>
      <c r="K16" s="31"/>
    </row>
    <row r="17" spans="1:14" ht="15.95" customHeight="1" x14ac:dyDescent="0.25">
      <c r="A17" s="179" t="s">
        <v>339</v>
      </c>
      <c r="B17" s="180"/>
      <c r="C17" s="181"/>
      <c r="D17" s="94">
        <f>ROUNDUP((F17*D16),0)</f>
        <v>330</v>
      </c>
      <c r="E17" s="76" t="s">
        <v>19</v>
      </c>
      <c r="F17" s="51">
        <v>30</v>
      </c>
      <c r="G17" s="52" t="s">
        <v>162</v>
      </c>
      <c r="H17" s="53" t="s">
        <v>161</v>
      </c>
      <c r="I17" s="220">
        <f>+ROUNDUP((D17*800),0)</f>
        <v>264000</v>
      </c>
      <c r="J17" s="221"/>
      <c r="K17" s="31"/>
    </row>
    <row r="18" spans="1:14" ht="15.95" customHeight="1" x14ac:dyDescent="0.25">
      <c r="A18" s="179" t="s">
        <v>340</v>
      </c>
      <c r="B18" s="180"/>
      <c r="C18" s="181"/>
      <c r="D18" s="94">
        <f>ROUNDUP(($D$15*(F18/100)),0)</f>
        <v>15</v>
      </c>
      <c r="E18" s="76" t="s">
        <v>18</v>
      </c>
      <c r="F18" s="49">
        <v>17</v>
      </c>
      <c r="G18" s="32" t="s">
        <v>121</v>
      </c>
      <c r="H18" s="33" t="s">
        <v>161</v>
      </c>
      <c r="I18" s="182">
        <v>0</v>
      </c>
      <c r="J18" s="184"/>
      <c r="K18" s="31"/>
    </row>
    <row r="19" spans="1:14" ht="15.95" customHeight="1" x14ac:dyDescent="0.25">
      <c r="A19" s="179" t="s">
        <v>340</v>
      </c>
      <c r="B19" s="180"/>
      <c r="C19" s="181"/>
      <c r="D19" s="94">
        <f>ROUNDUP((F19*D18),0)</f>
        <v>450</v>
      </c>
      <c r="E19" s="62" t="s">
        <v>19</v>
      </c>
      <c r="F19" s="51">
        <v>30</v>
      </c>
      <c r="G19" s="52" t="s">
        <v>162</v>
      </c>
      <c r="H19" s="33" t="s">
        <v>161</v>
      </c>
      <c r="I19" s="220">
        <f>+ROUNDUP((D19*800),0)</f>
        <v>360000</v>
      </c>
      <c r="J19" s="221"/>
      <c r="K19" s="31"/>
    </row>
    <row r="20" spans="1:14" ht="15.95" customHeight="1" x14ac:dyDescent="0.25">
      <c r="A20" s="179" t="s">
        <v>307</v>
      </c>
      <c r="B20" s="180"/>
      <c r="C20" s="181"/>
      <c r="D20" s="94">
        <f>ROUNDUP(($D$15*(F20/100)),0)</f>
        <v>61</v>
      </c>
      <c r="E20" s="76" t="s">
        <v>18</v>
      </c>
      <c r="F20" s="49">
        <v>71</v>
      </c>
      <c r="G20" s="32" t="s">
        <v>121</v>
      </c>
      <c r="H20" s="33" t="s">
        <v>161</v>
      </c>
      <c r="I20" s="182">
        <v>0</v>
      </c>
      <c r="J20" s="184"/>
      <c r="K20" s="31"/>
    </row>
    <row r="21" spans="1:14" ht="15.95" customHeight="1" x14ac:dyDescent="0.25">
      <c r="A21" s="179" t="s">
        <v>307</v>
      </c>
      <c r="B21" s="180"/>
      <c r="C21" s="181"/>
      <c r="D21" s="94">
        <f>ROUNDUP((F21*D20),0)</f>
        <v>1830</v>
      </c>
      <c r="E21" s="62" t="s">
        <v>19</v>
      </c>
      <c r="F21" s="51">
        <v>30</v>
      </c>
      <c r="G21" s="52" t="s">
        <v>162</v>
      </c>
      <c r="H21" s="33" t="s">
        <v>161</v>
      </c>
      <c r="I21" s="182">
        <f>+ROUNDUP((D21*800),0)</f>
        <v>1464000</v>
      </c>
      <c r="J21" s="184"/>
      <c r="K21" s="31"/>
    </row>
    <row r="22" spans="1:14" ht="15.95" customHeight="1" x14ac:dyDescent="0.25">
      <c r="A22" s="206" t="s">
        <v>444</v>
      </c>
      <c r="B22" s="206"/>
      <c r="C22" s="206"/>
      <c r="D22" s="54">
        <f>D15</f>
        <v>85</v>
      </c>
      <c r="E22" s="55" t="s">
        <v>18</v>
      </c>
      <c r="F22" s="48">
        <v>0.22</v>
      </c>
      <c r="G22" s="29" t="s">
        <v>178</v>
      </c>
      <c r="H22" s="30" t="s">
        <v>161</v>
      </c>
      <c r="I22" s="201">
        <v>0</v>
      </c>
      <c r="J22" s="203"/>
      <c r="K22" s="31"/>
    </row>
    <row r="23" spans="1:14" ht="15.95" customHeight="1" x14ac:dyDescent="0.25">
      <c r="A23" s="179" t="s">
        <v>441</v>
      </c>
      <c r="B23" s="180"/>
      <c r="C23" s="181"/>
      <c r="D23" s="94">
        <f>ROUNDUP(($D$22*(F23/100)),0)</f>
        <v>11</v>
      </c>
      <c r="E23" s="76" t="s">
        <v>18</v>
      </c>
      <c r="F23" s="51">
        <v>12</v>
      </c>
      <c r="G23" s="52" t="s">
        <v>121</v>
      </c>
      <c r="H23" s="53" t="s">
        <v>161</v>
      </c>
      <c r="I23" s="182">
        <v>0</v>
      </c>
      <c r="J23" s="184"/>
      <c r="K23" s="31"/>
    </row>
    <row r="24" spans="1:14" ht="15.95" customHeight="1" x14ac:dyDescent="0.25">
      <c r="A24" s="179" t="s">
        <v>441</v>
      </c>
      <c r="B24" s="180"/>
      <c r="C24" s="181"/>
      <c r="D24" s="94">
        <f>ROUNDUP((F24*D23),0)</f>
        <v>330</v>
      </c>
      <c r="E24" s="76" t="s">
        <v>19</v>
      </c>
      <c r="F24" s="51">
        <v>30</v>
      </c>
      <c r="G24" s="52" t="s">
        <v>162</v>
      </c>
      <c r="H24" s="53" t="s">
        <v>161</v>
      </c>
      <c r="I24" s="220">
        <f>+ROUNDUP((D24*75),0)</f>
        <v>24750</v>
      </c>
      <c r="J24" s="221"/>
      <c r="K24" s="31"/>
    </row>
    <row r="25" spans="1:14" ht="15.95" customHeight="1" x14ac:dyDescent="0.25">
      <c r="A25" s="179" t="s">
        <v>442</v>
      </c>
      <c r="B25" s="180"/>
      <c r="C25" s="181"/>
      <c r="D25" s="94">
        <f>ROUNDUP(($D$22*(F25/100)),0)</f>
        <v>15</v>
      </c>
      <c r="E25" s="76" t="s">
        <v>18</v>
      </c>
      <c r="F25" s="49">
        <v>17</v>
      </c>
      <c r="G25" s="32" t="s">
        <v>121</v>
      </c>
      <c r="H25" s="33" t="s">
        <v>161</v>
      </c>
      <c r="I25" s="182">
        <v>0</v>
      </c>
      <c r="J25" s="184"/>
      <c r="K25" s="31"/>
    </row>
    <row r="26" spans="1:14" ht="15.95" customHeight="1" x14ac:dyDescent="0.25">
      <c r="A26" s="179" t="s">
        <v>442</v>
      </c>
      <c r="B26" s="180"/>
      <c r="C26" s="181"/>
      <c r="D26" s="94">
        <f>ROUNDUP((F26*D25),0)</f>
        <v>450</v>
      </c>
      <c r="E26" s="62" t="s">
        <v>19</v>
      </c>
      <c r="F26" s="51">
        <v>30</v>
      </c>
      <c r="G26" s="52" t="s">
        <v>162</v>
      </c>
      <c r="H26" s="33" t="s">
        <v>161</v>
      </c>
      <c r="I26" s="220">
        <f>+ROUNDUP((D26*80),0)</f>
        <v>36000</v>
      </c>
      <c r="J26" s="221"/>
      <c r="K26" s="31"/>
    </row>
    <row r="27" spans="1:14" ht="15.95" customHeight="1" x14ac:dyDescent="0.25">
      <c r="A27" s="179" t="s">
        <v>445</v>
      </c>
      <c r="B27" s="180"/>
      <c r="C27" s="181"/>
      <c r="D27" s="94">
        <f>ROUNDUP(($D$22*(F27/100)),0)</f>
        <v>15</v>
      </c>
      <c r="E27" s="76" t="s">
        <v>18</v>
      </c>
      <c r="F27" s="49">
        <v>17</v>
      </c>
      <c r="G27" s="32" t="s">
        <v>121</v>
      </c>
      <c r="H27" s="33" t="s">
        <v>161</v>
      </c>
      <c r="I27" s="182">
        <v>0</v>
      </c>
      <c r="J27" s="184"/>
      <c r="K27" s="31"/>
    </row>
    <row r="28" spans="1:14" ht="15.95" customHeight="1" x14ac:dyDescent="0.25">
      <c r="A28" s="179" t="s">
        <v>445</v>
      </c>
      <c r="B28" s="180"/>
      <c r="C28" s="181"/>
      <c r="D28" s="94">
        <f>ROUNDUP((F28*D27),0)</f>
        <v>450</v>
      </c>
      <c r="E28" s="62" t="s">
        <v>19</v>
      </c>
      <c r="F28" s="51">
        <v>30</v>
      </c>
      <c r="G28" s="52" t="s">
        <v>162</v>
      </c>
      <c r="H28" s="33" t="s">
        <v>161</v>
      </c>
      <c r="I28" s="220">
        <f>+ROUNDUP((D28*90),0)</f>
        <v>40500</v>
      </c>
      <c r="J28" s="221"/>
      <c r="K28" s="31"/>
    </row>
    <row r="29" spans="1:14" ht="15.95" customHeight="1" x14ac:dyDescent="0.25">
      <c r="A29" s="200" t="s">
        <v>60</v>
      </c>
      <c r="B29" s="200"/>
      <c r="C29" s="200"/>
      <c r="D29" s="99">
        <f>ROUNDUP(((D30)*F29),0)</f>
        <v>24555</v>
      </c>
      <c r="E29" s="62" t="s">
        <v>64</v>
      </c>
      <c r="F29" s="49">
        <v>24.43</v>
      </c>
      <c r="G29" s="32" t="s">
        <v>120</v>
      </c>
      <c r="H29" s="33" t="s">
        <v>161</v>
      </c>
      <c r="I29" s="182">
        <f>+ROUNDUP((D29*8),0)</f>
        <v>196440</v>
      </c>
      <c r="J29" s="184"/>
      <c r="K29" s="31"/>
    </row>
    <row r="30" spans="1:14" ht="15.95" customHeight="1" x14ac:dyDescent="0.25">
      <c r="A30" s="200" t="s">
        <v>61</v>
      </c>
      <c r="B30" s="200"/>
      <c r="C30" s="200"/>
      <c r="D30" s="100">
        <f>(PI()*((0.4^2)/4)*D17+PI()*((0.45^2)/4)*D19+PI()*((0.5^2)/4)*D21)*1.2+(PI()*((0.5^2)/4)*D24+PI()*((0.6^2)/4)*D26+PI()*((0.7^2)/4)*D28)*1.2</f>
        <v>1005.0818836813485</v>
      </c>
      <c r="E30" s="62" t="s">
        <v>58</v>
      </c>
      <c r="F30" s="115">
        <f>580+45</f>
        <v>625</v>
      </c>
      <c r="G30" s="32" t="s">
        <v>48</v>
      </c>
      <c r="H30" s="33" t="s">
        <v>161</v>
      </c>
      <c r="I30" s="182">
        <f>+ROUNDUP((D30*F30),0)*1.2</f>
        <v>753812.4</v>
      </c>
      <c r="J30" s="184"/>
      <c r="K30" s="31"/>
      <c r="M30" s="81"/>
    </row>
    <row r="31" spans="1:14" ht="15.95" customHeight="1" x14ac:dyDescent="0.25">
      <c r="A31" s="215" t="s">
        <v>42</v>
      </c>
      <c r="B31" s="215"/>
      <c r="C31" s="215"/>
      <c r="D31" s="215"/>
      <c r="E31" s="215"/>
      <c r="F31" s="215"/>
      <c r="G31" s="215"/>
      <c r="H31" s="215"/>
      <c r="I31" s="212">
        <f>SUM(I15:J30)</f>
        <v>3139502.4</v>
      </c>
      <c r="J31" s="212"/>
      <c r="K31" s="35"/>
      <c r="N31" s="63">
        <f>I31/'Dados Gerais'!E15</f>
        <v>187.68139083192497</v>
      </c>
    </row>
    <row r="32" spans="1:14" ht="15" customHeight="1" x14ac:dyDescent="0.25">
      <c r="A32" s="222"/>
      <c r="B32" s="178"/>
      <c r="C32" s="178"/>
      <c r="D32" s="178"/>
      <c r="E32" s="178"/>
      <c r="F32" s="178"/>
      <c r="G32" s="178"/>
      <c r="H32" s="178"/>
      <c r="I32" s="37"/>
      <c r="J32" s="37"/>
      <c r="K32" s="39"/>
    </row>
    <row r="33" spans="1:14" x14ac:dyDescent="0.25">
      <c r="D33" s="61"/>
      <c r="E33" s="40"/>
      <c r="F33" s="40"/>
    </row>
    <row r="34" spans="1:14" x14ac:dyDescent="0.25">
      <c r="A34" s="21" t="s">
        <v>68</v>
      </c>
      <c r="B34" s="22"/>
      <c r="C34" s="22"/>
      <c r="D34" s="59"/>
      <c r="E34" s="41"/>
      <c r="F34" s="23"/>
      <c r="G34" s="22"/>
      <c r="H34" s="22"/>
      <c r="I34" s="22"/>
      <c r="J34" s="22"/>
      <c r="K34" s="24"/>
    </row>
    <row r="35" spans="1:14" ht="15.95" customHeight="1" x14ac:dyDescent="0.25">
      <c r="A35" s="25"/>
      <c r="B35" s="26"/>
      <c r="C35" s="26"/>
      <c r="D35" s="60"/>
      <c r="E35" s="68"/>
      <c r="F35" s="26"/>
      <c r="G35" s="26"/>
      <c r="H35" s="26"/>
      <c r="K35" s="27"/>
    </row>
    <row r="36" spans="1:14" ht="15.95" customHeight="1" x14ac:dyDescent="0.25">
      <c r="A36" s="194" t="s">
        <v>34</v>
      </c>
      <c r="B36" s="195"/>
      <c r="C36" s="195"/>
      <c r="D36" s="213" t="s">
        <v>49</v>
      </c>
      <c r="E36" s="214"/>
      <c r="F36" s="197" t="s">
        <v>23</v>
      </c>
      <c r="G36" s="199"/>
      <c r="H36" s="28" t="s">
        <v>39</v>
      </c>
      <c r="I36" s="197" t="s">
        <v>38</v>
      </c>
      <c r="J36" s="199"/>
      <c r="K36" s="27"/>
    </row>
    <row r="37" spans="1:14" ht="30.75" customHeight="1" x14ac:dyDescent="0.25">
      <c r="A37" s="206" t="s">
        <v>69</v>
      </c>
      <c r="B37" s="206"/>
      <c r="C37" s="206"/>
      <c r="D37" s="72">
        <f>'Dados Gerais'!E27*Infraestrutura!F37</f>
        <v>573.40499999999997</v>
      </c>
      <c r="E37" s="55" t="s">
        <v>17</v>
      </c>
      <c r="F37" s="48">
        <v>0.75</v>
      </c>
      <c r="G37" s="29" t="s">
        <v>160</v>
      </c>
      <c r="H37" s="77" t="s">
        <v>161</v>
      </c>
      <c r="I37" s="201">
        <f>+D37*33.7</f>
        <v>19323.748500000002</v>
      </c>
      <c r="J37" s="203"/>
      <c r="K37" s="31"/>
    </row>
    <row r="38" spans="1:14" x14ac:dyDescent="0.25">
      <c r="A38" s="200" t="s">
        <v>60</v>
      </c>
      <c r="B38" s="200"/>
      <c r="C38" s="200"/>
      <c r="D38" s="73">
        <f>D39*F38</f>
        <v>30581.599999999999</v>
      </c>
      <c r="E38" s="62" t="s">
        <v>64</v>
      </c>
      <c r="F38" s="49">
        <v>80</v>
      </c>
      <c r="G38" s="32" t="s">
        <v>120</v>
      </c>
      <c r="H38" s="77" t="s">
        <v>161</v>
      </c>
      <c r="I38" s="182">
        <f>+D38*8</f>
        <v>244652.79999999999</v>
      </c>
      <c r="J38" s="184"/>
      <c r="K38" s="31"/>
      <c r="L38" s="81"/>
    </row>
    <row r="39" spans="1:14" x14ac:dyDescent="0.25">
      <c r="A39" s="200" t="s">
        <v>61</v>
      </c>
      <c r="B39" s="200"/>
      <c r="C39" s="200"/>
      <c r="D39" s="73">
        <f>F39*'Dados Gerais'!E27</f>
        <v>382.27</v>
      </c>
      <c r="E39" s="62" t="s">
        <v>58</v>
      </c>
      <c r="F39" s="49">
        <v>0.5</v>
      </c>
      <c r="G39" s="32" t="s">
        <v>57</v>
      </c>
      <c r="H39" s="77" t="s">
        <v>161</v>
      </c>
      <c r="I39" s="182">
        <f>+D39*(580+45)*1.05</f>
        <v>250864.6875</v>
      </c>
      <c r="J39" s="184"/>
      <c r="K39" s="31"/>
    </row>
    <row r="40" spans="1:14" ht="12.75" customHeight="1" x14ac:dyDescent="0.25">
      <c r="A40" s="200" t="s">
        <v>431</v>
      </c>
      <c r="B40" s="200"/>
      <c r="C40" s="200"/>
      <c r="D40" s="73">
        <f>'Dados Gerais'!E27</f>
        <v>764.54</v>
      </c>
      <c r="E40" s="62" t="s">
        <v>17</v>
      </c>
      <c r="F40" s="49">
        <v>350</v>
      </c>
      <c r="G40" s="32" t="s">
        <v>66</v>
      </c>
      <c r="H40" s="77" t="s">
        <v>161</v>
      </c>
      <c r="I40" s="182">
        <f>F40*D40</f>
        <v>267589</v>
      </c>
      <c r="J40" s="184"/>
      <c r="K40" s="31"/>
    </row>
    <row r="41" spans="1:14" x14ac:dyDescent="0.25">
      <c r="A41" s="200" t="s">
        <v>62</v>
      </c>
      <c r="B41" s="200"/>
      <c r="C41" s="200"/>
      <c r="D41" s="74">
        <f>D37</f>
        <v>573.40499999999997</v>
      </c>
      <c r="E41" s="62" t="s">
        <v>17</v>
      </c>
      <c r="F41" s="49">
        <v>200</v>
      </c>
      <c r="G41" s="32" t="s">
        <v>37</v>
      </c>
      <c r="H41" s="33" t="s">
        <v>161</v>
      </c>
      <c r="I41" s="185">
        <f>+D41*F41</f>
        <v>114681</v>
      </c>
      <c r="J41" s="187"/>
      <c r="K41" s="31"/>
    </row>
    <row r="42" spans="1:14" ht="15.95" customHeight="1" x14ac:dyDescent="0.25">
      <c r="A42" s="215" t="s">
        <v>42</v>
      </c>
      <c r="B42" s="215"/>
      <c r="C42" s="215"/>
      <c r="D42" s="215"/>
      <c r="E42" s="215"/>
      <c r="F42" s="215"/>
      <c r="G42" s="215"/>
      <c r="H42" s="215"/>
      <c r="I42" s="212">
        <f>SUM(I37:J41)</f>
        <v>897111.23600000003</v>
      </c>
      <c r="J42" s="212"/>
      <c r="K42" s="35"/>
    </row>
    <row r="43" spans="1:14" ht="15.95" customHeight="1" x14ac:dyDescent="0.25">
      <c r="A43" s="177"/>
      <c r="B43" s="178"/>
      <c r="C43" s="178"/>
      <c r="D43" s="178"/>
      <c r="E43" s="178"/>
      <c r="F43" s="178"/>
      <c r="G43" s="178"/>
      <c r="H43" s="178"/>
      <c r="I43" s="37"/>
      <c r="J43" s="37"/>
      <c r="K43" s="39"/>
      <c r="N43" s="63"/>
    </row>
    <row r="44" spans="1:14" x14ac:dyDescent="0.25">
      <c r="D44" s="61"/>
      <c r="E44" s="40"/>
      <c r="F44" s="40"/>
    </row>
    <row r="45" spans="1:14" x14ac:dyDescent="0.25">
      <c r="A45" s="215" t="s">
        <v>291</v>
      </c>
      <c r="B45" s="215"/>
      <c r="C45" s="215"/>
      <c r="D45" s="215"/>
      <c r="E45" s="215"/>
      <c r="F45" s="215"/>
      <c r="G45" s="215"/>
      <c r="H45" s="215"/>
      <c r="I45" s="212">
        <f>I31+I42</f>
        <v>4036613.6359999999</v>
      </c>
      <c r="J45" s="212"/>
      <c r="K45" s="217">
        <f>I45/'Dados Gerais'!E15</f>
        <v>241.31125411963174</v>
      </c>
      <c r="L45" s="217"/>
    </row>
  </sheetData>
  <mergeCells count="66">
    <mergeCell ref="A45:H45"/>
    <mergeCell ref="I45:J45"/>
    <mergeCell ref="K45:L45"/>
    <mergeCell ref="I16:J16"/>
    <mergeCell ref="A16:C16"/>
    <mergeCell ref="A18:C18"/>
    <mergeCell ref="I18:J18"/>
    <mergeCell ref="A17:C17"/>
    <mergeCell ref="I17:J17"/>
    <mergeCell ref="A37:C37"/>
    <mergeCell ref="I37:J37"/>
    <mergeCell ref="A42:H42"/>
    <mergeCell ref="I42:J42"/>
    <mergeCell ref="A43:H43"/>
    <mergeCell ref="I39:J39"/>
    <mergeCell ref="I38:J38"/>
    <mergeCell ref="A38:C38"/>
    <mergeCell ref="A39:C39"/>
    <mergeCell ref="A41:C41"/>
    <mergeCell ref="I41:J41"/>
    <mergeCell ref="A31:H31"/>
    <mergeCell ref="I31:J31"/>
    <mergeCell ref="A32:H32"/>
    <mergeCell ref="A36:C36"/>
    <mergeCell ref="D36:E36"/>
    <mergeCell ref="F36:G36"/>
    <mergeCell ref="I36:J36"/>
    <mergeCell ref="A40:C40"/>
    <mergeCell ref="I40:J40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J9:K9"/>
    <mergeCell ref="B9:F9"/>
    <mergeCell ref="A19:C19"/>
    <mergeCell ref="I19:J19"/>
    <mergeCell ref="I21:J21"/>
    <mergeCell ref="I20:J20"/>
    <mergeCell ref="A21:C21"/>
    <mergeCell ref="A20:C20"/>
    <mergeCell ref="A28:C28"/>
    <mergeCell ref="I28:J28"/>
    <mergeCell ref="A29:C29"/>
    <mergeCell ref="I29:J29"/>
    <mergeCell ref="A30:C30"/>
    <mergeCell ref="I30:J30"/>
    <mergeCell ref="A22:C22"/>
    <mergeCell ref="I22:J22"/>
    <mergeCell ref="A26:C26"/>
    <mergeCell ref="I26:J26"/>
    <mergeCell ref="A27:C27"/>
    <mergeCell ref="I27:J27"/>
    <mergeCell ref="A23:C23"/>
    <mergeCell ref="I23:J23"/>
    <mergeCell ref="A24:C24"/>
    <mergeCell ref="I24:J24"/>
    <mergeCell ref="A25:C25"/>
    <mergeCell ref="I25:J25"/>
  </mergeCells>
  <dataValidations disablePrompts="1" count="1">
    <dataValidation type="list" allowBlank="1" showInputMessage="1" showErrorMessage="1" sqref="J10" xr:uid="{7C769374-451A-40D7-A5F4-04784B3FD083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C66"/>
  </sheetPr>
  <dimension ref="A1:M35"/>
  <sheetViews>
    <sheetView showGridLines="0" topLeftCell="A16" zoomScale="120" zoomScaleNormal="120" zoomScaleSheetLayoutView="95" workbookViewId="0">
      <selection activeCell="F19" sqref="F19"/>
    </sheetView>
  </sheetViews>
  <sheetFormatPr defaultColWidth="9.140625" defaultRowHeight="12.75" x14ac:dyDescent="0.25"/>
  <cols>
    <col min="1" max="1" width="17.42578125" style="11" customWidth="1"/>
    <col min="2" max="2" width="11.28515625" style="11" customWidth="1"/>
    <col min="3" max="3" width="8.85546875" style="11" customWidth="1"/>
    <col min="4" max="4" width="15.5703125" style="63" customWidth="1"/>
    <col min="5" max="5" width="7.5703125" style="69" customWidth="1"/>
    <col min="6" max="6" width="13" style="18" customWidth="1"/>
    <col min="7" max="7" width="13.28515625" style="11" customWidth="1"/>
    <col min="8" max="8" width="12.85546875" style="11" customWidth="1"/>
    <col min="9" max="9" width="9.28515625" style="11" customWidth="1"/>
    <col min="10" max="10" width="9.28515625" style="11" bestFit="1" customWidth="1"/>
    <col min="11" max="11" width="14.140625" style="11" bestFit="1" customWidth="1"/>
    <col min="12" max="12" width="11.5703125" style="11" bestFit="1" customWidth="1"/>
    <col min="13" max="14" width="9.140625" style="11"/>
    <col min="15" max="15" width="11.28515625" style="11" bestFit="1" customWidth="1"/>
    <col min="16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L1" s="12"/>
    </row>
    <row r="2" spans="1:13" x14ac:dyDescent="0.25">
      <c r="A2" s="154" t="s">
        <v>71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L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L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L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L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x14ac:dyDescent="0.25">
      <c r="A12" s="21" t="s">
        <v>72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75" customHeight="1" x14ac:dyDescent="0.25">
      <c r="A15" s="206" t="s">
        <v>73</v>
      </c>
      <c r="B15" s="206"/>
      <c r="C15" s="206"/>
      <c r="D15" s="72">
        <f>+D16*F15/100</f>
        <v>12545.872500000003</v>
      </c>
      <c r="E15" s="55" t="s">
        <v>17</v>
      </c>
      <c r="F15" s="48">
        <v>30</v>
      </c>
      <c r="G15" s="29" t="s">
        <v>121</v>
      </c>
      <c r="H15" s="30" t="s">
        <v>161</v>
      </c>
      <c r="I15" s="201">
        <f>+D15*95</f>
        <v>1191857.8875000002</v>
      </c>
      <c r="J15" s="203"/>
      <c r="K15" s="31"/>
      <c r="M15" s="11" t="s">
        <v>309</v>
      </c>
    </row>
    <row r="16" spans="1:13" ht="15.75" customHeight="1" x14ac:dyDescent="0.25">
      <c r="A16" s="179" t="s">
        <v>74</v>
      </c>
      <c r="B16" s="180"/>
      <c r="C16" s="181"/>
      <c r="D16" s="75">
        <f>+'Dados Gerais'!$E$15*F16</f>
        <v>41819.575000000004</v>
      </c>
      <c r="E16" s="76" t="s">
        <v>17</v>
      </c>
      <c r="F16" s="51">
        <v>2.5</v>
      </c>
      <c r="G16" s="52" t="s">
        <v>164</v>
      </c>
      <c r="H16" s="53" t="s">
        <v>161</v>
      </c>
      <c r="I16" s="182">
        <f>+D16*4.5</f>
        <v>188188.08750000002</v>
      </c>
      <c r="J16" s="184"/>
      <c r="K16" s="31"/>
      <c r="M16" s="11" t="s">
        <v>310</v>
      </c>
    </row>
    <row r="17" spans="1:13" ht="15.75" customHeight="1" x14ac:dyDescent="0.25">
      <c r="A17" s="225" t="s">
        <v>379</v>
      </c>
      <c r="B17" s="226"/>
      <c r="C17" s="227"/>
      <c r="D17" s="75">
        <v>4</v>
      </c>
      <c r="E17" s="76" t="s">
        <v>18</v>
      </c>
      <c r="F17" s="51">
        <f>2*PI()*(1.25/2)*17.27</f>
        <v>67.81913140936966</v>
      </c>
      <c r="G17" s="52" t="s">
        <v>427</v>
      </c>
      <c r="H17" s="53" t="s">
        <v>161</v>
      </c>
      <c r="I17" s="182">
        <f>+D17*F17*131</f>
        <v>35537.224858509704</v>
      </c>
      <c r="J17" s="184"/>
      <c r="K17" s="31"/>
      <c r="M17" s="81" t="s">
        <v>311</v>
      </c>
    </row>
    <row r="18" spans="1:13" ht="15.75" customHeight="1" x14ac:dyDescent="0.25">
      <c r="A18" s="225" t="s">
        <v>428</v>
      </c>
      <c r="B18" s="226"/>
      <c r="C18" s="227"/>
      <c r="D18" s="75">
        <v>4</v>
      </c>
      <c r="E18" s="76" t="s">
        <v>18</v>
      </c>
      <c r="F18" s="51">
        <f>2*PI()*(1/2)*17.27</f>
        <v>54.255305127495724</v>
      </c>
      <c r="G18" s="52" t="s">
        <v>427</v>
      </c>
      <c r="H18" s="53" t="s">
        <v>161</v>
      </c>
      <c r="I18" s="182">
        <f>+D18*F18*126</f>
        <v>27344.673784257844</v>
      </c>
      <c r="J18" s="184"/>
      <c r="K18" s="31"/>
      <c r="M18" s="81"/>
    </row>
    <row r="19" spans="1:13" ht="15.75" customHeight="1" x14ac:dyDescent="0.25">
      <c r="A19" s="225" t="s">
        <v>380</v>
      </c>
      <c r="B19" s="226"/>
      <c r="C19" s="227"/>
      <c r="D19" s="75">
        <v>3</v>
      </c>
      <c r="E19" s="76" t="s">
        <v>18</v>
      </c>
      <c r="F19" s="51">
        <f>2*PI()*(0.8/2)*17.27</f>
        <v>43.404244101996582</v>
      </c>
      <c r="G19" s="52" t="s">
        <v>427</v>
      </c>
      <c r="H19" s="53" t="s">
        <v>161</v>
      </c>
      <c r="I19" s="182">
        <f>+D19*F19*121</f>
        <v>15755.740609024757</v>
      </c>
      <c r="J19" s="184"/>
      <c r="K19" s="31"/>
    </row>
    <row r="20" spans="1:13" ht="15.75" customHeight="1" x14ac:dyDescent="0.25">
      <c r="A20" s="179" t="s">
        <v>76</v>
      </c>
      <c r="B20" s="180"/>
      <c r="C20" s="181"/>
      <c r="D20" s="75">
        <f>+'Dados Gerais'!E20*'Dados Gerais'!E17</f>
        <v>12260.16</v>
      </c>
      <c r="E20" s="76" t="s">
        <v>17</v>
      </c>
      <c r="F20" s="51">
        <v>57</v>
      </c>
      <c r="G20" s="52" t="s">
        <v>66</v>
      </c>
      <c r="H20" s="53" t="s">
        <v>161</v>
      </c>
      <c r="I20" s="182">
        <f t="shared" ref="I20" si="0">+D20*F20</f>
        <v>698829.12</v>
      </c>
      <c r="J20" s="184"/>
      <c r="K20" s="31"/>
      <c r="L20" s="81"/>
    </row>
    <row r="21" spans="1:13" ht="15.75" customHeight="1" x14ac:dyDescent="0.25">
      <c r="A21" s="179" t="s">
        <v>77</v>
      </c>
      <c r="B21" s="180"/>
      <c r="C21" s="181"/>
      <c r="D21" s="75">
        <f>+'Dados Gerais'!E24</f>
        <v>5653.5599999999995</v>
      </c>
      <c r="E21" s="76" t="s">
        <v>17</v>
      </c>
      <c r="F21" s="51">
        <v>57</v>
      </c>
      <c r="G21" s="52" t="s">
        <v>66</v>
      </c>
      <c r="H21" s="53" t="s">
        <v>161</v>
      </c>
      <c r="I21" s="182">
        <f t="shared" ref="I21" si="1">+D21*F21</f>
        <v>322252.92</v>
      </c>
      <c r="J21" s="184"/>
      <c r="K21" s="31"/>
    </row>
    <row r="22" spans="1:13" ht="15" customHeight="1" x14ac:dyDescent="0.25">
      <c r="A22" s="200" t="s">
        <v>75</v>
      </c>
      <c r="B22" s="200"/>
      <c r="C22" s="200"/>
      <c r="D22" s="73">
        <f>(D24)*F22</f>
        <v>355466.38750000001</v>
      </c>
      <c r="E22" s="62" t="s">
        <v>64</v>
      </c>
      <c r="F22" s="49">
        <v>85</v>
      </c>
      <c r="G22" s="32" t="s">
        <v>120</v>
      </c>
      <c r="H22" s="53" t="s">
        <v>161</v>
      </c>
      <c r="I22" s="182">
        <f>+D22*8</f>
        <v>2843731.1</v>
      </c>
      <c r="J22" s="184"/>
      <c r="K22" s="31"/>
    </row>
    <row r="23" spans="1:13" ht="15" customHeight="1" x14ac:dyDescent="0.25">
      <c r="A23" s="200" t="s">
        <v>341</v>
      </c>
      <c r="B23" s="200"/>
      <c r="C23" s="200"/>
      <c r="D23" s="73">
        <f>(D24)*F23</f>
        <v>70173.24685000001</v>
      </c>
      <c r="E23" s="62" t="s">
        <v>64</v>
      </c>
      <c r="F23" s="49">
        <v>16.78</v>
      </c>
      <c r="G23" s="32" t="s">
        <v>120</v>
      </c>
      <c r="H23" s="53" t="s">
        <v>161</v>
      </c>
      <c r="I23" s="182">
        <f>+D23*(11.95+11.4)</f>
        <v>1638545.3139475004</v>
      </c>
      <c r="J23" s="184"/>
      <c r="K23" s="31"/>
    </row>
    <row r="24" spans="1:13" ht="15.75" customHeight="1" x14ac:dyDescent="0.25">
      <c r="A24" s="261" t="s">
        <v>246</v>
      </c>
      <c r="B24" s="261"/>
      <c r="C24" s="261"/>
      <c r="D24" s="102">
        <f>(+'Dados Gerais'!E15)*Supraestrutura!$F$24</f>
        <v>4181.9575000000004</v>
      </c>
      <c r="E24" s="95" t="s">
        <v>58</v>
      </c>
      <c r="F24" s="103">
        <v>0.25</v>
      </c>
      <c r="G24" s="32" t="s">
        <v>165</v>
      </c>
      <c r="H24" s="33" t="s">
        <v>161</v>
      </c>
      <c r="I24" s="259">
        <f>+D24*(580+45)*1.05</f>
        <v>2744409.6093750005</v>
      </c>
      <c r="J24" s="260"/>
      <c r="K24" s="31"/>
    </row>
    <row r="25" spans="1:13" ht="15.75" customHeight="1" x14ac:dyDescent="0.25">
      <c r="A25" s="200" t="s">
        <v>429</v>
      </c>
      <c r="B25" s="200"/>
      <c r="C25" s="200"/>
      <c r="D25" s="75">
        <f>(14.87*9.66)/2</f>
        <v>71.822099999999992</v>
      </c>
      <c r="E25" s="76" t="s">
        <v>17</v>
      </c>
      <c r="F25" s="103">
        <v>250</v>
      </c>
      <c r="G25" s="32" t="s">
        <v>66</v>
      </c>
      <c r="H25" s="33" t="s">
        <v>161</v>
      </c>
      <c r="I25" s="223">
        <f>+D25*F25</f>
        <v>17955.524999999998</v>
      </c>
      <c r="J25" s="224"/>
      <c r="K25" s="31"/>
    </row>
    <row r="26" spans="1:13" ht="21.75" customHeight="1" x14ac:dyDescent="0.25">
      <c r="A26" s="200" t="s">
        <v>278</v>
      </c>
      <c r="B26" s="200"/>
      <c r="C26" s="200"/>
      <c r="D26" s="126">
        <f>'Dados Gerais'!E15</f>
        <v>16727.830000000002</v>
      </c>
      <c r="E26" s="95" t="s">
        <v>17</v>
      </c>
      <c r="F26" s="103">
        <v>190</v>
      </c>
      <c r="G26" s="32" t="s">
        <v>66</v>
      </c>
      <c r="H26" s="33" t="s">
        <v>161</v>
      </c>
      <c r="I26" s="223">
        <f>+D26*F26</f>
        <v>3178287.7</v>
      </c>
      <c r="J26" s="224"/>
      <c r="K26" s="31"/>
    </row>
    <row r="27" spans="1:13" ht="15.75" customHeight="1" x14ac:dyDescent="0.25">
      <c r="A27" s="215" t="s">
        <v>42</v>
      </c>
      <c r="B27" s="215"/>
      <c r="C27" s="215"/>
      <c r="D27" s="215"/>
      <c r="E27" s="215"/>
      <c r="F27" s="215"/>
      <c r="G27" s="215"/>
      <c r="H27" s="215"/>
      <c r="I27" s="212">
        <f>SUM(I15:J26)</f>
        <v>12902694.902574293</v>
      </c>
      <c r="J27" s="212"/>
      <c r="K27" s="35"/>
    </row>
    <row r="28" spans="1:13" ht="15.95" customHeight="1" x14ac:dyDescent="0.25">
      <c r="A28" s="177"/>
      <c r="B28" s="178"/>
      <c r="C28" s="178"/>
      <c r="D28" s="178"/>
      <c r="E28" s="178"/>
      <c r="F28" s="178"/>
      <c r="G28" s="178"/>
      <c r="H28" s="178"/>
      <c r="I28" s="37"/>
      <c r="J28" s="37"/>
      <c r="K28" s="39"/>
    </row>
    <row r="29" spans="1:13" x14ac:dyDescent="0.25">
      <c r="D29" s="61"/>
      <c r="E29" s="40"/>
      <c r="F29" s="40"/>
      <c r="J29" s="81"/>
    </row>
    <row r="30" spans="1:13" x14ac:dyDescent="0.25">
      <c r="A30" s="215" t="s">
        <v>292</v>
      </c>
      <c r="B30" s="215"/>
      <c r="C30" s="215"/>
      <c r="D30" s="215"/>
      <c r="E30" s="215"/>
      <c r="F30" s="215"/>
      <c r="G30" s="215"/>
      <c r="H30" s="215"/>
      <c r="I30" s="212">
        <f>I27</f>
        <v>12902694.902574293</v>
      </c>
      <c r="J30" s="212"/>
      <c r="K30" s="217">
        <f>I30/'Dados Gerais'!E15</f>
        <v>771.33106341792643</v>
      </c>
      <c r="L30" s="217"/>
    </row>
    <row r="31" spans="1:13" x14ac:dyDescent="0.25">
      <c r="I31" s="81"/>
      <c r="K31" s="81"/>
    </row>
    <row r="33" spans="1:6" x14ac:dyDescent="0.25">
      <c r="A33" s="11" t="s">
        <v>342</v>
      </c>
    </row>
    <row r="34" spans="1:6" x14ac:dyDescent="0.25">
      <c r="A34" s="11">
        <v>62240</v>
      </c>
      <c r="B34" s="11" t="s">
        <v>343</v>
      </c>
      <c r="D34" s="63">
        <v>14888.46</v>
      </c>
      <c r="E34" s="69" t="s">
        <v>344</v>
      </c>
      <c r="F34" s="133">
        <f>A34/D34</f>
        <v>4.180418928485552</v>
      </c>
    </row>
    <row r="35" spans="1:6" x14ac:dyDescent="0.25">
      <c r="D35" s="63">
        <v>3709.58</v>
      </c>
      <c r="E35" s="69" t="s">
        <v>345</v>
      </c>
      <c r="F35" s="133">
        <f>A34/D35</f>
        <v>16.778179740024477</v>
      </c>
    </row>
  </sheetData>
  <mergeCells count="41">
    <mergeCell ref="A17:C17"/>
    <mergeCell ref="I17:J17"/>
    <mergeCell ref="A19:C19"/>
    <mergeCell ref="A30:H30"/>
    <mergeCell ref="I30:J30"/>
    <mergeCell ref="A22:C22"/>
    <mergeCell ref="I22:J22"/>
    <mergeCell ref="A20:C20"/>
    <mergeCell ref="I20:J20"/>
    <mergeCell ref="A21:C21"/>
    <mergeCell ref="I21:J21"/>
    <mergeCell ref="I19:J19"/>
    <mergeCell ref="A18:C18"/>
    <mergeCell ref="I18:J18"/>
    <mergeCell ref="A25:C25"/>
    <mergeCell ref="K30:L30"/>
    <mergeCell ref="A23:C23"/>
    <mergeCell ref="I23:J23"/>
    <mergeCell ref="A28:H28"/>
    <mergeCell ref="A27:H27"/>
    <mergeCell ref="I27:J27"/>
    <mergeCell ref="A26:C26"/>
    <mergeCell ref="I26:J26"/>
    <mergeCell ref="A24:C24"/>
    <mergeCell ref="I24:J24"/>
    <mergeCell ref="I25:J25"/>
    <mergeCell ref="B10:F10"/>
    <mergeCell ref="J10:K10"/>
    <mergeCell ref="A2:K4"/>
    <mergeCell ref="B7:K7"/>
    <mergeCell ref="B8:K8"/>
    <mergeCell ref="J9:K9"/>
    <mergeCell ref="B9:F9"/>
    <mergeCell ref="A14:C14"/>
    <mergeCell ref="D14:E14"/>
    <mergeCell ref="F14:G14"/>
    <mergeCell ref="I14:J14"/>
    <mergeCell ref="A16:C16"/>
    <mergeCell ref="A15:C15"/>
    <mergeCell ref="I15:J15"/>
    <mergeCell ref="I16:J16"/>
  </mergeCells>
  <dataValidations disablePrompts="1" count="1">
    <dataValidation type="list" allowBlank="1" showInputMessage="1" showErrorMessage="1" sqref="J10" xr:uid="{879ECFA6-AD68-457C-B456-D0F122AE06B9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C66"/>
  </sheetPr>
  <dimension ref="A1:N28"/>
  <sheetViews>
    <sheetView showGridLines="0" topLeftCell="A16" zoomScaleNormal="100" zoomScaleSheetLayoutView="95" workbookViewId="0">
      <selection activeCell="P23" sqref="P23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0.710937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3.140625" style="11" bestFit="1" customWidth="1"/>
    <col min="11" max="11" width="6.42578125" style="11" customWidth="1"/>
    <col min="12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78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x14ac:dyDescent="0.25">
      <c r="A12" s="21" t="s">
        <v>79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36.75" customHeight="1" x14ac:dyDescent="0.25">
      <c r="A15" s="206" t="s">
        <v>81</v>
      </c>
      <c r="B15" s="206"/>
      <c r="C15" s="206"/>
      <c r="D15" s="72">
        <f>F15*'Dados Gerais'!E24</f>
        <v>3392.1359999999995</v>
      </c>
      <c r="E15" s="55" t="s">
        <v>17</v>
      </c>
      <c r="F15" s="55">
        <v>0.6</v>
      </c>
      <c r="G15" s="93" t="s">
        <v>158</v>
      </c>
      <c r="H15" s="79" t="s">
        <v>161</v>
      </c>
      <c r="I15" s="201">
        <f>+D15*43.5</f>
        <v>147557.91599999997</v>
      </c>
      <c r="J15" s="203"/>
      <c r="K15" s="31"/>
    </row>
    <row r="16" spans="1:13" ht="36.75" customHeight="1" x14ac:dyDescent="0.25">
      <c r="A16" s="200" t="s">
        <v>153</v>
      </c>
      <c r="B16" s="200"/>
      <c r="C16" s="200"/>
      <c r="D16" s="73">
        <f>F16*'Dados Gerais'!E22</f>
        <v>867.56999999999994</v>
      </c>
      <c r="E16" s="62" t="s">
        <v>17</v>
      </c>
      <c r="F16" s="62">
        <v>0.75</v>
      </c>
      <c r="G16" s="32" t="s">
        <v>159</v>
      </c>
      <c r="H16" s="77" t="s">
        <v>161</v>
      </c>
      <c r="I16" s="182">
        <f>+D16*43.5</f>
        <v>37739.294999999998</v>
      </c>
      <c r="J16" s="184"/>
      <c r="K16" s="31"/>
    </row>
    <row r="17" spans="1:14" ht="36.75" customHeight="1" x14ac:dyDescent="0.25">
      <c r="A17" s="200" t="s">
        <v>250</v>
      </c>
      <c r="B17" s="200"/>
      <c r="C17" s="200"/>
      <c r="D17" s="73">
        <f>F17*'Dados Gerais'!E17*'Dados Gerais'!E20</f>
        <v>2452.0320000000002</v>
      </c>
      <c r="E17" s="62" t="s">
        <v>17</v>
      </c>
      <c r="F17" s="62">
        <v>0.2</v>
      </c>
      <c r="G17" s="96" t="s">
        <v>166</v>
      </c>
      <c r="H17" s="77" t="s">
        <v>161</v>
      </c>
      <c r="I17" s="182">
        <f>+D17*43.5</f>
        <v>106663.39200000001</v>
      </c>
      <c r="J17" s="184"/>
      <c r="K17" s="31"/>
    </row>
    <row r="18" spans="1:14" ht="36.75" customHeight="1" x14ac:dyDescent="0.25">
      <c r="A18" s="200" t="s">
        <v>257</v>
      </c>
      <c r="B18" s="200"/>
      <c r="C18" s="200"/>
      <c r="D18" s="73">
        <f>F18*'Dados Gerais'!E17*'Dados Gerais'!E20</f>
        <v>18390.239999999998</v>
      </c>
      <c r="E18" s="62" t="s">
        <v>17</v>
      </c>
      <c r="F18" s="62">
        <v>1.5</v>
      </c>
      <c r="G18" s="96" t="s">
        <v>166</v>
      </c>
      <c r="H18" s="77" t="s">
        <v>161</v>
      </c>
      <c r="I18" s="182">
        <f>+D18*43.5</f>
        <v>799975.44</v>
      </c>
      <c r="J18" s="184"/>
      <c r="K18" s="31"/>
    </row>
    <row r="19" spans="1:14" ht="36.75" customHeight="1" x14ac:dyDescent="0.25">
      <c r="A19" s="200" t="s">
        <v>258</v>
      </c>
      <c r="B19" s="200"/>
      <c r="C19" s="200"/>
      <c r="D19" s="73">
        <f>F19*'Dados Gerais'!E18*'Dados Gerais'!E20</f>
        <v>574.69499999999994</v>
      </c>
      <c r="E19" s="62" t="s">
        <v>17</v>
      </c>
      <c r="F19" s="62">
        <v>1.5</v>
      </c>
      <c r="G19" s="96" t="s">
        <v>179</v>
      </c>
      <c r="H19" s="77" t="s">
        <v>161</v>
      </c>
      <c r="I19" s="182">
        <f>+D19*43.5</f>
        <v>24999.232499999998</v>
      </c>
      <c r="J19" s="184"/>
      <c r="K19" s="31"/>
    </row>
    <row r="20" spans="1:14" ht="36.75" customHeight="1" x14ac:dyDescent="0.25">
      <c r="A20" s="200" t="s">
        <v>261</v>
      </c>
      <c r="B20" s="200"/>
      <c r="C20" s="200"/>
      <c r="D20" s="73">
        <f>F20*'Dados Gerais'!E15</f>
        <v>3345.5660000000007</v>
      </c>
      <c r="E20" s="62" t="s">
        <v>17</v>
      </c>
      <c r="F20" s="117">
        <v>0.2</v>
      </c>
      <c r="G20" s="32" t="s">
        <v>164</v>
      </c>
      <c r="H20" s="77" t="s">
        <v>161</v>
      </c>
      <c r="I20" s="182">
        <f>+D20*55</f>
        <v>184006.13000000003</v>
      </c>
      <c r="J20" s="184"/>
      <c r="K20" s="31"/>
      <c r="N20" s="11" t="s">
        <v>312</v>
      </c>
    </row>
    <row r="21" spans="1:14" ht="36.75" customHeight="1" x14ac:dyDescent="0.25">
      <c r="A21" s="200" t="s">
        <v>82</v>
      </c>
      <c r="B21" s="200"/>
      <c r="C21" s="200"/>
      <c r="D21" s="73">
        <f>F21*'Dados Gerais'!E20</f>
        <v>306.50400000000002</v>
      </c>
      <c r="E21" s="62" t="s">
        <v>17</v>
      </c>
      <c r="F21" s="62">
        <v>0.8</v>
      </c>
      <c r="G21" s="52" t="s">
        <v>80</v>
      </c>
      <c r="H21" s="77" t="s">
        <v>161</v>
      </c>
      <c r="I21" s="182">
        <f>+D21*43.5</f>
        <v>13332.924000000001</v>
      </c>
      <c r="J21" s="184"/>
      <c r="K21" s="31"/>
      <c r="N21" s="11" t="s">
        <v>313</v>
      </c>
    </row>
    <row r="22" spans="1:14" ht="36.75" customHeight="1" x14ac:dyDescent="0.25">
      <c r="A22" s="200" t="s">
        <v>266</v>
      </c>
      <c r="B22" s="200"/>
      <c r="C22" s="200"/>
      <c r="D22" s="73">
        <f>D15+D16+D17+D18+D19+D20+D21</f>
        <v>29328.742999999995</v>
      </c>
      <c r="E22" s="62" t="s">
        <v>17</v>
      </c>
      <c r="F22" s="49">
        <v>8.1999999999999993</v>
      </c>
      <c r="G22" s="52" t="s">
        <v>66</v>
      </c>
      <c r="H22" s="77" t="s">
        <v>161</v>
      </c>
      <c r="I22" s="182">
        <f>+D22*F22</f>
        <v>240495.69259999995</v>
      </c>
      <c r="J22" s="184"/>
      <c r="K22" s="31"/>
    </row>
    <row r="23" spans="1:14" ht="15.95" customHeight="1" x14ac:dyDescent="0.25">
      <c r="A23" s="228" t="s">
        <v>62</v>
      </c>
      <c r="B23" s="228"/>
      <c r="C23" s="228"/>
      <c r="D23" s="73">
        <f>D16+D17+D18+D19+D20+D21+D15</f>
        <v>29328.742999999995</v>
      </c>
      <c r="E23" s="70" t="s">
        <v>17</v>
      </c>
      <c r="F23" s="50">
        <v>44</v>
      </c>
      <c r="G23" s="36" t="s">
        <v>66</v>
      </c>
      <c r="H23" s="71" t="s">
        <v>161</v>
      </c>
      <c r="I23" s="185">
        <f>+D23*F23</f>
        <v>1290464.6919999998</v>
      </c>
      <c r="J23" s="187"/>
      <c r="K23" s="31"/>
    </row>
    <row r="24" spans="1:14" ht="15.95" customHeight="1" x14ac:dyDescent="0.25">
      <c r="A24" s="215" t="s">
        <v>42</v>
      </c>
      <c r="B24" s="215"/>
      <c r="C24" s="215"/>
      <c r="D24" s="215"/>
      <c r="E24" s="215"/>
      <c r="F24" s="215"/>
      <c r="G24" s="215"/>
      <c r="H24" s="215"/>
      <c r="I24" s="212">
        <f>SUM(I15:J23)</f>
        <v>2845234.7140999995</v>
      </c>
      <c r="J24" s="212"/>
      <c r="K24" s="35"/>
    </row>
    <row r="25" spans="1:14" ht="15.95" customHeight="1" x14ac:dyDescent="0.25">
      <c r="A25" s="177"/>
      <c r="B25" s="178"/>
      <c r="C25" s="178"/>
      <c r="D25" s="178"/>
      <c r="E25" s="178"/>
      <c r="F25" s="178"/>
      <c r="G25" s="178"/>
      <c r="H25" s="178"/>
      <c r="I25" s="37"/>
      <c r="J25" s="37"/>
      <c r="K25" s="39"/>
    </row>
    <row r="26" spans="1:14" x14ac:dyDescent="0.25">
      <c r="D26" s="61"/>
      <c r="E26" s="40"/>
      <c r="F26" s="40"/>
    </row>
    <row r="27" spans="1:14" x14ac:dyDescent="0.25">
      <c r="A27" s="215" t="s">
        <v>293</v>
      </c>
      <c r="B27" s="215"/>
      <c r="C27" s="215"/>
      <c r="D27" s="215"/>
      <c r="E27" s="215"/>
      <c r="F27" s="215"/>
      <c r="G27" s="215"/>
      <c r="H27" s="215"/>
      <c r="I27" s="212">
        <f>I24</f>
        <v>2845234.7140999995</v>
      </c>
      <c r="J27" s="212"/>
      <c r="K27" s="217">
        <f>I27/'Dados Gerais'!E15</f>
        <v>170.08988697876529</v>
      </c>
      <c r="L27" s="217"/>
    </row>
    <row r="28" spans="1:14" x14ac:dyDescent="0.25">
      <c r="J28" s="81"/>
    </row>
  </sheetData>
  <mergeCells count="35">
    <mergeCell ref="A27:H27"/>
    <mergeCell ref="I27:J27"/>
    <mergeCell ref="K27:L27"/>
    <mergeCell ref="A15:C15"/>
    <mergeCell ref="I15:J15"/>
    <mergeCell ref="A20:C20"/>
    <mergeCell ref="I20:J20"/>
    <mergeCell ref="A16:C16"/>
    <mergeCell ref="I16:J16"/>
    <mergeCell ref="A25:H25"/>
    <mergeCell ref="A17:C17"/>
    <mergeCell ref="I17:J17"/>
    <mergeCell ref="A21:C21"/>
    <mergeCell ref="I21:J21"/>
    <mergeCell ref="A23:C23"/>
    <mergeCell ref="I23:J23"/>
    <mergeCell ref="A24:H24"/>
    <mergeCell ref="I24:J24"/>
    <mergeCell ref="A18:C18"/>
    <mergeCell ref="I18:J18"/>
    <mergeCell ref="A22:C22"/>
    <mergeCell ref="A19:C19"/>
    <mergeCell ref="I19:J19"/>
    <mergeCell ref="I22:J22"/>
    <mergeCell ref="A2:K4"/>
    <mergeCell ref="B7:K7"/>
    <mergeCell ref="B8:K8"/>
    <mergeCell ref="J9:K9"/>
    <mergeCell ref="B9:F9"/>
    <mergeCell ref="B10:F10"/>
    <mergeCell ref="J10:K10"/>
    <mergeCell ref="A14:C14"/>
    <mergeCell ref="D14:E14"/>
    <mergeCell ref="F14:G14"/>
    <mergeCell ref="I14:J14"/>
  </mergeCells>
  <dataValidations disablePrompts="1" count="1">
    <dataValidation type="list" allowBlank="1" showInputMessage="1" showErrorMessage="1" sqref="J10" xr:uid="{4B99DAB3-8200-48C4-9DE7-ABF4B4B48589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66EE-A396-4F65-9126-F6D2038EEE68}">
  <sheetPr>
    <tabColor rgb="FF003C66"/>
  </sheetPr>
  <dimension ref="A1:P48"/>
  <sheetViews>
    <sheetView showGridLines="0" topLeftCell="A34" zoomScale="95" zoomScaleNormal="95" zoomScaleSheetLayoutView="95" workbookViewId="0">
      <selection activeCell="I49" sqref="I49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12.5703125" style="11" customWidth="1"/>
    <col min="4" max="4" width="14" style="63" customWidth="1"/>
    <col min="5" max="5" width="7.5703125" style="69" customWidth="1"/>
    <col min="6" max="6" width="11.7109375" style="18" bestFit="1" customWidth="1"/>
    <col min="7" max="7" width="15.85546875" style="11" customWidth="1"/>
    <col min="8" max="8" width="12.85546875" style="11" customWidth="1"/>
    <col min="9" max="9" width="9.28515625" style="11" customWidth="1"/>
    <col min="10" max="10" width="7.28515625" style="11" bestFit="1" customWidth="1"/>
    <col min="11" max="11" width="6.42578125" style="11" customWidth="1"/>
    <col min="12" max="12" width="14.28515625" style="129" customWidth="1"/>
    <col min="13" max="13" width="15.140625" style="129" customWidth="1"/>
    <col min="14" max="16384" width="9.140625" style="11"/>
  </cols>
  <sheetData>
    <row r="1" spans="1:16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43"/>
    </row>
    <row r="2" spans="1:16" x14ac:dyDescent="0.25">
      <c r="A2" s="154" t="s">
        <v>83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43"/>
    </row>
    <row r="3" spans="1:16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43"/>
    </row>
    <row r="4" spans="1:16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43"/>
    </row>
    <row r="5" spans="1:16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43"/>
    </row>
    <row r="6" spans="1:16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43"/>
    </row>
    <row r="7" spans="1:16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43"/>
    </row>
    <row r="8" spans="1:16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43"/>
    </row>
    <row r="9" spans="1:16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6" ht="15.75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  <c r="M10" s="144">
        <v>8285.73</v>
      </c>
    </row>
    <row r="12" spans="1:16" x14ac:dyDescent="0.25">
      <c r="A12" s="21" t="s">
        <v>84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  <c r="M12" s="129" t="s">
        <v>432</v>
      </c>
    </row>
    <row r="13" spans="1:16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6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6" ht="15.95" customHeight="1" x14ac:dyDescent="0.25">
      <c r="A15" s="207" t="s">
        <v>85</v>
      </c>
      <c r="B15" s="208"/>
      <c r="C15" s="209"/>
      <c r="D15" s="72">
        <v>1</v>
      </c>
      <c r="E15" s="55" t="s">
        <v>65</v>
      </c>
      <c r="F15" s="48">
        <v>5.5</v>
      </c>
      <c r="G15" s="29" t="s">
        <v>24</v>
      </c>
      <c r="H15" s="79" t="s">
        <v>161</v>
      </c>
      <c r="I15" s="201">
        <f>+F15*'Dados Gerais'!$E$15</f>
        <v>92003.065000000002</v>
      </c>
      <c r="J15" s="203"/>
      <c r="K15" s="31"/>
      <c r="L15" s="129">
        <f>7688.76</f>
        <v>7688.76</v>
      </c>
      <c r="M15" s="129">
        <f>L15/$M$10</f>
        <v>0.92795203319441988</v>
      </c>
    </row>
    <row r="16" spans="1:16" ht="15.95" customHeight="1" x14ac:dyDescent="0.25">
      <c r="A16" s="179" t="s">
        <v>86</v>
      </c>
      <c r="B16" s="180"/>
      <c r="C16" s="181"/>
      <c r="D16" s="75">
        <v>1</v>
      </c>
      <c r="E16" s="76" t="s">
        <v>65</v>
      </c>
      <c r="F16" s="51">
        <v>10</v>
      </c>
      <c r="G16" s="52" t="s">
        <v>24</v>
      </c>
      <c r="H16" s="80" t="s">
        <v>161</v>
      </c>
      <c r="I16" s="182">
        <f>+F16*'Dados Gerais'!$E$15</f>
        <v>167278.30000000002</v>
      </c>
      <c r="J16" s="184"/>
      <c r="K16" s="31"/>
      <c r="L16" s="129">
        <f>81009.14</f>
        <v>81009.14</v>
      </c>
      <c r="M16" s="129">
        <f t="shared" ref="M16:M21" si="0">L16/$M$10</f>
        <v>9.7769466299288066</v>
      </c>
      <c r="P16" s="11">
        <f>5790898.24/M10</f>
        <v>698.90018622378477</v>
      </c>
    </row>
    <row r="17" spans="1:13" ht="15.95" customHeight="1" x14ac:dyDescent="0.25">
      <c r="A17" s="179" t="s">
        <v>87</v>
      </c>
      <c r="B17" s="180"/>
      <c r="C17" s="181"/>
      <c r="D17" s="75">
        <v>1</v>
      </c>
      <c r="E17" s="76" t="s">
        <v>65</v>
      </c>
      <c r="F17" s="51">
        <v>15</v>
      </c>
      <c r="G17" s="52" t="s">
        <v>24</v>
      </c>
      <c r="H17" s="80" t="s">
        <v>161</v>
      </c>
      <c r="I17" s="182">
        <f>+F17*'Dados Gerais'!$E$15</f>
        <v>250917.45</v>
      </c>
      <c r="J17" s="184"/>
      <c r="K17" s="31"/>
    </row>
    <row r="18" spans="1:13" ht="15.95" customHeight="1" x14ac:dyDescent="0.25">
      <c r="A18" s="179" t="s">
        <v>88</v>
      </c>
      <c r="B18" s="180"/>
      <c r="C18" s="181"/>
      <c r="D18" s="75">
        <v>1</v>
      </c>
      <c r="E18" s="76" t="s">
        <v>65</v>
      </c>
      <c r="F18" s="51">
        <v>30</v>
      </c>
      <c r="G18" s="52" t="s">
        <v>24</v>
      </c>
      <c r="H18" s="80" t="s">
        <v>161</v>
      </c>
      <c r="I18" s="182">
        <f>+F18*'Dados Gerais'!$E$15</f>
        <v>501834.9</v>
      </c>
      <c r="J18" s="184"/>
      <c r="K18" s="31"/>
      <c r="L18" s="129">
        <v>123189.9</v>
      </c>
      <c r="M18" s="129">
        <f t="shared" si="0"/>
        <v>14.867718354327259</v>
      </c>
    </row>
    <row r="19" spans="1:13" ht="15.95" customHeight="1" x14ac:dyDescent="0.25">
      <c r="A19" s="179" t="s">
        <v>89</v>
      </c>
      <c r="B19" s="180"/>
      <c r="C19" s="181"/>
      <c r="D19" s="73">
        <v>1</v>
      </c>
      <c r="E19" s="62" t="s">
        <v>65</v>
      </c>
      <c r="F19" s="49">
        <v>15</v>
      </c>
      <c r="G19" s="32" t="s">
        <v>24</v>
      </c>
      <c r="H19" s="77" t="s">
        <v>161</v>
      </c>
      <c r="I19" s="182">
        <f>+F19*'Dados Gerais'!$E$15</f>
        <v>250917.45</v>
      </c>
      <c r="J19" s="184"/>
      <c r="K19" s="31"/>
      <c r="L19" s="129">
        <v>82781.100000000006</v>
      </c>
      <c r="M19" s="129">
        <f t="shared" si="0"/>
        <v>9.9908034657175655</v>
      </c>
    </row>
    <row r="20" spans="1:13" ht="15.95" customHeight="1" x14ac:dyDescent="0.25">
      <c r="A20" s="179" t="s">
        <v>182</v>
      </c>
      <c r="B20" s="180"/>
      <c r="C20" s="181"/>
      <c r="D20" s="73">
        <v>1</v>
      </c>
      <c r="E20" s="62" t="s">
        <v>65</v>
      </c>
      <c r="F20" s="49">
        <v>15</v>
      </c>
      <c r="G20" s="32" t="s">
        <v>24</v>
      </c>
      <c r="H20" s="77" t="s">
        <v>161</v>
      </c>
      <c r="I20" s="182">
        <f>+F20*'Dados Gerais'!$E$15</f>
        <v>250917.45</v>
      </c>
      <c r="J20" s="184"/>
      <c r="K20" s="31"/>
      <c r="L20" s="129">
        <v>36466.82</v>
      </c>
      <c r="M20" s="129">
        <f t="shared" si="0"/>
        <v>4.4011595840076856</v>
      </c>
    </row>
    <row r="21" spans="1:13" ht="15.95" customHeight="1" x14ac:dyDescent="0.25">
      <c r="A21" s="179" t="s">
        <v>90</v>
      </c>
      <c r="B21" s="180"/>
      <c r="C21" s="181"/>
      <c r="D21" s="73">
        <v>1</v>
      </c>
      <c r="E21" s="62" t="s">
        <v>65</v>
      </c>
      <c r="F21" s="49">
        <v>15</v>
      </c>
      <c r="G21" s="32" t="s">
        <v>24</v>
      </c>
      <c r="H21" s="77" t="s">
        <v>161</v>
      </c>
      <c r="I21" s="182">
        <f>+F21*'Dados Gerais'!$E$15</f>
        <v>250917.45</v>
      </c>
      <c r="J21" s="184"/>
      <c r="K21" s="31"/>
      <c r="L21" s="129">
        <v>7695.09</v>
      </c>
      <c r="M21" s="129">
        <f t="shared" si="0"/>
        <v>0.92871599726276388</v>
      </c>
    </row>
    <row r="22" spans="1:13" ht="15.95" customHeight="1" x14ac:dyDescent="0.25">
      <c r="A22" s="238" t="s">
        <v>91</v>
      </c>
      <c r="B22" s="239"/>
      <c r="C22" s="240"/>
      <c r="D22" s="78">
        <v>1</v>
      </c>
      <c r="E22" s="70" t="s">
        <v>65</v>
      </c>
      <c r="F22" s="50">
        <v>45</v>
      </c>
      <c r="G22" s="36" t="s">
        <v>24</v>
      </c>
      <c r="H22" s="71" t="s">
        <v>161</v>
      </c>
      <c r="I22" s="185">
        <f>+F22*'Dados Gerais'!$E$15</f>
        <v>752752.35000000009</v>
      </c>
      <c r="J22" s="187"/>
      <c r="K22" s="31"/>
      <c r="M22" s="129">
        <v>29.86</v>
      </c>
    </row>
    <row r="23" spans="1:13" ht="15.95" customHeight="1" x14ac:dyDescent="0.25">
      <c r="A23" s="215" t="s">
        <v>42</v>
      </c>
      <c r="B23" s="215"/>
      <c r="C23" s="215"/>
      <c r="D23" s="215"/>
      <c r="E23" s="215"/>
      <c r="F23" s="215"/>
      <c r="G23" s="215"/>
      <c r="H23" s="215"/>
      <c r="I23" s="212">
        <f>SUM(I15:J22)</f>
        <v>2517538.415</v>
      </c>
      <c r="J23" s="212"/>
      <c r="K23" s="35"/>
    </row>
    <row r="24" spans="1:13" ht="15.95" customHeight="1" x14ac:dyDescent="0.25">
      <c r="A24" s="177"/>
      <c r="B24" s="178"/>
      <c r="C24" s="178"/>
      <c r="D24" s="178"/>
      <c r="E24" s="178"/>
      <c r="F24" s="178"/>
      <c r="G24" s="178"/>
      <c r="H24" s="178"/>
      <c r="I24" s="37"/>
      <c r="J24" s="37"/>
      <c r="K24" s="39"/>
    </row>
    <row r="25" spans="1:13" x14ac:dyDescent="0.25">
      <c r="A25" s="21" t="s">
        <v>440</v>
      </c>
      <c r="B25" s="22"/>
      <c r="C25" s="22"/>
      <c r="D25" s="59"/>
      <c r="E25" s="41"/>
      <c r="F25" s="23"/>
      <c r="G25" s="22"/>
      <c r="H25" s="22"/>
      <c r="I25" s="22"/>
      <c r="J25" s="22"/>
      <c r="K25" s="24"/>
    </row>
    <row r="26" spans="1:13" x14ac:dyDescent="0.25">
      <c r="A26" s="25"/>
      <c r="B26" s="26"/>
      <c r="C26" s="26"/>
      <c r="D26" s="60"/>
      <c r="E26" s="68"/>
      <c r="F26" s="26" t="s">
        <v>433</v>
      </c>
      <c r="G26" s="26"/>
      <c r="H26" s="26"/>
      <c r="K26" s="27"/>
    </row>
    <row r="27" spans="1:13" x14ac:dyDescent="0.25">
      <c r="A27" s="194" t="s">
        <v>34</v>
      </c>
      <c r="B27" s="195"/>
      <c r="C27" s="195"/>
      <c r="D27" s="213" t="s">
        <v>49</v>
      </c>
      <c r="E27" s="214"/>
      <c r="F27" s="197" t="s">
        <v>23</v>
      </c>
      <c r="G27" s="199"/>
      <c r="H27" s="28" t="s">
        <v>39</v>
      </c>
      <c r="I27" s="197" t="s">
        <v>38</v>
      </c>
      <c r="J27" s="199"/>
      <c r="K27" s="27"/>
    </row>
    <row r="28" spans="1:13" ht="15.75" customHeight="1" x14ac:dyDescent="0.25">
      <c r="A28" s="232" t="s">
        <v>92</v>
      </c>
      <c r="B28" s="233"/>
      <c r="C28" s="234"/>
      <c r="D28" s="72">
        <v>1</v>
      </c>
      <c r="E28" s="55" t="s">
        <v>65</v>
      </c>
      <c r="F28" s="145">
        <v>28</v>
      </c>
      <c r="G28" s="29" t="s">
        <v>24</v>
      </c>
      <c r="H28" s="79" t="s">
        <v>161</v>
      </c>
      <c r="I28" s="201">
        <f>+F28*'Dados Gerais'!$E$15</f>
        <v>468379.24000000005</v>
      </c>
      <c r="J28" s="203"/>
      <c r="K28" s="31"/>
      <c r="L28" s="129">
        <f>63808.43+51048.04+67434.12</f>
        <v>182290.59</v>
      </c>
      <c r="M28" s="129">
        <f>L28/$M$10</f>
        <v>22.000546723101042</v>
      </c>
    </row>
    <row r="29" spans="1:13" ht="15.75" customHeight="1" x14ac:dyDescent="0.25">
      <c r="A29" s="235" t="s">
        <v>93</v>
      </c>
      <c r="B29" s="236"/>
      <c r="C29" s="237"/>
      <c r="D29" s="75">
        <v>1</v>
      </c>
      <c r="E29" s="76" t="s">
        <v>65</v>
      </c>
      <c r="F29" s="51">
        <v>28</v>
      </c>
      <c r="G29" s="52" t="s">
        <v>24</v>
      </c>
      <c r="H29" s="80" t="s">
        <v>161</v>
      </c>
      <c r="I29" s="182">
        <f>+F29*'Dados Gerais'!$E$15</f>
        <v>468379.24000000005</v>
      </c>
      <c r="J29" s="184"/>
      <c r="K29" s="31"/>
      <c r="M29" s="129">
        <f t="shared" ref="M29:M33" si="1">L29/$M$10</f>
        <v>0</v>
      </c>
    </row>
    <row r="30" spans="1:13" ht="15.75" customHeight="1" x14ac:dyDescent="0.25">
      <c r="A30" s="235" t="s">
        <v>94</v>
      </c>
      <c r="B30" s="236"/>
      <c r="C30" s="237"/>
      <c r="D30" s="75">
        <v>1</v>
      </c>
      <c r="E30" s="76" t="s">
        <v>65</v>
      </c>
      <c r="F30" s="51">
        <v>10</v>
      </c>
      <c r="G30" s="52" t="s">
        <v>24</v>
      </c>
      <c r="H30" s="80" t="s">
        <v>161</v>
      </c>
      <c r="I30" s="182">
        <f>+F30*'Dados Gerais'!$E$15</f>
        <v>167278.30000000002</v>
      </c>
      <c r="J30" s="184"/>
      <c r="K30" s="31"/>
      <c r="M30" s="129">
        <f t="shared" si="1"/>
        <v>0</v>
      </c>
    </row>
    <row r="31" spans="1:13" ht="15.75" customHeight="1" x14ac:dyDescent="0.25">
      <c r="A31" s="235" t="s">
        <v>95</v>
      </c>
      <c r="B31" s="236"/>
      <c r="C31" s="237"/>
      <c r="D31" s="75">
        <v>1</v>
      </c>
      <c r="E31" s="76" t="s">
        <v>65</v>
      </c>
      <c r="F31" s="51">
        <v>16</v>
      </c>
      <c r="G31" s="52" t="s">
        <v>24</v>
      </c>
      <c r="H31" s="80" t="s">
        <v>161</v>
      </c>
      <c r="I31" s="182">
        <f>+F31*'Dados Gerais'!$E$15</f>
        <v>267645.28000000003</v>
      </c>
      <c r="J31" s="184"/>
      <c r="K31" s="31"/>
      <c r="L31" s="129">
        <f>56503.57+70171</f>
        <v>126674.57</v>
      </c>
      <c r="M31" s="129">
        <f t="shared" si="1"/>
        <v>15.288281177397769</v>
      </c>
    </row>
    <row r="32" spans="1:13" ht="15.75" customHeight="1" x14ac:dyDescent="0.25">
      <c r="A32" s="235" t="s">
        <v>96</v>
      </c>
      <c r="B32" s="236"/>
      <c r="C32" s="237"/>
      <c r="D32" s="73">
        <v>1</v>
      </c>
      <c r="E32" s="62" t="s">
        <v>65</v>
      </c>
      <c r="F32" s="49">
        <v>0</v>
      </c>
      <c r="G32" s="32" t="s">
        <v>24</v>
      </c>
      <c r="H32" s="77" t="s">
        <v>161</v>
      </c>
      <c r="I32" s="182">
        <f>+F32*'Dados Gerais'!$E$15</f>
        <v>0</v>
      </c>
      <c r="J32" s="184"/>
      <c r="K32" s="31"/>
      <c r="M32" s="129">
        <f t="shared" si="1"/>
        <v>0</v>
      </c>
    </row>
    <row r="33" spans="1:14" ht="15.75" customHeight="1" x14ac:dyDescent="0.25">
      <c r="A33" s="235" t="s">
        <v>97</v>
      </c>
      <c r="B33" s="236"/>
      <c r="C33" s="237"/>
      <c r="D33" s="73">
        <v>1</v>
      </c>
      <c r="E33" s="62" t="s">
        <v>65</v>
      </c>
      <c r="F33" s="49">
        <v>30</v>
      </c>
      <c r="G33" s="32" t="s">
        <v>24</v>
      </c>
      <c r="H33" s="77" t="s">
        <v>161</v>
      </c>
      <c r="I33" s="182">
        <f>+F33*'Dados Gerais'!$E$15+7500*4*2</f>
        <v>561834.9</v>
      </c>
      <c r="J33" s="184"/>
      <c r="K33" s="31"/>
      <c r="L33" s="129">
        <v>160586</v>
      </c>
      <c r="M33" s="129">
        <f t="shared" si="1"/>
        <v>19.381032208387193</v>
      </c>
    </row>
    <row r="34" spans="1:14" ht="15.75" customHeight="1" x14ac:dyDescent="0.25">
      <c r="A34" s="235" t="s">
        <v>98</v>
      </c>
      <c r="B34" s="236"/>
      <c r="C34" s="237"/>
      <c r="D34" s="78">
        <v>1</v>
      </c>
      <c r="E34" s="70" t="s">
        <v>65</v>
      </c>
      <c r="F34" s="50">
        <v>45</v>
      </c>
      <c r="G34" s="36" t="s">
        <v>24</v>
      </c>
      <c r="H34" s="71" t="s">
        <v>161</v>
      </c>
      <c r="I34" s="185">
        <f>+F34*'Dados Gerais'!$E$15</f>
        <v>752752.35000000009</v>
      </c>
      <c r="J34" s="187"/>
      <c r="K34" s="31"/>
      <c r="M34" s="129">
        <v>45</v>
      </c>
    </row>
    <row r="35" spans="1:14" x14ac:dyDescent="0.25">
      <c r="A35" s="215" t="s">
        <v>42</v>
      </c>
      <c r="B35" s="215"/>
      <c r="C35" s="215"/>
      <c r="D35" s="215"/>
      <c r="E35" s="215"/>
      <c r="F35" s="215"/>
      <c r="G35" s="215"/>
      <c r="H35" s="215"/>
      <c r="I35" s="212">
        <f>SUM(I28:J34)</f>
        <v>2686269.31</v>
      </c>
      <c r="J35" s="212"/>
      <c r="K35" s="35"/>
    </row>
    <row r="36" spans="1:14" x14ac:dyDescent="0.25">
      <c r="A36" s="177"/>
      <c r="B36" s="178"/>
      <c r="C36" s="178"/>
      <c r="D36" s="178"/>
      <c r="E36" s="178"/>
      <c r="F36" s="178"/>
      <c r="G36" s="178"/>
      <c r="H36" s="178"/>
      <c r="I36" s="37"/>
      <c r="J36" s="37"/>
      <c r="K36" s="39"/>
    </row>
    <row r="38" spans="1:14" x14ac:dyDescent="0.25">
      <c r="A38" s="21" t="s">
        <v>99</v>
      </c>
      <c r="B38" s="22"/>
      <c r="C38" s="22"/>
      <c r="D38" s="59"/>
      <c r="E38" s="41"/>
      <c r="F38" s="23"/>
      <c r="G38" s="22"/>
      <c r="H38" s="22"/>
      <c r="I38" s="22"/>
      <c r="J38" s="22"/>
      <c r="K38" s="24"/>
    </row>
    <row r="39" spans="1:14" x14ac:dyDescent="0.25">
      <c r="A39" s="25"/>
      <c r="B39" s="26"/>
      <c r="C39" s="26"/>
      <c r="D39" s="60"/>
      <c r="E39" s="68"/>
      <c r="F39" s="26"/>
      <c r="G39" s="26"/>
      <c r="H39" s="26"/>
      <c r="K39" s="27"/>
    </row>
    <row r="40" spans="1:14" ht="15.75" customHeight="1" x14ac:dyDescent="0.25">
      <c r="A40" s="194" t="s">
        <v>34</v>
      </c>
      <c r="B40" s="195"/>
      <c r="C40" s="195"/>
      <c r="D40" s="213" t="s">
        <v>49</v>
      </c>
      <c r="E40" s="214"/>
      <c r="F40" s="197" t="s">
        <v>23</v>
      </c>
      <c r="G40" s="199"/>
      <c r="H40" s="28" t="s">
        <v>39</v>
      </c>
      <c r="I40" s="197" t="s">
        <v>38</v>
      </c>
      <c r="J40" s="199"/>
      <c r="K40" s="27"/>
    </row>
    <row r="41" spans="1:14" ht="15.75" customHeight="1" x14ac:dyDescent="0.25">
      <c r="A41" s="232" t="s">
        <v>100</v>
      </c>
      <c r="B41" s="233"/>
      <c r="C41" s="234"/>
      <c r="D41" s="72">
        <v>1</v>
      </c>
      <c r="E41" s="55" t="s">
        <v>65</v>
      </c>
      <c r="F41" s="48">
        <v>15</v>
      </c>
      <c r="G41" s="29" t="s">
        <v>24</v>
      </c>
      <c r="H41" s="79" t="s">
        <v>161</v>
      </c>
      <c r="I41" s="201">
        <f>+F41*'Dados Gerais'!$E$15</f>
        <v>250917.45</v>
      </c>
      <c r="J41" s="203"/>
      <c r="K41" s="31"/>
      <c r="L41" s="129">
        <v>152457.19</v>
      </c>
      <c r="M41" s="129">
        <f>L41/$M$10</f>
        <v>18.399970793158843</v>
      </c>
      <c r="N41" s="82">
        <f>M41-4</f>
        <v>14.399970793158843</v>
      </c>
    </row>
    <row r="42" spans="1:14" ht="15.75" customHeight="1" x14ac:dyDescent="0.25">
      <c r="A42" s="235" t="s">
        <v>101</v>
      </c>
      <c r="B42" s="236"/>
      <c r="C42" s="237"/>
      <c r="D42" s="75">
        <v>1</v>
      </c>
      <c r="E42" s="76" t="s">
        <v>65</v>
      </c>
      <c r="F42" s="51">
        <v>8</v>
      </c>
      <c r="G42" s="52" t="s">
        <v>24</v>
      </c>
      <c r="H42" s="80" t="s">
        <v>161</v>
      </c>
      <c r="I42" s="182">
        <f>+F42*'Dados Gerais'!$E$15</f>
        <v>133822.64000000001</v>
      </c>
      <c r="J42" s="184"/>
      <c r="K42" s="31"/>
      <c r="L42" s="129">
        <v>97678.62</v>
      </c>
      <c r="M42" s="129">
        <f t="shared" ref="M42:M43" si="2">L42/$M$10</f>
        <v>11.788776607492641</v>
      </c>
      <c r="N42" s="82">
        <f t="shared" ref="N42:N43" si="3">M42-4</f>
        <v>7.7887766074926414</v>
      </c>
    </row>
    <row r="43" spans="1:14" ht="15.75" customHeight="1" x14ac:dyDescent="0.25">
      <c r="A43" s="229" t="s">
        <v>183</v>
      </c>
      <c r="B43" s="230"/>
      <c r="C43" s="231"/>
      <c r="D43" s="75">
        <v>1</v>
      </c>
      <c r="E43" s="76" t="s">
        <v>65</v>
      </c>
      <c r="F43" s="51">
        <v>10</v>
      </c>
      <c r="G43" s="52" t="s">
        <v>24</v>
      </c>
      <c r="H43" s="80" t="s">
        <v>161</v>
      </c>
      <c r="I43" s="182">
        <f>+F43*'Dados Gerais'!$E$15</f>
        <v>167278.30000000002</v>
      </c>
      <c r="J43" s="184"/>
      <c r="K43" s="31"/>
      <c r="L43" s="129">
        <v>115723.28</v>
      </c>
      <c r="M43" s="129">
        <f t="shared" si="2"/>
        <v>13.966576270286385</v>
      </c>
      <c r="N43" s="82">
        <f t="shared" si="3"/>
        <v>9.9665762702863852</v>
      </c>
    </row>
    <row r="44" spans="1:14" ht="15.75" customHeight="1" x14ac:dyDescent="0.25">
      <c r="A44" s="229" t="s">
        <v>184</v>
      </c>
      <c r="B44" s="230"/>
      <c r="C44" s="231"/>
      <c r="D44" s="75">
        <v>1</v>
      </c>
      <c r="E44" s="76" t="s">
        <v>65</v>
      </c>
      <c r="F44" s="51">
        <v>12</v>
      </c>
      <c r="G44" s="52" t="s">
        <v>24</v>
      </c>
      <c r="H44" s="80" t="s">
        <v>161</v>
      </c>
      <c r="I44" s="182">
        <f>+F44*'Dados Gerais'!$E$15</f>
        <v>200733.96000000002</v>
      </c>
      <c r="J44" s="184"/>
      <c r="K44" s="31"/>
    </row>
    <row r="45" spans="1:14" ht="15.75" customHeight="1" x14ac:dyDescent="0.25">
      <c r="A45" s="215" t="s">
        <v>42</v>
      </c>
      <c r="B45" s="215"/>
      <c r="C45" s="215"/>
      <c r="D45" s="215"/>
      <c r="E45" s="215"/>
      <c r="F45" s="215"/>
      <c r="G45" s="215"/>
      <c r="H45" s="215"/>
      <c r="I45" s="212">
        <f>SUM(I41:J44)</f>
        <v>752752.35000000009</v>
      </c>
      <c r="J45" s="212"/>
      <c r="K45" s="35"/>
    </row>
    <row r="46" spans="1:14" x14ac:dyDescent="0.25">
      <c r="A46" s="177"/>
      <c r="B46" s="178"/>
      <c r="C46" s="178"/>
      <c r="D46" s="178"/>
      <c r="E46" s="178"/>
      <c r="F46" s="178"/>
      <c r="G46" s="178"/>
      <c r="H46" s="178"/>
      <c r="I46" s="37"/>
      <c r="J46" s="37"/>
      <c r="K46" s="39"/>
    </row>
    <row r="48" spans="1:14" x14ac:dyDescent="0.25">
      <c r="A48" s="215" t="s">
        <v>294</v>
      </c>
      <c r="B48" s="215"/>
      <c r="C48" s="215"/>
      <c r="D48" s="215"/>
      <c r="E48" s="215"/>
      <c r="F48" s="215"/>
      <c r="G48" s="215"/>
      <c r="H48" s="215"/>
      <c r="I48" s="212">
        <f>I23+I35+I45</f>
        <v>5956560.0749999993</v>
      </c>
      <c r="J48" s="212"/>
      <c r="K48" s="217">
        <f>I48/'Dados Gerais'!E15</f>
        <v>356.08683702548382</v>
      </c>
      <c r="L48" s="217"/>
    </row>
  </sheetData>
  <mergeCells count="69">
    <mergeCell ref="B10:F10"/>
    <mergeCell ref="J10:K10"/>
    <mergeCell ref="A14:C14"/>
    <mergeCell ref="D14:E14"/>
    <mergeCell ref="F14:G14"/>
    <mergeCell ref="I14:J14"/>
    <mergeCell ref="A15:C15"/>
    <mergeCell ref="I15:J15"/>
    <mergeCell ref="A16:C16"/>
    <mergeCell ref="I16:J16"/>
    <mergeCell ref="A17:C17"/>
    <mergeCell ref="I17:J17"/>
    <mergeCell ref="A2:K4"/>
    <mergeCell ref="B7:K7"/>
    <mergeCell ref="B8:K8"/>
    <mergeCell ref="B9:F9"/>
    <mergeCell ref="J9:K9"/>
    <mergeCell ref="A18:C18"/>
    <mergeCell ref="I18:J18"/>
    <mergeCell ref="A27:C27"/>
    <mergeCell ref="D27:E27"/>
    <mergeCell ref="F27:G27"/>
    <mergeCell ref="I27:J27"/>
    <mergeCell ref="A19:C19"/>
    <mergeCell ref="I19:J19"/>
    <mergeCell ref="A20:C20"/>
    <mergeCell ref="I20:J20"/>
    <mergeCell ref="A21:C21"/>
    <mergeCell ref="I21:J21"/>
    <mergeCell ref="A22:C22"/>
    <mergeCell ref="I22:J22"/>
    <mergeCell ref="A23:H23"/>
    <mergeCell ref="I23:J23"/>
    <mergeCell ref="A24:H24"/>
    <mergeCell ref="A28:C28"/>
    <mergeCell ref="I28:J28"/>
    <mergeCell ref="A29:C29"/>
    <mergeCell ref="I29:J29"/>
    <mergeCell ref="A30:C30"/>
    <mergeCell ref="I30:J30"/>
    <mergeCell ref="A40:C40"/>
    <mergeCell ref="D40:E40"/>
    <mergeCell ref="F40:G40"/>
    <mergeCell ref="I40:J40"/>
    <mergeCell ref="A31:C31"/>
    <mergeCell ref="I31:J31"/>
    <mergeCell ref="A32:C32"/>
    <mergeCell ref="I32:J32"/>
    <mergeCell ref="A33:C33"/>
    <mergeCell ref="I33:J33"/>
    <mergeCell ref="A34:C34"/>
    <mergeCell ref="I34:J34"/>
    <mergeCell ref="A35:H35"/>
    <mergeCell ref="I35:J35"/>
    <mergeCell ref="A36:H36"/>
    <mergeCell ref="A41:C41"/>
    <mergeCell ref="I41:J41"/>
    <mergeCell ref="A42:C42"/>
    <mergeCell ref="I42:J42"/>
    <mergeCell ref="A43:C43"/>
    <mergeCell ref="I43:J43"/>
    <mergeCell ref="K48:L48"/>
    <mergeCell ref="A44:C44"/>
    <mergeCell ref="I44:J44"/>
    <mergeCell ref="A45:H45"/>
    <mergeCell ref="I45:J45"/>
    <mergeCell ref="A46:H46"/>
    <mergeCell ref="A48:H48"/>
    <mergeCell ref="I48:J48"/>
  </mergeCells>
  <dataValidations disablePrompts="1" count="1">
    <dataValidation type="list" allowBlank="1" showInputMessage="1" showErrorMessage="1" sqref="J10" xr:uid="{6E6BC860-4064-456F-B42D-3418B0EEEB0C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EE1F-56B2-4D36-8402-222A573DBA20}">
  <sheetPr>
    <tabColor rgb="FF003C66"/>
  </sheetPr>
  <dimension ref="A1:O51"/>
  <sheetViews>
    <sheetView showGridLines="0" topLeftCell="A32" zoomScale="118" zoomScaleNormal="118" zoomScaleSheetLayoutView="95" workbookViewId="0">
      <selection activeCell="A40" sqref="A40:C40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20.710937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5.7109375" style="11" customWidth="1"/>
    <col min="11" max="11" width="6.42578125" style="11" customWidth="1"/>
    <col min="12" max="12" width="11.28515625" style="11" bestFit="1" customWidth="1"/>
    <col min="13" max="13" width="11" style="11" bestFit="1" customWidth="1"/>
    <col min="14" max="16384" width="9.140625" style="11"/>
  </cols>
  <sheetData>
    <row r="1" spans="1:15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5" x14ac:dyDescent="0.25">
      <c r="A2" s="154" t="s">
        <v>83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5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5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5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5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5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5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5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5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5" x14ac:dyDescent="0.25">
      <c r="A12" s="21" t="s">
        <v>102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5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5" ht="15.7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5" ht="30" customHeight="1" x14ac:dyDescent="0.25">
      <c r="A15" s="232" t="s">
        <v>247</v>
      </c>
      <c r="B15" s="233"/>
      <c r="C15" s="234"/>
      <c r="D15" s="113">
        <v>202</v>
      </c>
      <c r="E15" s="55" t="s">
        <v>18</v>
      </c>
      <c r="F15" s="48">
        <v>1500</v>
      </c>
      <c r="G15" s="29" t="s">
        <v>244</v>
      </c>
      <c r="H15" s="79" t="s">
        <v>161</v>
      </c>
      <c r="I15" s="201">
        <f>F15*D15</f>
        <v>303000</v>
      </c>
      <c r="J15" s="203"/>
      <c r="K15" s="31"/>
      <c r="M15" s="11" t="s">
        <v>296</v>
      </c>
      <c r="N15" s="11">
        <v>5</v>
      </c>
      <c r="O15" s="11">
        <v>8</v>
      </c>
    </row>
    <row r="16" spans="1:15" ht="15.75" customHeight="1" x14ac:dyDescent="0.25">
      <c r="A16" s="241" t="s">
        <v>251</v>
      </c>
      <c r="B16" s="241"/>
      <c r="C16" s="241"/>
      <c r="D16" s="73">
        <v>8</v>
      </c>
      <c r="E16" s="73" t="s">
        <v>18</v>
      </c>
      <c r="F16" s="49">
        <v>5000</v>
      </c>
      <c r="G16" s="32" t="s">
        <v>244</v>
      </c>
      <c r="H16" s="84" t="s">
        <v>161</v>
      </c>
      <c r="I16" s="182">
        <f>F16*D16</f>
        <v>40000</v>
      </c>
      <c r="J16" s="184"/>
      <c r="K16" s="31"/>
      <c r="M16" s="11" t="s">
        <v>297</v>
      </c>
      <c r="N16" s="11">
        <v>5</v>
      </c>
      <c r="O16" s="11">
        <v>6</v>
      </c>
    </row>
    <row r="17" spans="1:15" ht="15.75" customHeight="1" x14ac:dyDescent="0.25">
      <c r="A17" s="241" t="s">
        <v>252</v>
      </c>
      <c r="B17" s="241"/>
      <c r="C17" s="241"/>
      <c r="D17" s="73">
        <v>57</v>
      </c>
      <c r="E17" s="73" t="s">
        <v>18</v>
      </c>
      <c r="F17" s="49">
        <v>900</v>
      </c>
      <c r="G17" s="32" t="s">
        <v>244</v>
      </c>
      <c r="H17" s="84" t="s">
        <v>161</v>
      </c>
      <c r="I17" s="182">
        <f>+D17*F17</f>
        <v>51300</v>
      </c>
      <c r="J17" s="184"/>
      <c r="K17" s="31"/>
      <c r="M17" s="11" t="s">
        <v>298</v>
      </c>
      <c r="N17" s="11">
        <f>4*2*6</f>
        <v>48</v>
      </c>
      <c r="O17" s="11">
        <f>2*6</f>
        <v>12</v>
      </c>
    </row>
    <row r="18" spans="1:15" ht="15.75" customHeight="1" x14ac:dyDescent="0.25">
      <c r="A18" s="241" t="s">
        <v>103</v>
      </c>
      <c r="B18" s="241"/>
      <c r="C18" s="241"/>
      <c r="D18" s="73">
        <f>40+3</f>
        <v>43</v>
      </c>
      <c r="E18" s="73" t="s">
        <v>18</v>
      </c>
      <c r="F18" s="49">
        <v>2000</v>
      </c>
      <c r="G18" s="32" t="s">
        <v>244</v>
      </c>
      <c r="H18" s="84" t="s">
        <v>161</v>
      </c>
      <c r="I18" s="182">
        <f>+D18*F18</f>
        <v>86000</v>
      </c>
      <c r="J18" s="184"/>
      <c r="K18" s="31"/>
      <c r="M18" s="11" t="s">
        <v>300</v>
      </c>
      <c r="N18" s="11">
        <v>5</v>
      </c>
      <c r="O18" s="11">
        <v>1</v>
      </c>
    </row>
    <row r="19" spans="1:15" ht="15.75" customHeight="1" x14ac:dyDescent="0.25">
      <c r="A19" s="215" t="s">
        <v>42</v>
      </c>
      <c r="B19" s="215"/>
      <c r="C19" s="215"/>
      <c r="D19" s="215"/>
      <c r="E19" s="215"/>
      <c r="F19" s="215"/>
      <c r="G19" s="215"/>
      <c r="H19" s="215"/>
      <c r="I19" s="212">
        <f>SUM(I15:J18)</f>
        <v>480300</v>
      </c>
      <c r="J19" s="212"/>
      <c r="K19" s="35"/>
      <c r="M19" s="11" t="s">
        <v>299</v>
      </c>
      <c r="N19" s="11">
        <f>N18*26</f>
        <v>130</v>
      </c>
      <c r="O19" s="11">
        <f>O18*26</f>
        <v>26</v>
      </c>
    </row>
    <row r="20" spans="1:15" x14ac:dyDescent="0.25">
      <c r="A20" s="177"/>
      <c r="B20" s="178"/>
      <c r="C20" s="178"/>
      <c r="D20" s="178"/>
      <c r="E20" s="178"/>
      <c r="F20" s="178"/>
      <c r="G20" s="178"/>
      <c r="H20" s="178"/>
      <c r="I20" s="37"/>
      <c r="J20" s="37"/>
      <c r="K20" s="39"/>
      <c r="M20" s="11" t="s">
        <v>301</v>
      </c>
      <c r="N20" s="11">
        <f>5+1</f>
        <v>6</v>
      </c>
      <c r="O20" s="11">
        <v>2</v>
      </c>
    </row>
    <row r="21" spans="1:15" x14ac:dyDescent="0.25">
      <c r="A21" s="21" t="s">
        <v>439</v>
      </c>
      <c r="B21" s="22"/>
      <c r="C21" s="22"/>
      <c r="D21" s="59"/>
      <c r="E21" s="41"/>
      <c r="F21" s="23"/>
      <c r="G21" s="22"/>
      <c r="H21" s="22"/>
      <c r="I21" s="22"/>
      <c r="J21" s="22"/>
      <c r="K21" s="24"/>
      <c r="M21" s="11" t="s">
        <v>302</v>
      </c>
      <c r="N21" s="11">
        <v>3</v>
      </c>
      <c r="O21" s="11">
        <v>2</v>
      </c>
    </row>
    <row r="22" spans="1:15" x14ac:dyDescent="0.25">
      <c r="A22" s="25"/>
      <c r="B22" s="26"/>
      <c r="C22" s="26"/>
      <c r="D22" s="60"/>
      <c r="E22" s="68"/>
      <c r="F22" s="26"/>
      <c r="G22" s="26"/>
      <c r="H22" s="26"/>
      <c r="K22" s="27"/>
    </row>
    <row r="23" spans="1:15" x14ac:dyDescent="0.25">
      <c r="A23" s="194" t="s">
        <v>34</v>
      </c>
      <c r="B23" s="195"/>
      <c r="C23" s="195"/>
      <c r="D23" s="213" t="s">
        <v>49</v>
      </c>
      <c r="E23" s="214"/>
      <c r="F23" s="197" t="s">
        <v>23</v>
      </c>
      <c r="G23" s="199"/>
      <c r="H23" s="28" t="s">
        <v>39</v>
      </c>
      <c r="I23" s="197" t="s">
        <v>38</v>
      </c>
      <c r="J23" s="199"/>
      <c r="K23" s="27"/>
    </row>
    <row r="24" spans="1:15" x14ac:dyDescent="0.25">
      <c r="A24" s="179" t="s">
        <v>434</v>
      </c>
      <c r="B24" s="180"/>
      <c r="C24" s="181"/>
      <c r="D24" s="75">
        <v>1</v>
      </c>
      <c r="E24" s="76" t="s">
        <v>65</v>
      </c>
      <c r="F24" s="51">
        <v>1.5</v>
      </c>
      <c r="G24" s="52" t="s">
        <v>24</v>
      </c>
      <c r="H24" s="80" t="s">
        <v>161</v>
      </c>
      <c r="I24" s="182">
        <f>+F24*'Dados Gerais'!$E$15</f>
        <v>25091.745000000003</v>
      </c>
      <c r="J24" s="184"/>
      <c r="K24" s="31"/>
      <c r="L24" s="129">
        <v>22475.5</v>
      </c>
      <c r="M24" s="129">
        <f>L24/14888.46</f>
        <v>1.5095919927245667</v>
      </c>
    </row>
    <row r="25" spans="1:15" x14ac:dyDescent="0.25">
      <c r="A25" s="179" t="s">
        <v>437</v>
      </c>
      <c r="B25" s="180"/>
      <c r="C25" s="181"/>
      <c r="D25" s="75">
        <v>1</v>
      </c>
      <c r="E25" s="76" t="s">
        <v>65</v>
      </c>
      <c r="F25" s="51">
        <v>7</v>
      </c>
      <c r="G25" s="52" t="s">
        <v>24</v>
      </c>
      <c r="H25" s="80" t="s">
        <v>161</v>
      </c>
      <c r="I25" s="182">
        <f>+F25*'Dados Gerais'!$E$15</f>
        <v>117094.81000000001</v>
      </c>
      <c r="J25" s="184"/>
      <c r="K25" s="31"/>
      <c r="L25" s="129">
        <v>98085</v>
      </c>
      <c r="M25" s="129">
        <f t="shared" ref="M25:M26" si="0">L25/14888.46</f>
        <v>6.5879882808564485</v>
      </c>
    </row>
    <row r="26" spans="1:15" x14ac:dyDescent="0.25">
      <c r="A26" s="238" t="s">
        <v>438</v>
      </c>
      <c r="B26" s="239"/>
      <c r="C26" s="240"/>
      <c r="D26" s="78">
        <v>1</v>
      </c>
      <c r="E26" s="70" t="s">
        <v>65</v>
      </c>
      <c r="F26" s="50">
        <v>5</v>
      </c>
      <c r="G26" s="36" t="s">
        <v>24</v>
      </c>
      <c r="H26" s="71" t="s">
        <v>161</v>
      </c>
      <c r="I26" s="185">
        <f>+F26*'Dados Gerais'!$E$15</f>
        <v>83639.150000000009</v>
      </c>
      <c r="J26" s="187"/>
      <c r="K26" s="31"/>
      <c r="L26" s="129">
        <v>67516.5</v>
      </c>
      <c r="M26" s="129">
        <f t="shared" si="0"/>
        <v>4.5348209284237591</v>
      </c>
      <c r="N26" s="129">
        <f>SUM(N15:N21)</f>
        <v>202</v>
      </c>
      <c r="O26" s="11">
        <f>SUM(O15:O21)</f>
        <v>57</v>
      </c>
    </row>
    <row r="27" spans="1:15" x14ac:dyDescent="0.25">
      <c r="A27" s="215" t="s">
        <v>42</v>
      </c>
      <c r="B27" s="215"/>
      <c r="C27" s="215"/>
      <c r="D27" s="215"/>
      <c r="E27" s="215"/>
      <c r="F27" s="215"/>
      <c r="G27" s="215"/>
      <c r="H27" s="215"/>
      <c r="I27" s="212">
        <f>SUM(I24:J26)</f>
        <v>225825.70500000002</v>
      </c>
      <c r="J27" s="212"/>
      <c r="K27" s="35"/>
      <c r="N27" s="129"/>
    </row>
    <row r="28" spans="1:15" x14ac:dyDescent="0.25">
      <c r="A28" s="177"/>
      <c r="B28" s="178"/>
      <c r="C28" s="178"/>
      <c r="D28" s="178"/>
      <c r="E28" s="178"/>
      <c r="F28" s="178"/>
      <c r="G28" s="178"/>
      <c r="H28" s="178"/>
      <c r="I28" s="37"/>
      <c r="J28" s="37"/>
      <c r="K28" s="39"/>
      <c r="N28" s="129"/>
    </row>
    <row r="29" spans="1:15" ht="15.75" customHeight="1" x14ac:dyDescent="0.25">
      <c r="A29" s="21" t="s">
        <v>248</v>
      </c>
      <c r="B29" s="22"/>
      <c r="C29" s="22"/>
      <c r="D29" s="59"/>
      <c r="E29" s="41"/>
      <c r="F29" s="23"/>
      <c r="G29" s="22"/>
      <c r="H29" s="22"/>
      <c r="I29" s="22"/>
      <c r="J29" s="22"/>
      <c r="K29" s="24"/>
    </row>
    <row r="30" spans="1:15" ht="15.75" customHeight="1" x14ac:dyDescent="0.25">
      <c r="A30" s="25"/>
      <c r="B30" s="26"/>
      <c r="C30" s="26"/>
      <c r="D30" s="60"/>
      <c r="E30" s="68"/>
      <c r="F30" s="26"/>
      <c r="G30" s="26"/>
      <c r="H30" s="26"/>
      <c r="K30" s="27"/>
    </row>
    <row r="31" spans="1:15" ht="15.75" customHeight="1" x14ac:dyDescent="0.25">
      <c r="A31" s="194" t="s">
        <v>34</v>
      </c>
      <c r="B31" s="195"/>
      <c r="C31" s="195"/>
      <c r="D31" s="213" t="s">
        <v>49</v>
      </c>
      <c r="E31" s="214"/>
      <c r="F31" s="197" t="s">
        <v>23</v>
      </c>
      <c r="G31" s="199"/>
      <c r="H31" s="28" t="s">
        <v>39</v>
      </c>
      <c r="I31" s="197" t="s">
        <v>38</v>
      </c>
      <c r="J31" s="199"/>
      <c r="K31" s="27"/>
    </row>
    <row r="32" spans="1:15" ht="15.75" customHeight="1" x14ac:dyDescent="0.25">
      <c r="A32" s="235" t="s">
        <v>249</v>
      </c>
      <c r="B32" s="236"/>
      <c r="C32" s="237"/>
      <c r="D32" s="73">
        <v>1</v>
      </c>
      <c r="E32" s="62" t="s">
        <v>65</v>
      </c>
      <c r="F32" s="49">
        <v>20</v>
      </c>
      <c r="G32" s="32" t="s">
        <v>24</v>
      </c>
      <c r="H32" s="77" t="s">
        <v>161</v>
      </c>
      <c r="I32" s="182">
        <f>+F32*'Dados Gerais'!E15</f>
        <v>334556.60000000003</v>
      </c>
      <c r="J32" s="184"/>
      <c r="K32" s="31"/>
    </row>
    <row r="33" spans="1:11" ht="15.75" customHeight="1" x14ac:dyDescent="0.25">
      <c r="A33" s="215" t="s">
        <v>42</v>
      </c>
      <c r="B33" s="215"/>
      <c r="C33" s="215"/>
      <c r="D33" s="215"/>
      <c r="E33" s="215"/>
      <c r="F33" s="215"/>
      <c r="G33" s="215"/>
      <c r="H33" s="215"/>
      <c r="I33" s="212">
        <f>SUM(I32:J32)</f>
        <v>334556.60000000003</v>
      </c>
      <c r="J33" s="212"/>
      <c r="K33" s="35"/>
    </row>
    <row r="34" spans="1:11" ht="15.75" customHeight="1" x14ac:dyDescent="0.25">
      <c r="A34" s="177"/>
      <c r="B34" s="178"/>
      <c r="C34" s="178"/>
      <c r="D34" s="178"/>
      <c r="E34" s="178"/>
      <c r="F34" s="178"/>
      <c r="G34" s="178"/>
      <c r="H34" s="178"/>
      <c r="I34" s="37"/>
      <c r="J34" s="37"/>
      <c r="K34" s="39"/>
    </row>
    <row r="36" spans="1:11" x14ac:dyDescent="0.25">
      <c r="A36" s="21" t="s">
        <v>43</v>
      </c>
      <c r="B36" s="22"/>
      <c r="C36" s="22"/>
      <c r="D36" s="59"/>
      <c r="E36" s="41"/>
      <c r="F36" s="23"/>
      <c r="G36" s="22"/>
      <c r="H36" s="22"/>
      <c r="I36" s="22"/>
      <c r="J36" s="22"/>
      <c r="K36" s="24"/>
    </row>
    <row r="37" spans="1:11" x14ac:dyDescent="0.25">
      <c r="A37" s="25"/>
      <c r="B37" s="26"/>
      <c r="C37" s="26"/>
      <c r="D37" s="60"/>
      <c r="E37" s="68"/>
      <c r="F37" s="26"/>
      <c r="G37" s="26"/>
      <c r="H37" s="26"/>
      <c r="K37" s="27"/>
    </row>
    <row r="38" spans="1:11" x14ac:dyDescent="0.25">
      <c r="A38" s="194" t="s">
        <v>34</v>
      </c>
      <c r="B38" s="195"/>
      <c r="C38" s="195"/>
      <c r="D38" s="213" t="s">
        <v>49</v>
      </c>
      <c r="E38" s="214"/>
      <c r="F38" s="197" t="s">
        <v>23</v>
      </c>
      <c r="G38" s="199"/>
      <c r="H38" s="28" t="s">
        <v>39</v>
      </c>
      <c r="I38" s="197" t="s">
        <v>38</v>
      </c>
      <c r="J38" s="199"/>
      <c r="K38" s="27"/>
    </row>
    <row r="39" spans="1:11" x14ac:dyDescent="0.25">
      <c r="A39" s="206" t="s">
        <v>141</v>
      </c>
      <c r="B39" s="206"/>
      <c r="C39" s="206"/>
      <c r="D39" s="72">
        <v>3</v>
      </c>
      <c r="E39" s="72" t="s">
        <v>18</v>
      </c>
      <c r="F39" s="118">
        <v>16000</v>
      </c>
      <c r="G39" s="119" t="s">
        <v>112</v>
      </c>
      <c r="H39" s="87" t="s">
        <v>161</v>
      </c>
      <c r="I39" s="201">
        <f>D39*F39*'Dados Gerais'!E16</f>
        <v>2064000</v>
      </c>
      <c r="J39" s="203"/>
      <c r="K39" s="27"/>
    </row>
    <row r="40" spans="1:11" ht="12.75" customHeight="1" x14ac:dyDescent="0.25">
      <c r="A40" s="242" t="s">
        <v>262</v>
      </c>
      <c r="B40" s="242"/>
      <c r="C40" s="242"/>
      <c r="D40" s="73">
        <v>1</v>
      </c>
      <c r="E40" s="73" t="s">
        <v>18</v>
      </c>
      <c r="F40" s="49">
        <f>91000*1.2</f>
        <v>109200</v>
      </c>
      <c r="G40" s="120" t="s">
        <v>143</v>
      </c>
      <c r="H40" s="84" t="s">
        <v>161</v>
      </c>
      <c r="I40" s="182">
        <f>+D40*F40</f>
        <v>109200</v>
      </c>
      <c r="J40" s="184"/>
      <c r="K40" s="27"/>
    </row>
    <row r="41" spans="1:11" ht="12.75" customHeight="1" x14ac:dyDescent="0.25">
      <c r="A41" s="242" t="s">
        <v>303</v>
      </c>
      <c r="B41" s="242"/>
      <c r="C41" s="242"/>
      <c r="D41" s="73">
        <v>1</v>
      </c>
      <c r="E41" s="73" t="s">
        <v>18</v>
      </c>
      <c r="F41" s="130">
        <f>1.2*180000</f>
        <v>216000</v>
      </c>
      <c r="G41" s="120" t="s">
        <v>143</v>
      </c>
      <c r="H41" s="84" t="s">
        <v>161</v>
      </c>
      <c r="I41" s="182">
        <f t="shared" ref="I41:I44" si="1">+D41*F41</f>
        <v>216000</v>
      </c>
      <c r="J41" s="184"/>
      <c r="K41" s="27"/>
    </row>
    <row r="42" spans="1:11" ht="12.75" customHeight="1" x14ac:dyDescent="0.25">
      <c r="A42" s="241" t="s">
        <v>324</v>
      </c>
      <c r="B42" s="241"/>
      <c r="C42" s="241"/>
      <c r="D42" s="73">
        <v>1</v>
      </c>
      <c r="E42" s="73" t="s">
        <v>18</v>
      </c>
      <c r="F42" s="130">
        <v>15000</v>
      </c>
      <c r="G42" s="120" t="s">
        <v>143</v>
      </c>
      <c r="H42" s="84" t="s">
        <v>161</v>
      </c>
      <c r="I42" s="182">
        <f t="shared" si="1"/>
        <v>15000</v>
      </c>
      <c r="J42" s="184"/>
      <c r="K42" s="27"/>
    </row>
    <row r="43" spans="1:11" ht="12.75" customHeight="1" x14ac:dyDescent="0.25">
      <c r="A43" s="241" t="s">
        <v>436</v>
      </c>
      <c r="B43" s="241"/>
      <c r="C43" s="241"/>
      <c r="D43" s="73">
        <v>43</v>
      </c>
      <c r="E43" s="73" t="s">
        <v>18</v>
      </c>
      <c r="F43" s="130">
        <v>550</v>
      </c>
      <c r="G43" s="120" t="s">
        <v>143</v>
      </c>
      <c r="H43" s="84" t="s">
        <v>161</v>
      </c>
      <c r="I43" s="182">
        <f t="shared" ref="I43" si="2">+D43*F43</f>
        <v>23650</v>
      </c>
      <c r="J43" s="184"/>
      <c r="K43" s="27"/>
    </row>
    <row r="44" spans="1:11" ht="12.75" customHeight="1" x14ac:dyDescent="0.25">
      <c r="A44" s="241" t="s">
        <v>346</v>
      </c>
      <c r="B44" s="241"/>
      <c r="C44" s="241"/>
      <c r="D44" s="73">
        <v>1</v>
      </c>
      <c r="E44" s="73" t="s">
        <v>18</v>
      </c>
      <c r="F44" s="130">
        <v>12630</v>
      </c>
      <c r="G44" s="120" t="s">
        <v>143</v>
      </c>
      <c r="H44" s="84" t="s">
        <v>161</v>
      </c>
      <c r="I44" s="182">
        <f t="shared" si="1"/>
        <v>12630</v>
      </c>
      <c r="J44" s="184"/>
      <c r="K44" s="27"/>
    </row>
    <row r="45" spans="1:11" ht="12.75" customHeight="1" x14ac:dyDescent="0.25">
      <c r="A45" s="241" t="s">
        <v>435</v>
      </c>
      <c r="B45" s="241"/>
      <c r="C45" s="241"/>
      <c r="D45" s="73">
        <v>1</v>
      </c>
      <c r="E45" s="73" t="s">
        <v>65</v>
      </c>
      <c r="F45" s="130">
        <f>40000+75000</f>
        <v>115000</v>
      </c>
      <c r="G45" s="120" t="s">
        <v>143</v>
      </c>
      <c r="H45" s="84" t="s">
        <v>161</v>
      </c>
      <c r="I45" s="182">
        <f>+D45*F45</f>
        <v>115000</v>
      </c>
      <c r="J45" s="184"/>
      <c r="K45" s="27"/>
    </row>
    <row r="46" spans="1:11" ht="12.75" customHeight="1" x14ac:dyDescent="0.25">
      <c r="A46" s="241" t="s">
        <v>142</v>
      </c>
      <c r="B46" s="241"/>
      <c r="C46" s="241"/>
      <c r="D46" s="73">
        <v>1</v>
      </c>
      <c r="E46" s="73" t="s">
        <v>65</v>
      </c>
      <c r="F46" s="130">
        <v>250000</v>
      </c>
      <c r="G46" s="120" t="s">
        <v>143</v>
      </c>
      <c r="H46" s="84" t="s">
        <v>161</v>
      </c>
      <c r="I46" s="182">
        <f>+D46*F46</f>
        <v>250000</v>
      </c>
      <c r="J46" s="184"/>
      <c r="K46" s="27"/>
    </row>
    <row r="47" spans="1:11" x14ac:dyDescent="0.25">
      <c r="A47" s="215" t="s">
        <v>42</v>
      </c>
      <c r="B47" s="215"/>
      <c r="C47" s="215"/>
      <c r="D47" s="215"/>
      <c r="E47" s="215"/>
      <c r="F47" s="215"/>
      <c r="G47" s="215"/>
      <c r="H47" s="215"/>
      <c r="I47" s="212">
        <f>SUM(I39:J46)</f>
        <v>2805480</v>
      </c>
      <c r="J47" s="212"/>
      <c r="K47" s="35"/>
    </row>
    <row r="48" spans="1:11" x14ac:dyDescent="0.25">
      <c r="A48" s="177"/>
      <c r="B48" s="178"/>
      <c r="C48" s="178"/>
      <c r="D48" s="178"/>
      <c r="E48" s="178"/>
      <c r="F48" s="178"/>
      <c r="G48" s="178"/>
      <c r="H48" s="178"/>
      <c r="I48" s="86"/>
      <c r="J48" s="37"/>
      <c r="K48" s="39"/>
    </row>
    <row r="50" spans="1:12" x14ac:dyDescent="0.25">
      <c r="A50" s="215" t="s">
        <v>295</v>
      </c>
      <c r="B50" s="215"/>
      <c r="C50" s="215"/>
      <c r="D50" s="215"/>
      <c r="E50" s="215"/>
      <c r="F50" s="215"/>
      <c r="G50" s="215"/>
      <c r="H50" s="215"/>
      <c r="I50" s="212">
        <f>I19+I33+I47+I27</f>
        <v>3846162.3050000002</v>
      </c>
      <c r="J50" s="212"/>
      <c r="K50" s="217">
        <f>I50/'Dados Gerais'!E15</f>
        <v>229.92595602657366</v>
      </c>
      <c r="L50" s="217"/>
    </row>
    <row r="51" spans="1:12" x14ac:dyDescent="0.25">
      <c r="J51" s="81"/>
    </row>
  </sheetData>
  <mergeCells count="70">
    <mergeCell ref="A26:C26"/>
    <mergeCell ref="I26:J26"/>
    <mergeCell ref="A27:H27"/>
    <mergeCell ref="I27:J27"/>
    <mergeCell ref="A28:H28"/>
    <mergeCell ref="I23:J23"/>
    <mergeCell ref="A24:C24"/>
    <mergeCell ref="I24:J24"/>
    <mergeCell ref="A25:C25"/>
    <mergeCell ref="I25:J25"/>
    <mergeCell ref="A50:H50"/>
    <mergeCell ref="I50:J50"/>
    <mergeCell ref="K50:L50"/>
    <mergeCell ref="A41:C41"/>
    <mergeCell ref="A44:C44"/>
    <mergeCell ref="A42:C42"/>
    <mergeCell ref="I41:J41"/>
    <mergeCell ref="I42:J42"/>
    <mergeCell ref="I44:J44"/>
    <mergeCell ref="A47:H47"/>
    <mergeCell ref="I47:J47"/>
    <mergeCell ref="A48:H48"/>
    <mergeCell ref="A45:C45"/>
    <mergeCell ref="I45:J45"/>
    <mergeCell ref="A43:C43"/>
    <mergeCell ref="I43:J43"/>
    <mergeCell ref="A17:C17"/>
    <mergeCell ref="I17:J17"/>
    <mergeCell ref="A32:C32"/>
    <mergeCell ref="I32:J32"/>
    <mergeCell ref="A31:C31"/>
    <mergeCell ref="D31:E31"/>
    <mergeCell ref="F31:G31"/>
    <mergeCell ref="I31:J31"/>
    <mergeCell ref="A18:C18"/>
    <mergeCell ref="I18:J18"/>
    <mergeCell ref="A19:H19"/>
    <mergeCell ref="I19:J19"/>
    <mergeCell ref="A20:H20"/>
    <mergeCell ref="A23:C23"/>
    <mergeCell ref="D23:E23"/>
    <mergeCell ref="F23:G23"/>
    <mergeCell ref="I33:J33"/>
    <mergeCell ref="A34:H34"/>
    <mergeCell ref="A39:C39"/>
    <mergeCell ref="I39:J39"/>
    <mergeCell ref="A46:C46"/>
    <mergeCell ref="I46:J46"/>
    <mergeCell ref="A38:C38"/>
    <mergeCell ref="D38:E38"/>
    <mergeCell ref="F38:G38"/>
    <mergeCell ref="I38:J38"/>
    <mergeCell ref="A33:H33"/>
    <mergeCell ref="A40:C40"/>
    <mergeCell ref="I40:J40"/>
    <mergeCell ref="A16:C16"/>
    <mergeCell ref="B10:F10"/>
    <mergeCell ref="J10:K10"/>
    <mergeCell ref="A2:K4"/>
    <mergeCell ref="B7:K7"/>
    <mergeCell ref="B8:K8"/>
    <mergeCell ref="J9:K9"/>
    <mergeCell ref="A14:C14"/>
    <mergeCell ref="D14:E14"/>
    <mergeCell ref="F14:G14"/>
    <mergeCell ref="I14:J14"/>
    <mergeCell ref="A15:C15"/>
    <mergeCell ref="I15:J15"/>
    <mergeCell ref="I16:J16"/>
    <mergeCell ref="B9:F9"/>
  </mergeCells>
  <dataValidations disablePrompts="1" count="1">
    <dataValidation type="list" allowBlank="1" showInputMessage="1" showErrorMessage="1" sqref="J10" xr:uid="{F4948120-C895-4785-9F2C-F83825BEA531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C66"/>
  </sheetPr>
  <dimension ref="A1:L26"/>
  <sheetViews>
    <sheetView showGridLines="0" topLeftCell="A11" zoomScale="115" zoomScaleNormal="115" zoomScaleSheetLayoutView="95" workbookViewId="0">
      <selection activeCell="D18" sqref="D18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0.710937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3.140625" style="11" customWidth="1"/>
    <col min="11" max="11" width="6.42578125" style="11" customWidth="1"/>
    <col min="12" max="16384" width="9.140625" style="11"/>
  </cols>
  <sheetData>
    <row r="1" spans="1:11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</row>
    <row r="2" spans="1:11" x14ac:dyDescent="0.25">
      <c r="A2" s="154" t="s">
        <v>111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1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</row>
    <row r="4" spans="1:1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</row>
    <row r="5" spans="1:11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</row>
    <row r="6" spans="1:11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</row>
    <row r="7" spans="1:11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</row>
    <row r="8" spans="1:11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</row>
    <row r="9" spans="1:11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1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1" x14ac:dyDescent="0.25">
      <c r="A12" s="21" t="s">
        <v>104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1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1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1" ht="15.95" customHeight="1" x14ac:dyDescent="0.25">
      <c r="A15" s="207" t="s">
        <v>110</v>
      </c>
      <c r="B15" s="208"/>
      <c r="C15" s="209"/>
      <c r="D15" s="72">
        <f>D20</f>
        <v>5854.7404999999999</v>
      </c>
      <c r="E15" s="76" t="s">
        <v>17</v>
      </c>
      <c r="F15" s="48">
        <v>15</v>
      </c>
      <c r="G15" s="29" t="s">
        <v>66</v>
      </c>
      <c r="H15" s="79" t="s">
        <v>161</v>
      </c>
      <c r="I15" s="201">
        <f>+D15*F15</f>
        <v>87821.107499999998</v>
      </c>
      <c r="J15" s="203"/>
      <c r="K15" s="27"/>
    </row>
    <row r="16" spans="1:11" ht="15.95" customHeight="1" x14ac:dyDescent="0.25">
      <c r="A16" s="243" t="s">
        <v>105</v>
      </c>
      <c r="B16" s="244"/>
      <c r="C16" s="245"/>
      <c r="D16" s="75">
        <f>3*3.35+3*(7.23*1.2)</f>
        <v>36.078000000000003</v>
      </c>
      <c r="E16" s="76" t="s">
        <v>17</v>
      </c>
      <c r="F16" s="51">
        <v>45</v>
      </c>
      <c r="G16" s="52" t="s">
        <v>66</v>
      </c>
      <c r="H16" s="80" t="s">
        <v>161</v>
      </c>
      <c r="I16" s="182">
        <f>+D16*F16</f>
        <v>1623.5100000000002</v>
      </c>
      <c r="J16" s="184"/>
      <c r="K16" s="31"/>
    </row>
    <row r="17" spans="1:12" ht="15.95" customHeight="1" x14ac:dyDescent="0.25">
      <c r="A17" s="179" t="s">
        <v>106</v>
      </c>
      <c r="B17" s="180"/>
      <c r="C17" s="181"/>
      <c r="D17" s="75">
        <f>0.7*Infraestrutura!D37</f>
        <v>401.38349999999997</v>
      </c>
      <c r="E17" s="76" t="s">
        <v>17</v>
      </c>
      <c r="F17" s="51">
        <v>40</v>
      </c>
      <c r="G17" s="52" t="s">
        <v>66</v>
      </c>
      <c r="H17" s="80" t="s">
        <v>161</v>
      </c>
      <c r="I17" s="182">
        <f>+D17*F17</f>
        <v>16055.339999999998</v>
      </c>
      <c r="J17" s="184"/>
      <c r="K17" s="31"/>
    </row>
    <row r="18" spans="1:12" ht="15.95" customHeight="1" x14ac:dyDescent="0.25">
      <c r="A18" s="179" t="s">
        <v>107</v>
      </c>
      <c r="B18" s="180"/>
      <c r="C18" s="181"/>
      <c r="D18" s="75">
        <v>1</v>
      </c>
      <c r="E18" s="76" t="s">
        <v>65</v>
      </c>
      <c r="F18" s="51">
        <v>1</v>
      </c>
      <c r="G18" s="52" t="s">
        <v>24</v>
      </c>
      <c r="H18" s="80" t="s">
        <v>161</v>
      </c>
      <c r="I18" s="182">
        <f>+F18*'Dados Gerais'!$E$15</f>
        <v>16727.830000000002</v>
      </c>
      <c r="J18" s="184"/>
      <c r="K18" s="31"/>
    </row>
    <row r="19" spans="1:12" ht="15.95" customHeight="1" x14ac:dyDescent="0.25">
      <c r="A19" s="179" t="s">
        <v>108</v>
      </c>
      <c r="B19" s="180"/>
      <c r="C19" s="181"/>
      <c r="D19" s="75">
        <f>+F19*'Dados Gerais'!$E$15</f>
        <v>1672.7830000000004</v>
      </c>
      <c r="E19" s="76" t="s">
        <v>17</v>
      </c>
      <c r="F19" s="51">
        <v>0.1</v>
      </c>
      <c r="G19" s="52" t="s">
        <v>164</v>
      </c>
      <c r="H19" s="80" t="s">
        <v>161</v>
      </c>
      <c r="I19" s="182">
        <f>+D19*60</f>
        <v>100366.98000000003</v>
      </c>
      <c r="J19" s="184"/>
      <c r="K19" s="31"/>
    </row>
    <row r="20" spans="1:12" ht="15.95" customHeight="1" x14ac:dyDescent="0.25">
      <c r="A20" s="179" t="s">
        <v>113</v>
      </c>
      <c r="B20" s="180"/>
      <c r="C20" s="181"/>
      <c r="D20" s="75">
        <f>+F20*'Dados Gerais'!$E$15</f>
        <v>5854.7404999999999</v>
      </c>
      <c r="E20" s="76" t="s">
        <v>17</v>
      </c>
      <c r="F20" s="115">
        <v>0.35</v>
      </c>
      <c r="G20" s="52" t="s">
        <v>164</v>
      </c>
      <c r="H20" s="77" t="s">
        <v>161</v>
      </c>
      <c r="I20" s="182">
        <f>+D20*160</f>
        <v>936758.48</v>
      </c>
      <c r="J20" s="184"/>
      <c r="K20" s="31"/>
    </row>
    <row r="21" spans="1:12" ht="15.95" customHeight="1" x14ac:dyDescent="0.25">
      <c r="A21" s="179" t="s">
        <v>109</v>
      </c>
      <c r="B21" s="180"/>
      <c r="C21" s="181"/>
      <c r="D21" s="75">
        <v>1</v>
      </c>
      <c r="E21" s="76" t="s">
        <v>65</v>
      </c>
      <c r="F21" s="49">
        <v>0.15</v>
      </c>
      <c r="G21" s="32" t="s">
        <v>24</v>
      </c>
      <c r="H21" s="77" t="s">
        <v>161</v>
      </c>
      <c r="I21" s="182">
        <f>+F21*'Dados Gerais'!$E$15</f>
        <v>2509.1745000000001</v>
      </c>
      <c r="J21" s="184"/>
      <c r="K21" s="31"/>
    </row>
    <row r="22" spans="1:12" ht="15.95" customHeight="1" x14ac:dyDescent="0.25">
      <c r="A22" s="238" t="s">
        <v>114</v>
      </c>
      <c r="B22" s="239"/>
      <c r="C22" s="240"/>
      <c r="D22" s="78">
        <f>+D20</f>
        <v>5854.7404999999999</v>
      </c>
      <c r="E22" s="70" t="s">
        <v>17</v>
      </c>
      <c r="F22" s="50">
        <v>40</v>
      </c>
      <c r="G22" s="36" t="s">
        <v>66</v>
      </c>
      <c r="H22" s="71" t="s">
        <v>161</v>
      </c>
      <c r="I22" s="185">
        <f>F22*D22</f>
        <v>234189.62</v>
      </c>
      <c r="J22" s="187"/>
      <c r="K22" s="31"/>
    </row>
    <row r="23" spans="1:12" ht="15.95" customHeight="1" x14ac:dyDescent="0.25">
      <c r="A23" s="215" t="s">
        <v>42</v>
      </c>
      <c r="B23" s="215"/>
      <c r="C23" s="215"/>
      <c r="D23" s="215"/>
      <c r="E23" s="215"/>
      <c r="F23" s="215"/>
      <c r="G23" s="215"/>
      <c r="H23" s="215"/>
      <c r="I23" s="212">
        <f>SUM(I15:J22)</f>
        <v>1396052.0419999999</v>
      </c>
      <c r="J23" s="212"/>
      <c r="K23" s="35"/>
    </row>
    <row r="24" spans="1:12" ht="15.95" customHeight="1" x14ac:dyDescent="0.25">
      <c r="A24" s="177"/>
      <c r="B24" s="178"/>
      <c r="C24" s="178"/>
      <c r="D24" s="178"/>
      <c r="E24" s="178"/>
      <c r="F24" s="178"/>
      <c r="G24" s="178"/>
      <c r="H24" s="178"/>
      <c r="I24" s="86"/>
      <c r="J24" s="37"/>
      <c r="K24" s="39"/>
    </row>
    <row r="26" spans="1:12" x14ac:dyDescent="0.25">
      <c r="A26" s="215" t="s">
        <v>304</v>
      </c>
      <c r="B26" s="215"/>
      <c r="C26" s="215"/>
      <c r="D26" s="215"/>
      <c r="E26" s="215"/>
      <c r="F26" s="215"/>
      <c r="G26" s="215"/>
      <c r="H26" s="215"/>
      <c r="I26" s="212">
        <f>I23</f>
        <v>1396052.0419999999</v>
      </c>
      <c r="J26" s="212"/>
      <c r="K26" s="217">
        <f>I26/'Dados Gerais'!E15</f>
        <v>83.456852562466253</v>
      </c>
      <c r="L26" s="217"/>
    </row>
  </sheetData>
  <mergeCells count="33">
    <mergeCell ref="A26:H26"/>
    <mergeCell ref="I26:J26"/>
    <mergeCell ref="K26:L26"/>
    <mergeCell ref="B10:F10"/>
    <mergeCell ref="J10:K10"/>
    <mergeCell ref="A14:C14"/>
    <mergeCell ref="D14:E14"/>
    <mergeCell ref="F14:G14"/>
    <mergeCell ref="I14:J14"/>
    <mergeCell ref="A16:C16"/>
    <mergeCell ref="I16:J16"/>
    <mergeCell ref="A15:C15"/>
    <mergeCell ref="I15:J15"/>
    <mergeCell ref="A24:H24"/>
    <mergeCell ref="A20:C20"/>
    <mergeCell ref="I20:J20"/>
    <mergeCell ref="A2:K4"/>
    <mergeCell ref="B7:K7"/>
    <mergeCell ref="B8:K8"/>
    <mergeCell ref="J9:K9"/>
    <mergeCell ref="B9:F9"/>
    <mergeCell ref="A21:C21"/>
    <mergeCell ref="I21:J21"/>
    <mergeCell ref="A22:C22"/>
    <mergeCell ref="I22:J22"/>
    <mergeCell ref="A23:H23"/>
    <mergeCell ref="I23:J23"/>
    <mergeCell ref="A17:C17"/>
    <mergeCell ref="I17:J17"/>
    <mergeCell ref="A18:C18"/>
    <mergeCell ref="I18:J18"/>
    <mergeCell ref="A19:C19"/>
    <mergeCell ref="I19:J19"/>
  </mergeCells>
  <dataValidations disablePrompts="1" count="1">
    <dataValidation type="list" allowBlank="1" showInputMessage="1" showErrorMessage="1" sqref="J10" xr:uid="{89DBE56F-99AE-44A2-84B4-9854D86A2E07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C66"/>
  </sheetPr>
  <dimension ref="A1:M31"/>
  <sheetViews>
    <sheetView showGridLines="0" tabSelected="1" topLeftCell="A9" zoomScale="91" zoomScaleNormal="91" zoomScaleSheetLayoutView="95" workbookViewId="0">
      <selection activeCell="A28" sqref="A28:H28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0.7109375" style="18" customWidth="1"/>
    <col min="7" max="7" width="15.85546875" style="11" customWidth="1"/>
    <col min="8" max="8" width="12.85546875" style="11" customWidth="1"/>
    <col min="9" max="9" width="10.5703125" style="11" bestFit="1" customWidth="1"/>
    <col min="10" max="10" width="16.7109375" style="11" customWidth="1"/>
    <col min="11" max="11" width="6.42578125" style="11" customWidth="1"/>
    <col min="12" max="12" width="11.28515625" style="11" bestFit="1" customWidth="1"/>
    <col min="13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122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x14ac:dyDescent="0.25">
      <c r="A12" s="21" t="s">
        <v>347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5" customHeight="1" x14ac:dyDescent="0.25">
      <c r="A13" s="25"/>
      <c r="B13" s="26"/>
      <c r="C13" s="26"/>
      <c r="D13" s="61"/>
      <c r="E13" s="68"/>
      <c r="F13" s="26"/>
      <c r="G13" s="26"/>
      <c r="H13" s="26"/>
      <c r="K13" s="27"/>
    </row>
    <row r="14" spans="1:13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95" customHeight="1" x14ac:dyDescent="0.25">
      <c r="A15" s="246" t="s">
        <v>263</v>
      </c>
      <c r="B15" s="247"/>
      <c r="C15" s="248"/>
      <c r="D15" s="142">
        <f>+'Dados Gerais'!E15*F15</f>
        <v>11947.270000000004</v>
      </c>
      <c r="E15" s="76" t="s">
        <v>17</v>
      </c>
      <c r="F15" s="72">
        <f>1-F18</f>
        <v>0.71421517315754657</v>
      </c>
      <c r="G15" s="29" t="s">
        <v>115</v>
      </c>
      <c r="H15" s="79" t="s">
        <v>161</v>
      </c>
      <c r="I15" s="201">
        <f>+D15*60</f>
        <v>716836.20000000019</v>
      </c>
      <c r="J15" s="203"/>
      <c r="K15" s="27"/>
      <c r="M15" s="11" t="s">
        <v>314</v>
      </c>
    </row>
    <row r="16" spans="1:13" ht="15.95" customHeight="1" x14ac:dyDescent="0.25">
      <c r="A16" s="179" t="s">
        <v>119</v>
      </c>
      <c r="B16" s="180"/>
      <c r="C16" s="181"/>
      <c r="D16" s="141">
        <f>+F16*'Dados Gerais'!$E$15</f>
        <v>11947.270000000004</v>
      </c>
      <c r="E16" s="62" t="s">
        <v>19</v>
      </c>
      <c r="F16" s="73">
        <f>1-F18</f>
        <v>0.71421517315754657</v>
      </c>
      <c r="G16" s="32" t="s">
        <v>167</v>
      </c>
      <c r="H16" s="77" t="s">
        <v>161</v>
      </c>
      <c r="I16" s="182">
        <f>+D16*22</f>
        <v>262839.94000000006</v>
      </c>
      <c r="J16" s="184"/>
      <c r="K16" s="31"/>
      <c r="M16" s="12" t="s">
        <v>315</v>
      </c>
    </row>
    <row r="17" spans="1:13" ht="15.95" customHeight="1" x14ac:dyDescent="0.25">
      <c r="A17" s="179" t="s">
        <v>350</v>
      </c>
      <c r="B17" s="180"/>
      <c r="C17" s="181"/>
      <c r="D17" s="141">
        <f>305.4+(11+3.42)*2*6+(4.1+8.1+6+6.45+1.78+3)*27+(4+11.72+6.5+1.72+3+2*1.5)+(5.73+2.2+13.9+4.86)+(7.4+0.5+7.3+3)</f>
        <v>1347.88</v>
      </c>
      <c r="E17" s="62" t="s">
        <v>19</v>
      </c>
      <c r="F17" s="73">
        <f>D17/'Dados Gerais'!E15</f>
        <v>8.0577098165153516E-2</v>
      </c>
      <c r="G17" s="32" t="s">
        <v>167</v>
      </c>
      <c r="H17" s="77" t="s">
        <v>161</v>
      </c>
      <c r="I17" s="182">
        <f>+D17*96</f>
        <v>129396.48000000001</v>
      </c>
      <c r="J17" s="184"/>
      <c r="K17" s="31"/>
      <c r="M17" s="11" t="s">
        <v>316</v>
      </c>
    </row>
    <row r="18" spans="1:13" ht="15.95" customHeight="1" x14ac:dyDescent="0.25">
      <c r="A18" s="238" t="s">
        <v>125</v>
      </c>
      <c r="B18" s="239"/>
      <c r="C18" s="240"/>
      <c r="D18" s="141">
        <f>'Dados Gerais'!E27+'Rev. Internos Piso e Parede'!D15</f>
        <v>4780.5599999999995</v>
      </c>
      <c r="E18" s="76" t="s">
        <v>17</v>
      </c>
      <c r="F18" s="73">
        <f>D18/'Dados Gerais'!E15</f>
        <v>0.28578482684245349</v>
      </c>
      <c r="G18" s="36" t="s">
        <v>24</v>
      </c>
      <c r="H18" s="104" t="s">
        <v>161</v>
      </c>
      <c r="I18" s="185">
        <f>D18*20</f>
        <v>95611.199999999983</v>
      </c>
      <c r="J18" s="187"/>
      <c r="K18" s="31"/>
      <c r="M18" s="11" t="s">
        <v>317</v>
      </c>
    </row>
    <row r="19" spans="1:13" ht="15.95" customHeight="1" x14ac:dyDescent="0.25">
      <c r="A19" s="215" t="s">
        <v>42</v>
      </c>
      <c r="B19" s="215"/>
      <c r="C19" s="215"/>
      <c r="D19" s="215"/>
      <c r="E19" s="215"/>
      <c r="F19" s="215"/>
      <c r="G19" s="215"/>
      <c r="H19" s="215"/>
      <c r="I19" s="212">
        <f>SUM(I15:J18)</f>
        <v>1204683.8200000003</v>
      </c>
      <c r="J19" s="212"/>
      <c r="K19" s="35"/>
      <c r="M19" s="11" t="s">
        <v>119</v>
      </c>
    </row>
    <row r="20" spans="1:13" ht="15.95" customHeight="1" x14ac:dyDescent="0.25">
      <c r="A20" s="177"/>
      <c r="B20" s="178"/>
      <c r="C20" s="178"/>
      <c r="D20" s="178"/>
      <c r="E20" s="178"/>
      <c r="F20" s="178"/>
      <c r="G20" s="178"/>
      <c r="H20" s="178"/>
      <c r="I20" s="86"/>
      <c r="J20" s="37"/>
      <c r="K20" s="39"/>
    </row>
    <row r="21" spans="1:13" x14ac:dyDescent="0.25">
      <c r="A21" s="21" t="s">
        <v>348</v>
      </c>
      <c r="B21" s="22"/>
      <c r="C21" s="22"/>
      <c r="D21" s="59"/>
      <c r="E21" s="41"/>
      <c r="F21" s="23"/>
      <c r="G21" s="22"/>
      <c r="H21" s="22"/>
      <c r="I21" s="22"/>
      <c r="J21" s="22"/>
      <c r="K21" s="24"/>
    </row>
    <row r="22" spans="1:13" x14ac:dyDescent="0.25">
      <c r="A22" s="25"/>
      <c r="B22" s="26"/>
      <c r="C22" s="26"/>
      <c r="D22" s="61"/>
      <c r="E22" s="68"/>
      <c r="F22" s="26"/>
      <c r="G22" s="26"/>
      <c r="H22" s="26"/>
      <c r="K22" s="27"/>
    </row>
    <row r="23" spans="1:13" x14ac:dyDescent="0.25">
      <c r="A23" s="194" t="s">
        <v>34</v>
      </c>
      <c r="B23" s="195"/>
      <c r="C23" s="195"/>
      <c r="D23" s="213" t="s">
        <v>49</v>
      </c>
      <c r="E23" s="214"/>
      <c r="F23" s="197" t="s">
        <v>23</v>
      </c>
      <c r="G23" s="199"/>
      <c r="H23" s="28" t="s">
        <v>39</v>
      </c>
      <c r="I23" s="197" t="s">
        <v>38</v>
      </c>
      <c r="J23" s="199"/>
      <c r="K23" s="27"/>
    </row>
    <row r="24" spans="1:13" x14ac:dyDescent="0.25">
      <c r="A24" s="246" t="s">
        <v>349</v>
      </c>
      <c r="B24" s="247"/>
      <c r="C24" s="248"/>
      <c r="D24" s="142">
        <f>+'Dados Gerais'!E15*F24</f>
        <v>11947.270000000004</v>
      </c>
      <c r="E24" s="76" t="s">
        <v>17</v>
      </c>
      <c r="F24" s="72">
        <f>1-F27</f>
        <v>0.71421517315754657</v>
      </c>
      <c r="G24" s="29" t="s">
        <v>115</v>
      </c>
      <c r="H24" s="79" t="s">
        <v>161</v>
      </c>
      <c r="I24" s="201">
        <f>+D24*100</f>
        <v>1194727.0000000005</v>
      </c>
      <c r="J24" s="203"/>
      <c r="K24" s="27"/>
    </row>
    <row r="25" spans="1:13" x14ac:dyDescent="0.25">
      <c r="A25" s="179" t="s">
        <v>119</v>
      </c>
      <c r="B25" s="180"/>
      <c r="C25" s="181"/>
      <c r="D25" s="141">
        <f>+F25*'Dados Gerais'!$E$15</f>
        <v>11947.270000000004</v>
      </c>
      <c r="E25" s="62" t="s">
        <v>19</v>
      </c>
      <c r="F25" s="73">
        <f>1-F27</f>
        <v>0.71421517315754657</v>
      </c>
      <c r="G25" s="32" t="s">
        <v>167</v>
      </c>
      <c r="H25" s="77" t="s">
        <v>161</v>
      </c>
      <c r="I25" s="182">
        <f>+D25*22</f>
        <v>262839.94000000006</v>
      </c>
      <c r="J25" s="184"/>
      <c r="K25" s="31"/>
    </row>
    <row r="26" spans="1:13" x14ac:dyDescent="0.25">
      <c r="A26" s="179" t="s">
        <v>350</v>
      </c>
      <c r="B26" s="180"/>
      <c r="C26" s="181"/>
      <c r="D26" s="141">
        <f>305.4+(11+3.42)*2*6+(4.1+8.1+6+6.45+1.78+3)*27+(4+11.72+6.5+1.72+3+2*1.5)+(5.73+2.2+13.9+4.86)+(7.4+0.5+7.3+3)</f>
        <v>1347.88</v>
      </c>
      <c r="E26" s="62" t="s">
        <v>19</v>
      </c>
      <c r="F26" s="73">
        <f>D26/'Dados Gerais'!E15</f>
        <v>8.0577098165153516E-2</v>
      </c>
      <c r="G26" s="32" t="s">
        <v>167</v>
      </c>
      <c r="H26" s="77" t="s">
        <v>161</v>
      </c>
      <c r="I26" s="182">
        <f>+D26*96</f>
        <v>129396.48000000001</v>
      </c>
      <c r="J26" s="184"/>
      <c r="K26" s="31"/>
    </row>
    <row r="27" spans="1:13" x14ac:dyDescent="0.25">
      <c r="A27" s="238" t="s">
        <v>125</v>
      </c>
      <c r="B27" s="239"/>
      <c r="C27" s="240"/>
      <c r="D27" s="141">
        <f>'Dados Gerais'!E27+'Rev. Internos Piso e Parede'!D15</f>
        <v>4780.5599999999995</v>
      </c>
      <c r="E27" s="76" t="s">
        <v>17</v>
      </c>
      <c r="F27" s="73">
        <f>D27/'Dados Gerais'!E15</f>
        <v>0.28578482684245349</v>
      </c>
      <c r="G27" s="36" t="s">
        <v>24</v>
      </c>
      <c r="H27" s="104" t="s">
        <v>161</v>
      </c>
      <c r="I27" s="185">
        <f>D27*20</f>
        <v>95611.199999999983</v>
      </c>
      <c r="J27" s="187"/>
      <c r="K27" s="31"/>
    </row>
    <row r="28" spans="1:13" x14ac:dyDescent="0.25">
      <c r="A28" s="215" t="s">
        <v>42</v>
      </c>
      <c r="B28" s="215"/>
      <c r="C28" s="215"/>
      <c r="D28" s="215"/>
      <c r="E28" s="215"/>
      <c r="F28" s="215"/>
      <c r="G28" s="215"/>
      <c r="H28" s="215"/>
      <c r="I28" s="212">
        <f>SUM(I24:J27)</f>
        <v>1682574.6200000003</v>
      </c>
      <c r="J28" s="212"/>
      <c r="K28" s="35"/>
    </row>
    <row r="29" spans="1:13" x14ac:dyDescent="0.25">
      <c r="A29" s="177"/>
      <c r="B29" s="178"/>
      <c r="C29" s="178"/>
      <c r="D29" s="178"/>
      <c r="E29" s="178"/>
      <c r="F29" s="178"/>
      <c r="G29" s="178"/>
      <c r="H29" s="178"/>
      <c r="I29" s="86"/>
      <c r="J29" s="37"/>
      <c r="K29" s="39"/>
    </row>
    <row r="31" spans="1:13" x14ac:dyDescent="0.25">
      <c r="I31" s="26" t="s">
        <v>351</v>
      </c>
      <c r="J31" s="134">
        <f>I28-I19</f>
        <v>477890.80000000005</v>
      </c>
    </row>
  </sheetData>
  <mergeCells count="37">
    <mergeCell ref="A28:H28"/>
    <mergeCell ref="I28:J28"/>
    <mergeCell ref="A29:H29"/>
    <mergeCell ref="A17:C17"/>
    <mergeCell ref="I17:J17"/>
    <mergeCell ref="A26:C26"/>
    <mergeCell ref="I26:J26"/>
    <mergeCell ref="A24:C24"/>
    <mergeCell ref="I24:J24"/>
    <mergeCell ref="A25:C25"/>
    <mergeCell ref="I25:J25"/>
    <mergeCell ref="A27:C27"/>
    <mergeCell ref="I27:J27"/>
    <mergeCell ref="A23:C23"/>
    <mergeCell ref="D23:E23"/>
    <mergeCell ref="F23:G23"/>
    <mergeCell ref="I23:J23"/>
    <mergeCell ref="A14:C14"/>
    <mergeCell ref="D14:E14"/>
    <mergeCell ref="F14:G14"/>
    <mergeCell ref="I14:J14"/>
    <mergeCell ref="A15:C15"/>
    <mergeCell ref="I15:J15"/>
    <mergeCell ref="A20:H20"/>
    <mergeCell ref="A16:C16"/>
    <mergeCell ref="I16:J16"/>
    <mergeCell ref="A19:H19"/>
    <mergeCell ref="I19:J19"/>
    <mergeCell ref="A18:C18"/>
    <mergeCell ref="I18:J18"/>
    <mergeCell ref="B10:F10"/>
    <mergeCell ref="J10:K10"/>
    <mergeCell ref="A2:K4"/>
    <mergeCell ref="B7:K7"/>
    <mergeCell ref="B8:K8"/>
    <mergeCell ref="B9:F9"/>
    <mergeCell ref="J9:K9"/>
  </mergeCells>
  <dataValidations disablePrompts="1" count="1">
    <dataValidation type="list" allowBlank="1" showInputMessage="1" showErrorMessage="1" sqref="J10" xr:uid="{55D19011-F664-4FD9-8C87-9DC54BC260D8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C66"/>
  </sheetPr>
  <dimension ref="A1:M24"/>
  <sheetViews>
    <sheetView showGridLines="0" topLeftCell="A16" zoomScale="140" zoomScaleNormal="140" zoomScaleSheetLayoutView="95" workbookViewId="0">
      <selection activeCell="D16" sqref="D16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0.7109375" style="18" customWidth="1"/>
    <col min="7" max="7" width="15.85546875" style="11" customWidth="1"/>
    <col min="8" max="8" width="15.140625" style="11" customWidth="1"/>
    <col min="9" max="9" width="9.28515625" style="11" customWidth="1"/>
    <col min="10" max="10" width="7.28515625" style="11" bestFit="1" customWidth="1"/>
    <col min="11" max="11" width="13.140625" style="11" bestFit="1" customWidth="1"/>
    <col min="12" max="12" width="11.28515625" style="11" bestFit="1" customWidth="1"/>
    <col min="13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123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x14ac:dyDescent="0.25">
      <c r="A12" s="21" t="s">
        <v>149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95" customHeight="1" x14ac:dyDescent="0.25">
      <c r="A15" s="179" t="s">
        <v>267</v>
      </c>
      <c r="B15" s="180"/>
      <c r="C15" s="181"/>
      <c r="D15" s="131">
        <f>'Dados Gerais'!E24-'Dados Gerais'!E27-873</f>
        <v>4016.0199999999995</v>
      </c>
      <c r="E15" s="62" t="s">
        <v>17</v>
      </c>
      <c r="F15" s="49">
        <v>80</v>
      </c>
      <c r="G15" s="32" t="s">
        <v>66</v>
      </c>
      <c r="H15" s="77" t="s">
        <v>161</v>
      </c>
      <c r="I15" s="182">
        <f>F15*D15</f>
        <v>321281.59999999998</v>
      </c>
      <c r="J15" s="184"/>
      <c r="K15" s="27"/>
      <c r="M15" s="11" t="s">
        <v>323</v>
      </c>
    </row>
    <row r="16" spans="1:13" ht="15.95" customHeight="1" x14ac:dyDescent="0.25">
      <c r="A16" s="179" t="s">
        <v>118</v>
      </c>
      <c r="B16" s="180"/>
      <c r="C16" s="181"/>
      <c r="D16" s="73">
        <f>+'Dados Gerais'!$E$15-'Dados Gerais'!E27-D15</f>
        <v>11947.27</v>
      </c>
      <c r="E16" s="62" t="s">
        <v>17</v>
      </c>
      <c r="F16" s="49">
        <f>D16/'Dados Gerais'!E15</f>
        <v>0.71421517315754635</v>
      </c>
      <c r="G16" s="32" t="s">
        <v>115</v>
      </c>
      <c r="H16" s="77" t="s">
        <v>161</v>
      </c>
      <c r="I16" s="182">
        <f>+D16*65</f>
        <v>776572.55</v>
      </c>
      <c r="J16" s="184"/>
      <c r="K16" s="27"/>
      <c r="M16" s="11" t="s">
        <v>320</v>
      </c>
    </row>
    <row r="17" spans="1:13" ht="15.95" customHeight="1" x14ac:dyDescent="0.25">
      <c r="A17" s="179" t="s">
        <v>255</v>
      </c>
      <c r="B17" s="180"/>
      <c r="C17" s="181"/>
      <c r="D17" s="131">
        <f>D16-'Dados Gerais'!E22</f>
        <v>10790.51</v>
      </c>
      <c r="E17" s="62" t="s">
        <v>17</v>
      </c>
      <c r="F17" s="49">
        <f>D17/'Dados Gerais'!E15</f>
        <v>0.64506334653090081</v>
      </c>
      <c r="G17" s="32" t="s">
        <v>115</v>
      </c>
      <c r="H17" s="77" t="s">
        <v>161</v>
      </c>
      <c r="I17" s="182">
        <f>+D17*25</f>
        <v>269762.75</v>
      </c>
      <c r="J17" s="184"/>
      <c r="K17" s="27"/>
      <c r="M17" s="11" t="s">
        <v>318</v>
      </c>
    </row>
    <row r="18" spans="1:13" ht="27" customHeight="1" x14ac:dyDescent="0.25">
      <c r="A18" s="243" t="s">
        <v>116</v>
      </c>
      <c r="B18" s="244"/>
      <c r="C18" s="245"/>
      <c r="D18" s="75">
        <f>+'Dados Gerais'!$E$15*'Rev. Internos Piso e Parede'!F18</f>
        <v>26764.528000000006</v>
      </c>
      <c r="E18" s="76" t="s">
        <v>17</v>
      </c>
      <c r="F18" s="51">
        <v>1.6</v>
      </c>
      <c r="G18" s="52" t="s">
        <v>115</v>
      </c>
      <c r="H18" s="80" t="s">
        <v>161</v>
      </c>
      <c r="I18" s="182">
        <f>+D18*5</f>
        <v>133822.64000000001</v>
      </c>
      <c r="J18" s="184"/>
      <c r="K18" s="31"/>
      <c r="M18" s="11" t="s">
        <v>319</v>
      </c>
    </row>
    <row r="19" spans="1:13" ht="27" customHeight="1" x14ac:dyDescent="0.25">
      <c r="A19" s="179" t="s">
        <v>117</v>
      </c>
      <c r="B19" s="180"/>
      <c r="C19" s="181"/>
      <c r="D19" s="75">
        <f>+'Dados Gerais'!$E$15*'Rev. Internos Piso e Parede'!F19</f>
        <v>26764.528000000006</v>
      </c>
      <c r="E19" s="76" t="s">
        <v>17</v>
      </c>
      <c r="F19" s="51">
        <v>1.6</v>
      </c>
      <c r="G19" s="52" t="s">
        <v>115</v>
      </c>
      <c r="H19" s="80" t="s">
        <v>161</v>
      </c>
      <c r="I19" s="182">
        <f>50*D19</f>
        <v>1338226.4000000004</v>
      </c>
      <c r="J19" s="184"/>
      <c r="K19" s="31"/>
    </row>
    <row r="20" spans="1:13" ht="15.95" customHeight="1" x14ac:dyDescent="0.25">
      <c r="A20" s="179" t="s">
        <v>125</v>
      </c>
      <c r="B20" s="180"/>
      <c r="C20" s="181"/>
      <c r="D20" s="75">
        <v>1</v>
      </c>
      <c r="E20" s="76" t="s">
        <v>65</v>
      </c>
      <c r="F20" s="51">
        <v>1</v>
      </c>
      <c r="G20" s="52" t="s">
        <v>24</v>
      </c>
      <c r="H20" s="80" t="s">
        <v>161</v>
      </c>
      <c r="I20" s="182">
        <f>+F20*'Dados Gerais'!$E$15</f>
        <v>16727.830000000002</v>
      </c>
      <c r="J20" s="184"/>
      <c r="K20" s="31"/>
    </row>
    <row r="21" spans="1:13" ht="15.95" customHeight="1" x14ac:dyDescent="0.25">
      <c r="A21" s="215" t="s">
        <v>42</v>
      </c>
      <c r="B21" s="215"/>
      <c r="C21" s="215"/>
      <c r="D21" s="215"/>
      <c r="E21" s="215"/>
      <c r="F21" s="215"/>
      <c r="G21" s="215"/>
      <c r="H21" s="215"/>
      <c r="I21" s="212">
        <f>SUM(I15:J20)</f>
        <v>2856393.7700000005</v>
      </c>
      <c r="J21" s="212"/>
      <c r="K21" s="35"/>
    </row>
    <row r="22" spans="1:13" ht="15.95" customHeight="1" x14ac:dyDescent="0.25">
      <c r="A22" s="177"/>
      <c r="B22" s="178"/>
      <c r="C22" s="178"/>
      <c r="D22" s="178"/>
      <c r="E22" s="178"/>
      <c r="F22" s="178"/>
      <c r="G22" s="178"/>
      <c r="H22" s="178"/>
      <c r="I22" s="86"/>
      <c r="J22" s="37"/>
      <c r="K22" s="39"/>
    </row>
    <row r="24" spans="1:13" x14ac:dyDescent="0.25">
      <c r="A24" s="215" t="s">
        <v>304</v>
      </c>
      <c r="B24" s="215"/>
      <c r="C24" s="215"/>
      <c r="D24" s="215"/>
      <c r="E24" s="215"/>
      <c r="F24" s="215"/>
      <c r="G24" s="215"/>
      <c r="H24" s="215"/>
      <c r="I24" s="212">
        <f>I21</f>
        <v>2856393.7700000005</v>
      </c>
      <c r="J24" s="212"/>
      <c r="K24" s="217">
        <f>I24/'Dados Gerais'!E15</f>
        <v>170.75698222662476</v>
      </c>
      <c r="L24" s="217"/>
    </row>
  </sheetData>
  <mergeCells count="29">
    <mergeCell ref="A17:C17"/>
    <mergeCell ref="I17:J17"/>
    <mergeCell ref="B10:F10"/>
    <mergeCell ref="J10:K10"/>
    <mergeCell ref="A16:C16"/>
    <mergeCell ref="I16:J16"/>
    <mergeCell ref="A15:C15"/>
    <mergeCell ref="I15:J15"/>
    <mergeCell ref="A2:K4"/>
    <mergeCell ref="B7:K7"/>
    <mergeCell ref="B8:K8"/>
    <mergeCell ref="J9:K9"/>
    <mergeCell ref="A14:C14"/>
    <mergeCell ref="D14:E14"/>
    <mergeCell ref="F14:G14"/>
    <mergeCell ref="I14:J14"/>
    <mergeCell ref="B9:F9"/>
    <mergeCell ref="A18:C18"/>
    <mergeCell ref="I18:J18"/>
    <mergeCell ref="A19:C19"/>
    <mergeCell ref="I19:J19"/>
    <mergeCell ref="A20:C20"/>
    <mergeCell ref="I20:J20"/>
    <mergeCell ref="A24:H24"/>
    <mergeCell ref="I24:J24"/>
    <mergeCell ref="K24:L24"/>
    <mergeCell ref="A22:H22"/>
    <mergeCell ref="A21:H21"/>
    <mergeCell ref="I21:J21"/>
  </mergeCells>
  <dataValidations disablePrompts="1" count="1">
    <dataValidation type="list" allowBlank="1" showInputMessage="1" showErrorMessage="1" sqref="J10" xr:uid="{C038A840-7B2C-4767-8D82-AE39097AC938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C66"/>
  </sheetPr>
  <dimension ref="A1:M88"/>
  <sheetViews>
    <sheetView showGridLines="0" topLeftCell="A10" zoomScaleNormal="100" zoomScaleSheetLayoutView="95" workbookViewId="0">
      <selection activeCell="S28" sqref="S28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0.710937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5.7109375" style="11" customWidth="1"/>
    <col min="11" max="11" width="8.140625" style="11" customWidth="1"/>
    <col min="12" max="12" width="13.140625" style="11" bestFit="1" customWidth="1"/>
    <col min="13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124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x14ac:dyDescent="0.25">
      <c r="A12" s="21" t="s">
        <v>359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  <c r="M14" s="12" t="s">
        <v>321</v>
      </c>
    </row>
    <row r="15" spans="1:13" ht="15.95" customHeight="1" x14ac:dyDescent="0.25">
      <c r="A15" s="179" t="s">
        <v>332</v>
      </c>
      <c r="B15" s="180"/>
      <c r="C15" s="181"/>
      <c r="D15" s="111">
        <f>E33+E38+E49+E50+E51+E53+E54+E55+E63*6+E69+E76*27+E81+E86+E64*6+E70+E77*27+E82+E87</f>
        <v>6065.0000000000009</v>
      </c>
      <c r="E15" s="76" t="s">
        <v>186</v>
      </c>
      <c r="F15" s="138">
        <f>80+48</f>
        <v>128</v>
      </c>
      <c r="G15" s="52" t="s">
        <v>66</v>
      </c>
      <c r="H15" s="80" t="s">
        <v>161</v>
      </c>
      <c r="I15" s="182">
        <f>+F15*D15</f>
        <v>776320.00000000012</v>
      </c>
      <c r="J15" s="184"/>
      <c r="K15" s="27"/>
      <c r="L15" s="81"/>
      <c r="M15" s="12" t="s">
        <v>322</v>
      </c>
    </row>
    <row r="16" spans="1:13" ht="15.95" customHeight="1" x14ac:dyDescent="0.25">
      <c r="A16" s="179" t="s">
        <v>333</v>
      </c>
      <c r="B16" s="180"/>
      <c r="C16" s="181"/>
      <c r="D16" s="111">
        <f>E34+E35+E36+E37+E39+E40+E41</f>
        <v>174.93</v>
      </c>
      <c r="E16" s="76" t="s">
        <v>186</v>
      </c>
      <c r="F16" s="138">
        <v>105</v>
      </c>
      <c r="G16" s="52" t="s">
        <v>66</v>
      </c>
      <c r="H16" s="80" t="s">
        <v>161</v>
      </c>
      <c r="I16" s="182">
        <f t="shared" ref="I16:I23" si="0">+F16*D16</f>
        <v>18367.650000000001</v>
      </c>
      <c r="J16" s="184"/>
      <c r="K16" s="27"/>
      <c r="L16" s="81"/>
      <c r="M16" s="12"/>
    </row>
    <row r="17" spans="1:13" ht="15.95" customHeight="1" x14ac:dyDescent="0.25">
      <c r="A17" s="179" t="s">
        <v>418</v>
      </c>
      <c r="B17" s="180"/>
      <c r="C17" s="181"/>
      <c r="D17" s="111">
        <f>E34+E35</f>
        <v>49.85</v>
      </c>
      <c r="E17" s="76" t="s">
        <v>186</v>
      </c>
      <c r="F17" s="138">
        <v>75</v>
      </c>
      <c r="G17" s="52" t="s">
        <v>66</v>
      </c>
      <c r="H17" s="80" t="s">
        <v>161</v>
      </c>
      <c r="I17" s="182">
        <f t="shared" si="0"/>
        <v>3738.75</v>
      </c>
      <c r="J17" s="184"/>
      <c r="K17" s="27"/>
      <c r="L17" s="81"/>
      <c r="M17" s="12"/>
    </row>
    <row r="18" spans="1:13" ht="15.95" customHeight="1" x14ac:dyDescent="0.25">
      <c r="A18" s="249" t="s">
        <v>279</v>
      </c>
      <c r="B18" s="250"/>
      <c r="C18" s="251"/>
      <c r="D18" s="111">
        <f>E52+E65*6+E71+E78*27</f>
        <v>3053.75</v>
      </c>
      <c r="E18" s="76" t="s">
        <v>186</v>
      </c>
      <c r="F18" s="138">
        <f>250</f>
        <v>250</v>
      </c>
      <c r="G18" s="52" t="s">
        <v>66</v>
      </c>
      <c r="H18" s="80" t="s">
        <v>161</v>
      </c>
      <c r="I18" s="182">
        <f t="shared" si="0"/>
        <v>763437.5</v>
      </c>
      <c r="J18" s="184"/>
      <c r="K18" s="27"/>
      <c r="L18" s="81"/>
    </row>
    <row r="19" spans="1:13" ht="15.95" customHeight="1" x14ac:dyDescent="0.25">
      <c r="A19" s="179" t="s">
        <v>360</v>
      </c>
      <c r="B19" s="180"/>
      <c r="C19" s="181"/>
      <c r="D19" s="111">
        <f>E45*5+315.93</f>
        <v>714.53</v>
      </c>
      <c r="E19" s="76" t="s">
        <v>186</v>
      </c>
      <c r="F19" s="138">
        <v>17</v>
      </c>
      <c r="G19" s="52" t="s">
        <v>66</v>
      </c>
      <c r="H19" s="80" t="s">
        <v>161</v>
      </c>
      <c r="I19" s="182">
        <f t="shared" si="0"/>
        <v>12147.01</v>
      </c>
      <c r="J19" s="184"/>
      <c r="K19" s="27"/>
      <c r="M19" s="132" t="s">
        <v>336</v>
      </c>
    </row>
    <row r="20" spans="1:13" ht="15.95" customHeight="1" x14ac:dyDescent="0.25">
      <c r="A20" s="179" t="s">
        <v>334</v>
      </c>
      <c r="B20" s="180"/>
      <c r="C20" s="181"/>
      <c r="D20" s="111">
        <f>E59+E88+E72</f>
        <v>688.91</v>
      </c>
      <c r="E20" s="76" t="s">
        <v>186</v>
      </c>
      <c r="F20" s="138">
        <v>105</v>
      </c>
      <c r="G20" s="52" t="s">
        <v>66</v>
      </c>
      <c r="H20" s="80" t="s">
        <v>161</v>
      </c>
      <c r="I20" s="182">
        <f t="shared" si="0"/>
        <v>72335.55</v>
      </c>
      <c r="J20" s="184"/>
      <c r="K20" s="27"/>
      <c r="M20" s="132" t="s">
        <v>337</v>
      </c>
    </row>
    <row r="21" spans="1:13" ht="15.95" customHeight="1" x14ac:dyDescent="0.25">
      <c r="A21" s="179" t="s">
        <v>335</v>
      </c>
      <c r="B21" s="180"/>
      <c r="C21" s="181"/>
      <c r="D21" s="111">
        <f>E58+E57+14.38*0.5+(19.84+10.31+2.04+11.6+7.46)*1.5-51.81+50</f>
        <v>146.845</v>
      </c>
      <c r="E21" s="76" t="s">
        <v>186</v>
      </c>
      <c r="F21" s="138">
        <v>230</v>
      </c>
      <c r="G21" s="52" t="s">
        <v>66</v>
      </c>
      <c r="H21" s="80" t="s">
        <v>161</v>
      </c>
      <c r="I21" s="182">
        <f t="shared" si="0"/>
        <v>33774.35</v>
      </c>
      <c r="J21" s="184"/>
      <c r="K21" s="27"/>
      <c r="M21" s="132" t="s">
        <v>338</v>
      </c>
    </row>
    <row r="22" spans="1:13" ht="15.95" customHeight="1" x14ac:dyDescent="0.25">
      <c r="A22" s="179" t="s">
        <v>419</v>
      </c>
      <c r="B22" s="180"/>
      <c r="C22" s="181"/>
      <c r="D22" s="111">
        <v>51.81</v>
      </c>
      <c r="E22" s="76" t="s">
        <v>186</v>
      </c>
      <c r="F22" s="138">
        <v>230</v>
      </c>
      <c r="G22" s="52" t="s">
        <v>66</v>
      </c>
      <c r="H22" s="80" t="s">
        <v>161</v>
      </c>
      <c r="I22" s="182">
        <f t="shared" ref="I22" si="1">+F22*D22</f>
        <v>11916.300000000001</v>
      </c>
      <c r="J22" s="184"/>
      <c r="K22" s="27"/>
    </row>
    <row r="23" spans="1:13" ht="15.95" customHeight="1" x14ac:dyDescent="0.25">
      <c r="A23" s="179" t="s">
        <v>417</v>
      </c>
      <c r="B23" s="180"/>
      <c r="C23" s="181"/>
      <c r="D23" s="111">
        <f>E56</f>
        <v>63.12</v>
      </c>
      <c r="E23" s="76" t="s">
        <v>186</v>
      </c>
      <c r="F23" s="138">
        <v>145</v>
      </c>
      <c r="G23" s="52" t="s">
        <v>66</v>
      </c>
      <c r="H23" s="80" t="s">
        <v>161</v>
      </c>
      <c r="I23" s="182">
        <f t="shared" si="0"/>
        <v>9152.4</v>
      </c>
      <c r="J23" s="184"/>
      <c r="K23" s="27"/>
    </row>
    <row r="24" spans="1:13" ht="15.95" customHeight="1" x14ac:dyDescent="0.25">
      <c r="A24" s="179" t="s">
        <v>135</v>
      </c>
      <c r="B24" s="180"/>
      <c r="C24" s="181"/>
      <c r="D24" s="111">
        <v>1</v>
      </c>
      <c r="E24" s="76" t="s">
        <v>65</v>
      </c>
      <c r="F24" s="138">
        <v>50</v>
      </c>
      <c r="G24" s="52" t="s">
        <v>24</v>
      </c>
      <c r="H24" s="80" t="s">
        <v>161</v>
      </c>
      <c r="I24" s="182">
        <f>+F24*'Dados Gerais'!$E$15</f>
        <v>836391.50000000012</v>
      </c>
      <c r="J24" s="184"/>
      <c r="K24" s="27"/>
    </row>
    <row r="25" spans="1:13" ht="15.95" customHeight="1" x14ac:dyDescent="0.25">
      <c r="A25" s="243" t="s">
        <v>446</v>
      </c>
      <c r="B25" s="244"/>
      <c r="C25" s="245"/>
      <c r="D25" s="75">
        <f>'Dados Gerais'!E28*2</f>
        <v>260.60520000000002</v>
      </c>
      <c r="E25" s="76" t="s">
        <v>186</v>
      </c>
      <c r="F25" s="138">
        <v>145</v>
      </c>
      <c r="G25" s="52" t="s">
        <v>66</v>
      </c>
      <c r="H25" s="80" t="s">
        <v>161</v>
      </c>
      <c r="I25" s="182">
        <f>F25*D25</f>
        <v>37787.754000000001</v>
      </c>
      <c r="J25" s="184"/>
      <c r="K25" s="27"/>
    </row>
    <row r="26" spans="1:13" ht="15.95" customHeight="1" x14ac:dyDescent="0.25">
      <c r="A26" s="243" t="s">
        <v>127</v>
      </c>
      <c r="B26" s="244"/>
      <c r="C26" s="245"/>
      <c r="D26" s="75">
        <v>1</v>
      </c>
      <c r="E26" s="76" t="s">
        <v>65</v>
      </c>
      <c r="F26" s="138">
        <v>40</v>
      </c>
      <c r="G26" s="52" t="s">
        <v>24</v>
      </c>
      <c r="H26" s="80" t="s">
        <v>161</v>
      </c>
      <c r="I26" s="182">
        <f>+F26*'Dados Gerais'!$E$15</f>
        <v>669113.20000000007</v>
      </c>
      <c r="J26" s="184"/>
      <c r="K26" s="31"/>
    </row>
    <row r="27" spans="1:13" ht="15.95" customHeight="1" x14ac:dyDescent="0.25">
      <c r="A27" s="215" t="s">
        <v>42</v>
      </c>
      <c r="B27" s="215"/>
      <c r="C27" s="215"/>
      <c r="D27" s="215"/>
      <c r="E27" s="215"/>
      <c r="F27" s="215"/>
      <c r="G27" s="215"/>
      <c r="H27" s="215"/>
      <c r="I27" s="212">
        <f>SUM(I15:J26)</f>
        <v>3244481.9640000006</v>
      </c>
      <c r="J27" s="212"/>
      <c r="K27" s="35"/>
    </row>
    <row r="28" spans="1:13" ht="15.95" customHeight="1" x14ac:dyDescent="0.25">
      <c r="A28" s="177"/>
      <c r="B28" s="178"/>
      <c r="C28" s="178"/>
      <c r="D28" s="178"/>
      <c r="E28" s="178"/>
      <c r="F28" s="178"/>
      <c r="G28" s="178"/>
      <c r="H28" s="178"/>
      <c r="I28" s="86"/>
      <c r="J28" s="37"/>
      <c r="K28" s="39"/>
    </row>
    <row r="29" spans="1:13" ht="15.95" customHeight="1" x14ac:dyDescent="0.25">
      <c r="A29" s="139"/>
      <c r="B29" s="140"/>
      <c r="C29" s="140"/>
      <c r="D29" s="140"/>
      <c r="E29" s="140"/>
      <c r="F29" s="140"/>
      <c r="G29" s="140"/>
      <c r="H29" s="140"/>
      <c r="I29" s="86"/>
      <c r="J29" s="37"/>
      <c r="K29" s="39"/>
    </row>
    <row r="30" spans="1:13" x14ac:dyDescent="0.25">
      <c r="A30" s="215" t="s">
        <v>304</v>
      </c>
      <c r="B30" s="215"/>
      <c r="C30" s="215"/>
      <c r="D30" s="215"/>
      <c r="E30" s="215"/>
      <c r="F30" s="215"/>
      <c r="G30" s="215"/>
      <c r="H30" s="215"/>
      <c r="I30" s="212">
        <f>I27</f>
        <v>3244481.9640000006</v>
      </c>
      <c r="J30" s="212"/>
      <c r="K30" s="217">
        <f>I30/'Dados Gerais'!E15</f>
        <v>193.95713394983093</v>
      </c>
      <c r="L30" s="217"/>
    </row>
    <row r="32" spans="1:13" ht="15" x14ac:dyDescent="0.25">
      <c r="D32" t="s">
        <v>361</v>
      </c>
      <c r="E32"/>
      <c r="F32"/>
      <c r="G32"/>
      <c r="H32"/>
      <c r="I32"/>
      <c r="J32"/>
      <c r="K32"/>
      <c r="L32"/>
    </row>
    <row r="33" spans="4:12" ht="15" x14ac:dyDescent="0.25">
      <c r="D33" s="63" t="s">
        <v>362</v>
      </c>
      <c r="E33" s="69">
        <f>397.35+47.48</f>
        <v>444.83000000000004</v>
      </c>
      <c r="F33" t="s">
        <v>384</v>
      </c>
      <c r="G33"/>
      <c r="H33"/>
      <c r="I33"/>
      <c r="J33" s="63" t="s">
        <v>371</v>
      </c>
      <c r="K33" s="69">
        <f>(13.91+5.35)*43</f>
        <v>828.18</v>
      </c>
      <c r="L33" t="s">
        <v>385</v>
      </c>
    </row>
    <row r="34" spans="4:12" ht="15" x14ac:dyDescent="0.25">
      <c r="D34" s="63" t="s">
        <v>363</v>
      </c>
      <c r="E34" s="69">
        <f>0.76+4.56</f>
        <v>5.3199999999999994</v>
      </c>
      <c r="F34" t="s">
        <v>386</v>
      </c>
      <c r="G34"/>
      <c r="H34"/>
      <c r="I34"/>
      <c r="J34"/>
      <c r="K34"/>
      <c r="L34"/>
    </row>
    <row r="35" spans="4:12" ht="15" x14ac:dyDescent="0.25">
      <c r="D35" s="63" t="s">
        <v>364</v>
      </c>
      <c r="E35" s="69">
        <f>28.57+11.67+4.29</f>
        <v>44.53</v>
      </c>
      <c r="F35" t="s">
        <v>386</v>
      </c>
      <c r="G35"/>
      <c r="H35"/>
      <c r="I35"/>
      <c r="J35"/>
      <c r="K35"/>
      <c r="L35"/>
    </row>
    <row r="36" spans="4:12" ht="15" x14ac:dyDescent="0.25">
      <c r="D36" s="63" t="s">
        <v>365</v>
      </c>
      <c r="E36" s="69">
        <v>108</v>
      </c>
      <c r="F36" t="s">
        <v>387</v>
      </c>
      <c r="G36"/>
      <c r="H36"/>
      <c r="I36"/>
      <c r="J36"/>
      <c r="K36"/>
      <c r="L36"/>
    </row>
    <row r="37" spans="4:12" ht="15" x14ac:dyDescent="0.25">
      <c r="D37" s="63" t="s">
        <v>366</v>
      </c>
      <c r="E37" s="69">
        <f>5.46</f>
        <v>5.46</v>
      </c>
      <c r="F37" t="s">
        <v>387</v>
      </c>
      <c r="G37"/>
      <c r="H37"/>
      <c r="I37"/>
      <c r="J37"/>
      <c r="K37"/>
      <c r="L37"/>
    </row>
    <row r="38" spans="4:12" ht="15" x14ac:dyDescent="0.25">
      <c r="D38" s="63" t="s">
        <v>367</v>
      </c>
      <c r="E38" s="69">
        <v>32.200000000000003</v>
      </c>
      <c r="F38" t="s">
        <v>384</v>
      </c>
      <c r="G38"/>
      <c r="H38"/>
      <c r="I38"/>
      <c r="J38"/>
      <c r="K38"/>
      <c r="L38"/>
    </row>
    <row r="39" spans="4:12" ht="15" x14ac:dyDescent="0.25">
      <c r="D39" s="63" t="s">
        <v>368</v>
      </c>
      <c r="E39" s="69">
        <v>4.03</v>
      </c>
      <c r="F39" t="s">
        <v>387</v>
      </c>
      <c r="G39"/>
      <c r="H39"/>
      <c r="I39"/>
      <c r="J39"/>
      <c r="K39"/>
      <c r="L39"/>
    </row>
    <row r="40" spans="4:12" ht="15" x14ac:dyDescent="0.25">
      <c r="D40" s="63" t="s">
        <v>369</v>
      </c>
      <c r="E40" s="69">
        <f>2.85+2.94</f>
        <v>5.79</v>
      </c>
      <c r="F40" t="s">
        <v>387</v>
      </c>
      <c r="G40"/>
      <c r="H40"/>
      <c r="I40"/>
      <c r="J40"/>
      <c r="K40"/>
      <c r="L40"/>
    </row>
    <row r="41" spans="4:12" ht="15" x14ac:dyDescent="0.25">
      <c r="D41" s="63" t="s">
        <v>370</v>
      </c>
      <c r="E41" s="69">
        <v>1.8</v>
      </c>
      <c r="F41" t="s">
        <v>387</v>
      </c>
      <c r="G41"/>
      <c r="H41"/>
      <c r="I41"/>
      <c r="J41"/>
      <c r="K41"/>
      <c r="L41"/>
    </row>
    <row r="42" spans="4:12" ht="15" x14ac:dyDescent="0.25">
      <c r="F42"/>
      <c r="G42"/>
      <c r="H42"/>
      <c r="I42"/>
      <c r="J42"/>
      <c r="K42"/>
      <c r="L42"/>
    </row>
    <row r="43" spans="4:12" ht="15" x14ac:dyDescent="0.25">
      <c r="D43" s="63" t="s">
        <v>388</v>
      </c>
      <c r="E43"/>
      <c r="F43"/>
      <c r="G43"/>
      <c r="H43"/>
      <c r="I43"/>
      <c r="J43"/>
      <c r="K43"/>
      <c r="L43"/>
    </row>
    <row r="44" spans="4:12" ht="15" x14ac:dyDescent="0.25">
      <c r="D44" s="63" t="s">
        <v>389</v>
      </c>
      <c r="E44">
        <f>(13.91+5.35)</f>
        <v>19.259999999999998</v>
      </c>
      <c r="F44"/>
      <c r="G44"/>
      <c r="H44"/>
      <c r="I44"/>
      <c r="J44"/>
      <c r="K44"/>
      <c r="L44"/>
    </row>
    <row r="45" spans="4:12" ht="15" x14ac:dyDescent="0.25">
      <c r="D45" s="63" t="s">
        <v>390</v>
      </c>
      <c r="E45">
        <v>79.72</v>
      </c>
      <c r="F45"/>
      <c r="G45"/>
      <c r="H45"/>
      <c r="I45"/>
      <c r="J45"/>
      <c r="K45"/>
      <c r="L45"/>
    </row>
    <row r="46" spans="4:12" ht="15" x14ac:dyDescent="0.25">
      <c r="D46" s="63" t="s">
        <v>391</v>
      </c>
      <c r="E46">
        <f>873-E44-E45</f>
        <v>774.02</v>
      </c>
      <c r="F46" t="s">
        <v>392</v>
      </c>
      <c r="G46"/>
      <c r="H46"/>
      <c r="I46"/>
      <c r="J46"/>
      <c r="K46"/>
      <c r="L46"/>
    </row>
    <row r="47" spans="4:12" ht="15" x14ac:dyDescent="0.25">
      <c r="D47"/>
      <c r="E47"/>
      <c r="F47"/>
      <c r="G47"/>
      <c r="H47"/>
      <c r="I47"/>
      <c r="J47"/>
      <c r="K47"/>
      <c r="L47"/>
    </row>
    <row r="48" spans="4:12" ht="15" x14ac:dyDescent="0.25">
      <c r="D48" s="63" t="s">
        <v>393</v>
      </c>
      <c r="E48"/>
      <c r="F48"/>
      <c r="G48"/>
      <c r="H48"/>
      <c r="I48"/>
      <c r="J48"/>
      <c r="K48"/>
      <c r="L48"/>
    </row>
    <row r="49" spans="4:12" ht="15" x14ac:dyDescent="0.25">
      <c r="D49" s="63" t="s">
        <v>394</v>
      </c>
      <c r="E49">
        <f>75+72.9</f>
        <v>147.9</v>
      </c>
      <c r="F49" t="s">
        <v>384</v>
      </c>
      <c r="G49"/>
      <c r="H49"/>
      <c r="I49"/>
      <c r="J49"/>
      <c r="K49"/>
      <c r="L49"/>
    </row>
    <row r="50" spans="4:12" ht="15" x14ac:dyDescent="0.25">
      <c r="D50" s="63" t="s">
        <v>395</v>
      </c>
      <c r="E50">
        <f>2+1.68+1.85+3.21+2.38+2.73+5.05</f>
        <v>18.899999999999999</v>
      </c>
      <c r="F50" t="s">
        <v>384</v>
      </c>
      <c r="G50"/>
      <c r="H50"/>
      <c r="I50"/>
      <c r="J50"/>
      <c r="K50"/>
      <c r="L50"/>
    </row>
    <row r="51" spans="4:12" ht="15" x14ac:dyDescent="0.25">
      <c r="D51" s="63" t="s">
        <v>396</v>
      </c>
      <c r="E51">
        <f>15.02</f>
        <v>15.02</v>
      </c>
      <c r="F51" t="s">
        <v>384</v>
      </c>
      <c r="G51"/>
      <c r="H51"/>
      <c r="I51"/>
      <c r="J51"/>
      <c r="K51"/>
      <c r="L51"/>
    </row>
    <row r="52" spans="4:12" ht="15" x14ac:dyDescent="0.25">
      <c r="D52" s="63" t="s">
        <v>382</v>
      </c>
      <c r="E52">
        <v>42.59</v>
      </c>
      <c r="F52" t="s">
        <v>397</v>
      </c>
      <c r="G52"/>
      <c r="H52"/>
      <c r="I52"/>
      <c r="J52"/>
      <c r="K52"/>
      <c r="L52"/>
    </row>
    <row r="53" spans="4:12" ht="15" x14ac:dyDescent="0.25">
      <c r="D53" s="63" t="s">
        <v>383</v>
      </c>
      <c r="E53">
        <v>18.420000000000002</v>
      </c>
      <c r="F53" t="s">
        <v>384</v>
      </c>
      <c r="G53"/>
      <c r="H53"/>
      <c r="I53"/>
      <c r="J53"/>
      <c r="K53"/>
      <c r="L53"/>
    </row>
    <row r="54" spans="4:12" ht="15" x14ac:dyDescent="0.25">
      <c r="D54" s="63" t="s">
        <v>398</v>
      </c>
      <c r="E54">
        <v>6.1</v>
      </c>
      <c r="F54" t="s">
        <v>384</v>
      </c>
      <c r="G54"/>
      <c r="H54"/>
      <c r="I54"/>
      <c r="J54"/>
      <c r="K54"/>
      <c r="L54"/>
    </row>
    <row r="55" spans="4:12" ht="15" x14ac:dyDescent="0.25">
      <c r="D55" s="63" t="s">
        <v>399</v>
      </c>
      <c r="E55">
        <v>11.7</v>
      </c>
      <c r="F55" t="s">
        <v>384</v>
      </c>
      <c r="G55"/>
      <c r="H55"/>
      <c r="I55"/>
      <c r="J55"/>
      <c r="K55"/>
      <c r="L55"/>
    </row>
    <row r="56" spans="4:12" ht="15" x14ac:dyDescent="0.25">
      <c r="D56" s="63" t="s">
        <v>400</v>
      </c>
      <c r="E56">
        <f>31.56*2</f>
        <v>63.12</v>
      </c>
      <c r="F56" t="s">
        <v>401</v>
      </c>
      <c r="G56"/>
      <c r="H56"/>
      <c r="I56"/>
      <c r="J56"/>
      <c r="K56"/>
      <c r="L56"/>
    </row>
    <row r="57" spans="4:12" ht="15" x14ac:dyDescent="0.25">
      <c r="D57" s="63" t="s">
        <v>402</v>
      </c>
      <c r="E57">
        <f>11.58+45.51</f>
        <v>57.089999999999996</v>
      </c>
      <c r="F57" t="s">
        <v>403</v>
      </c>
      <c r="G57"/>
      <c r="H57"/>
      <c r="I57"/>
      <c r="J57"/>
      <c r="K57"/>
      <c r="L57"/>
    </row>
    <row r="58" spans="4:12" ht="15" x14ac:dyDescent="0.25">
      <c r="D58" s="63" t="s">
        <v>404</v>
      </c>
      <c r="E58">
        <f>2.5*3</f>
        <v>7.5</v>
      </c>
      <c r="F58" t="s">
        <v>403</v>
      </c>
      <c r="G58"/>
      <c r="H58"/>
      <c r="I58"/>
      <c r="J58"/>
      <c r="K58"/>
      <c r="L58"/>
    </row>
    <row r="59" spans="4:12" ht="15" x14ac:dyDescent="0.25">
      <c r="D59" s="63" t="s">
        <v>405</v>
      </c>
      <c r="E59">
        <f>873-(E49+E50+E51+E52+E53+E54+E55+E56+E57+E58)</f>
        <v>484.65999999999997</v>
      </c>
      <c r="F59" t="s">
        <v>406</v>
      </c>
      <c r="G59"/>
      <c r="H59"/>
      <c r="I59"/>
      <c r="J59"/>
      <c r="K59"/>
      <c r="L59"/>
    </row>
    <row r="60" spans="4:12" ht="15" x14ac:dyDescent="0.25">
      <c r="D60"/>
      <c r="E60"/>
      <c r="F60"/>
      <c r="G60"/>
      <c r="H60"/>
      <c r="I60"/>
      <c r="J60"/>
      <c r="K60"/>
      <c r="L60"/>
    </row>
    <row r="61" spans="4:12" ht="15" x14ac:dyDescent="0.25">
      <c r="D61" s="63" t="s">
        <v>407</v>
      </c>
      <c r="E61"/>
      <c r="F61"/>
      <c r="G61"/>
      <c r="H61"/>
      <c r="I61"/>
      <c r="J61"/>
      <c r="K61"/>
      <c r="L61"/>
    </row>
    <row r="62" spans="4:12" ht="15" x14ac:dyDescent="0.25">
      <c r="D62" s="63" t="s">
        <v>408</v>
      </c>
      <c r="E62">
        <f>2.21+2.4</f>
        <v>4.6099999999999994</v>
      </c>
      <c r="F62"/>
      <c r="G62"/>
      <c r="H62"/>
      <c r="I62"/>
      <c r="J62"/>
      <c r="K62"/>
      <c r="L62"/>
    </row>
    <row r="63" spans="4:12" ht="15" x14ac:dyDescent="0.25">
      <c r="D63" s="63" t="s">
        <v>409</v>
      </c>
      <c r="E63">
        <f>(4.45+3.71+10.99+63+2.18+3.19+5.2+2.94)*2</f>
        <v>191.32000000000002</v>
      </c>
      <c r="F63"/>
      <c r="G63"/>
      <c r="H63"/>
      <c r="I63"/>
      <c r="J63"/>
      <c r="K63"/>
      <c r="L63"/>
    </row>
    <row r="64" spans="4:12" ht="15" x14ac:dyDescent="0.25">
      <c r="D64" s="63" t="s">
        <v>410</v>
      </c>
      <c r="E64">
        <f>12.41</f>
        <v>12.41</v>
      </c>
      <c r="F64"/>
      <c r="G64"/>
      <c r="H64"/>
      <c r="I64"/>
      <c r="J64"/>
      <c r="K64"/>
      <c r="L64"/>
    </row>
    <row r="65" spans="4:12" ht="15" x14ac:dyDescent="0.25">
      <c r="D65" s="63" t="s">
        <v>397</v>
      </c>
      <c r="E65">
        <f>(4.54+21.7+13.49+14.57)*2</f>
        <v>108.6</v>
      </c>
      <c r="F65"/>
      <c r="G65"/>
      <c r="H65"/>
      <c r="I65"/>
      <c r="J65"/>
      <c r="K65"/>
      <c r="L65"/>
    </row>
    <row r="66" spans="4:12" ht="15" x14ac:dyDescent="0.25">
      <c r="D66"/>
      <c r="E66"/>
      <c r="F66"/>
      <c r="G66"/>
      <c r="H66"/>
      <c r="I66"/>
      <c r="J66"/>
      <c r="K66"/>
      <c r="L66"/>
    </row>
    <row r="67" spans="4:12" ht="15" x14ac:dyDescent="0.25">
      <c r="D67" s="63" t="s">
        <v>411</v>
      </c>
      <c r="E67"/>
      <c r="F67"/>
      <c r="G67"/>
      <c r="H67"/>
      <c r="I67"/>
      <c r="J67"/>
      <c r="K67"/>
      <c r="L67"/>
    </row>
    <row r="68" spans="4:12" ht="15" x14ac:dyDescent="0.25">
      <c r="D68" s="63" t="s">
        <v>408</v>
      </c>
      <c r="E68">
        <f>1.63+4.03</f>
        <v>5.66</v>
      </c>
      <c r="F68"/>
      <c r="G68"/>
      <c r="H68"/>
      <c r="I68"/>
      <c r="J68"/>
      <c r="K68"/>
      <c r="L68"/>
    </row>
    <row r="69" spans="4:12" ht="15" x14ac:dyDescent="0.25">
      <c r="D69" s="63" t="s">
        <v>412</v>
      </c>
      <c r="E69">
        <f>3.1+3.1+4.02+10.49+1.86+80.08+4.75+2.78+10.27+4.27</f>
        <v>124.72</v>
      </c>
      <c r="F69"/>
      <c r="G69"/>
      <c r="H69"/>
      <c r="I69"/>
      <c r="J69"/>
      <c r="K69"/>
      <c r="L69"/>
    </row>
    <row r="70" spans="4:12" ht="15" x14ac:dyDescent="0.25">
      <c r="D70" s="63" t="s">
        <v>396</v>
      </c>
      <c r="E70">
        <v>10.93</v>
      </c>
      <c r="F70"/>
      <c r="G70"/>
      <c r="H70"/>
      <c r="I70"/>
      <c r="J70"/>
      <c r="K70"/>
      <c r="L70"/>
    </row>
    <row r="71" spans="4:12" ht="15" x14ac:dyDescent="0.25">
      <c r="D71" t="s">
        <v>397</v>
      </c>
      <c r="E71">
        <f>9.71+29.62+15.85+16.09+13</f>
        <v>84.27</v>
      </c>
      <c r="F71"/>
      <c r="G71"/>
      <c r="H71"/>
      <c r="I71"/>
      <c r="J71"/>
      <c r="K71"/>
      <c r="L71"/>
    </row>
    <row r="72" spans="4:12" ht="15" x14ac:dyDescent="0.25">
      <c r="D72" s="63" t="s">
        <v>413</v>
      </c>
      <c r="E72">
        <f>82.92+43.66</f>
        <v>126.58</v>
      </c>
      <c r="F72"/>
      <c r="G72"/>
      <c r="H72"/>
      <c r="I72"/>
      <c r="J72"/>
      <c r="K72"/>
      <c r="L72"/>
    </row>
    <row r="73" spans="4:12" ht="15" x14ac:dyDescent="0.25">
      <c r="D73"/>
      <c r="E73"/>
      <c r="F73"/>
      <c r="G73"/>
      <c r="H73"/>
      <c r="I73"/>
      <c r="J73"/>
      <c r="K73"/>
      <c r="L73"/>
    </row>
    <row r="74" spans="4:12" ht="15" x14ac:dyDescent="0.25">
      <c r="D74" s="63" t="s">
        <v>414</v>
      </c>
      <c r="E74"/>
      <c r="F74"/>
      <c r="G74"/>
      <c r="H74"/>
      <c r="I74"/>
      <c r="J74"/>
      <c r="K74"/>
      <c r="L74"/>
    </row>
    <row r="75" spans="4:12" ht="15" x14ac:dyDescent="0.25">
      <c r="D75" s="63" t="s">
        <v>408</v>
      </c>
      <c r="E75">
        <f>1.63+4.03</f>
        <v>5.66</v>
      </c>
      <c r="F75"/>
      <c r="G75"/>
      <c r="H75"/>
      <c r="I75"/>
      <c r="J75"/>
      <c r="K75"/>
      <c r="L75"/>
    </row>
    <row r="76" spans="4:12" ht="15" x14ac:dyDescent="0.25">
      <c r="D76" s="63" t="s">
        <v>412</v>
      </c>
      <c r="E76">
        <f>3.1+3.1+4.02+10.49+1.86+80.08+4.75+2.78+10.27+4.27</f>
        <v>124.72</v>
      </c>
      <c r="F76"/>
      <c r="G76"/>
      <c r="H76"/>
      <c r="I76"/>
      <c r="J76"/>
      <c r="K76"/>
      <c r="L76"/>
    </row>
    <row r="77" spans="4:12" ht="15" x14ac:dyDescent="0.25">
      <c r="D77" s="63" t="s">
        <v>396</v>
      </c>
      <c r="E77">
        <v>10.93</v>
      </c>
      <c r="F77"/>
      <c r="G77"/>
      <c r="H77"/>
      <c r="I77"/>
      <c r="J77"/>
      <c r="K77"/>
      <c r="L77"/>
    </row>
    <row r="78" spans="4:12" ht="15" x14ac:dyDescent="0.25">
      <c r="D78" t="s">
        <v>397</v>
      </c>
      <c r="E78">
        <f>9.71+29.62+15.85+16.09+13</f>
        <v>84.27</v>
      </c>
      <c r="F78"/>
      <c r="G78"/>
      <c r="H78"/>
      <c r="I78"/>
      <c r="J78"/>
      <c r="K78"/>
      <c r="L78"/>
    </row>
    <row r="79" spans="4:12" ht="15" x14ac:dyDescent="0.25">
      <c r="E79"/>
      <c r="F79"/>
      <c r="G79"/>
      <c r="H79"/>
      <c r="I79"/>
      <c r="J79"/>
      <c r="K79"/>
      <c r="L79"/>
    </row>
    <row r="80" spans="4:12" ht="15" x14ac:dyDescent="0.25">
      <c r="D80" s="63" t="s">
        <v>415</v>
      </c>
      <c r="E80"/>
      <c r="F80"/>
      <c r="G80"/>
      <c r="H80"/>
      <c r="I80"/>
      <c r="J80"/>
      <c r="K80"/>
      <c r="L80"/>
    </row>
    <row r="81" spans="4:12" ht="15" x14ac:dyDescent="0.25">
      <c r="D81" s="63" t="s">
        <v>412</v>
      </c>
      <c r="E81">
        <f>72.25+4.71+115.85</f>
        <v>192.81</v>
      </c>
      <c r="F81"/>
      <c r="G81"/>
      <c r="H81"/>
      <c r="I81"/>
      <c r="J81"/>
      <c r="K81"/>
      <c r="L81"/>
    </row>
    <row r="82" spans="4:12" ht="15" x14ac:dyDescent="0.25">
      <c r="D82" s="63" t="s">
        <v>396</v>
      </c>
      <c r="E82">
        <v>10.92</v>
      </c>
      <c r="F82"/>
      <c r="G82"/>
      <c r="H82"/>
      <c r="I82"/>
      <c r="J82"/>
      <c r="K82"/>
      <c r="L82"/>
    </row>
    <row r="83" spans="4:12" ht="15" x14ac:dyDescent="0.25">
      <c r="D83"/>
      <c r="E83"/>
      <c r="F83"/>
      <c r="G83"/>
      <c r="H83"/>
      <c r="I83"/>
      <c r="J83"/>
      <c r="K83"/>
      <c r="L83"/>
    </row>
    <row r="84" spans="4:12" ht="15" x14ac:dyDescent="0.25">
      <c r="D84" s="63" t="s">
        <v>416</v>
      </c>
      <c r="E84"/>
      <c r="F84"/>
      <c r="G84"/>
      <c r="H84"/>
      <c r="I84"/>
      <c r="J84"/>
      <c r="K84"/>
      <c r="L84"/>
    </row>
    <row r="85" spans="4:12" ht="15" x14ac:dyDescent="0.25">
      <c r="D85" s="63" t="s">
        <v>408</v>
      </c>
      <c r="E85">
        <v>3.08</v>
      </c>
      <c r="F85"/>
      <c r="G85"/>
      <c r="H85"/>
      <c r="I85"/>
      <c r="J85"/>
      <c r="K85"/>
      <c r="L85"/>
    </row>
    <row r="86" spans="4:12" ht="15" x14ac:dyDescent="0.25">
      <c r="D86" s="63" t="s">
        <v>412</v>
      </c>
      <c r="E86">
        <f>37.82+67+2.5+3.47+23.9</f>
        <v>134.69</v>
      </c>
      <c r="F86"/>
      <c r="G86"/>
      <c r="H86"/>
      <c r="I86"/>
      <c r="J86"/>
      <c r="K86"/>
      <c r="L86"/>
    </row>
    <row r="87" spans="4:12" ht="15" x14ac:dyDescent="0.25">
      <c r="D87" s="63" t="s">
        <v>396</v>
      </c>
      <c r="E87">
        <v>10.93</v>
      </c>
      <c r="F87"/>
      <c r="G87"/>
      <c r="H87"/>
      <c r="I87"/>
      <c r="J87"/>
      <c r="K87"/>
      <c r="L87"/>
    </row>
    <row r="88" spans="4:12" ht="15" x14ac:dyDescent="0.25">
      <c r="D88" s="63" t="s">
        <v>413</v>
      </c>
      <c r="E88">
        <f>35.11+42.56</f>
        <v>77.67</v>
      </c>
      <c r="F88"/>
      <c r="G88"/>
      <c r="H88"/>
      <c r="I88"/>
      <c r="J88"/>
      <c r="K88"/>
      <c r="L88"/>
    </row>
  </sheetData>
  <mergeCells count="41">
    <mergeCell ref="I20:J20"/>
    <mergeCell ref="A30:H30"/>
    <mergeCell ref="I16:J16"/>
    <mergeCell ref="I17:J17"/>
    <mergeCell ref="A22:C22"/>
    <mergeCell ref="I22:J22"/>
    <mergeCell ref="A23:C23"/>
    <mergeCell ref="I23:J23"/>
    <mergeCell ref="A16:C16"/>
    <mergeCell ref="A19:C19"/>
    <mergeCell ref="I19:J19"/>
    <mergeCell ref="I30:J30"/>
    <mergeCell ref="A25:C25"/>
    <mergeCell ref="I25:J25"/>
    <mergeCell ref="B10:F10"/>
    <mergeCell ref="J10:K10"/>
    <mergeCell ref="A14:C14"/>
    <mergeCell ref="D14:E14"/>
    <mergeCell ref="F14:G14"/>
    <mergeCell ref="I14:J14"/>
    <mergeCell ref="A2:K4"/>
    <mergeCell ref="B7:K7"/>
    <mergeCell ref="B8:K8"/>
    <mergeCell ref="B9:F9"/>
    <mergeCell ref="J9:K9"/>
    <mergeCell ref="K30:L30"/>
    <mergeCell ref="A15:C15"/>
    <mergeCell ref="I15:J15"/>
    <mergeCell ref="A17:C17"/>
    <mergeCell ref="A28:H28"/>
    <mergeCell ref="A24:C24"/>
    <mergeCell ref="I24:J24"/>
    <mergeCell ref="A26:C26"/>
    <mergeCell ref="I26:J26"/>
    <mergeCell ref="A27:H27"/>
    <mergeCell ref="I27:J27"/>
    <mergeCell ref="A21:C21"/>
    <mergeCell ref="I21:J21"/>
    <mergeCell ref="A18:C18"/>
    <mergeCell ref="I18:J18"/>
    <mergeCell ref="A20:C20"/>
  </mergeCells>
  <dataValidations disablePrompts="1" count="1">
    <dataValidation type="list" allowBlank="1" showInputMessage="1" showErrorMessage="1" sqref="J10" xr:uid="{8256380D-98EF-4203-9EB0-5E615BDDB207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C66"/>
  </sheetPr>
  <dimension ref="A1:M20"/>
  <sheetViews>
    <sheetView showGridLines="0" zoomScaleNormal="100" zoomScaleSheetLayoutView="95" workbookViewId="0">
      <selection activeCell="F17" sqref="F17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0.710937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3.140625" style="11" bestFit="1" customWidth="1"/>
    <col min="11" max="11" width="6.42578125" style="11" customWidth="1"/>
    <col min="12" max="12" width="11.28515625" style="11" bestFit="1" customWidth="1"/>
    <col min="13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128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x14ac:dyDescent="0.25">
      <c r="A12" s="21" t="s">
        <v>358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9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9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95" customHeight="1" x14ac:dyDescent="0.25">
      <c r="A15" s="179" t="s">
        <v>381</v>
      </c>
      <c r="B15" s="180"/>
      <c r="C15" s="181"/>
      <c r="D15" s="111">
        <f>'Acabamentos de Piso e Parede'!K33</f>
        <v>828.18</v>
      </c>
      <c r="E15" s="76" t="s">
        <v>256</v>
      </c>
      <c r="F15" s="138">
        <v>6</v>
      </c>
      <c r="G15" s="52" t="s">
        <v>66</v>
      </c>
      <c r="H15" s="80" t="s">
        <v>161</v>
      </c>
      <c r="I15" s="182">
        <f>D15*F15</f>
        <v>4969.08</v>
      </c>
      <c r="J15" s="184"/>
      <c r="K15" s="27"/>
    </row>
    <row r="16" spans="1:13" ht="15.95" customHeight="1" x14ac:dyDescent="0.25">
      <c r="A16" s="249" t="s">
        <v>280</v>
      </c>
      <c r="B16" s="250"/>
      <c r="C16" s="251"/>
      <c r="D16" s="111">
        <f>'Acabamentos de Piso e Parede'!E46*5</f>
        <v>3870.1</v>
      </c>
      <c r="E16" s="76" t="s">
        <v>256</v>
      </c>
      <c r="F16" s="138">
        <v>70</v>
      </c>
      <c r="G16" s="52" t="s">
        <v>66</v>
      </c>
      <c r="H16" s="80" t="s">
        <v>161</v>
      </c>
      <c r="I16" s="182">
        <f>D16*F16</f>
        <v>270907</v>
      </c>
      <c r="J16" s="184"/>
      <c r="K16" s="27"/>
    </row>
    <row r="17" spans="1:12" ht="15.95" customHeight="1" x14ac:dyDescent="0.25">
      <c r="A17" s="179" t="s">
        <v>130</v>
      </c>
      <c r="B17" s="180"/>
      <c r="C17" s="181"/>
      <c r="D17" s="111">
        <v>1</v>
      </c>
      <c r="E17" s="76" t="s">
        <v>65</v>
      </c>
      <c r="F17" s="138">
        <v>90</v>
      </c>
      <c r="G17" s="52" t="s">
        <v>24</v>
      </c>
      <c r="H17" s="80" t="s">
        <v>161</v>
      </c>
      <c r="I17" s="182">
        <f>+F17*'Dados Gerais'!$E$15</f>
        <v>1505504.7000000002</v>
      </c>
      <c r="J17" s="184"/>
      <c r="K17" s="27"/>
    </row>
    <row r="18" spans="1:12" ht="15.95" customHeight="1" x14ac:dyDescent="0.25">
      <c r="A18" s="215" t="s">
        <v>42</v>
      </c>
      <c r="B18" s="215"/>
      <c r="C18" s="215"/>
      <c r="D18" s="215"/>
      <c r="E18" s="215"/>
      <c r="F18" s="215"/>
      <c r="G18" s="215"/>
      <c r="H18" s="215"/>
      <c r="I18" s="212">
        <f>SUM(I16:J17)</f>
        <v>1776411.7000000002</v>
      </c>
      <c r="J18" s="212"/>
      <c r="K18" s="35"/>
    </row>
    <row r="19" spans="1:12" ht="15.95" customHeight="1" x14ac:dyDescent="0.25">
      <c r="A19" s="177"/>
      <c r="B19" s="178"/>
      <c r="C19" s="178"/>
      <c r="D19" s="178"/>
      <c r="E19" s="178"/>
      <c r="F19" s="178"/>
      <c r="G19" s="178"/>
      <c r="H19" s="178"/>
      <c r="I19" s="86"/>
      <c r="J19" s="37"/>
      <c r="K19" s="39"/>
    </row>
    <row r="20" spans="1:12" x14ac:dyDescent="0.25">
      <c r="A20" s="215" t="s">
        <v>304</v>
      </c>
      <c r="B20" s="215"/>
      <c r="C20" s="215"/>
      <c r="D20" s="215"/>
      <c r="E20" s="215"/>
      <c r="F20" s="215"/>
      <c r="G20" s="215"/>
      <c r="H20" s="215"/>
      <c r="I20" s="212">
        <f>I18</f>
        <v>1776411.7000000002</v>
      </c>
      <c r="J20" s="212"/>
      <c r="K20" s="217">
        <f>I20/'Dados Gerais'!E15</f>
        <v>106.19498763437936</v>
      </c>
      <c r="L20" s="217"/>
    </row>
  </sheetData>
  <mergeCells count="23">
    <mergeCell ref="I18:J18"/>
    <mergeCell ref="A19:H19"/>
    <mergeCell ref="A2:K4"/>
    <mergeCell ref="B7:K7"/>
    <mergeCell ref="B8:K8"/>
    <mergeCell ref="B9:F9"/>
    <mergeCell ref="J9:K9"/>
    <mergeCell ref="A20:H20"/>
    <mergeCell ref="I20:J20"/>
    <mergeCell ref="K20:L20"/>
    <mergeCell ref="B10:F10"/>
    <mergeCell ref="J10:K10"/>
    <mergeCell ref="A14:C14"/>
    <mergeCell ref="D14:E14"/>
    <mergeCell ref="F14:G14"/>
    <mergeCell ref="I14:J14"/>
    <mergeCell ref="A17:C17"/>
    <mergeCell ref="I17:J17"/>
    <mergeCell ref="A16:C16"/>
    <mergeCell ref="I16:J16"/>
    <mergeCell ref="A15:C15"/>
    <mergeCell ref="I15:J15"/>
    <mergeCell ref="A18:H18"/>
  </mergeCells>
  <dataValidations disablePrompts="1" count="1">
    <dataValidation type="list" allowBlank="1" showInputMessage="1" showErrorMessage="1" sqref="J10" xr:uid="{F2882553-621E-42A4-A930-83495A8D903B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C66"/>
  </sheetPr>
  <dimension ref="A1:M36"/>
  <sheetViews>
    <sheetView showGridLines="0" topLeftCell="A16" zoomScale="115" zoomScaleNormal="115" zoomScaleSheetLayoutView="95" workbookViewId="0">
      <selection activeCell="D16" sqref="D16"/>
    </sheetView>
  </sheetViews>
  <sheetFormatPr defaultColWidth="9.140625" defaultRowHeight="12.75" x14ac:dyDescent="0.25"/>
  <cols>
    <col min="1" max="1" width="17.42578125" style="11" customWidth="1"/>
    <col min="2" max="2" width="15.42578125" style="11" bestFit="1" customWidth="1"/>
    <col min="3" max="3" width="13.28515625" style="63" bestFit="1" customWidth="1"/>
    <col min="4" max="4" width="14" style="63" customWidth="1"/>
    <col min="5" max="5" width="14.140625" style="69" bestFit="1" customWidth="1"/>
    <col min="6" max="6" width="11.570312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1.28515625" style="11" bestFit="1" customWidth="1"/>
    <col min="11" max="11" width="13.140625" style="11" bestFit="1" customWidth="1"/>
    <col min="12" max="12" width="11.28515625" style="11" bestFit="1" customWidth="1"/>
    <col min="13" max="16384" width="9.140625" style="11"/>
  </cols>
  <sheetData>
    <row r="1" spans="1:13" x14ac:dyDescent="0.25">
      <c r="A1" s="1"/>
      <c r="B1" s="1"/>
      <c r="C1" s="56"/>
      <c r="D1" s="56"/>
      <c r="E1" s="65"/>
      <c r="F1" s="19"/>
      <c r="G1" s="1"/>
      <c r="H1" s="1"/>
      <c r="I1" s="1"/>
      <c r="J1" s="1"/>
      <c r="K1" s="1"/>
    </row>
    <row r="2" spans="1:13" x14ac:dyDescent="0.25">
      <c r="A2" s="154" t="s">
        <v>131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</row>
    <row r="5" spans="1:13" ht="13.5" thickBot="1" x14ac:dyDescent="0.3">
      <c r="A5" s="2"/>
      <c r="B5" s="2"/>
      <c r="C5" s="57"/>
      <c r="D5" s="57"/>
      <c r="E5" s="66"/>
      <c r="F5" s="20"/>
      <c r="G5" s="3"/>
      <c r="H5" s="3"/>
      <c r="I5" s="3"/>
      <c r="J5" s="3"/>
      <c r="K5" s="3"/>
    </row>
    <row r="6" spans="1:13" x14ac:dyDescent="0.25">
      <c r="A6" s="4"/>
      <c r="B6" s="4"/>
      <c r="C6" s="108"/>
      <c r="D6" s="58"/>
      <c r="E6" s="67"/>
      <c r="F6" s="19"/>
      <c r="G6" s="1"/>
      <c r="H6" s="1"/>
      <c r="I6" s="1"/>
      <c r="J6" s="1"/>
      <c r="K6" s="1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ht="15.75" customHeight="1" x14ac:dyDescent="0.25">
      <c r="A12" s="21" t="s">
        <v>132</v>
      </c>
      <c r="B12" s="22"/>
      <c r="C12" s="59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25">
      <c r="A13" s="25"/>
      <c r="B13" s="26"/>
      <c r="C13" s="109"/>
      <c r="D13" s="60"/>
      <c r="E13" s="68"/>
      <c r="F13" s="11"/>
      <c r="G13" s="26"/>
      <c r="H13" s="26"/>
      <c r="K13" s="27"/>
    </row>
    <row r="14" spans="1:13" ht="15.7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  <c r="M14" s="11" t="s">
        <v>325</v>
      </c>
    </row>
    <row r="15" spans="1:13" ht="15.75" customHeight="1" x14ac:dyDescent="0.25">
      <c r="A15" s="200" t="s">
        <v>133</v>
      </c>
      <c r="B15" s="200"/>
      <c r="C15" s="200"/>
      <c r="D15" s="73">
        <v>134.86000000000001</v>
      </c>
      <c r="E15" s="73" t="s">
        <v>17</v>
      </c>
      <c r="F15" s="116">
        <v>1200</v>
      </c>
      <c r="G15" s="88" t="s">
        <v>66</v>
      </c>
      <c r="H15" s="84" t="s">
        <v>161</v>
      </c>
      <c r="I15" s="182">
        <f t="shared" ref="I15:I18" si="0">F15*D15</f>
        <v>161832.00000000003</v>
      </c>
      <c r="J15" s="184"/>
      <c r="K15" s="27"/>
      <c r="M15" s="18" t="s">
        <v>326</v>
      </c>
    </row>
    <row r="16" spans="1:13" ht="15.75" customHeight="1" x14ac:dyDescent="0.25">
      <c r="A16" s="200" t="s">
        <v>357</v>
      </c>
      <c r="B16" s="200"/>
      <c r="C16" s="200"/>
      <c r="D16" s="73">
        <v>289.8</v>
      </c>
      <c r="E16" s="73" t="s">
        <v>17</v>
      </c>
      <c r="F16" s="116">
        <v>1600</v>
      </c>
      <c r="G16" s="88" t="s">
        <v>66</v>
      </c>
      <c r="H16" s="84" t="s">
        <v>161</v>
      </c>
      <c r="I16" s="182">
        <f t="shared" ref="I16" si="1">F16*D16</f>
        <v>463680</v>
      </c>
      <c r="J16" s="184"/>
      <c r="K16" s="27"/>
      <c r="M16" s="18"/>
    </row>
    <row r="17" spans="1:13" ht="15.75" customHeight="1" x14ac:dyDescent="0.25">
      <c r="A17" s="200" t="s">
        <v>353</v>
      </c>
      <c r="B17" s="200"/>
      <c r="C17" s="200"/>
      <c r="D17" s="73">
        <v>4350.3999999999996</v>
      </c>
      <c r="E17" s="73" t="s">
        <v>17</v>
      </c>
      <c r="F17" s="116">
        <v>1000</v>
      </c>
      <c r="G17" s="88" t="s">
        <v>66</v>
      </c>
      <c r="H17" s="84" t="s">
        <v>161</v>
      </c>
      <c r="I17" s="182">
        <f t="shared" ref="I17" si="2">F17*D17</f>
        <v>4350400</v>
      </c>
      <c r="J17" s="184"/>
      <c r="K17" s="27"/>
      <c r="M17" s="18"/>
    </row>
    <row r="18" spans="1:13" ht="15.75" customHeight="1" x14ac:dyDescent="0.25">
      <c r="A18" s="200" t="s">
        <v>253</v>
      </c>
      <c r="B18" s="200"/>
      <c r="C18" s="200"/>
      <c r="D18" s="128">
        <v>103</v>
      </c>
      <c r="E18" s="73" t="s">
        <v>18</v>
      </c>
      <c r="F18" s="89">
        <v>1750</v>
      </c>
      <c r="G18" s="88" t="s">
        <v>244</v>
      </c>
      <c r="H18" s="84" t="s">
        <v>161</v>
      </c>
      <c r="I18" s="182">
        <f t="shared" si="0"/>
        <v>180250</v>
      </c>
      <c r="J18" s="184"/>
      <c r="K18" s="27"/>
      <c r="M18" s="11" t="s">
        <v>327</v>
      </c>
    </row>
    <row r="19" spans="1:13" ht="15.75" customHeight="1" x14ac:dyDescent="0.25">
      <c r="A19" s="200" t="s">
        <v>185</v>
      </c>
      <c r="B19" s="200"/>
      <c r="C19" s="200"/>
      <c r="D19" s="73">
        <v>1</v>
      </c>
      <c r="E19" s="73" t="s">
        <v>65</v>
      </c>
      <c r="F19" s="92">
        <v>400000</v>
      </c>
      <c r="G19" s="91" t="s">
        <v>143</v>
      </c>
      <c r="H19" s="85" t="s">
        <v>161</v>
      </c>
      <c r="I19" s="182">
        <f>+D19*F19</f>
        <v>400000</v>
      </c>
      <c r="J19" s="184"/>
      <c r="K19" s="27"/>
      <c r="M19" s="11" t="s">
        <v>328</v>
      </c>
    </row>
    <row r="20" spans="1:13" x14ac:dyDescent="0.25">
      <c r="A20" s="179" t="s">
        <v>354</v>
      </c>
      <c r="B20" s="180"/>
      <c r="C20" s="181"/>
      <c r="D20" s="111">
        <f>28.16+1122.92</f>
        <v>1151.0800000000002</v>
      </c>
      <c r="E20" s="75" t="s">
        <v>17</v>
      </c>
      <c r="F20" s="92">
        <v>1000</v>
      </c>
      <c r="G20" s="91" t="s">
        <v>66</v>
      </c>
      <c r="H20" s="85" t="s">
        <v>161</v>
      </c>
      <c r="I20" s="223">
        <f>+F20*D20</f>
        <v>1151080.0000000002</v>
      </c>
      <c r="J20" s="224"/>
      <c r="K20" s="27"/>
      <c r="M20" s="11" t="s">
        <v>329</v>
      </c>
    </row>
    <row r="21" spans="1:13" x14ac:dyDescent="0.25">
      <c r="A21" s="135" t="s">
        <v>355</v>
      </c>
      <c r="B21" s="136"/>
      <c r="C21" s="137"/>
      <c r="D21" s="111">
        <f>340.58</f>
        <v>340.58</v>
      </c>
      <c r="E21" s="75" t="s">
        <v>17</v>
      </c>
      <c r="F21" s="92">
        <v>1000</v>
      </c>
      <c r="G21" s="91" t="s">
        <v>66</v>
      </c>
      <c r="H21" s="85" t="s">
        <v>161</v>
      </c>
      <c r="I21" s="223">
        <f>+F21*D21</f>
        <v>340580</v>
      </c>
      <c r="J21" s="224"/>
      <c r="K21" s="27"/>
    </row>
    <row r="22" spans="1:13" x14ac:dyDescent="0.25">
      <c r="A22" s="135" t="s">
        <v>356</v>
      </c>
      <c r="B22" s="136"/>
      <c r="C22" s="137"/>
      <c r="D22" s="111">
        <v>146.81</v>
      </c>
      <c r="E22" s="75" t="s">
        <v>17</v>
      </c>
      <c r="F22" s="92">
        <v>2000</v>
      </c>
      <c r="G22" s="91" t="s">
        <v>66</v>
      </c>
      <c r="H22" s="85" t="s">
        <v>161</v>
      </c>
      <c r="I22" s="223">
        <f>+F22*D22</f>
        <v>293620</v>
      </c>
      <c r="J22" s="224"/>
      <c r="K22" s="27"/>
    </row>
    <row r="23" spans="1:13" ht="15" x14ac:dyDescent="0.25">
      <c r="A23" s="252" t="s">
        <v>245</v>
      </c>
      <c r="B23" s="252"/>
      <c r="C23" s="252"/>
      <c r="D23" s="75">
        <v>1</v>
      </c>
      <c r="E23" s="75" t="s">
        <v>18</v>
      </c>
      <c r="F23" s="92">
        <v>16000</v>
      </c>
      <c r="G23" s="91" t="s">
        <v>244</v>
      </c>
      <c r="H23" s="85" t="s">
        <v>161</v>
      </c>
      <c r="I23" s="253">
        <f>+F23*D23</f>
        <v>16000</v>
      </c>
      <c r="J23" s="253"/>
      <c r="K23" s="27"/>
      <c r="M23" s="132" t="s">
        <v>330</v>
      </c>
    </row>
    <row r="24" spans="1:13" ht="15" customHeight="1" x14ac:dyDescent="0.25">
      <c r="A24" s="252" t="s">
        <v>430</v>
      </c>
      <c r="B24" s="252"/>
      <c r="C24" s="252"/>
      <c r="D24" s="75">
        <v>40</v>
      </c>
      <c r="E24" s="75" t="s">
        <v>18</v>
      </c>
      <c r="F24" s="92">
        <v>1300</v>
      </c>
      <c r="G24" s="91" t="s">
        <v>244</v>
      </c>
      <c r="H24" s="85" t="s">
        <v>161</v>
      </c>
      <c r="I24" s="253">
        <f>F24*D24</f>
        <v>52000</v>
      </c>
      <c r="J24" s="253"/>
      <c r="K24" s="27"/>
      <c r="M24" s="132"/>
    </row>
    <row r="25" spans="1:13" ht="15.75" customHeight="1" x14ac:dyDescent="0.25">
      <c r="A25" s="238" t="s">
        <v>134</v>
      </c>
      <c r="B25" s="239"/>
      <c r="C25" s="240"/>
      <c r="D25" s="74">
        <v>453</v>
      </c>
      <c r="E25" s="74" t="s">
        <v>18</v>
      </c>
      <c r="F25" s="114">
        <v>2200</v>
      </c>
      <c r="G25" s="90" t="s">
        <v>244</v>
      </c>
      <c r="H25" s="83" t="s">
        <v>161</v>
      </c>
      <c r="I25" s="254">
        <f>F25*D25</f>
        <v>996600</v>
      </c>
      <c r="J25" s="255"/>
      <c r="K25" s="27"/>
    </row>
    <row r="26" spans="1:13" ht="15.75" customHeight="1" x14ac:dyDescent="0.25">
      <c r="A26" s="215" t="s">
        <v>42</v>
      </c>
      <c r="B26" s="215"/>
      <c r="C26" s="215"/>
      <c r="D26" s="215"/>
      <c r="E26" s="215"/>
      <c r="F26" s="215"/>
      <c r="G26" s="215"/>
      <c r="H26" s="215"/>
      <c r="I26" s="212">
        <f>SUM(I15:J25)</f>
        <v>8406042</v>
      </c>
      <c r="J26" s="212"/>
      <c r="K26" s="35"/>
    </row>
    <row r="27" spans="1:13" ht="15.75" customHeight="1" x14ac:dyDescent="0.25">
      <c r="A27" s="177"/>
      <c r="B27" s="178"/>
      <c r="C27" s="178"/>
      <c r="D27" s="178"/>
      <c r="E27" s="178"/>
      <c r="F27" s="178"/>
      <c r="G27" s="178"/>
      <c r="H27" s="178"/>
      <c r="I27" s="86"/>
      <c r="J27" s="37"/>
      <c r="K27" s="39"/>
    </row>
    <row r="29" spans="1:13" x14ac:dyDescent="0.25">
      <c r="A29" s="215" t="s">
        <v>306</v>
      </c>
      <c r="B29" s="215"/>
      <c r="C29" s="215"/>
      <c r="D29" s="215"/>
      <c r="E29" s="215"/>
      <c r="F29" s="215"/>
      <c r="G29" s="215"/>
      <c r="H29" s="215"/>
      <c r="I29" s="212">
        <f>I26</f>
        <v>8406042</v>
      </c>
      <c r="J29" s="212"/>
      <c r="K29" s="217">
        <f>I29/'Dados Gerais'!E15</f>
        <v>502.51837805620926</v>
      </c>
      <c r="L29" s="217"/>
    </row>
    <row r="30" spans="1:13" x14ac:dyDescent="0.25">
      <c r="G30" s="81"/>
    </row>
    <row r="31" spans="1:13" x14ac:dyDescent="0.25">
      <c r="G31" s="81"/>
    </row>
    <row r="32" spans="1:13" x14ac:dyDescent="0.25">
      <c r="G32" s="81"/>
    </row>
    <row r="34" spans="4:4" x14ac:dyDescent="0.25">
      <c r="D34" s="63">
        <v>11735.92</v>
      </c>
    </row>
    <row r="35" spans="4:4" x14ac:dyDescent="0.25">
      <c r="D35" s="63">
        <f>D15+D16+D17+D22</f>
        <v>4921.87</v>
      </c>
    </row>
    <row r="36" spans="4:4" x14ac:dyDescent="0.25">
      <c r="D36" s="63">
        <f>D34-D35</f>
        <v>6814.05</v>
      </c>
    </row>
  </sheetData>
  <mergeCells count="37">
    <mergeCell ref="K29:L29"/>
    <mergeCell ref="A16:C16"/>
    <mergeCell ref="I16:J16"/>
    <mergeCell ref="A17:C17"/>
    <mergeCell ref="I17:J17"/>
    <mergeCell ref="I22:J22"/>
    <mergeCell ref="I21:J21"/>
    <mergeCell ref="A29:H29"/>
    <mergeCell ref="I29:J29"/>
    <mergeCell ref="A27:H27"/>
    <mergeCell ref="A18:C18"/>
    <mergeCell ref="A25:C25"/>
    <mergeCell ref="I18:J18"/>
    <mergeCell ref="I25:J25"/>
    <mergeCell ref="A19:C19"/>
    <mergeCell ref="I19:J19"/>
    <mergeCell ref="A26:H26"/>
    <mergeCell ref="I26:J26"/>
    <mergeCell ref="A20:C20"/>
    <mergeCell ref="I20:J20"/>
    <mergeCell ref="A23:C23"/>
    <mergeCell ref="I23:J23"/>
    <mergeCell ref="A24:C24"/>
    <mergeCell ref="I24:J24"/>
    <mergeCell ref="A15:C15"/>
    <mergeCell ref="I15:J15"/>
    <mergeCell ref="A2:K4"/>
    <mergeCell ref="B7:K7"/>
    <mergeCell ref="B8:K8"/>
    <mergeCell ref="B9:F9"/>
    <mergeCell ref="J9:K9"/>
    <mergeCell ref="B10:F10"/>
    <mergeCell ref="J10:K10"/>
    <mergeCell ref="A14:C14"/>
    <mergeCell ref="D14:E14"/>
    <mergeCell ref="F14:G14"/>
    <mergeCell ref="I14:J14"/>
  </mergeCells>
  <phoneticPr fontId="13" type="noConversion"/>
  <dataValidations disablePrompts="1" count="1">
    <dataValidation type="list" allowBlank="1" showInputMessage="1" showErrorMessage="1" sqref="J10" xr:uid="{CD780755-8D1B-406A-BF2C-EC877199B026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107"/>
    <col min="7" max="7" width="14.85546875" bestFit="1" customWidth="1"/>
    <col min="8" max="8" width="9.28515625" style="107" bestFit="1" customWidth="1"/>
  </cols>
  <sheetData>
    <row r="2" spans="1:8" x14ac:dyDescent="0.25">
      <c r="A2" t="s">
        <v>187</v>
      </c>
      <c r="B2">
        <v>2</v>
      </c>
      <c r="C2" t="s">
        <v>234</v>
      </c>
      <c r="D2" s="107">
        <v>18.399999999999999</v>
      </c>
    </row>
    <row r="3" spans="1:8" x14ac:dyDescent="0.25">
      <c r="A3" t="s">
        <v>188</v>
      </c>
      <c r="B3">
        <v>2</v>
      </c>
      <c r="C3" t="s">
        <v>235</v>
      </c>
    </row>
    <row r="4" spans="1:8" x14ac:dyDescent="0.25">
      <c r="A4" t="s">
        <v>189</v>
      </c>
      <c r="B4">
        <v>1</v>
      </c>
      <c r="C4" t="s">
        <v>236</v>
      </c>
      <c r="D4" s="107">
        <v>3.4649999999999999</v>
      </c>
    </row>
    <row r="5" spans="1:8" x14ac:dyDescent="0.25">
      <c r="A5" t="s">
        <v>190</v>
      </c>
      <c r="B5">
        <v>1</v>
      </c>
      <c r="C5" t="s">
        <v>236</v>
      </c>
      <c r="D5" s="107">
        <v>1.7324999999999999</v>
      </c>
      <c r="G5" t="s">
        <v>240</v>
      </c>
      <c r="H5" s="107">
        <f>SUMIF(C:C,G5,D:D)</f>
        <v>400.52209999999991</v>
      </c>
    </row>
    <row r="6" spans="1:8" x14ac:dyDescent="0.25">
      <c r="A6" t="s">
        <v>191</v>
      </c>
      <c r="B6">
        <v>2</v>
      </c>
      <c r="C6" t="s">
        <v>236</v>
      </c>
      <c r="D6" s="107">
        <v>5.2751999999999999</v>
      </c>
      <c r="G6" t="s">
        <v>241</v>
      </c>
      <c r="H6" s="107">
        <f t="shared" ref="H6:H12" si="0">SUMIF(C:C,G6,D:D)</f>
        <v>1895.0600000000002</v>
      </c>
    </row>
    <row r="7" spans="1:8" x14ac:dyDescent="0.25">
      <c r="A7" t="s">
        <v>192</v>
      </c>
      <c r="B7">
        <v>1</v>
      </c>
      <c r="C7" t="s">
        <v>236</v>
      </c>
      <c r="D7" s="107">
        <v>4.1916000000000002</v>
      </c>
      <c r="G7" t="s">
        <v>238</v>
      </c>
      <c r="H7" s="107">
        <f>SUMIF(C:C,G7,B:B)</f>
        <v>218</v>
      </c>
    </row>
    <row r="8" spans="1:8" x14ac:dyDescent="0.25">
      <c r="A8" t="s">
        <v>193</v>
      </c>
      <c r="B8">
        <v>1</v>
      </c>
      <c r="C8" t="s">
        <v>239</v>
      </c>
      <c r="G8" t="s">
        <v>235</v>
      </c>
      <c r="H8" s="107">
        <f>SUMIF(C:C,G8,B:B)</f>
        <v>60</v>
      </c>
    </row>
    <row r="9" spans="1:8" x14ac:dyDescent="0.25">
      <c r="A9" t="s">
        <v>194</v>
      </c>
      <c r="B9">
        <v>19</v>
      </c>
      <c r="C9" t="s">
        <v>238</v>
      </c>
      <c r="G9" t="s">
        <v>239</v>
      </c>
      <c r="H9" s="107">
        <f>SUMIF(C:C,G9,B:B)</f>
        <v>1</v>
      </c>
    </row>
    <row r="10" spans="1:8" x14ac:dyDescent="0.25">
      <c r="A10" t="s">
        <v>195</v>
      </c>
      <c r="B10">
        <v>3</v>
      </c>
      <c r="C10" t="s">
        <v>236</v>
      </c>
      <c r="D10" s="107">
        <v>6.3</v>
      </c>
      <c r="G10" t="s">
        <v>237</v>
      </c>
      <c r="H10" s="107">
        <f>SUMIF(C:C,G10,D:D)</f>
        <v>46.62</v>
      </c>
    </row>
    <row r="11" spans="1:8" x14ac:dyDescent="0.25">
      <c r="A11" t="s">
        <v>196</v>
      </c>
      <c r="B11">
        <v>2</v>
      </c>
      <c r="C11" t="s">
        <v>236</v>
      </c>
      <c r="D11" s="107">
        <v>3.78</v>
      </c>
      <c r="G11" t="s">
        <v>234</v>
      </c>
      <c r="H11" s="107">
        <f>SUMIF(C:C,G11,B:B)</f>
        <v>2</v>
      </c>
    </row>
    <row r="12" spans="1:8" x14ac:dyDescent="0.25">
      <c r="A12" t="s">
        <v>197</v>
      </c>
      <c r="B12">
        <v>1</v>
      </c>
      <c r="C12" t="s">
        <v>236</v>
      </c>
      <c r="D12" s="107">
        <v>2.0076000000000001</v>
      </c>
      <c r="G12" t="s">
        <v>242</v>
      </c>
      <c r="H12" s="107">
        <f t="shared" si="0"/>
        <v>113.88000000000002</v>
      </c>
    </row>
    <row r="13" spans="1:8" x14ac:dyDescent="0.25">
      <c r="A13" t="s">
        <v>198</v>
      </c>
      <c r="C13" t="s">
        <v>241</v>
      </c>
      <c r="D13" s="107">
        <v>23.4526</v>
      </c>
      <c r="G13" t="s">
        <v>243</v>
      </c>
      <c r="H13" s="107">
        <v>109.3146</v>
      </c>
    </row>
    <row r="14" spans="1:8" x14ac:dyDescent="0.25">
      <c r="A14" t="s">
        <v>199</v>
      </c>
      <c r="C14" t="s">
        <v>240</v>
      </c>
      <c r="D14" s="107">
        <v>20.8062</v>
      </c>
    </row>
    <row r="15" spans="1:8" x14ac:dyDescent="0.25">
      <c r="A15" t="s">
        <v>200</v>
      </c>
      <c r="B15">
        <v>8</v>
      </c>
      <c r="C15" t="s">
        <v>235</v>
      </c>
    </row>
    <row r="16" spans="1:8" x14ac:dyDescent="0.25">
      <c r="A16" t="s">
        <v>201</v>
      </c>
      <c r="C16" t="s">
        <v>241</v>
      </c>
      <c r="D16" s="107">
        <v>124.1564</v>
      </c>
    </row>
    <row r="17" spans="1:4" x14ac:dyDescent="0.25">
      <c r="A17" t="s">
        <v>202</v>
      </c>
      <c r="B17">
        <v>2</v>
      </c>
      <c r="C17" t="s">
        <v>235</v>
      </c>
    </row>
    <row r="18" spans="1:4" x14ac:dyDescent="0.25">
      <c r="A18" t="s">
        <v>203</v>
      </c>
      <c r="B18">
        <v>2</v>
      </c>
      <c r="C18" t="s">
        <v>237</v>
      </c>
      <c r="D18" s="107">
        <v>2.94</v>
      </c>
    </row>
    <row r="19" spans="1:4" x14ac:dyDescent="0.25">
      <c r="A19" t="s">
        <v>204</v>
      </c>
      <c r="B19">
        <v>2</v>
      </c>
      <c r="C19" t="s">
        <v>237</v>
      </c>
      <c r="D19" s="107">
        <v>3.78</v>
      </c>
    </row>
    <row r="20" spans="1:4" x14ac:dyDescent="0.25">
      <c r="A20" t="s">
        <v>205</v>
      </c>
      <c r="B20">
        <v>5</v>
      </c>
      <c r="C20" t="s">
        <v>238</v>
      </c>
    </row>
    <row r="21" spans="1:4" x14ac:dyDescent="0.25">
      <c r="A21" t="s">
        <v>206</v>
      </c>
      <c r="B21">
        <v>1</v>
      </c>
      <c r="C21" t="s">
        <v>241</v>
      </c>
      <c r="D21" s="107">
        <v>14.7348</v>
      </c>
    </row>
    <row r="22" spans="1:4" x14ac:dyDescent="0.25">
      <c r="A22" t="s">
        <v>207</v>
      </c>
      <c r="C22" t="s">
        <v>241</v>
      </c>
      <c r="D22" s="107">
        <v>45.024799999999999</v>
      </c>
    </row>
    <row r="23" spans="1:4" x14ac:dyDescent="0.25">
      <c r="A23" t="s">
        <v>208</v>
      </c>
      <c r="C23" t="s">
        <v>240</v>
      </c>
      <c r="D23" s="107">
        <v>19.8809</v>
      </c>
    </row>
    <row r="24" spans="1:4" x14ac:dyDescent="0.25">
      <c r="A24" t="s">
        <v>209</v>
      </c>
      <c r="B24">
        <v>38</v>
      </c>
      <c r="C24" t="s">
        <v>235</v>
      </c>
    </row>
    <row r="25" spans="1:4" x14ac:dyDescent="0.25">
      <c r="A25" t="s">
        <v>210</v>
      </c>
      <c r="B25">
        <v>171</v>
      </c>
      <c r="C25" t="s">
        <v>238</v>
      </c>
    </row>
    <row r="26" spans="1:4" x14ac:dyDescent="0.25">
      <c r="A26" t="s">
        <v>211</v>
      </c>
      <c r="B26">
        <v>19</v>
      </c>
      <c r="C26" t="s">
        <v>237</v>
      </c>
      <c r="D26" s="107">
        <v>23.94</v>
      </c>
    </row>
    <row r="27" spans="1:4" x14ac:dyDescent="0.25">
      <c r="A27" t="s">
        <v>212</v>
      </c>
      <c r="B27">
        <v>19</v>
      </c>
      <c r="C27" t="s">
        <v>241</v>
      </c>
      <c r="D27" s="107">
        <v>482.98950000000002</v>
      </c>
    </row>
    <row r="28" spans="1:4" x14ac:dyDescent="0.25">
      <c r="A28" t="s">
        <v>213</v>
      </c>
      <c r="B28">
        <v>19</v>
      </c>
      <c r="C28" t="s">
        <v>241</v>
      </c>
      <c r="D28" s="107">
        <v>338.7396</v>
      </c>
    </row>
    <row r="29" spans="1:4" x14ac:dyDescent="0.25">
      <c r="A29" t="s">
        <v>214</v>
      </c>
      <c r="C29" t="s">
        <v>241</v>
      </c>
      <c r="D29" s="107">
        <v>530.63199999999995</v>
      </c>
    </row>
    <row r="30" spans="1:4" x14ac:dyDescent="0.25">
      <c r="A30" t="s">
        <v>215</v>
      </c>
      <c r="C30" t="s">
        <v>242</v>
      </c>
      <c r="D30" s="107">
        <v>90.155000000000001</v>
      </c>
    </row>
    <row r="31" spans="1:4" x14ac:dyDescent="0.25">
      <c r="A31" t="s">
        <v>216</v>
      </c>
      <c r="C31" t="s">
        <v>240</v>
      </c>
      <c r="D31" s="107">
        <v>297.255</v>
      </c>
    </row>
    <row r="32" spans="1:4" x14ac:dyDescent="0.25">
      <c r="A32" t="s">
        <v>202</v>
      </c>
      <c r="B32">
        <v>2</v>
      </c>
      <c r="C32" t="s">
        <v>235</v>
      </c>
    </row>
    <row r="33" spans="1:4" x14ac:dyDescent="0.25">
      <c r="A33" t="s">
        <v>217</v>
      </c>
      <c r="B33">
        <v>2</v>
      </c>
      <c r="C33" t="s">
        <v>238</v>
      </c>
    </row>
    <row r="34" spans="1:4" x14ac:dyDescent="0.25">
      <c r="A34" t="s">
        <v>218</v>
      </c>
      <c r="B34">
        <v>1</v>
      </c>
      <c r="C34" t="s">
        <v>237</v>
      </c>
      <c r="D34" s="107">
        <v>1.26</v>
      </c>
    </row>
    <row r="35" spans="1:4" x14ac:dyDescent="0.25">
      <c r="A35" t="s">
        <v>219</v>
      </c>
      <c r="B35">
        <v>1</v>
      </c>
      <c r="C35" t="s">
        <v>241</v>
      </c>
      <c r="D35" s="107">
        <v>15.21</v>
      </c>
    </row>
    <row r="36" spans="1:4" x14ac:dyDescent="0.25">
      <c r="A36" t="s">
        <v>220</v>
      </c>
      <c r="B36">
        <v>1</v>
      </c>
      <c r="C36" t="s">
        <v>241</v>
      </c>
      <c r="D36" s="107">
        <v>25.420500000000001</v>
      </c>
    </row>
    <row r="37" spans="1:4" x14ac:dyDescent="0.25">
      <c r="A37" t="s">
        <v>221</v>
      </c>
      <c r="B37">
        <v>1</v>
      </c>
      <c r="C37" t="s">
        <v>241</v>
      </c>
      <c r="D37" s="107">
        <v>17.828399999999998</v>
      </c>
    </row>
    <row r="38" spans="1:4" x14ac:dyDescent="0.25">
      <c r="A38" t="s">
        <v>222</v>
      </c>
      <c r="C38" t="s">
        <v>241</v>
      </c>
      <c r="D38" s="107">
        <v>27.928000000000001</v>
      </c>
    </row>
    <row r="39" spans="1:4" x14ac:dyDescent="0.25">
      <c r="A39" t="s">
        <v>223</v>
      </c>
      <c r="C39" t="s">
        <v>242</v>
      </c>
      <c r="D39" s="107">
        <v>4.7450000000000001</v>
      </c>
    </row>
    <row r="40" spans="1:4" x14ac:dyDescent="0.25">
      <c r="A40" t="s">
        <v>224</v>
      </c>
      <c r="C40" t="s">
        <v>240</v>
      </c>
      <c r="D40" s="107">
        <v>15.645</v>
      </c>
    </row>
    <row r="41" spans="1:4" x14ac:dyDescent="0.25">
      <c r="A41" t="s">
        <v>202</v>
      </c>
      <c r="B41">
        <v>2</v>
      </c>
      <c r="C41" t="s">
        <v>235</v>
      </c>
    </row>
    <row r="42" spans="1:4" x14ac:dyDescent="0.25">
      <c r="A42" t="s">
        <v>225</v>
      </c>
      <c r="B42">
        <v>7</v>
      </c>
      <c r="C42" t="s">
        <v>238</v>
      </c>
    </row>
    <row r="43" spans="1:4" x14ac:dyDescent="0.25">
      <c r="A43" t="s">
        <v>226</v>
      </c>
      <c r="B43">
        <v>2</v>
      </c>
      <c r="C43" t="s">
        <v>238</v>
      </c>
    </row>
    <row r="44" spans="1:4" x14ac:dyDescent="0.25">
      <c r="A44" t="s">
        <v>220</v>
      </c>
      <c r="B44">
        <v>1</v>
      </c>
      <c r="C44" t="s">
        <v>241</v>
      </c>
      <c r="D44" s="107">
        <v>25.420500000000001</v>
      </c>
    </row>
    <row r="45" spans="1:4" x14ac:dyDescent="0.25">
      <c r="A45" t="s">
        <v>221</v>
      </c>
      <c r="B45">
        <v>1</v>
      </c>
      <c r="C45" t="s">
        <v>241</v>
      </c>
      <c r="D45" s="107">
        <v>17.828399999999998</v>
      </c>
    </row>
    <row r="46" spans="1:4" x14ac:dyDescent="0.25">
      <c r="A46" t="s">
        <v>227</v>
      </c>
      <c r="C46" t="s">
        <v>241</v>
      </c>
      <c r="D46" s="107">
        <v>26.827999999999999</v>
      </c>
    </row>
    <row r="47" spans="1:4" x14ac:dyDescent="0.25">
      <c r="A47" t="s">
        <v>223</v>
      </c>
      <c r="C47" t="s">
        <v>242</v>
      </c>
      <c r="D47" s="107">
        <v>4.7450000000000001</v>
      </c>
    </row>
    <row r="48" spans="1:4" x14ac:dyDescent="0.25">
      <c r="A48" t="s">
        <v>224</v>
      </c>
      <c r="C48" t="s">
        <v>240</v>
      </c>
      <c r="D48" s="107">
        <v>15.645</v>
      </c>
    </row>
    <row r="49" spans="1:4" x14ac:dyDescent="0.25">
      <c r="A49" t="s">
        <v>202</v>
      </c>
      <c r="B49">
        <v>2</v>
      </c>
      <c r="C49" t="s">
        <v>235</v>
      </c>
    </row>
    <row r="50" spans="1:4" x14ac:dyDescent="0.25">
      <c r="A50" t="s">
        <v>228</v>
      </c>
      <c r="B50">
        <v>4</v>
      </c>
      <c r="C50" t="s">
        <v>238</v>
      </c>
    </row>
    <row r="51" spans="1:4" x14ac:dyDescent="0.25">
      <c r="A51" t="s">
        <v>218</v>
      </c>
      <c r="B51">
        <v>1</v>
      </c>
      <c r="C51" t="s">
        <v>237</v>
      </c>
      <c r="D51" s="107">
        <v>1.26</v>
      </c>
    </row>
    <row r="52" spans="1:4" x14ac:dyDescent="0.25">
      <c r="A52" t="s">
        <v>229</v>
      </c>
      <c r="B52">
        <v>1</v>
      </c>
      <c r="C52" t="s">
        <v>238</v>
      </c>
    </row>
    <row r="53" spans="1:4" x14ac:dyDescent="0.25">
      <c r="A53" t="s">
        <v>230</v>
      </c>
      <c r="B53">
        <v>1</v>
      </c>
      <c r="C53" t="s">
        <v>237</v>
      </c>
      <c r="D53" s="107">
        <v>10.5</v>
      </c>
    </row>
    <row r="54" spans="1:4" x14ac:dyDescent="0.25">
      <c r="A54" t="s">
        <v>220</v>
      </c>
      <c r="B54">
        <v>1</v>
      </c>
      <c r="C54" t="s">
        <v>241</v>
      </c>
      <c r="D54" s="107">
        <v>25.420500000000001</v>
      </c>
    </row>
    <row r="55" spans="1:4" x14ac:dyDescent="0.25">
      <c r="A55" t="s">
        <v>221</v>
      </c>
      <c r="B55">
        <v>1</v>
      </c>
      <c r="C55" t="s">
        <v>241</v>
      </c>
      <c r="D55" s="107">
        <v>17.828399999999998</v>
      </c>
    </row>
    <row r="56" spans="1:4" x14ac:dyDescent="0.25">
      <c r="A56" t="s">
        <v>222</v>
      </c>
      <c r="C56" t="s">
        <v>241</v>
      </c>
      <c r="D56" s="107">
        <v>27.928000000000001</v>
      </c>
    </row>
    <row r="57" spans="1:4" x14ac:dyDescent="0.25">
      <c r="A57" t="s">
        <v>223</v>
      </c>
      <c r="C57" t="s">
        <v>242</v>
      </c>
      <c r="D57" s="107">
        <v>4.7450000000000001</v>
      </c>
    </row>
    <row r="58" spans="1:4" x14ac:dyDescent="0.25">
      <c r="A58" t="s">
        <v>224</v>
      </c>
      <c r="C58" t="s">
        <v>240</v>
      </c>
      <c r="D58" s="107">
        <v>15.645</v>
      </c>
    </row>
    <row r="59" spans="1:4" x14ac:dyDescent="0.25">
      <c r="A59" t="s">
        <v>202</v>
      </c>
      <c r="B59">
        <v>2</v>
      </c>
      <c r="C59" t="s">
        <v>235</v>
      </c>
    </row>
    <row r="60" spans="1:4" x14ac:dyDescent="0.25">
      <c r="A60" t="s">
        <v>225</v>
      </c>
      <c r="B60">
        <v>7</v>
      </c>
      <c r="C60" t="s">
        <v>238</v>
      </c>
    </row>
    <row r="61" spans="1:4" x14ac:dyDescent="0.25">
      <c r="A61" t="s">
        <v>231</v>
      </c>
      <c r="B61">
        <v>1</v>
      </c>
      <c r="C61" t="s">
        <v>241</v>
      </c>
      <c r="D61" s="107">
        <v>5.61</v>
      </c>
    </row>
    <row r="62" spans="1:4" x14ac:dyDescent="0.25">
      <c r="A62" t="s">
        <v>232</v>
      </c>
      <c r="C62" t="s">
        <v>241</v>
      </c>
      <c r="D62" s="107">
        <v>69.707599999999999</v>
      </c>
    </row>
    <row r="63" spans="1:4" x14ac:dyDescent="0.25">
      <c r="A63" t="s">
        <v>223</v>
      </c>
      <c r="C63" t="s">
        <v>242</v>
      </c>
      <c r="D63" s="107">
        <v>4.7450000000000001</v>
      </c>
    </row>
    <row r="64" spans="1:4" x14ac:dyDescent="0.25">
      <c r="A64" t="s">
        <v>224</v>
      </c>
      <c r="C64" t="s">
        <v>240</v>
      </c>
      <c r="D64" s="107">
        <v>15.645</v>
      </c>
    </row>
    <row r="65" spans="1:4" x14ac:dyDescent="0.25">
      <c r="A65" t="s">
        <v>202</v>
      </c>
      <c r="B65">
        <v>2</v>
      </c>
      <c r="C65" t="s">
        <v>235</v>
      </c>
    </row>
    <row r="66" spans="1:4" x14ac:dyDescent="0.25">
      <c r="A66" t="s">
        <v>203</v>
      </c>
      <c r="B66">
        <v>2</v>
      </c>
      <c r="C66" t="s">
        <v>237</v>
      </c>
      <c r="D66" s="107">
        <v>2.94</v>
      </c>
    </row>
    <row r="67" spans="1:4" x14ac:dyDescent="0.25">
      <c r="A67" t="s">
        <v>233</v>
      </c>
      <c r="C67" t="s">
        <v>241</v>
      </c>
      <c r="D67" s="107">
        <v>32.372</v>
      </c>
    </row>
    <row r="68" spans="1:4" x14ac:dyDescent="0.25">
      <c r="A68" t="s">
        <v>223</v>
      </c>
      <c r="C68" t="s">
        <v>242</v>
      </c>
      <c r="D68" s="107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CD3E-8196-408C-936C-0FEA94743085}">
  <sheetPr>
    <tabColor rgb="FF003C66"/>
  </sheetPr>
  <dimension ref="A1:M19"/>
  <sheetViews>
    <sheetView showGridLines="0" zoomScaleNormal="100" zoomScaleSheetLayoutView="95" workbookViewId="0">
      <selection activeCell="M23" sqref="M23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1.570312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1.7109375" style="11" bestFit="1" customWidth="1"/>
    <col min="11" max="11" width="6.42578125" style="11" customWidth="1"/>
    <col min="12" max="12" width="11.28515625" style="11" bestFit="1" customWidth="1"/>
    <col min="13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281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ht="15.75" customHeight="1" x14ac:dyDescent="0.25">
      <c r="A12" s="21" t="s">
        <v>152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75" customHeight="1" x14ac:dyDescent="0.25">
      <c r="A15" s="206" t="s">
        <v>284</v>
      </c>
      <c r="B15" s="206"/>
      <c r="C15" s="206"/>
      <c r="D15" s="113">
        <v>0</v>
      </c>
      <c r="E15" s="72" t="s">
        <v>17</v>
      </c>
      <c r="F15" s="127">
        <v>260</v>
      </c>
      <c r="G15" s="124" t="s">
        <v>66</v>
      </c>
      <c r="H15" s="87" t="s">
        <v>41</v>
      </c>
      <c r="I15" s="216">
        <f>+F15*D15</f>
        <v>0</v>
      </c>
      <c r="J15" s="216"/>
      <c r="K15" s="27"/>
    </row>
    <row r="16" spans="1:13" ht="15.75" customHeight="1" x14ac:dyDescent="0.25">
      <c r="A16" s="215" t="s">
        <v>42</v>
      </c>
      <c r="B16" s="215"/>
      <c r="C16" s="215"/>
      <c r="D16" s="215"/>
      <c r="E16" s="215"/>
      <c r="F16" s="215"/>
      <c r="G16" s="215"/>
      <c r="H16" s="215"/>
      <c r="I16" s="212">
        <f>SUM(I15:J15)</f>
        <v>0</v>
      </c>
      <c r="J16" s="212"/>
      <c r="K16" s="35"/>
    </row>
    <row r="17" spans="1:11" ht="15.75" customHeight="1" x14ac:dyDescent="0.25">
      <c r="A17" s="177"/>
      <c r="B17" s="178"/>
      <c r="C17" s="178"/>
      <c r="D17" s="178"/>
      <c r="E17" s="178"/>
      <c r="F17" s="178"/>
      <c r="G17" s="178"/>
      <c r="H17" s="178"/>
      <c r="I17" s="86"/>
      <c r="J17" s="37"/>
      <c r="K17" s="39"/>
    </row>
    <row r="18" spans="1:11" x14ac:dyDescent="0.25">
      <c r="B18" s="11" t="s">
        <v>282</v>
      </c>
    </row>
    <row r="19" spans="1:11" x14ac:dyDescent="0.25">
      <c r="A19" s="11" t="s">
        <v>283</v>
      </c>
      <c r="B19" s="11">
        <v>15</v>
      </c>
      <c r="J19" s="81">
        <f>I16</f>
        <v>0</v>
      </c>
      <c r="K19" s="11">
        <f>J19/'[1]Dados Gerais'!E15</f>
        <v>0</v>
      </c>
    </row>
  </sheetData>
  <mergeCells count="16">
    <mergeCell ref="B10:F10"/>
    <mergeCell ref="J10:K10"/>
    <mergeCell ref="A2:K4"/>
    <mergeCell ref="B7:K7"/>
    <mergeCell ref="B8:K8"/>
    <mergeCell ref="B9:F9"/>
    <mergeCell ref="J9:K9"/>
    <mergeCell ref="A16:H16"/>
    <mergeCell ref="I16:J16"/>
    <mergeCell ref="A17:H17"/>
    <mergeCell ref="A14:C14"/>
    <mergeCell ref="D14:E14"/>
    <mergeCell ref="F14:G14"/>
    <mergeCell ref="I14:J14"/>
    <mergeCell ref="A15:C15"/>
    <mergeCell ref="I15:J15"/>
  </mergeCells>
  <dataValidations count="1">
    <dataValidation type="list" allowBlank="1" showInputMessage="1" showErrorMessage="1" sqref="J10" xr:uid="{3B50DB06-B3D4-4E5B-8B35-E4D009F98B2B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C66"/>
  </sheetPr>
  <dimension ref="A1:N39"/>
  <sheetViews>
    <sheetView showGridLines="0" topLeftCell="A22" zoomScale="130" zoomScaleNormal="130" zoomScaleSheetLayoutView="95" workbookViewId="0">
      <selection activeCell="F28" sqref="F28"/>
    </sheetView>
  </sheetViews>
  <sheetFormatPr defaultColWidth="9.140625" defaultRowHeight="12.75" x14ac:dyDescent="0.25"/>
  <cols>
    <col min="1" max="1" width="22.7109375" style="11" customWidth="1"/>
    <col min="2" max="2" width="9.85546875" style="11" customWidth="1"/>
    <col min="3" max="3" width="10.28515625" style="11" bestFit="1" customWidth="1"/>
    <col min="4" max="4" width="15.85546875" style="63" customWidth="1"/>
    <col min="5" max="5" width="7.5703125" style="69" customWidth="1"/>
    <col min="6" max="6" width="11.5703125" style="18" customWidth="1"/>
    <col min="7" max="7" width="15.85546875" style="11" customWidth="1"/>
    <col min="8" max="8" width="12.85546875" style="11" customWidth="1"/>
    <col min="9" max="9" width="14.5703125" style="11" bestFit="1" customWidth="1"/>
    <col min="10" max="10" width="7.28515625" style="11" bestFit="1" customWidth="1"/>
    <col min="11" max="11" width="6.42578125" style="11" customWidth="1"/>
    <col min="12" max="12" width="12.42578125" style="11" bestFit="1" customWidth="1"/>
    <col min="13" max="13" width="13.5703125" style="11" bestFit="1" customWidth="1"/>
    <col min="14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136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ht="15.75" customHeight="1" x14ac:dyDescent="0.25">
      <c r="A12" s="21" t="s">
        <v>137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x14ac:dyDescent="0.25">
      <c r="A15" s="207" t="s">
        <v>254</v>
      </c>
      <c r="B15" s="208"/>
      <c r="C15" s="209"/>
      <c r="D15" s="146">
        <f>'[2]EPC''s'!$D$42</f>
        <v>11735.9182</v>
      </c>
      <c r="E15" s="105" t="s">
        <v>17</v>
      </c>
      <c r="F15" s="106">
        <v>55</v>
      </c>
      <c r="G15" s="87" t="s">
        <v>66</v>
      </c>
      <c r="H15" s="87" t="s">
        <v>41</v>
      </c>
      <c r="I15" s="256">
        <f>D15*F15</f>
        <v>645475.50100000005</v>
      </c>
      <c r="J15" s="257"/>
      <c r="K15" s="27"/>
      <c r="L15" s="97"/>
    </row>
    <row r="16" spans="1:13" ht="15.75" customHeight="1" x14ac:dyDescent="0.25">
      <c r="A16" s="215" t="s">
        <v>42</v>
      </c>
      <c r="B16" s="215"/>
      <c r="C16" s="215"/>
      <c r="D16" s="215"/>
      <c r="E16" s="215"/>
      <c r="F16" s="215"/>
      <c r="G16" s="215"/>
      <c r="H16" s="215"/>
      <c r="I16" s="212">
        <f>SUM(I15:J15)</f>
        <v>645475.50100000005</v>
      </c>
      <c r="J16" s="212"/>
      <c r="K16" s="35"/>
    </row>
    <row r="17" spans="1:14" ht="15.75" customHeight="1" x14ac:dyDescent="0.25">
      <c r="A17" s="177"/>
      <c r="B17" s="178"/>
      <c r="C17" s="178"/>
      <c r="D17" s="178"/>
      <c r="E17" s="178"/>
      <c r="F17" s="178"/>
      <c r="G17" s="178"/>
      <c r="H17" s="178"/>
      <c r="I17" s="86"/>
      <c r="J17" s="37"/>
      <c r="K17" s="39"/>
    </row>
    <row r="18" spans="1:14" ht="15.75" customHeight="1" x14ac:dyDescent="0.25">
      <c r="A18" s="21" t="s">
        <v>138</v>
      </c>
      <c r="B18" s="22"/>
      <c r="C18" s="22"/>
      <c r="D18" s="59"/>
      <c r="E18" s="41"/>
      <c r="F18" s="23"/>
      <c r="G18" s="22"/>
      <c r="H18" s="22"/>
      <c r="I18" s="22"/>
      <c r="J18" s="22"/>
      <c r="K18" s="24"/>
    </row>
    <row r="19" spans="1:14" ht="15.75" customHeight="1" x14ac:dyDescent="0.25">
      <c r="A19" s="25"/>
      <c r="B19" s="26"/>
      <c r="C19" s="26"/>
      <c r="D19" s="112"/>
      <c r="E19" s="68"/>
      <c r="F19" s="26"/>
      <c r="G19" s="26"/>
      <c r="H19" s="26"/>
      <c r="K19" s="27"/>
      <c r="M19" s="11">
        <f>22957.279-146.813-330.47-10.48-15.182</f>
        <v>22454.333999999999</v>
      </c>
    </row>
    <row r="20" spans="1:14" ht="15.75" customHeight="1" x14ac:dyDescent="0.25">
      <c r="A20" s="194" t="s">
        <v>34</v>
      </c>
      <c r="B20" s="195"/>
      <c r="C20" s="195"/>
      <c r="D20" s="213" t="s">
        <v>49</v>
      </c>
      <c r="E20" s="214"/>
      <c r="F20" s="197" t="s">
        <v>23</v>
      </c>
      <c r="G20" s="199"/>
      <c r="H20" s="28" t="s">
        <v>39</v>
      </c>
      <c r="I20" s="197" t="s">
        <v>38</v>
      </c>
      <c r="J20" s="199"/>
      <c r="K20" s="27"/>
    </row>
    <row r="21" spans="1:14" x14ac:dyDescent="0.25">
      <c r="A21" s="206" t="s">
        <v>448</v>
      </c>
      <c r="B21" s="206"/>
      <c r="C21" s="206"/>
      <c r="D21" s="105">
        <f>D15-D27-D28</f>
        <v>11243.8742</v>
      </c>
      <c r="E21" s="105" t="s">
        <v>17</v>
      </c>
      <c r="F21" s="106">
        <f>(321.24/1.3)+30</f>
        <v>277.10769230769233</v>
      </c>
      <c r="G21" s="87" t="s">
        <v>66</v>
      </c>
      <c r="H21" s="87" t="s">
        <v>41</v>
      </c>
      <c r="I21" s="256">
        <f>+D21*F21</f>
        <v>3115764.0321600004</v>
      </c>
      <c r="J21" s="257"/>
      <c r="K21" s="27"/>
    </row>
    <row r="22" spans="1:14" ht="15.75" customHeight="1" x14ac:dyDescent="0.25">
      <c r="A22" s="215" t="s">
        <v>42</v>
      </c>
      <c r="B22" s="215"/>
      <c r="C22" s="215"/>
      <c r="D22" s="215"/>
      <c r="E22" s="215"/>
      <c r="F22" s="215"/>
      <c r="G22" s="215"/>
      <c r="H22" s="215"/>
      <c r="I22" s="212">
        <f>SUM(I21)</f>
        <v>3115764.0321600004</v>
      </c>
      <c r="J22" s="212"/>
      <c r="K22" s="35"/>
      <c r="M22" s="11" t="s">
        <v>420</v>
      </c>
      <c r="N22" s="73">
        <f>(20.51+13.74)*0.94+(20.51+13.74)*0.5*2+19.91*0.5*2+19.91*2.32*2+0.8*19.91</f>
        <v>194.66539999999998</v>
      </c>
    </row>
    <row r="23" spans="1:14" ht="15.75" customHeight="1" x14ac:dyDescent="0.25">
      <c r="A23" s="177"/>
      <c r="B23" s="178"/>
      <c r="C23" s="178"/>
      <c r="D23" s="178"/>
      <c r="E23" s="178"/>
      <c r="F23" s="178"/>
      <c r="G23" s="178"/>
      <c r="H23" s="178"/>
      <c r="I23" s="86"/>
      <c r="J23" s="37"/>
      <c r="K23" s="39"/>
      <c r="M23" s="11" t="s">
        <v>421</v>
      </c>
      <c r="N23" s="73">
        <f>(18.42+13.86)*0.94+(18.42+13.86)*0.5*2+23.16*0.5*2+23.16*1.42+23.16*1.9+3.4*23.16</f>
        <v>241.41839999999999</v>
      </c>
    </row>
    <row r="24" spans="1:14" ht="15.75" customHeight="1" x14ac:dyDescent="0.25">
      <c r="A24" s="21" t="s">
        <v>139</v>
      </c>
      <c r="B24" s="22"/>
      <c r="C24" s="22"/>
      <c r="D24" s="59"/>
      <c r="E24" s="41"/>
      <c r="F24" s="23"/>
      <c r="G24" s="22"/>
      <c r="H24" s="22"/>
      <c r="I24" s="22"/>
      <c r="J24" s="22"/>
      <c r="K24" s="24"/>
      <c r="M24" s="11" t="s">
        <v>422</v>
      </c>
      <c r="N24" s="73">
        <f>(18.42+13.86)*0.94+(18.42+13.86)*0.5*2+65.17*0.5*2+65.17*1.42+3.4*(137.27-72.58)</f>
        <v>440.28060000000005</v>
      </c>
    </row>
    <row r="25" spans="1:14" ht="15.75" customHeight="1" x14ac:dyDescent="0.25">
      <c r="A25" s="25"/>
      <c r="B25" s="26"/>
      <c r="C25" s="26"/>
      <c r="D25" s="60"/>
      <c r="E25" s="68"/>
      <c r="F25" s="26"/>
      <c r="G25" s="26"/>
      <c r="H25" s="26"/>
      <c r="K25" s="27"/>
    </row>
    <row r="26" spans="1:14" ht="15.75" customHeight="1" x14ac:dyDescent="0.25">
      <c r="A26" s="194" t="s">
        <v>34</v>
      </c>
      <c r="B26" s="195"/>
      <c r="C26" s="195"/>
      <c r="D26" s="213" t="s">
        <v>49</v>
      </c>
      <c r="E26" s="214"/>
      <c r="F26" s="197" t="s">
        <v>23</v>
      </c>
      <c r="G26" s="199"/>
      <c r="H26" s="28" t="s">
        <v>39</v>
      </c>
      <c r="I26" s="197" t="s">
        <v>38</v>
      </c>
      <c r="J26" s="199"/>
      <c r="K26" s="27"/>
    </row>
    <row r="27" spans="1:14" x14ac:dyDescent="0.25">
      <c r="A27" s="258" t="s">
        <v>273</v>
      </c>
      <c r="B27" s="258"/>
      <c r="C27" s="258"/>
      <c r="D27" s="73">
        <f>56.914+253.717+25.93</f>
        <v>336.56100000000004</v>
      </c>
      <c r="E27" s="73" t="s">
        <v>17</v>
      </c>
      <c r="F27" s="116">
        <v>210</v>
      </c>
      <c r="G27" s="88" t="s">
        <v>66</v>
      </c>
      <c r="H27" s="84" t="s">
        <v>161</v>
      </c>
      <c r="I27" s="182">
        <f t="shared" ref="I27" si="0">F27*D27</f>
        <v>70677.810000000012</v>
      </c>
      <c r="J27" s="184"/>
      <c r="K27" s="27"/>
    </row>
    <row r="28" spans="1:14" x14ac:dyDescent="0.25">
      <c r="A28" s="258" t="s">
        <v>447</v>
      </c>
      <c r="B28" s="258"/>
      <c r="C28" s="258"/>
      <c r="D28" s="73">
        <f>55.784+19.119+16.713+18.676+29.1+16.091</f>
        <v>155.483</v>
      </c>
      <c r="E28" s="73" t="s">
        <v>17</v>
      </c>
      <c r="F28" s="262">
        <v>160</v>
      </c>
      <c r="G28" s="88" t="s">
        <v>66</v>
      </c>
      <c r="H28" s="84" t="s">
        <v>161</v>
      </c>
      <c r="I28" s="182">
        <f t="shared" ref="I28" si="1">F28*D28</f>
        <v>24877.279999999999</v>
      </c>
      <c r="J28" s="184"/>
      <c r="K28" s="27"/>
    </row>
    <row r="29" spans="1:14" x14ac:dyDescent="0.25">
      <c r="A29" s="258" t="s">
        <v>331</v>
      </c>
      <c r="B29" s="258"/>
      <c r="C29" s="258"/>
      <c r="D29" s="73">
        <f>N22+N23+N24</f>
        <v>876.36440000000005</v>
      </c>
      <c r="E29" s="73" t="s">
        <v>17</v>
      </c>
      <c r="F29" s="116">
        <v>700</v>
      </c>
      <c r="G29" s="88" t="s">
        <v>66</v>
      </c>
      <c r="H29" s="84" t="s">
        <v>161</v>
      </c>
      <c r="I29" s="182">
        <f t="shared" ref="I29" si="2">F29*D29</f>
        <v>613455.08000000007</v>
      </c>
      <c r="J29" s="184"/>
      <c r="K29" s="27"/>
    </row>
    <row r="30" spans="1:14" ht="15.75" customHeight="1" x14ac:dyDescent="0.25">
      <c r="A30" s="215"/>
      <c r="B30" s="215"/>
      <c r="C30" s="215"/>
      <c r="D30" s="215"/>
      <c r="E30" s="215"/>
      <c r="F30" s="215"/>
      <c r="G30" s="215"/>
      <c r="H30" s="215"/>
      <c r="I30" s="212">
        <f>SUM(I27:J29)</f>
        <v>709010.17</v>
      </c>
      <c r="J30" s="212"/>
      <c r="K30" s="35"/>
    </row>
    <row r="31" spans="1:14" ht="15.75" customHeight="1" x14ac:dyDescent="0.25">
      <c r="A31" s="177"/>
      <c r="B31" s="178"/>
      <c r="C31" s="178"/>
      <c r="D31" s="178"/>
      <c r="E31" s="178"/>
      <c r="F31" s="178"/>
      <c r="G31" s="178"/>
      <c r="H31" s="178"/>
      <c r="I31" s="86"/>
      <c r="J31" s="37"/>
      <c r="K31" s="39"/>
    </row>
    <row r="32" spans="1:14" ht="15.75" customHeight="1" x14ac:dyDescent="0.25">
      <c r="I32" s="81"/>
    </row>
    <row r="33" spans="1:12" ht="15.75" customHeight="1" x14ac:dyDescent="0.25">
      <c r="A33" s="215" t="s">
        <v>426</v>
      </c>
      <c r="B33" s="215"/>
      <c r="C33" s="215"/>
      <c r="D33" s="215"/>
      <c r="E33" s="215"/>
      <c r="F33" s="215"/>
      <c r="G33" s="215"/>
      <c r="H33" s="215"/>
      <c r="I33" s="212">
        <f>I30+I22+I16</f>
        <v>4470249.70316</v>
      </c>
      <c r="J33" s="212"/>
      <c r="K33" s="217">
        <f>I33/'Dados Gerais'!E15</f>
        <v>267.23428580754347</v>
      </c>
      <c r="L33" s="217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</sheetData>
  <mergeCells count="41">
    <mergeCell ref="A33:H33"/>
    <mergeCell ref="I33:J33"/>
    <mergeCell ref="K33:L33"/>
    <mergeCell ref="A22:H22"/>
    <mergeCell ref="I22:J22"/>
    <mergeCell ref="A23:H23"/>
    <mergeCell ref="A31:H31"/>
    <mergeCell ref="D26:E26"/>
    <mergeCell ref="F26:G26"/>
    <mergeCell ref="I30:J30"/>
    <mergeCell ref="A27:C27"/>
    <mergeCell ref="A30:H30"/>
    <mergeCell ref="A26:C26"/>
    <mergeCell ref="I26:J26"/>
    <mergeCell ref="A28:C28"/>
    <mergeCell ref="I28:J28"/>
    <mergeCell ref="A29:C29"/>
    <mergeCell ref="I29:J29"/>
    <mergeCell ref="A15:C15"/>
    <mergeCell ref="I15:J15"/>
    <mergeCell ref="I27:J27"/>
    <mergeCell ref="I16:J16"/>
    <mergeCell ref="A16:H16"/>
    <mergeCell ref="A17:H17"/>
    <mergeCell ref="A20:C20"/>
    <mergeCell ref="D20:E20"/>
    <mergeCell ref="F20:G20"/>
    <mergeCell ref="I20:J20"/>
    <mergeCell ref="A2:K4"/>
    <mergeCell ref="B7:K7"/>
    <mergeCell ref="B8:K8"/>
    <mergeCell ref="B9:F9"/>
    <mergeCell ref="J9:K9"/>
    <mergeCell ref="B10:F10"/>
    <mergeCell ref="J10:K10"/>
    <mergeCell ref="A21:C21"/>
    <mergeCell ref="I21:J21"/>
    <mergeCell ref="A14:C14"/>
    <mergeCell ref="D14:E14"/>
    <mergeCell ref="F14:G14"/>
    <mergeCell ref="I14:J14"/>
  </mergeCells>
  <dataValidations disablePrompts="1" count="1">
    <dataValidation type="list" allowBlank="1" showInputMessage="1" showErrorMessage="1" sqref="J10" xr:uid="{61C709DB-8DDA-4358-89D6-0AA02B4668DA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3C66"/>
  </sheetPr>
  <dimension ref="A1:M22"/>
  <sheetViews>
    <sheetView showGridLines="0" topLeftCell="A15" zoomScale="166" zoomScaleNormal="166" zoomScaleSheetLayoutView="95" workbookViewId="0">
      <selection activeCell="A22" sqref="A22:H22"/>
    </sheetView>
  </sheetViews>
  <sheetFormatPr defaultColWidth="9.140625" defaultRowHeight="12.75" x14ac:dyDescent="0.25"/>
  <cols>
    <col min="1" max="1" width="17.42578125" style="11" customWidth="1"/>
    <col min="2" max="2" width="9.85546875" style="11" customWidth="1"/>
    <col min="3" max="3" width="8.85546875" style="11" customWidth="1"/>
    <col min="4" max="4" width="14" style="63" customWidth="1"/>
    <col min="5" max="5" width="7.5703125" style="69" customWidth="1"/>
    <col min="6" max="6" width="11.5703125" style="18" customWidth="1"/>
    <col min="7" max="7" width="15.85546875" style="11" customWidth="1"/>
    <col min="8" max="8" width="12.85546875" style="11" customWidth="1"/>
    <col min="9" max="9" width="9.28515625" style="11" customWidth="1"/>
    <col min="10" max="10" width="13.140625" style="11" bestFit="1" customWidth="1"/>
    <col min="11" max="11" width="6.42578125" style="11" customWidth="1"/>
    <col min="12" max="12" width="11.5703125" style="11" bestFit="1" customWidth="1"/>
    <col min="13" max="16384" width="9.140625" style="11"/>
  </cols>
  <sheetData>
    <row r="1" spans="1:13" x14ac:dyDescent="0.25">
      <c r="A1" s="1"/>
      <c r="B1" s="1"/>
      <c r="C1" s="1"/>
      <c r="D1" s="56"/>
      <c r="E1" s="65"/>
      <c r="F1" s="19"/>
      <c r="G1" s="1"/>
      <c r="H1" s="1"/>
      <c r="I1" s="1"/>
      <c r="J1" s="1"/>
      <c r="K1" s="1"/>
      <c r="M1" s="12"/>
    </row>
    <row r="2" spans="1:13" x14ac:dyDescent="0.25">
      <c r="A2" s="154" t="s">
        <v>140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M2" s="12"/>
    </row>
    <row r="3" spans="1:13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M3" s="12"/>
    </row>
    <row r="4" spans="1:13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M4" s="12"/>
    </row>
    <row r="5" spans="1:13" ht="13.5" thickBot="1" x14ac:dyDescent="0.3">
      <c r="A5" s="2"/>
      <c r="B5" s="2"/>
      <c r="C5" s="2"/>
      <c r="D5" s="57"/>
      <c r="E5" s="66"/>
      <c r="F5" s="20"/>
      <c r="G5" s="3"/>
      <c r="H5" s="3"/>
      <c r="I5" s="3"/>
      <c r="J5" s="3"/>
      <c r="K5" s="3"/>
      <c r="M5" s="12"/>
    </row>
    <row r="6" spans="1:13" x14ac:dyDescent="0.25">
      <c r="A6" s="4"/>
      <c r="B6" s="4"/>
      <c r="C6" s="4"/>
      <c r="D6" s="58"/>
      <c r="E6" s="67"/>
      <c r="F6" s="19"/>
      <c r="G6" s="1"/>
      <c r="H6" s="1"/>
      <c r="I6" s="1"/>
      <c r="J6" s="1"/>
      <c r="K6" s="1"/>
      <c r="M6" s="12"/>
    </row>
    <row r="7" spans="1:13" x14ac:dyDescent="0.25">
      <c r="A7" s="5" t="s">
        <v>0</v>
      </c>
      <c r="B7" s="156" t="str">
        <f>'Dados Gerais'!B7</f>
        <v>CTN-BRS-139 - Gerenciamento executivo_R00</v>
      </c>
      <c r="C7" s="156"/>
      <c r="D7" s="156"/>
      <c r="E7" s="156"/>
      <c r="F7" s="156"/>
      <c r="G7" s="156"/>
      <c r="H7" s="156"/>
      <c r="I7" s="156"/>
      <c r="J7" s="156"/>
      <c r="K7" s="156"/>
      <c r="M7" s="12"/>
    </row>
    <row r="8" spans="1:13" x14ac:dyDescent="0.25">
      <c r="A8" s="5" t="s">
        <v>1</v>
      </c>
      <c r="B8" s="156" t="str">
        <f>'Dados Gerais'!B8</f>
        <v>Brasin</v>
      </c>
      <c r="C8" s="156"/>
      <c r="D8" s="156"/>
      <c r="E8" s="156"/>
      <c r="F8" s="156"/>
      <c r="G8" s="156"/>
      <c r="H8" s="156"/>
      <c r="I8" s="156"/>
      <c r="J8" s="156"/>
      <c r="K8" s="156"/>
      <c r="M8" s="12"/>
    </row>
    <row r="9" spans="1:13" ht="15" customHeight="1" x14ac:dyDescent="0.25">
      <c r="A9" s="5" t="s">
        <v>2</v>
      </c>
      <c r="B9" s="158">
        <f>'Dados Gerais'!B9</f>
        <v>139</v>
      </c>
      <c r="C9" s="159"/>
      <c r="D9" s="159"/>
      <c r="E9" s="159"/>
      <c r="F9" s="160"/>
      <c r="G9" s="9" t="s">
        <v>10</v>
      </c>
      <c r="H9" s="47" t="s">
        <v>289</v>
      </c>
      <c r="I9" s="6" t="s">
        <v>6</v>
      </c>
      <c r="J9" s="158" t="s">
        <v>271</v>
      </c>
      <c r="K9" s="160"/>
    </row>
    <row r="10" spans="1:13" x14ac:dyDescent="0.25">
      <c r="A10" s="7" t="s">
        <v>3</v>
      </c>
      <c r="B10" s="161">
        <f>'Dados Gerais'!B10</f>
        <v>45006</v>
      </c>
      <c r="C10" s="162"/>
      <c r="D10" s="162"/>
      <c r="E10" s="162"/>
      <c r="F10" s="163"/>
      <c r="G10" s="9" t="s">
        <v>4</v>
      </c>
      <c r="H10" s="8" t="s">
        <v>5</v>
      </c>
      <c r="I10" s="6" t="s">
        <v>40</v>
      </c>
      <c r="J10" s="164"/>
      <c r="K10" s="165"/>
    </row>
    <row r="12" spans="1:13" ht="15.75" customHeight="1" x14ac:dyDescent="0.25">
      <c r="A12" s="21" t="s">
        <v>144</v>
      </c>
      <c r="B12" s="22"/>
      <c r="C12" s="22"/>
      <c r="D12" s="59"/>
      <c r="E12" s="41"/>
      <c r="F12" s="23"/>
      <c r="G12" s="22"/>
      <c r="H12" s="22"/>
      <c r="I12" s="22"/>
      <c r="J12" s="22"/>
      <c r="K12" s="24"/>
    </row>
    <row r="13" spans="1:13" ht="15.75" customHeight="1" x14ac:dyDescent="0.25">
      <c r="A13" s="25"/>
      <c r="B13" s="26"/>
      <c r="C13" s="26"/>
      <c r="D13" s="60"/>
      <c r="E13" s="68"/>
      <c r="F13" s="26"/>
      <c r="G13" s="26"/>
      <c r="H13" s="26"/>
      <c r="K13" s="27"/>
    </row>
    <row r="14" spans="1:13" ht="15.75" customHeight="1" x14ac:dyDescent="0.25">
      <c r="A14" s="194" t="s">
        <v>34</v>
      </c>
      <c r="B14" s="195"/>
      <c r="C14" s="195"/>
      <c r="D14" s="213" t="s">
        <v>49</v>
      </c>
      <c r="E14" s="214"/>
      <c r="F14" s="197" t="s">
        <v>23</v>
      </c>
      <c r="G14" s="199"/>
      <c r="H14" s="28" t="s">
        <v>39</v>
      </c>
      <c r="I14" s="197" t="s">
        <v>38</v>
      </c>
      <c r="J14" s="199"/>
      <c r="K14" s="27"/>
    </row>
    <row r="15" spans="1:13" ht="15.75" customHeight="1" x14ac:dyDescent="0.25">
      <c r="A15" s="206" t="s">
        <v>274</v>
      </c>
      <c r="B15" s="206"/>
      <c r="C15" s="206"/>
      <c r="D15" s="121">
        <v>1</v>
      </c>
      <c r="E15" s="121" t="s">
        <v>65</v>
      </c>
      <c r="F15" s="123">
        <v>2400</v>
      </c>
      <c r="G15" s="124" t="s">
        <v>275</v>
      </c>
      <c r="H15" s="87" t="s">
        <v>161</v>
      </c>
      <c r="I15" s="201">
        <f>D15*F15*'Dados Gerais'!$E$22</f>
        <v>2776224</v>
      </c>
      <c r="J15" s="203"/>
      <c r="K15" s="27"/>
    </row>
    <row r="16" spans="1:13" ht="15.75" customHeight="1" x14ac:dyDescent="0.25">
      <c r="A16" s="200" t="s">
        <v>276</v>
      </c>
      <c r="B16" s="200"/>
      <c r="C16" s="200"/>
      <c r="D16" s="122">
        <v>1</v>
      </c>
      <c r="E16" s="122" t="s">
        <v>65</v>
      </c>
      <c r="F16" s="125">
        <v>10</v>
      </c>
      <c r="G16" s="88" t="s">
        <v>24</v>
      </c>
      <c r="H16" s="84" t="s">
        <v>161</v>
      </c>
      <c r="I16" s="182">
        <f>D16*F16*'Dados Gerais'!$E$15</f>
        <v>167278.30000000002</v>
      </c>
      <c r="J16" s="184"/>
      <c r="K16" s="27"/>
    </row>
    <row r="17" spans="1:12" ht="15.75" customHeight="1" x14ac:dyDescent="0.25">
      <c r="A17" s="200" t="s">
        <v>277</v>
      </c>
      <c r="B17" s="200"/>
      <c r="C17" s="200"/>
      <c r="D17" s="122">
        <v>1</v>
      </c>
      <c r="E17" s="122" t="s">
        <v>65</v>
      </c>
      <c r="F17" s="125">
        <v>17</v>
      </c>
      <c r="G17" s="88" t="s">
        <v>24</v>
      </c>
      <c r="H17" s="84" t="s">
        <v>161</v>
      </c>
      <c r="I17" s="182">
        <f>D17*F17*'Dados Gerais'!$E$15</f>
        <v>284373.11000000004</v>
      </c>
      <c r="J17" s="184"/>
      <c r="K17" s="27"/>
    </row>
    <row r="18" spans="1:12" ht="15.75" customHeight="1" x14ac:dyDescent="0.25">
      <c r="A18" s="228" t="s">
        <v>145</v>
      </c>
      <c r="B18" s="228"/>
      <c r="C18" s="228"/>
      <c r="D18" s="73">
        <v>1</v>
      </c>
      <c r="E18" s="73" t="s">
        <v>65</v>
      </c>
      <c r="F18" s="89">
        <v>15</v>
      </c>
      <c r="G18" s="90" t="s">
        <v>24</v>
      </c>
      <c r="H18" s="84" t="s">
        <v>161</v>
      </c>
      <c r="I18" s="185">
        <f>D18*F18*'Dados Gerais'!$E$15</f>
        <v>250917.45</v>
      </c>
      <c r="J18" s="187"/>
      <c r="K18" s="27"/>
    </row>
    <row r="19" spans="1:12" ht="15.75" customHeight="1" x14ac:dyDescent="0.25">
      <c r="A19" s="215" t="s">
        <v>42</v>
      </c>
      <c r="B19" s="215"/>
      <c r="C19" s="215"/>
      <c r="D19" s="215"/>
      <c r="E19" s="215"/>
      <c r="F19" s="215"/>
      <c r="G19" s="215"/>
      <c r="H19" s="215"/>
      <c r="I19" s="212">
        <f>SUM(I15:J18)</f>
        <v>3478792.86</v>
      </c>
      <c r="J19" s="212"/>
      <c r="K19" s="35"/>
    </row>
    <row r="20" spans="1:12" ht="15.75" customHeight="1" x14ac:dyDescent="0.25">
      <c r="A20" s="177"/>
      <c r="B20" s="178"/>
      <c r="C20" s="178"/>
      <c r="D20" s="178"/>
      <c r="E20" s="178"/>
      <c r="F20" s="178"/>
      <c r="G20" s="178"/>
      <c r="H20" s="178"/>
      <c r="I20" s="86"/>
      <c r="J20" s="37"/>
      <c r="K20" s="39"/>
    </row>
    <row r="21" spans="1:12" x14ac:dyDescent="0.25">
      <c r="J21" s="81"/>
    </row>
    <row r="22" spans="1:12" x14ac:dyDescent="0.25">
      <c r="A22" s="215" t="s">
        <v>305</v>
      </c>
      <c r="B22" s="215"/>
      <c r="C22" s="215"/>
      <c r="D22" s="215"/>
      <c r="E22" s="215"/>
      <c r="F22" s="215"/>
      <c r="G22" s="215"/>
      <c r="H22" s="215"/>
      <c r="I22" s="212">
        <f>I19</f>
        <v>3478792.86</v>
      </c>
      <c r="J22" s="212"/>
      <c r="K22" s="217">
        <f>I22/'Dados Gerais'!E15</f>
        <v>207.96438390394925</v>
      </c>
      <c r="L22" s="217"/>
    </row>
  </sheetData>
  <mergeCells count="25">
    <mergeCell ref="A22:H22"/>
    <mergeCell ref="I22:J22"/>
    <mergeCell ref="K22:L22"/>
    <mergeCell ref="A20:H20"/>
    <mergeCell ref="A18:C18"/>
    <mergeCell ref="I18:J18"/>
    <mergeCell ref="A19:H19"/>
    <mergeCell ref="I19:J19"/>
    <mergeCell ref="A14:C14"/>
    <mergeCell ref="D14:E14"/>
    <mergeCell ref="F14:G14"/>
    <mergeCell ref="I14:J14"/>
    <mergeCell ref="B10:F10"/>
    <mergeCell ref="J10:K10"/>
    <mergeCell ref="A2:K4"/>
    <mergeCell ref="B7:K7"/>
    <mergeCell ref="B8:K8"/>
    <mergeCell ref="B9:F9"/>
    <mergeCell ref="J9:K9"/>
    <mergeCell ref="A16:C16"/>
    <mergeCell ref="I16:J16"/>
    <mergeCell ref="A15:C15"/>
    <mergeCell ref="I15:J15"/>
    <mergeCell ref="A17:C17"/>
    <mergeCell ref="I17:J17"/>
  </mergeCells>
  <dataValidations disablePrompts="1" count="1">
    <dataValidation type="list" allowBlank="1" showInputMessage="1" showErrorMessage="1" sqref="J10" xr:uid="{62C6A101-36E6-4F7A-B3B5-A26F6F16D4D3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33</vt:i4>
      </vt:variant>
    </vt:vector>
  </HeadingPairs>
  <TitlesOfParts>
    <vt:vector size="51" baseType="lpstr">
      <vt:lpstr>Dados Gerais</vt:lpstr>
      <vt:lpstr>Resumo</vt:lpstr>
      <vt:lpstr>Movimentação de Terra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Acabamentos de Teto</vt:lpstr>
      <vt:lpstr>Rev. Internos Piso e Parede</vt:lpstr>
      <vt:lpstr>Acabamentos de Piso e Parede</vt:lpstr>
      <vt:lpstr>Pintura Interna</vt:lpstr>
      <vt:lpstr>Esquadrias</vt:lpstr>
      <vt:lpstr>Auxiliar</vt:lpstr>
      <vt:lpstr>Cobertura</vt:lpstr>
      <vt:lpstr>Rev. Fachada</vt:lpstr>
      <vt:lpstr>Complementares</vt:lpstr>
      <vt:lpstr>'Acabamentos de Piso e Parede'!Area_de_impressao</vt:lpstr>
      <vt:lpstr>'Acabamentos de Teto'!Area_de_impressao</vt:lpstr>
      <vt:lpstr>Alvenaria!Area_de_impressao</vt:lpstr>
      <vt:lpstr>Cobertura!Area_de_impressao</vt:lpstr>
      <vt:lpstr>Complementares!Area_de_impressao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'Movimentação de Terra'!Area_de_impressao</vt:lpstr>
      <vt:lpstr>'Pintura Interna'!Area_de_impressao</vt:lpstr>
      <vt:lpstr>Resumo!Area_de_impressao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'Acabamentos de Piso e Parede'!Titulos_de_impressao</vt:lpstr>
      <vt:lpstr>'Acabamentos de Teto'!Titulos_de_impressao</vt:lpstr>
      <vt:lpstr>Alvenaria!Titulos_de_impressao</vt:lpstr>
      <vt:lpstr>Cobertura!Titulos_de_impressao</vt:lpstr>
      <vt:lpstr>Complementares!Titulos_de_impressao</vt:lpstr>
      <vt:lpstr>'Dados Gerais'!Titulos_de_impressao</vt:lpstr>
      <vt:lpstr>Esquadrias!Titulos_de_impressao</vt:lpstr>
      <vt:lpstr>Impermeabilização!Titulos_de_impressao</vt:lpstr>
      <vt:lpstr>Infraestrutura!Titulos_de_impressao</vt:lpstr>
      <vt:lpstr>Instalações!Titulos_de_impressao</vt:lpstr>
      <vt:lpstr>'Movimentação de Terra'!Titulos_de_impressao</vt:lpstr>
      <vt:lpstr>'Pintura Interna'!Titulos_de_impressao</vt:lpstr>
      <vt:lpstr>Resumo!Titulos_de_impressao</vt:lpstr>
      <vt:lpstr>'Rev. Fachada'!Titulos_de_impressao</vt:lpstr>
      <vt:lpstr>'Rev. Internos Piso e Parede'!Titulos_de_impressao</vt:lpstr>
      <vt:lpstr>'Sistemas especiais'!Titulos_de_impressao</vt:lpstr>
      <vt:lpstr>Supraestrutura!Titulos_de_impressao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2023-10-04T18:31:31Z</dcterms:modified>
</cp:coreProperties>
</file>