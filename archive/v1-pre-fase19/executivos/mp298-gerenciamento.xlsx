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eia Praia Empreendimentos Imobiliários\2024\298\04. Custo\03.0 Custo - Orçamento Paramétrico\"/>
    </mc:Choice>
  </mc:AlternateContent>
  <xr:revisionPtr revIDLastSave="0" documentId="13_ncr:1_{D68A98EC-8ECD-4D80-A623-F9493C07A919}" xr6:coauthVersionLast="47" xr6:coauthVersionMax="47" xr10:uidLastSave="{00000000-0000-0000-0000-000000000000}"/>
  <bookViews>
    <workbookView xWindow="1815" yWindow="1710" windowWidth="22710" windowHeight="12330" tabRatio="849" firstSheet="10" activeTab="15" xr2:uid="{00000000-000D-0000-FFFF-FFFF00000000}"/>
  </bookViews>
  <sheets>
    <sheet name="DADOS_INICIAIS" sheetId="46" r:id="rId1"/>
    <sheet name="MOVIMENTAÇÃO_DE_TERRA" sheetId="47" r:id="rId2"/>
    <sheet name="CONTENÇÕES" sheetId="49" state="hidden" r:id="rId3"/>
    <sheet name="INFRAESTRUTURA" sheetId="21" r:id="rId4"/>
    <sheet name="SUPRAESTRUTURA" sheetId="48" r:id="rId5"/>
    <sheet name="ALVENARIA" sheetId="61" r:id="rId6"/>
    <sheet name="INSTALAÇÕES" sheetId="58" r:id="rId7"/>
    <sheet name="SISTEMAS ESPECIAIS" sheetId="59" r:id="rId8"/>
    <sheet name="IMPERMEABILIZAÇÃO" sheetId="62" r:id="rId9"/>
    <sheet name="Rev. Internos Piso e Parede" sheetId="51" r:id="rId10"/>
    <sheet name="TETO" sheetId="63" r:id="rId11"/>
    <sheet name="Acabamentos de Piso e Parede" sheetId="53" r:id="rId12"/>
    <sheet name="PINTURA INTERNA" sheetId="64" r:id="rId13"/>
    <sheet name="ESQUADRIAS" sheetId="65" r:id="rId14"/>
    <sheet name="COBERTURA" sheetId="66" r:id="rId15"/>
    <sheet name="Rev. Fachada" sheetId="55" r:id="rId16"/>
    <sheet name="COMPLEMENTARES" sheetId="60" r:id="rId17"/>
    <sheet name="Auxiliar" sheetId="36" state="hidden" r:id="rId18"/>
  </sheets>
  <externalReferences>
    <externalReference r:id="rId19"/>
    <externalReference r:id="rId20"/>
    <externalReference r:id="rId21"/>
  </externalReferences>
  <definedNames>
    <definedName name="\0" localSheetId="14">#REF!</definedName>
    <definedName name="\0" localSheetId="16">#REF!</definedName>
    <definedName name="\0" localSheetId="0">#REF!</definedName>
    <definedName name="\0" localSheetId="6">#REF!</definedName>
    <definedName name="\0" localSheetId="1">#REF!</definedName>
    <definedName name="\0" localSheetId="7">#REF!</definedName>
    <definedName name="\0">#REF!</definedName>
    <definedName name="\a" localSheetId="0">#REF!</definedName>
    <definedName name="\a">#REF!</definedName>
    <definedName name="\m" localSheetId="0">#REF!</definedName>
    <definedName name="\m">#REF!</definedName>
    <definedName name="_xlnm._FilterDatabase" localSheetId="17" hidden="1">Auxiliar!$A$1:$D$68</definedName>
    <definedName name="_xlnm._FilterDatabase" localSheetId="0" hidden="1">DADOS_INICIAIS!#REF!</definedName>
    <definedName name="aa" localSheetId="0">#REF!</definedName>
    <definedName name="aa">#REF!</definedName>
    <definedName name="aaaa" localSheetId="14">'[1]M.O.'!#REF!</definedName>
    <definedName name="aaaa" localSheetId="16">'[1]M.O.'!#REF!</definedName>
    <definedName name="aaaa" localSheetId="0">'[1]M.O.'!#REF!</definedName>
    <definedName name="aaaa" localSheetId="6">'[1]M.O.'!#REF!</definedName>
    <definedName name="aaaa" localSheetId="1">'[1]M.O.'!#REF!</definedName>
    <definedName name="aaaa" localSheetId="7">'[1]M.O.'!#REF!</definedName>
    <definedName name="aaaa">'[1]M.O.'!#REF!</definedName>
    <definedName name="angelo" localSheetId="14">[2]Geral!#REF!</definedName>
    <definedName name="angelo" localSheetId="16">[2]Geral!#REF!</definedName>
    <definedName name="angelo" localSheetId="0">[2]Geral!#REF!</definedName>
    <definedName name="angelo" localSheetId="6">[2]Geral!#REF!</definedName>
    <definedName name="angelo" localSheetId="1">[2]Geral!#REF!</definedName>
    <definedName name="angelo" localSheetId="7">[2]Geral!#REF!</definedName>
    <definedName name="angelo">[2]Geral!#REF!</definedName>
    <definedName name="area">#REF!</definedName>
    <definedName name="_xlnm.Print_Area" localSheetId="11">'Acabamentos de Piso e Parede'!$A$1:$H$26</definedName>
    <definedName name="_xlnm.Print_Area" localSheetId="5">ALVENARIA!$A$1:$I$19</definedName>
    <definedName name="_xlnm.Print_Area" localSheetId="14">COBERTURA!$A$1:$H$14</definedName>
    <definedName name="_xlnm.Print_Area" localSheetId="16">COMPLEMENTARES!$A$1:$G$16</definedName>
    <definedName name="_xlnm.Print_Area" localSheetId="2">CONTENÇÕES!$A$1:$I$45</definedName>
    <definedName name="_xlnm.Print_Area" localSheetId="0">DADOS_INICIAIS!$A$1:$G$28</definedName>
    <definedName name="_xlnm.Print_Area" localSheetId="13">ESQUADRIAS!$A$1:$I$22</definedName>
    <definedName name="_xlnm.Print_Area" localSheetId="8">IMPERMEABILIZAÇÃO!$A$1:$I$24</definedName>
    <definedName name="_xlnm.Print_Area" localSheetId="3">INFRAESTRUTURA!$A$1:$I$35</definedName>
    <definedName name="_xlnm.Print_Area" localSheetId="6">INSTALAÇÕES!$A$1:$E$33</definedName>
    <definedName name="_xlnm.Print_Area" localSheetId="12">'PINTURA INTERNA'!$A$1:$I$17</definedName>
    <definedName name="_xlnm.Print_Area" localSheetId="15">'Rev. Fachada'!$A$1:$H$23</definedName>
    <definedName name="_xlnm.Print_Area" localSheetId="9">'Rev. Internos Piso e Parede'!$A$1:$H$27</definedName>
    <definedName name="_xlnm.Print_Area" localSheetId="7">'SISTEMAS ESPECIAIS'!$A$1:$E$32</definedName>
    <definedName name="_xlnm.Print_Area" localSheetId="4">SUPRAESTRUTURA!$A$1:$I$18</definedName>
    <definedName name="_xlnm.Print_Area" localSheetId="10">TETO!$A$1:$I$15</definedName>
    <definedName name="_xlnm.Print_Area">#REF!</definedName>
    <definedName name="aux" localSheetId="14">#REF!</definedName>
    <definedName name="aux" localSheetId="16">#REF!</definedName>
    <definedName name="aux" localSheetId="0">#REF!</definedName>
    <definedName name="aux" localSheetId="6">#REF!</definedName>
    <definedName name="aux" localSheetId="1">#REF!</definedName>
    <definedName name="aux" localSheetId="7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14" hidden="1">{#N/A,#N/A,FALSE,"ET-CAPA";#N/A,#N/A,FALSE,"ET-PAG1";#N/A,#N/A,FALSE,"ET-PAG2";#N/A,#N/A,FALSE,"ET-PAG3";#N/A,#N/A,FALSE,"ET-PAG4";#N/A,#N/A,FALSE,"ET-PAG5"}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14">#REF!</definedName>
    <definedName name="FFFFFFF" localSheetId="16">#REF!</definedName>
    <definedName name="FFFFFFF" localSheetId="0">#REF!</definedName>
    <definedName name="FFFFFFF" localSheetId="6">#REF!</definedName>
    <definedName name="FFFFFFF" localSheetId="1">#REF!</definedName>
    <definedName name="FFFFFFF" localSheetId="7">#REF!</definedName>
    <definedName name="FFFFFFF">#REF!</definedName>
    <definedName name="item_1" localSheetId="14">#REF!</definedName>
    <definedName name="item_1" localSheetId="16">#REF!</definedName>
    <definedName name="item_1" localSheetId="0">#REF!</definedName>
    <definedName name="item_1" localSheetId="6">#REF!</definedName>
    <definedName name="item_1" localSheetId="1">#REF!</definedName>
    <definedName name="item_1" localSheetId="7">#REF!</definedName>
    <definedName name="item_1">#REF!</definedName>
    <definedName name="LS" localSheetId="14">'[1]M.O.'!#REF!</definedName>
    <definedName name="LS" localSheetId="16">'[1]M.O.'!#REF!</definedName>
    <definedName name="LS" localSheetId="0">'[1]M.O.'!#REF!</definedName>
    <definedName name="LS" localSheetId="6">'[1]M.O.'!#REF!</definedName>
    <definedName name="LS" localSheetId="1">'[1]M.O.'!#REF!</definedName>
    <definedName name="LS" localSheetId="7">'[1]M.O.'!#REF!</definedName>
    <definedName name="LS">'[1]M.O.'!#REF!</definedName>
    <definedName name="MENU" localSheetId="14">#REF!</definedName>
    <definedName name="MENU" localSheetId="16">#REF!</definedName>
    <definedName name="MENU" localSheetId="0">#REF!</definedName>
    <definedName name="MENU" localSheetId="6">#REF!</definedName>
    <definedName name="MENU" localSheetId="1">#REF!</definedName>
    <definedName name="MENU" localSheetId="7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14">#REF!</definedName>
    <definedName name="PAV" localSheetId="16">#REF!</definedName>
    <definedName name="PAV" localSheetId="0">#REF!</definedName>
    <definedName name="PAV" localSheetId="6">#REF!</definedName>
    <definedName name="PAV" localSheetId="1">#REF!</definedName>
    <definedName name="PAV" localSheetId="7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11">'Acabamentos de Piso e Parede'!$7:$11</definedName>
    <definedName name="_xlnm.Print_Titles" localSheetId="5">ALVENARIA!$2:$2</definedName>
    <definedName name="_xlnm.Print_Titles" localSheetId="14">COBERTURA!#REF!</definedName>
    <definedName name="_xlnm.Print_Titles" localSheetId="16">COMPLEMENTARES!#REF!</definedName>
    <definedName name="_xlnm.Print_Titles" localSheetId="2">CONTENÇÕES!$2:$2</definedName>
    <definedName name="_xlnm.Print_Titles" localSheetId="0">DADOS_INICIAIS!$1:$6</definedName>
    <definedName name="_xlnm.Print_Titles" localSheetId="13">ESQUADRIAS!$2:$2</definedName>
    <definedName name="_xlnm.Print_Titles" localSheetId="8">IMPERMEABILIZAÇÃO!$2:$2</definedName>
    <definedName name="_xlnm.Print_Titles" localSheetId="3">INFRAESTRUTURA!$2:$2</definedName>
    <definedName name="_xlnm.Print_Titles" localSheetId="6">INSTALAÇÕES!#REF!</definedName>
    <definedName name="_xlnm.Print_Titles" localSheetId="12">'PINTURA INTERNA'!$2:$2</definedName>
    <definedName name="_xlnm.Print_Titles" localSheetId="15">'Rev. Fachada'!$7:$11</definedName>
    <definedName name="_xlnm.Print_Titles" localSheetId="9">'Rev. Internos Piso e Parede'!$7:$11</definedName>
    <definedName name="_xlnm.Print_Titles" localSheetId="7">'SISTEMAS ESPECIAIS'!#REF!</definedName>
    <definedName name="_xlnm.Print_Titles" localSheetId="4">SUPRAESTRUTURA!$2:$2</definedName>
    <definedName name="_xlnm.Print_Titles" localSheetId="10">TETO!$2:$2</definedName>
    <definedName name="_xlnm.Print_Titles">#REF!</definedName>
    <definedName name="TOT" localSheetId="14">#REF!</definedName>
    <definedName name="TOT" localSheetId="16">#REF!</definedName>
    <definedName name="TOT" localSheetId="0">#REF!</definedName>
    <definedName name="TOT" localSheetId="6">#REF!</definedName>
    <definedName name="TOT" localSheetId="1">#REF!</definedName>
    <definedName name="TOT" localSheetId="7">#REF!</definedName>
    <definedName name="TOT">#REF!</definedName>
    <definedName name="Total" localSheetId="0">#REF!</definedName>
    <definedName name="Total">#REF!</definedName>
    <definedName name="TRP">#REF!</definedName>
    <definedName name="u" localSheetId="14" hidden="1">{#N/A,#N/A,FALSE,"ET-CAPA";#N/A,#N/A,FALSE,"ET-PAG1";#N/A,#N/A,FALSE,"ET-PAG2";#N/A,#N/A,FALSE,"ET-PAG3";#N/A,#N/A,FALSE,"ET-PAG4";#N/A,#N/A,FALSE,"ET-PAG5"}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14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14">#REF!</definedName>
    <definedName name="xxxx" localSheetId="16">#REF!</definedName>
    <definedName name="xxxx" localSheetId="0">#REF!</definedName>
    <definedName name="xxxx" localSheetId="6">#REF!</definedName>
    <definedName name="xxxx" localSheetId="1">#REF!</definedName>
    <definedName name="xxxx" localSheetId="7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55" l="1"/>
  <c r="J21" i="55" s="1"/>
  <c r="J22" i="55" s="1"/>
  <c r="I15" i="55"/>
  <c r="J15" i="55" s="1"/>
  <c r="J14" i="55" s="1"/>
  <c r="F19" i="65"/>
  <c r="E20" i="65"/>
  <c r="D20" i="65"/>
  <c r="G20" i="65" s="1"/>
  <c r="G16" i="64"/>
  <c r="I14" i="64"/>
  <c r="I16" i="64" s="1"/>
  <c r="I11" i="64"/>
  <c r="I13" i="64" s="1"/>
  <c r="G10" i="64"/>
  <c r="F11" i="64"/>
  <c r="F10" i="64"/>
  <c r="F15" i="64"/>
  <c r="G15" i="64" s="1"/>
  <c r="D15" i="64"/>
  <c r="D14" i="64"/>
  <c r="G14" i="64" s="1"/>
  <c r="G25" i="53"/>
  <c r="H14" i="53"/>
  <c r="I24" i="53"/>
  <c r="J24" i="53" s="1"/>
  <c r="I22" i="53"/>
  <c r="I23" i="53" s="1"/>
  <c r="J23" i="53" s="1"/>
  <c r="H22" i="53"/>
  <c r="I19" i="53"/>
  <c r="I21" i="53" s="1"/>
  <c r="J21" i="53" s="1"/>
  <c r="H19" i="53"/>
  <c r="I14" i="53"/>
  <c r="I15" i="53" s="1"/>
  <c r="J15" i="53" s="1"/>
  <c r="D18" i="53"/>
  <c r="D16" i="53"/>
  <c r="D15" i="53"/>
  <c r="B24" i="53"/>
  <c r="G24" i="53" s="1"/>
  <c r="B23" i="53"/>
  <c r="G23" i="53" s="1"/>
  <c r="B22" i="53"/>
  <c r="G22" i="53" s="1"/>
  <c r="F13" i="63"/>
  <c r="F12" i="63"/>
  <c r="G21" i="51"/>
  <c r="G20" i="51"/>
  <c r="G18" i="51"/>
  <c r="D17" i="51"/>
  <c r="D16" i="51"/>
  <c r="D18" i="51"/>
  <c r="B25" i="51"/>
  <c r="G25" i="51" s="1"/>
  <c r="B24" i="51"/>
  <c r="G24" i="51"/>
  <c r="H15" i="62"/>
  <c r="H12" i="62"/>
  <c r="G23" i="62"/>
  <c r="H18" i="62"/>
  <c r="H17" i="62"/>
  <c r="H14" i="62"/>
  <c r="H11" i="62"/>
  <c r="H10" i="62"/>
  <c r="F17" i="62"/>
  <c r="F15" i="62"/>
  <c r="F14" i="62"/>
  <c r="F12" i="62"/>
  <c r="F11" i="62"/>
  <c r="F18" i="62"/>
  <c r="F13" i="62"/>
  <c r="G13" i="62" s="1"/>
  <c r="F16" i="62"/>
  <c r="I15" i="62"/>
  <c r="I16" i="62" s="1"/>
  <c r="I12" i="62"/>
  <c r="I14" i="62" s="1"/>
  <c r="H26" i="48"/>
  <c r="I12" i="64" l="1"/>
  <c r="I15" i="64"/>
  <c r="I16" i="53"/>
  <c r="J16" i="53" s="1"/>
  <c r="I20" i="53"/>
  <c r="J20" i="53" s="1"/>
  <c r="I13" i="62"/>
  <c r="I17" i="62"/>
  <c r="B18" i="51" l="1"/>
  <c r="B31" i="53"/>
  <c r="I7" i="59"/>
  <c r="D21" i="53"/>
  <c r="B18" i="53"/>
  <c r="B19" i="51" l="1"/>
  <c r="D10" i="63"/>
  <c r="C25" i="59"/>
  <c r="D29" i="21" l="1"/>
  <c r="D19" i="65" l="1"/>
  <c r="D18" i="65"/>
  <c r="D17" i="65"/>
  <c r="D14" i="65"/>
  <c r="D11" i="65"/>
  <c r="D13" i="65"/>
  <c r="F32" i="53" l="1"/>
  <c r="B28" i="55"/>
  <c r="L20" i="55"/>
  <c r="L19" i="55"/>
  <c r="L18" i="55"/>
  <c r="D9" i="66"/>
  <c r="C20" i="63"/>
  <c r="C21" i="63"/>
  <c r="D11" i="62" l="1"/>
  <c r="G11" i="62" l="1"/>
  <c r="D12" i="61"/>
  <c r="D13" i="61"/>
  <c r="D11" i="61"/>
  <c r="D10" i="61"/>
  <c r="E22" i="46" l="1"/>
  <c r="E15" i="46"/>
  <c r="E11" i="46"/>
  <c r="E12" i="46"/>
  <c r="E10" i="46"/>
  <c r="D9" i="60" l="1"/>
  <c r="G28" i="55"/>
  <c r="D10" i="65"/>
  <c r="G10" i="65" s="1"/>
  <c r="D16" i="65"/>
  <c r="D11" i="63"/>
  <c r="B21" i="51"/>
  <c r="B20" i="51"/>
  <c r="G18" i="53"/>
  <c r="G19" i="53"/>
  <c r="B17" i="53"/>
  <c r="B17" i="51"/>
  <c r="B16" i="51"/>
  <c r="B22" i="51" s="1"/>
  <c r="G22" i="51" s="1"/>
  <c r="B15" i="51"/>
  <c r="B16" i="53"/>
  <c r="B15" i="53"/>
  <c r="D31" i="59"/>
  <c r="G17" i="51" l="1"/>
  <c r="B23" i="51"/>
  <c r="G23" i="51" s="1"/>
  <c r="D12" i="63"/>
  <c r="B36" i="51"/>
  <c r="B10" i="63"/>
  <c r="D30" i="59"/>
  <c r="B28" i="59"/>
  <c r="G8" i="59"/>
  <c r="G7" i="59"/>
  <c r="I9" i="59"/>
  <c r="H10" i="59"/>
  <c r="B10" i="59" s="1"/>
  <c r="E14" i="46" s="1"/>
  <c r="D15" i="61" s="1"/>
  <c r="H9" i="59"/>
  <c r="B9" i="59" s="1"/>
  <c r="H7" i="59"/>
  <c r="H8" i="59" s="1"/>
  <c r="D30" i="21"/>
  <c r="B12" i="63" l="1"/>
  <c r="D13" i="63"/>
  <c r="G13" i="63" s="1"/>
  <c r="B7" i="59"/>
  <c r="B8" i="59"/>
  <c r="D10" i="66"/>
  <c r="G18" i="65"/>
  <c r="G14" i="65"/>
  <c r="G12" i="63"/>
  <c r="G14" i="63" s="1"/>
  <c r="G11" i="63"/>
  <c r="D29" i="59"/>
  <c r="D29" i="61" l="1"/>
  <c r="D28" i="61"/>
  <c r="D27" i="61"/>
  <c r="D26" i="61"/>
  <c r="D25" i="61"/>
  <c r="D24" i="61"/>
  <c r="D23" i="61"/>
  <c r="D55" i="48"/>
  <c r="D31" i="21"/>
  <c r="G31" i="21" s="1"/>
  <c r="D10" i="21"/>
  <c r="D17" i="21" s="1"/>
  <c r="D11" i="21" l="1"/>
  <c r="D30" i="61"/>
  <c r="D13" i="21"/>
  <c r="D15" i="21"/>
  <c r="F58" i="48"/>
  <c r="G58" i="48" s="1"/>
  <c r="F57" i="48"/>
  <c r="F55" i="48"/>
  <c r="D57" i="48"/>
  <c r="D56" i="48"/>
  <c r="G56" i="48" s="1"/>
  <c r="F52" i="48"/>
  <c r="D52" i="48"/>
  <c r="D53" i="48" s="1"/>
  <c r="G53" i="48" s="1"/>
  <c r="D54" i="48"/>
  <c r="D51" i="48"/>
  <c r="G51" i="48" s="1"/>
  <c r="D50" i="48"/>
  <c r="D49" i="48" s="1"/>
  <c r="F54" i="48"/>
  <c r="G54" i="48" l="1"/>
  <c r="G52" i="48"/>
  <c r="G55" i="48"/>
  <c r="G50" i="48"/>
  <c r="G49" i="48"/>
  <c r="G57" i="48"/>
  <c r="G59" i="48" l="1"/>
  <c r="D18" i="21" l="1"/>
  <c r="G18" i="21" s="1"/>
  <c r="D20" i="58" l="1"/>
  <c r="D21" i="58"/>
  <c r="G28" i="61" l="1"/>
  <c r="G27" i="61"/>
  <c r="F30" i="61"/>
  <c r="D14" i="61"/>
  <c r="D17" i="61" l="1"/>
  <c r="D16" i="61"/>
  <c r="D31" i="61"/>
  <c r="G30" i="61"/>
  <c r="G26" i="61"/>
  <c r="F29" i="48"/>
  <c r="F16" i="48"/>
  <c r="F28" i="48"/>
  <c r="F26" i="48"/>
  <c r="F24" i="48"/>
  <c r="D28" i="48"/>
  <c r="D26" i="48"/>
  <c r="D27" i="48" s="1"/>
  <c r="D15" i="48"/>
  <c r="D13" i="48"/>
  <c r="D14" i="48" s="1"/>
  <c r="F25" i="48"/>
  <c r="D24" i="48"/>
  <c r="D23" i="48"/>
  <c r="D22" i="48" s="1"/>
  <c r="D12" i="48"/>
  <c r="D11" i="48"/>
  <c r="J26" i="61" l="1"/>
  <c r="J27" i="61" s="1"/>
  <c r="F9" i="60"/>
  <c r="G11" i="65"/>
  <c r="D15" i="55"/>
  <c r="D21" i="55"/>
  <c r="G12" i="65" l="1"/>
  <c r="F13" i="64"/>
  <c r="G13" i="64" s="1"/>
  <c r="F12" i="64"/>
  <c r="G16" i="51"/>
  <c r="G19" i="51"/>
  <c r="D19" i="51"/>
  <c r="D10" i="64"/>
  <c r="G20" i="53"/>
  <c r="G21" i="53"/>
  <c r="J13" i="64" l="1"/>
  <c r="J12" i="64"/>
  <c r="G15" i="51"/>
  <c r="G26" i="51" s="1"/>
  <c r="D11" i="64"/>
  <c r="G17" i="53"/>
  <c r="G16" i="53"/>
  <c r="G15" i="53"/>
  <c r="D27" i="59"/>
  <c r="D26" i="59"/>
  <c r="D25" i="59"/>
  <c r="G17" i="65" l="1"/>
  <c r="K19" i="55"/>
  <c r="K18" i="55"/>
  <c r="G10" i="66"/>
  <c r="G11" i="66"/>
  <c r="G12" i="66"/>
  <c r="G9" i="66"/>
  <c r="G13" i="66" s="1"/>
  <c r="D11" i="60"/>
  <c r="F11" i="60" s="1"/>
  <c r="D12" i="60"/>
  <c r="F12" i="60" s="1"/>
  <c r="D13" i="60"/>
  <c r="F13" i="60" s="1"/>
  <c r="D14" i="60"/>
  <c r="F14" i="60" s="1"/>
  <c r="D10" i="60"/>
  <c r="F10" i="60" s="1"/>
  <c r="F15" i="65"/>
  <c r="G15" i="65" s="1"/>
  <c r="F13" i="65"/>
  <c r="G19" i="65"/>
  <c r="G16" i="65"/>
  <c r="K21" i="65"/>
  <c r="L21" i="65" s="1"/>
  <c r="G12" i="64"/>
  <c r="G11" i="64"/>
  <c r="K16" i="64"/>
  <c r="L16" i="64" s="1"/>
  <c r="G10" i="63"/>
  <c r="K14" i="63"/>
  <c r="L14" i="63" s="1"/>
  <c r="J16" i="64" l="1"/>
  <c r="J15" i="64"/>
  <c r="B15" i="55"/>
  <c r="L21" i="55"/>
  <c r="H10" i="65"/>
  <c r="F15" i="60"/>
  <c r="G13" i="65"/>
  <c r="G21" i="65" s="1"/>
  <c r="G15" i="66"/>
  <c r="G18" i="64"/>
  <c r="G15" i="55" l="1"/>
  <c r="H10" i="64"/>
  <c r="G23" i="65"/>
  <c r="B21" i="55"/>
  <c r="G16" i="55"/>
  <c r="H15" i="66"/>
  <c r="G16" i="63"/>
  <c r="H18" i="64"/>
  <c r="H20" i="64" s="1"/>
  <c r="H11" i="64" l="1"/>
  <c r="H12" i="64"/>
  <c r="G21" i="55"/>
  <c r="G22" i="55" s="1"/>
  <c r="B27" i="55"/>
  <c r="G27" i="55" s="1"/>
  <c r="G29" i="55" s="1"/>
  <c r="H23" i="65"/>
  <c r="H16" i="63"/>
  <c r="H19" i="63" s="1"/>
  <c r="D37" i="59"/>
  <c r="D28" i="59"/>
  <c r="D32" i="59" s="1"/>
  <c r="D31" i="58"/>
  <c r="D32" i="58"/>
  <c r="D30" i="58"/>
  <c r="D24" i="58"/>
  <c r="D22" i="58"/>
  <c r="D23" i="58"/>
  <c r="D19" i="58"/>
  <c r="D8" i="58"/>
  <c r="D9" i="58"/>
  <c r="D10" i="58"/>
  <c r="D11" i="58"/>
  <c r="D12" i="58"/>
  <c r="D13" i="58"/>
  <c r="D7" i="58"/>
  <c r="D19" i="59"/>
  <c r="D18" i="59"/>
  <c r="D17" i="59"/>
  <c r="D16" i="59"/>
  <c r="D9" i="59"/>
  <c r="D8" i="59"/>
  <c r="F12" i="48"/>
  <c r="G12" i="48" s="1"/>
  <c r="D10" i="59" l="1"/>
  <c r="G29" i="61"/>
  <c r="D7" i="59"/>
  <c r="D11" i="59" s="1"/>
  <c r="D25" i="58"/>
  <c r="D21" i="47" l="1"/>
  <c r="D22" i="47" s="1"/>
  <c r="G16" i="62" l="1"/>
  <c r="D15" i="62"/>
  <c r="D21" i="62" s="1"/>
  <c r="G21" i="62" s="1"/>
  <c r="D14" i="62"/>
  <c r="K23" i="62"/>
  <c r="L23" i="62" s="1"/>
  <c r="F16" i="61"/>
  <c r="G15" i="61"/>
  <c r="G14" i="61"/>
  <c r="G13" i="61"/>
  <c r="G12" i="61"/>
  <c r="G11" i="61"/>
  <c r="G25" i="61"/>
  <c r="G24" i="61"/>
  <c r="K18" i="61"/>
  <c r="L18" i="61" s="1"/>
  <c r="F13" i="48"/>
  <c r="G11" i="48"/>
  <c r="F43" i="48"/>
  <c r="G43" i="48" s="1"/>
  <c r="F42" i="48"/>
  <c r="D42" i="48"/>
  <c r="F40" i="48"/>
  <c r="D40" i="48"/>
  <c r="D41" i="48" s="1"/>
  <c r="G41" i="48" s="1"/>
  <c r="F39" i="48"/>
  <c r="D39" i="48"/>
  <c r="D38" i="48"/>
  <c r="G38" i="48" s="1"/>
  <c r="D37" i="48"/>
  <c r="G37" i="48" s="1"/>
  <c r="D36" i="48"/>
  <c r="G36" i="48" s="1"/>
  <c r="G29" i="48"/>
  <c r="G27" i="48"/>
  <c r="G24" i="48"/>
  <c r="G23" i="48"/>
  <c r="K17" i="48"/>
  <c r="L17" i="48" s="1"/>
  <c r="G16" i="48"/>
  <c r="F29" i="21"/>
  <c r="G29" i="21" s="1"/>
  <c r="F19" i="21"/>
  <c r="G21" i="21"/>
  <c r="F15" i="47"/>
  <c r="E30" i="47"/>
  <c r="D30" i="47"/>
  <c r="F30" i="47" s="1"/>
  <c r="D39" i="49"/>
  <c r="B39" i="49"/>
  <c r="F39" i="49" s="1"/>
  <c r="D37" i="49"/>
  <c r="D38" i="49" s="1"/>
  <c r="G38" i="49" s="1"/>
  <c r="D36" i="49"/>
  <c r="G36" i="49" s="1"/>
  <c r="G10" i="61"/>
  <c r="D20" i="59"/>
  <c r="D38" i="59"/>
  <c r="D14" i="58"/>
  <c r="D33" i="58"/>
  <c r="G14" i="62" l="1"/>
  <c r="D20" i="62"/>
  <c r="G20" i="62" s="1"/>
  <c r="J14" i="62"/>
  <c r="J13" i="62"/>
  <c r="J16" i="62"/>
  <c r="J17" i="62"/>
  <c r="D40" i="59"/>
  <c r="G16" i="61"/>
  <c r="G17" i="61"/>
  <c r="D10" i="62"/>
  <c r="D18" i="62" s="1"/>
  <c r="G18" i="62" s="1"/>
  <c r="G15" i="62"/>
  <c r="D17" i="62"/>
  <c r="D22" i="62" s="1"/>
  <c r="G22" i="62" s="1"/>
  <c r="F17" i="60"/>
  <c r="F31" i="47"/>
  <c r="H30" i="47"/>
  <c r="G23" i="61"/>
  <c r="G31" i="61"/>
  <c r="G42" i="48"/>
  <c r="G39" i="48"/>
  <c r="D35" i="48"/>
  <c r="G35" i="48" s="1"/>
  <c r="G22" i="48"/>
  <c r="G40" i="48"/>
  <c r="G25" i="48"/>
  <c r="I26" i="48" s="1"/>
  <c r="I27" i="48" s="1"/>
  <c r="G28" i="48"/>
  <c r="G26" i="48"/>
  <c r="D10" i="48"/>
  <c r="G10" i="48" s="1"/>
  <c r="G39" i="49"/>
  <c r="G37" i="49"/>
  <c r="D35" i="58"/>
  <c r="G10" i="62" l="1"/>
  <c r="G17" i="62"/>
  <c r="G30" i="48"/>
  <c r="G62" i="48" s="1"/>
  <c r="G18" i="61"/>
  <c r="G35" i="61" s="1"/>
  <c r="G32" i="61"/>
  <c r="G17" i="60"/>
  <c r="E40" i="59"/>
  <c r="E35" i="58"/>
  <c r="E37" i="58" s="1"/>
  <c r="G44" i="48"/>
  <c r="G40" i="49"/>
  <c r="J30" i="55"/>
  <c r="A25" i="53"/>
  <c r="G32" i="55" l="1"/>
  <c r="G28" i="53"/>
  <c r="H35" i="61" l="1"/>
  <c r="G38" i="61"/>
  <c r="H38" i="61" s="1"/>
  <c r="H28" i="53"/>
  <c r="H30" i="53" s="1"/>
  <c r="H32" i="55" l="1"/>
  <c r="H33" i="55" s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B32" i="21"/>
  <c r="F32" i="21" s="1"/>
  <c r="D32" i="21"/>
  <c r="F15" i="48"/>
  <c r="D28" i="21"/>
  <c r="G28" i="21" s="1"/>
  <c r="D14" i="21"/>
  <c r="F16" i="47"/>
  <c r="B9" i="47"/>
  <c r="D12" i="62" l="1"/>
  <c r="D19" i="62" s="1"/>
  <c r="G19" i="62" s="1"/>
  <c r="G15" i="48"/>
  <c r="G13" i="48"/>
  <c r="G32" i="21"/>
  <c r="G14" i="21"/>
  <c r="G30" i="21"/>
  <c r="G33" i="21" s="1"/>
  <c r="G30" i="49"/>
  <c r="D17" i="49"/>
  <c r="B17" i="49"/>
  <c r="G14" i="49"/>
  <c r="D16" i="21"/>
  <c r="G16" i="21" s="1"/>
  <c r="D9" i="47"/>
  <c r="G12" i="62" l="1"/>
  <c r="F22" i="47"/>
  <c r="F21" i="47"/>
  <c r="F9" i="47"/>
  <c r="F10" i="47" s="1"/>
  <c r="D18" i="49"/>
  <c r="G18" i="49" s="1"/>
  <c r="D19" i="49"/>
  <c r="G19" i="49" s="1"/>
  <c r="G17" i="49"/>
  <c r="G25" i="62" l="1"/>
  <c r="H25" i="62" s="1"/>
  <c r="H28" i="62" s="1"/>
  <c r="D23" i="47"/>
  <c r="F23" i="47" s="1"/>
  <c r="G21" i="49"/>
  <c r="G46" i="49" s="1"/>
  <c r="H46" i="49" s="1"/>
  <c r="G14" i="48" l="1"/>
  <c r="G17" i="48" s="1"/>
  <c r="H11" i="36"/>
  <c r="H10" i="36"/>
  <c r="H9" i="36"/>
  <c r="H8" i="36"/>
  <c r="H7" i="36"/>
  <c r="H6" i="36"/>
  <c r="H12" i="36"/>
  <c r="H5" i="36"/>
  <c r="H62" i="48" l="1"/>
  <c r="H64" i="48" s="1"/>
  <c r="D12" i="21"/>
  <c r="D22" i="21"/>
  <c r="G22" i="21" s="1"/>
  <c r="G12" i="21" l="1"/>
  <c r="D19" i="21"/>
  <c r="D24" i="47" s="1"/>
  <c r="F24" i="47" s="1"/>
  <c r="F25" i="47" s="1"/>
  <c r="F33" i="47" s="1"/>
  <c r="G33" i="47" l="1"/>
  <c r="D20" i="21"/>
  <c r="G20" i="21" s="1"/>
  <c r="G19" i="21"/>
  <c r="G23" i="21" l="1"/>
  <c r="G36" i="21" s="1"/>
  <c r="H36" i="21" l="1"/>
  <c r="H38" i="21" s="1"/>
  <c r="G29" i="51" l="1"/>
  <c r="H29" i="51" l="1"/>
  <c r="H31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5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3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26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7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5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5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0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49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49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1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5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6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2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5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<sst xmlns="http://schemas.openxmlformats.org/spreadsheetml/2006/main" count="1065" uniqueCount="388">
  <si>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</si>
  <si>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</si>
  <si>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</si>
  <si>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</si>
  <si>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</si>
  <si>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</si>
  <si>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</si>
  <si>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</si>
  <si>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</si>
  <si>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</si>
  <si>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</si>
  <si>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</si>
  <si>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</si>
  <si>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</si>
  <si>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</si>
  <si>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</si>
  <si>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</si>
  <si>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</si>
  <si>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</si>
  <si>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</si>
  <si>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</si>
  <si>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</si>
  <si>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</si>
  <si>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</si>
  <si>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</si>
  <si>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</si>
  <si>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</si>
  <si>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</si>
  <si>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</si>
  <si>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</si>
  <si>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</si>
  <si>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</si>
  <si>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</si>
  <si>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</si>
  <si>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</si>
  <si>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</si>
  <si>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</si>
  <si>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</si>
  <si>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</si>
  <si>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</si>
  <si>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</si>
  <si>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</si>
  <si>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</si>
  <si>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</si>
  <si>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</si>
  <si>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</si>
  <si>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</si>
  <si>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</si>
  <si>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</si>
  <si>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</si>
  <si>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</si>
  <si>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</si>
  <si>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</si>
  <si>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</si>
  <si>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</si>
  <si>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</si>
  <si>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</si>
  <si>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</si>
  <si>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</si>
  <si>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</si>
  <si>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</si>
  <si>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</si>
  <si>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</si>
  <si>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</si>
  <si>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</si>
  <si>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</si>
  <si>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</si>
  <si>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</si>
  <si>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</si>
  <si>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</si>
  <si>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</si>
  <si>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</si>
  <si>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</si>
  <si>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</si>
  <si>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</si>
  <si>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</si>
  <si>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</si>
  <si>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</si>
  <si>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</si>
  <si>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</si>
  <si>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</si>
  <si>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</si>
  <si>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</si>
  <si>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</si>
  <si>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</si>
  <si>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</si>
  <si>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</si>
  <si>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</si>
  <si>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</si>
  <si>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</si>
  <si>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</si>
  <si>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</si>
  <si>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</si>
  <si>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</si>
  <si>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</si>
  <si>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</si>
  <si>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</si>
  <si>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</si>
  <si>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</si>
  <si>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</si>
  <si>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</si>
  <si>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</si>
  <si>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</si>
  <si>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</si>
  <si>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</si>
  <si>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</si>
  <si>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</si>
  <si>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</si>
  <si>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</si>
  <si>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</si>
  <si>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</si>
  <si>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</si>
  <si>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</si>
  <si>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</si>
  <si>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</si>
  <si>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</si>
  <si>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</si>
  <si>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</si>
  <si>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</si>
  <si>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</si>
  <si>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</si>
  <si>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</si>
  <si>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</si>
  <si>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</si>
  <si>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</si>
  <si>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</si>
  <si>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</si>
  <si>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</si>
  <si>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</si>
  <si>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</si>
  <si>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</si>
  <si>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</si>
  <si>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</si>
  <si>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</si>
  <si>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</si>
  <si>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</si>
  <si>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</si>
  <si>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</si>
  <si>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</si>
  <si>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</si>
  <si>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</si>
  <si>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</si>
  <si>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</si>
  <si>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</si>
  <si>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</si>
  <si>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</si>
  <si>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</si>
  <si>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</si>
  <si>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</si>
  <si>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</si>
  <si>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</si>
  <si>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</si>
  <si>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</si>
  <si>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</si>
  <si>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</si>
  <si>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</si>
  <si>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</si>
  <si>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</si>
  <si>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</si>
  <si>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</si>
  <si>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</si>
  <si>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</si>
  <si>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</si>
  <si>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</si>
  <si>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</si>
  <si>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</si>
  <si>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</si>
  <si>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</si>
  <si>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</si>
  <si>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</si>
  <si>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</si>
  <si>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</si>
  <si>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</si>
  <si>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</si>
  <si>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</si>
  <si>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</si>
  <si>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</si>
  <si>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</si>
  <si>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</si>
  <si>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</si>
  <si>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</si>
  <si>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</si>
  <si>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</si>
  <si>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</si>
  <si>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</si>
  <si>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</si>
  <si>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</si>
  <si>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</si>
  <si>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</si>
  <si>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</si>
  <si>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</si>
  <si>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</si>
  <si>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</si>
  <si>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</si>
  <si>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</si>
  <si>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</si>
  <si>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</si>
  <si>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</si>
  <si>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</si>
  <si>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</si>
  <si>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TERREO</t>
  </si>
  <si>
    <t>PORCELANATO</t>
  </si>
  <si>
    <t>TOTAL ACABAMENTOS</t>
  </si>
  <si>
    <t>Revestimentos de Parede</t>
  </si>
  <si>
    <t>Soleiras e peitoris</t>
  </si>
  <si>
    <t>Rodapés</t>
  </si>
  <si>
    <t xml:space="preserve">m² </t>
  </si>
  <si>
    <t>Paver</t>
  </si>
  <si>
    <t>Piscina</t>
  </si>
  <si>
    <t xml:space="preserve">Porcelanato </t>
  </si>
  <si>
    <t>ACABAMENTOS EM PISO E PAREDE</t>
  </si>
  <si>
    <t>Pintura Interna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</si>
  <si>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</si>
  <si>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</si>
  <si>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</si>
  <si>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</si>
  <si>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</si>
  <si>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</si>
  <si>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RESERV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</si>
  <si>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</si>
  <si>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</si>
  <si>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</si>
  <si>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</si>
  <si>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</si>
  <si>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</si>
  <si>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</si>
  <si>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</si>
  <si>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</si>
  <si>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</si>
  <si>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</si>
  <si>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</si>
  <si>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</si>
  <si>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</si>
  <si>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</si>
  <si>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Corrimão madeira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</si>
  <si>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</si>
  <si>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</si>
  <si>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</si>
  <si>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</si>
  <si>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</si>
  <si>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</si>
  <si>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</si>
  <si>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</si>
  <si>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</si>
  <si>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</si>
  <si>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</si>
  <si>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Louças e Metais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</si>
  <si>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</si>
  <si>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</si>
  <si>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</si>
  <si>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</si>
  <si>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</si>
  <si>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</si>
  <si>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</si>
  <si>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</si>
  <si>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</si>
  <si>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</si>
  <si>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</si>
  <si>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</si>
  <si>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</si>
  <si>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</si>
  <si>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</si>
  <si>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</si>
  <si>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</si>
  <si>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</si>
  <si>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</si>
  <si>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</si>
  <si>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</si>
  <si>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</si>
  <si>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</si>
  <si>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</si>
  <si>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</si>
  <si>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</si>
  <si>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</si>
  <si>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</si>
  <si>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</si>
  <si>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</si>
  <si>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</si>
  <si>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</si>
  <si>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</si>
  <si>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</si>
  <si>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</si>
  <si>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</si>
  <si>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</si>
  <si>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</si>
  <si>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</si>
  <si>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</si>
  <si>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</si>
  <si>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</si>
  <si>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</si>
  <si>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</si>
  <si>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</si>
  <si>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</si>
  <si>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</si>
  <si>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</si>
  <si>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</si>
  <si>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</si>
  <si>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</si>
  <si>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</si>
  <si>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</si>
  <si>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</si>
  <si>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</si>
  <si>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</si>
  <si>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Definição trazida do Celebration da Passe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</si>
  <si>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</si>
  <si>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</si>
  <si>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</si>
  <si>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</si>
  <si>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</si>
  <si>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</si>
  <si>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</si>
  <si>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CUBETAS</t>
  </si>
  <si>
    <t>SUPRAESTRUTURA - LAJE TRELIÇADA</t>
  </si>
  <si>
    <t>Nova utiliza a verba de 1.500,00 por pav</t>
  </si>
  <si>
    <t>PAREDES E PAINÉIS</t>
  </si>
  <si>
    <t>Drywall tipo</t>
  </si>
  <si>
    <t>CHU</t>
  </si>
  <si>
    <t>m² * CHU</t>
  </si>
  <si>
    <t>perda</t>
  </si>
  <si>
    <t>m³ / Vol infra</t>
  </si>
  <si>
    <t>Escoramento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</si>
  <si>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</si>
  <si>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</si>
  <si>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</si>
  <si>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</si>
  <si>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</si>
  <si>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</si>
  <si>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</si>
  <si>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Passarelas</t>
  </si>
  <si>
    <t>TELHADO</t>
  </si>
  <si>
    <t>TORRE 1</t>
  </si>
  <si>
    <t>Textura</t>
  </si>
  <si>
    <t>PASTILHA</t>
  </si>
  <si>
    <t>Polimento de concreto</t>
  </si>
  <si>
    <t>Piso alisado</t>
  </si>
  <si>
    <t>TOTAL ESQUADRIAS</t>
  </si>
  <si>
    <t>M²</t>
  </si>
  <si>
    <t xml:space="preserve">un 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</si>
  <si>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</si>
  <si>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</si>
  <si>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</si>
  <si>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</si>
  <si>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</si>
  <si>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</si>
  <si>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</si>
  <si>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</si>
  <si>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</si>
  <si>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</si>
  <si>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Piso de concreto armado</t>
  </si>
  <si>
    <t>Base obra Trindade Parkside</t>
  </si>
  <si>
    <t>ALVENARIA - DRYWALL</t>
  </si>
  <si>
    <t>CIMENTADO</t>
  </si>
  <si>
    <t>Equipamento de piscina</t>
  </si>
  <si>
    <t>CIMENTADO ESCADA</t>
  </si>
  <si>
    <t>TOTAL FORRO</t>
  </si>
  <si>
    <t>Fechadura Biometrica</t>
  </si>
  <si>
    <t xml:space="preserve">TIPO </t>
  </si>
  <si>
    <t>Sauna</t>
  </si>
  <si>
    <t>Spa</t>
  </si>
  <si>
    <t>CIMENTADO RANHURADO</t>
  </si>
  <si>
    <t>GRAMA SINTETICA</t>
  </si>
  <si>
    <t>POLIDO</t>
  </si>
  <si>
    <t>Piso ranhurado</t>
  </si>
  <si>
    <t>Grama sintetica</t>
  </si>
  <si>
    <t>Forro gesso mineral</t>
  </si>
  <si>
    <t>Pele de vidro</t>
  </si>
  <si>
    <t xml:space="preserve">Gradil </t>
  </si>
  <si>
    <t>PAVTO TIPO R298 -300</t>
  </si>
  <si>
    <t>LAZER 1</t>
  </si>
  <si>
    <t>LAZER 2</t>
  </si>
  <si>
    <t>Acabamentos especiais</t>
  </si>
  <si>
    <t>ACM embasmento</t>
  </si>
  <si>
    <t>Mão de obra para regularização</t>
  </si>
  <si>
    <t>Mão de obra para impermeabilização de poço e baldrames</t>
  </si>
  <si>
    <t>Mão de obra impermeabilizações cimenticias</t>
  </si>
  <si>
    <t>Mão de obra impermeabilizações com manta asfáltica</t>
  </si>
  <si>
    <t>Mão de obra para proteção mecânica</t>
  </si>
  <si>
    <t>MO piso alisado</t>
  </si>
  <si>
    <t>Mo piso ranhurado</t>
  </si>
  <si>
    <t>MO contrapiso</t>
  </si>
  <si>
    <t>Mo chapisco e reboco</t>
  </si>
  <si>
    <t>mo estucamento</t>
  </si>
  <si>
    <t>MO PORCELANATO</t>
  </si>
  <si>
    <t>MO PASTILHA</t>
  </si>
  <si>
    <t>MO PAVER</t>
  </si>
  <si>
    <t>MO pintura de piso epoxi</t>
  </si>
  <si>
    <t>MO pintura de piso acrilica</t>
  </si>
  <si>
    <t>MO PORTAS DE 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</si>
</sst>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4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43" fontId="6" fillId="2" borderId="8" xfId="1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2" borderId="11" xfId="0" applyFont="1" applyFill="1" applyBorder="1"/>
    <xf numFmtId="0" fontId="9" fillId="5" borderId="15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6" xfId="0" applyFont="1" applyFill="1" applyBorder="1"/>
    <xf numFmtId="0" fontId="12" fillId="2" borderId="18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19" xfId="0" applyFont="1" applyFill="1" applyBorder="1"/>
    <xf numFmtId="0" fontId="14" fillId="2" borderId="19" xfId="0" applyFont="1" applyFill="1" applyBorder="1"/>
    <xf numFmtId="0" fontId="7" fillId="2" borderId="18" xfId="0" applyFont="1" applyFill="1" applyBorder="1"/>
    <xf numFmtId="0" fontId="5" fillId="6" borderId="14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 wrapText="1"/>
    </xf>
    <xf numFmtId="43" fontId="5" fillId="6" borderId="21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2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3" xfId="1" applyFont="1" applyFill="1" applyBorder="1" applyAlignment="1">
      <alignment vertical="center" wrapText="1"/>
    </xf>
    <xf numFmtId="0" fontId="7" fillId="2" borderId="24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2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26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14" fillId="2" borderId="27" xfId="0" applyFont="1" applyFill="1" applyBorder="1"/>
    <xf numFmtId="0" fontId="14" fillId="2" borderId="28" xfId="0" applyFont="1" applyFill="1" applyBorder="1" applyAlignment="1">
      <alignment horizontal="center"/>
    </xf>
    <xf numFmtId="43" fontId="14" fillId="2" borderId="28" xfId="1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14" fillId="2" borderId="29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2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43" fontId="10" fillId="0" borderId="32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9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9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9" xfId="1" applyNumberFormat="1" applyFont="1" applyFill="1" applyBorder="1" applyAlignment="1">
      <alignment vertical="center" wrapText="1"/>
    </xf>
    <xf numFmtId="2" fontId="10" fillId="4" borderId="9" xfId="1" applyNumberFormat="1" applyFont="1" applyFill="1" applyBorder="1" applyAlignment="1">
      <alignment vertical="center" wrapText="1"/>
    </xf>
    <xf numFmtId="0" fontId="10" fillId="0" borderId="34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2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3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43" fontId="3" fillId="0" borderId="38" xfId="1" applyFont="1" applyBorder="1" applyAlignment="1">
      <alignment horizontal="center" vertical="center" wrapText="1"/>
    </xf>
    <xf numFmtId="43" fontId="28" fillId="10" borderId="39" xfId="1" applyFont="1" applyFill="1" applyBorder="1" applyAlignment="1">
      <alignment horizontal="center" vertical="center"/>
    </xf>
    <xf numFmtId="0" fontId="28" fillId="0" borderId="38" xfId="0" applyFont="1" applyBorder="1" applyAlignment="1">
      <alignment vertical="center"/>
    </xf>
    <xf numFmtId="43" fontId="3" fillId="0" borderId="42" xfId="1" applyFont="1" applyBorder="1" applyAlignment="1">
      <alignment horizontal="center" vertical="center" wrapText="1"/>
    </xf>
    <xf numFmtId="43" fontId="3" fillId="0" borderId="43" xfId="1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/>
    </xf>
    <xf numFmtId="166" fontId="3" fillId="0" borderId="46" xfId="1" applyNumberFormat="1" applyFont="1" applyBorder="1" applyAlignment="1">
      <alignment horizontal="center" vertical="center"/>
    </xf>
    <xf numFmtId="43" fontId="3" fillId="0" borderId="46" xfId="1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/>
    </xf>
    <xf numFmtId="0" fontId="3" fillId="0" borderId="38" xfId="0" applyFont="1" applyBorder="1" applyAlignment="1">
      <alignment vertical="center"/>
    </xf>
    <xf numFmtId="0" fontId="28" fillId="9" borderId="49" xfId="0" applyFont="1" applyFill="1" applyBorder="1" applyAlignment="1">
      <alignment horizontal="center"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4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6" xfId="0" applyFont="1" applyBorder="1" applyAlignment="1">
      <alignment horizontal="center" vertical="center"/>
    </xf>
    <xf numFmtId="43" fontId="3" fillId="0" borderId="56" xfId="1" applyFont="1" applyBorder="1" applyAlignment="1">
      <alignment horizontal="center" vertical="center"/>
    </xf>
    <xf numFmtId="43" fontId="3" fillId="0" borderId="56" xfId="1" applyFont="1" applyBorder="1" applyAlignment="1">
      <alignment vertical="center"/>
    </xf>
    <xf numFmtId="0" fontId="30" fillId="0" borderId="57" xfId="0" applyFont="1" applyBorder="1" applyAlignment="1">
      <alignment vertical="center"/>
    </xf>
    <xf numFmtId="14" fontId="3" fillId="11" borderId="58" xfId="0" applyNumberFormat="1" applyFont="1" applyFill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0" fontId="3" fillId="12" borderId="61" xfId="0" applyFont="1" applyFill="1" applyBorder="1" applyAlignment="1">
      <alignment horizontal="left" vertical="center"/>
    </xf>
    <xf numFmtId="14" fontId="3" fillId="11" borderId="62" xfId="0" applyNumberFormat="1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0" xfId="0" applyNumberFormat="1" applyFont="1" applyFill="1" applyBorder="1" applyAlignment="1">
      <alignment horizontal="left" vertical="center"/>
    </xf>
    <xf numFmtId="0" fontId="3" fillId="12" borderId="64" xfId="0" applyFont="1" applyFill="1" applyBorder="1" applyAlignment="1">
      <alignment vertical="center"/>
    </xf>
    <xf numFmtId="14" fontId="3" fillId="11" borderId="62" xfId="0" applyNumberFormat="1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49" fontId="3" fillId="11" borderId="60" xfId="0" applyNumberFormat="1" applyFont="1" applyFill="1" applyBorder="1" applyAlignment="1">
      <alignment vertical="center"/>
    </xf>
    <xf numFmtId="0" fontId="31" fillId="12" borderId="64" xfId="0" applyFont="1" applyFill="1" applyBorder="1" applyAlignment="1">
      <alignment vertical="center"/>
    </xf>
    <xf numFmtId="0" fontId="3" fillId="11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0" xfId="0" applyFont="1" applyFill="1" applyBorder="1" applyAlignment="1">
      <alignment vertical="center"/>
    </xf>
    <xf numFmtId="0" fontId="31" fillId="12" borderId="67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8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3" fillId="12" borderId="68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6" xfId="0" applyNumberFormat="1" applyFont="1" applyBorder="1" applyAlignment="1">
      <alignment vertical="center"/>
    </xf>
    <xf numFmtId="0" fontId="3" fillId="0" borderId="69" xfId="0" applyFont="1" applyBorder="1" applyAlignment="1">
      <alignment horizontal="center" vertical="center" wrapText="1"/>
    </xf>
    <xf numFmtId="166" fontId="3" fillId="0" borderId="70" xfId="1" applyNumberFormat="1" applyFont="1" applyBorder="1" applyAlignment="1">
      <alignment horizontal="center" vertical="center"/>
    </xf>
    <xf numFmtId="43" fontId="3" fillId="0" borderId="70" xfId="1" applyFont="1" applyBorder="1" applyAlignment="1">
      <alignment horizontal="center" vertical="center" wrapText="1"/>
    </xf>
    <xf numFmtId="43" fontId="3" fillId="0" borderId="71" xfId="1" applyFont="1" applyBorder="1" applyAlignment="1">
      <alignment horizontal="center" vertical="center" wrapText="1"/>
    </xf>
    <xf numFmtId="0" fontId="3" fillId="0" borderId="72" xfId="0" applyFont="1" applyBorder="1" applyAlignment="1">
      <alignment horizontal="left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2" xfId="0" applyFont="1" applyBorder="1" applyAlignment="1">
      <alignment vertical="center" wrapText="1"/>
    </xf>
    <xf numFmtId="2" fontId="3" fillId="0" borderId="42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6" xfId="1" applyFont="1" applyFill="1" applyBorder="1" applyAlignment="1">
      <alignment horizontal="center" vertical="center"/>
    </xf>
    <xf numFmtId="166" fontId="29" fillId="0" borderId="70" xfId="1" applyNumberFormat="1" applyFont="1" applyBorder="1" applyAlignment="1">
      <alignment horizontal="center" vertical="center"/>
    </xf>
    <xf numFmtId="0" fontId="29" fillId="0" borderId="73" xfId="0" applyFont="1" applyBorder="1" applyAlignment="1">
      <alignment horizontal="left" vertical="center" wrapText="1"/>
    </xf>
    <xf numFmtId="43" fontId="29" fillId="0" borderId="71" xfId="1" applyFont="1" applyBorder="1" applyAlignment="1">
      <alignment horizontal="center" vertical="center" wrapText="1"/>
    </xf>
    <xf numFmtId="0" fontId="29" fillId="0" borderId="72" xfId="0" applyFont="1" applyBorder="1" applyAlignment="1">
      <alignment vertical="center" wrapText="1"/>
    </xf>
    <xf numFmtId="0" fontId="29" fillId="0" borderId="7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8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8" xfId="0" applyFont="1" applyFill="1" applyBorder="1" applyAlignment="1">
      <alignment vertical="center" wrapText="1"/>
    </xf>
    <xf numFmtId="0" fontId="6" fillId="2" borderId="32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8" xfId="0" applyFont="1" applyFill="1" applyBorder="1" applyAlignment="1">
      <alignment horizontal="center" vertical="center" wrapText="1"/>
    </xf>
    <xf numFmtId="43" fontId="37" fillId="4" borderId="9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4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9" xfId="1" applyFont="1" applyFill="1" applyBorder="1" applyAlignment="1">
      <alignment vertical="center" wrapText="1"/>
    </xf>
    <xf numFmtId="0" fontId="18" fillId="13" borderId="32" xfId="0" applyFont="1" applyFill="1" applyBorder="1" applyAlignment="1">
      <alignment vertical="center"/>
    </xf>
    <xf numFmtId="43" fontId="26" fillId="0" borderId="1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left" vertical="center" wrapText="1"/>
    </xf>
    <xf numFmtId="0" fontId="4" fillId="0" borderId="80" xfId="0" applyFont="1" applyBorder="1" applyAlignment="1">
      <alignment horizontal="left" vertical="center" wrapText="1"/>
    </xf>
    <xf numFmtId="2" fontId="4" fillId="0" borderId="42" xfId="1" applyNumberFormat="1" applyFont="1" applyBorder="1" applyAlignment="1">
      <alignment horizontal="center" vertical="center" wrapText="1"/>
    </xf>
    <xf numFmtId="43" fontId="4" fillId="0" borderId="46" xfId="1" applyFont="1" applyBorder="1" applyAlignment="1">
      <alignment horizontal="center" vertical="center" wrapText="1"/>
    </xf>
    <xf numFmtId="43" fontId="4" fillId="0" borderId="42" xfId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43" fontId="4" fillId="0" borderId="43" xfId="1" applyFont="1" applyBorder="1" applyAlignment="1">
      <alignment horizontal="center" vertical="center"/>
    </xf>
    <xf numFmtId="0" fontId="10" fillId="0" borderId="34" xfId="0" applyFont="1" applyBorder="1" applyAlignment="1">
      <alignment horizontal="left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8" fillId="8" borderId="30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0" fillId="0" borderId="34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1" fillId="3" borderId="9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21" fillId="8" borderId="30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8" fillId="10" borderId="41" xfId="0" applyFont="1" applyFill="1" applyBorder="1" applyAlignment="1">
      <alignment horizontal="center" vertical="center" wrapText="1"/>
    </xf>
    <xf numFmtId="0" fontId="28" fillId="10" borderId="40" xfId="0" applyFont="1" applyFill="1" applyBorder="1" applyAlignment="1">
      <alignment horizontal="center" vertical="center" wrapText="1"/>
    </xf>
    <xf numFmtId="43" fontId="28" fillId="9" borderId="52" xfId="1" applyFont="1" applyFill="1" applyBorder="1" applyAlignment="1">
      <alignment horizontal="center" vertical="center"/>
    </xf>
    <xf numFmtId="43" fontId="28" fillId="9" borderId="51" xfId="1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8" fillId="10" borderId="77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80" xfId="0" applyFont="1" applyBorder="1" applyAlignment="1">
      <alignment horizontal="left" vertical="center" wrapText="1"/>
    </xf>
    <xf numFmtId="166" fontId="3" fillId="0" borderId="54" xfId="1" applyNumberFormat="1" applyFont="1" applyBorder="1" applyAlignment="1">
      <alignment horizontal="center" vertical="center"/>
    </xf>
    <xf numFmtId="43" fontId="3" fillId="0" borderId="38" xfId="0" applyNumberFormat="1" applyFont="1" applyBorder="1" applyAlignment="1">
      <alignment vertical="center"/>
    </xf>
    <xf numFmtId="43" fontId="28" fillId="0" borderId="38" xfId="0" applyNumberFormat="1" applyFont="1" applyBorder="1" applyAlignment="1">
      <alignment vertical="center"/>
    </xf>
    <xf numFmtId="43" fontId="19" fillId="0" borderId="0" xfId="0" applyNumberFormat="1" applyFont="1" applyAlignment="1">
      <alignment vertical="center"/>
    </xf>
  </cellXfs>
  <cellStyles count="11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8151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G28"/>
  <sheetViews>
    <sheetView view="pageBreakPreview" topLeftCell="B7" zoomScale="115" zoomScaleNormal="115" zoomScaleSheetLayoutView="115" workbookViewId="0">
      <selection activeCell="B15" sqref="B15:E15"/>
    </sheetView>
  </sheetViews>
  <sheetFormatPr defaultRowHeight="21.75" x14ac:dyDescent="0.6"/>
  <cols>
    <col min="1" max="1" width="19.140625" style="40" customWidth="1"/>
    <col min="2" max="2" width="45.140625" style="41" customWidth="1"/>
    <col min="3" max="4" width="11.28515625" style="41" customWidth="1"/>
    <col min="5" max="5" width="11.28515625" style="42" customWidth="1"/>
    <col min="6" max="6" width="11.140625" style="43" customWidth="1"/>
    <col min="7" max="7" width="24" style="40" customWidth="1"/>
    <col min="8" max="9" width="9.28515625" bestFit="1" customWidth="1"/>
  </cols>
  <sheetData>
    <row r="1" spans="1:7" ht="18" customHeight="1" x14ac:dyDescent="0.6">
      <c r="A1" s="4" t="s">
        <v>0</v>
      </c>
      <c r="C1" s="5"/>
      <c r="D1" s="5"/>
      <c r="E1" s="6"/>
      <c r="F1" s="7"/>
      <c r="G1" s="8"/>
    </row>
    <row r="2" spans="1:7" ht="18" customHeight="1" x14ac:dyDescent="0.6">
      <c r="A2" s="9" t="s">
        <v>117</v>
      </c>
      <c r="C2" s="11"/>
      <c r="D2" s="11"/>
      <c r="E2" s="12"/>
      <c r="F2" s="13"/>
      <c r="G2" s="14"/>
    </row>
    <row r="3" spans="1:7" ht="18" customHeight="1" x14ac:dyDescent="0.6">
      <c r="A3" s="9" t="s">
        <v>1</v>
      </c>
      <c r="B3" s="10" t="s">
        <v>185</v>
      </c>
      <c r="C3" s="11"/>
      <c r="D3" s="11"/>
      <c r="E3" s="12"/>
      <c r="F3" s="13"/>
      <c r="G3" s="14"/>
    </row>
    <row r="4" spans="1:7" ht="18" customHeight="1" x14ac:dyDescent="0.6">
      <c r="A4" s="9" t="s">
        <v>290</v>
      </c>
      <c r="B4" s="10" t="s">
        <v>367</v>
      </c>
      <c r="C4" s="11"/>
      <c r="D4" s="11"/>
      <c r="E4" s="12"/>
      <c r="F4" s="13"/>
      <c r="G4" s="19"/>
    </row>
    <row r="5" spans="1:7" ht="25.15" customHeight="1" x14ac:dyDescent="0.25">
      <c r="A5" s="215" t="s">
        <v>126</v>
      </c>
      <c r="B5" s="216"/>
      <c r="C5" s="216"/>
      <c r="D5" s="216"/>
      <c r="E5" s="216"/>
      <c r="F5" s="216"/>
      <c r="G5" s="217"/>
    </row>
    <row r="6" spans="1:7" ht="14.45" customHeight="1" thickBot="1" x14ac:dyDescent="0.65">
      <c r="A6" s="15"/>
      <c r="B6" s="16"/>
      <c r="C6" s="16"/>
      <c r="D6" s="16"/>
      <c r="E6" s="17"/>
      <c r="F6" s="18"/>
      <c r="G6" s="19"/>
    </row>
    <row r="7" spans="1:7" x14ac:dyDescent="0.6">
      <c r="A7" s="21"/>
      <c r="B7" s="22" t="s">
        <v>14</v>
      </c>
      <c r="C7" s="23" t="s">
        <v>15</v>
      </c>
      <c r="D7" s="23" t="s">
        <v>127</v>
      </c>
      <c r="E7" s="24" t="s">
        <v>18</v>
      </c>
      <c r="F7" s="25"/>
      <c r="G7" s="20"/>
    </row>
    <row r="8" spans="1:7" x14ac:dyDescent="0.6">
      <c r="A8" s="21"/>
      <c r="B8" s="26" t="s">
        <v>128</v>
      </c>
      <c r="C8" s="27" t="s">
        <v>7</v>
      </c>
      <c r="D8" s="27" t="s">
        <v>120</v>
      </c>
      <c r="E8" s="28">
        <v>820.8</v>
      </c>
      <c r="F8" s="25"/>
      <c r="G8" s="20"/>
    </row>
    <row r="9" spans="1:7" x14ac:dyDescent="0.6">
      <c r="A9" s="21"/>
      <c r="B9" s="29" t="s">
        <v>129</v>
      </c>
      <c r="C9" s="30" t="s">
        <v>8</v>
      </c>
      <c r="D9" s="30" t="s">
        <v>120</v>
      </c>
      <c r="E9" s="31">
        <v>10618.35</v>
      </c>
      <c r="F9" s="25"/>
      <c r="G9" s="20"/>
    </row>
    <row r="10" spans="1:7" x14ac:dyDescent="0.6">
      <c r="A10" s="21"/>
      <c r="B10" s="29" t="s">
        <v>291</v>
      </c>
      <c r="C10" s="30" t="s">
        <v>292</v>
      </c>
      <c r="D10" s="30" t="s">
        <v>123</v>
      </c>
      <c r="E10" s="31">
        <f>2*18</f>
        <v>36</v>
      </c>
      <c r="F10" s="202"/>
      <c r="G10" s="20"/>
    </row>
    <row r="11" spans="1:7" x14ac:dyDescent="0.6">
      <c r="A11" s="21"/>
      <c r="B11" s="29" t="s">
        <v>293</v>
      </c>
      <c r="C11" s="30" t="s">
        <v>297</v>
      </c>
      <c r="D11" s="30" t="s">
        <v>123</v>
      </c>
      <c r="E11" s="31">
        <f>3*E10</f>
        <v>108</v>
      </c>
      <c r="F11" s="25"/>
      <c r="G11" s="20"/>
    </row>
    <row r="12" spans="1:7" x14ac:dyDescent="0.6">
      <c r="A12" s="21"/>
      <c r="B12" s="29" t="s">
        <v>294</v>
      </c>
      <c r="C12" s="30" t="s">
        <v>298</v>
      </c>
      <c r="D12" s="30" t="s">
        <v>123</v>
      </c>
      <c r="E12" s="31">
        <f>4*E10</f>
        <v>144</v>
      </c>
      <c r="F12" s="25"/>
      <c r="G12" s="20"/>
    </row>
    <row r="13" spans="1:7" x14ac:dyDescent="0.6">
      <c r="A13" s="21"/>
      <c r="B13" s="29" t="s">
        <v>295</v>
      </c>
      <c r="C13" s="30" t="s">
        <v>296</v>
      </c>
      <c r="D13" s="30" t="s">
        <v>123</v>
      </c>
      <c r="E13" s="31">
        <v>5</v>
      </c>
      <c r="F13" s="25"/>
      <c r="G13" s="20"/>
    </row>
    <row r="14" spans="1:7" x14ac:dyDescent="0.6">
      <c r="A14" s="21"/>
      <c r="B14" s="29" t="s">
        <v>274</v>
      </c>
      <c r="C14" s="30" t="s">
        <v>316</v>
      </c>
      <c r="D14" s="30" t="s">
        <v>123</v>
      </c>
      <c r="E14" s="31">
        <f>'SISTEMAS ESPECIAIS'!B10</f>
        <v>40</v>
      </c>
      <c r="F14" s="25"/>
      <c r="G14" s="20"/>
    </row>
    <row r="15" spans="1:7" x14ac:dyDescent="0.6">
      <c r="A15" s="21"/>
      <c r="B15" s="29" t="s">
        <v>130</v>
      </c>
      <c r="C15" s="30" t="s">
        <v>9</v>
      </c>
      <c r="D15" s="30" t="s">
        <v>123</v>
      </c>
      <c r="E15" s="31">
        <f>18+8</f>
        <v>26</v>
      </c>
      <c r="F15" s="25"/>
      <c r="G15" s="20"/>
    </row>
    <row r="16" spans="1:7" x14ac:dyDescent="0.6">
      <c r="A16" s="21"/>
      <c r="B16" s="29" t="s">
        <v>131</v>
      </c>
      <c r="C16" s="30" t="s">
        <v>10</v>
      </c>
      <c r="D16" s="30" t="s">
        <v>123</v>
      </c>
      <c r="E16" s="31">
        <v>18</v>
      </c>
      <c r="F16" s="25"/>
      <c r="G16" s="20"/>
    </row>
    <row r="17" spans="1:7" x14ac:dyDescent="0.6">
      <c r="A17" s="21"/>
      <c r="B17" s="29" t="s">
        <v>132</v>
      </c>
      <c r="C17" s="30" t="s">
        <v>40</v>
      </c>
      <c r="D17" s="30" t="s">
        <v>123</v>
      </c>
      <c r="E17" s="31">
        <v>2</v>
      </c>
      <c r="F17" s="25"/>
      <c r="G17" s="20"/>
    </row>
    <row r="18" spans="1:7" x14ac:dyDescent="0.6">
      <c r="A18" s="21"/>
      <c r="B18" s="29" t="s">
        <v>133</v>
      </c>
      <c r="C18" s="30" t="s">
        <v>41</v>
      </c>
      <c r="D18" s="30" t="s">
        <v>123</v>
      </c>
      <c r="E18" s="31">
        <v>0</v>
      </c>
      <c r="F18" s="25"/>
      <c r="G18" s="20"/>
    </row>
    <row r="19" spans="1:7" x14ac:dyDescent="0.6">
      <c r="A19" s="21"/>
      <c r="B19" s="29" t="s">
        <v>134</v>
      </c>
      <c r="C19" s="30" t="s">
        <v>11</v>
      </c>
      <c r="D19" s="30" t="s">
        <v>120</v>
      </c>
      <c r="E19" s="31">
        <v>353.05160000000001</v>
      </c>
      <c r="F19" s="25"/>
      <c r="G19" s="20"/>
    </row>
    <row r="20" spans="1:7" x14ac:dyDescent="0.6">
      <c r="A20" s="21"/>
      <c r="B20" s="29" t="s">
        <v>135</v>
      </c>
      <c r="C20" s="30" t="s">
        <v>12</v>
      </c>
      <c r="D20" s="30" t="s">
        <v>119</v>
      </c>
      <c r="E20" s="31">
        <v>78.36</v>
      </c>
      <c r="F20" s="25"/>
      <c r="G20" s="20"/>
    </row>
    <row r="21" spans="1:7" x14ac:dyDescent="0.6">
      <c r="A21" s="21"/>
      <c r="B21" s="29" t="s">
        <v>136</v>
      </c>
      <c r="C21" s="30" t="s">
        <v>36</v>
      </c>
      <c r="D21" s="30" t="s">
        <v>120</v>
      </c>
      <c r="E21" s="31">
        <v>800</v>
      </c>
      <c r="F21" s="25"/>
      <c r="G21" s="20"/>
    </row>
    <row r="22" spans="1:7" x14ac:dyDescent="0.6">
      <c r="A22" s="21"/>
      <c r="B22" s="29" t="s">
        <v>137</v>
      </c>
      <c r="C22" s="30" t="s">
        <v>35</v>
      </c>
      <c r="D22" s="30" t="s">
        <v>120</v>
      </c>
      <c r="E22" s="31">
        <f>460.63+578.47*5</f>
        <v>3352.9800000000005</v>
      </c>
      <c r="F22" s="25"/>
      <c r="G22" s="20"/>
    </row>
    <row r="23" spans="1:7" x14ac:dyDescent="0.6">
      <c r="A23" s="21"/>
      <c r="B23" s="29" t="s">
        <v>138</v>
      </c>
      <c r="C23" s="30" t="s">
        <v>139</v>
      </c>
      <c r="D23" s="30" t="s">
        <v>120</v>
      </c>
      <c r="E23" s="31">
        <v>0</v>
      </c>
      <c r="F23" s="25"/>
      <c r="G23" s="20"/>
    </row>
    <row r="24" spans="1:7" x14ac:dyDescent="0.6">
      <c r="A24" s="21"/>
      <c r="B24" s="29" t="s">
        <v>140</v>
      </c>
      <c r="C24" s="30" t="s">
        <v>13</v>
      </c>
      <c r="D24" s="30" t="s">
        <v>123</v>
      </c>
      <c r="E24" s="31">
        <v>0</v>
      </c>
      <c r="F24" s="25"/>
      <c r="G24" s="20"/>
    </row>
    <row r="25" spans="1:7" x14ac:dyDescent="0.6">
      <c r="A25" s="21"/>
      <c r="B25" s="29" t="s">
        <v>141</v>
      </c>
      <c r="C25" s="30" t="s">
        <v>39</v>
      </c>
      <c r="D25" s="30" t="s">
        <v>120</v>
      </c>
      <c r="E25" s="31">
        <v>460.4</v>
      </c>
      <c r="F25" s="25"/>
      <c r="G25" s="20"/>
    </row>
    <row r="26" spans="1:7" x14ac:dyDescent="0.6">
      <c r="A26" s="21"/>
      <c r="B26" s="29" t="s">
        <v>142</v>
      </c>
      <c r="C26" s="30" t="s">
        <v>154</v>
      </c>
      <c r="D26" s="30" t="s">
        <v>119</v>
      </c>
      <c r="E26" s="31">
        <v>90.93</v>
      </c>
      <c r="F26" s="25"/>
      <c r="G26" s="20"/>
    </row>
    <row r="27" spans="1:7" ht="22.5" thickBot="1" x14ac:dyDescent="0.65">
      <c r="A27" s="21"/>
      <c r="B27" s="32" t="s">
        <v>143</v>
      </c>
      <c r="C27" s="33" t="s">
        <v>155</v>
      </c>
      <c r="D27" s="33" t="s">
        <v>123</v>
      </c>
      <c r="E27" s="34">
        <v>6</v>
      </c>
      <c r="F27" s="25"/>
      <c r="G27" s="20"/>
    </row>
    <row r="28" spans="1:7" ht="22.5" thickBot="1" x14ac:dyDescent="0.65">
      <c r="A28" s="35"/>
      <c r="B28" s="36"/>
      <c r="C28" s="36"/>
      <c r="D28" s="36"/>
      <c r="E28" s="37"/>
      <c r="F28" s="38"/>
      <c r="G28" s="39"/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6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dimension ref="A1:K33"/>
  <sheetViews>
    <sheetView showGridLines="0" topLeftCell="A20" zoomScale="85" zoomScaleNormal="85" zoomScaleSheetLayoutView="95" workbookViewId="0">
      <selection activeCell="F30" sqref="F30"/>
    </sheetView>
  </sheetViews>
  <sheetFormatPr defaultColWidth="9.140625" defaultRowHeight="19.5" x14ac:dyDescent="0.25"/>
  <cols>
    <col min="1" max="1" width="53" style="44" bestFit="1" customWidth="1"/>
    <col min="2" max="3" width="27" style="44" customWidth="1"/>
    <col min="4" max="4" width="27" style="45" customWidth="1"/>
    <col min="5" max="6" width="27" style="106" customWidth="1"/>
    <col min="7" max="7" width="31.7109375" style="106" customWidth="1"/>
    <col min="8" max="16384" width="9.140625" style="1"/>
  </cols>
  <sheetData>
    <row r="1" spans="1:9" x14ac:dyDescent="0.25">
      <c r="A1" s="47"/>
      <c r="B1" s="47"/>
      <c r="C1" s="47"/>
      <c r="D1" s="50"/>
      <c r="E1" s="103"/>
      <c r="F1" s="103"/>
      <c r="G1" s="103"/>
      <c r="I1" s="2"/>
    </row>
    <row r="2" spans="1:9" ht="28.5" x14ac:dyDescent="0.25">
      <c r="A2" s="222" t="s">
        <v>121</v>
      </c>
      <c r="B2" s="223"/>
      <c r="C2" s="223"/>
      <c r="D2" s="223"/>
      <c r="E2" s="223"/>
      <c r="F2" s="223"/>
      <c r="G2" s="224"/>
      <c r="I2" s="2"/>
    </row>
    <row r="3" spans="1:9" ht="28.5" customHeight="1" x14ac:dyDescent="0.25">
      <c r="A3" s="188" t="s">
        <v>186</v>
      </c>
      <c r="B3" s="194">
        <v>45480</v>
      </c>
      <c r="C3" s="192"/>
      <c r="D3" s="192"/>
      <c r="E3" s="192"/>
      <c r="F3" s="192"/>
      <c r="G3" s="193"/>
      <c r="I3" s="2"/>
    </row>
    <row r="4" spans="1:9" ht="28.5" customHeight="1" x14ac:dyDescent="0.25">
      <c r="A4" s="188" t="s">
        <v>299</v>
      </c>
      <c r="B4" s="195" t="s">
        <v>216</v>
      </c>
      <c r="C4" s="190"/>
      <c r="D4" s="190"/>
      <c r="E4" s="190"/>
      <c r="F4" s="190"/>
      <c r="G4" s="191"/>
      <c r="I4" s="2"/>
    </row>
    <row r="5" spans="1:9" x14ac:dyDescent="0.25">
      <c r="A5" s="49"/>
      <c r="B5" s="49"/>
      <c r="C5" s="49"/>
      <c r="D5" s="48"/>
      <c r="E5" s="104"/>
      <c r="F5" s="103"/>
      <c r="G5" s="103"/>
      <c r="I5" s="2"/>
    </row>
    <row r="6" spans="1:9" s="54" customFormat="1" ht="21.75" x14ac:dyDescent="0.25">
      <c r="A6" s="51" t="s">
        <v>150</v>
      </c>
      <c r="B6" s="52"/>
      <c r="C6" s="52"/>
      <c r="D6" s="53"/>
      <c r="E6" s="97"/>
      <c r="F6" s="97"/>
      <c r="G6" s="97"/>
    </row>
    <row r="7" spans="1:9" s="54" customFormat="1" ht="21.75" x14ac:dyDescent="0.25">
      <c r="A7" s="55"/>
      <c r="B7" s="56"/>
      <c r="C7" s="56"/>
      <c r="D7" s="57"/>
      <c r="E7" s="98"/>
      <c r="F7" s="99"/>
      <c r="G7" s="99"/>
    </row>
    <row r="8" spans="1:9" s="54" customFormat="1" ht="42" customHeight="1" x14ac:dyDescent="0.25">
      <c r="A8" s="62" t="s">
        <v>14</v>
      </c>
      <c r="B8" s="63" t="s">
        <v>149</v>
      </c>
      <c r="C8" s="63" t="s">
        <v>148</v>
      </c>
      <c r="D8" s="64" t="s">
        <v>147</v>
      </c>
      <c r="E8" s="100" t="s">
        <v>146</v>
      </c>
      <c r="F8" s="89" t="s">
        <v>16</v>
      </c>
      <c r="G8" s="89" t="s">
        <v>302</v>
      </c>
    </row>
    <row r="9" spans="1:9" s="54" customFormat="1" ht="21.75" x14ac:dyDescent="0.25">
      <c r="A9" s="65" t="s">
        <v>145</v>
      </c>
      <c r="B9" s="66">
        <f>DADOS_INICIAIS!E23</f>
        <v>0</v>
      </c>
      <c r="C9" s="66"/>
      <c r="D9" s="67">
        <f>C9*B9</f>
        <v>0</v>
      </c>
      <c r="E9" s="87">
        <v>0</v>
      </c>
      <c r="F9" s="88">
        <f>E9*D9*1.1</f>
        <v>0</v>
      </c>
      <c r="G9" s="66"/>
    </row>
    <row r="10" spans="1:9" s="54" customFormat="1" ht="21.75" x14ac:dyDescent="0.25">
      <c r="A10" s="221" t="s">
        <v>17</v>
      </c>
      <c r="B10" s="221"/>
      <c r="C10" s="221"/>
      <c r="D10" s="221"/>
      <c r="E10" s="221"/>
      <c r="F10" s="89">
        <f>SUM(F9:F9)</f>
        <v>0</v>
      </c>
      <c r="G10" s="89"/>
    </row>
    <row r="11" spans="1:9" s="54" customFormat="1" ht="21.75" x14ac:dyDescent="0.25">
      <c r="A11" s="225"/>
      <c r="B11" s="225"/>
      <c r="C11" s="225"/>
      <c r="D11" s="225"/>
      <c r="E11" s="225"/>
      <c r="F11" s="99"/>
      <c r="G11" s="99"/>
    </row>
    <row r="12" spans="1:9" s="54" customFormat="1" ht="21.75" x14ac:dyDescent="0.25">
      <c r="A12" s="51" t="s">
        <v>153</v>
      </c>
      <c r="B12" s="52"/>
      <c r="C12" s="52"/>
      <c r="D12" s="53"/>
      <c r="E12" s="97"/>
      <c r="F12" s="97"/>
      <c r="G12" s="97"/>
    </row>
    <row r="13" spans="1:9" s="54" customFormat="1" ht="21.75" x14ac:dyDescent="0.25">
      <c r="A13" s="55"/>
      <c r="B13" s="56"/>
      <c r="C13" s="56"/>
      <c r="D13" s="57"/>
      <c r="E13" s="98"/>
      <c r="F13" s="99"/>
      <c r="G13" s="99"/>
    </row>
    <row r="14" spans="1:9" s="54" customFormat="1" ht="42" customHeight="1" x14ac:dyDescent="0.25">
      <c r="A14" s="62" t="s">
        <v>14</v>
      </c>
      <c r="B14" s="63" t="s">
        <v>152</v>
      </c>
      <c r="C14" s="63"/>
      <c r="D14" s="64"/>
      <c r="E14" s="100" t="s">
        <v>151</v>
      </c>
      <c r="F14" s="89" t="s">
        <v>16</v>
      </c>
      <c r="G14" s="89" t="s">
        <v>302</v>
      </c>
    </row>
    <row r="15" spans="1:9" s="54" customFormat="1" ht="21.75" x14ac:dyDescent="0.25">
      <c r="A15" s="65" t="s">
        <v>124</v>
      </c>
      <c r="B15" s="66">
        <v>0</v>
      </c>
      <c r="C15" s="73"/>
      <c r="D15" s="74"/>
      <c r="E15" s="87">
        <v>200</v>
      </c>
      <c r="F15" s="88">
        <f>B15*E15*1.1</f>
        <v>0</v>
      </c>
      <c r="G15" s="66"/>
    </row>
    <row r="16" spans="1:9" s="54" customFormat="1" ht="21.75" x14ac:dyDescent="0.25">
      <c r="A16" s="221" t="s">
        <v>17</v>
      </c>
      <c r="B16" s="221"/>
      <c r="C16" s="221"/>
      <c r="D16" s="221"/>
      <c r="E16" s="221"/>
      <c r="F16" s="89">
        <f>SUM(F15:F15)</f>
        <v>0</v>
      </c>
      <c r="G16" s="89"/>
    </row>
    <row r="17" spans="1:11" s="54" customFormat="1" ht="21.75" x14ac:dyDescent="0.25">
      <c r="A17" s="225"/>
      <c r="B17" s="225"/>
      <c r="C17" s="225"/>
      <c r="D17" s="225"/>
      <c r="E17" s="225"/>
      <c r="F17" s="99"/>
      <c r="G17" s="99"/>
    </row>
    <row r="18" spans="1:11" s="54" customFormat="1" ht="21.75" x14ac:dyDescent="0.25">
      <c r="A18" s="51" t="s">
        <v>19</v>
      </c>
      <c r="B18" s="52"/>
      <c r="C18" s="52"/>
      <c r="D18" s="53"/>
      <c r="E18" s="97"/>
      <c r="F18" s="97"/>
      <c r="G18" s="97"/>
    </row>
    <row r="19" spans="1:11" s="54" customFormat="1" ht="21.75" x14ac:dyDescent="0.25">
      <c r="A19" s="55"/>
      <c r="B19" s="56"/>
      <c r="C19" s="56"/>
      <c r="D19" s="57"/>
      <c r="E19" s="98"/>
      <c r="F19" s="99"/>
      <c r="G19" s="99"/>
    </row>
    <row r="20" spans="1:11" s="54" customFormat="1" ht="42" customHeight="1" x14ac:dyDescent="0.25">
      <c r="A20" s="62" t="s">
        <v>14</v>
      </c>
      <c r="B20" s="226" t="s">
        <v>5</v>
      </c>
      <c r="C20" s="227"/>
      <c r="D20" s="64" t="s">
        <v>147</v>
      </c>
      <c r="E20" s="100" t="s">
        <v>160</v>
      </c>
      <c r="F20" s="89" t="s">
        <v>16</v>
      </c>
      <c r="G20" s="89" t="s">
        <v>302</v>
      </c>
    </row>
    <row r="21" spans="1:11" s="54" customFormat="1" ht="43.5" x14ac:dyDescent="0.25">
      <c r="A21" s="69" t="s">
        <v>20</v>
      </c>
      <c r="B21" s="61">
        <v>1.3</v>
      </c>
      <c r="C21" s="61" t="s">
        <v>319</v>
      </c>
      <c r="D21" s="71">
        <f>B21*INFRAESTRUTURA!D29</f>
        <v>478.81600000000003</v>
      </c>
      <c r="E21" s="87">
        <v>60</v>
      </c>
      <c r="F21" s="105">
        <f>E21*D21*1.1</f>
        <v>31601.856000000007</v>
      </c>
      <c r="G21" s="66"/>
    </row>
    <row r="22" spans="1:11" s="54" customFormat="1" ht="26.25" customHeight="1" x14ac:dyDescent="0.25">
      <c r="A22" s="69" t="s">
        <v>21</v>
      </c>
      <c r="B22" s="61">
        <v>0.6</v>
      </c>
      <c r="C22" s="61" t="s">
        <v>157</v>
      </c>
      <c r="D22" s="71">
        <f>D21-INFRAESTRUTURA!D29</f>
        <v>110.49600000000004</v>
      </c>
      <c r="E22" s="87">
        <v>20</v>
      </c>
      <c r="F22" s="105">
        <f>E22*D22*1.1</f>
        <v>2430.9120000000012</v>
      </c>
      <c r="G22" s="66"/>
    </row>
    <row r="23" spans="1:11" s="54" customFormat="1" ht="21.75" x14ac:dyDescent="0.25">
      <c r="A23" s="69" t="s">
        <v>156</v>
      </c>
      <c r="B23" s="61">
        <v>1.3</v>
      </c>
      <c r="C23" s="61"/>
      <c r="D23" s="71">
        <f>(D21-D22)*B23</f>
        <v>478.81600000000003</v>
      </c>
      <c r="E23" s="87">
        <v>40</v>
      </c>
      <c r="F23" s="105">
        <f>E23*D23*1.1</f>
        <v>21067.904000000002</v>
      </c>
      <c r="G23" s="66"/>
    </row>
    <row r="24" spans="1:11" s="54" customFormat="1" ht="21.75" x14ac:dyDescent="0.25">
      <c r="A24" s="68" t="s">
        <v>144</v>
      </c>
      <c r="B24" s="60">
        <v>1</v>
      </c>
      <c r="C24" s="60" t="s">
        <v>22</v>
      </c>
      <c r="D24" s="72">
        <f>INFRAESTRUTURA!D19</f>
        <v>608.71499255955837</v>
      </c>
      <c r="E24" s="87">
        <v>40</v>
      </c>
      <c r="F24" s="105">
        <f>E24*D24*1.1</f>
        <v>26783.459672620571</v>
      </c>
      <c r="G24" s="66"/>
    </row>
    <row r="25" spans="1:11" s="54" customFormat="1" ht="21.75" x14ac:dyDescent="0.25">
      <c r="A25" s="221" t="s">
        <v>17</v>
      </c>
      <c r="B25" s="221"/>
      <c r="C25" s="221"/>
      <c r="D25" s="221"/>
      <c r="E25" s="221"/>
      <c r="F25" s="89">
        <f>SUM(F21:F24)</f>
        <v>81884.131672620584</v>
      </c>
      <c r="G25" s="89"/>
    </row>
    <row r="26" spans="1:11" x14ac:dyDescent="0.25">
      <c r="K26" s="46"/>
    </row>
    <row r="27" spans="1:11" ht="21.75" x14ac:dyDescent="0.25">
      <c r="A27" s="51" t="s">
        <v>100</v>
      </c>
      <c r="B27" s="52"/>
      <c r="C27" s="52"/>
      <c r="D27" s="53"/>
      <c r="E27" s="97"/>
      <c r="F27" s="97"/>
      <c r="G27" s="97"/>
    </row>
    <row r="28" spans="1:11" ht="21.75" x14ac:dyDescent="0.25">
      <c r="A28" s="55"/>
      <c r="B28" s="56"/>
      <c r="C28" s="56"/>
      <c r="D28" s="57"/>
      <c r="E28" s="98"/>
      <c r="F28" s="99"/>
      <c r="G28" s="99"/>
    </row>
    <row r="29" spans="1:11" ht="43.5" x14ac:dyDescent="0.25">
      <c r="A29" s="62" t="s">
        <v>14</v>
      </c>
      <c r="B29" s="226" t="s">
        <v>5</v>
      </c>
      <c r="C29" s="227"/>
      <c r="D29" s="64" t="s">
        <v>158</v>
      </c>
      <c r="E29" s="100" t="s">
        <v>159</v>
      </c>
      <c r="F29" s="89" t="s">
        <v>16</v>
      </c>
      <c r="G29" s="89" t="s">
        <v>302</v>
      </c>
    </row>
    <row r="30" spans="1:11" ht="43.5" x14ac:dyDescent="0.25">
      <c r="A30" s="69" t="s">
        <v>301</v>
      </c>
      <c r="B30" s="61">
        <v>0.8</v>
      </c>
      <c r="C30" s="61" t="s">
        <v>113</v>
      </c>
      <c r="D30" s="71">
        <f>B30*DADOS_INICIAIS!E25</f>
        <v>368.32</v>
      </c>
      <c r="E30" s="87">
        <f>370*0.05</f>
        <v>18.5</v>
      </c>
      <c r="F30" s="105">
        <f>E30*D30*1.1</f>
        <v>7495.3120000000008</v>
      </c>
      <c r="G30" s="66" t="s">
        <v>303</v>
      </c>
      <c r="H30" s="1">
        <f>F30/DADOS_INICIAIS!E25</f>
        <v>16.28</v>
      </c>
      <c r="I30" s="99"/>
    </row>
    <row r="31" spans="1:11" ht="21.75" x14ac:dyDescent="0.25">
      <c r="A31" s="221" t="s">
        <v>17</v>
      </c>
      <c r="B31" s="221"/>
      <c r="C31" s="221"/>
      <c r="D31" s="221"/>
      <c r="E31" s="221"/>
      <c r="F31" s="89">
        <f>SUM(F30:F30)</f>
        <v>7495.3120000000008</v>
      </c>
      <c r="G31" s="89"/>
    </row>
    <row r="33" spans="1:7" ht="23.25" customHeight="1" x14ac:dyDescent="0.25">
      <c r="A33" s="218" t="s">
        <v>103</v>
      </c>
      <c r="B33" s="219"/>
      <c r="C33" s="219"/>
      <c r="D33" s="219"/>
      <c r="E33" s="220"/>
      <c r="F33" s="107">
        <f>F10+F16+F25+F31</f>
        <v>89379.443672620589</v>
      </c>
      <c r="G33" s="107">
        <f>F33/DADOS_INICIAIS!E9</f>
        <v>8.417451268099148</v>
      </c>
    </row>
  </sheetData>
  <mergeCells count="10">
    <mergeCell ref="A33:E33"/>
    <mergeCell ref="A25:E25"/>
    <mergeCell ref="A2:G2"/>
    <mergeCell ref="A10:E10"/>
    <mergeCell ref="A11:E11"/>
    <mergeCell ref="B20:C20"/>
    <mergeCell ref="B29:C29"/>
    <mergeCell ref="A31:E31"/>
    <mergeCell ref="A16:E16"/>
    <mergeCell ref="A17:E17"/>
  </mergeCells>
  <pageMargins left="0.55118110236220474" right="0.27559055118110237" top="0.59055118110236227" bottom="0.59055118110236227" header="0.15748031496062992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4" customWidth="1"/>
    <col min="2" max="3" width="21.7109375" style="54" customWidth="1"/>
    <col min="4" max="4" width="16.5703125" style="80" customWidth="1"/>
    <col min="5" max="5" width="19.5703125" style="81" customWidth="1"/>
    <col min="6" max="6" width="20.85546875" style="93" customWidth="1"/>
    <col min="7" max="7" width="20.7109375" style="93" customWidth="1"/>
    <col min="8" max="8" width="15.140625" style="93" customWidth="1"/>
    <col min="9" max="9" width="11.28515625" style="54" customWidth="1"/>
    <col min="10" max="10" width="9.140625" style="54"/>
    <col min="11" max="11" width="11" style="54" bestFit="1" customWidth="1"/>
    <col min="12" max="13" width="9.140625" style="54"/>
    <col min="14" max="15" width="11" style="54" bestFit="1" customWidth="1"/>
    <col min="16" max="16384" width="9.140625" style="54"/>
  </cols>
  <sheetData>
    <row r="1" spans="1:10" x14ac:dyDescent="0.25">
      <c r="D1" s="78"/>
      <c r="E1" s="54"/>
      <c r="H1" s="94"/>
      <c r="I1" s="79"/>
      <c r="J1" s="78"/>
    </row>
    <row r="3" spans="1:10" ht="28.5" x14ac:dyDescent="0.25">
      <c r="A3" s="222" t="s">
        <v>166</v>
      </c>
      <c r="B3" s="230"/>
      <c r="C3" s="230"/>
      <c r="D3" s="223"/>
      <c r="E3" s="223"/>
      <c r="F3" s="223"/>
      <c r="G3" s="223"/>
      <c r="H3" s="224"/>
      <c r="J3" s="78"/>
    </row>
    <row r="4" spans="1:10" ht="19.5" x14ac:dyDescent="0.25">
      <c r="A4" s="188" t="s">
        <v>186</v>
      </c>
      <c r="B4" s="194"/>
      <c r="C4" s="192"/>
      <c r="D4" s="192"/>
      <c r="E4" s="192"/>
      <c r="F4" s="192"/>
      <c r="G4" s="192"/>
      <c r="H4" s="193"/>
      <c r="J4" s="78"/>
    </row>
    <row r="5" spans="1:10" ht="19.5" x14ac:dyDescent="0.25">
      <c r="A5" s="188" t="s">
        <v>299</v>
      </c>
      <c r="B5" s="189"/>
      <c r="C5" s="190"/>
      <c r="D5" s="190"/>
      <c r="E5" s="190"/>
      <c r="F5" s="190"/>
      <c r="G5" s="190"/>
      <c r="H5" s="191"/>
      <c r="J5" s="78"/>
    </row>
    <row r="6" spans="1:10" ht="21.75" x14ac:dyDescent="0.25">
      <c r="A6" s="82"/>
      <c r="B6" s="82"/>
      <c r="C6" s="82"/>
      <c r="D6" s="82"/>
      <c r="E6" s="82"/>
      <c r="F6" s="95"/>
      <c r="G6" s="96"/>
      <c r="H6" s="96"/>
      <c r="J6" s="78"/>
    </row>
    <row r="7" spans="1:10" ht="21.75" x14ac:dyDescent="0.25">
      <c r="A7" s="51" t="s">
        <v>167</v>
      </c>
      <c r="B7" s="51"/>
      <c r="C7" s="51"/>
      <c r="D7" s="52"/>
      <c r="E7" s="52"/>
      <c r="F7" s="97"/>
      <c r="G7" s="97"/>
      <c r="H7" s="97"/>
    </row>
    <row r="8" spans="1:10" ht="21.75" x14ac:dyDescent="0.25">
      <c r="A8" s="55"/>
      <c r="B8" s="55"/>
      <c r="C8" s="55"/>
      <c r="D8" s="56"/>
      <c r="E8" s="56"/>
      <c r="F8" s="98"/>
      <c r="G8" s="99"/>
      <c r="H8" s="99"/>
    </row>
    <row r="9" spans="1:10" ht="42" customHeight="1" x14ac:dyDescent="0.25">
      <c r="A9" s="62" t="s">
        <v>14</v>
      </c>
      <c r="B9" s="226" t="s">
        <v>5</v>
      </c>
      <c r="C9" s="227"/>
      <c r="D9" s="226" t="s">
        <v>18</v>
      </c>
      <c r="E9" s="227"/>
      <c r="F9" s="100" t="s">
        <v>118</v>
      </c>
      <c r="G9" s="89" t="s">
        <v>16</v>
      </c>
      <c r="H9" s="99"/>
    </row>
    <row r="10" spans="1:10" ht="21.75" x14ac:dyDescent="0.25">
      <c r="A10" s="65" t="s">
        <v>107</v>
      </c>
      <c r="B10" s="61">
        <v>0.15</v>
      </c>
      <c r="C10" s="61" t="s">
        <v>108</v>
      </c>
      <c r="D10" s="66">
        <f>B10*DADOS_INICIAIS!E25</f>
        <v>69.059999999999988</v>
      </c>
      <c r="E10" s="66" t="s">
        <v>3</v>
      </c>
      <c r="F10" s="91"/>
      <c r="G10" s="92"/>
      <c r="H10" s="101"/>
    </row>
    <row r="11" spans="1:10" ht="21.75" x14ac:dyDescent="0.25">
      <c r="A11" s="228" t="s">
        <v>162</v>
      </c>
      <c r="B11" s="75">
        <v>0.1</v>
      </c>
      <c r="C11" s="61"/>
      <c r="D11" s="66">
        <f>B11*$D$10</f>
        <v>6.9059999999999988</v>
      </c>
      <c r="E11" s="66" t="s">
        <v>3</v>
      </c>
      <c r="F11" s="91"/>
      <c r="G11" s="92"/>
      <c r="H11" s="101"/>
    </row>
    <row r="12" spans="1:10" ht="21.75" x14ac:dyDescent="0.25">
      <c r="A12" s="229"/>
      <c r="B12" s="76">
        <v>20</v>
      </c>
      <c r="C12" s="61" t="s">
        <v>163</v>
      </c>
      <c r="D12" s="66">
        <f>B12*D11</f>
        <v>138.11999999999998</v>
      </c>
      <c r="E12" s="66" t="s">
        <v>4</v>
      </c>
      <c r="F12" s="87"/>
      <c r="G12" s="88">
        <f>F12*D12</f>
        <v>0</v>
      </c>
      <c r="H12" s="101"/>
    </row>
    <row r="13" spans="1:10" ht="21.75" x14ac:dyDescent="0.25">
      <c r="A13" s="228" t="s">
        <v>161</v>
      </c>
      <c r="B13" s="75">
        <v>0.5</v>
      </c>
      <c r="C13" s="61"/>
      <c r="D13" s="66">
        <f>B13*$D$10</f>
        <v>34.529999999999994</v>
      </c>
      <c r="E13" s="66" t="s">
        <v>3</v>
      </c>
      <c r="F13" s="91"/>
      <c r="G13" s="92"/>
      <c r="H13" s="101"/>
    </row>
    <row r="14" spans="1:10" ht="21.75" x14ac:dyDescent="0.25">
      <c r="A14" s="229"/>
      <c r="B14" s="76">
        <v>20</v>
      </c>
      <c r="C14" s="61" t="s">
        <v>163</v>
      </c>
      <c r="D14" s="66">
        <f>B14*D13</f>
        <v>690.59999999999991</v>
      </c>
      <c r="E14" s="66" t="s">
        <v>4</v>
      </c>
      <c r="F14" s="87"/>
      <c r="G14" s="88">
        <f>F14*D14</f>
        <v>0</v>
      </c>
      <c r="H14" s="101"/>
    </row>
    <row r="15" spans="1:10" ht="21.75" x14ac:dyDescent="0.25">
      <c r="A15" s="228" t="s">
        <v>114</v>
      </c>
      <c r="B15" s="75">
        <v>0.4</v>
      </c>
      <c r="C15" s="61" t="s">
        <v>108</v>
      </c>
      <c r="D15" s="66">
        <f>B15*$D$10</f>
        <v>27.623999999999995</v>
      </c>
      <c r="E15" s="66" t="s">
        <v>3</v>
      </c>
      <c r="F15" s="91"/>
      <c r="G15" s="92"/>
      <c r="H15" s="101"/>
    </row>
    <row r="16" spans="1:10" ht="21.75" x14ac:dyDescent="0.25">
      <c r="A16" s="229"/>
      <c r="B16" s="76">
        <v>20</v>
      </c>
      <c r="C16" s="61" t="s">
        <v>163</v>
      </c>
      <c r="D16" s="66">
        <f>B16*D15</f>
        <v>552.4799999999999</v>
      </c>
      <c r="E16" s="66" t="s">
        <v>4</v>
      </c>
      <c r="F16" s="87"/>
      <c r="G16" s="88">
        <f>F16*D16</f>
        <v>0</v>
      </c>
      <c r="H16" s="101"/>
    </row>
    <row r="17" spans="1:8" ht="21.75" x14ac:dyDescent="0.25">
      <c r="A17" s="65" t="s">
        <v>24</v>
      </c>
      <c r="B17" s="61">
        <f>(PI()*0.4^2)/4*D14+(PI()*0.5^2)/4*D16+(PI()*0.6^2)/4*D12</f>
        <v>234.31505974946398</v>
      </c>
      <c r="C17" s="61" t="s">
        <v>108</v>
      </c>
      <c r="D17" s="66">
        <f>(PI()*0.4^2)/4*D14+(PI()*0.5^2)/4*D16+(PI()*0.6^2)/4*D12</f>
        <v>234.31505974946398</v>
      </c>
      <c r="E17" s="66" t="s">
        <v>22</v>
      </c>
      <c r="F17" s="87"/>
      <c r="G17" s="88">
        <f>F17*D17</f>
        <v>0</v>
      </c>
      <c r="H17" s="101"/>
    </row>
    <row r="18" spans="1:8" ht="21.75" x14ac:dyDescent="0.25">
      <c r="A18" s="65" t="s">
        <v>115</v>
      </c>
      <c r="B18" s="61">
        <v>1.6575131198547477</v>
      </c>
      <c r="C18" s="61" t="s">
        <v>34</v>
      </c>
      <c r="D18" s="66">
        <f>B18*D17</f>
        <v>388.38028571428566</v>
      </c>
      <c r="E18" s="66" t="s">
        <v>26</v>
      </c>
      <c r="F18" s="87"/>
      <c r="G18" s="88">
        <f>F18*D18</f>
        <v>0</v>
      </c>
      <c r="H18" s="101"/>
    </row>
    <row r="19" spans="1:8" ht="21.75" x14ac:dyDescent="0.25">
      <c r="A19" s="65" t="s">
        <v>125</v>
      </c>
      <c r="B19" s="61">
        <v>10.178337551067401</v>
      </c>
      <c r="C19" s="61" t="s">
        <v>34</v>
      </c>
      <c r="D19" s="66">
        <f>B19*D17</f>
        <v>2384.9377714285711</v>
      </c>
      <c r="E19" s="66" t="s">
        <v>26</v>
      </c>
      <c r="F19" s="87"/>
      <c r="G19" s="88">
        <f>F19*D19</f>
        <v>0</v>
      </c>
      <c r="H19" s="101"/>
    </row>
    <row r="20" spans="1:8" ht="21.75" x14ac:dyDescent="0.25">
      <c r="A20" s="65" t="s">
        <v>109</v>
      </c>
      <c r="B20" s="61">
        <v>1</v>
      </c>
      <c r="C20" s="61" t="s">
        <v>27</v>
      </c>
      <c r="D20" s="66">
        <v>1</v>
      </c>
      <c r="E20" s="66" t="s">
        <v>27</v>
      </c>
      <c r="F20" s="87"/>
      <c r="G20" s="88">
        <f>F20*D20</f>
        <v>0</v>
      </c>
      <c r="H20" s="101"/>
    </row>
    <row r="21" spans="1:8" ht="21.75" x14ac:dyDescent="0.25">
      <c r="A21" s="221" t="s">
        <v>17</v>
      </c>
      <c r="B21" s="221"/>
      <c r="C21" s="221"/>
      <c r="D21" s="221"/>
      <c r="E21" s="221"/>
      <c r="F21" s="221"/>
      <c r="G21" s="89">
        <f>SUM(G10:G20)</f>
        <v>0</v>
      </c>
      <c r="H21" s="102"/>
    </row>
    <row r="23" spans="1:8" ht="21.75" x14ac:dyDescent="0.25">
      <c r="A23" s="51" t="s">
        <v>300</v>
      </c>
      <c r="B23" s="51"/>
      <c r="C23" s="51"/>
      <c r="D23" s="52"/>
      <c r="E23" s="52"/>
      <c r="F23" s="97"/>
      <c r="G23" s="97"/>
      <c r="H23" s="97"/>
    </row>
    <row r="24" spans="1:8" ht="21.75" x14ac:dyDescent="0.25">
      <c r="A24" s="55"/>
      <c r="B24" s="55"/>
      <c r="C24" s="55"/>
      <c r="D24" s="56"/>
      <c r="E24" s="56"/>
      <c r="F24" s="98"/>
      <c r="G24" s="99"/>
      <c r="H24" s="99"/>
    </row>
    <row r="25" spans="1:8" ht="21.75" x14ac:dyDescent="0.25">
      <c r="A25" s="62" t="s">
        <v>14</v>
      </c>
      <c r="B25" s="226" t="s">
        <v>5</v>
      </c>
      <c r="C25" s="227"/>
      <c r="D25" s="226" t="s">
        <v>18</v>
      </c>
      <c r="E25" s="227"/>
      <c r="F25" s="100" t="s">
        <v>118</v>
      </c>
      <c r="G25" s="89" t="s">
        <v>16</v>
      </c>
      <c r="H25" s="99"/>
    </row>
    <row r="26" spans="1:8" ht="43.5" x14ac:dyDescent="0.25">
      <c r="A26" s="65" t="s">
        <v>111</v>
      </c>
      <c r="B26" s="61">
        <v>2.1</v>
      </c>
      <c r="C26" s="61" t="s">
        <v>113</v>
      </c>
      <c r="D26" s="66">
        <f>B26*DADOS_INICIAIS!E25</f>
        <v>966.84</v>
      </c>
      <c r="E26" s="66" t="s">
        <v>2</v>
      </c>
      <c r="F26" s="87"/>
      <c r="G26" s="88">
        <f>F26*D26</f>
        <v>0</v>
      </c>
      <c r="H26" s="101"/>
    </row>
    <row r="27" spans="1:8" ht="21.75" x14ac:dyDescent="0.25">
      <c r="A27" s="65" t="s">
        <v>24</v>
      </c>
      <c r="B27" s="61">
        <v>0.65</v>
      </c>
      <c r="C27" s="61" t="s">
        <v>112</v>
      </c>
      <c r="D27" s="66">
        <f>B27*DADOS_INICIAIS!E25</f>
        <v>299.26</v>
      </c>
      <c r="E27" s="66" t="s">
        <v>22</v>
      </c>
      <c r="F27" s="87"/>
      <c r="G27" s="88">
        <f>F27*D27</f>
        <v>0</v>
      </c>
      <c r="H27" s="101"/>
    </row>
    <row r="28" spans="1:8" ht="21.75" x14ac:dyDescent="0.25">
      <c r="A28" s="65" t="s">
        <v>23</v>
      </c>
      <c r="B28" s="61">
        <v>110</v>
      </c>
      <c r="C28" s="61" t="s">
        <v>34</v>
      </c>
      <c r="D28" s="66">
        <f>B28*D27</f>
        <v>32918.6</v>
      </c>
      <c r="E28" s="66" t="s">
        <v>26</v>
      </c>
      <c r="F28" s="87"/>
      <c r="G28" s="88">
        <f>F28*D28</f>
        <v>0</v>
      </c>
      <c r="H28" s="101"/>
    </row>
    <row r="29" spans="1:8" ht="21.75" x14ac:dyDescent="0.25">
      <c r="A29" s="65" t="s">
        <v>25</v>
      </c>
      <c r="B29" s="61">
        <f>SUPRAESTRUTURA!B15*1.5</f>
        <v>360</v>
      </c>
      <c r="C29" s="61" t="s">
        <v>102</v>
      </c>
      <c r="D29" s="66">
        <f>DADOS_INICIAIS!E25</f>
        <v>460.4</v>
      </c>
      <c r="E29" s="66" t="s">
        <v>2</v>
      </c>
      <c r="F29" s="87">
        <f>B29</f>
        <v>360</v>
      </c>
      <c r="G29" s="88">
        <f>F29*D29</f>
        <v>165744</v>
      </c>
      <c r="H29" s="101"/>
    </row>
    <row r="30" spans="1:8" ht="21.75" x14ac:dyDescent="0.25">
      <c r="A30" s="221" t="s">
        <v>17</v>
      </c>
      <c r="B30" s="221"/>
      <c r="C30" s="221"/>
      <c r="D30" s="221"/>
      <c r="E30" s="221"/>
      <c r="F30" s="221"/>
      <c r="G30" s="89">
        <f>SUM(G26:G29)</f>
        <v>165744</v>
      </c>
      <c r="H30" s="102"/>
    </row>
    <row r="33" spans="1:8" ht="21.75" x14ac:dyDescent="0.25">
      <c r="A33" s="51" t="s">
        <v>168</v>
      </c>
      <c r="B33" s="51"/>
      <c r="C33" s="51"/>
      <c r="D33" s="52"/>
      <c r="E33" s="52"/>
      <c r="F33" s="97"/>
      <c r="G33" s="97"/>
      <c r="H33" s="97"/>
    </row>
    <row r="34" spans="1:8" ht="21.75" x14ac:dyDescent="0.25">
      <c r="A34" s="55"/>
      <c r="B34" s="55"/>
      <c r="C34" s="55"/>
      <c r="D34" s="56"/>
      <c r="E34" s="56"/>
      <c r="F34" s="98"/>
      <c r="G34" s="99"/>
      <c r="H34" s="99"/>
    </row>
    <row r="35" spans="1:8" ht="21.75" x14ac:dyDescent="0.25">
      <c r="A35" s="62" t="s">
        <v>14</v>
      </c>
      <c r="B35" s="226" t="s">
        <v>5</v>
      </c>
      <c r="C35" s="227"/>
      <c r="D35" s="226" t="s">
        <v>18</v>
      </c>
      <c r="E35" s="227"/>
      <c r="F35" s="100" t="s">
        <v>118</v>
      </c>
      <c r="G35" s="89" t="s">
        <v>16</v>
      </c>
      <c r="H35" s="99"/>
    </row>
    <row r="36" spans="1:8" ht="43.5" x14ac:dyDescent="0.25">
      <c r="A36" s="65" t="s">
        <v>111</v>
      </c>
      <c r="B36" s="61">
        <v>2.1</v>
      </c>
      <c r="C36" s="61" t="s">
        <v>113</v>
      </c>
      <c r="D36" s="66">
        <f>B36*DADOS_INICIAIS!E35</f>
        <v>0</v>
      </c>
      <c r="E36" s="66" t="s">
        <v>2</v>
      </c>
      <c r="F36" s="87"/>
      <c r="G36" s="88">
        <f>F36*D36</f>
        <v>0</v>
      </c>
      <c r="H36" s="101"/>
    </row>
    <row r="37" spans="1:8" ht="21.75" x14ac:dyDescent="0.25">
      <c r="A37" s="65" t="s">
        <v>24</v>
      </c>
      <c r="B37" s="61">
        <v>0.65</v>
      </c>
      <c r="C37" s="61" t="s">
        <v>112</v>
      </c>
      <c r="D37" s="66">
        <f>B37*DADOS_INICIAIS!E35</f>
        <v>0</v>
      </c>
      <c r="E37" s="66" t="s">
        <v>22</v>
      </c>
      <c r="F37" s="87"/>
      <c r="G37" s="88">
        <f>F37*D37</f>
        <v>0</v>
      </c>
      <c r="H37" s="101"/>
    </row>
    <row r="38" spans="1:8" ht="21.75" x14ac:dyDescent="0.25">
      <c r="A38" s="65" t="s">
        <v>23</v>
      </c>
      <c r="B38" s="61">
        <v>110</v>
      </c>
      <c r="C38" s="61" t="s">
        <v>34</v>
      </c>
      <c r="D38" s="66">
        <f>B38*D37</f>
        <v>0</v>
      </c>
      <c r="E38" s="66" t="s">
        <v>26</v>
      </c>
      <c r="F38" s="87"/>
      <c r="G38" s="88">
        <f>F38*D38</f>
        <v>0</v>
      </c>
      <c r="H38" s="101"/>
    </row>
    <row r="39" spans="1:8" ht="21.75" x14ac:dyDescent="0.25">
      <c r="A39" s="65" t="s">
        <v>25</v>
      </c>
      <c r="B39" s="61">
        <f>SUPRAESTRUTURA!B69*1.5</f>
        <v>0</v>
      </c>
      <c r="C39" s="61" t="s">
        <v>102</v>
      </c>
      <c r="D39" s="66">
        <f>DADOS_INICIAIS!E35</f>
        <v>0</v>
      </c>
      <c r="E39" s="66" t="s">
        <v>2</v>
      </c>
      <c r="F39" s="87">
        <f>B39</f>
        <v>0</v>
      </c>
      <c r="G39" s="88">
        <f>F39*D39</f>
        <v>0</v>
      </c>
      <c r="H39" s="101"/>
    </row>
    <row r="40" spans="1:8" ht="21.75" x14ac:dyDescent="0.25">
      <c r="A40" s="221" t="s">
        <v>17</v>
      </c>
      <c r="B40" s="221"/>
      <c r="C40" s="221"/>
      <c r="D40" s="221"/>
      <c r="E40" s="221"/>
      <c r="F40" s="221"/>
      <c r="G40" s="89">
        <f>SUM(G36:G39)</f>
        <v>0</v>
      </c>
      <c r="H40" s="102"/>
    </row>
    <row r="45" spans="1:8" x14ac:dyDescent="0.25">
      <c r="D45" s="85"/>
      <c r="E45" s="86"/>
    </row>
    <row r="46" spans="1:8" ht="21.75" x14ac:dyDescent="0.25">
      <c r="A46" s="231" t="s">
        <v>104</v>
      </c>
      <c r="B46" s="232"/>
      <c r="C46" s="232"/>
      <c r="D46" s="232"/>
      <c r="E46" s="232"/>
      <c r="F46" s="233"/>
      <c r="G46" s="90">
        <f>G21+G30</f>
        <v>165744</v>
      </c>
      <c r="H46" s="90">
        <f>G46/DADOS_INICIAIS!E9</f>
        <v>15.609204819957903</v>
      </c>
    </row>
  </sheetData>
  <mergeCells count="14">
    <mergeCell ref="A21:F21"/>
    <mergeCell ref="B25:C25"/>
    <mergeCell ref="D25:E25"/>
    <mergeCell ref="A30:F30"/>
    <mergeCell ref="A46:F46"/>
    <mergeCell ref="B35:C35"/>
    <mergeCell ref="D35:E35"/>
    <mergeCell ref="A40:F40"/>
    <mergeCell ref="A15:A16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showGridLines="0" topLeftCell="A15" zoomScale="80" zoomScaleNormal="80" zoomScaleSheetLayoutView="95" workbookViewId="0">
      <selection activeCell="G28" sqref="G28:G32"/>
    </sheetView>
  </sheetViews>
  <sheetFormatPr defaultColWidth="9.140625" defaultRowHeight="15" x14ac:dyDescent="0.25"/>
  <cols>
    <col min="1" max="1" width="50.140625" style="54" customWidth="1"/>
    <col min="2" max="3" width="21.7109375" style="54" customWidth="1"/>
    <col min="4" max="4" width="16.5703125" style="80" customWidth="1"/>
    <col min="5" max="5" width="19.5703125" style="81" customWidth="1"/>
    <col min="6" max="6" width="20.85546875" style="93" customWidth="1"/>
    <col min="7" max="7" width="20.7109375" style="93" customWidth="1"/>
    <col min="8" max="8" width="69.42578125" style="93" customWidth="1"/>
    <col min="9" max="9" width="11.28515625" style="54" customWidth="1"/>
    <col min="10" max="10" width="9.140625" style="54"/>
    <col min="11" max="11" width="11" style="54" bestFit="1" customWidth="1"/>
    <col min="12" max="13" width="9.140625" style="54"/>
    <col min="14" max="15" width="11" style="54" bestFit="1" customWidth="1"/>
    <col min="16" max="16384" width="9.140625" style="54"/>
  </cols>
  <sheetData>
    <row r="1" spans="1:10" x14ac:dyDescent="0.25">
      <c r="D1" s="78"/>
      <c r="E1" s="54"/>
      <c r="H1" s="94"/>
      <c r="I1" s="79"/>
      <c r="J1" s="78"/>
    </row>
    <row r="3" spans="1:10" ht="28.5" x14ac:dyDescent="0.25">
      <c r="A3" s="222" t="s">
        <v>122</v>
      </c>
      <c r="B3" s="230"/>
      <c r="C3" s="230"/>
      <c r="D3" s="223"/>
      <c r="E3" s="223"/>
      <c r="F3" s="223"/>
      <c r="G3" s="223"/>
      <c r="H3" s="224"/>
      <c r="J3" s="78"/>
    </row>
    <row r="4" spans="1:10" ht="19.5" x14ac:dyDescent="0.25">
      <c r="A4" s="188" t="s">
        <v>186</v>
      </c>
      <c r="B4" s="194">
        <v>45480</v>
      </c>
      <c r="C4" s="192"/>
      <c r="D4" s="192"/>
      <c r="E4" s="192"/>
      <c r="F4" s="192"/>
      <c r="G4" s="192"/>
      <c r="H4" s="193"/>
      <c r="J4" s="78"/>
    </row>
    <row r="5" spans="1:10" ht="19.5" x14ac:dyDescent="0.25">
      <c r="A5" s="188" t="s">
        <v>299</v>
      </c>
      <c r="B5" s="195" t="s">
        <v>216</v>
      </c>
      <c r="C5" s="190"/>
      <c r="D5" s="190"/>
      <c r="E5" s="190"/>
      <c r="F5" s="190"/>
      <c r="G5" s="190"/>
      <c r="H5" s="191"/>
      <c r="J5" s="78"/>
    </row>
    <row r="6" spans="1:10" ht="21.75" x14ac:dyDescent="0.25">
      <c r="A6" s="82"/>
      <c r="B6" s="82"/>
      <c r="C6" s="82"/>
      <c r="D6" s="82"/>
      <c r="E6" s="82"/>
      <c r="F6" s="95"/>
      <c r="G6" s="96"/>
      <c r="H6" s="96"/>
      <c r="J6" s="78"/>
    </row>
    <row r="7" spans="1:10" ht="21.75" x14ac:dyDescent="0.25">
      <c r="A7" s="51" t="s">
        <v>106</v>
      </c>
      <c r="B7" s="51"/>
      <c r="C7" s="51"/>
      <c r="D7" s="52"/>
      <c r="E7" s="52"/>
      <c r="F7" s="97"/>
      <c r="G7" s="97"/>
      <c r="H7" s="97"/>
    </row>
    <row r="8" spans="1:10" ht="21.75" x14ac:dyDescent="0.25">
      <c r="A8" s="55"/>
      <c r="B8" s="55"/>
      <c r="C8" s="55"/>
      <c r="D8" s="56"/>
      <c r="E8" s="56"/>
      <c r="F8" s="98"/>
      <c r="G8" s="99"/>
      <c r="H8" s="99"/>
    </row>
    <row r="9" spans="1:10" ht="21.75" x14ac:dyDescent="0.25">
      <c r="A9" s="62" t="s">
        <v>14</v>
      </c>
      <c r="B9" s="226" t="s">
        <v>5</v>
      </c>
      <c r="C9" s="227"/>
      <c r="D9" s="226" t="s">
        <v>18</v>
      </c>
      <c r="E9" s="227"/>
      <c r="F9" s="100" t="s">
        <v>118</v>
      </c>
      <c r="G9" s="89" t="s">
        <v>16</v>
      </c>
      <c r="H9" s="89" t="s">
        <v>302</v>
      </c>
    </row>
    <row r="10" spans="1:10" ht="21.75" x14ac:dyDescent="0.25">
      <c r="A10" s="65" t="s">
        <v>107</v>
      </c>
      <c r="B10" s="61">
        <v>0.2</v>
      </c>
      <c r="C10" s="61" t="s">
        <v>108</v>
      </c>
      <c r="D10" s="66">
        <f>ROUNDUP(B10*DADOS_INICIAIS!$E$25,0)</f>
        <v>93</v>
      </c>
      <c r="E10" s="66" t="s">
        <v>3</v>
      </c>
      <c r="F10" s="91"/>
      <c r="G10" s="92"/>
      <c r="H10" s="66" t="s">
        <v>349</v>
      </c>
    </row>
    <row r="11" spans="1:10" ht="21.75" x14ac:dyDescent="0.25">
      <c r="A11" s="228" t="s">
        <v>162</v>
      </c>
      <c r="B11" s="75">
        <v>0</v>
      </c>
      <c r="C11" s="61"/>
      <c r="D11" s="66">
        <f>ROUNDUP(B11*$D$10,0)</f>
        <v>0</v>
      </c>
      <c r="E11" s="66" t="s">
        <v>3</v>
      </c>
      <c r="F11" s="91"/>
      <c r="G11" s="92"/>
      <c r="H11" s="66"/>
    </row>
    <row r="12" spans="1:10" ht="21.75" x14ac:dyDescent="0.25">
      <c r="A12" s="229"/>
      <c r="B12" s="76">
        <v>28</v>
      </c>
      <c r="C12" s="61" t="s">
        <v>163</v>
      </c>
      <c r="D12" s="66">
        <f>B12*D11</f>
        <v>0</v>
      </c>
      <c r="E12" s="66" t="s">
        <v>4</v>
      </c>
      <c r="F12" s="87">
        <v>70</v>
      </c>
      <c r="G12" s="88">
        <f>F12*D12*1.1</f>
        <v>0</v>
      </c>
      <c r="H12" s="66"/>
    </row>
    <row r="13" spans="1:10" ht="21.75" x14ac:dyDescent="0.25">
      <c r="A13" s="228" t="s">
        <v>161</v>
      </c>
      <c r="B13" s="75">
        <v>0.6</v>
      </c>
      <c r="C13" s="61"/>
      <c r="D13" s="66">
        <f>ROUNDUP(B13*D10,0)</f>
        <v>56</v>
      </c>
      <c r="E13" s="66" t="s">
        <v>3</v>
      </c>
      <c r="F13" s="91"/>
      <c r="G13" s="92"/>
      <c r="H13" s="66"/>
    </row>
    <row r="14" spans="1:10" ht="21.75" x14ac:dyDescent="0.25">
      <c r="A14" s="229"/>
      <c r="B14" s="76">
        <v>28</v>
      </c>
      <c r="C14" s="61" t="s">
        <v>163</v>
      </c>
      <c r="D14" s="66">
        <f>B14*D13</f>
        <v>1568</v>
      </c>
      <c r="E14" s="66" t="s">
        <v>4</v>
      </c>
      <c r="F14" s="87">
        <v>90</v>
      </c>
      <c r="G14" s="88">
        <f>F14*D14*1.1</f>
        <v>155232</v>
      </c>
      <c r="H14" s="66"/>
    </row>
    <row r="15" spans="1:10" ht="21.75" x14ac:dyDescent="0.25">
      <c r="A15" s="228" t="s">
        <v>114</v>
      </c>
      <c r="B15" s="75">
        <v>0.4</v>
      </c>
      <c r="C15" s="61" t="s">
        <v>108</v>
      </c>
      <c r="D15" s="66">
        <f>ROUNDUP(B15*$D$10,0)</f>
        <v>38</v>
      </c>
      <c r="E15" s="66" t="s">
        <v>3</v>
      </c>
      <c r="F15" s="91"/>
      <c r="G15" s="92"/>
      <c r="H15" s="66"/>
    </row>
    <row r="16" spans="1:10" ht="21.75" x14ac:dyDescent="0.25">
      <c r="A16" s="229"/>
      <c r="B16" s="76">
        <v>28</v>
      </c>
      <c r="C16" s="61" t="s">
        <v>163</v>
      </c>
      <c r="D16" s="66">
        <f>B16*D15</f>
        <v>1064</v>
      </c>
      <c r="E16" s="66" t="s">
        <v>4</v>
      </c>
      <c r="F16" s="87">
        <v>105</v>
      </c>
      <c r="G16" s="88">
        <f>F16*D16*1.1</f>
        <v>122892.00000000001</v>
      </c>
      <c r="H16" s="66"/>
    </row>
    <row r="17" spans="1:8" ht="21.75" x14ac:dyDescent="0.25">
      <c r="A17" s="228" t="s">
        <v>338</v>
      </c>
      <c r="B17" s="75">
        <v>0</v>
      </c>
      <c r="C17" s="61" t="s">
        <v>108</v>
      </c>
      <c r="D17" s="66">
        <f>ROUNDUP(B17*$D$10,0)</f>
        <v>0</v>
      </c>
      <c r="E17" s="66" t="s">
        <v>3</v>
      </c>
      <c r="F17" s="91"/>
      <c r="G17" s="92"/>
      <c r="H17" s="66"/>
    </row>
    <row r="18" spans="1:8" ht="21.75" x14ac:dyDescent="0.25">
      <c r="A18" s="229"/>
      <c r="B18" s="76">
        <v>30</v>
      </c>
      <c r="C18" s="61" t="s">
        <v>163</v>
      </c>
      <c r="D18" s="66">
        <f>B18*D17</f>
        <v>0</v>
      </c>
      <c r="E18" s="66" t="s">
        <v>4</v>
      </c>
      <c r="F18" s="87">
        <v>120</v>
      </c>
      <c r="G18" s="88">
        <f>F18*D18*1.1</f>
        <v>0</v>
      </c>
      <c r="H18" s="66"/>
    </row>
    <row r="19" spans="1:8" ht="21.75" x14ac:dyDescent="0.25">
      <c r="A19" s="65" t="s">
        <v>304</v>
      </c>
      <c r="B19" s="61">
        <v>1.3</v>
      </c>
      <c r="C19" s="61" t="s">
        <v>318</v>
      </c>
      <c r="D19" s="66">
        <f>(PI()*((0.4^2)/4)*D12+PI()*((0.5^2)/4)*D14+PI()*((0.6^2)/4)*D16)</f>
        <v>608.71499255955837</v>
      </c>
      <c r="E19" s="66" t="s">
        <v>22</v>
      </c>
      <c r="F19" s="87">
        <f>535+45</f>
        <v>580</v>
      </c>
      <c r="G19" s="88">
        <f>F19*D19*B19*1.1</f>
        <v>504868.21482889779</v>
      </c>
      <c r="H19" s="66"/>
    </row>
    <row r="20" spans="1:8" ht="21.75" x14ac:dyDescent="0.25">
      <c r="A20" s="65" t="s">
        <v>339</v>
      </c>
      <c r="B20" s="61">
        <v>12</v>
      </c>
      <c r="C20" s="61" t="s">
        <v>34</v>
      </c>
      <c r="D20" s="66">
        <f>B20*D19</f>
        <v>7304.5799107147004</v>
      </c>
      <c r="E20" s="66" t="s">
        <v>26</v>
      </c>
      <c r="F20" s="87">
        <v>7.62</v>
      </c>
      <c r="G20" s="88">
        <f>F20*D20*1.1</f>
        <v>61226.988811610623</v>
      </c>
      <c r="H20" s="66"/>
    </row>
    <row r="21" spans="1:8" ht="21.75" x14ac:dyDescent="0.25">
      <c r="A21" s="65" t="s">
        <v>109</v>
      </c>
      <c r="B21" s="61">
        <v>1</v>
      </c>
      <c r="C21" s="61" t="s">
        <v>27</v>
      </c>
      <c r="D21" s="66">
        <v>1</v>
      </c>
      <c r="E21" s="66" t="s">
        <v>27</v>
      </c>
      <c r="F21" s="87">
        <v>12500</v>
      </c>
      <c r="G21" s="88">
        <f>F21*D21*1.1</f>
        <v>13750.000000000002</v>
      </c>
      <c r="H21" s="66"/>
    </row>
    <row r="22" spans="1:8" ht="21.75" x14ac:dyDescent="0.25">
      <c r="A22" s="65" t="s">
        <v>305</v>
      </c>
      <c r="B22" s="61"/>
      <c r="C22" s="61"/>
      <c r="D22" s="66">
        <f>D10</f>
        <v>93</v>
      </c>
      <c r="E22" s="66" t="s">
        <v>3</v>
      </c>
      <c r="F22" s="87">
        <v>300</v>
      </c>
      <c r="G22" s="88">
        <f>F22*D22*1</f>
        <v>27900</v>
      </c>
      <c r="H22" s="66"/>
    </row>
    <row r="23" spans="1:8" ht="21.75" x14ac:dyDescent="0.25">
      <c r="A23" s="221" t="s">
        <v>17</v>
      </c>
      <c r="B23" s="221"/>
      <c r="C23" s="221"/>
      <c r="D23" s="221"/>
      <c r="E23" s="221"/>
      <c r="F23" s="221"/>
      <c r="G23" s="89">
        <f>SUM(G10:G22)</f>
        <v>885869.20364050835</v>
      </c>
      <c r="H23" s="89"/>
    </row>
    <row r="25" spans="1:8" ht="21.75" x14ac:dyDescent="0.25">
      <c r="A25" s="51" t="s">
        <v>110</v>
      </c>
      <c r="B25" s="51"/>
      <c r="C25" s="51"/>
      <c r="D25" s="52"/>
      <c r="E25" s="52"/>
      <c r="F25" s="97"/>
      <c r="G25" s="97"/>
      <c r="H25" s="97"/>
    </row>
    <row r="26" spans="1:8" ht="21.75" x14ac:dyDescent="0.25">
      <c r="A26" s="55"/>
      <c r="B26" s="55"/>
      <c r="C26" s="55"/>
      <c r="D26" s="56"/>
      <c r="E26" s="56"/>
      <c r="F26" s="98"/>
      <c r="G26" s="99"/>
      <c r="H26" s="99"/>
    </row>
    <row r="27" spans="1:8" ht="21.75" x14ac:dyDescent="0.25">
      <c r="A27" s="62" t="s">
        <v>14</v>
      </c>
      <c r="B27" s="226" t="s">
        <v>5</v>
      </c>
      <c r="C27" s="227"/>
      <c r="D27" s="226" t="s">
        <v>18</v>
      </c>
      <c r="E27" s="227"/>
      <c r="F27" s="100" t="s">
        <v>118</v>
      </c>
      <c r="G27" s="89" t="s">
        <v>16</v>
      </c>
      <c r="H27" s="89" t="s">
        <v>302</v>
      </c>
    </row>
    <row r="28" spans="1:8" ht="43.5" x14ac:dyDescent="0.25">
      <c r="A28" s="65" t="s">
        <v>111</v>
      </c>
      <c r="B28" s="61">
        <v>2.1</v>
      </c>
      <c r="C28" s="61" t="s">
        <v>113</v>
      </c>
      <c r="D28" s="66">
        <f>B28*DADOS_INICIAIS!E25</f>
        <v>966.84</v>
      </c>
      <c r="E28" s="66" t="s">
        <v>2</v>
      </c>
      <c r="F28" s="87">
        <v>68</v>
      </c>
      <c r="G28" s="88">
        <f>F28*D28*1.1</f>
        <v>72319.631999999998</v>
      </c>
      <c r="H28" s="66"/>
    </row>
    <row r="29" spans="1:8" ht="21.75" x14ac:dyDescent="0.25">
      <c r="A29" s="65" t="s">
        <v>304</v>
      </c>
      <c r="B29" s="61">
        <v>0.8</v>
      </c>
      <c r="C29" s="61" t="s">
        <v>112</v>
      </c>
      <c r="D29" s="66">
        <f>B29*DADOS_INICIAIS!E25</f>
        <v>368.32</v>
      </c>
      <c r="E29" s="66" t="s">
        <v>22</v>
      </c>
      <c r="F29" s="87">
        <f>535+45</f>
        <v>580</v>
      </c>
      <c r="G29" s="88">
        <f>F29*D29*1.05*1.1</f>
        <v>246737.56800000003</v>
      </c>
      <c r="H29" s="66"/>
    </row>
    <row r="30" spans="1:8" ht="21.75" x14ac:dyDescent="0.25">
      <c r="A30" s="65" t="s">
        <v>23</v>
      </c>
      <c r="B30" s="61">
        <v>110</v>
      </c>
      <c r="C30" s="61" t="s">
        <v>34</v>
      </c>
      <c r="D30" s="66">
        <f>B30*D29</f>
        <v>40515.199999999997</v>
      </c>
      <c r="E30" s="66" t="s">
        <v>26</v>
      </c>
      <c r="F30" s="87">
        <v>7.62</v>
      </c>
      <c r="G30" s="88">
        <f>F30*D30*1.1</f>
        <v>339598.40639999998</v>
      </c>
      <c r="H30" s="66"/>
    </row>
    <row r="31" spans="1:8" ht="21.75" x14ac:dyDescent="0.25">
      <c r="A31" s="65" t="s">
        <v>348</v>
      </c>
      <c r="B31" s="61">
        <v>1</v>
      </c>
      <c r="C31" s="61" t="s">
        <v>113</v>
      </c>
      <c r="D31" s="66">
        <f>B31*DADOS_INICIAIS!E25</f>
        <v>460.4</v>
      </c>
      <c r="E31" s="66" t="s">
        <v>2</v>
      </c>
      <c r="F31" s="87">
        <v>180</v>
      </c>
      <c r="G31" s="88">
        <f>F31*D31*1.1</f>
        <v>91159.200000000012</v>
      </c>
      <c r="H31" s="66"/>
    </row>
    <row r="32" spans="1:8" ht="21.75" x14ac:dyDescent="0.25">
      <c r="A32" s="65" t="s">
        <v>25</v>
      </c>
      <c r="B32" s="61">
        <f>SUPRAESTRUTURA!B15*1.5</f>
        <v>360</v>
      </c>
      <c r="C32" s="61" t="s">
        <v>102</v>
      </c>
      <c r="D32" s="66">
        <f>DADOS_INICIAIS!E25</f>
        <v>460.4</v>
      </c>
      <c r="E32" s="66" t="s">
        <v>2</v>
      </c>
      <c r="F32" s="87">
        <f>B32</f>
        <v>360</v>
      </c>
      <c r="G32" s="88">
        <f>F32*D32*1.1</f>
        <v>182318.40000000002</v>
      </c>
      <c r="H32" s="66"/>
    </row>
    <row r="33" spans="1:8" ht="21.75" x14ac:dyDescent="0.25">
      <c r="A33" s="221" t="s">
        <v>17</v>
      </c>
      <c r="B33" s="221"/>
      <c r="C33" s="221"/>
      <c r="D33" s="221"/>
      <c r="E33" s="221"/>
      <c r="F33" s="221"/>
      <c r="G33" s="89">
        <f>SUM(G28:G32)</f>
        <v>932133.20639999991</v>
      </c>
      <c r="H33" s="89"/>
    </row>
    <row r="35" spans="1:8" x14ac:dyDescent="0.25">
      <c r="D35" s="85"/>
      <c r="E35" s="86"/>
    </row>
    <row r="36" spans="1:8" ht="21.75" x14ac:dyDescent="0.25">
      <c r="A36" s="231" t="s">
        <v>104</v>
      </c>
      <c r="B36" s="232"/>
      <c r="C36" s="232"/>
      <c r="D36" s="232"/>
      <c r="E36" s="232"/>
      <c r="F36" s="233"/>
      <c r="G36" s="90">
        <f>G23+G33</f>
        <v>1818002.4100405083</v>
      </c>
      <c r="H36" s="90">
        <f>G36/DADOS_INICIAIS!E9</f>
        <v>171.21326854365398</v>
      </c>
    </row>
    <row r="38" spans="1:8" x14ac:dyDescent="0.25">
      <c r="H38" s="93">
        <f>H36/1.1</f>
        <v>155.64842594877632</v>
      </c>
    </row>
  </sheetData>
  <mergeCells count="12">
    <mergeCell ref="A33:F33"/>
    <mergeCell ref="A36:F36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dimension ref="A1:L64"/>
  <sheetViews>
    <sheetView showGridLines="0" topLeftCell="A14" zoomScale="80" zoomScaleNormal="80" zoomScaleSheetLayoutView="95" workbookViewId="0">
      <selection activeCell="G25" sqref="G25"/>
    </sheetView>
  </sheetViews>
  <sheetFormatPr defaultColWidth="9.140625" defaultRowHeight="15" x14ac:dyDescent="0.25"/>
  <cols>
    <col min="1" max="1" width="50.140625" style="54" customWidth="1"/>
    <col min="2" max="3" width="21.7109375" style="54" customWidth="1"/>
    <col min="4" max="4" width="16.5703125" style="80" customWidth="1"/>
    <col min="5" max="5" width="19.5703125" style="81" customWidth="1"/>
    <col min="6" max="6" width="20.85546875" style="54" customWidth="1"/>
    <col min="7" max="7" width="26.85546875" style="54" customWidth="1"/>
    <col min="8" max="8" width="58.28515625" style="54" customWidth="1"/>
    <col min="9" max="9" width="14.5703125" style="54" customWidth="1"/>
    <col min="10" max="10" width="9.140625" style="54"/>
    <col min="11" max="11" width="11" style="54" bestFit="1" customWidth="1"/>
    <col min="12" max="12" width="11.28515625" style="54" bestFit="1" customWidth="1"/>
    <col min="13" max="13" width="9.140625" style="54"/>
    <col min="14" max="15" width="11" style="54" bestFit="1" customWidth="1"/>
    <col min="16" max="16384" width="9.140625" style="54"/>
  </cols>
  <sheetData>
    <row r="1" spans="1:10" x14ac:dyDescent="0.25">
      <c r="D1" s="78"/>
      <c r="E1" s="54"/>
      <c r="H1" s="79"/>
      <c r="I1" s="79"/>
      <c r="J1" s="78"/>
    </row>
    <row r="3" spans="1:10" ht="28.5" x14ac:dyDescent="0.25">
      <c r="A3" s="222" t="s">
        <v>28</v>
      </c>
      <c r="B3" s="230"/>
      <c r="C3" s="230"/>
      <c r="D3" s="223"/>
      <c r="E3" s="223"/>
      <c r="F3" s="223"/>
      <c r="G3" s="223"/>
      <c r="H3" s="224"/>
      <c r="J3" s="78"/>
    </row>
    <row r="4" spans="1:10" ht="19.5" x14ac:dyDescent="0.25">
      <c r="A4" s="188" t="s">
        <v>186</v>
      </c>
      <c r="B4" s="194">
        <v>45480</v>
      </c>
      <c r="C4" s="192"/>
      <c r="D4" s="192"/>
      <c r="E4" s="192"/>
      <c r="F4" s="192"/>
      <c r="G4" s="192"/>
      <c r="H4" s="193"/>
      <c r="J4" s="78"/>
    </row>
    <row r="5" spans="1:10" ht="19.5" x14ac:dyDescent="0.25">
      <c r="A5" s="188" t="s">
        <v>299</v>
      </c>
      <c r="B5" s="195" t="s">
        <v>216</v>
      </c>
      <c r="C5" s="190"/>
      <c r="D5" s="190"/>
      <c r="E5" s="190"/>
      <c r="F5" s="190"/>
      <c r="G5" s="190"/>
      <c r="H5" s="191"/>
      <c r="J5" s="78"/>
    </row>
    <row r="6" spans="1:10" ht="21.75" x14ac:dyDescent="0.25">
      <c r="A6" s="82"/>
      <c r="B6" s="82"/>
      <c r="C6" s="82"/>
      <c r="D6" s="82"/>
      <c r="E6" s="82"/>
      <c r="F6" s="83"/>
      <c r="G6" s="84"/>
      <c r="H6" s="84"/>
      <c r="J6" s="78"/>
    </row>
    <row r="7" spans="1:10" ht="21.75" x14ac:dyDescent="0.25">
      <c r="A7" s="51" t="s">
        <v>310</v>
      </c>
      <c r="B7" s="51"/>
      <c r="C7" s="51"/>
      <c r="D7" s="52"/>
      <c r="E7" s="52"/>
      <c r="F7" s="53"/>
      <c r="G7" s="52"/>
      <c r="H7" s="52"/>
    </row>
    <row r="8" spans="1:10" ht="21.75" x14ac:dyDescent="0.25">
      <c r="A8" s="55"/>
      <c r="B8" s="55"/>
      <c r="C8" s="55"/>
      <c r="D8" s="56"/>
      <c r="E8" s="56"/>
      <c r="F8" s="57"/>
      <c r="G8" s="58"/>
      <c r="H8" s="58"/>
    </row>
    <row r="9" spans="1:10" ht="42" customHeight="1" x14ac:dyDescent="0.25">
      <c r="A9" s="62" t="s">
        <v>14</v>
      </c>
      <c r="B9" s="226" t="s">
        <v>5</v>
      </c>
      <c r="C9" s="227"/>
      <c r="D9" s="226" t="s">
        <v>18</v>
      </c>
      <c r="E9" s="227"/>
      <c r="F9" s="64" t="s">
        <v>118</v>
      </c>
      <c r="G9" s="70" t="s">
        <v>16</v>
      </c>
      <c r="H9" s="89" t="s">
        <v>302</v>
      </c>
    </row>
    <row r="10" spans="1:10" ht="21.75" x14ac:dyDescent="0.25">
      <c r="A10" s="65" t="s">
        <v>29</v>
      </c>
      <c r="B10" s="61">
        <v>3</v>
      </c>
      <c r="C10" s="61" t="s">
        <v>309</v>
      </c>
      <c r="D10" s="66">
        <f>(D11/DADOS_INICIAIS!$E$15)*B10</f>
        <v>3062.9855769230767</v>
      </c>
      <c r="E10" s="66" t="s">
        <v>2</v>
      </c>
      <c r="F10" s="87">
        <v>110</v>
      </c>
      <c r="G10" s="88">
        <f>F10*D10*1.1</f>
        <v>370621.25480769231</v>
      </c>
      <c r="H10" s="66"/>
    </row>
    <row r="11" spans="1:10" ht="21.75" x14ac:dyDescent="0.25">
      <c r="A11" s="77" t="s">
        <v>30</v>
      </c>
      <c r="B11" s="61">
        <v>2.5</v>
      </c>
      <c r="C11" s="61" t="s">
        <v>37</v>
      </c>
      <c r="D11" s="66">
        <f>B11*DADOS_INICIAIS!$E$9</f>
        <v>26545.875</v>
      </c>
      <c r="E11" s="66" t="s">
        <v>2</v>
      </c>
      <c r="F11" s="87">
        <v>2.5</v>
      </c>
      <c r="G11" s="88">
        <f>F11*D11*1.1</f>
        <v>73001.15625</v>
      </c>
      <c r="H11" s="66"/>
    </row>
    <row r="12" spans="1:10" ht="21.75" x14ac:dyDescent="0.25">
      <c r="A12" s="77" t="s">
        <v>320</v>
      </c>
      <c r="B12" s="61">
        <v>4</v>
      </c>
      <c r="C12" s="61" t="s">
        <v>165</v>
      </c>
      <c r="D12" s="66">
        <f>ROUNDUP(B12*DADOS_INICIAIS!$E$25*B10,0)</f>
        <v>5525</v>
      </c>
      <c r="E12" s="66" t="s">
        <v>3</v>
      </c>
      <c r="F12" s="87">
        <f>17</f>
        <v>17</v>
      </c>
      <c r="G12" s="88">
        <f>F12*D12*1.1</f>
        <v>103317.50000000001</v>
      </c>
      <c r="H12" s="66"/>
      <c r="I12" s="197"/>
    </row>
    <row r="13" spans="1:10" ht="21.75" x14ac:dyDescent="0.25">
      <c r="A13" s="65" t="s">
        <v>99</v>
      </c>
      <c r="B13" s="61">
        <v>0.22</v>
      </c>
      <c r="C13" s="61" t="s">
        <v>38</v>
      </c>
      <c r="D13" s="66">
        <f>B13*DADOS_INICIAIS!$E$9</f>
        <v>2336.0370000000003</v>
      </c>
      <c r="E13" s="66" t="s">
        <v>22</v>
      </c>
      <c r="F13" s="87">
        <f>535+45</f>
        <v>580</v>
      </c>
      <c r="G13" s="88">
        <f>F13*D13*1.05*1.1</f>
        <v>1564911.1863000004</v>
      </c>
      <c r="H13" s="66"/>
    </row>
    <row r="14" spans="1:10" ht="21.75" x14ac:dyDescent="0.25">
      <c r="A14" s="65" t="s">
        <v>31</v>
      </c>
      <c r="B14" s="61">
        <v>110</v>
      </c>
      <c r="C14" s="61" t="s">
        <v>34</v>
      </c>
      <c r="D14" s="66">
        <f>D13*B14</f>
        <v>256964.07000000004</v>
      </c>
      <c r="E14" s="66" t="s">
        <v>26</v>
      </c>
      <c r="F14" s="87">
        <v>7.62</v>
      </c>
      <c r="G14" s="88">
        <f>F14*D14*1.1</f>
        <v>2153872.8347400003</v>
      </c>
      <c r="H14" s="66"/>
    </row>
    <row r="15" spans="1:10" ht="43.5" x14ac:dyDescent="0.25">
      <c r="A15" s="65" t="s">
        <v>101</v>
      </c>
      <c r="B15" s="61">
        <v>240</v>
      </c>
      <c r="C15" s="61" t="s">
        <v>6</v>
      </c>
      <c r="D15" s="66">
        <f>DADOS_INICIAIS!$E$9</f>
        <v>10618.35</v>
      </c>
      <c r="E15" s="66" t="s">
        <v>2</v>
      </c>
      <c r="F15" s="87">
        <f>B15</f>
        <v>240</v>
      </c>
      <c r="G15" s="88">
        <f>F15*D15*1.1</f>
        <v>2803244.4000000004</v>
      </c>
      <c r="H15" s="66"/>
    </row>
    <row r="16" spans="1:10" ht="43.5" x14ac:dyDescent="0.25">
      <c r="A16" s="65" t="s">
        <v>306</v>
      </c>
      <c r="B16" s="61">
        <v>5300</v>
      </c>
      <c r="C16" s="61" t="s">
        <v>307</v>
      </c>
      <c r="D16" s="66">
        <v>1</v>
      </c>
      <c r="E16" s="66" t="s">
        <v>27</v>
      </c>
      <c r="F16" s="87">
        <f>B16*DADOS_INICIAIS!$E$15</f>
        <v>137800</v>
      </c>
      <c r="G16" s="88">
        <f>F16*D16*1.1</f>
        <v>151580</v>
      </c>
      <c r="H16" s="66" t="s">
        <v>308</v>
      </c>
      <c r="I16" s="54" t="s">
        <v>313</v>
      </c>
    </row>
    <row r="17" spans="1:12" ht="21.75" x14ac:dyDescent="0.25">
      <c r="A17" s="221" t="s">
        <v>17</v>
      </c>
      <c r="B17" s="221"/>
      <c r="C17" s="221"/>
      <c r="D17" s="221"/>
      <c r="E17" s="221"/>
      <c r="F17" s="221"/>
      <c r="G17" s="89">
        <f>SUM(G10:G16)</f>
        <v>7220548.3320976933</v>
      </c>
      <c r="H17" s="89"/>
      <c r="K17" s="54">
        <f>4160+1440+1120+2880+4800+91680+4000</f>
        <v>110080</v>
      </c>
      <c r="L17" s="54">
        <f>K17/21</f>
        <v>5241.9047619047615</v>
      </c>
    </row>
    <row r="19" spans="1:12" ht="21.75" x14ac:dyDescent="0.25">
      <c r="A19" s="204" t="s">
        <v>311</v>
      </c>
      <c r="B19" s="51"/>
      <c r="C19" s="51"/>
      <c r="D19" s="52"/>
      <c r="E19" s="52"/>
      <c r="F19" s="53"/>
      <c r="G19" s="52"/>
      <c r="H19" s="52"/>
    </row>
    <row r="20" spans="1:12" ht="21.75" x14ac:dyDescent="0.25">
      <c r="A20" s="55"/>
      <c r="B20" s="55"/>
      <c r="C20" s="55"/>
      <c r="D20" s="56"/>
      <c r="E20" s="56"/>
      <c r="F20" s="57"/>
      <c r="G20" s="58"/>
      <c r="H20" s="58"/>
    </row>
    <row r="21" spans="1:12" ht="21.75" x14ac:dyDescent="0.25">
      <c r="A21" s="62" t="s">
        <v>14</v>
      </c>
      <c r="B21" s="226" t="s">
        <v>5</v>
      </c>
      <c r="C21" s="227"/>
      <c r="D21" s="226" t="s">
        <v>18</v>
      </c>
      <c r="E21" s="227"/>
      <c r="F21" s="64" t="s">
        <v>118</v>
      </c>
      <c r="G21" s="70" t="s">
        <v>16</v>
      </c>
      <c r="H21" s="89" t="s">
        <v>302</v>
      </c>
    </row>
    <row r="22" spans="1:12" ht="21.75" x14ac:dyDescent="0.25">
      <c r="A22" s="65" t="s">
        <v>29</v>
      </c>
      <c r="B22" s="61">
        <v>3</v>
      </c>
      <c r="C22" s="61" t="s">
        <v>309</v>
      </c>
      <c r="D22" s="66">
        <f>(D23/DADOS_INICIAIS!$E$15)*B22</f>
        <v>3062.9855769230767</v>
      </c>
      <c r="E22" s="66" t="s">
        <v>2</v>
      </c>
      <c r="F22" s="87">
        <v>110</v>
      </c>
      <c r="G22" s="88">
        <f>F22*D22*1.1</f>
        <v>370621.25480769231</v>
      </c>
      <c r="H22" s="66"/>
    </row>
    <row r="23" spans="1:12" ht="21.75" x14ac:dyDescent="0.25">
      <c r="A23" s="77" t="s">
        <v>30</v>
      </c>
      <c r="B23" s="61">
        <v>2.5</v>
      </c>
      <c r="C23" s="61" t="s">
        <v>37</v>
      </c>
      <c r="D23" s="66">
        <f>B23*DADOS_INICIAIS!$E$9</f>
        <v>26545.875</v>
      </c>
      <c r="E23" s="66" t="s">
        <v>2</v>
      </c>
      <c r="F23" s="87">
        <v>2.5</v>
      </c>
      <c r="G23" s="88">
        <f>F23*D23*1.1</f>
        <v>73001.15625</v>
      </c>
      <c r="H23" s="66"/>
    </row>
    <row r="24" spans="1:12" ht="21.75" x14ac:dyDescent="0.25">
      <c r="A24" s="77" t="s">
        <v>320</v>
      </c>
      <c r="B24" s="61">
        <v>3</v>
      </c>
      <c r="C24" s="61" t="s">
        <v>164</v>
      </c>
      <c r="D24" s="66">
        <f>ROUNDUP(B24*DADOS_INICIAIS!$E$25*B22,0)</f>
        <v>4144</v>
      </c>
      <c r="E24" s="66" t="s">
        <v>3</v>
      </c>
      <c r="F24" s="87">
        <f>17</f>
        <v>17</v>
      </c>
      <c r="G24" s="88">
        <f>F24*D24*1.1</f>
        <v>77492.800000000003</v>
      </c>
      <c r="H24" s="66"/>
    </row>
    <row r="25" spans="1:12" ht="21.75" x14ac:dyDescent="0.25">
      <c r="A25" s="65" t="s">
        <v>116</v>
      </c>
      <c r="B25" s="61">
        <v>30</v>
      </c>
      <c r="C25" s="61" t="s">
        <v>6</v>
      </c>
      <c r="D25" s="66">
        <v>1</v>
      </c>
      <c r="E25" s="66" t="s">
        <v>27</v>
      </c>
      <c r="F25" s="87">
        <f>B25*DADOS_INICIAIS!$E$9</f>
        <v>318550.5</v>
      </c>
      <c r="G25" s="88">
        <f>F25*D25*1.1</f>
        <v>350405.55000000005</v>
      </c>
      <c r="H25" s="66"/>
    </row>
    <row r="26" spans="1:12" ht="21.75" x14ac:dyDescent="0.25">
      <c r="A26" s="65" t="s">
        <v>99</v>
      </c>
      <c r="B26" s="61">
        <v>0.25</v>
      </c>
      <c r="C26" s="61" t="s">
        <v>38</v>
      </c>
      <c r="D26" s="66">
        <f>B26*DADOS_INICIAIS!$E$9</f>
        <v>2654.5875000000001</v>
      </c>
      <c r="E26" s="66" t="s">
        <v>22</v>
      </c>
      <c r="F26" s="87">
        <f>535+45</f>
        <v>580</v>
      </c>
      <c r="G26" s="88">
        <f>F26*D26*1.05*1.1</f>
        <v>1778308.1662500002</v>
      </c>
      <c r="H26" s="66">
        <f>DADOS_INICIAIS!E19*3</f>
        <v>1059.1548</v>
      </c>
      <c r="I26" s="54">
        <f>G25/H26</f>
        <v>330.83506773514131</v>
      </c>
    </row>
    <row r="27" spans="1:12" ht="21.75" x14ac:dyDescent="0.25">
      <c r="A27" s="65" t="s">
        <v>31</v>
      </c>
      <c r="B27" s="61">
        <v>110</v>
      </c>
      <c r="C27" s="61" t="s">
        <v>34</v>
      </c>
      <c r="D27" s="66">
        <f>D26*B27</f>
        <v>292004.625</v>
      </c>
      <c r="E27" s="66" t="s">
        <v>26</v>
      </c>
      <c r="F27" s="87">
        <v>7.62</v>
      </c>
      <c r="G27" s="88">
        <f>F27*D27*1.1</f>
        <v>2447582.7667500004</v>
      </c>
      <c r="H27" s="66"/>
      <c r="I27" s="54">
        <f>I26/(24*30)</f>
        <v>0.45949314963214072</v>
      </c>
    </row>
    <row r="28" spans="1:12" ht="43.5" x14ac:dyDescent="0.25">
      <c r="A28" s="65" t="s">
        <v>101</v>
      </c>
      <c r="B28" s="61">
        <v>240</v>
      </c>
      <c r="C28" s="61" t="s">
        <v>6</v>
      </c>
      <c r="D28" s="66">
        <f>DADOS_INICIAIS!$E$9</f>
        <v>10618.35</v>
      </c>
      <c r="E28" s="66" t="s">
        <v>2</v>
      </c>
      <c r="F28" s="87">
        <f>B28</f>
        <v>240</v>
      </c>
      <c r="G28" s="88">
        <f>F28*D28*1.1</f>
        <v>2803244.4000000004</v>
      </c>
      <c r="H28" s="66"/>
    </row>
    <row r="29" spans="1:12" ht="43.5" x14ac:dyDescent="0.25">
      <c r="A29" s="65" t="s">
        <v>306</v>
      </c>
      <c r="B29" s="61">
        <v>5300</v>
      </c>
      <c r="C29" s="61" t="s">
        <v>307</v>
      </c>
      <c r="D29" s="66">
        <v>1</v>
      </c>
      <c r="E29" s="66" t="s">
        <v>27</v>
      </c>
      <c r="F29" s="87">
        <f>B29*DADOS_INICIAIS!$E$15</f>
        <v>137800</v>
      </c>
      <c r="G29" s="88">
        <f>F29*D29*1.1</f>
        <v>151580</v>
      </c>
      <c r="H29" s="66" t="s">
        <v>308</v>
      </c>
    </row>
    <row r="30" spans="1:12" ht="21.75" x14ac:dyDescent="0.25">
      <c r="A30" s="221" t="s">
        <v>17</v>
      </c>
      <c r="B30" s="221"/>
      <c r="C30" s="221"/>
      <c r="D30" s="221"/>
      <c r="E30" s="221"/>
      <c r="F30" s="221"/>
      <c r="G30" s="89">
        <f>SUM(G22:G29)</f>
        <v>8052236.0940576931</v>
      </c>
      <c r="H30" s="89"/>
    </row>
    <row r="32" spans="1:12" ht="21.75" x14ac:dyDescent="0.25">
      <c r="A32" s="51" t="s">
        <v>312</v>
      </c>
      <c r="B32" s="51"/>
      <c r="C32" s="51"/>
      <c r="D32" s="52"/>
      <c r="E32" s="52"/>
      <c r="F32" s="53"/>
      <c r="G32" s="52"/>
      <c r="H32" s="52"/>
    </row>
    <row r="33" spans="1:8" ht="21.75" x14ac:dyDescent="0.25">
      <c r="A33" s="55"/>
      <c r="B33" s="55"/>
      <c r="C33" s="55"/>
      <c r="D33" s="56"/>
      <c r="E33" s="56"/>
      <c r="F33" s="57"/>
      <c r="G33" s="58"/>
      <c r="H33" s="58"/>
    </row>
    <row r="34" spans="1:8" ht="21.75" x14ac:dyDescent="0.25">
      <c r="A34" s="62" t="s">
        <v>14</v>
      </c>
      <c r="B34" s="226" t="s">
        <v>5</v>
      </c>
      <c r="C34" s="227"/>
      <c r="D34" s="226" t="s">
        <v>18</v>
      </c>
      <c r="E34" s="227"/>
      <c r="F34" s="64" t="s">
        <v>118</v>
      </c>
      <c r="G34" s="70" t="s">
        <v>16</v>
      </c>
      <c r="H34" s="89" t="s">
        <v>302</v>
      </c>
    </row>
    <row r="35" spans="1:8" ht="21.75" x14ac:dyDescent="0.25">
      <c r="A35" s="65" t="s">
        <v>29</v>
      </c>
      <c r="B35" s="196">
        <v>2</v>
      </c>
      <c r="C35" s="196" t="s">
        <v>309</v>
      </c>
      <c r="D35" s="66">
        <f>(D36/DADOS_INICIAIS!$E$15)*B35</f>
        <v>0</v>
      </c>
      <c r="E35" s="66" t="s">
        <v>2</v>
      </c>
      <c r="F35" s="87">
        <v>85</v>
      </c>
      <c r="G35" s="88">
        <f>F35*D35*1.1</f>
        <v>0</v>
      </c>
      <c r="H35" s="66"/>
    </row>
    <row r="36" spans="1:8" ht="21.75" x14ac:dyDescent="0.25">
      <c r="A36" s="77" t="s">
        <v>30</v>
      </c>
      <c r="B36" s="196">
        <v>2.1</v>
      </c>
      <c r="C36" s="196" t="s">
        <v>37</v>
      </c>
      <c r="D36" s="66">
        <f>B36*DADOS_INICIAIS!E38</f>
        <v>0</v>
      </c>
      <c r="E36" s="66" t="s">
        <v>2</v>
      </c>
      <c r="F36" s="87">
        <v>1.5</v>
      </c>
      <c r="G36" s="88">
        <f>F36*D36*1.1</f>
        <v>0</v>
      </c>
      <c r="H36" s="66"/>
    </row>
    <row r="37" spans="1:8" ht="21.75" x14ac:dyDescent="0.25">
      <c r="A37" s="77" t="s">
        <v>32</v>
      </c>
      <c r="B37" s="196">
        <v>2</v>
      </c>
      <c r="C37" s="196" t="s">
        <v>164</v>
      </c>
      <c r="D37" s="66">
        <f>B37*DADOS_INICIAIS!E47*DADOS_INICIAIS!E44</f>
        <v>0</v>
      </c>
      <c r="E37" s="66" t="s">
        <v>3</v>
      </c>
      <c r="F37" s="87">
        <v>17</v>
      </c>
      <c r="G37" s="88">
        <f>F37*D37*1.1</f>
        <v>0</v>
      </c>
      <c r="H37" s="66"/>
    </row>
    <row r="38" spans="1:8" ht="21.75" x14ac:dyDescent="0.25">
      <c r="A38" s="77" t="s">
        <v>33</v>
      </c>
      <c r="B38" s="196">
        <v>2</v>
      </c>
      <c r="C38" s="196" t="s">
        <v>165</v>
      </c>
      <c r="D38" s="66">
        <f>B38*DADOS_INICIAIS!E50</f>
        <v>0</v>
      </c>
      <c r="E38" s="66" t="s">
        <v>3</v>
      </c>
      <c r="F38" s="87">
        <v>17</v>
      </c>
      <c r="G38" s="88">
        <f>F38*D38*1.1</f>
        <v>0</v>
      </c>
      <c r="H38" s="66"/>
    </row>
    <row r="39" spans="1:8" ht="21.75" x14ac:dyDescent="0.25">
      <c r="A39" s="65" t="s">
        <v>116</v>
      </c>
      <c r="B39" s="196">
        <v>25</v>
      </c>
      <c r="C39" s="196" t="s">
        <v>6</v>
      </c>
      <c r="D39" s="66">
        <f>B39*DADOS_INICIAIS!E38</f>
        <v>0</v>
      </c>
      <c r="E39" s="66" t="s">
        <v>22</v>
      </c>
      <c r="F39" s="87">
        <f>B39</f>
        <v>25</v>
      </c>
      <c r="G39" s="88">
        <f>F39*D39*1.1</f>
        <v>0</v>
      </c>
      <c r="H39" s="66"/>
    </row>
    <row r="40" spans="1:8" ht="21.75" x14ac:dyDescent="0.25">
      <c r="A40" s="65" t="s">
        <v>99</v>
      </c>
      <c r="B40" s="196">
        <v>0.25</v>
      </c>
      <c r="C40" s="196" t="s">
        <v>38</v>
      </c>
      <c r="D40" s="66">
        <f>B40*DADOS_INICIAIS!E38</f>
        <v>0</v>
      </c>
      <c r="E40" s="66" t="s">
        <v>22</v>
      </c>
      <c r="F40" s="87">
        <f>575</f>
        <v>575</v>
      </c>
      <c r="G40" s="88">
        <f>F40*D40*1.05*1.1</f>
        <v>0</v>
      </c>
      <c r="H40" s="66"/>
    </row>
    <row r="41" spans="1:8" ht="21.75" x14ac:dyDescent="0.25">
      <c r="A41" s="65" t="s">
        <v>31</v>
      </c>
      <c r="B41" s="196">
        <v>110</v>
      </c>
      <c r="C41" s="196" t="s">
        <v>34</v>
      </c>
      <c r="D41" s="66">
        <f>D40*B41</f>
        <v>0</v>
      </c>
      <c r="E41" s="66" t="s">
        <v>26</v>
      </c>
      <c r="F41" s="87">
        <v>7.25</v>
      </c>
      <c r="G41" s="88">
        <f>F41*D41*1.1</f>
        <v>0</v>
      </c>
      <c r="H41" s="66"/>
    </row>
    <row r="42" spans="1:8" ht="43.5" x14ac:dyDescent="0.25">
      <c r="A42" s="65" t="s">
        <v>101</v>
      </c>
      <c r="B42" s="196">
        <v>240</v>
      </c>
      <c r="C42" s="196" t="s">
        <v>6</v>
      </c>
      <c r="D42" s="66">
        <f>DADOS_INICIAIS!E38</f>
        <v>0</v>
      </c>
      <c r="E42" s="66" t="s">
        <v>2</v>
      </c>
      <c r="F42" s="87">
        <f>B42</f>
        <v>240</v>
      </c>
      <c r="G42" s="88">
        <f>F42*D42*1.1</f>
        <v>0</v>
      </c>
      <c r="H42" s="66"/>
    </row>
    <row r="43" spans="1:8" ht="43.5" x14ac:dyDescent="0.25">
      <c r="A43" s="65" t="s">
        <v>306</v>
      </c>
      <c r="B43" s="196">
        <v>5300</v>
      </c>
      <c r="C43" s="196" t="s">
        <v>307</v>
      </c>
      <c r="D43" s="66">
        <v>1</v>
      </c>
      <c r="E43" s="66" t="s">
        <v>27</v>
      </c>
      <c r="F43" s="87">
        <f>B43*DADOS_INICIAIS!E43</f>
        <v>0</v>
      </c>
      <c r="G43" s="88">
        <f>F43*D43*1.1</f>
        <v>0</v>
      </c>
      <c r="H43" s="66" t="s">
        <v>308</v>
      </c>
    </row>
    <row r="44" spans="1:8" ht="21.75" x14ac:dyDescent="0.25">
      <c r="A44" s="221" t="s">
        <v>17</v>
      </c>
      <c r="B44" s="221"/>
      <c r="C44" s="221"/>
      <c r="D44" s="221"/>
      <c r="E44" s="221"/>
      <c r="F44" s="221"/>
      <c r="G44" s="89">
        <f>SUM(G35:G43)</f>
        <v>0</v>
      </c>
      <c r="H44" s="89"/>
    </row>
    <row r="46" spans="1:8" ht="21.75" x14ac:dyDescent="0.25">
      <c r="A46" s="51" t="s">
        <v>340</v>
      </c>
      <c r="B46" s="51"/>
      <c r="C46" s="51"/>
      <c r="D46" s="52"/>
      <c r="E46" s="52"/>
      <c r="F46" s="53"/>
      <c r="G46" s="52"/>
      <c r="H46" s="52"/>
    </row>
    <row r="47" spans="1:8" ht="21.75" x14ac:dyDescent="0.25">
      <c r="A47" s="55"/>
      <c r="B47" s="55"/>
      <c r="C47" s="55"/>
      <c r="D47" s="56"/>
      <c r="E47" s="56"/>
      <c r="F47" s="57"/>
      <c r="G47" s="58"/>
      <c r="H47" s="58"/>
    </row>
    <row r="48" spans="1:8" ht="21.75" x14ac:dyDescent="0.25">
      <c r="A48" s="62" t="s">
        <v>14</v>
      </c>
      <c r="B48" s="226" t="s">
        <v>5</v>
      </c>
      <c r="C48" s="227"/>
      <c r="D48" s="226" t="s">
        <v>18</v>
      </c>
      <c r="E48" s="227"/>
      <c r="F48" s="64" t="s">
        <v>118</v>
      </c>
      <c r="G48" s="70" t="s">
        <v>16</v>
      </c>
      <c r="H48" s="89" t="s">
        <v>302</v>
      </c>
    </row>
    <row r="49" spans="1:8" ht="21.75" x14ac:dyDescent="0.25">
      <c r="A49" s="65" t="s">
        <v>29</v>
      </c>
      <c r="B49" s="61">
        <v>3</v>
      </c>
      <c r="C49" s="61" t="s">
        <v>309</v>
      </c>
      <c r="D49" s="66">
        <f>(D50/DADOS_INICIAIS!$E$15)*B49</f>
        <v>2572.9078846153848</v>
      </c>
      <c r="E49" s="66" t="s">
        <v>2</v>
      </c>
      <c r="F49" s="87">
        <v>110</v>
      </c>
      <c r="G49" s="88">
        <f t="shared" ref="G49:G54" si="0">F49*D49*1.1</f>
        <v>311321.85403846158</v>
      </c>
      <c r="H49" s="66"/>
    </row>
    <row r="50" spans="1:8" ht="21.75" x14ac:dyDescent="0.25">
      <c r="A50" s="77" t="s">
        <v>30</v>
      </c>
      <c r="B50" s="61">
        <v>2.1</v>
      </c>
      <c r="C50" s="61" t="s">
        <v>37</v>
      </c>
      <c r="D50" s="66">
        <f>B50*DADOS_INICIAIS!$E$9</f>
        <v>22298.535000000003</v>
      </c>
      <c r="E50" s="66" t="s">
        <v>2</v>
      </c>
      <c r="F50" s="87">
        <v>2.5</v>
      </c>
      <c r="G50" s="88">
        <f t="shared" si="0"/>
        <v>61320.971250000017</v>
      </c>
      <c r="H50" s="66"/>
    </row>
    <row r="51" spans="1:8" ht="21.75" x14ac:dyDescent="0.25">
      <c r="A51" s="77" t="s">
        <v>320</v>
      </c>
      <c r="B51" s="61">
        <v>3</v>
      </c>
      <c r="C51" s="61" t="s">
        <v>165</v>
      </c>
      <c r="D51" s="66">
        <f>ROUNDUP(B51*DADOS_INICIAIS!$E$25*B49,0)</f>
        <v>4144</v>
      </c>
      <c r="E51" s="66" t="s">
        <v>3</v>
      </c>
      <c r="F51" s="87">
        <v>17</v>
      </c>
      <c r="G51" s="88">
        <f t="shared" si="0"/>
        <v>77492.800000000003</v>
      </c>
      <c r="H51" s="66"/>
    </row>
    <row r="52" spans="1:8" ht="21.75" x14ac:dyDescent="0.25">
      <c r="A52" s="77" t="s">
        <v>343</v>
      </c>
      <c r="B52" s="203">
        <v>12.3</v>
      </c>
      <c r="C52" s="203" t="s">
        <v>341</v>
      </c>
      <c r="D52" s="66">
        <f>(DADOS_INICIAIS!$E$16+DADOS_INICIAIS!$E$17)*DADOS_INICIAIS!$E$19+DADOS_INICIAIS!$E$22</f>
        <v>10414.012000000001</v>
      </c>
      <c r="E52" s="66" t="s">
        <v>2</v>
      </c>
      <c r="F52" s="87">
        <f>B52</f>
        <v>12.3</v>
      </c>
      <c r="G52" s="88">
        <f t="shared" si="0"/>
        <v>140901.58236000003</v>
      </c>
      <c r="H52" s="66"/>
    </row>
    <row r="53" spans="1:8" ht="21.75" x14ac:dyDescent="0.25">
      <c r="A53" s="77" t="s">
        <v>344</v>
      </c>
      <c r="B53" s="203">
        <v>2.83</v>
      </c>
      <c r="C53" s="203" t="s">
        <v>342</v>
      </c>
      <c r="D53" s="66">
        <f>B53*D52</f>
        <v>29471.653960000003</v>
      </c>
      <c r="E53" s="66" t="s">
        <v>26</v>
      </c>
      <c r="F53" s="87">
        <v>12.3</v>
      </c>
      <c r="G53" s="88">
        <f t="shared" si="0"/>
        <v>398751.47807880014</v>
      </c>
      <c r="H53" s="66"/>
    </row>
    <row r="54" spans="1:8" ht="21.75" x14ac:dyDescent="0.25">
      <c r="A54" s="65" t="s">
        <v>345</v>
      </c>
      <c r="B54" s="203">
        <v>9000</v>
      </c>
      <c r="C54" s="203" t="s">
        <v>346</v>
      </c>
      <c r="D54" s="66">
        <f>DADOS_INICIAIS!E15</f>
        <v>26</v>
      </c>
      <c r="E54" s="66" t="s">
        <v>347</v>
      </c>
      <c r="F54" s="87">
        <f>B54</f>
        <v>9000</v>
      </c>
      <c r="G54" s="88">
        <f t="shared" si="0"/>
        <v>257400.00000000003</v>
      </c>
      <c r="H54" s="66"/>
    </row>
    <row r="55" spans="1:8" ht="21.75" x14ac:dyDescent="0.25">
      <c r="A55" s="65" t="s">
        <v>99</v>
      </c>
      <c r="B55" s="203">
        <v>0.25</v>
      </c>
      <c r="C55" s="203" t="s">
        <v>38</v>
      </c>
      <c r="D55" s="66">
        <f>B55*DADOS_INICIAIS!$E$9</f>
        <v>2654.5875000000001</v>
      </c>
      <c r="E55" s="66" t="s">
        <v>22</v>
      </c>
      <c r="F55" s="87">
        <f>535+45</f>
        <v>580</v>
      </c>
      <c r="G55" s="88">
        <f>F55*D55*1.05*1.1</f>
        <v>1778308.1662500002</v>
      </c>
      <c r="H55" s="66"/>
    </row>
    <row r="56" spans="1:8" ht="21.75" x14ac:dyDescent="0.25">
      <c r="A56" s="65" t="s">
        <v>31</v>
      </c>
      <c r="B56" s="203">
        <v>90</v>
      </c>
      <c r="C56" s="203" t="s">
        <v>34</v>
      </c>
      <c r="D56" s="66">
        <f>D55*B56</f>
        <v>238912.875</v>
      </c>
      <c r="E56" s="66" t="s">
        <v>26</v>
      </c>
      <c r="F56" s="87">
        <v>7.62</v>
      </c>
      <c r="G56" s="88">
        <f>F56*D56*1.1</f>
        <v>2002567.7182500002</v>
      </c>
      <c r="H56" s="66"/>
    </row>
    <row r="57" spans="1:8" ht="43.5" x14ac:dyDescent="0.25">
      <c r="A57" s="65" t="s">
        <v>101</v>
      </c>
      <c r="B57" s="61">
        <v>240</v>
      </c>
      <c r="C57" s="61" t="s">
        <v>6</v>
      </c>
      <c r="D57" s="66">
        <f>DADOS_INICIAIS!$E$9</f>
        <v>10618.35</v>
      </c>
      <c r="E57" s="66" t="s">
        <v>2</v>
      </c>
      <c r="F57" s="87">
        <f>B57</f>
        <v>240</v>
      </c>
      <c r="G57" s="88">
        <f>F57*D57*1.1</f>
        <v>2803244.4000000004</v>
      </c>
      <c r="H57" s="66"/>
    </row>
    <row r="58" spans="1:8" ht="43.5" x14ac:dyDescent="0.25">
      <c r="A58" s="65" t="s">
        <v>306</v>
      </c>
      <c r="B58" s="61">
        <v>5300</v>
      </c>
      <c r="C58" s="61" t="s">
        <v>307</v>
      </c>
      <c r="D58" s="66">
        <v>1</v>
      </c>
      <c r="E58" s="66" t="s">
        <v>27</v>
      </c>
      <c r="F58" s="87">
        <f>B58*DADOS_INICIAIS!$E$15</f>
        <v>137800</v>
      </c>
      <c r="G58" s="88">
        <f>F58*D58*1.1</f>
        <v>151580</v>
      </c>
      <c r="H58" s="66" t="s">
        <v>308</v>
      </c>
    </row>
    <row r="59" spans="1:8" ht="21.75" x14ac:dyDescent="0.25">
      <c r="A59" s="221" t="s">
        <v>17</v>
      </c>
      <c r="B59" s="221"/>
      <c r="C59" s="221"/>
      <c r="D59" s="221"/>
      <c r="E59" s="221"/>
      <c r="F59" s="221"/>
      <c r="G59" s="89">
        <f>SUM(G49:G58)</f>
        <v>7982888.970227262</v>
      </c>
      <c r="H59" s="89"/>
    </row>
    <row r="62" spans="1:8" ht="21.75" x14ac:dyDescent="0.25">
      <c r="A62" s="231" t="s">
        <v>105</v>
      </c>
      <c r="B62" s="232"/>
      <c r="C62" s="232"/>
      <c r="D62" s="232"/>
      <c r="E62" s="232"/>
      <c r="F62" s="233"/>
      <c r="G62" s="90">
        <f>G30</f>
        <v>8052236.0940576931</v>
      </c>
      <c r="H62" s="90">
        <f>G62/DADOS_INICIAIS!E9</f>
        <v>758.33214143983696</v>
      </c>
    </row>
    <row r="64" spans="1:8" x14ac:dyDescent="0.25">
      <c r="G64" s="197"/>
      <c r="H64" s="197">
        <f>H62/1.1</f>
        <v>689.39285585439723</v>
      </c>
    </row>
  </sheetData>
  <mergeCells count="14">
    <mergeCell ref="A17:F17"/>
    <mergeCell ref="A62:F62"/>
    <mergeCell ref="A3:H3"/>
    <mergeCell ref="B9:C9"/>
    <mergeCell ref="D9:E9"/>
    <mergeCell ref="B21:C21"/>
    <mergeCell ref="D21:E21"/>
    <mergeCell ref="A30:F30"/>
    <mergeCell ref="B34:C34"/>
    <mergeCell ref="D34:E34"/>
    <mergeCell ref="A44:F44"/>
    <mergeCell ref="B48:C48"/>
    <mergeCell ref="D48:E48"/>
    <mergeCell ref="A59:F5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dimension ref="A1:L38"/>
  <sheetViews>
    <sheetView showGridLines="0" topLeftCell="A4" zoomScale="80" zoomScaleNormal="80" zoomScaleSheetLayoutView="95" workbookViewId="0">
      <selection activeCell="G10" sqref="G10:G17"/>
    </sheetView>
  </sheetViews>
  <sheetFormatPr defaultColWidth="9.140625" defaultRowHeight="15" x14ac:dyDescent="0.25"/>
  <cols>
    <col min="1" max="1" width="50.140625" style="54" customWidth="1"/>
    <col min="2" max="2" width="21.7109375" style="54" customWidth="1"/>
    <col min="3" max="3" width="26.5703125" style="54" customWidth="1"/>
    <col min="4" max="4" width="16.5703125" style="80" customWidth="1"/>
    <col min="5" max="5" width="19.5703125" style="81" customWidth="1"/>
    <col min="6" max="6" width="20.85546875" style="54" customWidth="1"/>
    <col min="7" max="7" width="23.5703125" style="54" customWidth="1"/>
    <col min="8" max="8" width="58.28515625" style="54" customWidth="1"/>
    <col min="9" max="9" width="11.28515625" style="54" customWidth="1"/>
    <col min="10" max="10" width="9.140625" style="54"/>
    <col min="11" max="11" width="11" style="54" bestFit="1" customWidth="1"/>
    <col min="12" max="12" width="11.28515625" style="54" bestFit="1" customWidth="1"/>
    <col min="13" max="13" width="9.140625" style="54"/>
    <col min="14" max="15" width="11" style="54" bestFit="1" customWidth="1"/>
    <col min="16" max="16384" width="9.140625" style="54"/>
  </cols>
  <sheetData>
    <row r="1" spans="1:10" x14ac:dyDescent="0.25">
      <c r="D1" s="78"/>
      <c r="E1" s="54"/>
      <c r="H1" s="79"/>
      <c r="I1" s="79"/>
      <c r="J1" s="78"/>
    </row>
    <row r="3" spans="1:10" ht="28.5" x14ac:dyDescent="0.25">
      <c r="A3" s="222" t="s">
        <v>314</v>
      </c>
      <c r="B3" s="230"/>
      <c r="C3" s="230"/>
      <c r="D3" s="223"/>
      <c r="E3" s="223"/>
      <c r="F3" s="223"/>
      <c r="G3" s="223"/>
      <c r="H3" s="224"/>
      <c r="J3" s="78"/>
    </row>
    <row r="4" spans="1:10" ht="19.5" x14ac:dyDescent="0.25">
      <c r="A4" s="188" t="s">
        <v>186</v>
      </c>
      <c r="B4" s="194">
        <v>45480</v>
      </c>
      <c r="C4" s="192"/>
      <c r="D4" s="192"/>
      <c r="E4" s="192"/>
      <c r="F4" s="192"/>
      <c r="G4" s="192"/>
      <c r="H4" s="193"/>
      <c r="J4" s="78"/>
    </row>
    <row r="5" spans="1:10" ht="19.5" x14ac:dyDescent="0.25">
      <c r="A5" s="188" t="s">
        <v>299</v>
      </c>
      <c r="B5" s="195" t="s">
        <v>216</v>
      </c>
      <c r="C5" s="190"/>
      <c r="D5" s="190"/>
      <c r="E5" s="190"/>
      <c r="F5" s="190"/>
      <c r="G5" s="190"/>
      <c r="H5" s="191"/>
      <c r="J5" s="78"/>
    </row>
    <row r="6" spans="1:10" ht="21.75" x14ac:dyDescent="0.25">
      <c r="A6" s="82"/>
      <c r="B6" s="82"/>
      <c r="C6" s="82"/>
      <c r="D6" s="82"/>
      <c r="E6" s="82"/>
      <c r="F6" s="83"/>
      <c r="G6" s="84"/>
      <c r="H6" s="84"/>
      <c r="J6" s="78"/>
    </row>
    <row r="7" spans="1:10" ht="21.75" x14ac:dyDescent="0.25">
      <c r="A7" s="204" t="s">
        <v>184</v>
      </c>
      <c r="B7" s="51"/>
      <c r="C7" s="51"/>
      <c r="D7" s="52"/>
      <c r="E7" s="52"/>
      <c r="F7" s="53"/>
      <c r="G7" s="52"/>
      <c r="H7" s="52"/>
    </row>
    <row r="8" spans="1:10" ht="21.75" x14ac:dyDescent="0.25">
      <c r="A8" s="55"/>
      <c r="B8" s="55"/>
      <c r="C8" s="55"/>
      <c r="D8" s="56"/>
      <c r="E8" s="56"/>
      <c r="F8" s="57"/>
      <c r="G8" s="58"/>
      <c r="H8" s="58"/>
    </row>
    <row r="9" spans="1:10" ht="42" customHeight="1" x14ac:dyDescent="0.25">
      <c r="A9" s="62" t="s">
        <v>14</v>
      </c>
      <c r="B9" s="226" t="s">
        <v>5</v>
      </c>
      <c r="C9" s="227"/>
      <c r="D9" s="226" t="s">
        <v>18</v>
      </c>
      <c r="E9" s="227"/>
      <c r="F9" s="64" t="s">
        <v>118</v>
      </c>
      <c r="G9" s="70" t="s">
        <v>16</v>
      </c>
      <c r="H9" s="89" t="s">
        <v>302</v>
      </c>
    </row>
    <row r="10" spans="1:10" ht="21.75" x14ac:dyDescent="0.25">
      <c r="A10" s="65" t="s">
        <v>182</v>
      </c>
      <c r="B10" s="61">
        <v>1</v>
      </c>
      <c r="C10" s="61" t="s">
        <v>181</v>
      </c>
      <c r="D10" s="66">
        <f>B10*DADOS_INICIAIS!$E$22</f>
        <v>3352.9800000000005</v>
      </c>
      <c r="E10" s="66" t="s">
        <v>2</v>
      </c>
      <c r="F10" s="87">
        <v>45</v>
      </c>
      <c r="G10" s="88">
        <f>F10*D10*1.1</f>
        <v>165972.51000000004</v>
      </c>
      <c r="H10" s="66"/>
    </row>
    <row r="11" spans="1:10" ht="21.75" x14ac:dyDescent="0.25">
      <c r="A11" s="77" t="s">
        <v>180</v>
      </c>
      <c r="B11" s="61">
        <v>0.4</v>
      </c>
      <c r="C11" s="61" t="s">
        <v>179</v>
      </c>
      <c r="D11" s="66">
        <f>B11*DADOS_INICIAIS!$E$21</f>
        <v>320</v>
      </c>
      <c r="E11" s="66" t="s">
        <v>2</v>
      </c>
      <c r="F11" s="87">
        <v>45</v>
      </c>
      <c r="G11" s="88">
        <f>F11*D11*1.1</f>
        <v>15840.000000000002</v>
      </c>
      <c r="H11" s="66"/>
    </row>
    <row r="12" spans="1:10" ht="21.75" x14ac:dyDescent="0.25">
      <c r="A12" s="77" t="s">
        <v>178</v>
      </c>
      <c r="B12" s="61">
        <v>1.2</v>
      </c>
      <c r="C12" s="61" t="s">
        <v>177</v>
      </c>
      <c r="D12" s="66">
        <f>B12*(DADOS_INICIAIS!$E$19*(DADOS_INICIAIS!$E$16+DADOS_INICIAIS!$E$17))</f>
        <v>8473.2384000000002</v>
      </c>
      <c r="E12" s="66" t="s">
        <v>2</v>
      </c>
      <c r="F12" s="87">
        <v>45</v>
      </c>
      <c r="G12" s="88">
        <f>F12*D12*1.1</f>
        <v>419425.30080000003</v>
      </c>
      <c r="H12" s="66"/>
    </row>
    <row r="13" spans="1:10" ht="21.75" x14ac:dyDescent="0.25">
      <c r="A13" s="65" t="s">
        <v>176</v>
      </c>
      <c r="B13" s="61">
        <v>0.2</v>
      </c>
      <c r="C13" s="61" t="s">
        <v>37</v>
      </c>
      <c r="D13" s="66">
        <f>B13*DADOS_INICIAIS!$E$9</f>
        <v>2123.67</v>
      </c>
      <c r="E13" s="66" t="s">
        <v>2</v>
      </c>
      <c r="F13" s="87">
        <v>70</v>
      </c>
      <c r="G13" s="88">
        <f>F13*D13*1.05*1.1</f>
        <v>171698.71950000001</v>
      </c>
      <c r="H13" s="66"/>
    </row>
    <row r="14" spans="1:10" ht="21.75" x14ac:dyDescent="0.25">
      <c r="A14" s="65" t="s">
        <v>175</v>
      </c>
      <c r="B14" s="61">
        <v>0.4</v>
      </c>
      <c r="C14" s="61" t="s">
        <v>174</v>
      </c>
      <c r="D14" s="66">
        <f>B14*DADOS_INICIAIS!$E$19</f>
        <v>141.22064</v>
      </c>
      <c r="E14" s="66" t="s">
        <v>2</v>
      </c>
      <c r="F14" s="87">
        <v>45</v>
      </c>
      <c r="G14" s="88">
        <f>F14*D14*1.1</f>
        <v>6990.4216800000004</v>
      </c>
      <c r="H14" s="66"/>
    </row>
    <row r="15" spans="1:10" ht="21.75" x14ac:dyDescent="0.25">
      <c r="A15" s="65" t="s">
        <v>173</v>
      </c>
      <c r="B15" s="61">
        <v>1.75</v>
      </c>
      <c r="C15" s="61" t="s">
        <v>317</v>
      </c>
      <c r="D15" s="66">
        <f>B15*DADOS_INICIAIS!$E$14</f>
        <v>70</v>
      </c>
      <c r="E15" s="66" t="s">
        <v>337</v>
      </c>
      <c r="F15" s="87">
        <v>210</v>
      </c>
      <c r="G15" s="88">
        <f>F15*D15*1.1</f>
        <v>16170.000000000002</v>
      </c>
      <c r="H15" s="66"/>
    </row>
    <row r="16" spans="1:10" ht="21.75" x14ac:dyDescent="0.25">
      <c r="A16" s="65" t="s">
        <v>172</v>
      </c>
      <c r="B16" s="61">
        <v>12.5</v>
      </c>
      <c r="C16" s="61" t="s">
        <v>171</v>
      </c>
      <c r="D16" s="66">
        <f>D10+D11+D12+D13+D14</f>
        <v>14411.109040000001</v>
      </c>
      <c r="E16" s="66" t="s">
        <v>2</v>
      </c>
      <c r="F16" s="87">
        <f>B16</f>
        <v>12.5</v>
      </c>
      <c r="G16" s="88">
        <f>F16*D16*1.1</f>
        <v>198152.74930000002</v>
      </c>
      <c r="H16" s="66"/>
    </row>
    <row r="17" spans="1:12" ht="21.75" x14ac:dyDescent="0.25">
      <c r="A17" s="65" t="s">
        <v>25</v>
      </c>
      <c r="B17" s="61">
        <v>35</v>
      </c>
      <c r="C17" s="61" t="s">
        <v>171</v>
      </c>
      <c r="D17" s="66">
        <f>D10+D11+D12+D13+D14</f>
        <v>14411.109040000001</v>
      </c>
      <c r="E17" s="66" t="s">
        <v>2</v>
      </c>
      <c r="F17" s="87">
        <v>35</v>
      </c>
      <c r="G17" s="88">
        <f>F17*D17*1.1</f>
        <v>554827.69804000016</v>
      </c>
      <c r="H17" s="66"/>
    </row>
    <row r="18" spans="1:12" ht="21.75" x14ac:dyDescent="0.25">
      <c r="A18" s="221" t="s">
        <v>17</v>
      </c>
      <c r="B18" s="221"/>
      <c r="C18" s="221"/>
      <c r="D18" s="221"/>
      <c r="E18" s="221"/>
      <c r="F18" s="221"/>
      <c r="G18" s="89">
        <f>SUM(G10:G17)</f>
        <v>1549077.3993200003</v>
      </c>
      <c r="H18" s="89"/>
      <c r="K18" s="54">
        <f>4160+1440+1120+2880+4800+91680+4000</f>
        <v>110080</v>
      </c>
      <c r="L18" s="54">
        <f>K18/21</f>
        <v>5241.9047619047615</v>
      </c>
    </row>
    <row r="20" spans="1:12" ht="21.75" x14ac:dyDescent="0.25">
      <c r="A20" s="51" t="s">
        <v>350</v>
      </c>
      <c r="B20" s="51"/>
      <c r="C20" s="51"/>
      <c r="D20" s="52"/>
      <c r="E20" s="52"/>
      <c r="F20" s="53"/>
      <c r="G20" s="52"/>
      <c r="H20" s="52"/>
    </row>
    <row r="21" spans="1:12" ht="21.75" x14ac:dyDescent="0.25">
      <c r="A21" s="55"/>
      <c r="B21" s="55"/>
      <c r="C21" s="55"/>
      <c r="D21" s="56"/>
      <c r="E21" s="56"/>
      <c r="F21" s="57"/>
      <c r="G21" s="58"/>
      <c r="H21" s="58"/>
    </row>
    <row r="22" spans="1:12" ht="21.75" x14ac:dyDescent="0.25">
      <c r="A22" s="62" t="s">
        <v>14</v>
      </c>
      <c r="B22" s="226" t="s">
        <v>5</v>
      </c>
      <c r="C22" s="227"/>
      <c r="D22" s="226" t="s">
        <v>18</v>
      </c>
      <c r="E22" s="227"/>
      <c r="F22" s="64" t="s">
        <v>118</v>
      </c>
      <c r="G22" s="70" t="s">
        <v>16</v>
      </c>
      <c r="H22" s="89" t="s">
        <v>302</v>
      </c>
    </row>
    <row r="23" spans="1:12" ht="21.75" x14ac:dyDescent="0.25">
      <c r="A23" s="65" t="s">
        <v>182</v>
      </c>
      <c r="B23" s="61">
        <v>1</v>
      </c>
      <c r="C23" s="61" t="s">
        <v>181</v>
      </c>
      <c r="D23" s="66">
        <f>B23*DADOS_INICIAIS!$E$22</f>
        <v>3352.9800000000005</v>
      </c>
      <c r="E23" s="66" t="s">
        <v>2</v>
      </c>
      <c r="F23" s="87">
        <v>45</v>
      </c>
      <c r="G23" s="88">
        <f>F23*D23*1.1</f>
        <v>165972.51000000004</v>
      </c>
      <c r="H23" s="66"/>
    </row>
    <row r="24" spans="1:12" ht="21.75" x14ac:dyDescent="0.25">
      <c r="A24" s="77" t="s">
        <v>180</v>
      </c>
      <c r="B24" s="61">
        <v>0.4</v>
      </c>
      <c r="C24" s="61" t="s">
        <v>179</v>
      </c>
      <c r="D24" s="66">
        <f>B24*DADOS_INICIAIS!$E$21</f>
        <v>320</v>
      </c>
      <c r="E24" s="66" t="s">
        <v>2</v>
      </c>
      <c r="F24" s="87">
        <v>45</v>
      </c>
      <c r="G24" s="88">
        <f>F24*D24*1.1</f>
        <v>15840.000000000002</v>
      </c>
      <c r="H24" s="66"/>
    </row>
    <row r="25" spans="1:12" ht="21.75" x14ac:dyDescent="0.25">
      <c r="A25" s="77" t="s">
        <v>178</v>
      </c>
      <c r="B25" s="61">
        <v>1.65</v>
      </c>
      <c r="C25" s="61" t="s">
        <v>177</v>
      </c>
      <c r="D25" s="66">
        <f>B25*(DADOS_INICIAIS!$E$19*(DADOS_INICIAIS!$E$16+DADOS_INICIAIS!$E$17))*0.4</f>
        <v>4660.2811199999996</v>
      </c>
      <c r="E25" s="66" t="s">
        <v>2</v>
      </c>
      <c r="F25" s="87">
        <v>45</v>
      </c>
      <c r="G25" s="88">
        <f>F25*D25*1.1</f>
        <v>230683.91544000001</v>
      </c>
      <c r="H25" s="66"/>
    </row>
    <row r="26" spans="1:12" ht="21.75" x14ac:dyDescent="0.25">
      <c r="A26" s="77" t="s">
        <v>315</v>
      </c>
      <c r="B26" s="61">
        <v>1.65</v>
      </c>
      <c r="C26" s="61" t="s">
        <v>177</v>
      </c>
      <c r="D26" s="66">
        <f>B26*(DADOS_INICIAIS!$E$19*(DADOS_INICIAIS!$E$16+DADOS_INICIAIS!$E$17))*0.6</f>
        <v>6990.4216799999995</v>
      </c>
      <c r="E26" s="66" t="s">
        <v>2</v>
      </c>
      <c r="F26" s="87">
        <v>220</v>
      </c>
      <c r="G26" s="88">
        <f t="shared" ref="G26:G30" si="0">F26*D26*1.1</f>
        <v>1691682.0465599999</v>
      </c>
      <c r="H26" s="66"/>
      <c r="J26" s="54">
        <f>D26/(D30+D26)</f>
        <v>0.39427540153359747</v>
      </c>
    </row>
    <row r="27" spans="1:12" ht="21.75" x14ac:dyDescent="0.25">
      <c r="A27" s="77" t="s">
        <v>176</v>
      </c>
      <c r="B27" s="61">
        <v>0.2</v>
      </c>
      <c r="C27" s="61" t="s">
        <v>37</v>
      </c>
      <c r="D27" s="66">
        <f>B27*DADOS_INICIAIS!$E$9</f>
        <v>2123.67</v>
      </c>
      <c r="E27" s="66" t="s">
        <v>2</v>
      </c>
      <c r="F27" s="87">
        <v>70</v>
      </c>
      <c r="G27" s="88">
        <f t="shared" si="0"/>
        <v>163522.59</v>
      </c>
      <c r="H27" s="66"/>
      <c r="J27" s="54">
        <f>1-J26</f>
        <v>0.60572459846640259</v>
      </c>
    </row>
    <row r="28" spans="1:12" ht="21.75" x14ac:dyDescent="0.25">
      <c r="A28" s="65" t="s">
        <v>175</v>
      </c>
      <c r="B28" s="61">
        <v>0.8</v>
      </c>
      <c r="C28" s="61" t="s">
        <v>174</v>
      </c>
      <c r="D28" s="66">
        <f>B28*DADOS_INICIAIS!$E$19</f>
        <v>282.44128000000001</v>
      </c>
      <c r="E28" s="66" t="s">
        <v>22</v>
      </c>
      <c r="F28" s="87">
        <v>45</v>
      </c>
      <c r="G28" s="88">
        <f t="shared" si="0"/>
        <v>13980.843360000001</v>
      </c>
      <c r="H28" s="66"/>
    </row>
    <row r="29" spans="1:12" ht="21.75" x14ac:dyDescent="0.25">
      <c r="A29" s="65" t="s">
        <v>173</v>
      </c>
      <c r="B29" s="61">
        <v>1.75</v>
      </c>
      <c r="C29" s="61" t="s">
        <v>317</v>
      </c>
      <c r="D29" s="66">
        <f>'SISTEMAS ESPECIAIS'!B10</f>
        <v>40</v>
      </c>
      <c r="E29" s="66" t="s">
        <v>337</v>
      </c>
      <c r="F29" s="87">
        <v>210</v>
      </c>
      <c r="G29" s="88">
        <f t="shared" si="0"/>
        <v>9240</v>
      </c>
      <c r="H29" s="66"/>
    </row>
    <row r="30" spans="1:12" ht="21.75" x14ac:dyDescent="0.25">
      <c r="A30" s="65" t="s">
        <v>172</v>
      </c>
      <c r="B30" s="61">
        <v>12.5</v>
      </c>
      <c r="C30" s="61" t="s">
        <v>171</v>
      </c>
      <c r="D30" s="66">
        <f>D24+D25+D23+D27+D28</f>
        <v>10739.3724</v>
      </c>
      <c r="E30" s="66" t="s">
        <v>2</v>
      </c>
      <c r="F30" s="87">
        <f>B30</f>
        <v>12.5</v>
      </c>
      <c r="G30" s="88">
        <f t="shared" si="0"/>
        <v>147666.37050000002</v>
      </c>
      <c r="H30" s="66"/>
    </row>
    <row r="31" spans="1:12" ht="21.75" x14ac:dyDescent="0.25">
      <c r="A31" s="65" t="s">
        <v>25</v>
      </c>
      <c r="B31" s="61">
        <v>35</v>
      </c>
      <c r="C31" s="61" t="s">
        <v>171</v>
      </c>
      <c r="D31" s="66">
        <f>D24+D25+D23+D27+D28</f>
        <v>10739.3724</v>
      </c>
      <c r="E31" s="66" t="s">
        <v>2</v>
      </c>
      <c r="F31" s="87">
        <v>35</v>
      </c>
      <c r="G31" s="88">
        <f>F31*D31*1.1</f>
        <v>413465.83740000002</v>
      </c>
      <c r="H31" s="66"/>
    </row>
    <row r="32" spans="1:12" ht="21.75" x14ac:dyDescent="0.25">
      <c r="A32" s="221" t="s">
        <v>17</v>
      </c>
      <c r="B32" s="221"/>
      <c r="C32" s="221"/>
      <c r="D32" s="221"/>
      <c r="E32" s="221"/>
      <c r="F32" s="221"/>
      <c r="G32" s="89">
        <f>SUM(G23:G31)</f>
        <v>2852054.11326</v>
      </c>
      <c r="H32" s="89"/>
    </row>
    <row r="35" spans="1:8" ht="21.75" x14ac:dyDescent="0.25">
      <c r="A35" s="231" t="s">
        <v>169</v>
      </c>
      <c r="B35" s="232"/>
      <c r="C35" s="232"/>
      <c r="D35" s="232"/>
      <c r="E35" s="232"/>
      <c r="F35" s="233"/>
      <c r="G35" s="90">
        <f>G18</f>
        <v>1549077.3993200003</v>
      </c>
      <c r="H35" s="90">
        <f>G35/DADOS_INICIAIS!E9</f>
        <v>145.88682792712618</v>
      </c>
    </row>
    <row r="38" spans="1:8" x14ac:dyDescent="0.25">
      <c r="G38" s="197">
        <f>G35/1.1</f>
        <v>1408252.1812000002</v>
      </c>
      <c r="H38" s="54">
        <f>G38/DADOS_INICIAIS!E9</f>
        <v>132.62438902466016</v>
      </c>
    </row>
  </sheetData>
  <mergeCells count="8">
    <mergeCell ref="A32:F32"/>
    <mergeCell ref="A35:F35"/>
    <mergeCell ref="A3:H3"/>
    <mergeCell ref="B9:C9"/>
    <mergeCell ref="D9:E9"/>
    <mergeCell ref="A18:F18"/>
    <mergeCell ref="B22:C22"/>
    <mergeCell ref="D22:E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dimension ref="A1:I37"/>
  <sheetViews>
    <sheetView showGridLines="0" topLeftCell="A21" zoomScale="85" zoomScaleNormal="85" zoomScaleSheetLayoutView="95" workbookViewId="0">
      <selection activeCell="D30" sqref="D30:D32"/>
    </sheetView>
  </sheetViews>
  <sheetFormatPr defaultColWidth="9.140625" defaultRowHeight="19.5" x14ac:dyDescent="0.25"/>
  <cols>
    <col min="1" max="1" width="53" style="44" bestFit="1" customWidth="1"/>
    <col min="2" max="4" width="27" style="44" customWidth="1"/>
    <col min="5" max="5" width="14" style="44" customWidth="1"/>
    <col min="6" max="16384" width="9.140625" style="1"/>
  </cols>
  <sheetData>
    <row r="1" spans="1:7" x14ac:dyDescent="0.25">
      <c r="A1" s="47"/>
      <c r="B1" s="47"/>
      <c r="C1" s="47"/>
      <c r="D1" s="47"/>
      <c r="E1" s="47"/>
      <c r="G1" s="2"/>
    </row>
    <row r="2" spans="1:7" ht="28.5" x14ac:dyDescent="0.25">
      <c r="A2" s="222" t="s">
        <v>260</v>
      </c>
      <c r="B2" s="223"/>
      <c r="C2" s="223"/>
      <c r="D2" s="223"/>
      <c r="E2" s="224"/>
      <c r="G2" s="2"/>
    </row>
    <row r="3" spans="1:7" x14ac:dyDescent="0.25">
      <c r="A3" s="49"/>
      <c r="B3" s="49"/>
      <c r="C3" s="49"/>
      <c r="D3" s="47"/>
      <c r="E3" s="47"/>
      <c r="G3" s="2"/>
    </row>
    <row r="4" spans="1:7" s="54" customFormat="1" ht="21.75" x14ac:dyDescent="0.25">
      <c r="A4" s="51" t="s">
        <v>259</v>
      </c>
      <c r="B4" s="52"/>
      <c r="C4" s="52"/>
      <c r="D4" s="52"/>
      <c r="E4" s="52"/>
    </row>
    <row r="5" spans="1:7" s="54" customFormat="1" ht="21.75" x14ac:dyDescent="0.25">
      <c r="A5" s="55"/>
      <c r="B5" s="56"/>
      <c r="C5" s="56"/>
      <c r="D5" s="58"/>
      <c r="E5" s="58"/>
    </row>
    <row r="6" spans="1:7" s="54" customFormat="1" ht="42" customHeight="1" x14ac:dyDescent="0.25">
      <c r="A6" s="62" t="s">
        <v>14</v>
      </c>
      <c r="B6" s="226" t="s">
        <v>5</v>
      </c>
      <c r="C6" s="227"/>
      <c r="D6" s="70" t="s">
        <v>16</v>
      </c>
      <c r="E6" s="58"/>
    </row>
    <row r="7" spans="1:7" s="54" customFormat="1" ht="21.75" x14ac:dyDescent="0.25">
      <c r="A7" s="65" t="s">
        <v>258</v>
      </c>
      <c r="B7" s="61">
        <v>5.5</v>
      </c>
      <c r="C7" s="61" t="s">
        <v>6</v>
      </c>
      <c r="D7" s="88">
        <f>B7*DADOS_INICIAIS!$E$9*1.1</f>
        <v>64241.017500000009</v>
      </c>
      <c r="E7" s="56"/>
    </row>
    <row r="8" spans="1:7" s="54" customFormat="1" ht="21.75" x14ac:dyDescent="0.25">
      <c r="A8" s="65" t="s">
        <v>257</v>
      </c>
      <c r="B8" s="61">
        <v>10</v>
      </c>
      <c r="C8" s="61" t="s">
        <v>6</v>
      </c>
      <c r="D8" s="88">
        <f>B8*DADOS_INICIAIS!$E$9*1.1</f>
        <v>116801.85</v>
      </c>
      <c r="E8" s="56"/>
    </row>
    <row r="9" spans="1:7" s="54" customFormat="1" ht="21.75" x14ac:dyDescent="0.25">
      <c r="A9" s="65" t="s">
        <v>256</v>
      </c>
      <c r="B9" s="61">
        <v>30</v>
      </c>
      <c r="C9" s="61" t="s">
        <v>6</v>
      </c>
      <c r="D9" s="88">
        <f>B9*DADOS_INICIAIS!$E$9*1.1</f>
        <v>350405.55000000005</v>
      </c>
      <c r="E9" s="56"/>
    </row>
    <row r="10" spans="1:7" s="54" customFormat="1" ht="21.75" x14ac:dyDescent="0.25">
      <c r="A10" s="65" t="s">
        <v>255</v>
      </c>
      <c r="B10" s="61">
        <v>15</v>
      </c>
      <c r="C10" s="61" t="s">
        <v>6</v>
      </c>
      <c r="D10" s="88">
        <f>B10*DADOS_INICIAIS!$E$9*1.1</f>
        <v>175202.77500000002</v>
      </c>
      <c r="E10" s="56"/>
    </row>
    <row r="11" spans="1:7" s="54" customFormat="1" ht="21.75" x14ac:dyDescent="0.25">
      <c r="A11" s="65" t="s">
        <v>254</v>
      </c>
      <c r="B11" s="61">
        <v>15</v>
      </c>
      <c r="C11" s="61" t="s">
        <v>6</v>
      </c>
      <c r="D11" s="88">
        <f>B11*DADOS_INICIAIS!$E$9*1.1</f>
        <v>175202.77500000002</v>
      </c>
      <c r="E11" s="56"/>
    </row>
    <row r="12" spans="1:7" s="54" customFormat="1" ht="21.75" x14ac:dyDescent="0.25">
      <c r="A12" s="65" t="s">
        <v>253</v>
      </c>
      <c r="B12" s="61">
        <v>15</v>
      </c>
      <c r="C12" s="61" t="s">
        <v>6</v>
      </c>
      <c r="D12" s="88">
        <f>B12*DADOS_INICIAIS!$E$9*1.1</f>
        <v>175202.77500000002</v>
      </c>
      <c r="E12" s="56"/>
    </row>
    <row r="13" spans="1:7" s="54" customFormat="1" ht="21.75" x14ac:dyDescent="0.25">
      <c r="A13" s="65" t="s">
        <v>252</v>
      </c>
      <c r="B13" s="61">
        <v>60</v>
      </c>
      <c r="C13" s="61" t="s">
        <v>6</v>
      </c>
      <c r="D13" s="88">
        <f>B13*DADOS_INICIAIS!$E$9*1.1</f>
        <v>700811.10000000009</v>
      </c>
      <c r="E13" s="56"/>
    </row>
    <row r="14" spans="1:7" s="54" customFormat="1" ht="21.75" x14ac:dyDescent="0.25">
      <c r="A14" s="221" t="s">
        <v>17</v>
      </c>
      <c r="B14" s="221"/>
      <c r="C14" s="221"/>
      <c r="D14" s="89">
        <f>SUM(D7:D13)</f>
        <v>1757867.8425000003</v>
      </c>
      <c r="E14" s="59"/>
    </row>
    <row r="15" spans="1:7" s="54" customFormat="1" ht="21.75" x14ac:dyDescent="0.25">
      <c r="A15" s="225"/>
      <c r="B15" s="225"/>
      <c r="C15" s="225"/>
      <c r="D15" s="99"/>
      <c r="E15" s="58"/>
    </row>
    <row r="16" spans="1:7" s="54" customFormat="1" ht="21.75" x14ac:dyDescent="0.25">
      <c r="A16" s="51" t="s">
        <v>251</v>
      </c>
      <c r="B16" s="52"/>
      <c r="C16" s="52"/>
      <c r="D16" s="97"/>
      <c r="E16" s="52"/>
    </row>
    <row r="17" spans="1:5" s="54" customFormat="1" ht="21.75" x14ac:dyDescent="0.25">
      <c r="A17" s="55"/>
      <c r="B17" s="56"/>
      <c r="C17" s="56"/>
      <c r="D17" s="99"/>
      <c r="E17" s="58"/>
    </row>
    <row r="18" spans="1:5" s="54" customFormat="1" ht="42" customHeight="1" x14ac:dyDescent="0.25">
      <c r="A18" s="62" t="s">
        <v>14</v>
      </c>
      <c r="B18" s="226" t="s">
        <v>5</v>
      </c>
      <c r="C18" s="227"/>
      <c r="D18" s="89" t="s">
        <v>16</v>
      </c>
      <c r="E18" s="58"/>
    </row>
    <row r="19" spans="1:5" s="54" customFormat="1" ht="21.75" x14ac:dyDescent="0.25">
      <c r="A19" s="65" t="s">
        <v>250</v>
      </c>
      <c r="B19" s="61">
        <v>25</v>
      </c>
      <c r="C19" s="61" t="s">
        <v>6</v>
      </c>
      <c r="D19" s="88">
        <f>B19*DADOS_INICIAIS!$E$9*1.1</f>
        <v>292004.625</v>
      </c>
      <c r="E19" s="56"/>
    </row>
    <row r="20" spans="1:5" s="54" customFormat="1" ht="21.75" x14ac:dyDescent="0.25">
      <c r="A20" s="65" t="s">
        <v>249</v>
      </c>
      <c r="B20" s="61">
        <v>22</v>
      </c>
      <c r="C20" s="61" t="s">
        <v>6</v>
      </c>
      <c r="D20" s="88">
        <f>B20*DADOS_INICIAIS!$E$9*1.1</f>
        <v>256964.07000000004</v>
      </c>
      <c r="E20" s="56"/>
    </row>
    <row r="21" spans="1:5" s="54" customFormat="1" ht="21.75" x14ac:dyDescent="0.25">
      <c r="A21" s="65" t="s">
        <v>248</v>
      </c>
      <c r="B21" s="61">
        <v>10</v>
      </c>
      <c r="C21" s="61" t="s">
        <v>6</v>
      </c>
      <c r="D21" s="88">
        <f>B21*DADOS_INICIAIS!$E$9*1.1</f>
        <v>116801.85</v>
      </c>
      <c r="E21" s="56"/>
    </row>
    <row r="22" spans="1:5" s="54" customFormat="1" ht="21.75" x14ac:dyDescent="0.25">
      <c r="A22" s="65" t="s">
        <v>247</v>
      </c>
      <c r="B22" s="61">
        <v>15</v>
      </c>
      <c r="C22" s="61" t="s">
        <v>6</v>
      </c>
      <c r="D22" s="88">
        <f>B22*DADOS_INICIAIS!$E$9*1.1</f>
        <v>175202.77500000002</v>
      </c>
      <c r="E22" s="56"/>
    </row>
    <row r="23" spans="1:5" s="54" customFormat="1" ht="21.75" x14ac:dyDescent="0.25">
      <c r="A23" s="65" t="s">
        <v>246</v>
      </c>
      <c r="B23" s="61">
        <v>35.5</v>
      </c>
      <c r="C23" s="61" t="s">
        <v>6</v>
      </c>
      <c r="D23" s="88">
        <f>B23*DADOS_INICIAIS!$E$9*1.1</f>
        <v>414646.5675</v>
      </c>
      <c r="E23" s="56"/>
    </row>
    <row r="24" spans="1:5" s="54" customFormat="1" ht="21.75" x14ac:dyDescent="0.25">
      <c r="A24" s="65" t="s">
        <v>245</v>
      </c>
      <c r="B24" s="61">
        <v>55</v>
      </c>
      <c r="C24" s="61" t="s">
        <v>6</v>
      </c>
      <c r="D24" s="88">
        <f>B24*DADOS_INICIAIS!$E$9*1.1</f>
        <v>642410.17500000005</v>
      </c>
      <c r="E24" s="56"/>
    </row>
    <row r="25" spans="1:5" s="54" customFormat="1" ht="21.75" x14ac:dyDescent="0.25">
      <c r="A25" s="221" t="s">
        <v>17</v>
      </c>
      <c r="B25" s="221"/>
      <c r="C25" s="221"/>
      <c r="D25" s="89">
        <f>SUM(D19:D24)</f>
        <v>1898030.0625000002</v>
      </c>
      <c r="E25" s="59"/>
    </row>
    <row r="26" spans="1:5" s="54" customFormat="1" ht="21.75" x14ac:dyDescent="0.25">
      <c r="A26" s="225"/>
      <c r="B26" s="225"/>
      <c r="C26" s="225"/>
      <c r="D26" s="99"/>
      <c r="E26" s="58"/>
    </row>
    <row r="27" spans="1:5" s="54" customFormat="1" ht="21.75" x14ac:dyDescent="0.25">
      <c r="A27" s="51" t="s">
        <v>244</v>
      </c>
      <c r="B27" s="52"/>
      <c r="C27" s="52"/>
      <c r="D27" s="97"/>
      <c r="E27" s="52"/>
    </row>
    <row r="28" spans="1:5" s="54" customFormat="1" ht="21.75" x14ac:dyDescent="0.25">
      <c r="A28" s="55"/>
      <c r="B28" s="56"/>
      <c r="C28" s="56"/>
      <c r="D28" s="99"/>
      <c r="E28" s="58"/>
    </row>
    <row r="29" spans="1:5" s="54" customFormat="1" ht="42" customHeight="1" x14ac:dyDescent="0.25">
      <c r="A29" s="62" t="s">
        <v>14</v>
      </c>
      <c r="B29" s="226" t="s">
        <v>5</v>
      </c>
      <c r="C29" s="227"/>
      <c r="D29" s="89" t="s">
        <v>16</v>
      </c>
      <c r="E29" s="58"/>
    </row>
    <row r="30" spans="1:5" s="54" customFormat="1" ht="26.25" customHeight="1" x14ac:dyDescent="0.25">
      <c r="A30" s="69" t="s">
        <v>243</v>
      </c>
      <c r="B30" s="61">
        <v>20</v>
      </c>
      <c r="C30" s="61" t="s">
        <v>6</v>
      </c>
      <c r="D30" s="88">
        <f>B30*DADOS_INICIAIS!$E$9*1.1</f>
        <v>233603.7</v>
      </c>
      <c r="E30" s="56"/>
    </row>
    <row r="31" spans="1:5" s="54" customFormat="1" ht="26.25" customHeight="1" x14ac:dyDescent="0.25">
      <c r="A31" s="69" t="s">
        <v>242</v>
      </c>
      <c r="B31" s="61">
        <v>13</v>
      </c>
      <c r="C31" s="61" t="s">
        <v>6</v>
      </c>
      <c r="D31" s="88">
        <f>B31*DADOS_INICIAIS!$E$9*1.1</f>
        <v>151842.40500000003</v>
      </c>
      <c r="E31" s="56"/>
    </row>
    <row r="32" spans="1:5" s="54" customFormat="1" ht="21.75" x14ac:dyDescent="0.25">
      <c r="A32" s="69" t="s">
        <v>241</v>
      </c>
      <c r="B32" s="61">
        <v>8</v>
      </c>
      <c r="C32" s="61" t="s">
        <v>6</v>
      </c>
      <c r="D32" s="88">
        <f>B32*DADOS_INICIAIS!$E$9*1.1</f>
        <v>93441.48000000001</v>
      </c>
      <c r="E32" s="56"/>
    </row>
    <row r="33" spans="1:9" s="54" customFormat="1" ht="21.75" x14ac:dyDescent="0.25">
      <c r="A33" s="221" t="s">
        <v>17</v>
      </c>
      <c r="B33" s="221"/>
      <c r="C33" s="221"/>
      <c r="D33" s="89">
        <f>SUM(D30:D32)</f>
        <v>478887.58500000008</v>
      </c>
      <c r="E33" s="59"/>
    </row>
    <row r="34" spans="1:9" x14ac:dyDescent="0.25">
      <c r="D34" s="106"/>
      <c r="I34" s="46"/>
    </row>
    <row r="35" spans="1:9" ht="23.25" customHeight="1" x14ac:dyDescent="0.25">
      <c r="A35" s="218" t="s">
        <v>240</v>
      </c>
      <c r="B35" s="219"/>
      <c r="C35" s="219"/>
      <c r="D35" s="107">
        <f>D14+D25+D33</f>
        <v>4134785.49</v>
      </c>
      <c r="E35" s="107">
        <f>D35/DADOS_INICIAIS!E9</f>
        <v>389.40000000000003</v>
      </c>
    </row>
    <row r="37" spans="1:9" x14ac:dyDescent="0.25">
      <c r="E37" s="198">
        <f>E35/1.1</f>
        <v>354</v>
      </c>
    </row>
  </sheetData>
  <mergeCells count="10">
    <mergeCell ref="A35:C35"/>
    <mergeCell ref="A33:C33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dimension ref="A1:J40"/>
  <sheetViews>
    <sheetView showGridLines="0" topLeftCell="A23" zoomScale="85" zoomScaleNormal="85" zoomScaleSheetLayoutView="95" workbookViewId="0">
      <selection activeCell="B28" sqref="B28"/>
    </sheetView>
  </sheetViews>
  <sheetFormatPr defaultColWidth="9.140625" defaultRowHeight="19.5" x14ac:dyDescent="0.25"/>
  <cols>
    <col min="1" max="1" width="53" style="44" bestFit="1" customWidth="1"/>
    <col min="2" max="4" width="27" style="44" customWidth="1"/>
    <col min="5" max="5" width="14" style="44" customWidth="1"/>
    <col min="6" max="16384" width="9.140625" style="1"/>
  </cols>
  <sheetData>
    <row r="1" spans="1:10" x14ac:dyDescent="0.25">
      <c r="A1" s="47"/>
      <c r="B1" s="47"/>
      <c r="C1" s="47"/>
      <c r="D1" s="47"/>
      <c r="E1" s="47"/>
      <c r="G1" s="2"/>
    </row>
    <row r="2" spans="1:10" ht="28.5" x14ac:dyDescent="0.25">
      <c r="A2" s="222" t="s">
        <v>279</v>
      </c>
      <c r="B2" s="223"/>
      <c r="C2" s="223"/>
      <c r="D2" s="223"/>
      <c r="E2" s="224"/>
      <c r="G2" s="2"/>
    </row>
    <row r="3" spans="1:10" x14ac:dyDescent="0.25">
      <c r="A3" s="49"/>
      <c r="B3" s="49"/>
      <c r="C3" s="49"/>
      <c r="D3" s="47"/>
      <c r="E3" s="47"/>
      <c r="G3" s="2"/>
    </row>
    <row r="4" spans="1:10" s="54" customFormat="1" ht="21.75" x14ac:dyDescent="0.25">
      <c r="A4" s="51" t="s">
        <v>278</v>
      </c>
      <c r="B4" s="52"/>
      <c r="C4" s="52"/>
      <c r="D4" s="52"/>
      <c r="E4" s="52"/>
    </row>
    <row r="5" spans="1:10" s="54" customFormat="1" ht="21.75" x14ac:dyDescent="0.25">
      <c r="A5" s="55"/>
      <c r="B5" s="56"/>
      <c r="C5" s="56"/>
      <c r="D5" s="58"/>
      <c r="E5" s="58"/>
    </row>
    <row r="6" spans="1:10" s="54" customFormat="1" ht="42" customHeight="1" x14ac:dyDescent="0.25">
      <c r="A6" s="62" t="s">
        <v>14</v>
      </c>
      <c r="B6" s="64" t="s">
        <v>18</v>
      </c>
      <c r="C6" s="70" t="s">
        <v>267</v>
      </c>
      <c r="D6" s="70" t="s">
        <v>16</v>
      </c>
      <c r="E6" s="58"/>
      <c r="G6" s="54" t="s">
        <v>200</v>
      </c>
      <c r="H6" s="54" t="s">
        <v>368</v>
      </c>
      <c r="I6" s="54" t="s">
        <v>356</v>
      </c>
      <c r="J6" s="54" t="s">
        <v>369</v>
      </c>
    </row>
    <row r="7" spans="1:10" s="54" customFormat="1" ht="43.5" x14ac:dyDescent="0.25">
      <c r="A7" s="65" t="s">
        <v>277</v>
      </c>
      <c r="B7" s="66">
        <f>G7+H7+I7*18+J7</f>
        <v>176</v>
      </c>
      <c r="C7" s="187">
        <v>1200</v>
      </c>
      <c r="D7" s="88">
        <f>B7*C7*1.1</f>
        <v>232320.00000000003</v>
      </c>
      <c r="E7" s="56"/>
      <c r="G7" s="54">
        <f>1+5</f>
        <v>6</v>
      </c>
      <c r="H7" s="54">
        <f>3+2</f>
        <v>5</v>
      </c>
      <c r="I7" s="54">
        <f>(3+1)+(4+1)</f>
        <v>9</v>
      </c>
      <c r="J7" s="54">
        <v>3</v>
      </c>
    </row>
    <row r="8" spans="1:10" s="54" customFormat="1" ht="21.75" x14ac:dyDescent="0.25">
      <c r="A8" s="65" t="s">
        <v>276</v>
      </c>
      <c r="B8" s="66">
        <f t="shared" ref="B8:B10" si="0">G8+H8+I8*18+J8</f>
        <v>9</v>
      </c>
      <c r="C8" s="187">
        <v>5000</v>
      </c>
      <c r="D8" s="88">
        <f>B8*C8*1.1</f>
        <v>49500.000000000007</v>
      </c>
      <c r="E8" s="56"/>
      <c r="G8" s="54">
        <f>1</f>
        <v>1</v>
      </c>
      <c r="H8" s="54">
        <f>H7</f>
        <v>5</v>
      </c>
      <c r="I8" s="54">
        <v>0</v>
      </c>
      <c r="J8" s="54">
        <v>3</v>
      </c>
    </row>
    <row r="9" spans="1:10" s="54" customFormat="1" ht="21.75" x14ac:dyDescent="0.25">
      <c r="A9" s="65" t="s">
        <v>275</v>
      </c>
      <c r="B9" s="66">
        <f t="shared" si="0"/>
        <v>42</v>
      </c>
      <c r="C9" s="187">
        <v>900</v>
      </c>
      <c r="D9" s="88">
        <f>B9*C9*1.1</f>
        <v>41580</v>
      </c>
      <c r="E9" s="56"/>
      <c r="G9" s="54">
        <v>0</v>
      </c>
      <c r="H9" s="54">
        <f>2+2</f>
        <v>4</v>
      </c>
      <c r="I9" s="54">
        <f>1*2</f>
        <v>2</v>
      </c>
      <c r="J9" s="54">
        <v>2</v>
      </c>
    </row>
    <row r="10" spans="1:10" s="54" customFormat="1" ht="21.75" x14ac:dyDescent="0.25">
      <c r="A10" s="65" t="s">
        <v>274</v>
      </c>
      <c r="B10" s="66">
        <f t="shared" si="0"/>
        <v>40</v>
      </c>
      <c r="C10" s="187">
        <v>2600</v>
      </c>
      <c r="D10" s="88">
        <f>B10*C10*1.1</f>
        <v>114400.00000000001</v>
      </c>
      <c r="E10" s="56"/>
      <c r="G10" s="54">
        <v>0</v>
      </c>
      <c r="H10" s="54">
        <f>1+1</f>
        <v>2</v>
      </c>
      <c r="I10" s="54">
        <v>2</v>
      </c>
      <c r="J10" s="54">
        <v>2</v>
      </c>
    </row>
    <row r="11" spans="1:10" s="54" customFormat="1" ht="21.75" x14ac:dyDescent="0.25">
      <c r="A11" s="221" t="s">
        <v>17</v>
      </c>
      <c r="B11" s="221"/>
      <c r="C11" s="221"/>
      <c r="D11" s="89">
        <f>SUM(D7:D10)</f>
        <v>437800.00000000006</v>
      </c>
      <c r="E11" s="59"/>
    </row>
    <row r="12" spans="1:10" s="54" customFormat="1" ht="21.75" x14ac:dyDescent="0.25">
      <c r="A12" s="225"/>
      <c r="B12" s="225"/>
      <c r="C12" s="225"/>
      <c r="D12" s="58"/>
      <c r="E12" s="58"/>
    </row>
    <row r="13" spans="1:10" s="54" customFormat="1" ht="21.75" x14ac:dyDescent="0.25">
      <c r="A13" s="51" t="s">
        <v>273</v>
      </c>
      <c r="B13" s="52"/>
      <c r="C13" s="52"/>
      <c r="D13" s="52"/>
      <c r="E13" s="52"/>
    </row>
    <row r="14" spans="1:10" s="54" customFormat="1" ht="21.75" x14ac:dyDescent="0.25">
      <c r="A14" s="55"/>
      <c r="B14" s="56"/>
      <c r="C14" s="56"/>
      <c r="D14" s="58"/>
      <c r="E14" s="58"/>
    </row>
    <row r="15" spans="1:10" s="54" customFormat="1" ht="42" customHeight="1" x14ac:dyDescent="0.25">
      <c r="A15" s="62" t="s">
        <v>14</v>
      </c>
      <c r="B15" s="226" t="s">
        <v>5</v>
      </c>
      <c r="C15" s="227"/>
      <c r="D15" s="70" t="s">
        <v>16</v>
      </c>
      <c r="E15" s="58"/>
    </row>
    <row r="16" spans="1:10" s="54" customFormat="1" ht="21.75" x14ac:dyDescent="0.25">
      <c r="A16" s="65" t="s">
        <v>272</v>
      </c>
      <c r="B16" s="61">
        <v>2</v>
      </c>
      <c r="C16" s="61" t="s">
        <v>6</v>
      </c>
      <c r="D16" s="88">
        <f>B16*DADOS_INICIAIS!$E$9*1.1</f>
        <v>23360.370000000003</v>
      </c>
      <c r="E16" s="56"/>
    </row>
    <row r="17" spans="1:5" s="54" customFormat="1" ht="21.75" x14ac:dyDescent="0.25">
      <c r="A17" s="65" t="s">
        <v>271</v>
      </c>
      <c r="B17" s="61">
        <v>5</v>
      </c>
      <c r="C17" s="61" t="s">
        <v>6</v>
      </c>
      <c r="D17" s="88">
        <f>B17*DADOS_INICIAIS!$E$9*1.1</f>
        <v>58400.925000000003</v>
      </c>
      <c r="E17" s="56"/>
    </row>
    <row r="18" spans="1:5" s="54" customFormat="1" ht="21.75" x14ac:dyDescent="0.25">
      <c r="A18" s="65" t="s">
        <v>270</v>
      </c>
      <c r="B18" s="61">
        <v>3</v>
      </c>
      <c r="C18" s="61" t="s">
        <v>6</v>
      </c>
      <c r="D18" s="88">
        <f>B18*DADOS_INICIAIS!$E$9*1.1</f>
        <v>35040.555000000008</v>
      </c>
      <c r="E18" s="56"/>
    </row>
    <row r="19" spans="1:5" s="54" customFormat="1" ht="43.5" x14ac:dyDescent="0.25">
      <c r="A19" s="65" t="s">
        <v>269</v>
      </c>
      <c r="B19" s="61">
        <v>5</v>
      </c>
      <c r="C19" s="61" t="s">
        <v>6</v>
      </c>
      <c r="D19" s="88">
        <f>B19*DADOS_INICIAIS!$E$9*1.1</f>
        <v>58400.925000000003</v>
      </c>
      <c r="E19" s="56"/>
    </row>
    <row r="20" spans="1:5" s="54" customFormat="1" ht="21.75" x14ac:dyDescent="0.25">
      <c r="A20" s="221" t="s">
        <v>17</v>
      </c>
      <c r="B20" s="221"/>
      <c r="C20" s="221"/>
      <c r="D20" s="89">
        <f>SUM(D16:D19)</f>
        <v>175202.77500000002</v>
      </c>
      <c r="E20" s="59"/>
    </row>
    <row r="21" spans="1:5" s="54" customFormat="1" ht="21.75" x14ac:dyDescent="0.25">
      <c r="A21" s="225"/>
      <c r="B21" s="225"/>
      <c r="C21" s="225"/>
      <c r="D21" s="58"/>
      <c r="E21" s="58"/>
    </row>
    <row r="22" spans="1:5" s="54" customFormat="1" ht="21.75" x14ac:dyDescent="0.25">
      <c r="A22" s="51" t="s">
        <v>268</v>
      </c>
      <c r="B22" s="52"/>
      <c r="C22" s="52"/>
      <c r="D22" s="52"/>
      <c r="E22" s="52"/>
    </row>
    <row r="23" spans="1:5" s="54" customFormat="1" ht="21.75" x14ac:dyDescent="0.25">
      <c r="A23" s="55"/>
      <c r="B23" s="56"/>
      <c r="C23" s="56"/>
      <c r="D23" s="58"/>
      <c r="E23" s="58"/>
    </row>
    <row r="24" spans="1:5" s="54" customFormat="1" ht="42" customHeight="1" x14ac:dyDescent="0.25">
      <c r="A24" s="62" t="s">
        <v>14</v>
      </c>
      <c r="B24" s="64" t="s">
        <v>18</v>
      </c>
      <c r="C24" s="70" t="s">
        <v>267</v>
      </c>
      <c r="D24" s="70" t="s">
        <v>16</v>
      </c>
      <c r="E24" s="58"/>
    </row>
    <row r="25" spans="1:5" s="54" customFormat="1" ht="26.25" customHeight="1" x14ac:dyDescent="0.25">
      <c r="A25" s="69" t="s">
        <v>266</v>
      </c>
      <c r="B25" s="66">
        <v>2</v>
      </c>
      <c r="C25" s="187">
        <f>(768900/2)*0.95</f>
        <v>365227.5</v>
      </c>
      <c r="D25" s="88">
        <f t="shared" ref="D25:D31" si="1">B25*C25*1.1</f>
        <v>803500.50000000012</v>
      </c>
      <c r="E25" s="56"/>
    </row>
    <row r="26" spans="1:5" s="54" customFormat="1" ht="26.25" customHeight="1" x14ac:dyDescent="0.25">
      <c r="A26" s="69" t="s">
        <v>265</v>
      </c>
      <c r="B26" s="66">
        <v>1</v>
      </c>
      <c r="C26" s="187">
        <v>42000</v>
      </c>
      <c r="D26" s="88">
        <f t="shared" si="1"/>
        <v>46200.000000000007</v>
      </c>
      <c r="E26" s="56"/>
    </row>
    <row r="27" spans="1:5" s="54" customFormat="1" ht="26.25" customHeight="1" x14ac:dyDescent="0.25">
      <c r="A27" s="69" t="s">
        <v>321</v>
      </c>
      <c r="B27" s="66">
        <v>1</v>
      </c>
      <c r="C27" s="187">
        <v>10000</v>
      </c>
      <c r="D27" s="88">
        <f t="shared" si="1"/>
        <v>11000</v>
      </c>
      <c r="E27" s="56"/>
    </row>
    <row r="28" spans="1:5" s="54" customFormat="1" ht="26.25" customHeight="1" x14ac:dyDescent="0.25">
      <c r="A28" s="69" t="s">
        <v>264</v>
      </c>
      <c r="B28" s="66">
        <f>DADOS_INICIAIS!E10</f>
        <v>36</v>
      </c>
      <c r="C28" s="187">
        <v>560</v>
      </c>
      <c r="D28" s="88">
        <f t="shared" si="1"/>
        <v>22176</v>
      </c>
      <c r="E28" s="56"/>
    </row>
    <row r="29" spans="1:5" s="54" customFormat="1" ht="26.25" customHeight="1" x14ac:dyDescent="0.25">
      <c r="A29" s="69" t="s">
        <v>352</v>
      </c>
      <c r="B29" s="66">
        <v>1</v>
      </c>
      <c r="C29" s="187">
        <v>25000</v>
      </c>
      <c r="D29" s="88">
        <f t="shared" si="1"/>
        <v>27500.000000000004</v>
      </c>
      <c r="E29" s="56"/>
    </row>
    <row r="30" spans="1:5" s="54" customFormat="1" ht="26.25" customHeight="1" x14ac:dyDescent="0.25">
      <c r="A30" s="69" t="s">
        <v>357</v>
      </c>
      <c r="B30" s="66">
        <v>1</v>
      </c>
      <c r="C30" s="187">
        <v>8000</v>
      </c>
      <c r="D30" s="88">
        <f t="shared" si="1"/>
        <v>8800</v>
      </c>
      <c r="E30" s="56"/>
    </row>
    <row r="31" spans="1:5" s="54" customFormat="1" ht="26.25" customHeight="1" x14ac:dyDescent="0.25">
      <c r="A31" s="69" t="s">
        <v>358</v>
      </c>
      <c r="B31" s="66">
        <v>2</v>
      </c>
      <c r="C31" s="187">
        <v>15000</v>
      </c>
      <c r="D31" s="88">
        <f t="shared" si="1"/>
        <v>33000</v>
      </c>
      <c r="E31" s="56"/>
    </row>
    <row r="32" spans="1:5" s="54" customFormat="1" ht="21.75" x14ac:dyDescent="0.25">
      <c r="A32" s="221" t="s">
        <v>17</v>
      </c>
      <c r="B32" s="221"/>
      <c r="C32" s="221"/>
      <c r="D32" s="89">
        <f>SUM(D25:D31)</f>
        <v>952176.50000000012</v>
      </c>
      <c r="E32" s="59"/>
    </row>
    <row r="33" spans="1:9" x14ac:dyDescent="0.25">
      <c r="I33" s="46"/>
    </row>
    <row r="34" spans="1:9" s="54" customFormat="1" ht="21.75" x14ac:dyDescent="0.25">
      <c r="A34" s="51" t="s">
        <v>263</v>
      </c>
      <c r="B34" s="52"/>
      <c r="C34" s="52"/>
      <c r="D34" s="52"/>
      <c r="E34" s="52"/>
    </row>
    <row r="35" spans="1:9" s="54" customFormat="1" ht="21.75" x14ac:dyDescent="0.25">
      <c r="A35" s="55"/>
      <c r="B35" s="56"/>
      <c r="C35" s="56"/>
      <c r="D35" s="58"/>
      <c r="E35" s="58"/>
    </row>
    <row r="36" spans="1:9" s="54" customFormat="1" ht="40.5" customHeight="1" x14ac:dyDescent="0.25">
      <c r="A36" s="62" t="s">
        <v>14</v>
      </c>
      <c r="B36" s="226" t="s">
        <v>5</v>
      </c>
      <c r="C36" s="227"/>
      <c r="D36" s="70" t="s">
        <v>16</v>
      </c>
      <c r="E36" s="58"/>
    </row>
    <row r="37" spans="1:9" s="54" customFormat="1" ht="26.25" customHeight="1" x14ac:dyDescent="0.25">
      <c r="A37" s="69" t="s">
        <v>262</v>
      </c>
      <c r="B37" s="61">
        <v>20</v>
      </c>
      <c r="C37" s="61" t="s">
        <v>6</v>
      </c>
      <c r="D37" s="88">
        <f>B37*DADOS_INICIAIS!E9*1.1</f>
        <v>233603.7</v>
      </c>
      <c r="E37" s="101"/>
    </row>
    <row r="38" spans="1:9" s="54" customFormat="1" ht="21.75" x14ac:dyDescent="0.25">
      <c r="A38" s="221" t="s">
        <v>17</v>
      </c>
      <c r="B38" s="221"/>
      <c r="C38" s="221"/>
      <c r="D38" s="89">
        <f>SUM(D37:D37)</f>
        <v>233603.7</v>
      </c>
      <c r="E38" s="102"/>
    </row>
    <row r="39" spans="1:9" x14ac:dyDescent="0.25">
      <c r="D39" s="106"/>
      <c r="E39" s="106"/>
      <c r="I39" s="46"/>
    </row>
    <row r="40" spans="1:9" ht="23.25" customHeight="1" x14ac:dyDescent="0.25">
      <c r="A40" s="218" t="s">
        <v>261</v>
      </c>
      <c r="B40" s="219"/>
      <c r="C40" s="220"/>
      <c r="D40" s="107">
        <f>D11+D20+D32+D38</f>
        <v>1798782.9750000003</v>
      </c>
      <c r="E40" s="107">
        <f>D40/DADOS_INICIAIS!E9</f>
        <v>169.40324767972427</v>
      </c>
    </row>
  </sheetData>
  <mergeCells count="10">
    <mergeCell ref="A32:C32"/>
    <mergeCell ref="A40:C40"/>
    <mergeCell ref="B36:C36"/>
    <mergeCell ref="A38:C38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dimension ref="A1:L28"/>
  <sheetViews>
    <sheetView showGridLines="0" topLeftCell="A7" zoomScale="80" zoomScaleNormal="80" zoomScaleSheetLayoutView="95" workbookViewId="0">
      <selection activeCell="J16" sqref="J16"/>
    </sheetView>
  </sheetViews>
  <sheetFormatPr defaultColWidth="9.140625" defaultRowHeight="15" x14ac:dyDescent="0.25"/>
  <cols>
    <col min="1" max="1" width="50.140625" style="54" customWidth="1"/>
    <col min="2" max="2" width="21.7109375" style="54" customWidth="1"/>
    <col min="3" max="3" width="26.5703125" style="54" customWidth="1"/>
    <col min="4" max="4" width="16.5703125" style="80" customWidth="1"/>
    <col min="5" max="5" width="19.5703125" style="81" customWidth="1"/>
    <col min="6" max="6" width="20.85546875" style="54" customWidth="1"/>
    <col min="7" max="7" width="23.5703125" style="54" customWidth="1"/>
    <col min="8" max="8" width="58.28515625" style="54" customWidth="1"/>
    <col min="9" max="9" width="11.28515625" style="54" customWidth="1"/>
    <col min="10" max="10" width="15.140625" style="54" bestFit="1" customWidth="1"/>
    <col min="11" max="11" width="11" style="54" bestFit="1" customWidth="1"/>
    <col min="12" max="12" width="11.28515625" style="54" bestFit="1" customWidth="1"/>
    <col min="13" max="13" width="9.140625" style="54"/>
    <col min="14" max="15" width="11" style="54" bestFit="1" customWidth="1"/>
    <col min="16" max="16384" width="9.140625" style="54"/>
  </cols>
  <sheetData>
    <row r="1" spans="1:10" x14ac:dyDescent="0.25">
      <c r="D1" s="78"/>
      <c r="E1" s="54"/>
      <c r="H1" s="79"/>
      <c r="I1" s="79"/>
      <c r="J1" s="78"/>
    </row>
    <row r="3" spans="1:10" ht="28.5" x14ac:dyDescent="0.25">
      <c r="A3" s="222" t="s">
        <v>231</v>
      </c>
      <c r="B3" s="230"/>
      <c r="C3" s="230"/>
      <c r="D3" s="223"/>
      <c r="E3" s="223"/>
      <c r="F3" s="223"/>
      <c r="G3" s="223"/>
      <c r="H3" s="224"/>
      <c r="J3" s="78"/>
    </row>
    <row r="4" spans="1:10" ht="19.5" x14ac:dyDescent="0.25">
      <c r="A4" s="188" t="s">
        <v>186</v>
      </c>
      <c r="B4" s="194">
        <v>45481</v>
      </c>
      <c r="C4" s="192"/>
      <c r="D4" s="192"/>
      <c r="E4" s="192"/>
      <c r="F4" s="192"/>
      <c r="G4" s="192"/>
      <c r="H4" s="193"/>
      <c r="J4" s="78"/>
    </row>
    <row r="5" spans="1:10" ht="19.5" x14ac:dyDescent="0.25">
      <c r="A5" s="188" t="s">
        <v>299</v>
      </c>
      <c r="B5" s="195" t="s">
        <v>216</v>
      </c>
      <c r="C5" s="190"/>
      <c r="D5" s="190"/>
      <c r="E5" s="190"/>
      <c r="F5" s="190"/>
      <c r="G5" s="190"/>
      <c r="H5" s="191"/>
      <c r="J5" s="78"/>
    </row>
    <row r="6" spans="1:10" ht="21.75" x14ac:dyDescent="0.25">
      <c r="A6" s="82"/>
      <c r="B6" s="82"/>
      <c r="C6" s="82"/>
      <c r="D6" s="82"/>
      <c r="E6" s="82"/>
      <c r="F6" s="83"/>
      <c r="G6" s="84"/>
      <c r="H6" s="84"/>
      <c r="J6" s="78"/>
    </row>
    <row r="7" spans="1:10" ht="21.75" x14ac:dyDescent="0.25">
      <c r="A7" s="51" t="s">
        <v>184</v>
      </c>
      <c r="B7" s="51"/>
      <c r="C7" s="51"/>
      <c r="D7" s="52"/>
      <c r="E7" s="52"/>
      <c r="F7" s="53"/>
      <c r="G7" s="52"/>
      <c r="H7" s="52"/>
    </row>
    <row r="8" spans="1:10" ht="21.75" x14ac:dyDescent="0.25">
      <c r="A8" s="55"/>
      <c r="B8" s="55"/>
      <c r="C8" s="55"/>
      <c r="D8" s="56"/>
      <c r="E8" s="56"/>
      <c r="F8" s="57"/>
      <c r="G8" s="58"/>
      <c r="H8" s="58"/>
    </row>
    <row r="9" spans="1:10" ht="42" customHeight="1" x14ac:dyDescent="0.25">
      <c r="A9" s="62" t="s">
        <v>14</v>
      </c>
      <c r="B9" s="226" t="s">
        <v>5</v>
      </c>
      <c r="C9" s="227"/>
      <c r="D9" s="226" t="s">
        <v>18</v>
      </c>
      <c r="E9" s="227"/>
      <c r="F9" s="64" t="s">
        <v>118</v>
      </c>
      <c r="G9" s="70" t="s">
        <v>16</v>
      </c>
      <c r="H9" s="89" t="s">
        <v>302</v>
      </c>
    </row>
    <row r="10" spans="1:10" ht="21.75" x14ac:dyDescent="0.25">
      <c r="A10" s="65" t="s">
        <v>230</v>
      </c>
      <c r="B10" s="61">
        <v>25</v>
      </c>
      <c r="C10" s="61" t="s">
        <v>171</v>
      </c>
      <c r="D10" s="66">
        <f>D14+D15</f>
        <v>4358.8326749999997</v>
      </c>
      <c r="E10" s="66" t="s">
        <v>2</v>
      </c>
      <c r="F10" s="87">
        <v>8</v>
      </c>
      <c r="G10" s="88">
        <f t="shared" ref="G10:G22" si="0">F10*D10*1.1</f>
        <v>38357.72754</v>
      </c>
      <c r="H10" s="66">
        <f>G10+G18</f>
        <v>105483.75073500001</v>
      </c>
    </row>
    <row r="11" spans="1:10" ht="21.75" x14ac:dyDescent="0.25">
      <c r="A11" s="77" t="s">
        <v>229</v>
      </c>
      <c r="B11" s="61">
        <v>45</v>
      </c>
      <c r="C11" s="61" t="s">
        <v>171</v>
      </c>
      <c r="D11" s="66">
        <f>(3.51+(7.5)*1.8)*2</f>
        <v>34.019999999999996</v>
      </c>
      <c r="E11" s="66" t="s">
        <v>2</v>
      </c>
      <c r="F11" s="87">
        <f>41-F19</f>
        <v>13</v>
      </c>
      <c r="G11" s="88">
        <f t="shared" si="0"/>
        <v>486.48599999999999</v>
      </c>
      <c r="H11" s="66">
        <f>G11+G12+G19</f>
        <v>38757.642000000007</v>
      </c>
    </row>
    <row r="12" spans="1:10" ht="21.75" x14ac:dyDescent="0.25">
      <c r="A12" s="77" t="s">
        <v>228</v>
      </c>
      <c r="B12" s="61">
        <v>30</v>
      </c>
      <c r="C12" s="61" t="s">
        <v>171</v>
      </c>
      <c r="D12" s="66">
        <f>INFRAESTRUTURA!D28</f>
        <v>966.84</v>
      </c>
      <c r="E12" s="66" t="s">
        <v>2</v>
      </c>
      <c r="F12" s="87">
        <f>35-F19</f>
        <v>7</v>
      </c>
      <c r="G12" s="88">
        <f t="shared" si="0"/>
        <v>7444.6680000000006</v>
      </c>
      <c r="H12" s="66">
        <f>G13/I12</f>
        <v>201.38250000000002</v>
      </c>
      <c r="I12" s="54">
        <f>8+50</f>
        <v>58</v>
      </c>
    </row>
    <row r="13" spans="1:10" ht="21.75" x14ac:dyDescent="0.25">
      <c r="A13" s="65" t="s">
        <v>227</v>
      </c>
      <c r="B13" s="61">
        <v>1</v>
      </c>
      <c r="C13" s="61" t="s">
        <v>6</v>
      </c>
      <c r="D13" s="66">
        <v>1</v>
      </c>
      <c r="E13" s="66" t="s">
        <v>27</v>
      </c>
      <c r="F13" s="87">
        <f>B13*DADOS_INICIAIS!$E$9</f>
        <v>10618.35</v>
      </c>
      <c r="G13" s="88">
        <f t="shared" si="0"/>
        <v>11680.185000000001</v>
      </c>
      <c r="H13" s="66"/>
      <c r="I13" s="54">
        <f>8/I12</f>
        <v>0.13793103448275862</v>
      </c>
      <c r="J13" s="197">
        <f>I13*G13</f>
        <v>1611.0600000000002</v>
      </c>
    </row>
    <row r="14" spans="1:10" ht="21.75" x14ac:dyDescent="0.25">
      <c r="A14" s="65" t="s">
        <v>226</v>
      </c>
      <c r="B14" s="61">
        <v>0.25</v>
      </c>
      <c r="C14" s="61" t="s">
        <v>37</v>
      </c>
      <c r="D14" s="66">
        <f>B14*DADOS_INICIAIS!E9</f>
        <v>2654.5875000000001</v>
      </c>
      <c r="E14" s="66" t="s">
        <v>2</v>
      </c>
      <c r="F14" s="87">
        <f>60-F20</f>
        <v>32</v>
      </c>
      <c r="G14" s="88">
        <f t="shared" si="0"/>
        <v>93441.48000000001</v>
      </c>
      <c r="H14" s="66">
        <f>G14+G20</f>
        <v>175202.77500000002</v>
      </c>
      <c r="I14" s="54">
        <f>50/I12</f>
        <v>0.86206896551724133</v>
      </c>
      <c r="J14" s="197">
        <f>I14*G13</f>
        <v>10069.125</v>
      </c>
    </row>
    <row r="15" spans="1:10" ht="21.75" x14ac:dyDescent="0.25">
      <c r="A15" s="65" t="s">
        <v>225</v>
      </c>
      <c r="B15" s="61">
        <v>0.1605</v>
      </c>
      <c r="C15" s="61" t="s">
        <v>37</v>
      </c>
      <c r="D15" s="66">
        <f>B15*DADOS_INICIAIS!E9</f>
        <v>1704.245175</v>
      </c>
      <c r="E15" s="66" t="s">
        <v>2</v>
      </c>
      <c r="F15" s="87">
        <f>110-F21</f>
        <v>62</v>
      </c>
      <c r="G15" s="88">
        <f t="shared" si="0"/>
        <v>116229.52093500001</v>
      </c>
      <c r="H15" s="66">
        <f>G16/I15</f>
        <v>96.001520547945219</v>
      </c>
      <c r="I15" s="54">
        <f>41+32</f>
        <v>73</v>
      </c>
    </row>
    <row r="16" spans="1:10" ht="21.75" x14ac:dyDescent="0.25">
      <c r="A16" s="65" t="s">
        <v>224</v>
      </c>
      <c r="B16" s="61">
        <v>0.6</v>
      </c>
      <c r="C16" s="61" t="s">
        <v>6</v>
      </c>
      <c r="D16" s="66">
        <v>1</v>
      </c>
      <c r="E16" s="66" t="s">
        <v>27</v>
      </c>
      <c r="F16" s="87">
        <f>B16*DADOS_INICIAIS!$E$9</f>
        <v>6371.01</v>
      </c>
      <c r="G16" s="88">
        <f t="shared" si="0"/>
        <v>7008.1110000000008</v>
      </c>
      <c r="H16" s="66"/>
      <c r="I16" s="54">
        <f>41/I15</f>
        <v>0.56164383561643838</v>
      </c>
      <c r="J16" s="197">
        <f>I16*G16</f>
        <v>3936.0623424657542</v>
      </c>
    </row>
    <row r="17" spans="1:12" ht="21.75" x14ac:dyDescent="0.25">
      <c r="A17" s="65" t="s">
        <v>223</v>
      </c>
      <c r="B17" s="61">
        <v>28</v>
      </c>
      <c r="C17" s="61" t="s">
        <v>171</v>
      </c>
      <c r="D17" s="66">
        <f>D15</f>
        <v>1704.245175</v>
      </c>
      <c r="E17" s="66" t="s">
        <v>2</v>
      </c>
      <c r="F17" s="87">
        <f>28-F22</f>
        <v>12</v>
      </c>
      <c r="G17" s="88">
        <f t="shared" si="0"/>
        <v>22496.036310000003</v>
      </c>
      <c r="H17" s="66">
        <f>G15+G21</f>
        <v>206213.66617500002</v>
      </c>
      <c r="I17" s="54">
        <f>32/I15</f>
        <v>0.43835616438356162</v>
      </c>
      <c r="J17" s="197">
        <f>I17*G16</f>
        <v>3072.0486575342466</v>
      </c>
    </row>
    <row r="18" spans="1:12" ht="21.75" x14ac:dyDescent="0.25">
      <c r="A18" s="65" t="s">
        <v>372</v>
      </c>
      <c r="B18" s="61"/>
      <c r="C18" s="61"/>
      <c r="D18" s="66">
        <f>D10</f>
        <v>4358.8326749999997</v>
      </c>
      <c r="E18" s="66" t="s">
        <v>2</v>
      </c>
      <c r="F18" s="87">
        <f>22-F10</f>
        <v>14</v>
      </c>
      <c r="G18" s="88">
        <f t="shared" si="0"/>
        <v>67126.023195000002</v>
      </c>
      <c r="H18" s="66">
        <f>G17+G22</f>
        <v>52490.751390000005</v>
      </c>
      <c r="J18" s="197"/>
    </row>
    <row r="19" spans="1:12" ht="43.5" x14ac:dyDescent="0.25">
      <c r="A19" s="65" t="s">
        <v>373</v>
      </c>
      <c r="B19" s="61"/>
      <c r="C19" s="61"/>
      <c r="D19" s="66">
        <f>D11+D12</f>
        <v>1000.86</v>
      </c>
      <c r="E19" s="66" t="s">
        <v>2</v>
      </c>
      <c r="F19" s="87">
        <v>28</v>
      </c>
      <c r="G19" s="88">
        <f t="shared" si="0"/>
        <v>30826.488000000005</v>
      </c>
      <c r="H19" s="66"/>
      <c r="J19" s="197"/>
    </row>
    <row r="20" spans="1:12" ht="43.5" x14ac:dyDescent="0.25">
      <c r="A20" s="65" t="s">
        <v>374</v>
      </c>
      <c r="B20" s="61"/>
      <c r="C20" s="61"/>
      <c r="D20" s="66">
        <f>D14</f>
        <v>2654.5875000000001</v>
      </c>
      <c r="E20" s="66" t="s">
        <v>2</v>
      </c>
      <c r="F20" s="87">
        <v>28</v>
      </c>
      <c r="G20" s="88">
        <f t="shared" si="0"/>
        <v>81761.294999999998</v>
      </c>
      <c r="H20" s="66"/>
      <c r="J20" s="197"/>
    </row>
    <row r="21" spans="1:12" ht="43.5" x14ac:dyDescent="0.25">
      <c r="A21" s="65" t="s">
        <v>375</v>
      </c>
      <c r="B21" s="61"/>
      <c r="C21" s="61"/>
      <c r="D21" s="66">
        <f>D15</f>
        <v>1704.245175</v>
      </c>
      <c r="E21" s="66" t="s">
        <v>2</v>
      </c>
      <c r="F21" s="87">
        <v>48</v>
      </c>
      <c r="G21" s="88">
        <f t="shared" si="0"/>
        <v>89984.145240000013</v>
      </c>
      <c r="H21" s="66"/>
      <c r="J21" s="197"/>
    </row>
    <row r="22" spans="1:12" ht="21.75" x14ac:dyDescent="0.25">
      <c r="A22" s="65" t="s">
        <v>376</v>
      </c>
      <c r="B22" s="61"/>
      <c r="C22" s="61"/>
      <c r="D22" s="66">
        <f>D17</f>
        <v>1704.245175</v>
      </c>
      <c r="E22" s="66" t="s">
        <v>2</v>
      </c>
      <c r="F22" s="87">
        <v>16</v>
      </c>
      <c r="G22" s="88">
        <f t="shared" si="0"/>
        <v>29994.715080000002</v>
      </c>
      <c r="H22" s="66"/>
      <c r="J22" s="197"/>
    </row>
    <row r="23" spans="1:12" ht="21.75" x14ac:dyDescent="0.25">
      <c r="A23" s="221" t="s">
        <v>17</v>
      </c>
      <c r="B23" s="221"/>
      <c r="C23" s="221"/>
      <c r="D23" s="221"/>
      <c r="E23" s="221"/>
      <c r="F23" s="221"/>
      <c r="G23" s="89">
        <f>SUM(G10:G22)</f>
        <v>596836.88130000001</v>
      </c>
      <c r="H23" s="89"/>
      <c r="K23" s="54">
        <f>4160+1440+1120+2880+4800+91680+4000</f>
        <v>110080</v>
      </c>
      <c r="L23" s="54">
        <f>K23/21</f>
        <v>5241.9047619047615</v>
      </c>
    </row>
    <row r="25" spans="1:12" ht="21.75" x14ac:dyDescent="0.25">
      <c r="A25" s="231" t="s">
        <v>222</v>
      </c>
      <c r="B25" s="232"/>
      <c r="C25" s="232"/>
      <c r="D25" s="232"/>
      <c r="E25" s="232"/>
      <c r="F25" s="233"/>
      <c r="G25" s="90">
        <f>G23</f>
        <v>596836.88130000001</v>
      </c>
      <c r="H25" s="90">
        <f>G25/DADOS_INICIAIS!E9</f>
        <v>56.208062580344404</v>
      </c>
    </row>
    <row r="28" spans="1:12" x14ac:dyDescent="0.25">
      <c r="H28" s="197">
        <f>H25/1.1</f>
        <v>51.098238709404001</v>
      </c>
    </row>
  </sheetData>
  <mergeCells count="5">
    <mergeCell ref="A25:F25"/>
    <mergeCell ref="A3:H3"/>
    <mergeCell ref="B9:C9"/>
    <mergeCell ref="D9:E9"/>
    <mergeCell ref="A23:F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dimension ref="A1:J36"/>
  <sheetViews>
    <sheetView showGridLines="0" topLeftCell="A7" zoomScale="87" zoomScaleNormal="87" zoomScaleSheetLayoutView="95" workbookViewId="0">
      <selection activeCell="G25" sqref="G25"/>
    </sheetView>
  </sheetViews>
  <sheetFormatPr defaultColWidth="9.140625" defaultRowHeight="12.75" x14ac:dyDescent="0.25"/>
  <cols>
    <col min="1" max="1" width="45" style="1" bestFit="1" customWidth="1"/>
    <col min="2" max="2" width="14" style="113" customWidth="1"/>
    <col min="3" max="3" width="7.5703125" style="112" customWidth="1"/>
    <col min="4" max="4" width="10.7109375" style="111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9.140625" style="1"/>
    <col min="10" max="10" width="12.85546875" style="1" bestFit="1" customWidth="1"/>
    <col min="11" max="11" width="12" style="1" bestFit="1" customWidth="1"/>
    <col min="12" max="16384" width="9.140625" style="1"/>
  </cols>
  <sheetData>
    <row r="1" spans="1:10" x14ac:dyDescent="0.25">
      <c r="B1" s="2"/>
      <c r="C1" s="1"/>
      <c r="D1" s="1"/>
      <c r="G1" s="160"/>
      <c r="H1" s="160"/>
      <c r="I1" s="2"/>
    </row>
    <row r="2" spans="1:10" ht="12.75" customHeight="1" x14ac:dyDescent="0.25">
      <c r="A2" s="234" t="s">
        <v>188</v>
      </c>
      <c r="B2" s="2"/>
      <c r="C2" s="1"/>
      <c r="D2" s="1"/>
      <c r="G2" s="165"/>
      <c r="H2" s="165"/>
      <c r="I2" s="2"/>
    </row>
    <row r="3" spans="1:10" ht="12.75" customHeight="1" x14ac:dyDescent="0.25">
      <c r="A3" s="235"/>
      <c r="B3" s="2"/>
      <c r="C3" s="1"/>
      <c r="D3" s="1"/>
      <c r="G3" s="165"/>
      <c r="H3" s="165"/>
      <c r="I3" s="2"/>
    </row>
    <row r="4" spans="1:10" ht="12.75" customHeight="1" x14ac:dyDescent="0.25">
      <c r="A4" s="235"/>
      <c r="B4" s="2"/>
      <c r="C4" s="1"/>
      <c r="D4" s="1"/>
      <c r="G4" s="165"/>
      <c r="H4" s="165"/>
      <c r="I4" s="2"/>
    </row>
    <row r="5" spans="1:10" ht="13.5" thickBot="1" x14ac:dyDescent="0.3">
      <c r="A5" s="164"/>
      <c r="B5" s="163"/>
      <c r="C5" s="163"/>
      <c r="D5" s="163"/>
      <c r="E5" s="163"/>
      <c r="F5" s="163"/>
      <c r="G5" s="162"/>
      <c r="H5" s="162"/>
      <c r="I5" s="2"/>
    </row>
    <row r="6" spans="1:10" x14ac:dyDescent="0.25">
      <c r="A6" s="161"/>
      <c r="B6" s="2"/>
      <c r="C6" s="1"/>
      <c r="D6" s="1"/>
      <c r="G6" s="160"/>
      <c r="H6" s="160"/>
      <c r="I6" s="2"/>
    </row>
    <row r="7" spans="1:10" x14ac:dyDescent="0.25">
      <c r="A7" s="159" t="s">
        <v>187</v>
      </c>
      <c r="B7" s="158"/>
      <c r="C7" s="157"/>
      <c r="D7" s="157"/>
      <c r="E7" s="157"/>
      <c r="F7" s="157"/>
      <c r="G7" s="157"/>
      <c r="H7" s="156"/>
      <c r="I7" s="2"/>
    </row>
    <row r="8" spans="1:10" x14ac:dyDescent="0.25">
      <c r="A8" s="155" t="s">
        <v>0</v>
      </c>
      <c r="B8" s="154"/>
      <c r="C8" s="153"/>
      <c r="D8" s="153"/>
      <c r="E8" s="153"/>
      <c r="F8" s="153"/>
      <c r="G8" s="153"/>
      <c r="H8" s="152"/>
      <c r="I8" s="2"/>
    </row>
    <row r="9" spans="1:10" ht="15" customHeight="1" x14ac:dyDescent="0.25">
      <c r="A9" s="151" t="s">
        <v>186</v>
      </c>
      <c r="B9" s="150">
        <v>45481</v>
      </c>
      <c r="C9" s="149"/>
      <c r="D9" s="149"/>
      <c r="E9" s="149"/>
      <c r="F9" s="149"/>
      <c r="G9" s="149"/>
      <c r="H9" s="148"/>
    </row>
    <row r="10" spans="1:10" x14ac:dyDescent="0.25">
      <c r="A10" s="147" t="s">
        <v>1</v>
      </c>
      <c r="B10" s="146" t="s">
        <v>185</v>
      </c>
      <c r="C10" s="145"/>
      <c r="D10" s="145"/>
      <c r="E10" s="145"/>
      <c r="F10" s="145"/>
      <c r="G10" s="145"/>
      <c r="H10" s="144"/>
    </row>
    <row r="12" spans="1:10" x14ac:dyDescent="0.25">
      <c r="A12" s="143" t="s">
        <v>195</v>
      </c>
      <c r="B12" s="142"/>
      <c r="C12" s="141"/>
      <c r="D12" s="140"/>
      <c r="E12" s="139"/>
      <c r="F12" s="139"/>
      <c r="G12" s="139"/>
      <c r="H12" s="138"/>
    </row>
    <row r="13" spans="1:10" ht="15.95" customHeight="1" x14ac:dyDescent="0.25">
      <c r="A13" s="137"/>
      <c r="B13" s="136"/>
      <c r="C13" s="135"/>
      <c r="D13" s="134"/>
      <c r="E13" s="134"/>
      <c r="F13" s="134"/>
      <c r="H13" s="130"/>
      <c r="J13" s="114"/>
    </row>
    <row r="14" spans="1:10" ht="15.95" customHeight="1" x14ac:dyDescent="0.25">
      <c r="A14" s="133" t="s">
        <v>14</v>
      </c>
      <c r="B14" s="241" t="s">
        <v>18</v>
      </c>
      <c r="C14" s="242"/>
      <c r="D14" s="243" t="s">
        <v>5</v>
      </c>
      <c r="E14" s="244"/>
      <c r="F14" s="132" t="s">
        <v>183</v>
      </c>
      <c r="G14" s="131" t="s">
        <v>16</v>
      </c>
      <c r="H14" s="130"/>
      <c r="J14" s="114"/>
    </row>
    <row r="15" spans="1:10" ht="15.95" customHeight="1" x14ac:dyDescent="0.25">
      <c r="A15" s="173" t="s">
        <v>333</v>
      </c>
      <c r="B15" s="123">
        <f>'Acabamentos de Piso e Parede'!B32+'Acabamentos de Piso e Parede'!B36</f>
        <v>2594.8599999999997</v>
      </c>
      <c r="C15" s="128" t="s">
        <v>2</v>
      </c>
      <c r="D15" s="127">
        <v>16.5</v>
      </c>
      <c r="E15" s="129" t="s">
        <v>171</v>
      </c>
      <c r="F15" s="125" t="s">
        <v>170</v>
      </c>
      <c r="G15" s="124">
        <f>D15*B15*1.1</f>
        <v>47096.708999999995</v>
      </c>
      <c r="H15" s="130"/>
    </row>
    <row r="16" spans="1:10" ht="15.95" customHeight="1" x14ac:dyDescent="0.25">
      <c r="A16" s="173" t="s">
        <v>334</v>
      </c>
      <c r="B16" s="123">
        <f>'Acabamentos de Piso e Parede'!B34</f>
        <v>581.85</v>
      </c>
      <c r="C16" s="128" t="s">
        <v>2</v>
      </c>
      <c r="D16" s="127">
        <f>25-D22</f>
        <v>4</v>
      </c>
      <c r="E16" s="129" t="s">
        <v>171</v>
      </c>
      <c r="F16" s="125" t="s">
        <v>170</v>
      </c>
      <c r="G16" s="124">
        <f>D16*B16*1.1</f>
        <v>2560.1400000000003</v>
      </c>
      <c r="H16" s="130"/>
    </row>
    <row r="17" spans="1:8" ht="15.95" customHeight="1" x14ac:dyDescent="0.25">
      <c r="A17" s="173" t="s">
        <v>362</v>
      </c>
      <c r="B17" s="123">
        <f>'Acabamentos de Piso e Parede'!B33</f>
        <v>415.98</v>
      </c>
      <c r="C17" s="128" t="s">
        <v>2</v>
      </c>
      <c r="D17" s="127">
        <f>28-D23</f>
        <v>4</v>
      </c>
      <c r="E17" s="129" t="s">
        <v>171</v>
      </c>
      <c r="F17" s="125" t="s">
        <v>170</v>
      </c>
      <c r="G17" s="124">
        <f>D17*B17*1.1</f>
        <v>1830.3120000000001</v>
      </c>
      <c r="H17" s="130"/>
    </row>
    <row r="18" spans="1:8" ht="15.95" customHeight="1" x14ac:dyDescent="0.25">
      <c r="A18" s="171" t="s">
        <v>194</v>
      </c>
      <c r="B18" s="123">
        <f>6035.33+85</f>
        <v>6120.33</v>
      </c>
      <c r="C18" s="128" t="s">
        <v>2</v>
      </c>
      <c r="D18" s="127">
        <f>B18/DADOS_INICIAIS!E9</f>
        <v>0.5763918122872197</v>
      </c>
      <c r="E18" s="129" t="s">
        <v>190</v>
      </c>
      <c r="F18" s="125" t="s">
        <v>170</v>
      </c>
      <c r="G18" s="124">
        <f>+B18*(65-D24)*1.1</f>
        <v>269294.52</v>
      </c>
      <c r="H18" s="130"/>
    </row>
    <row r="19" spans="1:8" ht="15.95" customHeight="1" x14ac:dyDescent="0.25">
      <c r="A19" s="171" t="s">
        <v>193</v>
      </c>
      <c r="B19" s="123">
        <f>B18-562.05-85</f>
        <v>5473.28</v>
      </c>
      <c r="C19" s="128" t="s">
        <v>2</v>
      </c>
      <c r="D19" s="127">
        <f>B19/DADOS_INICIAIS!E9</f>
        <v>0.51545484938808761</v>
      </c>
      <c r="E19" s="129" t="s">
        <v>190</v>
      </c>
      <c r="F19" s="125" t="s">
        <v>170</v>
      </c>
      <c r="G19" s="124">
        <f>+B19*25*1.1</f>
        <v>150515.20000000001</v>
      </c>
      <c r="H19" s="130"/>
    </row>
    <row r="20" spans="1:8" ht="27" customHeight="1" x14ac:dyDescent="0.25">
      <c r="A20" s="172" t="s">
        <v>192</v>
      </c>
      <c r="B20" s="170">
        <f>DADOS_INICIAIS!E9*'Rev. Internos Piso e Parede'!D20</f>
        <v>19113.030000000002</v>
      </c>
      <c r="C20" s="169" t="s">
        <v>2</v>
      </c>
      <c r="D20" s="168">
        <v>1.8</v>
      </c>
      <c r="E20" s="126" t="s">
        <v>190</v>
      </c>
      <c r="F20" s="167" t="s">
        <v>170</v>
      </c>
      <c r="G20" s="124">
        <f>+B20*5*1.1-G25*0.1</f>
        <v>31536.499500000005</v>
      </c>
      <c r="H20" s="122"/>
    </row>
    <row r="21" spans="1:8" ht="27" customHeight="1" x14ac:dyDescent="0.25">
      <c r="A21" s="171" t="s">
        <v>191</v>
      </c>
      <c r="B21" s="170">
        <f>DADOS_INICIAIS!E9*'Rev. Internos Piso e Parede'!D21</f>
        <v>19113.030000000002</v>
      </c>
      <c r="C21" s="169" t="s">
        <v>2</v>
      </c>
      <c r="D21" s="168">
        <v>1.8</v>
      </c>
      <c r="E21" s="126" t="s">
        <v>190</v>
      </c>
      <c r="F21" s="167" t="s">
        <v>170</v>
      </c>
      <c r="G21" s="124">
        <f>50*B21*1.1-G25*0.9</f>
        <v>388950.1605</v>
      </c>
      <c r="H21" s="122"/>
    </row>
    <row r="22" spans="1:8" ht="27" customHeight="1" x14ac:dyDescent="0.25">
      <c r="A22" s="172" t="s">
        <v>377</v>
      </c>
      <c r="B22" s="123">
        <f>B16</f>
        <v>581.85</v>
      </c>
      <c r="C22" s="128" t="s">
        <v>2</v>
      </c>
      <c r="D22" s="168">
        <v>21</v>
      </c>
      <c r="E22" s="129" t="s">
        <v>171</v>
      </c>
      <c r="F22" s="125" t="s">
        <v>170</v>
      </c>
      <c r="G22" s="124">
        <f t="shared" ref="G22:G25" si="0">D22*B22*1.1</f>
        <v>13440.735000000001</v>
      </c>
      <c r="H22" s="122"/>
    </row>
    <row r="23" spans="1:8" ht="27" customHeight="1" x14ac:dyDescent="0.25">
      <c r="A23" s="172" t="s">
        <v>378</v>
      </c>
      <c r="B23" s="123">
        <f>B17</f>
        <v>415.98</v>
      </c>
      <c r="C23" s="128" t="s">
        <v>2</v>
      </c>
      <c r="D23" s="168">
        <v>24</v>
      </c>
      <c r="E23" s="129" t="s">
        <v>171</v>
      </c>
      <c r="F23" s="125" t="s">
        <v>170</v>
      </c>
      <c r="G23" s="124">
        <f t="shared" si="0"/>
        <v>10981.872000000001</v>
      </c>
      <c r="H23" s="122"/>
    </row>
    <row r="24" spans="1:8" ht="27" customHeight="1" x14ac:dyDescent="0.25">
      <c r="A24" s="172" t="s">
        <v>379</v>
      </c>
      <c r="B24" s="123">
        <f>B18</f>
        <v>6120.33</v>
      </c>
      <c r="C24" s="128" t="s">
        <v>2</v>
      </c>
      <c r="D24" s="168">
        <v>25</v>
      </c>
      <c r="E24" s="129" t="s">
        <v>171</v>
      </c>
      <c r="F24" s="125" t="s">
        <v>170</v>
      </c>
      <c r="G24" s="124">
        <f t="shared" si="0"/>
        <v>168309.07500000001</v>
      </c>
      <c r="H24" s="122"/>
    </row>
    <row r="25" spans="1:8" ht="27" customHeight="1" x14ac:dyDescent="0.25">
      <c r="A25" s="250" t="s">
        <v>380</v>
      </c>
      <c r="B25" s="123">
        <f>B20</f>
        <v>19113.030000000002</v>
      </c>
      <c r="C25" s="128" t="s">
        <v>2</v>
      </c>
      <c r="D25" s="251">
        <v>35</v>
      </c>
      <c r="E25" s="129" t="s">
        <v>171</v>
      </c>
      <c r="F25" s="125" t="s">
        <v>170</v>
      </c>
      <c r="G25" s="124">
        <f t="shared" si="0"/>
        <v>735851.65500000014</v>
      </c>
      <c r="H25" s="122"/>
    </row>
    <row r="26" spans="1:8" ht="15.95" customHeight="1" x14ac:dyDescent="0.25">
      <c r="A26" s="239" t="s">
        <v>17</v>
      </c>
      <c r="B26" s="240"/>
      <c r="C26" s="240"/>
      <c r="D26" s="240"/>
      <c r="E26" s="240"/>
      <c r="F26" s="240"/>
      <c r="G26" s="121">
        <f>SUM(G15:G25)</f>
        <v>1820366.878</v>
      </c>
      <c r="H26" s="120"/>
    </row>
    <row r="27" spans="1:8" ht="15.95" customHeight="1" x14ac:dyDescent="0.25">
      <c r="A27" s="237"/>
      <c r="B27" s="238"/>
      <c r="C27" s="238"/>
      <c r="D27" s="238"/>
      <c r="E27" s="238"/>
      <c r="F27" s="238"/>
      <c r="G27" s="166"/>
      <c r="H27" s="117"/>
    </row>
    <row r="29" spans="1:8" x14ac:dyDescent="0.25">
      <c r="A29" s="236" t="s">
        <v>189</v>
      </c>
      <c r="B29" s="236"/>
      <c r="C29" s="236"/>
      <c r="D29" s="236"/>
      <c r="E29" s="236"/>
      <c r="F29" s="236"/>
      <c r="G29" s="116">
        <f>G26</f>
        <v>1820366.878</v>
      </c>
      <c r="H29" s="115">
        <f>G29/DADOS_INICIAIS!E9</f>
        <v>171.43594607448426</v>
      </c>
    </row>
    <row r="31" spans="1:8" x14ac:dyDescent="0.25">
      <c r="H31" s="114">
        <f>H29/1.1</f>
        <v>155.85086006771294</v>
      </c>
    </row>
    <row r="36" spans="2:2" x14ac:dyDescent="0.25">
      <c r="B36" s="113">
        <f>B18/(B15+B16+B17)</f>
        <v>1.7035508212509292</v>
      </c>
    </row>
  </sheetData>
  <mergeCells count="6">
    <mergeCell ref="A2:A4"/>
    <mergeCell ref="A29:F29"/>
    <mergeCell ref="A27:F27"/>
    <mergeCell ref="A26:F26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dimension ref="A1:L21"/>
  <sheetViews>
    <sheetView showGridLines="0" topLeftCell="B1" zoomScale="80" zoomScaleNormal="80" zoomScaleSheetLayoutView="95" workbookViewId="0">
      <selection activeCell="G12" sqref="G12:G13"/>
    </sheetView>
  </sheetViews>
  <sheetFormatPr defaultColWidth="9.140625" defaultRowHeight="15" x14ac:dyDescent="0.25"/>
  <cols>
    <col min="1" max="1" width="50.140625" style="54" customWidth="1"/>
    <col min="2" max="2" width="21.7109375" style="54" customWidth="1"/>
    <col min="3" max="3" width="26.5703125" style="54" customWidth="1"/>
    <col min="4" max="4" width="16.5703125" style="80" customWidth="1"/>
    <col min="5" max="5" width="19.5703125" style="81" customWidth="1"/>
    <col min="6" max="6" width="20.85546875" style="54" customWidth="1"/>
    <col min="7" max="7" width="23.5703125" style="54" customWidth="1"/>
    <col min="8" max="8" width="58.28515625" style="54" customWidth="1"/>
    <col min="9" max="9" width="11.28515625" style="54" customWidth="1"/>
    <col min="10" max="10" width="9.140625" style="54"/>
    <col min="11" max="11" width="11" style="54" bestFit="1" customWidth="1"/>
    <col min="12" max="12" width="11.28515625" style="54" bestFit="1" customWidth="1"/>
    <col min="13" max="13" width="9.140625" style="54"/>
    <col min="14" max="15" width="11" style="54" bestFit="1" customWidth="1"/>
    <col min="16" max="16384" width="9.140625" style="54"/>
  </cols>
  <sheetData>
    <row r="1" spans="1:12" x14ac:dyDescent="0.25">
      <c r="D1" s="78"/>
      <c r="E1" s="54"/>
      <c r="H1" s="79"/>
      <c r="I1" s="79"/>
      <c r="J1" s="78"/>
    </row>
    <row r="3" spans="1:12" ht="28.5" x14ac:dyDescent="0.25">
      <c r="A3" s="222" t="s">
        <v>324</v>
      </c>
      <c r="B3" s="230"/>
      <c r="C3" s="230"/>
      <c r="D3" s="223"/>
      <c r="E3" s="223"/>
      <c r="F3" s="223"/>
      <c r="G3" s="223"/>
      <c r="H3" s="224"/>
      <c r="J3" s="78"/>
    </row>
    <row r="4" spans="1:12" ht="19.5" x14ac:dyDescent="0.25">
      <c r="A4" s="188" t="s">
        <v>186</v>
      </c>
      <c r="B4" s="194">
        <v>45481</v>
      </c>
      <c r="C4" s="192"/>
      <c r="D4" s="192"/>
      <c r="E4" s="192"/>
      <c r="F4" s="192"/>
      <c r="G4" s="192"/>
      <c r="H4" s="193"/>
      <c r="J4" s="78"/>
    </row>
    <row r="5" spans="1:12" ht="19.5" x14ac:dyDescent="0.25">
      <c r="A5" s="188" t="s">
        <v>299</v>
      </c>
      <c r="B5" s="195" t="s">
        <v>216</v>
      </c>
      <c r="C5" s="190"/>
      <c r="D5" s="190"/>
      <c r="E5" s="190"/>
      <c r="F5" s="190"/>
      <c r="G5" s="190"/>
      <c r="H5" s="191"/>
      <c r="J5" s="78"/>
    </row>
    <row r="6" spans="1:12" ht="21.75" x14ac:dyDescent="0.25">
      <c r="A6" s="82"/>
      <c r="B6" s="82"/>
      <c r="C6" s="82"/>
      <c r="D6" s="82"/>
      <c r="E6" s="82"/>
      <c r="F6" s="83"/>
      <c r="G6" s="84"/>
      <c r="H6" s="84"/>
      <c r="J6" s="78"/>
    </row>
    <row r="7" spans="1:12" ht="21.75" x14ac:dyDescent="0.25">
      <c r="A7" s="51" t="s">
        <v>184</v>
      </c>
      <c r="B7" s="51"/>
      <c r="C7" s="51"/>
      <c r="D7" s="52"/>
      <c r="E7" s="52"/>
      <c r="F7" s="53"/>
      <c r="G7" s="52"/>
      <c r="H7" s="52"/>
    </row>
    <row r="8" spans="1:12" ht="21.75" x14ac:dyDescent="0.25">
      <c r="A8" s="55"/>
      <c r="B8" s="55"/>
      <c r="C8" s="55"/>
      <c r="D8" s="56"/>
      <c r="E8" s="56"/>
      <c r="F8" s="57"/>
      <c r="G8" s="58"/>
      <c r="H8" s="58"/>
    </row>
    <row r="9" spans="1:12" ht="42" customHeight="1" x14ac:dyDescent="0.25">
      <c r="A9" s="62" t="s">
        <v>14</v>
      </c>
      <c r="B9" s="226" t="s">
        <v>5</v>
      </c>
      <c r="C9" s="227"/>
      <c r="D9" s="226" t="s">
        <v>18</v>
      </c>
      <c r="E9" s="227"/>
      <c r="F9" s="64" t="s">
        <v>118</v>
      </c>
      <c r="G9" s="70" t="s">
        <v>16</v>
      </c>
      <c r="H9" s="89" t="s">
        <v>302</v>
      </c>
    </row>
    <row r="10" spans="1:12" ht="21.75" x14ac:dyDescent="0.25">
      <c r="A10" s="65" t="s">
        <v>364</v>
      </c>
      <c r="B10" s="61">
        <f>D10/DADOS_INICIAIS!$E$9</f>
        <v>0.5763918122872197</v>
      </c>
      <c r="C10" s="61" t="s">
        <v>37</v>
      </c>
      <c r="D10" s="66">
        <f>'Rev. Internos Piso e Parede'!B18</f>
        <v>6120.33</v>
      </c>
      <c r="E10" s="66" t="s">
        <v>2</v>
      </c>
      <c r="F10" s="87">
        <v>65</v>
      </c>
      <c r="G10" s="88">
        <f>F10*D10*1.1</f>
        <v>437603.59500000003</v>
      </c>
      <c r="H10" s="66"/>
    </row>
    <row r="11" spans="1:12" ht="21.75" x14ac:dyDescent="0.25">
      <c r="A11" s="77" t="s">
        <v>198</v>
      </c>
      <c r="B11" s="61">
        <v>1.2</v>
      </c>
      <c r="C11" s="61" t="s">
        <v>322</v>
      </c>
      <c r="D11" s="66">
        <f>(D10)*B11</f>
        <v>7344.3959999999997</v>
      </c>
      <c r="E11" s="66" t="s">
        <v>2</v>
      </c>
      <c r="F11" s="87">
        <v>22</v>
      </c>
      <c r="G11" s="88">
        <f>F11*D11*1.1</f>
        <v>177734.38320000001</v>
      </c>
      <c r="H11" s="66"/>
    </row>
    <row r="12" spans="1:12" ht="21.75" x14ac:dyDescent="0.25">
      <c r="A12" s="77" t="s">
        <v>197</v>
      </c>
      <c r="B12" s="61">
        <f>D12/DADOS_INICIAIS!$E$9</f>
        <v>0.33834729501287858</v>
      </c>
      <c r="C12" s="61" t="s">
        <v>37</v>
      </c>
      <c r="D12" s="66">
        <f>'Rev. Internos Piso e Parede'!B15+'Rev. Internos Piso e Parede'!B16+'Rev. Internos Piso e Parede'!B17</f>
        <v>3592.6899999999996</v>
      </c>
      <c r="E12" s="66" t="s">
        <v>2</v>
      </c>
      <c r="F12" s="87">
        <f>24-F13</f>
        <v>3</v>
      </c>
      <c r="G12" s="88">
        <f>F12*D12*1.1</f>
        <v>11855.877</v>
      </c>
      <c r="H12" s="66"/>
    </row>
    <row r="13" spans="1:12" ht="21.75" x14ac:dyDescent="0.25">
      <c r="A13" s="214" t="s">
        <v>381</v>
      </c>
      <c r="B13" s="61"/>
      <c r="C13" s="61"/>
      <c r="D13" s="66">
        <f>D12</f>
        <v>3592.6899999999996</v>
      </c>
      <c r="E13" s="66" t="s">
        <v>2</v>
      </c>
      <c r="F13" s="87">
        <f>21</f>
        <v>21</v>
      </c>
      <c r="G13" s="88">
        <f>F13*D13*1.1</f>
        <v>82991.138999999996</v>
      </c>
      <c r="H13" s="66"/>
    </row>
    <row r="14" spans="1:12" ht="21.75" x14ac:dyDescent="0.25">
      <c r="A14" s="221" t="s">
        <v>17</v>
      </c>
      <c r="B14" s="221"/>
      <c r="C14" s="221"/>
      <c r="D14" s="221"/>
      <c r="E14" s="221"/>
      <c r="F14" s="221"/>
      <c r="G14" s="89">
        <f>SUM(G10:G13)</f>
        <v>710184.99419999996</v>
      </c>
      <c r="H14" s="89"/>
      <c r="K14" s="54">
        <f>4160+1440+1120+2880+4800+91680+4000</f>
        <v>110080</v>
      </c>
      <c r="L14" s="54">
        <f>K14/21</f>
        <v>5241.9047619047615</v>
      </c>
    </row>
    <row r="16" spans="1:12" ht="21.75" x14ac:dyDescent="0.25">
      <c r="A16" s="231" t="s">
        <v>354</v>
      </c>
      <c r="B16" s="232"/>
      <c r="C16" s="232"/>
      <c r="D16" s="232"/>
      <c r="E16" s="232"/>
      <c r="F16" s="233"/>
      <c r="G16" s="90">
        <f>G14</f>
        <v>710184.99419999996</v>
      </c>
      <c r="H16" s="90">
        <f>G16/DADOS_INICIAIS!E9</f>
        <v>66.882801395697072</v>
      </c>
    </row>
    <row r="19" spans="3:8" x14ac:dyDescent="0.25">
      <c r="H19" s="197">
        <f>H16/1.1</f>
        <v>60.802546723360969</v>
      </c>
    </row>
    <row r="20" spans="3:8" x14ac:dyDescent="0.25">
      <c r="C20" s="54">
        <f>461.5-353.75</f>
        <v>107.75</v>
      </c>
    </row>
    <row r="21" spans="3:8" x14ac:dyDescent="0.25">
      <c r="C21" s="54">
        <f>353.75-41.5</f>
        <v>312.25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dimension ref="A1:K83"/>
  <sheetViews>
    <sheetView showGridLines="0" topLeftCell="A10" zoomScaleNormal="100" zoomScaleSheetLayoutView="95" workbookViewId="0">
      <selection activeCell="I26" sqref="I26"/>
    </sheetView>
  </sheetViews>
  <sheetFormatPr defaultColWidth="9.140625" defaultRowHeight="12.75" x14ac:dyDescent="0.25"/>
  <cols>
    <col min="1" max="1" width="47.42578125" style="1" customWidth="1"/>
    <col min="2" max="2" width="14" style="113" customWidth="1"/>
    <col min="3" max="3" width="7.5703125" style="112" customWidth="1"/>
    <col min="4" max="4" width="10.7109375" style="111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1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60"/>
      <c r="H1" s="160"/>
      <c r="I1" s="2"/>
    </row>
    <row r="2" spans="1:11" ht="12.75" customHeight="1" x14ac:dyDescent="0.25">
      <c r="A2" s="234" t="s">
        <v>188</v>
      </c>
      <c r="B2" s="2"/>
      <c r="C2" s="1"/>
      <c r="D2" s="1"/>
      <c r="G2" s="165"/>
      <c r="H2" s="165"/>
      <c r="I2" s="2"/>
    </row>
    <row r="3" spans="1:11" ht="12.75" customHeight="1" x14ac:dyDescent="0.25">
      <c r="A3" s="235"/>
      <c r="B3" s="2"/>
      <c r="C3" s="1"/>
      <c r="D3" s="1"/>
      <c r="G3" s="165"/>
      <c r="H3" s="165"/>
      <c r="I3" s="2"/>
    </row>
    <row r="4" spans="1:11" ht="12.75" customHeight="1" x14ac:dyDescent="0.25">
      <c r="A4" s="235"/>
      <c r="B4" s="2"/>
      <c r="C4" s="1"/>
      <c r="D4" s="1"/>
      <c r="G4" s="165"/>
      <c r="H4" s="165"/>
      <c r="I4" s="2"/>
    </row>
    <row r="5" spans="1:11" ht="13.5" thickBot="1" x14ac:dyDescent="0.3">
      <c r="A5" s="164"/>
      <c r="B5" s="163"/>
      <c r="C5" s="163"/>
      <c r="D5" s="163"/>
      <c r="E5" s="163"/>
      <c r="F5" s="163"/>
      <c r="G5" s="162"/>
      <c r="H5" s="162"/>
      <c r="I5" s="2"/>
    </row>
    <row r="6" spans="1:11" x14ac:dyDescent="0.25">
      <c r="A6" s="161"/>
      <c r="B6" s="2"/>
      <c r="C6" s="1"/>
      <c r="D6" s="1"/>
      <c r="G6" s="160"/>
      <c r="H6" s="160"/>
      <c r="I6" s="2"/>
    </row>
    <row r="7" spans="1:11" x14ac:dyDescent="0.25">
      <c r="A7" s="159" t="s">
        <v>187</v>
      </c>
      <c r="B7" s="158"/>
      <c r="C7" s="157"/>
      <c r="D7" s="157"/>
      <c r="E7" s="157"/>
      <c r="F7" s="157"/>
      <c r="G7" s="157"/>
      <c r="H7" s="156"/>
      <c r="I7" s="2"/>
    </row>
    <row r="8" spans="1:11" x14ac:dyDescent="0.25">
      <c r="A8" s="155" t="s">
        <v>0</v>
      </c>
      <c r="B8" s="154"/>
      <c r="C8" s="153"/>
      <c r="D8" s="153"/>
      <c r="E8" s="153"/>
      <c r="F8" s="153"/>
      <c r="G8" s="153"/>
      <c r="H8" s="152"/>
      <c r="I8" s="2"/>
    </row>
    <row r="9" spans="1:11" ht="15" customHeight="1" x14ac:dyDescent="0.25">
      <c r="A9" s="151" t="s">
        <v>186</v>
      </c>
      <c r="B9" s="150">
        <v>45481</v>
      </c>
      <c r="C9" s="149"/>
      <c r="D9" s="149"/>
      <c r="E9" s="149"/>
      <c r="F9" s="149"/>
      <c r="G9" s="149"/>
      <c r="H9" s="148"/>
    </row>
    <row r="10" spans="1:11" x14ac:dyDescent="0.25">
      <c r="A10" s="147" t="s">
        <v>1</v>
      </c>
      <c r="B10" s="146" t="s">
        <v>185</v>
      </c>
      <c r="C10" s="145"/>
      <c r="D10" s="145"/>
      <c r="E10" s="145"/>
      <c r="F10" s="145"/>
      <c r="G10" s="145"/>
      <c r="H10" s="144"/>
    </row>
    <row r="12" spans="1:11" x14ac:dyDescent="0.25">
      <c r="A12" s="143" t="s">
        <v>210</v>
      </c>
      <c r="B12" s="142"/>
      <c r="C12" s="141"/>
      <c r="D12" s="140"/>
      <c r="E12" s="139"/>
      <c r="F12" s="139"/>
      <c r="G12" s="139"/>
      <c r="H12" s="138"/>
    </row>
    <row r="13" spans="1:11" ht="15.95" customHeight="1" x14ac:dyDescent="0.25">
      <c r="A13" s="137"/>
      <c r="B13" s="136"/>
      <c r="C13" s="135"/>
      <c r="D13" s="134"/>
      <c r="E13" s="134"/>
      <c r="F13" s="134"/>
      <c r="H13" s="130"/>
    </row>
    <row r="14" spans="1:11" ht="15.95" customHeight="1" x14ac:dyDescent="0.25">
      <c r="A14" s="133" t="s">
        <v>14</v>
      </c>
      <c r="B14" s="241" t="s">
        <v>18</v>
      </c>
      <c r="C14" s="242"/>
      <c r="D14" s="243" t="s">
        <v>5</v>
      </c>
      <c r="E14" s="244"/>
      <c r="F14" s="132" t="s">
        <v>183</v>
      </c>
      <c r="G14" s="131" t="s">
        <v>16</v>
      </c>
      <c r="H14" s="252">
        <f>G19/I14</f>
        <v>5840.0925000000007</v>
      </c>
      <c r="I14" s="2">
        <f>40+20</f>
        <v>60</v>
      </c>
    </row>
    <row r="15" spans="1:11" ht="15.95" customHeight="1" x14ac:dyDescent="0.25">
      <c r="A15" s="171" t="s">
        <v>209</v>
      </c>
      <c r="B15" s="179">
        <f>B31</f>
        <v>6090.33</v>
      </c>
      <c r="C15" s="169" t="s">
        <v>206</v>
      </c>
      <c r="D15" s="177">
        <f>125-D22</f>
        <v>77</v>
      </c>
      <c r="E15" s="126" t="s">
        <v>171</v>
      </c>
      <c r="F15" s="167" t="s">
        <v>170</v>
      </c>
      <c r="G15" s="124">
        <f>+D15*B15*1.1</f>
        <v>515850.951</v>
      </c>
      <c r="H15" s="130"/>
      <c r="I15" s="1">
        <f>40/I14</f>
        <v>0.66666666666666663</v>
      </c>
      <c r="J15" s="114">
        <f>I15*G19</f>
        <v>233603.7</v>
      </c>
      <c r="K15" s="114"/>
    </row>
    <row r="16" spans="1:11" ht="15.95" customHeight="1" x14ac:dyDescent="0.25">
      <c r="A16" s="181" t="s">
        <v>208</v>
      </c>
      <c r="B16" s="179">
        <f>B37</f>
        <v>144.899</v>
      </c>
      <c r="C16" s="169" t="s">
        <v>206</v>
      </c>
      <c r="D16" s="177">
        <f>250-D23</f>
        <v>200</v>
      </c>
      <c r="E16" s="126" t="s">
        <v>171</v>
      </c>
      <c r="F16" s="167" t="s">
        <v>170</v>
      </c>
      <c r="G16" s="124">
        <f t="shared" ref="G16:G18" si="0">+D16*B16*1.1</f>
        <v>31877.780000000002</v>
      </c>
      <c r="H16" s="130"/>
      <c r="I16" s="1">
        <f>20/I14</f>
        <v>0.33333333333333331</v>
      </c>
      <c r="J16" s="114">
        <f>I16*G19</f>
        <v>116801.85</v>
      </c>
    </row>
    <row r="17" spans="1:10" ht="15.95" customHeight="1" x14ac:dyDescent="0.25">
      <c r="A17" s="181" t="s">
        <v>363</v>
      </c>
      <c r="B17" s="179">
        <f>B35</f>
        <v>30</v>
      </c>
      <c r="C17" s="169" t="s">
        <v>206</v>
      </c>
      <c r="D17" s="177">
        <v>210</v>
      </c>
      <c r="E17" s="126" t="s">
        <v>171</v>
      </c>
      <c r="F17" s="167" t="s">
        <v>170</v>
      </c>
      <c r="G17" s="124">
        <f t="shared" si="0"/>
        <v>6930.0000000000009</v>
      </c>
      <c r="H17" s="130"/>
    </row>
    <row r="18" spans="1:10" ht="15.95" customHeight="1" x14ac:dyDescent="0.25">
      <c r="A18" s="171" t="s">
        <v>207</v>
      </c>
      <c r="B18" s="179">
        <f>DADOS_INICIAIS!E8-DADOS_INICIAIS!E25</f>
        <v>360.4</v>
      </c>
      <c r="C18" s="169" t="s">
        <v>206</v>
      </c>
      <c r="D18" s="177">
        <f>60-D24</f>
        <v>42</v>
      </c>
      <c r="E18" s="126" t="s">
        <v>171</v>
      </c>
      <c r="F18" s="167" t="s">
        <v>170</v>
      </c>
      <c r="G18" s="124">
        <f t="shared" si="0"/>
        <v>16650.48</v>
      </c>
      <c r="H18" s="130"/>
    </row>
    <row r="19" spans="1:10" ht="15.95" customHeight="1" x14ac:dyDescent="0.25">
      <c r="A19" s="181" t="s">
        <v>205</v>
      </c>
      <c r="B19" s="179">
        <v>1</v>
      </c>
      <c r="C19" s="169" t="s">
        <v>27</v>
      </c>
      <c r="D19" s="177">
        <v>30</v>
      </c>
      <c r="E19" s="126" t="s">
        <v>6</v>
      </c>
      <c r="F19" s="167" t="s">
        <v>170</v>
      </c>
      <c r="G19" s="124">
        <f>D19*DADOS_INICIAIS!$E$9*1.1</f>
        <v>350405.55000000005</v>
      </c>
      <c r="H19" s="252">
        <f>G20/I19</f>
        <v>2511.867741935484</v>
      </c>
      <c r="I19" s="1">
        <f>81+12</f>
        <v>93</v>
      </c>
    </row>
    <row r="20" spans="1:10" ht="15.95" customHeight="1" x14ac:dyDescent="0.25">
      <c r="A20" s="180" t="s">
        <v>204</v>
      </c>
      <c r="B20" s="179">
        <v>1</v>
      </c>
      <c r="C20" s="169" t="s">
        <v>27</v>
      </c>
      <c r="D20" s="177">
        <v>20</v>
      </c>
      <c r="E20" s="126" t="s">
        <v>6</v>
      </c>
      <c r="F20" s="167" t="s">
        <v>170</v>
      </c>
      <c r="G20" s="124">
        <f>D20*DADOS_INICIAIS!$E$9*1.1</f>
        <v>233603.7</v>
      </c>
      <c r="H20" s="130"/>
      <c r="I20" s="1">
        <f>81/I19</f>
        <v>0.87096774193548387</v>
      </c>
      <c r="J20" s="114">
        <f>I20*G20</f>
        <v>203461.28709677421</v>
      </c>
    </row>
    <row r="21" spans="1:10" ht="15.95" customHeight="1" x14ac:dyDescent="0.25">
      <c r="A21" s="178" t="s">
        <v>203</v>
      </c>
      <c r="B21" s="170">
        <v>1</v>
      </c>
      <c r="C21" s="169" t="s">
        <v>27</v>
      </c>
      <c r="D21" s="177">
        <f>50*0.4</f>
        <v>20</v>
      </c>
      <c r="E21" s="126" t="s">
        <v>6</v>
      </c>
      <c r="F21" s="167" t="s">
        <v>170</v>
      </c>
      <c r="G21" s="124">
        <f>D21*DADOS_INICIAIS!$E$9*1.1</f>
        <v>233603.7</v>
      </c>
      <c r="H21" s="122"/>
      <c r="I21" s="1">
        <f>12/I19</f>
        <v>0.12903225806451613</v>
      </c>
      <c r="J21" s="114">
        <f>I21*G20</f>
        <v>30142.412903225806</v>
      </c>
    </row>
    <row r="22" spans="1:10" ht="15.95" customHeight="1" x14ac:dyDescent="0.25">
      <c r="A22" s="178" t="s">
        <v>382</v>
      </c>
      <c r="B22" s="170">
        <f>B15</f>
        <v>6090.33</v>
      </c>
      <c r="C22" s="169" t="s">
        <v>206</v>
      </c>
      <c r="D22" s="177">
        <v>48</v>
      </c>
      <c r="E22" s="126" t="s">
        <v>171</v>
      </c>
      <c r="F22" s="167"/>
      <c r="G22" s="124">
        <f t="shared" ref="G22:G24" si="1">+D22*B22*1.1</f>
        <v>321569.424</v>
      </c>
      <c r="H22" s="253">
        <f>G21/I22</f>
        <v>1229.4931578947369</v>
      </c>
      <c r="I22" s="1">
        <f>145+45</f>
        <v>190</v>
      </c>
    </row>
    <row r="23" spans="1:10" ht="15.95" customHeight="1" x14ac:dyDescent="0.25">
      <c r="A23" s="181" t="s">
        <v>383</v>
      </c>
      <c r="B23" s="179">
        <f>B16</f>
        <v>144.899</v>
      </c>
      <c r="C23" s="169" t="s">
        <v>206</v>
      </c>
      <c r="D23" s="177">
        <v>50</v>
      </c>
      <c r="E23" s="126" t="s">
        <v>171</v>
      </c>
      <c r="F23" s="167"/>
      <c r="G23" s="124">
        <f t="shared" si="1"/>
        <v>7969.4450000000006</v>
      </c>
      <c r="H23" s="130"/>
      <c r="I23" s="1">
        <f>145/I22</f>
        <v>0.76315789473684215</v>
      </c>
      <c r="J23" s="114">
        <f>I23*G21</f>
        <v>178276.50789473686</v>
      </c>
    </row>
    <row r="24" spans="1:10" ht="15.95" customHeight="1" x14ac:dyDescent="0.25">
      <c r="A24" s="181" t="s">
        <v>384</v>
      </c>
      <c r="B24" s="179">
        <f>B18</f>
        <v>360.4</v>
      </c>
      <c r="C24" s="169" t="s">
        <v>206</v>
      </c>
      <c r="D24" s="177">
        <v>18</v>
      </c>
      <c r="E24" s="126" t="s">
        <v>171</v>
      </c>
      <c r="F24" s="167"/>
      <c r="G24" s="124">
        <f t="shared" si="1"/>
        <v>7135.92</v>
      </c>
      <c r="H24" s="130"/>
      <c r="I24" s="1">
        <f>45/I22</f>
        <v>0.23684210526315788</v>
      </c>
      <c r="J24" s="114">
        <f>I24*G21</f>
        <v>55327.192105263159</v>
      </c>
    </row>
    <row r="25" spans="1:10" ht="15.95" customHeight="1" x14ac:dyDescent="0.25">
      <c r="A25" s="247">
        <f>20*40</f>
        <v>800</v>
      </c>
      <c r="B25" s="236"/>
      <c r="C25" s="236"/>
      <c r="D25" s="236"/>
      <c r="E25" s="236"/>
      <c r="F25" s="236"/>
      <c r="G25" s="176">
        <f>SUM(G15:G24)</f>
        <v>1725596.95</v>
      </c>
      <c r="H25" s="120"/>
    </row>
    <row r="26" spans="1:10" ht="15.95" customHeight="1" x14ac:dyDescent="0.25">
      <c r="A26" s="245"/>
      <c r="B26" s="246"/>
      <c r="C26" s="246"/>
      <c r="D26" s="246"/>
      <c r="E26" s="246"/>
      <c r="F26" s="246"/>
      <c r="G26" s="166"/>
      <c r="H26" s="117"/>
    </row>
    <row r="27" spans="1:10" ht="15.95" customHeight="1" x14ac:dyDescent="0.25">
      <c r="A27" s="119"/>
      <c r="B27" s="118"/>
      <c r="C27" s="118"/>
      <c r="D27" s="118"/>
      <c r="E27" s="118"/>
      <c r="F27" s="118"/>
      <c r="G27" s="166"/>
      <c r="H27" s="117"/>
    </row>
    <row r="28" spans="1:10" x14ac:dyDescent="0.25">
      <c r="A28" s="236" t="s">
        <v>202</v>
      </c>
      <c r="B28" s="236"/>
      <c r="C28" s="236"/>
      <c r="D28" s="236"/>
      <c r="E28" s="236"/>
      <c r="F28" s="236"/>
      <c r="G28" s="116">
        <f>G25</f>
        <v>1725596.95</v>
      </c>
      <c r="H28" s="115">
        <f>G28/DADOS_INICIAIS!E9</f>
        <v>162.51083737115465</v>
      </c>
    </row>
    <row r="30" spans="1:10" ht="15" x14ac:dyDescent="0.25">
      <c r="B30"/>
      <c r="C30"/>
      <c r="D30"/>
      <c r="E30"/>
      <c r="F30"/>
      <c r="G30"/>
      <c r="H30" s="175">
        <f>H28/1.1</f>
        <v>147.73712488286785</v>
      </c>
    </row>
    <row r="31" spans="1:10" ht="15" x14ac:dyDescent="0.25">
      <c r="A31" s="199" t="s">
        <v>201</v>
      </c>
      <c r="B31" s="114">
        <f>6005.33+85</f>
        <v>6090.33</v>
      </c>
      <c r="D31"/>
      <c r="E31"/>
      <c r="F31"/>
      <c r="G31"/>
      <c r="H31" s="112"/>
    </row>
    <row r="32" spans="1:10" ht="15" x14ac:dyDescent="0.25">
      <c r="A32" s="183" t="s">
        <v>351</v>
      </c>
      <c r="B32" s="114">
        <v>2594.8599999999997</v>
      </c>
      <c r="D32"/>
      <c r="E32"/>
      <c r="F32">
        <f>6300-576+461+573</f>
        <v>6758</v>
      </c>
      <c r="G32"/>
      <c r="H32"/>
    </row>
    <row r="33" spans="1:11" ht="15" x14ac:dyDescent="0.25">
      <c r="A33" s="182" t="s">
        <v>359</v>
      </c>
      <c r="B33" s="1">
        <v>415.98</v>
      </c>
      <c r="D33"/>
      <c r="E33"/>
      <c r="F33"/>
      <c r="G33"/>
      <c r="H33" s="175"/>
      <c r="K33" s="114"/>
    </row>
    <row r="34" spans="1:11" ht="15" x14ac:dyDescent="0.25">
      <c r="A34" s="1" t="s">
        <v>353</v>
      </c>
      <c r="B34" s="2">
        <v>581.85</v>
      </c>
      <c r="D34"/>
      <c r="E34"/>
      <c r="F34"/>
      <c r="G34"/>
      <c r="H34" s="175"/>
    </row>
    <row r="35" spans="1:11" ht="15" x14ac:dyDescent="0.25">
      <c r="A35" s="1" t="s">
        <v>360</v>
      </c>
      <c r="B35" s="1">
        <v>30</v>
      </c>
      <c r="D35"/>
      <c r="E35"/>
      <c r="F35"/>
      <c r="G35"/>
      <c r="H35" s="175"/>
    </row>
    <row r="36" spans="1:11" ht="15" x14ac:dyDescent="0.25">
      <c r="A36" s="1" t="s">
        <v>361</v>
      </c>
      <c r="B36" s="2"/>
      <c r="D36"/>
      <c r="E36"/>
      <c r="F36"/>
      <c r="G36"/>
      <c r="H36"/>
    </row>
    <row r="37" spans="1:11" ht="15" x14ac:dyDescent="0.25">
      <c r="A37" s="1" t="s">
        <v>332</v>
      </c>
      <c r="B37" s="1">
        <v>144.899</v>
      </c>
      <c r="D37"/>
      <c r="E37"/>
      <c r="F37"/>
      <c r="G37"/>
      <c r="H37"/>
    </row>
    <row r="38" spans="1:11" ht="15" x14ac:dyDescent="0.25">
      <c r="B38" s="1"/>
      <c r="C38"/>
      <c r="D38"/>
      <c r="E38"/>
      <c r="F38"/>
      <c r="G38"/>
      <c r="H38"/>
    </row>
    <row r="39" spans="1:11" ht="15" x14ac:dyDescent="0.25">
      <c r="B39" s="1"/>
      <c r="C39"/>
      <c r="D39"/>
      <c r="E39"/>
      <c r="F39"/>
      <c r="G39"/>
      <c r="H39"/>
    </row>
    <row r="40" spans="1:11" ht="15" x14ac:dyDescent="0.25">
      <c r="C40"/>
      <c r="D40"/>
      <c r="E40"/>
      <c r="F40"/>
      <c r="G40"/>
      <c r="H40"/>
    </row>
    <row r="41" spans="1:11" ht="15" x14ac:dyDescent="0.25">
      <c r="C41"/>
      <c r="D41"/>
      <c r="E41"/>
      <c r="F41"/>
      <c r="G41"/>
      <c r="H41"/>
    </row>
    <row r="42" spans="1:11" ht="15" x14ac:dyDescent="0.25">
      <c r="B42"/>
      <c r="C42"/>
      <c r="D42"/>
      <c r="E42"/>
      <c r="F42"/>
      <c r="G42"/>
      <c r="H42"/>
    </row>
    <row r="43" spans="1:11" ht="15" x14ac:dyDescent="0.25">
      <c r="C43"/>
      <c r="D43"/>
      <c r="E43"/>
      <c r="F43"/>
      <c r="G43"/>
      <c r="H43"/>
    </row>
    <row r="44" spans="1:11" ht="15" x14ac:dyDescent="0.25">
      <c r="C44"/>
      <c r="D44"/>
      <c r="E44"/>
      <c r="F44"/>
      <c r="G44"/>
      <c r="H44"/>
    </row>
    <row r="45" spans="1:11" ht="15" x14ac:dyDescent="0.25">
      <c r="C45"/>
      <c r="D45"/>
      <c r="E45"/>
      <c r="F45"/>
      <c r="G45"/>
      <c r="H45"/>
    </row>
    <row r="46" spans="1:11" ht="15" x14ac:dyDescent="0.25">
      <c r="C46"/>
      <c r="D46"/>
      <c r="E46"/>
      <c r="F46"/>
      <c r="G46"/>
      <c r="H46"/>
    </row>
    <row r="47" spans="1:11" ht="15" x14ac:dyDescent="0.25">
      <c r="C47"/>
      <c r="D47"/>
      <c r="E47"/>
      <c r="F47"/>
      <c r="G47"/>
      <c r="H47"/>
    </row>
    <row r="48" spans="1:11" ht="15" x14ac:dyDescent="0.25">
      <c r="C48"/>
      <c r="D48"/>
      <c r="E48"/>
      <c r="F48"/>
      <c r="G48"/>
      <c r="H48"/>
    </row>
    <row r="49" spans="2:8" ht="15" x14ac:dyDescent="0.25">
      <c r="C49"/>
      <c r="D49"/>
      <c r="E49"/>
      <c r="F49"/>
      <c r="G49"/>
      <c r="H49"/>
    </row>
    <row r="50" spans="2:8" ht="15" x14ac:dyDescent="0.25">
      <c r="C50"/>
      <c r="D50"/>
      <c r="E50"/>
      <c r="F50"/>
      <c r="G50"/>
      <c r="H50"/>
    </row>
    <row r="51" spans="2:8" ht="15" x14ac:dyDescent="0.25">
      <c r="C51"/>
      <c r="D51"/>
      <c r="E51"/>
      <c r="F51"/>
      <c r="G51"/>
      <c r="H51"/>
    </row>
    <row r="52" spans="2:8" ht="15" x14ac:dyDescent="0.25">
      <c r="C52"/>
      <c r="D52"/>
      <c r="E52"/>
      <c r="F52"/>
      <c r="G52"/>
      <c r="H52"/>
    </row>
    <row r="53" spans="2:8" ht="15" x14ac:dyDescent="0.25">
      <c r="C53"/>
      <c r="D53"/>
      <c r="E53"/>
      <c r="F53"/>
      <c r="G53"/>
      <c r="H53"/>
    </row>
    <row r="54" spans="2:8" ht="15" x14ac:dyDescent="0.25">
      <c r="C54"/>
      <c r="D54"/>
      <c r="E54"/>
      <c r="F54"/>
      <c r="G54"/>
      <c r="H54"/>
    </row>
    <row r="55" spans="2:8" ht="15" x14ac:dyDescent="0.25">
      <c r="B55"/>
      <c r="C55"/>
      <c r="D55"/>
      <c r="E55"/>
      <c r="F55"/>
      <c r="G55"/>
      <c r="H55"/>
    </row>
    <row r="56" spans="2:8" ht="15" x14ac:dyDescent="0.25">
      <c r="C56"/>
      <c r="D56"/>
      <c r="E56"/>
      <c r="F56"/>
      <c r="G56"/>
      <c r="H56"/>
    </row>
    <row r="57" spans="2:8" ht="15" x14ac:dyDescent="0.25">
      <c r="C57"/>
      <c r="D57"/>
      <c r="E57"/>
      <c r="F57"/>
      <c r="G57"/>
      <c r="H57"/>
    </row>
    <row r="58" spans="2:8" ht="15" x14ac:dyDescent="0.25">
      <c r="C58"/>
      <c r="D58"/>
      <c r="E58"/>
      <c r="F58"/>
      <c r="G58"/>
      <c r="H58"/>
    </row>
    <row r="59" spans="2:8" ht="15" x14ac:dyDescent="0.25">
      <c r="C59"/>
      <c r="D59"/>
      <c r="E59"/>
      <c r="F59"/>
      <c r="G59"/>
      <c r="H59"/>
    </row>
    <row r="60" spans="2:8" ht="15" x14ac:dyDescent="0.25">
      <c r="C60"/>
      <c r="D60"/>
      <c r="E60"/>
      <c r="F60"/>
      <c r="G60"/>
      <c r="H60"/>
    </row>
    <row r="61" spans="2:8" ht="15" x14ac:dyDescent="0.25">
      <c r="B61"/>
      <c r="C61"/>
      <c r="D61"/>
      <c r="E61"/>
      <c r="F61"/>
      <c r="G61"/>
      <c r="H61"/>
    </row>
    <row r="62" spans="2:8" ht="15" x14ac:dyDescent="0.25">
      <c r="C62"/>
      <c r="D62"/>
      <c r="E62"/>
      <c r="F62"/>
      <c r="G62"/>
      <c r="H62"/>
    </row>
    <row r="63" spans="2:8" ht="15" x14ac:dyDescent="0.25">
      <c r="C63"/>
      <c r="D63"/>
      <c r="E63"/>
      <c r="F63"/>
      <c r="G63"/>
      <c r="H63"/>
    </row>
    <row r="64" spans="2:8" ht="15" x14ac:dyDescent="0.25"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B66"/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B68"/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C70"/>
      <c r="D70"/>
      <c r="E70"/>
      <c r="F70"/>
      <c r="G70"/>
      <c r="H70"/>
    </row>
    <row r="71" spans="2:8" ht="15" x14ac:dyDescent="0.25"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B73"/>
      <c r="C73"/>
      <c r="D73"/>
      <c r="E73"/>
      <c r="F73"/>
      <c r="G73"/>
      <c r="H73"/>
    </row>
    <row r="74" spans="2:8" ht="15" x14ac:dyDescent="0.25">
      <c r="C74"/>
      <c r="D74"/>
      <c r="E74"/>
      <c r="F74"/>
      <c r="G74"/>
      <c r="H74"/>
    </row>
    <row r="75" spans="2:8" ht="15" x14ac:dyDescent="0.25">
      <c r="C75"/>
      <c r="D75"/>
      <c r="E75"/>
      <c r="F75"/>
      <c r="G75"/>
      <c r="H75"/>
    </row>
    <row r="76" spans="2:8" ht="15" x14ac:dyDescent="0.25">
      <c r="C76"/>
      <c r="D76"/>
      <c r="E76"/>
      <c r="F76"/>
      <c r="G76"/>
      <c r="H76"/>
    </row>
    <row r="77" spans="2:8" ht="15" x14ac:dyDescent="0.25">
      <c r="C77"/>
      <c r="D77"/>
      <c r="E77"/>
      <c r="F77"/>
      <c r="G77"/>
      <c r="H77"/>
    </row>
    <row r="78" spans="2:8" ht="15" x14ac:dyDescent="0.25">
      <c r="B78"/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  <row r="80" spans="2:8" ht="15" x14ac:dyDescent="0.25">
      <c r="C80"/>
      <c r="D80"/>
      <c r="E80"/>
      <c r="F80"/>
      <c r="G80"/>
      <c r="H80"/>
    </row>
    <row r="81" spans="3:8" ht="15" x14ac:dyDescent="0.25">
      <c r="C81"/>
      <c r="D81"/>
      <c r="E81"/>
      <c r="F81"/>
      <c r="G81"/>
      <c r="H81"/>
    </row>
    <row r="82" spans="3:8" ht="15" x14ac:dyDescent="0.25">
      <c r="C82"/>
      <c r="D82"/>
      <c r="E82"/>
      <c r="F82"/>
      <c r="G82"/>
      <c r="H82"/>
    </row>
    <row r="83" spans="3:8" ht="15" x14ac:dyDescent="0.25">
      <c r="C83"/>
      <c r="D83"/>
      <c r="E83"/>
      <c r="F83"/>
      <c r="G83"/>
      <c r="H83"/>
    </row>
  </sheetData>
  <mergeCells count="6">
    <mergeCell ref="A28:F28"/>
    <mergeCell ref="A26:F26"/>
    <mergeCell ref="A25:F25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dimension ref="A1:L20"/>
  <sheetViews>
    <sheetView showGridLines="0" zoomScale="80" zoomScaleNormal="80" zoomScaleSheetLayoutView="95" workbookViewId="0">
      <selection activeCell="G20" sqref="G20"/>
    </sheetView>
  </sheetViews>
  <sheetFormatPr defaultColWidth="9.140625" defaultRowHeight="15" x14ac:dyDescent="0.25"/>
  <cols>
    <col min="1" max="1" width="50.140625" style="54" customWidth="1"/>
    <col min="2" max="2" width="21.7109375" style="54" customWidth="1"/>
    <col min="3" max="3" width="26.5703125" style="54" customWidth="1"/>
    <col min="4" max="4" width="16.5703125" style="80" customWidth="1"/>
    <col min="5" max="5" width="19.5703125" style="81" customWidth="1"/>
    <col min="6" max="6" width="20.85546875" style="54" customWidth="1"/>
    <col min="7" max="7" width="23.5703125" style="54" customWidth="1"/>
    <col min="8" max="8" width="58.28515625" style="54" customWidth="1"/>
    <col min="9" max="9" width="11.28515625" style="54" customWidth="1"/>
    <col min="10" max="10" width="16.42578125" style="54" bestFit="1" customWidth="1"/>
    <col min="11" max="11" width="11" style="54" bestFit="1" customWidth="1"/>
    <col min="12" max="12" width="11.28515625" style="54" bestFit="1" customWidth="1"/>
    <col min="13" max="13" width="9.140625" style="54"/>
    <col min="14" max="15" width="11" style="54" bestFit="1" customWidth="1"/>
    <col min="16" max="16384" width="9.140625" style="54"/>
  </cols>
  <sheetData>
    <row r="1" spans="1:12" x14ac:dyDescent="0.25">
      <c r="D1" s="78"/>
      <c r="E1" s="54"/>
      <c r="H1" s="79"/>
      <c r="I1" s="79"/>
      <c r="J1" s="78"/>
    </row>
    <row r="3" spans="1:12" ht="28.5" x14ac:dyDescent="0.25">
      <c r="A3" s="222" t="s">
        <v>323</v>
      </c>
      <c r="B3" s="230"/>
      <c r="C3" s="230"/>
      <c r="D3" s="223"/>
      <c r="E3" s="223"/>
      <c r="F3" s="223"/>
      <c r="G3" s="223"/>
      <c r="H3" s="224"/>
      <c r="J3" s="78"/>
    </row>
    <row r="4" spans="1:12" ht="19.5" x14ac:dyDescent="0.25">
      <c r="A4" s="188" t="s">
        <v>186</v>
      </c>
      <c r="B4" s="194">
        <v>45481</v>
      </c>
      <c r="C4" s="192"/>
      <c r="D4" s="192"/>
      <c r="E4" s="192"/>
      <c r="F4" s="192"/>
      <c r="G4" s="192"/>
      <c r="H4" s="193"/>
      <c r="J4" s="78"/>
    </row>
    <row r="5" spans="1:12" ht="19.5" x14ac:dyDescent="0.25">
      <c r="A5" s="188" t="s">
        <v>299</v>
      </c>
      <c r="B5" s="195" t="s">
        <v>216</v>
      </c>
      <c r="C5" s="190"/>
      <c r="D5" s="190"/>
      <c r="E5" s="190"/>
      <c r="F5" s="190"/>
      <c r="G5" s="190"/>
      <c r="H5" s="191"/>
      <c r="J5" s="78"/>
    </row>
    <row r="6" spans="1:12" ht="21.75" x14ac:dyDescent="0.25">
      <c r="A6" s="82"/>
      <c r="B6" s="82"/>
      <c r="C6" s="82"/>
      <c r="D6" s="82"/>
      <c r="E6" s="82"/>
      <c r="F6" s="83"/>
      <c r="G6" s="84"/>
      <c r="H6" s="84"/>
      <c r="J6" s="78"/>
    </row>
    <row r="7" spans="1:12" ht="21.75" x14ac:dyDescent="0.25">
      <c r="A7" s="51" t="s">
        <v>184</v>
      </c>
      <c r="B7" s="51"/>
      <c r="C7" s="51"/>
      <c r="D7" s="52"/>
      <c r="E7" s="52"/>
      <c r="F7" s="53"/>
      <c r="G7" s="52"/>
      <c r="H7" s="52"/>
    </row>
    <row r="8" spans="1:12" ht="21.75" x14ac:dyDescent="0.25">
      <c r="A8" s="55"/>
      <c r="B8" s="55"/>
      <c r="C8" s="55"/>
      <c r="D8" s="56"/>
      <c r="E8" s="56"/>
      <c r="F8" s="57"/>
      <c r="G8" s="58"/>
      <c r="H8" s="58"/>
    </row>
    <row r="9" spans="1:12" ht="42" customHeight="1" x14ac:dyDescent="0.25">
      <c r="A9" s="62" t="s">
        <v>14</v>
      </c>
      <c r="B9" s="226" t="s">
        <v>5</v>
      </c>
      <c r="C9" s="227"/>
      <c r="D9" s="226" t="s">
        <v>18</v>
      </c>
      <c r="E9" s="227"/>
      <c r="F9" s="64" t="s">
        <v>118</v>
      </c>
      <c r="G9" s="70" t="s">
        <v>16</v>
      </c>
      <c r="H9" s="89" t="s">
        <v>302</v>
      </c>
    </row>
    <row r="10" spans="1:12" ht="21.75" x14ac:dyDescent="0.25">
      <c r="A10" s="65" t="s">
        <v>214</v>
      </c>
      <c r="B10" s="61">
        <v>110</v>
      </c>
      <c r="C10" s="61" t="s">
        <v>171</v>
      </c>
      <c r="D10" s="66">
        <f>'Rev. Internos Piso e Parede'!B15</f>
        <v>2594.8599999999997</v>
      </c>
      <c r="E10" s="66" t="s">
        <v>2</v>
      </c>
      <c r="F10" s="87">
        <f>110-F14</f>
        <v>70</v>
      </c>
      <c r="G10" s="88">
        <f>F10*D10*1.1</f>
        <v>199804.22</v>
      </c>
      <c r="H10" s="66">
        <f>ALVENARIA!D16*2-'Rev. Fachada'!B15</f>
        <v>22824.449780000003</v>
      </c>
    </row>
    <row r="11" spans="1:12" ht="21.75" x14ac:dyDescent="0.25">
      <c r="A11" s="77" t="s">
        <v>213</v>
      </c>
      <c r="B11" s="61">
        <v>65</v>
      </c>
      <c r="C11" s="61" t="s">
        <v>171</v>
      </c>
      <c r="D11" s="66">
        <f>'Rev. Internos Piso e Parede'!B16</f>
        <v>581.85</v>
      </c>
      <c r="E11" s="66" t="s">
        <v>2</v>
      </c>
      <c r="F11" s="87">
        <f>65-28</f>
        <v>37</v>
      </c>
      <c r="G11" s="88">
        <f>F11*D11*1.1</f>
        <v>23681.295000000002</v>
      </c>
      <c r="H11" s="254">
        <f>H10*0.8+TETO!D10</f>
        <v>24379.889824000005</v>
      </c>
      <c r="I11" s="54">
        <f>1+1.5+15+35</f>
        <v>52.5</v>
      </c>
    </row>
    <row r="12" spans="1:12" ht="21.75" x14ac:dyDescent="0.25">
      <c r="A12" s="77" t="s">
        <v>212</v>
      </c>
      <c r="B12" s="61">
        <v>22</v>
      </c>
      <c r="C12" s="61" t="s">
        <v>6</v>
      </c>
      <c r="D12" s="66">
        <v>1</v>
      </c>
      <c r="E12" s="66" t="s">
        <v>27</v>
      </c>
      <c r="F12" s="87">
        <f>B12*DADOS_INICIAIS!$E$9</f>
        <v>233603.7</v>
      </c>
      <c r="G12" s="88">
        <f>F12*D12*1.1</f>
        <v>256964.07000000004</v>
      </c>
      <c r="H12" s="66">
        <f>H10*0.2+TETO!D12</f>
        <v>8157.5799560000005</v>
      </c>
      <c r="I12" s="54">
        <f>1-I13</f>
        <v>0.33333333333333337</v>
      </c>
      <c r="J12" s="197">
        <f>I12*G13</f>
        <v>428273.45000000007</v>
      </c>
    </row>
    <row r="13" spans="1:12" ht="21.75" x14ac:dyDescent="0.25">
      <c r="A13" s="65" t="s">
        <v>211</v>
      </c>
      <c r="B13" s="61">
        <v>110</v>
      </c>
      <c r="C13" s="61" t="s">
        <v>6</v>
      </c>
      <c r="D13" s="66">
        <v>1</v>
      </c>
      <c r="E13" s="66" t="s">
        <v>27</v>
      </c>
      <c r="F13" s="87">
        <f>B13*DADOS_INICIAIS!$E$9</f>
        <v>1168018.5</v>
      </c>
      <c r="G13" s="88">
        <f>F13*D13*1.1</f>
        <v>1284820.3500000001</v>
      </c>
      <c r="H13" s="66"/>
      <c r="I13" s="54">
        <f>35/I11</f>
        <v>0.66666666666666663</v>
      </c>
      <c r="J13" s="197">
        <f>I13*G13</f>
        <v>856546.9</v>
      </c>
    </row>
    <row r="14" spans="1:12" ht="21.75" x14ac:dyDescent="0.25">
      <c r="A14" s="65" t="s">
        <v>385</v>
      </c>
      <c r="B14" s="61"/>
      <c r="C14" s="61"/>
      <c r="D14" s="66">
        <f>D10</f>
        <v>2594.8599999999997</v>
      </c>
      <c r="E14" s="66"/>
      <c r="F14" s="87">
        <v>40</v>
      </c>
      <c r="G14" s="88">
        <f t="shared" ref="G14:G15" si="0">F14*D14*1.1</f>
        <v>114173.84</v>
      </c>
      <c r="H14" s="66"/>
      <c r="I14" s="54">
        <f>1+5+31</f>
        <v>37</v>
      </c>
    </row>
    <row r="15" spans="1:12" ht="21.75" x14ac:dyDescent="0.25">
      <c r="A15" s="65" t="s">
        <v>386</v>
      </c>
      <c r="B15" s="61"/>
      <c r="C15" s="61"/>
      <c r="D15" s="66">
        <f>D11</f>
        <v>581.85</v>
      </c>
      <c r="E15" s="66"/>
      <c r="F15" s="87">
        <f>28</f>
        <v>28</v>
      </c>
      <c r="G15" s="88">
        <f t="shared" si="0"/>
        <v>17920.980000000003</v>
      </c>
      <c r="H15" s="66"/>
      <c r="I15" s="54">
        <f>1-I16</f>
        <v>0.16216216216216217</v>
      </c>
      <c r="J15" s="197">
        <f>I15*G12</f>
        <v>41669.849189189197</v>
      </c>
    </row>
    <row r="16" spans="1:12" ht="21.75" x14ac:dyDescent="0.25">
      <c r="A16" s="221" t="s">
        <v>17</v>
      </c>
      <c r="B16" s="221"/>
      <c r="C16" s="221"/>
      <c r="D16" s="221"/>
      <c r="E16" s="221"/>
      <c r="F16" s="221"/>
      <c r="G16" s="89">
        <f>SUM(G10:G15)</f>
        <v>1897364.7550000001</v>
      </c>
      <c r="H16" s="89"/>
      <c r="I16" s="54">
        <f>31/I14</f>
        <v>0.83783783783783783</v>
      </c>
      <c r="J16" s="197">
        <f>I16*G12</f>
        <v>215294.22081081083</v>
      </c>
      <c r="K16" s="54">
        <f>4160+1440+1120+2880+4800+91680+4000</f>
        <v>110080</v>
      </c>
      <c r="L16" s="54">
        <f>K16/21</f>
        <v>5241.9047619047615</v>
      </c>
    </row>
    <row r="18" spans="1:8" ht="21.75" x14ac:dyDescent="0.25">
      <c r="A18" s="231" t="s">
        <v>222</v>
      </c>
      <c r="B18" s="232"/>
      <c r="C18" s="232"/>
      <c r="D18" s="232"/>
      <c r="E18" s="232"/>
      <c r="F18" s="233"/>
      <c r="G18" s="90">
        <f>G16</f>
        <v>1897364.7550000001</v>
      </c>
      <c r="H18" s="90">
        <f>G18/DADOS_INICIAIS!E9</f>
        <v>178.68734360799937</v>
      </c>
    </row>
    <row r="20" spans="1:8" x14ac:dyDescent="0.25">
      <c r="H20" s="197">
        <f>H18/1.1</f>
        <v>162.44303964363579</v>
      </c>
    </row>
  </sheetData>
  <mergeCells count="5">
    <mergeCell ref="A3:H3"/>
    <mergeCell ref="B9:C9"/>
    <mergeCell ref="D9:E9"/>
    <mergeCell ref="A16:F16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dimension ref="A1:L23"/>
  <sheetViews>
    <sheetView showGridLines="0" topLeftCell="A5" zoomScale="80" zoomScaleNormal="80" zoomScaleSheetLayoutView="95" workbookViewId="0">
      <selection activeCell="G20" sqref="G20"/>
    </sheetView>
  </sheetViews>
  <sheetFormatPr defaultColWidth="9.140625" defaultRowHeight="15" x14ac:dyDescent="0.25"/>
  <cols>
    <col min="1" max="1" width="50.140625" style="54" customWidth="1"/>
    <col min="2" max="2" width="21.7109375" style="54" customWidth="1"/>
    <col min="3" max="3" width="26.5703125" style="54" customWidth="1"/>
    <col min="4" max="4" width="16.5703125" style="80" customWidth="1"/>
    <col min="5" max="5" width="19.5703125" style="81" customWidth="1"/>
    <col min="6" max="6" width="20.85546875" style="54" customWidth="1"/>
    <col min="7" max="7" width="23.5703125" style="54" customWidth="1"/>
    <col min="8" max="8" width="58.28515625" style="54" customWidth="1"/>
    <col min="9" max="9" width="11.28515625" style="54" customWidth="1"/>
    <col min="10" max="10" width="9.140625" style="54"/>
    <col min="11" max="11" width="11" style="54" bestFit="1" customWidth="1"/>
    <col min="12" max="12" width="11.28515625" style="54" bestFit="1" customWidth="1"/>
    <col min="13" max="13" width="9.140625" style="54"/>
    <col min="14" max="15" width="11" style="54" bestFit="1" customWidth="1"/>
    <col min="16" max="16384" width="9.140625" style="54"/>
  </cols>
  <sheetData>
    <row r="1" spans="1:10" x14ac:dyDescent="0.25">
      <c r="D1" s="78"/>
      <c r="E1" s="54"/>
      <c r="H1" s="79"/>
      <c r="I1" s="79"/>
      <c r="J1" s="78"/>
    </row>
    <row r="3" spans="1:10" ht="28.5" x14ac:dyDescent="0.25">
      <c r="A3" s="222" t="s">
        <v>239</v>
      </c>
      <c r="B3" s="230"/>
      <c r="C3" s="230"/>
      <c r="D3" s="223"/>
      <c r="E3" s="223"/>
      <c r="F3" s="223"/>
      <c r="G3" s="223"/>
      <c r="H3" s="224"/>
      <c r="J3" s="78"/>
    </row>
    <row r="4" spans="1:10" ht="19.5" x14ac:dyDescent="0.25">
      <c r="A4" s="188" t="s">
        <v>186</v>
      </c>
      <c r="B4" s="194">
        <v>45481</v>
      </c>
      <c r="C4" s="192"/>
      <c r="D4" s="192"/>
      <c r="E4" s="192"/>
      <c r="F4" s="192"/>
      <c r="G4" s="192"/>
      <c r="H4" s="193"/>
      <c r="J4" s="78"/>
    </row>
    <row r="5" spans="1:10" ht="19.5" x14ac:dyDescent="0.25">
      <c r="A5" s="188" t="s">
        <v>299</v>
      </c>
      <c r="B5" s="195" t="s">
        <v>216</v>
      </c>
      <c r="C5" s="190"/>
      <c r="D5" s="190"/>
      <c r="E5" s="190"/>
      <c r="F5" s="190"/>
      <c r="G5" s="190"/>
      <c r="H5" s="191"/>
      <c r="J5" s="78"/>
    </row>
    <row r="6" spans="1:10" ht="21.75" x14ac:dyDescent="0.25">
      <c r="A6" s="82"/>
      <c r="B6" s="82"/>
      <c r="C6" s="82"/>
      <c r="D6" s="82"/>
      <c r="E6" s="82"/>
      <c r="F6" s="83"/>
      <c r="G6" s="84"/>
      <c r="H6" s="84"/>
      <c r="J6" s="78"/>
    </row>
    <row r="7" spans="1:10" ht="21.75" x14ac:dyDescent="0.25">
      <c r="A7" s="51" t="s">
        <v>239</v>
      </c>
      <c r="B7" s="51"/>
      <c r="C7" s="51"/>
      <c r="D7" s="52"/>
      <c r="E7" s="52"/>
      <c r="F7" s="53"/>
      <c r="G7" s="52"/>
      <c r="H7" s="52"/>
    </row>
    <row r="8" spans="1:10" ht="21.75" x14ac:dyDescent="0.25">
      <c r="A8" s="55"/>
      <c r="B8" s="55"/>
      <c r="C8" s="55"/>
      <c r="D8" s="56"/>
      <c r="E8" s="56"/>
      <c r="F8" s="57"/>
      <c r="G8" s="58"/>
      <c r="H8" s="58"/>
    </row>
    <row r="9" spans="1:10" ht="42" customHeight="1" x14ac:dyDescent="0.25">
      <c r="A9" s="62" t="s">
        <v>14</v>
      </c>
      <c r="B9" s="226" t="s">
        <v>5</v>
      </c>
      <c r="C9" s="227"/>
      <c r="D9" s="226" t="s">
        <v>18</v>
      </c>
      <c r="E9" s="227"/>
      <c r="F9" s="64"/>
      <c r="G9" s="70" t="s">
        <v>16</v>
      </c>
      <c r="H9" s="89" t="s">
        <v>302</v>
      </c>
    </row>
    <row r="10" spans="1:10" ht="21.75" x14ac:dyDescent="0.25">
      <c r="A10" s="65" t="s">
        <v>238</v>
      </c>
      <c r="B10" s="61">
        <v>0.15</v>
      </c>
      <c r="C10" s="61" t="s">
        <v>325</v>
      </c>
      <c r="D10" s="200">
        <f>B10*DADOS_INICIAIS!E9</f>
        <v>1592.7525000000001</v>
      </c>
      <c r="E10" s="66" t="s">
        <v>2</v>
      </c>
      <c r="F10" s="206">
        <v>1250</v>
      </c>
      <c r="G10" s="88">
        <f>F10*D10*1.1</f>
        <v>2190034.6875</v>
      </c>
      <c r="H10" s="66">
        <f>G10/DADOS_INICIAIS!E9</f>
        <v>206.25</v>
      </c>
    </row>
    <row r="11" spans="1:10" ht="21.75" x14ac:dyDescent="0.25">
      <c r="A11" s="201" t="s">
        <v>365</v>
      </c>
      <c r="B11" s="61"/>
      <c r="C11" s="61"/>
      <c r="D11" s="200">
        <f>(29.9+15.2+7.08+5.2)*5.22</f>
        <v>299.52359999999999</v>
      </c>
      <c r="E11" s="66" t="s">
        <v>2</v>
      </c>
      <c r="F11" s="87">
        <v>950</v>
      </c>
      <c r="G11" s="88">
        <f>F11*D11*1.1</f>
        <v>313002.16200000001</v>
      </c>
      <c r="H11" s="66"/>
    </row>
    <row r="12" spans="1:10" ht="21.75" x14ac:dyDescent="0.25">
      <c r="A12" s="77" t="s">
        <v>233</v>
      </c>
      <c r="B12" s="61"/>
      <c r="C12" s="61"/>
      <c r="D12" s="66">
        <v>1</v>
      </c>
      <c r="E12" s="66" t="s">
        <v>3</v>
      </c>
      <c r="F12" s="87">
        <v>18000</v>
      </c>
      <c r="G12" s="88">
        <f>F12*D12*1.1</f>
        <v>19800</v>
      </c>
      <c r="H12" s="66"/>
    </row>
    <row r="13" spans="1:10" ht="21.75" x14ac:dyDescent="0.25">
      <c r="A13" s="77" t="s">
        <v>235</v>
      </c>
      <c r="B13" s="61"/>
      <c r="C13" s="61"/>
      <c r="D13" s="200">
        <f>15*2*DADOS_INICIAIS!E16+DADOS_INICIAIS!E17*DADOS_INICIAIS!E20*0.2</f>
        <v>571.34400000000005</v>
      </c>
      <c r="E13" s="66" t="s">
        <v>4</v>
      </c>
      <c r="F13" s="87">
        <f>750*1.1</f>
        <v>825.00000000000011</v>
      </c>
      <c r="G13" s="88">
        <f t="shared" ref="G13" si="0">F13*D13*1.1</f>
        <v>518494.68000000017</v>
      </c>
      <c r="H13" s="66"/>
    </row>
    <row r="14" spans="1:10" ht="21.75" x14ac:dyDescent="0.25">
      <c r="A14" s="77" t="s">
        <v>366</v>
      </c>
      <c r="B14" s="61"/>
      <c r="C14" s="61"/>
      <c r="D14" s="200">
        <f>1.95*2*DADOS_INICIAIS!E16*1.1</f>
        <v>77.220000000000013</v>
      </c>
      <c r="E14" s="66" t="s">
        <v>2</v>
      </c>
      <c r="F14" s="87">
        <v>610</v>
      </c>
      <c r="G14" s="88">
        <f>F14*D14*1.1</f>
        <v>51814.62000000001</v>
      </c>
      <c r="H14" s="66"/>
    </row>
    <row r="15" spans="1:10" ht="21.75" x14ac:dyDescent="0.25">
      <c r="A15" s="77" t="s">
        <v>236</v>
      </c>
      <c r="B15" s="61">
        <v>10</v>
      </c>
      <c r="C15" s="61" t="s">
        <v>6</v>
      </c>
      <c r="D15" s="66">
        <v>1</v>
      </c>
      <c r="E15" s="66" t="s">
        <v>27</v>
      </c>
      <c r="F15" s="87">
        <f>B15*DADOS_INICIAIS!$E$9</f>
        <v>106183.5</v>
      </c>
      <c r="G15" s="88">
        <f t="shared" ref="G15:G19" si="1">F15*D15*1.1</f>
        <v>116801.85</v>
      </c>
      <c r="H15" s="66"/>
    </row>
    <row r="16" spans="1:10" ht="28.5" customHeight="1" x14ac:dyDescent="0.25">
      <c r="A16" s="77" t="s">
        <v>237</v>
      </c>
      <c r="B16" s="61"/>
      <c r="C16" s="61"/>
      <c r="D16" s="200">
        <f>2*DADOS_INICIAIS!E15</f>
        <v>52</v>
      </c>
      <c r="E16" s="66" t="s">
        <v>3</v>
      </c>
      <c r="F16" s="87">
        <v>1750</v>
      </c>
      <c r="G16" s="88">
        <f t="shared" si="1"/>
        <v>100100.00000000001</v>
      </c>
      <c r="H16" s="66"/>
    </row>
    <row r="17" spans="1:12" ht="21.75" x14ac:dyDescent="0.25">
      <c r="A17" s="77" t="s">
        <v>234</v>
      </c>
      <c r="B17" s="61"/>
      <c r="C17" s="61"/>
      <c r="D17" s="200">
        <f>((4+5.45*2+3.65*2)*1.2*27)</f>
        <v>719.28</v>
      </c>
      <c r="E17" s="66" t="s">
        <v>4</v>
      </c>
      <c r="F17" s="87">
        <v>65</v>
      </c>
      <c r="G17" s="88">
        <f t="shared" si="1"/>
        <v>51428.520000000004</v>
      </c>
      <c r="H17" s="66"/>
    </row>
    <row r="18" spans="1:12" ht="21.75" x14ac:dyDescent="0.25">
      <c r="A18" s="77" t="s">
        <v>355</v>
      </c>
      <c r="B18" s="61"/>
      <c r="C18" s="61"/>
      <c r="D18" s="200">
        <f>DADOS_INICIAIS!E10</f>
        <v>36</v>
      </c>
      <c r="E18" s="66" t="s">
        <v>3</v>
      </c>
      <c r="F18" s="87">
        <v>1500</v>
      </c>
      <c r="G18" s="88">
        <f t="shared" si="1"/>
        <v>59400.000000000007</v>
      </c>
      <c r="H18" s="66"/>
    </row>
    <row r="19" spans="1:12" ht="21.75" x14ac:dyDescent="0.25">
      <c r="A19" s="65" t="s">
        <v>232</v>
      </c>
      <c r="B19" s="61"/>
      <c r="C19" s="61"/>
      <c r="D19" s="205">
        <f>2+(11*2*18)+2</f>
        <v>400</v>
      </c>
      <c r="E19" s="66" t="s">
        <v>3</v>
      </c>
      <c r="F19" s="87">
        <f>1450-F20</f>
        <v>1300</v>
      </c>
      <c r="G19" s="88">
        <f t="shared" si="1"/>
        <v>572000</v>
      </c>
      <c r="H19" s="66"/>
    </row>
    <row r="20" spans="1:12" ht="21.75" x14ac:dyDescent="0.25">
      <c r="A20" s="65" t="s">
        <v>387</v>
      </c>
      <c r="B20" s="61"/>
      <c r="C20" s="61"/>
      <c r="D20" s="205">
        <f>D19</f>
        <v>400</v>
      </c>
      <c r="E20" s="66" t="str">
        <f>E19</f>
        <v>un</v>
      </c>
      <c r="F20" s="87">
        <v>150</v>
      </c>
      <c r="G20" s="88">
        <f>F20*D20*1.1</f>
        <v>66000</v>
      </c>
      <c r="H20" s="66"/>
    </row>
    <row r="21" spans="1:12" ht="21.75" x14ac:dyDescent="0.25">
      <c r="A21" s="221" t="s">
        <v>17</v>
      </c>
      <c r="B21" s="221"/>
      <c r="C21" s="221"/>
      <c r="D21" s="221"/>
      <c r="E21" s="221"/>
      <c r="F21" s="221"/>
      <c r="G21" s="89">
        <f>SUM(G10:G19)</f>
        <v>3992876.5195000004</v>
      </c>
      <c r="H21" s="89"/>
      <c r="K21" s="54">
        <f>4160+1440+1120+2880+4800+91680+4000</f>
        <v>110080</v>
      </c>
      <c r="L21" s="54">
        <f>K21/21</f>
        <v>5241.9047619047615</v>
      </c>
    </row>
    <row r="23" spans="1:12" ht="21.75" x14ac:dyDescent="0.25">
      <c r="A23" s="231" t="s">
        <v>335</v>
      </c>
      <c r="B23" s="232"/>
      <c r="C23" s="232"/>
      <c r="D23" s="232"/>
      <c r="E23" s="232"/>
      <c r="F23" s="233"/>
      <c r="G23" s="90">
        <f>G21</f>
        <v>3992876.5195000004</v>
      </c>
      <c r="H23" s="90">
        <f>G23/DADOS_INICIAIS!E9</f>
        <v>376.03549699341238</v>
      </c>
    </row>
  </sheetData>
  <mergeCells count="5">
    <mergeCell ref="A3:H3"/>
    <mergeCell ref="B9:C9"/>
    <mergeCell ref="D9:E9"/>
    <mergeCell ref="A21:F21"/>
    <mergeCell ref="A23:F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dimension ref="A1:J15"/>
  <sheetViews>
    <sheetView showGridLines="0" zoomScale="85" zoomScaleNormal="85" zoomScaleSheetLayoutView="95" workbookViewId="0">
      <selection activeCell="G9" sqref="G9:G10"/>
    </sheetView>
  </sheetViews>
  <sheetFormatPr defaultColWidth="9.140625" defaultRowHeight="19.5" x14ac:dyDescent="0.25"/>
  <cols>
    <col min="1" max="1" width="53" style="44" bestFit="1" customWidth="1"/>
    <col min="2" max="7" width="27" style="44" customWidth="1"/>
    <col min="8" max="8" width="14" style="44" customWidth="1"/>
    <col min="9" max="16384" width="9.140625" style="1"/>
  </cols>
  <sheetData>
    <row r="1" spans="1:10" x14ac:dyDescent="0.25">
      <c r="A1" s="47"/>
      <c r="B1" s="47"/>
      <c r="C1" s="47"/>
      <c r="D1" s="47"/>
      <c r="E1" s="47"/>
      <c r="F1" s="47"/>
      <c r="G1" s="47"/>
      <c r="H1" s="47"/>
      <c r="J1" s="2"/>
    </row>
    <row r="2" spans="1:10" ht="28.5" x14ac:dyDescent="0.25">
      <c r="A2" s="222" t="s">
        <v>199</v>
      </c>
      <c r="B2" s="223"/>
      <c r="C2" s="223"/>
      <c r="D2" s="223"/>
      <c r="E2" s="223"/>
      <c r="F2" s="223"/>
      <c r="G2" s="223"/>
      <c r="H2" s="224"/>
      <c r="J2" s="2"/>
    </row>
    <row r="3" spans="1:10" s="54" customFormat="1" x14ac:dyDescent="0.25">
      <c r="A3" s="188" t="s">
        <v>186</v>
      </c>
      <c r="B3" s="194">
        <v>45481</v>
      </c>
      <c r="C3" s="192"/>
      <c r="D3" s="192"/>
      <c r="E3" s="192"/>
      <c r="F3" s="192"/>
      <c r="G3" s="192"/>
      <c r="H3" s="193"/>
      <c r="J3" s="78"/>
    </row>
    <row r="4" spans="1:10" s="54" customFormat="1" x14ac:dyDescent="0.25">
      <c r="A4" s="188" t="s">
        <v>299</v>
      </c>
      <c r="B4" s="195" t="s">
        <v>216</v>
      </c>
      <c r="C4" s="190"/>
      <c r="D4" s="190"/>
      <c r="E4" s="190"/>
      <c r="F4" s="190"/>
      <c r="G4" s="190"/>
      <c r="H4" s="191"/>
      <c r="J4" s="78"/>
    </row>
    <row r="5" spans="1:10" x14ac:dyDescent="0.25">
      <c r="A5" s="49"/>
      <c r="B5" s="49"/>
      <c r="C5" s="49"/>
      <c r="D5" s="49"/>
      <c r="E5" s="49"/>
      <c r="F5" s="49"/>
      <c r="G5" s="47"/>
      <c r="H5" s="47"/>
      <c r="J5" s="2"/>
    </row>
    <row r="6" spans="1:10" s="54" customFormat="1" ht="21.75" x14ac:dyDescent="0.25">
      <c r="A6" s="51" t="s">
        <v>329</v>
      </c>
      <c r="B6" s="52"/>
      <c r="C6" s="52"/>
      <c r="D6" s="52"/>
      <c r="E6" s="52"/>
      <c r="F6" s="52"/>
      <c r="G6" s="52"/>
      <c r="H6" s="52"/>
    </row>
    <row r="7" spans="1:10" s="54" customFormat="1" ht="21.75" x14ac:dyDescent="0.25">
      <c r="A7" s="55"/>
      <c r="B7" s="56"/>
      <c r="C7" s="56"/>
      <c r="D7" s="56"/>
      <c r="E7" s="56"/>
      <c r="F7" s="56"/>
      <c r="G7" s="58"/>
      <c r="H7" s="58"/>
    </row>
    <row r="8" spans="1:10" s="54" customFormat="1" ht="42" customHeight="1" x14ac:dyDescent="0.25">
      <c r="A8" s="62" t="s">
        <v>14</v>
      </c>
      <c r="B8" s="226" t="s">
        <v>5</v>
      </c>
      <c r="C8" s="227"/>
      <c r="D8" s="226" t="s">
        <v>18</v>
      </c>
      <c r="E8" s="227"/>
      <c r="F8" s="64" t="s">
        <v>118</v>
      </c>
      <c r="G8" s="70" t="s">
        <v>16</v>
      </c>
      <c r="H8" s="89" t="s">
        <v>302</v>
      </c>
    </row>
    <row r="9" spans="1:10" s="54" customFormat="1" ht="21.75" x14ac:dyDescent="0.25">
      <c r="A9" s="65" t="s">
        <v>326</v>
      </c>
      <c r="B9" s="61"/>
      <c r="C9" s="61"/>
      <c r="D9" s="66">
        <f>353.75-45.46</f>
        <v>308.29000000000002</v>
      </c>
      <c r="E9" s="66" t="s">
        <v>2</v>
      </c>
      <c r="F9" s="87">
        <v>500</v>
      </c>
      <c r="G9" s="88">
        <f>F9*D9*1.1</f>
        <v>169559.5</v>
      </c>
      <c r="H9" s="66"/>
    </row>
    <row r="10" spans="1:10" s="54" customFormat="1" ht="21.75" x14ac:dyDescent="0.25">
      <c r="A10" s="65" t="s">
        <v>172</v>
      </c>
      <c r="B10" s="61"/>
      <c r="C10" s="61"/>
      <c r="D10" s="66">
        <f>D9</f>
        <v>308.29000000000002</v>
      </c>
      <c r="E10" s="66" t="s">
        <v>2</v>
      </c>
      <c r="F10" s="187">
        <v>45</v>
      </c>
      <c r="G10" s="88">
        <f>F10*D10*1.1</f>
        <v>15260.355000000003</v>
      </c>
      <c r="H10" s="66"/>
    </row>
    <row r="11" spans="1:10" s="54" customFormat="1" ht="21.75" x14ac:dyDescent="0.25">
      <c r="A11" s="65" t="s">
        <v>327</v>
      </c>
      <c r="B11" s="61"/>
      <c r="C11" s="61"/>
      <c r="D11" s="66"/>
      <c r="E11" s="66"/>
      <c r="F11" s="66"/>
      <c r="G11" s="88">
        <f t="shared" ref="G11:G12" si="0">F11*D11*1.1</f>
        <v>0</v>
      </c>
      <c r="H11" s="66"/>
    </row>
    <row r="12" spans="1:10" s="54" customFormat="1" ht="21.75" x14ac:dyDescent="0.25">
      <c r="A12" s="65" t="s">
        <v>328</v>
      </c>
      <c r="B12" s="61"/>
      <c r="C12" s="61"/>
      <c r="D12" s="66"/>
      <c r="E12" s="66"/>
      <c r="F12" s="66"/>
      <c r="G12" s="88">
        <f t="shared" si="0"/>
        <v>0</v>
      </c>
      <c r="H12" s="66"/>
    </row>
    <row r="13" spans="1:10" s="54" customFormat="1" ht="21.75" x14ac:dyDescent="0.25">
      <c r="A13" s="221" t="s">
        <v>17</v>
      </c>
      <c r="B13" s="221"/>
      <c r="C13" s="221"/>
      <c r="D13" s="109"/>
      <c r="E13" s="109"/>
      <c r="F13" s="109"/>
      <c r="G13" s="89">
        <f>SUM(G9:G12)</f>
        <v>184819.85500000001</v>
      </c>
      <c r="H13" s="89"/>
    </row>
    <row r="14" spans="1:10" s="54" customFormat="1" ht="21.75" x14ac:dyDescent="0.25">
      <c r="A14" s="225"/>
      <c r="B14" s="225"/>
      <c r="C14" s="225"/>
      <c r="D14" s="110"/>
      <c r="E14" s="110"/>
      <c r="F14" s="110"/>
      <c r="G14" s="58"/>
      <c r="H14" s="58"/>
    </row>
    <row r="15" spans="1:10" ht="23.25" customHeight="1" x14ac:dyDescent="0.25">
      <c r="A15" s="218" t="s">
        <v>280</v>
      </c>
      <c r="B15" s="219"/>
      <c r="C15" s="220"/>
      <c r="D15" s="108"/>
      <c r="E15" s="108"/>
      <c r="F15" s="108"/>
      <c r="G15" s="107">
        <f>G13</f>
        <v>184819.85500000001</v>
      </c>
      <c r="H15" s="107">
        <f>G15/DADOS_INICIAIS!$E$9</f>
        <v>17.405703805205139</v>
      </c>
    </row>
  </sheetData>
  <mergeCells count="6">
    <mergeCell ref="A15:C15"/>
    <mergeCell ref="A2:H2"/>
    <mergeCell ref="B8:C8"/>
    <mergeCell ref="D8:E8"/>
    <mergeCell ref="A13:C13"/>
    <mergeCell ref="A14:C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dimension ref="A1:L40"/>
  <sheetViews>
    <sheetView showGridLines="0" tabSelected="1" topLeftCell="A17" zoomScale="130" zoomScaleNormal="130" zoomScaleSheetLayoutView="95" workbookViewId="0">
      <selection activeCell="A21" sqref="A21"/>
    </sheetView>
  </sheetViews>
  <sheetFormatPr defaultColWidth="9.140625" defaultRowHeight="12.75" x14ac:dyDescent="0.25"/>
  <cols>
    <col min="1" max="1" width="48.7109375" style="1" customWidth="1"/>
    <col min="2" max="2" width="15.85546875" style="113" customWidth="1"/>
    <col min="3" max="3" width="7.5703125" style="112" customWidth="1"/>
    <col min="4" max="4" width="11.5703125" style="111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0" width="15.140625" style="1" bestFit="1" customWidth="1"/>
    <col min="11" max="11" width="9.140625" style="1"/>
    <col min="12" max="12" width="10.5703125" style="1" bestFit="1" customWidth="1"/>
    <col min="13" max="16384" width="9.140625" style="1"/>
  </cols>
  <sheetData>
    <row r="1" spans="1:12" x14ac:dyDescent="0.25">
      <c r="B1" s="2"/>
      <c r="C1" s="1"/>
      <c r="D1" s="1"/>
      <c r="G1" s="160"/>
      <c r="H1" s="160"/>
      <c r="I1" s="2"/>
    </row>
    <row r="2" spans="1:12" ht="12.75" customHeight="1" x14ac:dyDescent="0.25">
      <c r="A2" s="234" t="s">
        <v>188</v>
      </c>
      <c r="B2" s="2"/>
      <c r="C2" s="1"/>
      <c r="D2" s="1"/>
      <c r="G2" s="165"/>
      <c r="H2" s="165"/>
      <c r="I2" s="2"/>
    </row>
    <row r="3" spans="1:12" ht="12.75" customHeight="1" x14ac:dyDescent="0.25">
      <c r="A3" s="235"/>
      <c r="B3" s="2"/>
      <c r="C3" s="1"/>
      <c r="D3" s="1"/>
      <c r="G3" s="165"/>
      <c r="H3" s="165"/>
      <c r="I3" s="2"/>
    </row>
    <row r="4" spans="1:12" ht="12.75" customHeight="1" x14ac:dyDescent="0.25">
      <c r="A4" s="235"/>
      <c r="B4" s="2"/>
      <c r="C4" s="1"/>
      <c r="D4" s="1"/>
      <c r="G4" s="165"/>
      <c r="H4" s="165"/>
      <c r="I4" s="2"/>
    </row>
    <row r="5" spans="1:12" ht="13.5" thickBot="1" x14ac:dyDescent="0.3">
      <c r="A5" s="164"/>
      <c r="B5" s="163"/>
      <c r="C5" s="163"/>
      <c r="D5" s="163"/>
      <c r="E5" s="163"/>
      <c r="F5" s="163"/>
      <c r="G5" s="162"/>
      <c r="H5" s="162"/>
      <c r="I5" s="2"/>
    </row>
    <row r="6" spans="1:12" x14ac:dyDescent="0.25">
      <c r="A6" s="161"/>
      <c r="B6" s="2"/>
      <c r="C6" s="1"/>
      <c r="D6" s="1"/>
      <c r="G6" s="160"/>
      <c r="H6" s="160"/>
      <c r="I6" s="2"/>
    </row>
    <row r="7" spans="1:12" x14ac:dyDescent="0.25">
      <c r="A7" s="159" t="s">
        <v>187</v>
      </c>
      <c r="B7" s="158"/>
      <c r="C7" s="157"/>
      <c r="D7" s="157"/>
      <c r="E7" s="157"/>
      <c r="F7" s="157"/>
      <c r="G7" s="157"/>
      <c r="H7" s="156"/>
      <c r="I7" s="2"/>
    </row>
    <row r="8" spans="1:12" x14ac:dyDescent="0.25">
      <c r="A8" s="155" t="s">
        <v>0</v>
      </c>
      <c r="B8" s="154"/>
      <c r="C8" s="153"/>
      <c r="D8" s="153"/>
      <c r="E8" s="153"/>
      <c r="F8" s="153"/>
      <c r="G8" s="153"/>
      <c r="H8" s="152"/>
      <c r="I8" s="2"/>
    </row>
    <row r="9" spans="1:12" ht="15" customHeight="1" x14ac:dyDescent="0.25">
      <c r="A9" s="151" t="s">
        <v>186</v>
      </c>
      <c r="B9" s="150">
        <v>45481</v>
      </c>
      <c r="C9" s="149"/>
      <c r="D9" s="149"/>
      <c r="E9" s="149"/>
      <c r="F9" s="149"/>
      <c r="G9" s="149"/>
      <c r="H9" s="148"/>
    </row>
    <row r="10" spans="1:12" x14ac:dyDescent="0.25">
      <c r="A10" s="147" t="s">
        <v>1</v>
      </c>
      <c r="B10" s="146" t="s">
        <v>185</v>
      </c>
      <c r="C10" s="145"/>
      <c r="D10" s="145"/>
      <c r="E10" s="145"/>
      <c r="F10" s="145"/>
      <c r="G10" s="145"/>
      <c r="H10" s="144"/>
    </row>
    <row r="12" spans="1:12" ht="15.75" customHeight="1" x14ac:dyDescent="0.25">
      <c r="A12" s="143" t="s">
        <v>221</v>
      </c>
      <c r="B12" s="142"/>
      <c r="C12" s="141"/>
      <c r="D12" s="140"/>
      <c r="E12" s="139"/>
      <c r="F12" s="139"/>
      <c r="G12" s="139"/>
      <c r="H12" s="138"/>
    </row>
    <row r="13" spans="1:12" ht="15.75" customHeight="1" x14ac:dyDescent="0.25">
      <c r="A13" s="137"/>
      <c r="B13" s="136"/>
      <c r="C13" s="135"/>
      <c r="D13" s="134"/>
      <c r="E13" s="134"/>
      <c r="F13" s="134"/>
      <c r="H13" s="130"/>
    </row>
    <row r="14" spans="1:12" ht="15.75" customHeight="1" x14ac:dyDescent="0.25">
      <c r="A14" s="133" t="s">
        <v>14</v>
      </c>
      <c r="B14" s="241" t="s">
        <v>18</v>
      </c>
      <c r="C14" s="242"/>
      <c r="D14" s="243" t="s">
        <v>5</v>
      </c>
      <c r="E14" s="244"/>
      <c r="F14" s="132" t="s">
        <v>183</v>
      </c>
      <c r="G14" s="131" t="s">
        <v>16</v>
      </c>
      <c r="H14" s="130"/>
      <c r="J14" s="114">
        <f>G15-J15</f>
        <v>164938.62825000001</v>
      </c>
      <c r="L14" s="114"/>
    </row>
    <row r="15" spans="1:12" x14ac:dyDescent="0.25">
      <c r="A15" s="171" t="s">
        <v>196</v>
      </c>
      <c r="B15" s="174">
        <f>(K18*L18+K19*L19+K20*L20-ESQUADRIAS!D10)</f>
        <v>5997.7682999999997</v>
      </c>
      <c r="C15" s="128" t="s">
        <v>2</v>
      </c>
      <c r="D15" s="123">
        <f>25+70</f>
        <v>95</v>
      </c>
      <c r="E15" s="129" t="s">
        <v>171</v>
      </c>
      <c r="F15" s="125" t="s">
        <v>216</v>
      </c>
      <c r="G15" s="124">
        <f>B15*D15*1.1</f>
        <v>626766.78735</v>
      </c>
      <c r="H15" s="130"/>
      <c r="I15" s="114">
        <f>70/D15</f>
        <v>0.73684210526315785</v>
      </c>
      <c r="J15" s="1">
        <f>I15*G15</f>
        <v>461828.15909999999</v>
      </c>
      <c r="K15" s="186"/>
      <c r="L15" s="114"/>
    </row>
    <row r="16" spans="1:12" x14ac:dyDescent="0.25">
      <c r="A16" s="239" t="s">
        <v>17</v>
      </c>
      <c r="B16" s="240"/>
      <c r="C16" s="240"/>
      <c r="D16" s="240"/>
      <c r="E16" s="240"/>
      <c r="F16" s="240"/>
      <c r="G16" s="121">
        <f>SUM(G15:G15)</f>
        <v>626766.78735</v>
      </c>
      <c r="H16" s="120"/>
      <c r="K16" s="185"/>
    </row>
    <row r="17" spans="1:12" ht="15.75" customHeight="1" x14ac:dyDescent="0.25">
      <c r="A17" s="237"/>
      <c r="B17" s="238"/>
      <c r="C17" s="238"/>
      <c r="D17" s="238"/>
      <c r="E17" s="238"/>
      <c r="F17" s="238"/>
      <c r="G17" s="166"/>
      <c r="H17" s="117"/>
    </row>
    <row r="18" spans="1:12" ht="15.75" customHeight="1" x14ac:dyDescent="0.25">
      <c r="A18" s="143" t="s">
        <v>220</v>
      </c>
      <c r="B18" s="142"/>
      <c r="C18" s="141"/>
      <c r="D18" s="140"/>
      <c r="E18" s="139"/>
      <c r="F18" s="139"/>
      <c r="G18" s="139"/>
      <c r="H18" s="138"/>
      <c r="J18" s="1" t="s">
        <v>219</v>
      </c>
      <c r="K18" s="114">
        <f>DADOS_INICIAIS!E26</f>
        <v>90.93</v>
      </c>
      <c r="L18" s="1">
        <f>16.92+3.24+1.2</f>
        <v>21.360000000000003</v>
      </c>
    </row>
    <row r="19" spans="1:12" ht="15.75" customHeight="1" x14ac:dyDescent="0.25">
      <c r="A19" s="137"/>
      <c r="B19" s="184"/>
      <c r="C19" s="135"/>
      <c r="D19" s="134"/>
      <c r="E19" s="134"/>
      <c r="F19" s="134"/>
      <c r="H19" s="130"/>
      <c r="J19" s="1" t="s">
        <v>330</v>
      </c>
      <c r="K19" s="114">
        <f>DADOS_INICIAIS!E20</f>
        <v>78.36</v>
      </c>
      <c r="L19" s="1">
        <f>3.6*19+1.2</f>
        <v>69.600000000000009</v>
      </c>
    </row>
    <row r="20" spans="1:12" ht="15.75" customHeight="1" x14ac:dyDescent="0.25">
      <c r="A20" s="133" t="s">
        <v>14</v>
      </c>
      <c r="B20" s="241" t="s">
        <v>18</v>
      </c>
      <c r="C20" s="242"/>
      <c r="D20" s="243" t="s">
        <v>5</v>
      </c>
      <c r="E20" s="244"/>
      <c r="F20" s="132" t="s">
        <v>183</v>
      </c>
      <c r="G20" s="131" t="s">
        <v>16</v>
      </c>
      <c r="H20" s="130"/>
      <c r="J20" s="1" t="s">
        <v>218</v>
      </c>
      <c r="K20" s="1">
        <v>27</v>
      </c>
      <c r="L20" s="1">
        <f>3.6*2</f>
        <v>7.2</v>
      </c>
    </row>
    <row r="21" spans="1:12" ht="15.75" customHeight="1" x14ac:dyDescent="0.25">
      <c r="A21" s="171" t="s">
        <v>331</v>
      </c>
      <c r="B21" s="174">
        <f>B15</f>
        <v>5997.7682999999997</v>
      </c>
      <c r="C21" s="128" t="s">
        <v>2</v>
      </c>
      <c r="D21" s="123">
        <f>70+15</f>
        <v>85</v>
      </c>
      <c r="E21" s="129" t="s">
        <v>171</v>
      </c>
      <c r="F21" s="125" t="s">
        <v>216</v>
      </c>
      <c r="G21" s="124">
        <f>B21*D21*1.1</f>
        <v>560791.33605000004</v>
      </c>
      <c r="H21" s="130"/>
      <c r="I21" s="114">
        <f>45/D21</f>
        <v>0.52941176470588236</v>
      </c>
      <c r="J21" s="1">
        <f>I21*G21</f>
        <v>296889.53085000004</v>
      </c>
      <c r="L21" s="114">
        <f>K18*L18+K19*L19+K20*L20</f>
        <v>7590.5208000000002</v>
      </c>
    </row>
    <row r="22" spans="1:12" x14ac:dyDescent="0.25">
      <c r="A22" s="239" t="s">
        <v>17</v>
      </c>
      <c r="B22" s="240"/>
      <c r="C22" s="240"/>
      <c r="D22" s="240"/>
      <c r="E22" s="240"/>
      <c r="F22" s="240"/>
      <c r="G22" s="121">
        <f>SUM(G21:G21)</f>
        <v>560791.33605000004</v>
      </c>
      <c r="H22" s="120"/>
      <c r="J22" s="114">
        <f>G21-J21</f>
        <v>263901.8052</v>
      </c>
    </row>
    <row r="23" spans="1:12" x14ac:dyDescent="0.25">
      <c r="A23" s="248"/>
      <c r="B23" s="249"/>
      <c r="C23" s="249"/>
      <c r="D23" s="249"/>
      <c r="E23" s="249"/>
      <c r="F23" s="249"/>
      <c r="G23" s="166"/>
      <c r="H23" s="117"/>
      <c r="J23" s="114"/>
    </row>
    <row r="24" spans="1:12" ht="15.75" customHeight="1" x14ac:dyDescent="0.25">
      <c r="A24" s="143" t="s">
        <v>217</v>
      </c>
      <c r="B24" s="142"/>
      <c r="C24" s="141"/>
      <c r="D24" s="140"/>
      <c r="E24" s="139"/>
      <c r="F24" s="139"/>
      <c r="G24" s="139"/>
      <c r="H24" s="138"/>
    </row>
    <row r="25" spans="1:12" ht="15.75" customHeight="1" x14ac:dyDescent="0.25">
      <c r="A25" s="137"/>
      <c r="B25" s="136"/>
      <c r="C25" s="135"/>
      <c r="D25" s="134"/>
      <c r="E25" s="134"/>
      <c r="F25" s="134"/>
      <c r="H25" s="130"/>
    </row>
    <row r="26" spans="1:12" ht="15.75" customHeight="1" x14ac:dyDescent="0.25">
      <c r="A26" s="133" t="s">
        <v>14</v>
      </c>
      <c r="B26" s="241" t="s">
        <v>18</v>
      </c>
      <c r="C26" s="242"/>
      <c r="D26" s="243" t="s">
        <v>5</v>
      </c>
      <c r="E26" s="244"/>
      <c r="F26" s="132" t="s">
        <v>183</v>
      </c>
      <c r="G26" s="131" t="s">
        <v>16</v>
      </c>
      <c r="H26" s="130"/>
    </row>
    <row r="27" spans="1:12" ht="15.75" customHeight="1" x14ac:dyDescent="0.25">
      <c r="A27" s="171" t="s">
        <v>370</v>
      </c>
      <c r="B27" s="174">
        <f>B21</f>
        <v>5997.7682999999997</v>
      </c>
      <c r="C27" s="128" t="s">
        <v>336</v>
      </c>
      <c r="D27" s="123">
        <v>100</v>
      </c>
      <c r="E27" s="129" t="s">
        <v>171</v>
      </c>
      <c r="F27" s="125" t="s">
        <v>216</v>
      </c>
      <c r="G27" s="124">
        <f>B27*D27*1.1</f>
        <v>659754.51300000004</v>
      </c>
      <c r="H27" s="130"/>
    </row>
    <row r="28" spans="1:12" ht="15.75" customHeight="1" x14ac:dyDescent="0.25">
      <c r="A28" s="207" t="s">
        <v>371</v>
      </c>
      <c r="B28" s="208">
        <f>(30.3*2+15.2)*21.36</f>
        <v>1619.088</v>
      </c>
      <c r="C28" s="209" t="s">
        <v>336</v>
      </c>
      <c r="D28" s="210">
        <v>450</v>
      </c>
      <c r="E28" s="211" t="s">
        <v>171</v>
      </c>
      <c r="F28" s="212" t="s">
        <v>216</v>
      </c>
      <c r="G28" s="213">
        <f>B28*D28*1.1</f>
        <v>801448.56</v>
      </c>
      <c r="H28" s="130"/>
    </row>
    <row r="29" spans="1:12" ht="15.75" customHeight="1" x14ac:dyDescent="0.25">
      <c r="A29" s="239"/>
      <c r="B29" s="240"/>
      <c r="C29" s="240"/>
      <c r="D29" s="240"/>
      <c r="E29" s="240"/>
      <c r="F29" s="240"/>
      <c r="G29" s="121">
        <f>SUM(G27)</f>
        <v>659754.51300000004</v>
      </c>
      <c r="H29" s="120"/>
    </row>
    <row r="30" spans="1:12" x14ac:dyDescent="0.25">
      <c r="A30" s="237"/>
      <c r="B30" s="238"/>
      <c r="C30" s="238"/>
      <c r="D30" s="238"/>
      <c r="E30" s="238"/>
      <c r="F30" s="238"/>
      <c r="G30" s="166"/>
      <c r="H30" s="117"/>
      <c r="J30" s="1">
        <f>25.78*2</f>
        <v>51.56</v>
      </c>
    </row>
    <row r="31" spans="1:12" ht="15.75" customHeight="1" x14ac:dyDescent="0.25">
      <c r="G31" s="114"/>
    </row>
    <row r="32" spans="1:12" ht="15.75" customHeight="1" x14ac:dyDescent="0.25">
      <c r="A32" s="236" t="s">
        <v>215</v>
      </c>
      <c r="B32" s="236"/>
      <c r="C32" s="236"/>
      <c r="D32" s="236"/>
      <c r="E32" s="236"/>
      <c r="F32" s="236"/>
      <c r="G32" s="116">
        <f>G22+G16+G29</f>
        <v>1847312.6364</v>
      </c>
      <c r="H32" s="115">
        <f>G32/DADOS_INICIAIS!E9</f>
        <v>173.97360572970376</v>
      </c>
    </row>
    <row r="33" spans="8:8" ht="15.75" customHeight="1" x14ac:dyDescent="0.25">
      <c r="H33" s="114">
        <f>H32/1.1</f>
        <v>158.15782339063978</v>
      </c>
    </row>
    <row r="34" spans="8:8" ht="15.75" customHeight="1" x14ac:dyDescent="0.25"/>
    <row r="35" spans="8:8" ht="15.75" customHeight="1" x14ac:dyDescent="0.25"/>
    <row r="36" spans="8:8" ht="15.75" customHeight="1" x14ac:dyDescent="0.25"/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</sheetData>
  <mergeCells count="14">
    <mergeCell ref="B20:C20"/>
    <mergeCell ref="D20:E20"/>
    <mergeCell ref="A32:F32"/>
    <mergeCell ref="A22:F22"/>
    <mergeCell ref="A23:F23"/>
    <mergeCell ref="A30:F30"/>
    <mergeCell ref="B26:C26"/>
    <mergeCell ref="D26:E26"/>
    <mergeCell ref="A29:F29"/>
    <mergeCell ref="B14:C14"/>
    <mergeCell ref="D14:E14"/>
    <mergeCell ref="A2:A4"/>
    <mergeCell ref="A16:F16"/>
    <mergeCell ref="A17:F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dimension ref="A1:J17"/>
  <sheetViews>
    <sheetView showGridLines="0" zoomScale="85" zoomScaleNormal="85" zoomScaleSheetLayoutView="95" workbookViewId="0">
      <selection activeCell="F9" sqref="F9:F14"/>
    </sheetView>
  </sheetViews>
  <sheetFormatPr defaultColWidth="9.140625" defaultRowHeight="19.5" x14ac:dyDescent="0.25"/>
  <cols>
    <col min="1" max="1" width="53" style="44" bestFit="1" customWidth="1"/>
    <col min="2" max="6" width="27" style="44" customWidth="1"/>
    <col min="7" max="7" width="14" style="44" customWidth="1"/>
    <col min="8" max="16384" width="9.140625" style="1"/>
  </cols>
  <sheetData>
    <row r="1" spans="1:10" x14ac:dyDescent="0.25">
      <c r="A1" s="47"/>
      <c r="B1" s="47"/>
      <c r="C1" s="47"/>
      <c r="D1" s="47"/>
      <c r="E1" s="47"/>
      <c r="F1" s="47"/>
      <c r="G1" s="47"/>
      <c r="I1" s="2"/>
    </row>
    <row r="2" spans="1:10" ht="28.5" x14ac:dyDescent="0.25">
      <c r="A2" s="222" t="s">
        <v>289</v>
      </c>
      <c r="B2" s="223"/>
      <c r="C2" s="223"/>
      <c r="D2" s="223"/>
      <c r="E2" s="223"/>
      <c r="F2" s="223"/>
      <c r="G2" s="224"/>
      <c r="I2" s="2"/>
    </row>
    <row r="3" spans="1:10" s="54" customFormat="1" x14ac:dyDescent="0.25">
      <c r="A3" s="188" t="s">
        <v>186</v>
      </c>
      <c r="B3" s="194">
        <v>45481</v>
      </c>
      <c r="C3" s="192"/>
      <c r="D3" s="192"/>
      <c r="E3" s="192"/>
      <c r="F3" s="192"/>
      <c r="G3" s="192"/>
      <c r="H3" s="193"/>
      <c r="J3" s="78"/>
    </row>
    <row r="4" spans="1:10" s="54" customFormat="1" x14ac:dyDescent="0.25">
      <c r="A4" s="188" t="s">
        <v>299</v>
      </c>
      <c r="B4" s="195" t="s">
        <v>216</v>
      </c>
      <c r="C4" s="190"/>
      <c r="D4" s="190"/>
      <c r="E4" s="190"/>
      <c r="F4" s="190"/>
      <c r="G4" s="190"/>
      <c r="H4" s="191"/>
      <c r="J4" s="78"/>
    </row>
    <row r="5" spans="1:10" x14ac:dyDescent="0.25">
      <c r="A5" s="49"/>
      <c r="B5" s="49"/>
      <c r="C5" s="49"/>
      <c r="D5" s="49"/>
      <c r="E5" s="49"/>
      <c r="F5" s="47"/>
      <c r="G5" s="47"/>
      <c r="I5" s="2"/>
    </row>
    <row r="6" spans="1:10" s="54" customFormat="1" ht="21.75" x14ac:dyDescent="0.25">
      <c r="A6" s="51" t="s">
        <v>288</v>
      </c>
      <c r="B6" s="52"/>
      <c r="C6" s="52"/>
      <c r="D6" s="52"/>
      <c r="E6" s="52"/>
      <c r="F6" s="52"/>
      <c r="G6" s="52"/>
    </row>
    <row r="7" spans="1:10" s="54" customFormat="1" ht="21.75" x14ac:dyDescent="0.25">
      <c r="A7" s="55"/>
      <c r="B7" s="56"/>
      <c r="C7" s="56"/>
      <c r="D7" s="56"/>
      <c r="E7" s="56"/>
      <c r="F7" s="58"/>
      <c r="G7" s="58"/>
    </row>
    <row r="8" spans="1:10" s="54" customFormat="1" ht="42" customHeight="1" x14ac:dyDescent="0.25">
      <c r="A8" s="62" t="s">
        <v>14</v>
      </c>
      <c r="B8" s="226" t="s">
        <v>5</v>
      </c>
      <c r="C8" s="227"/>
      <c r="D8" s="226" t="s">
        <v>18</v>
      </c>
      <c r="E8" s="227"/>
      <c r="F8" s="70" t="s">
        <v>16</v>
      </c>
      <c r="G8" s="58"/>
    </row>
    <row r="9" spans="1:10" s="54" customFormat="1" ht="21.75" x14ac:dyDescent="0.25">
      <c r="A9" s="65" t="s">
        <v>287</v>
      </c>
      <c r="B9" s="61">
        <v>1500</v>
      </c>
      <c r="C9" s="61" t="s">
        <v>286</v>
      </c>
      <c r="D9" s="66">
        <f>DADOS_INICIAIS!E21</f>
        <v>800</v>
      </c>
      <c r="E9" s="66" t="s">
        <v>2</v>
      </c>
      <c r="F9" s="88">
        <f>D9*B9*1.1</f>
        <v>1320000</v>
      </c>
      <c r="G9" s="56"/>
    </row>
    <row r="10" spans="1:10" s="54" customFormat="1" ht="21.75" x14ac:dyDescent="0.25">
      <c r="A10" s="65" t="s">
        <v>285</v>
      </c>
      <c r="B10" s="61">
        <v>10</v>
      </c>
      <c r="C10" s="61" t="s">
        <v>6</v>
      </c>
      <c r="D10" s="66">
        <f>B10*DADOS_INICIAIS!$E$9</f>
        <v>106183.5</v>
      </c>
      <c r="E10" s="66" t="s">
        <v>27</v>
      </c>
      <c r="F10" s="88">
        <f>D10*1.1</f>
        <v>116801.85</v>
      </c>
      <c r="G10" s="56"/>
    </row>
    <row r="11" spans="1:10" s="54" customFormat="1" ht="21.75" x14ac:dyDescent="0.25">
      <c r="A11" s="65" t="s">
        <v>284</v>
      </c>
      <c r="B11" s="61">
        <v>12</v>
      </c>
      <c r="C11" s="61" t="s">
        <v>6</v>
      </c>
      <c r="D11" s="66">
        <f>B11*DADOS_INICIAIS!$E$9</f>
        <v>127420.20000000001</v>
      </c>
      <c r="E11" s="66" t="s">
        <v>27</v>
      </c>
      <c r="F11" s="88">
        <f t="shared" ref="F11:F14" si="0">D11*1.1</f>
        <v>140162.22000000003</v>
      </c>
      <c r="G11" s="56"/>
    </row>
    <row r="12" spans="1:10" s="54" customFormat="1" ht="21.75" x14ac:dyDescent="0.25">
      <c r="A12" s="65" t="s">
        <v>283</v>
      </c>
      <c r="B12" s="61">
        <v>4</v>
      </c>
      <c r="C12" s="61" t="s">
        <v>6</v>
      </c>
      <c r="D12" s="66">
        <f>B12*DADOS_INICIAIS!$E$9</f>
        <v>42473.4</v>
      </c>
      <c r="E12" s="66" t="s">
        <v>27</v>
      </c>
      <c r="F12" s="88">
        <f t="shared" si="0"/>
        <v>46720.740000000005</v>
      </c>
      <c r="G12" s="56"/>
    </row>
    <row r="13" spans="1:10" s="54" customFormat="1" ht="21.75" x14ac:dyDescent="0.25">
      <c r="A13" s="65" t="s">
        <v>282</v>
      </c>
      <c r="B13" s="61">
        <v>5</v>
      </c>
      <c r="C13" s="61" t="s">
        <v>6</v>
      </c>
      <c r="D13" s="66">
        <f>B13*DADOS_INICIAIS!$E$9</f>
        <v>53091.75</v>
      </c>
      <c r="E13" s="66" t="s">
        <v>27</v>
      </c>
      <c r="F13" s="88">
        <f t="shared" si="0"/>
        <v>58400.925000000003</v>
      </c>
      <c r="G13" s="56"/>
    </row>
    <row r="14" spans="1:10" s="54" customFormat="1" ht="21.75" x14ac:dyDescent="0.25">
      <c r="A14" s="65" t="s">
        <v>281</v>
      </c>
      <c r="B14" s="61">
        <v>15</v>
      </c>
      <c r="C14" s="61" t="s">
        <v>6</v>
      </c>
      <c r="D14" s="66">
        <f>B14*DADOS_INICIAIS!$E$9</f>
        <v>159275.25</v>
      </c>
      <c r="E14" s="66" t="s">
        <v>27</v>
      </c>
      <c r="F14" s="88">
        <f t="shared" si="0"/>
        <v>175202.77500000002</v>
      </c>
      <c r="G14" s="56"/>
    </row>
    <row r="15" spans="1:10" s="54" customFormat="1" ht="21.75" x14ac:dyDescent="0.25">
      <c r="A15" s="221" t="s">
        <v>17</v>
      </c>
      <c r="B15" s="221"/>
      <c r="C15" s="221"/>
      <c r="D15" s="109"/>
      <c r="E15" s="109"/>
      <c r="F15" s="89">
        <f>SUM(F9:F14)</f>
        <v>1857288.5100000002</v>
      </c>
      <c r="G15" s="59"/>
    </row>
    <row r="16" spans="1:10" s="54" customFormat="1" ht="21.75" x14ac:dyDescent="0.25">
      <c r="A16" s="225"/>
      <c r="B16" s="225"/>
      <c r="C16" s="225"/>
      <c r="D16" s="110"/>
      <c r="E16" s="110"/>
      <c r="F16" s="58"/>
      <c r="G16" s="58"/>
    </row>
    <row r="17" spans="1:7" ht="23.25" customHeight="1" x14ac:dyDescent="0.25">
      <c r="A17" s="218" t="s">
        <v>280</v>
      </c>
      <c r="B17" s="219"/>
      <c r="C17" s="220"/>
      <c r="D17" s="108"/>
      <c r="E17" s="108"/>
      <c r="F17" s="107">
        <f>F15</f>
        <v>1857288.5100000002</v>
      </c>
      <c r="G17" s="107">
        <f>F17/DADOS_INICIAIS!$E$9</f>
        <v>174.91309949285909</v>
      </c>
    </row>
  </sheetData>
  <mergeCells count="6">
    <mergeCell ref="A17:C17"/>
    <mergeCell ref="B8:C8"/>
    <mergeCell ref="D8:E8"/>
    <mergeCell ref="A2:G2"/>
    <mergeCell ref="A15:C15"/>
    <mergeCell ref="A16:C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28</vt:i4>
      </vt:variant>
    </vt:vector>
  </HeadingPairs>
  <TitlesOfParts>
    <vt:vector size="46" baseType="lpstr">
      <vt:lpstr>DADOS_INICIAIS</vt:lpstr>
      <vt:lpstr>MOVIMENTAÇÃO_DE_TERRA</vt:lpstr>
      <vt:lpstr>CONTENÇÕES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2024-08-05T10:25:46Z</dcterms:modified>
</cp:coreProperties>
</file>