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3.0 Custo - Orçamento Paramétrico\2. Indiretos\"/>
    </mc:Choice>
  </mc:AlternateContent>
  <xr:revisionPtr revIDLastSave="0" documentId="13_ncr:1_{696DBD1D-C897-4A94-A721-7C32C0BD31DE}" xr6:coauthVersionLast="47" xr6:coauthVersionMax="47" xr10:uidLastSave="{00000000-0000-0000-0000-000000000000}"/>
  <bookViews>
    <workbookView xWindow="1695" yWindow="765" windowWidth="28860" windowHeight="13260" firstSheet="4" activeTab="7" xr2:uid="{00000000-000D-0000-FFFF-FFFF00000000}"/>
  </bookViews>
  <sheets>
    <sheet name="a. COMPARATIVOS OBRAS" sheetId="1" r:id="rId1"/>
    <sheet name="b. Fundação" sheetId="2" r:id="rId2"/>
    <sheet name="c. Supraestrutura HOTEL" sheetId="3" r:id="rId3"/>
    <sheet name="c. Supraestrutura RESID" sheetId="9" r:id="rId4"/>
    <sheet name="d. Fachada" sheetId="4" r:id="rId5"/>
    <sheet name="e. ESTIMATIVA PRAZO HOTEL" sheetId="5" r:id="rId6"/>
    <sheet name="e. ESTIMATIVA PRAZO RESID" sheetId="10" r:id="rId7"/>
    <sheet name="Planilha3" sheetId="11" r:id="rId8"/>
    <sheet name="CUSTOS_INDIRETOS" sheetId="8" r:id="rId9"/>
  </sheets>
  <externalReferences>
    <externalReference r:id="rId10"/>
    <externalReference r:id="rId11"/>
    <externalReference r:id="rId12"/>
    <externalReference r:id="rId13"/>
  </externalReferences>
  <definedNames>
    <definedName name="aa" localSheetId="8">#REF!</definedName>
    <definedName name="aa">#REF!</definedName>
    <definedName name="aaaa" localSheetId="8">'[1]M.O.'!#REF!</definedName>
    <definedName name="aaaa">'[1]M.O.'!#REF!</definedName>
    <definedName name="angelo" localSheetId="8">[2]Geral!#REF!</definedName>
    <definedName name="angelo">[2]Geral!#REF!</definedName>
    <definedName name="area" localSheetId="8">#REF!</definedName>
    <definedName name="area">#REF!</definedName>
    <definedName name="aux" localSheetId="8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8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 localSheetId="8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TOT">#REF!</definedName>
    <definedName name="Total">#REF!</definedName>
    <definedName name="TRP">#REF!</definedName>
    <definedName name="u" localSheetId="8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8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Fhjvcmofzwoce+/jnzGIlyvsyChDav/KbJyQcqYgtgM="/>
    </ext>
  </extLst>
</workbook>
</file>

<file path=xl/calcChain.xml><?xml version="1.0" encoding="utf-8"?>
<calcChain xmlns="http://schemas.openxmlformats.org/spreadsheetml/2006/main">
  <c r="I34" i="9" l="1"/>
  <c r="I33" i="9"/>
  <c r="E24" i="4" l="1"/>
  <c r="F24" i="4" s="1"/>
  <c r="G24" i="4" s="1"/>
  <c r="E12" i="4"/>
  <c r="C19" i="10"/>
  <c r="C21" i="10" s="1"/>
  <c r="B21" i="10" s="1"/>
  <c r="D13" i="10"/>
  <c r="D12" i="10"/>
  <c r="D10" i="10"/>
  <c r="D7" i="10"/>
  <c r="E26" i="4"/>
  <c r="E25" i="4"/>
  <c r="F23" i="4"/>
  <c r="G23" i="4" s="1"/>
  <c r="F22" i="4"/>
  <c r="G22" i="4" s="1"/>
  <c r="F21" i="4"/>
  <c r="G21" i="4" s="1"/>
  <c r="F20" i="4"/>
  <c r="G20" i="4" s="1"/>
  <c r="C25" i="9"/>
  <c r="C31" i="9" s="1"/>
  <c r="L12" i="9"/>
  <c r="F12" i="9"/>
  <c r="D12" i="9"/>
  <c r="H12" i="9" s="1"/>
  <c r="J12" i="9" s="1"/>
  <c r="L11" i="9"/>
  <c r="F11" i="9"/>
  <c r="D11" i="9"/>
  <c r="H11" i="9" s="1"/>
  <c r="L14" i="9"/>
  <c r="F14" i="9"/>
  <c r="D14" i="9"/>
  <c r="H14" i="9" s="1"/>
  <c r="L13" i="9"/>
  <c r="F13" i="9"/>
  <c r="D13" i="9"/>
  <c r="H13" i="9" s="1"/>
  <c r="L23" i="9"/>
  <c r="F23" i="9"/>
  <c r="D23" i="9"/>
  <c r="H23" i="9" s="1"/>
  <c r="L22" i="9"/>
  <c r="F22" i="9"/>
  <c r="D22" i="9"/>
  <c r="H22" i="9" s="1"/>
  <c r="L21" i="9"/>
  <c r="F21" i="9"/>
  <c r="D21" i="9"/>
  <c r="H21" i="9" s="1"/>
  <c r="L20" i="9"/>
  <c r="F20" i="9"/>
  <c r="D20" i="9"/>
  <c r="H20" i="9" s="1"/>
  <c r="G32" i="9"/>
  <c r="I32" i="9" s="1"/>
  <c r="C9" i="10" s="1"/>
  <c r="C15" i="10" s="1"/>
  <c r="L30" i="9"/>
  <c r="F30" i="9"/>
  <c r="D30" i="9"/>
  <c r="H30" i="9" s="1"/>
  <c r="L29" i="9"/>
  <c r="F29" i="9"/>
  <c r="D29" i="9"/>
  <c r="H29" i="9" s="1"/>
  <c r="J29" i="9" s="1"/>
  <c r="L28" i="9"/>
  <c r="F28" i="9"/>
  <c r="D28" i="9"/>
  <c r="H28" i="9" s="1"/>
  <c r="L27" i="9"/>
  <c r="F27" i="9"/>
  <c r="D27" i="9"/>
  <c r="H27" i="9" s="1"/>
  <c r="L26" i="9"/>
  <c r="F26" i="9"/>
  <c r="D26" i="9"/>
  <c r="H26" i="9" s="1"/>
  <c r="I26" i="9" s="1"/>
  <c r="L25" i="9"/>
  <c r="F25" i="9"/>
  <c r="L24" i="9"/>
  <c r="F24" i="9"/>
  <c r="D24" i="9"/>
  <c r="H24" i="9" s="1"/>
  <c r="L19" i="9"/>
  <c r="F19" i="9"/>
  <c r="D19" i="9"/>
  <c r="H19" i="9" s="1"/>
  <c r="L18" i="9"/>
  <c r="F18" i="9"/>
  <c r="D18" i="9"/>
  <c r="H18" i="9" s="1"/>
  <c r="J18" i="9" s="1"/>
  <c r="L17" i="9"/>
  <c r="F17" i="9"/>
  <c r="D17" i="9"/>
  <c r="H17" i="9" s="1"/>
  <c r="L16" i="9"/>
  <c r="F16" i="9"/>
  <c r="D16" i="9"/>
  <c r="H16" i="9" s="1"/>
  <c r="L15" i="9"/>
  <c r="F15" i="9"/>
  <c r="D15" i="9"/>
  <c r="H15" i="9" s="1"/>
  <c r="L10" i="9"/>
  <c r="F10" i="9"/>
  <c r="D10" i="9"/>
  <c r="H10" i="9" s="1"/>
  <c r="L9" i="9"/>
  <c r="F9" i="9"/>
  <c r="D9" i="9"/>
  <c r="H9" i="9" s="1"/>
  <c r="J9" i="9" s="1"/>
  <c r="L8" i="9"/>
  <c r="F8" i="9"/>
  <c r="D8" i="9"/>
  <c r="H8" i="9" s="1"/>
  <c r="J36" i="2"/>
  <c r="I36" i="2"/>
  <c r="H36" i="2"/>
  <c r="E29" i="2"/>
  <c r="F29" i="2" s="1"/>
  <c r="G29" i="2" s="1"/>
  <c r="H29" i="2" s="1"/>
  <c r="J44" i="8"/>
  <c r="I44" i="8"/>
  <c r="H44" i="8"/>
  <c r="H18" i="8"/>
  <c r="L16" i="8"/>
  <c r="F65" i="8"/>
  <c r="D64" i="8"/>
  <c r="F64" i="8" s="1"/>
  <c r="E63" i="8"/>
  <c r="F63" i="8" s="1"/>
  <c r="F61" i="8"/>
  <c r="F60" i="8"/>
  <c r="F59" i="8"/>
  <c r="F58" i="8"/>
  <c r="F57" i="8"/>
  <c r="F56" i="8"/>
  <c r="E55" i="8"/>
  <c r="F55" i="8" s="1"/>
  <c r="F52" i="8"/>
  <c r="D51" i="8"/>
  <c r="F51" i="8" s="1"/>
  <c r="H51" i="8" s="1"/>
  <c r="E50" i="8"/>
  <c r="F50" i="8" s="1"/>
  <c r="H50" i="8" s="1"/>
  <c r="E49" i="8"/>
  <c r="F49" i="8" s="1"/>
  <c r="M49" i="8" s="1"/>
  <c r="E48" i="8"/>
  <c r="F48" i="8" s="1"/>
  <c r="I48" i="8" s="1"/>
  <c r="E47" i="8"/>
  <c r="F47" i="8" s="1"/>
  <c r="J47" i="8" s="1"/>
  <c r="D46" i="8"/>
  <c r="F46" i="8" s="1"/>
  <c r="E45" i="8"/>
  <c r="F45" i="8" s="1"/>
  <c r="J45" i="8" s="1"/>
  <c r="F44" i="8"/>
  <c r="M44" i="8" s="1"/>
  <c r="D42" i="8"/>
  <c r="F42" i="8" s="1"/>
  <c r="F41" i="8" s="1"/>
  <c r="E40" i="8"/>
  <c r="D40" i="8"/>
  <c r="E39" i="8"/>
  <c r="D39" i="8"/>
  <c r="D38" i="8"/>
  <c r="F38" i="8" s="1"/>
  <c r="D37" i="8"/>
  <c r="F37" i="8" s="1"/>
  <c r="D36" i="8"/>
  <c r="F36" i="8" s="1"/>
  <c r="F33" i="8"/>
  <c r="F32" i="8"/>
  <c r="E31" i="8"/>
  <c r="F31" i="8" s="1"/>
  <c r="E30" i="8"/>
  <c r="F30" i="8" s="1"/>
  <c r="D29" i="8"/>
  <c r="F29" i="8" s="1"/>
  <c r="D27" i="8"/>
  <c r="F27" i="8" s="1"/>
  <c r="D26" i="8"/>
  <c r="F26" i="8" s="1"/>
  <c r="D25" i="8"/>
  <c r="F25" i="8" s="1"/>
  <c r="D24" i="8"/>
  <c r="F24" i="8" s="1"/>
  <c r="E22" i="8"/>
  <c r="D22" i="8"/>
  <c r="F18" i="8"/>
  <c r="L18" i="8" s="1"/>
  <c r="F17" i="8"/>
  <c r="M17" i="8" s="1"/>
  <c r="F16" i="8"/>
  <c r="H16" i="8" s="1"/>
  <c r="F14" i="8"/>
  <c r="J14" i="8" s="1"/>
  <c r="F13" i="8"/>
  <c r="L13" i="8" s="1"/>
  <c r="F12" i="8"/>
  <c r="J12" i="8" s="1"/>
  <c r="F11" i="8"/>
  <c r="H11" i="8" s="1"/>
  <c r="B6" i="8"/>
  <c r="B4" i="8"/>
  <c r="B3" i="8"/>
  <c r="I16" i="8" l="1"/>
  <c r="J16" i="8"/>
  <c r="L17" i="8"/>
  <c r="M12" i="8"/>
  <c r="M13" i="8"/>
  <c r="H14" i="8"/>
  <c r="E27" i="4"/>
  <c r="G27" i="4" s="1"/>
  <c r="C11" i="10" s="1"/>
  <c r="C16" i="10" s="1"/>
  <c r="C17" i="10"/>
  <c r="D25" i="9"/>
  <c r="H25" i="9" s="1"/>
  <c r="J25" i="9" s="1"/>
  <c r="J11" i="9"/>
  <c r="I11" i="9"/>
  <c r="I12" i="9"/>
  <c r="K12" i="9" s="1"/>
  <c r="J14" i="9"/>
  <c r="I14" i="9"/>
  <c r="I13" i="9"/>
  <c r="J13" i="9"/>
  <c r="J22" i="9"/>
  <c r="I22" i="9"/>
  <c r="J20" i="9"/>
  <c r="I20" i="9"/>
  <c r="J21" i="9"/>
  <c r="I21" i="9"/>
  <c r="J23" i="9"/>
  <c r="I23" i="9"/>
  <c r="I8" i="9"/>
  <c r="J8" i="9"/>
  <c r="J17" i="9"/>
  <c r="I17" i="9"/>
  <c r="I27" i="9"/>
  <c r="J27" i="9"/>
  <c r="J10" i="9"/>
  <c r="I10" i="9"/>
  <c r="I19" i="9"/>
  <c r="J19" i="9"/>
  <c r="J28" i="9"/>
  <c r="I28" i="9"/>
  <c r="J15" i="9"/>
  <c r="I15" i="9"/>
  <c r="I24" i="9"/>
  <c r="J24" i="9"/>
  <c r="J16" i="9"/>
  <c r="I16" i="9"/>
  <c r="J30" i="9"/>
  <c r="I30" i="9"/>
  <c r="I29" i="9"/>
  <c r="K29" i="9" s="1"/>
  <c r="I9" i="9"/>
  <c r="K9" i="9" s="1"/>
  <c r="J26" i="9"/>
  <c r="K26" i="9" s="1"/>
  <c r="I18" i="9"/>
  <c r="K18" i="9" s="1"/>
  <c r="K36" i="2"/>
  <c r="L36" i="2" s="1"/>
  <c r="K17" i="8"/>
  <c r="H45" i="8"/>
  <c r="K44" i="8"/>
  <c r="L44" i="8"/>
  <c r="I45" i="8"/>
  <c r="H47" i="8"/>
  <c r="J48" i="8"/>
  <c r="H49" i="8"/>
  <c r="J49" i="8"/>
  <c r="M18" i="8"/>
  <c r="I14" i="8"/>
  <c r="K16" i="8"/>
  <c r="I49" i="8"/>
  <c r="I11" i="8"/>
  <c r="I50" i="8"/>
  <c r="H13" i="8"/>
  <c r="M11" i="8"/>
  <c r="I13" i="8"/>
  <c r="K14" i="8"/>
  <c r="M16" i="8"/>
  <c r="I18" i="8"/>
  <c r="I47" i="8"/>
  <c r="K49" i="8"/>
  <c r="K12" i="8"/>
  <c r="J11" i="8"/>
  <c r="F15" i="8"/>
  <c r="H12" i="8"/>
  <c r="J13" i="8"/>
  <c r="L14" i="8"/>
  <c r="H17" i="8"/>
  <c r="J18" i="8"/>
  <c r="L49" i="8"/>
  <c r="L12" i="8"/>
  <c r="H42" i="8"/>
  <c r="L11" i="8"/>
  <c r="I12" i="8"/>
  <c r="K13" i="8"/>
  <c r="M14" i="8"/>
  <c r="I17" i="8"/>
  <c r="K18" i="8"/>
  <c r="H48" i="8"/>
  <c r="J50" i="8"/>
  <c r="K11" i="8"/>
  <c r="J17" i="8"/>
  <c r="F10" i="8"/>
  <c r="F40" i="8"/>
  <c r="F39" i="8"/>
  <c r="D28" i="8"/>
  <c r="F28" i="8" s="1"/>
  <c r="F23" i="8" s="1"/>
  <c r="F22" i="8"/>
  <c r="F21" i="8" s="1"/>
  <c r="F62" i="8"/>
  <c r="F54" i="8"/>
  <c r="F53" i="8" s="1"/>
  <c r="F43" i="8"/>
  <c r="F35" i="8" l="1"/>
  <c r="K13" i="9"/>
  <c r="F20" i="8"/>
  <c r="I25" i="9"/>
  <c r="K25" i="9" s="1"/>
  <c r="K19" i="9"/>
  <c r="K11" i="9"/>
  <c r="K14" i="9"/>
  <c r="K27" i="9"/>
  <c r="K17" i="9"/>
  <c r="K23" i="9"/>
  <c r="K21" i="9"/>
  <c r="K28" i="9"/>
  <c r="K20" i="9"/>
  <c r="K22" i="9"/>
  <c r="K15" i="9"/>
  <c r="K10" i="9"/>
  <c r="K30" i="9"/>
  <c r="K16" i="9"/>
  <c r="K24" i="9"/>
  <c r="K8" i="9"/>
  <c r="K37" i="2"/>
  <c r="L37" i="2" s="1"/>
  <c r="C8" i="10" s="1"/>
  <c r="M7" i="8"/>
  <c r="H7" i="8"/>
  <c r="I7" i="8"/>
  <c r="J7" i="8"/>
  <c r="F9" i="8"/>
  <c r="K7" i="8"/>
  <c r="L7" i="8"/>
  <c r="F34" i="8"/>
  <c r="F19" i="8" s="1"/>
  <c r="G4" i="8" l="1"/>
  <c r="F66" i="8"/>
  <c r="G3" i="8" s="1"/>
  <c r="C11" i="4"/>
  <c r="C10" i="4"/>
  <c r="L8" i="3"/>
  <c r="L9" i="3"/>
  <c r="L10" i="3"/>
  <c r="L11" i="3"/>
  <c r="L12" i="3"/>
  <c r="G5" i="8" l="1"/>
  <c r="M6" i="8"/>
  <c r="I6" i="8"/>
  <c r="H6" i="8"/>
  <c r="L6" i="8"/>
  <c r="J6" i="8"/>
  <c r="K6" i="8"/>
  <c r="L13" i="3"/>
  <c r="C19" i="5"/>
  <c r="C21" i="5" s="1"/>
  <c r="B21" i="5" s="1"/>
  <c r="D13" i="5"/>
  <c r="D12" i="5"/>
  <c r="D10" i="5"/>
  <c r="D7" i="5"/>
  <c r="E14" i="4"/>
  <c r="E13" i="4"/>
  <c r="F12" i="4"/>
  <c r="G12" i="4" s="1"/>
  <c r="F11" i="4"/>
  <c r="G11" i="4" s="1"/>
  <c r="F10" i="4"/>
  <c r="G10" i="4" s="1"/>
  <c r="F9" i="4"/>
  <c r="G9" i="4" s="1"/>
  <c r="F8" i="4"/>
  <c r="G8" i="4" s="1"/>
  <c r="G15" i="3"/>
  <c r="I15" i="3" s="1"/>
  <c r="C9" i="5" s="1"/>
  <c r="F13" i="3"/>
  <c r="D13" i="3"/>
  <c r="H13" i="3" s="1"/>
  <c r="J13" i="3" s="1"/>
  <c r="F12" i="3"/>
  <c r="D12" i="3"/>
  <c r="H12" i="3" s="1"/>
  <c r="F11" i="3"/>
  <c r="D11" i="3"/>
  <c r="H11" i="3" s="1"/>
  <c r="I11" i="3" s="1"/>
  <c r="F10" i="3"/>
  <c r="D10" i="3"/>
  <c r="H10" i="3" s="1"/>
  <c r="F9" i="3"/>
  <c r="D9" i="3"/>
  <c r="H9" i="3" s="1"/>
  <c r="J9" i="3" s="1"/>
  <c r="F8" i="3"/>
  <c r="D8" i="3"/>
  <c r="H8" i="3" s="1"/>
  <c r="J18" i="2"/>
  <c r="I18" i="2"/>
  <c r="H18" i="2"/>
  <c r="E11" i="2"/>
  <c r="F11" i="2" s="1"/>
  <c r="G11" i="2" s="1"/>
  <c r="H11" i="2" s="1"/>
  <c r="J5" i="8" l="1"/>
  <c r="H5" i="8"/>
  <c r="I5" i="8" s="1"/>
  <c r="L1" i="8" s="1"/>
  <c r="C17" i="5"/>
  <c r="C14" i="3"/>
  <c r="K18" i="2"/>
  <c r="K19" i="2" s="1"/>
  <c r="L19" i="2" s="1"/>
  <c r="C8" i="5" s="1"/>
  <c r="E15" i="4"/>
  <c r="G15" i="4" s="1"/>
  <c r="C11" i="5" s="1"/>
  <c r="C16" i="5" s="1"/>
  <c r="I12" i="3"/>
  <c r="J12" i="3"/>
  <c r="J8" i="3"/>
  <c r="I8" i="3"/>
  <c r="J10" i="3"/>
  <c r="I10" i="3"/>
  <c r="C15" i="5"/>
  <c r="J11" i="3"/>
  <c r="K11" i="3" s="1"/>
  <c r="I9" i="3"/>
  <c r="K9" i="3" s="1"/>
  <c r="I13" i="3"/>
  <c r="K13" i="3" s="1"/>
  <c r="I1" i="8" l="1"/>
  <c r="M1" i="8"/>
  <c r="J1" i="8"/>
  <c r="H1" i="8"/>
  <c r="K1" i="8"/>
  <c r="L18" i="2"/>
  <c r="K10" i="3"/>
  <c r="K8" i="3"/>
  <c r="K12" i="3"/>
</calcChain>
</file>

<file path=xl/sharedStrings.xml><?xml version="1.0" encoding="utf-8"?>
<sst xmlns="http://schemas.openxmlformats.org/spreadsheetml/2006/main" count="1000" uniqueCount="329">
  <si>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</si>
  <si>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</si>
  <si>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</si>
  <si>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</si>
  <si>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</si>
  <si>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</si>
  <si>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</si>
  <si>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</si>
  <si>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</si>
  <si>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</si>
  <si>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</si>
  <si>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</si>
  <si>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</si>
  <si>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</si>
  <si>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</si>
  <si>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</si>
  <si>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</si>
  <si>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</si>
  <si>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</si>
  <si>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</si>
  <si>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</si>
  <si>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</si>
  <si>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</si>
  <si>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</si>
  <si>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</si>
  <si>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</si>
  <si>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</si>
  <si>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</si>
  <si>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</si>
  <si>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</si>
  <si>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</si>
  <si>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</si>
  <si>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</si>
  <si>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</si>
  <si>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</si>
  <si>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</si>
  <si>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</si>
  <si>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</si>
  <si>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</si>
  <si>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</si>
  <si>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</si>
  <si>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</si>
  <si>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</si>
  <si>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</si>
  <si>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</si>
  <si>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</si>
  <si>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</si>
  <si>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</si>
  <si>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</si>
  <si>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</si>
  <si>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</si>
  <si>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</si>
  <si>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</si>
  <si>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</si>
  <si>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</si>
  <si>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</si>
  <si>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</si>
  <si>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</si>
  <si>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</si>
  <si>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</si>
  <si>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</si>
  <si>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</si>
  <si>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</si>
  <si>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</si>
  <si>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</si>
  <si>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</si>
  <si>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</si>
  <si>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</si>
  <si>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</si>
  <si>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</si>
  <si>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</si>
  <si>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Selador</t>
  </si>
  <si>
    <t>Textura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</si>
  <si>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</si>
  <si>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</si>
  <si>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</si>
  <si>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</si>
  <si>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</si>
  <si>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</si>
  <si>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</si>
  <si>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</si>
  <si>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</si>
  <si>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</si>
  <si>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</si>
  <si>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</si>
  <si>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</si>
  <si>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</si>
  <si>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</si>
  <si>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</si>
  <si>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</si>
  <si>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</si>
  <si>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</si>
  <si>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</si>
  <si>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</si>
  <si>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</si>
  <si>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</si>
  <si>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</si>
  <si>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</si>
  <si>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</si>
  <si>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</si>
  <si>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</si>
  <si>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</si>
  <si>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</si>
  <si>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</si>
  <si>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</si>
  <si>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</si>
  <si>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</si>
  <si>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</si>
  <si>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</si>
  <si>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</si>
  <si>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</si>
  <si>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</si>
  <si>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</si>
  <si>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</si>
  <si>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</si>
  <si>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</si>
  <si>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</si>
  <si>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</si>
  <si>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</si>
  <si>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</si>
  <si>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</si>
  <si>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</si>
  <si>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</si>
  <si>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</si>
  <si>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</si>
  <si>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</si>
  <si>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</si>
  <si>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</si>
  <si>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</si>
  <si>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</si>
  <si>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</si>
  <si>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</si>
  <si>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</si>
  <si>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</si>
  <si>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</si>
  <si>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</si>
  <si>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</si>
  <si>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</si>
  <si>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</si>
  <si>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</si>
  <si>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</si>
  <si>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</si>
  <si>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</si>
  <si>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</si>
  <si>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</si>
  <si>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</si>
  <si>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</si>
  <si>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</si>
  <si>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</si>
  <si>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</si>
  <si>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</si>
  <si>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</si>
  <si>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</si>
  <si>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</si>
  <si>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</si>
  <si>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Terreo</t>
  </si>
  <si>
    <t>Casa de maquinas</t>
  </si>
  <si>
    <t>Reservatorio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</si>
  <si>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</si>
  <si>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</si>
  <si>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</si>
  <si>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</si>
  <si>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</si>
  <si>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</si>
  <si>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</si>
  <si>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</si>
  <si>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</si>
  <si>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</si>
  <si>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</si>
  <si>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</si>
  <si>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</si>
  <si>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</si>
  <si>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ORÇAMENTO PARAMÉTRICO - CUSTOS INDIRETOS</t>
  </si>
  <si>
    <t>Cliente</t>
  </si>
  <si>
    <t>Obra</t>
  </si>
  <si>
    <t>Data</t>
  </si>
  <si>
    <t>Versão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</si>
  <si>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</si>
  <si>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</si>
  <si>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</si>
  <si>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</si>
  <si>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</si>
  <si>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</si>
  <si>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</si>
  <si>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</si>
  <si>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</si>
  <si>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</si>
  <si>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</si>
  <si>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</si>
  <si>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</si>
  <si>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</si>
  <si>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</si>
  <si>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</si>
  <si>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</si>
  <si>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</si>
  <si>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</si>
  <si>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</si>
  <si>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</si>
  <si>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</si>
  <si>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</si>
  <si>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</si>
  <si>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</si>
  <si>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</si>
  <si>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</si>
  <si>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</si>
  <si>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</si>
  <si>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</si>
  <si>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</si>
  <si>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</si>
  <si>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</si>
  <si>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</si>
  <si>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</si>
  <si>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</si>
  <si>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</si>
  <si>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</si>
  <si>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</si>
  <si>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</si>
  <si>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</si>
  <si>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</si>
  <si>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</si>
  <si>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</si>
  <si>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</si>
  <si>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</si>
  <si>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</si>
  <si>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</si>
  <si>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</si>
  <si>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</si>
  <si>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</si>
  <si>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</si>
  <si>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</si>
  <si>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</si>
  <si>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</si>
  <si>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</si>
  <si>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</si>
  <si>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</si>
  <si>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</si>
  <si>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</si>
  <si>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</si>
  <si>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</si>
  <si>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</si>
  <si>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</si>
  <si>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</si>
  <si>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Mestre Geral</t>
  </si>
  <si>
    <t>02.002.001.005</t>
  </si>
  <si>
    <t>Estagiário de Engenharia</t>
  </si>
  <si>
    <t>02.002.001.006</t>
  </si>
  <si>
    <t>Operador de Guincho</t>
  </si>
  <si>
    <t>02.002.001.007</t>
  </si>
  <si>
    <t>Equipe de apoio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</si>
  <si>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</si>
  <si>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</si>
  <si>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</si>
  <si>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</si>
  <si>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</si>
  <si>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</si>
  <si>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</si>
  <si>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</si>
  <si>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</si>
  <si>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</si>
  <si>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</si>
  <si>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</si>
  <si>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</si>
  <si>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</si>
  <si>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</si>
  <si>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</si>
  <si>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</si>
  <si>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</si>
  <si>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</si>
  <si>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</si>
  <si>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</si>
  <si>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</si>
  <si>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</si>
  <si>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</si>
  <si>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</si>
  <si>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</si>
  <si>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</si>
  <si>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</si>
  <si>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</si>
  <si>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02.003.001.004</t>
  </si>
  <si>
    <t>Montagem e desmontagem de elevador cremalheira</t>
  </si>
  <si>
    <t>02.003.001.005</t>
  </si>
  <si>
    <t>Mobilização e desmobilização de elevador cremalheira</t>
  </si>
  <si>
    <t>02.003.001.006</t>
  </si>
  <si>
    <t>02.003.001.007</t>
  </si>
  <si>
    <t>Montagem e Desmontagem de Mini-grua</t>
  </si>
  <si>
    <t>02.003.001.008</t>
  </si>
  <si>
    <t>Mobilização e desmobilização de Mini-grua</t>
  </si>
  <si>
    <t>02.003.002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</si>
  <si>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</si>
  <si>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</si>
  <si>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</si>
  <si>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</si>
  <si>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</si>
  <si>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</si>
  <si>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</si>
  <si>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02.001.002.009</t>
  </si>
  <si>
    <t>Gurada-corpo de vãos com régua de pinus 2,5x15cm</t>
  </si>
  <si>
    <t>2 seventes (84% de encargos)</t>
  </si>
  <si>
    <t>Período da fundação</t>
  </si>
  <si>
    <t>Locação de Conteiner</t>
  </si>
  <si>
    <t>Locação de elevador cremalheira</t>
  </si>
  <si>
    <t>Locação de Mini-grua</t>
  </si>
  <si>
    <t>HOTEL</t>
  </si>
  <si>
    <t>RESIDENCIAL</t>
  </si>
  <si>
    <t>Estaca pre-moldada cravada</t>
  </si>
  <si>
    <t>Garagem 1</t>
  </si>
  <si>
    <t>Garagem 2</t>
  </si>
  <si>
    <t>Tipo dif</t>
  </si>
  <si>
    <t>Duplex inf</t>
  </si>
  <si>
    <t>Duplex sup</t>
  </si>
  <si>
    <t>Inspeção</t>
  </si>
  <si>
    <t>Reboco</t>
  </si>
  <si>
    <t>MOLDURAS EPS PINTADAS</t>
  </si>
  <si>
    <t>4 EM CADA TORRE</t>
  </si>
  <si>
    <t xml:space="preserve">Subsolo </t>
  </si>
  <si>
    <t>pav 1</t>
  </si>
  <si>
    <t>Pav 2</t>
  </si>
  <si>
    <t>Subtelhado</t>
  </si>
  <si>
    <t>RESID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</si>
  <si>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</si>
  <si>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</si>
  <si>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</si>
  <si>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</si>
  <si>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</si>
  <si>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</si>
  <si>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</si>
  <si>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</si>
  <si>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</si>
  <si>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Moldura + reboco (1/2 duração de reboco)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</si>
</sst>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0.000%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Poppins"/>
    </font>
  </fonts>
  <fills count="19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" fillId="0" borderId="0"/>
  </cellStyleXfs>
  <cellXfs count="212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8" fillId="4" borderId="4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4" fillId="0" borderId="11" xfId="0" applyFont="1" applyBorder="1"/>
    <xf numFmtId="0" fontId="14" fillId="5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2" fontId="15" fillId="6" borderId="16" xfId="0" applyNumberFormat="1" applyFont="1" applyFill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0" xfId="0" applyFont="1" applyBorder="1"/>
    <xf numFmtId="0" fontId="14" fillId="5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5" fillId="6" borderId="1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2" fontId="15" fillId="6" borderId="18" xfId="0" applyNumberFormat="1" applyFont="1" applyFill="1" applyBorder="1" applyAlignment="1">
      <alignment horizontal="center" vertical="center"/>
    </xf>
    <xf numFmtId="0" fontId="15" fillId="0" borderId="13" xfId="0" applyFont="1" applyBorder="1"/>
    <xf numFmtId="2" fontId="14" fillId="0" borderId="15" xfId="0" applyNumberFormat="1" applyFont="1" applyBorder="1" applyAlignment="1">
      <alignment horizontal="center"/>
    </xf>
    <xf numFmtId="2" fontId="14" fillId="0" borderId="11" xfId="0" applyNumberFormat="1" applyFont="1" applyBorder="1" applyAlignment="1">
      <alignment horizontal="center"/>
    </xf>
    <xf numFmtId="2" fontId="14" fillId="0" borderId="12" xfId="0" applyNumberFormat="1" applyFont="1" applyBorder="1" applyAlignment="1">
      <alignment horizontal="center"/>
    </xf>
    <xf numFmtId="10" fontId="14" fillId="0" borderId="0" xfId="0" applyNumberFormat="1" applyFont="1"/>
    <xf numFmtId="0" fontId="11" fillId="0" borderId="0" xfId="0" applyFont="1" applyAlignment="1">
      <alignment vertical="center"/>
    </xf>
    <xf numFmtId="0" fontId="16" fillId="0" borderId="0" xfId="0" applyFont="1"/>
    <xf numFmtId="0" fontId="11" fillId="0" borderId="19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6" fillId="0" borderId="6" xfId="0" applyFont="1" applyBorder="1"/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6" fillId="0" borderId="11" xfId="0" applyFont="1" applyBorder="1"/>
    <xf numFmtId="0" fontId="14" fillId="0" borderId="0" xfId="0" applyFont="1" applyAlignment="1">
      <alignment vertical="center"/>
    </xf>
    <xf numFmtId="0" fontId="15" fillId="0" borderId="0" xfId="0" applyFont="1"/>
    <xf numFmtId="0" fontId="17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2" fontId="14" fillId="0" borderId="11" xfId="0" applyNumberFormat="1" applyFont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/>
    </xf>
    <xf numFmtId="164" fontId="15" fillId="0" borderId="22" xfId="0" applyNumberFormat="1" applyFont="1" applyBorder="1" applyAlignment="1">
      <alignment horizontal="center"/>
    </xf>
    <xf numFmtId="2" fontId="15" fillId="6" borderId="23" xfId="0" applyNumberFormat="1" applyFont="1" applyFill="1" applyBorder="1" applyAlignment="1">
      <alignment horizontal="center"/>
    </xf>
    <xf numFmtId="0" fontId="14" fillId="0" borderId="22" xfId="0" applyFont="1" applyBorder="1" applyAlignment="1">
      <alignment horizontal="center"/>
    </xf>
    <xf numFmtId="164" fontId="11" fillId="0" borderId="0" xfId="0" applyNumberFormat="1" applyFont="1"/>
    <xf numFmtId="0" fontId="14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2" fontId="15" fillId="0" borderId="15" xfId="0" applyNumberFormat="1" applyFont="1" applyBorder="1" applyAlignment="1">
      <alignment horizontal="center"/>
    </xf>
    <xf numFmtId="2" fontId="15" fillId="6" borderId="24" xfId="0" applyNumberFormat="1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7" borderId="26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8" borderId="26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5" fillId="10" borderId="26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2" fontId="14" fillId="5" borderId="11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/>
    </xf>
    <xf numFmtId="2" fontId="15" fillId="0" borderId="6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/>
    </xf>
    <xf numFmtId="0" fontId="14" fillId="5" borderId="26" xfId="0" applyFont="1" applyFill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0" fontId="9" fillId="0" borderId="0" xfId="0" applyFont="1"/>
    <xf numFmtId="0" fontId="18" fillId="0" borderId="0" xfId="0" applyFont="1" applyAlignment="1">
      <alignment horizontal="center"/>
    </xf>
    <xf numFmtId="0" fontId="11" fillId="11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11" borderId="28" xfId="0" applyFont="1" applyFill="1" applyBorder="1" applyAlignment="1">
      <alignment horizontal="left" vertical="center"/>
    </xf>
    <xf numFmtId="0" fontId="11" fillId="11" borderId="29" xfId="0" applyFont="1" applyFill="1" applyBorder="1" applyAlignment="1">
      <alignment horizontal="left" vertical="center"/>
    </xf>
    <xf numFmtId="0" fontId="15" fillId="7" borderId="30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1" fillId="11" borderId="31" xfId="0" applyFont="1" applyFill="1" applyBorder="1" applyAlignment="1">
      <alignment horizontal="left" vertical="center"/>
    </xf>
    <xf numFmtId="0" fontId="11" fillId="7" borderId="31" xfId="0" applyFont="1" applyFill="1" applyBorder="1" applyAlignment="1">
      <alignment horizontal="left" vertical="center"/>
    </xf>
    <xf numFmtId="0" fontId="15" fillId="7" borderId="32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left" vertical="center"/>
    </xf>
    <xf numFmtId="0" fontId="11" fillId="7" borderId="33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9" borderId="30" xfId="0" applyFont="1" applyFill="1" applyBorder="1" applyAlignment="1">
      <alignment horizontal="center" vertical="center"/>
    </xf>
    <xf numFmtId="0" fontId="21" fillId="0" borderId="0" xfId="4" applyFont="1" applyAlignment="1">
      <alignment vertical="center"/>
    </xf>
    <xf numFmtId="0" fontId="21" fillId="0" borderId="0" xfId="4" applyFont="1" applyAlignment="1">
      <alignment horizontal="center" vertical="center"/>
    </xf>
    <xf numFmtId="164" fontId="21" fillId="0" borderId="0" xfId="4" applyNumberFormat="1" applyFont="1" applyAlignment="1">
      <alignment vertical="center"/>
    </xf>
    <xf numFmtId="43" fontId="21" fillId="0" borderId="0" xfId="4" applyNumberFormat="1" applyFont="1" applyAlignment="1">
      <alignment vertical="center"/>
    </xf>
    <xf numFmtId="10" fontId="21" fillId="0" borderId="0" xfId="3" applyNumberFormat="1" applyFont="1" applyAlignment="1">
      <alignment vertical="center"/>
    </xf>
    <xf numFmtId="165" fontId="21" fillId="0" borderId="0" xfId="3" applyNumberFormat="1" applyFont="1" applyAlignment="1">
      <alignment vertical="center"/>
    </xf>
    <xf numFmtId="165" fontId="21" fillId="0" borderId="0" xfId="4" applyNumberFormat="1" applyFont="1" applyAlignment="1">
      <alignment vertical="center"/>
    </xf>
    <xf numFmtId="0" fontId="25" fillId="14" borderId="55" xfId="0" applyFont="1" applyFill="1" applyBorder="1" applyAlignment="1">
      <alignment horizontal="left" vertical="center" wrapText="1"/>
    </xf>
    <xf numFmtId="0" fontId="25" fillId="14" borderId="56" xfId="0" applyFont="1" applyFill="1" applyBorder="1" applyAlignment="1">
      <alignment horizontal="left" vertical="center" wrapText="1"/>
    </xf>
    <xf numFmtId="164" fontId="25" fillId="14" borderId="56" xfId="0" applyNumberFormat="1" applyFont="1" applyFill="1" applyBorder="1" applyAlignment="1">
      <alignment horizontal="right" vertical="center" wrapText="1"/>
    </xf>
    <xf numFmtId="164" fontId="25" fillId="14" borderId="57" xfId="0" applyNumberFormat="1" applyFont="1" applyFill="1" applyBorder="1" applyAlignment="1">
      <alignment horizontal="right" vertical="center" wrapText="1"/>
    </xf>
    <xf numFmtId="3" fontId="25" fillId="15" borderId="58" xfId="0" applyNumberFormat="1" applyFont="1" applyFill="1" applyBorder="1" applyAlignment="1">
      <alignment horizontal="left" vertical="center" wrapText="1"/>
    </xf>
    <xf numFmtId="0" fontId="25" fillId="15" borderId="59" xfId="0" applyFont="1" applyFill="1" applyBorder="1" applyAlignment="1">
      <alignment horizontal="left" vertical="center" wrapText="1"/>
    </xf>
    <xf numFmtId="164" fontId="25" fillId="15" borderId="59" xfId="0" applyNumberFormat="1" applyFont="1" applyFill="1" applyBorder="1" applyAlignment="1">
      <alignment horizontal="right" vertical="center" wrapText="1"/>
    </xf>
    <xf numFmtId="164" fontId="25" fillId="15" borderId="60" xfId="0" applyNumberFormat="1" applyFont="1" applyFill="1" applyBorder="1" applyAlignment="1">
      <alignment horizontal="right" vertical="center" wrapText="1"/>
    </xf>
    <xf numFmtId="0" fontId="25" fillId="16" borderId="58" xfId="0" applyFont="1" applyFill="1" applyBorder="1" applyAlignment="1">
      <alignment horizontal="left" vertical="center" wrapText="1"/>
    </xf>
    <xf numFmtId="0" fontId="25" fillId="16" borderId="59" xfId="0" applyFont="1" applyFill="1" applyBorder="1" applyAlignment="1">
      <alignment horizontal="left" vertical="center" wrapText="1"/>
    </xf>
    <xf numFmtId="164" fontId="25" fillId="16" borderId="59" xfId="0" applyNumberFormat="1" applyFont="1" applyFill="1" applyBorder="1" applyAlignment="1">
      <alignment horizontal="right" vertical="center" wrapText="1"/>
    </xf>
    <xf numFmtId="164" fontId="25" fillId="16" borderId="60" xfId="0" applyNumberFormat="1" applyFont="1" applyFill="1" applyBorder="1" applyAlignment="1">
      <alignment horizontal="right" vertical="center" wrapText="1"/>
    </xf>
    <xf numFmtId="49" fontId="25" fillId="16" borderId="58" xfId="0" applyNumberFormat="1" applyFont="1" applyFill="1" applyBorder="1" applyAlignment="1">
      <alignment horizontal="left" vertical="center" wrapText="1"/>
    </xf>
    <xf numFmtId="49" fontId="25" fillId="14" borderId="58" xfId="0" applyNumberFormat="1" applyFont="1" applyFill="1" applyBorder="1" applyAlignment="1">
      <alignment horizontal="left" vertical="center" wrapText="1"/>
    </xf>
    <xf numFmtId="0" fontId="25" fillId="14" borderId="59" xfId="0" applyFont="1" applyFill="1" applyBorder="1" applyAlignment="1">
      <alignment horizontal="left" vertical="center" wrapText="1"/>
    </xf>
    <xf numFmtId="164" fontId="25" fillId="14" borderId="59" xfId="0" applyNumberFormat="1" applyFont="1" applyFill="1" applyBorder="1" applyAlignment="1">
      <alignment horizontal="right" vertical="center" wrapText="1"/>
    </xf>
    <xf numFmtId="164" fontId="25" fillId="14" borderId="60" xfId="0" applyNumberFormat="1" applyFont="1" applyFill="1" applyBorder="1" applyAlignment="1">
      <alignment horizontal="right" vertical="center" wrapText="1"/>
    </xf>
    <xf numFmtId="49" fontId="25" fillId="15" borderId="58" xfId="0" applyNumberFormat="1" applyFont="1" applyFill="1" applyBorder="1" applyAlignment="1">
      <alignment horizontal="left" vertical="center" wrapText="1"/>
    </xf>
    <xf numFmtId="49" fontId="26" fillId="0" borderId="58" xfId="0" applyNumberFormat="1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22" fillId="0" borderId="59" xfId="0" applyNumberFormat="1" applyFont="1" applyBorder="1" applyAlignment="1">
      <alignment horizontal="right" vertical="center" wrapText="1"/>
    </xf>
    <xf numFmtId="164" fontId="26" fillId="0" borderId="59" xfId="0" applyNumberFormat="1" applyFont="1" applyBorder="1" applyAlignment="1">
      <alignment horizontal="right" vertical="center" wrapText="1"/>
    </xf>
    <xf numFmtId="164" fontId="22" fillId="0" borderId="60" xfId="0" applyNumberFormat="1" applyFont="1" applyBorder="1" applyAlignment="1">
      <alignment horizontal="right" vertical="center" wrapText="1"/>
    </xf>
    <xf numFmtId="0" fontId="22" fillId="0" borderId="59" xfId="0" applyFont="1" applyBorder="1" applyAlignment="1">
      <alignment horizontal="left" vertical="center" wrapText="1"/>
    </xf>
    <xf numFmtId="164" fontId="26" fillId="0" borderId="60" xfId="0" applyNumberFormat="1" applyFont="1" applyBorder="1" applyAlignment="1">
      <alignment horizontal="right" vertical="center" wrapText="1"/>
    </xf>
    <xf numFmtId="164" fontId="27" fillId="16" borderId="59" xfId="0" applyNumberFormat="1" applyFont="1" applyFill="1" applyBorder="1" applyAlignment="1">
      <alignment horizontal="right" vertical="center" wrapText="1"/>
    </xf>
    <xf numFmtId="0" fontId="26" fillId="0" borderId="61" xfId="0" applyFont="1" applyBorder="1" applyAlignment="1">
      <alignment horizontal="left" vertical="center" wrapText="1"/>
    </xf>
    <xf numFmtId="164" fontId="22" fillId="0" borderId="61" xfId="0" applyNumberFormat="1" applyFont="1" applyBorder="1" applyAlignment="1">
      <alignment horizontal="right" vertical="center" wrapText="1"/>
    </xf>
    <xf numFmtId="0" fontId="21" fillId="0" borderId="0" xfId="0" applyFont="1" applyAlignment="1">
      <alignment vertical="center"/>
    </xf>
    <xf numFmtId="49" fontId="23" fillId="12" borderId="39" xfId="0" applyNumberFormat="1" applyFont="1" applyFill="1" applyBorder="1" applyAlignment="1">
      <alignment vertical="center"/>
    </xf>
    <xf numFmtId="49" fontId="23" fillId="12" borderId="43" xfId="0" applyNumberFormat="1" applyFont="1" applyFill="1" applyBorder="1" applyAlignment="1">
      <alignment vertical="center"/>
    </xf>
    <xf numFmtId="49" fontId="23" fillId="12" borderId="47" xfId="0" applyNumberFormat="1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23" fillId="12" borderId="54" xfId="0" applyFont="1" applyFill="1" applyBorder="1" applyAlignment="1">
      <alignment horizontal="center" vertical="center" wrapText="1"/>
    </xf>
    <xf numFmtId="164" fontId="23" fillId="12" borderId="54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vertical="center"/>
    </xf>
    <xf numFmtId="164" fontId="25" fillId="15" borderId="65" xfId="0" applyNumberFormat="1" applyFont="1" applyFill="1" applyBorder="1" applyAlignment="1">
      <alignment horizontal="right" vertical="center" wrapText="1"/>
    </xf>
    <xf numFmtId="0" fontId="14" fillId="17" borderId="0" xfId="0" applyFont="1" applyFill="1"/>
    <xf numFmtId="0" fontId="14" fillId="17" borderId="0" xfId="0" applyFont="1" applyFill="1" applyAlignment="1">
      <alignment vertical="center"/>
    </xf>
    <xf numFmtId="0" fontId="14" fillId="17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1" fillId="0" borderId="0" xfId="0" applyFont="1"/>
    <xf numFmtId="0" fontId="0" fillId="17" borderId="0" xfId="0" applyFill="1"/>
    <xf numFmtId="0" fontId="8" fillId="4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7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7" fillId="3" borderId="0" xfId="0" applyFont="1" applyFill="1" applyAlignment="1">
      <alignment horizontal="center"/>
    </xf>
    <xf numFmtId="0" fontId="0" fillId="0" borderId="0" xfId="0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5" fillId="0" borderId="13" xfId="0" applyFont="1" applyBorder="1" applyAlignment="1">
      <alignment horizontal="left"/>
    </xf>
    <xf numFmtId="0" fontId="5" fillId="0" borderId="15" xfId="0" applyFont="1" applyBorder="1"/>
    <xf numFmtId="0" fontId="1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/>
    <xf numFmtId="0" fontId="14" fillId="0" borderId="13" xfId="0" applyFont="1" applyBorder="1" applyAlignment="1">
      <alignment horizontal="center"/>
    </xf>
    <xf numFmtId="0" fontId="5" fillId="0" borderId="14" xfId="0" applyFont="1" applyBorder="1"/>
    <xf numFmtId="0" fontId="15" fillId="0" borderId="13" xfId="0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5" fillId="0" borderId="9" xfId="0" applyFont="1" applyBorder="1"/>
    <xf numFmtId="0" fontId="5" fillId="0" borderId="21" xfId="0" applyFont="1" applyBorder="1"/>
    <xf numFmtId="0" fontId="5" fillId="0" borderId="11" xfId="0" applyFont="1" applyBorder="1"/>
    <xf numFmtId="0" fontId="5" fillId="0" borderId="12" xfId="0" applyFont="1" applyBorder="1"/>
    <xf numFmtId="164" fontId="15" fillId="0" borderId="0" xfId="0" applyNumberFormat="1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5" fillId="0" borderId="25" xfId="0" applyFont="1" applyBorder="1"/>
    <xf numFmtId="0" fontId="10" fillId="0" borderId="0" xfId="0" applyFont="1"/>
    <xf numFmtId="0" fontId="25" fillId="15" borderId="62" xfId="0" applyFont="1" applyFill="1" applyBorder="1" applyAlignment="1">
      <alignment horizontal="right" vertical="center" wrapText="1"/>
    </xf>
    <xf numFmtId="0" fontId="5" fillId="0" borderId="63" xfId="0" applyFont="1" applyBorder="1"/>
    <xf numFmtId="0" fontId="5" fillId="0" borderId="64" xfId="0" applyFont="1" applyBorder="1"/>
    <xf numFmtId="0" fontId="20" fillId="0" borderId="34" xfId="0" applyFont="1" applyBorder="1" applyAlignment="1">
      <alignment horizontal="left" vertical="center" wrapText="1"/>
    </xf>
    <xf numFmtId="0" fontId="5" fillId="0" borderId="35" xfId="0" applyFont="1" applyBorder="1"/>
    <xf numFmtId="0" fontId="5" fillId="0" borderId="36" xfId="0" applyFont="1" applyBorder="1"/>
    <xf numFmtId="0" fontId="5" fillId="0" borderId="37" xfId="0" applyFont="1" applyBorder="1"/>
    <xf numFmtId="0" fontId="5" fillId="0" borderId="38" xfId="0" applyFont="1" applyBorder="1"/>
    <xf numFmtId="0" fontId="24" fillId="0" borderId="40" xfId="0" applyFont="1" applyBorder="1" applyAlignment="1">
      <alignment horizontal="left" vertical="center"/>
    </xf>
    <xf numFmtId="0" fontId="5" fillId="0" borderId="41" xfId="0" applyFont="1" applyBorder="1"/>
    <xf numFmtId="0" fontId="5" fillId="0" borderId="42" xfId="0" applyFont="1" applyBorder="1"/>
    <xf numFmtId="0" fontId="24" fillId="0" borderId="44" xfId="0" applyFont="1" applyBorder="1" applyAlignment="1">
      <alignment horizontal="left" vertical="center"/>
    </xf>
    <xf numFmtId="0" fontId="5" fillId="0" borderId="45" xfId="0" applyFont="1" applyBorder="1"/>
    <xf numFmtId="0" fontId="5" fillId="0" borderId="46" xfId="0" applyFont="1" applyBorder="1"/>
    <xf numFmtId="14" fontId="24" fillId="0" borderId="44" xfId="0" applyNumberFormat="1" applyFont="1" applyBorder="1" applyAlignment="1">
      <alignment horizontal="left" vertical="center"/>
    </xf>
    <xf numFmtId="0" fontId="24" fillId="0" borderId="48" xfId="0" applyFont="1" applyBorder="1" applyAlignment="1">
      <alignment horizontal="left" vertical="center"/>
    </xf>
    <xf numFmtId="0" fontId="5" fillId="0" borderId="49" xfId="0" applyFont="1" applyBorder="1"/>
    <xf numFmtId="0" fontId="5" fillId="0" borderId="50" xfId="0" applyFont="1" applyBorder="1"/>
    <xf numFmtId="0" fontId="23" fillId="13" borderId="51" xfId="0" applyFont="1" applyFill="1" applyBorder="1" applyAlignment="1">
      <alignment horizontal="center" vertical="center" wrapText="1"/>
    </xf>
    <xf numFmtId="0" fontId="5" fillId="0" borderId="52" xfId="0" applyFont="1" applyBorder="1"/>
    <xf numFmtId="0" fontId="5" fillId="0" borderId="53" xfId="0" applyFont="1" applyBorder="1"/>
    <xf numFmtId="0" fontId="0" fillId="18" borderId="0" xfId="0" applyFill="1"/>
  </cellXfs>
  <cellStyles count="5">
    <cellStyle name="Normal" xfId="0" builtinId="0"/>
    <cellStyle name="Normal 2" xfId="1" xr:uid="{64D8AFAB-3CD7-49DF-848F-E688FCAD8E23}"/>
    <cellStyle name="Normal 3" xfId="4" xr:uid="{D5B2B4E1-5678-454B-8911-F894776E0189}"/>
    <cellStyle name="Porcentagem" xfId="3" builtinId="5"/>
    <cellStyle name="Porcentagem 2" xfId="2" xr:uid="{8F5B6264-ACD5-4A4A-99EC-169B1C304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694095E1-56D8-4172-A48E-548C31ABF1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209550"/>
          <a:ext cx="1838325" cy="2952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175596</xdr:colOff>
      <xdr:row>6</xdr:row>
      <xdr:rowOff>33618</xdr:rowOff>
    </xdr:from>
    <xdr:to>
      <xdr:col>26</xdr:col>
      <xdr:colOff>702320</xdr:colOff>
      <xdr:row>28</xdr:row>
      <xdr:rowOff>235325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E98F25-882C-0050-BF44-6D107292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1890" y="1165412"/>
          <a:ext cx="9222489" cy="6364942"/>
        </a:xfrm>
        <a:prstGeom prst="rect">
          <a:avLst/>
        </a:prstGeom>
      </xdr:spPr>
    </xdr:pic>
    <xdr:clientData/>
  </xdr:twoCellAnchor>
  <xdr:twoCellAnchor editAs="oneCell">
    <xdr:from>
      <xdr:col>8</xdr:col>
      <xdr:colOff>115056</xdr:colOff>
      <xdr:row>5</xdr:row>
      <xdr:rowOff>268940</xdr:rowOff>
    </xdr:from>
    <xdr:to>
      <xdr:col>14</xdr:col>
      <xdr:colOff>422716</xdr:colOff>
      <xdr:row>15</xdr:row>
      <xdr:rowOff>246529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BA4DC9E-22AF-3C88-2DCB-1BAEE58D1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9997" y="1120587"/>
          <a:ext cx="3826307" cy="27790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152676F2-F515-45C8-9CBB-9B65CCF293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42875"/>
          <a:ext cx="1181100" cy="1905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153553</xdr:colOff>
      <xdr:row>1</xdr:row>
      <xdr:rowOff>28575</xdr:rowOff>
    </xdr:from>
    <xdr:to>
      <xdr:col>78</xdr:col>
      <xdr:colOff>239569</xdr:colOff>
      <xdr:row>23</xdr:row>
      <xdr:rowOff>10414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99CE0F-CF98-00BF-A6EC-5B03DBEDB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79978" y="219075"/>
          <a:ext cx="8010816" cy="49348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DDFEF74A-D1C0-439C-9D33-9C6A878F6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4625" y="123825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D'Lohn%20Empreendimentos\04.%20Custo\03.0%20Custo%20-%20Or&#231;amento%20Param&#233;trico\2.%20Indiretos\CTN-DLH-ETR-Custos_Indiretos_R00.xlsx" TargetMode="External"/><Relationship Id="rId1" Type="http://schemas.openxmlformats.org/officeDocument/2006/relationships/externalLinkPath" Target="/.shortcut-targets-by-id/16oaQUYgx8kiowDwLhg-oO1zGZ777DJUb/2.%20Projetos%20em%20Andamento/D'Lohn%20Empreendimentos/04.%20Custo/03.0%20Custo%20-%20Or&#231;amento%20Param&#233;trico/2.%20Indiretos/CTN-DLH-ETR-Custos_Indireto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>
        <row r="1">
          <cell r="B1" t="str">
            <v>Estreito</v>
          </cell>
        </row>
        <row r="2">
          <cell r="B2" t="str">
            <v>D'Lohn Empreendiementos</v>
          </cell>
        </row>
        <row r="3">
          <cell r="B3" t="str">
            <v>R00</v>
          </cell>
        </row>
        <row r="9">
          <cell r="D9">
            <v>1575</v>
          </cell>
        </row>
        <row r="12">
          <cell r="D12">
            <v>46</v>
          </cell>
        </row>
      </sheetData>
      <sheetData sheetId="1">
        <row r="17">
          <cell r="D17">
            <v>60000</v>
          </cell>
        </row>
        <row r="18">
          <cell r="D18">
            <v>40000</v>
          </cell>
        </row>
        <row r="29">
          <cell r="F29">
            <v>15200</v>
          </cell>
        </row>
        <row r="34">
          <cell r="F34">
            <v>9000</v>
          </cell>
        </row>
      </sheetData>
      <sheetData sheetId="2">
        <row r="11">
          <cell r="H11">
            <v>20934.733738829269</v>
          </cell>
        </row>
        <row r="12">
          <cell r="H12">
            <v>689966.41742706206</v>
          </cell>
        </row>
        <row r="13">
          <cell r="H13">
            <v>127637.19505856717</v>
          </cell>
        </row>
        <row r="14">
          <cell r="H14">
            <v>153719.49547416082</v>
          </cell>
        </row>
        <row r="16">
          <cell r="H16">
            <v>24664.913254892541</v>
          </cell>
        </row>
        <row r="17">
          <cell r="H17">
            <v>156719.97790310319</v>
          </cell>
        </row>
        <row r="18">
          <cell r="H18">
            <v>67291.247977979801</v>
          </cell>
        </row>
        <row r="20">
          <cell r="H20">
            <v>2500</v>
          </cell>
        </row>
        <row r="21">
          <cell r="H21">
            <v>3286.8216754337254</v>
          </cell>
        </row>
        <row r="22">
          <cell r="H22">
            <v>42591.549374336028</v>
          </cell>
        </row>
        <row r="29">
          <cell r="H29">
            <v>3500</v>
          </cell>
        </row>
        <row r="36">
          <cell r="H36">
            <v>15778.006046364875</v>
          </cell>
        </row>
        <row r="37">
          <cell r="H37">
            <v>13809.655580048184</v>
          </cell>
        </row>
        <row r="39">
          <cell r="H39">
            <v>73627.572200917653</v>
          </cell>
        </row>
        <row r="40">
          <cell r="H40">
            <v>344923.23597695172</v>
          </cell>
        </row>
      </sheetData>
      <sheetData sheetId="3">
        <row r="11">
          <cell r="D11">
            <v>157.96</v>
          </cell>
        </row>
        <row r="12">
          <cell r="D12">
            <v>132.16</v>
          </cell>
        </row>
        <row r="13">
          <cell r="D13">
            <v>290.12</v>
          </cell>
        </row>
        <row r="14">
          <cell r="D14">
            <v>132.16</v>
          </cell>
        </row>
        <row r="21">
          <cell r="D21">
            <v>528.64</v>
          </cell>
        </row>
        <row r="28">
          <cell r="D28">
            <v>5918.1247999999996</v>
          </cell>
        </row>
        <row r="36">
          <cell r="D36">
            <v>56.160000000000004</v>
          </cell>
        </row>
        <row r="43">
          <cell r="D43">
            <v>74.399999999999991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C18" sqref="C18"/>
    </sheetView>
  </sheetViews>
  <sheetFormatPr defaultColWidth="14.42578125" defaultRowHeight="15" customHeight="1" x14ac:dyDescent="0.25"/>
  <cols>
    <col min="1" max="1" width="24.28515625" customWidth="1"/>
    <col min="2" max="2" width="15.5703125" customWidth="1"/>
    <col min="3" max="3" width="8.7109375" customWidth="1"/>
    <col min="4" max="4" width="24.28515625" customWidth="1"/>
    <col min="5" max="5" width="15.5703125" customWidth="1"/>
    <col min="6" max="6" width="8.7109375" customWidth="1"/>
    <col min="7" max="7" width="24.28515625" customWidth="1"/>
    <col min="8" max="8" width="14.5703125" customWidth="1"/>
    <col min="9" max="9" width="8.7109375" customWidth="1"/>
    <col min="10" max="10" width="33" customWidth="1"/>
    <col min="11" max="11" width="11.140625" customWidth="1"/>
    <col min="12" max="26" width="8.7109375" customWidth="1"/>
  </cols>
  <sheetData>
    <row r="1" spans="1:13" x14ac:dyDescent="0.25">
      <c r="A1" s="166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4"/>
      <c r="L1" s="1"/>
      <c r="M1" s="1"/>
    </row>
    <row r="2" spans="1:13" ht="21.75" x14ac:dyDescent="0.6">
      <c r="A2" s="168" t="s">
        <v>1</v>
      </c>
      <c r="B2" s="169"/>
      <c r="C2" s="2"/>
      <c r="D2" s="165" t="s">
        <v>2</v>
      </c>
      <c r="E2" s="164"/>
      <c r="F2" s="2"/>
      <c r="G2" s="165" t="s">
        <v>3</v>
      </c>
      <c r="H2" s="164"/>
      <c r="J2" s="165" t="s">
        <v>4</v>
      </c>
      <c r="K2" s="164"/>
    </row>
    <row r="3" spans="1:13" ht="19.5" x14ac:dyDescent="0.25">
      <c r="A3" s="163" t="s">
        <v>5</v>
      </c>
      <c r="B3" s="164"/>
      <c r="D3" s="163" t="s">
        <v>5</v>
      </c>
      <c r="E3" s="164"/>
      <c r="G3" s="163" t="s">
        <v>5</v>
      </c>
      <c r="H3" s="164"/>
      <c r="J3" s="163" t="s">
        <v>5</v>
      </c>
      <c r="K3" s="164"/>
    </row>
    <row r="4" spans="1:13" x14ac:dyDescent="0.25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x14ac:dyDescent="0.25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5" x14ac:dyDescent="0.25">
      <c r="A6" s="163" t="s">
        <v>9</v>
      </c>
      <c r="B6" s="164"/>
      <c r="D6" s="163" t="s">
        <v>9</v>
      </c>
      <c r="E6" s="164"/>
      <c r="G6" s="163" t="s">
        <v>9</v>
      </c>
      <c r="H6" s="164"/>
      <c r="J6" s="163" t="s">
        <v>9</v>
      </c>
      <c r="K6" s="164"/>
    </row>
    <row r="7" spans="1:13" x14ac:dyDescent="0.25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x14ac:dyDescent="0.25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x14ac:dyDescent="0.25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5" x14ac:dyDescent="0.55000000000000004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5" x14ac:dyDescent="0.25">
      <c r="A11" s="163" t="s">
        <v>16</v>
      </c>
      <c r="B11" s="164"/>
      <c r="D11" s="163" t="s">
        <v>16</v>
      </c>
      <c r="E11" s="164"/>
      <c r="G11" s="163" t="s">
        <v>16</v>
      </c>
      <c r="H11" s="164"/>
      <c r="J11" s="163" t="s">
        <v>16</v>
      </c>
      <c r="K11" s="164"/>
    </row>
    <row r="12" spans="1:13" x14ac:dyDescent="0.25">
      <c r="A12" s="170" t="s">
        <v>17</v>
      </c>
      <c r="B12" s="164"/>
      <c r="D12" s="170"/>
      <c r="E12" s="164"/>
      <c r="G12" s="170"/>
      <c r="H12" s="164"/>
      <c r="J12" s="171"/>
      <c r="K12" s="164"/>
    </row>
    <row r="13" spans="1:13" x14ac:dyDescent="0.25">
      <c r="A13" s="170" t="s">
        <v>18</v>
      </c>
      <c r="B13" s="164"/>
      <c r="D13" s="170"/>
      <c r="E13" s="164"/>
      <c r="G13" s="170"/>
      <c r="H13" s="164"/>
      <c r="J13" s="171"/>
      <c r="K13" s="164"/>
    </row>
    <row r="14" spans="1:13" x14ac:dyDescent="0.25">
      <c r="A14" s="170" t="s">
        <v>19</v>
      </c>
      <c r="B14" s="164"/>
      <c r="D14" s="170"/>
      <c r="E14" s="164"/>
      <c r="G14" s="170"/>
      <c r="H14" s="164"/>
      <c r="J14" s="171"/>
      <c r="K14" s="164"/>
    </row>
    <row r="15" spans="1:13" x14ac:dyDescent="0.25">
      <c r="A15" s="170" t="s">
        <v>20</v>
      </c>
      <c r="B15" s="164"/>
      <c r="D15" s="170"/>
      <c r="E15" s="164"/>
      <c r="G15" s="170"/>
      <c r="H15" s="164"/>
      <c r="J15" s="171"/>
      <c r="K15" s="164"/>
    </row>
    <row r="16" spans="1:13" x14ac:dyDescent="0.25">
      <c r="A16" s="170" t="s">
        <v>21</v>
      </c>
      <c r="B16" s="164"/>
      <c r="D16" s="170"/>
      <c r="E16" s="164"/>
      <c r="G16" s="170"/>
      <c r="H16" s="164"/>
      <c r="J16" s="171"/>
      <c r="K16" s="164"/>
    </row>
    <row r="17" spans="1:11" x14ac:dyDescent="0.25">
      <c r="A17" s="170" t="s">
        <v>22</v>
      </c>
      <c r="B17" s="164"/>
      <c r="D17" s="170"/>
      <c r="E17" s="164"/>
      <c r="G17" s="170"/>
      <c r="H17" s="164"/>
      <c r="J17" s="171"/>
      <c r="K17" s="164"/>
    </row>
    <row r="18" spans="1:11" x14ac:dyDescent="0.25">
      <c r="A18" s="170"/>
      <c r="B18" s="164"/>
      <c r="D18" s="170"/>
      <c r="E18" s="164"/>
      <c r="G18" s="170"/>
      <c r="H18" s="164"/>
      <c r="J18" s="171"/>
      <c r="K18" s="164"/>
    </row>
    <row r="19" spans="1:11" x14ac:dyDescent="0.25">
      <c r="A19" s="170"/>
      <c r="B19" s="164"/>
      <c r="D19" s="170"/>
      <c r="E19" s="164"/>
      <c r="G19" s="170"/>
      <c r="H19" s="164"/>
      <c r="J19" s="171"/>
      <c r="K19" s="164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9"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D16:E16"/>
    <mergeCell ref="D15:E15"/>
    <mergeCell ref="D14:E14"/>
    <mergeCell ref="A16:B16"/>
    <mergeCell ref="G16:H16"/>
    <mergeCell ref="D6:E6"/>
    <mergeCell ref="A6:B6"/>
    <mergeCell ref="A15:B15"/>
    <mergeCell ref="A14:B14"/>
    <mergeCell ref="A12:B12"/>
    <mergeCell ref="D12:E12"/>
    <mergeCell ref="A13:B13"/>
    <mergeCell ref="D13:E13"/>
    <mergeCell ref="D3:E3"/>
    <mergeCell ref="D2:E2"/>
    <mergeCell ref="A3:B3"/>
    <mergeCell ref="A1:K1"/>
    <mergeCell ref="A2:B2"/>
    <mergeCell ref="G6:H6"/>
    <mergeCell ref="J2:K2"/>
    <mergeCell ref="J3:K3"/>
    <mergeCell ref="G2:H2"/>
    <mergeCell ref="G3:H3"/>
    <mergeCell ref="J6:K6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workbookViewId="0">
      <selection activeCell="L19" sqref="L19"/>
    </sheetView>
  </sheetViews>
  <sheetFormatPr defaultColWidth="14.42578125" defaultRowHeight="15" customHeight="1" x14ac:dyDescent="0.25"/>
  <cols>
    <col min="1" max="1" width="2.28515625" customWidth="1"/>
    <col min="2" max="2" width="29.42578125" customWidth="1"/>
    <col min="3" max="3" width="15.7109375" customWidth="1"/>
    <col min="4" max="5" width="15.28515625" customWidth="1"/>
    <col min="6" max="6" width="18.28515625" customWidth="1"/>
    <col min="7" max="7" width="10.42578125" customWidth="1"/>
    <col min="8" max="12" width="14.85546875" customWidth="1"/>
    <col min="13" max="13" width="12.85546875" customWidth="1"/>
    <col min="14" max="14" width="8.5703125" customWidth="1"/>
    <col min="15" max="25" width="8.7109375" customWidth="1"/>
  </cols>
  <sheetData>
    <row r="1" spans="1:26" ht="7.5" customHeight="1" x14ac:dyDescent="0.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6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6">
      <c r="A3" s="7"/>
      <c r="B3" s="12"/>
      <c r="C3" s="7"/>
      <c r="D3" s="174" t="s">
        <v>23</v>
      </c>
      <c r="E3" s="169"/>
      <c r="F3" s="169"/>
      <c r="G3" s="169"/>
      <c r="H3" s="169"/>
      <c r="I3" s="169"/>
      <c r="J3" s="169"/>
      <c r="K3" s="169"/>
      <c r="L3" s="169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6">
      <c r="A4" s="7"/>
      <c r="B4" s="12"/>
      <c r="C4" s="7"/>
      <c r="D4" s="169"/>
      <c r="E4" s="169"/>
      <c r="F4" s="169"/>
      <c r="G4" s="169"/>
      <c r="H4" s="169"/>
      <c r="I4" s="169"/>
      <c r="J4" s="169"/>
      <c r="K4" s="169"/>
      <c r="L4" s="169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6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1.75" customHeight="1" x14ac:dyDescent="0.6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1.75" customHeight="1" x14ac:dyDescent="0.6">
      <c r="A7" s="7"/>
      <c r="B7" s="157" t="s">
        <v>302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6">
      <c r="A8" s="7"/>
      <c r="B8" s="175" t="s">
        <v>24</v>
      </c>
      <c r="C8" s="176"/>
      <c r="D8" s="176"/>
      <c r="E8" s="176"/>
      <c r="F8" s="176"/>
      <c r="G8" s="176"/>
      <c r="H8" s="176"/>
      <c r="I8" s="17" t="s">
        <v>304</v>
      </c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6">
      <c r="A9" s="7"/>
      <c r="B9" s="18"/>
      <c r="C9" s="177" t="s">
        <v>25</v>
      </c>
      <c r="D9" s="178"/>
      <c r="E9" s="18"/>
      <c r="F9" s="18"/>
      <c r="G9" s="18"/>
      <c r="H9" s="18"/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6">
      <c r="A10" s="7"/>
      <c r="B10" s="20" t="s">
        <v>26</v>
      </c>
      <c r="C10" s="19" t="s">
        <v>27</v>
      </c>
      <c r="D10" s="21" t="s">
        <v>28</v>
      </c>
      <c r="E10" s="19" t="s">
        <v>29</v>
      </c>
      <c r="F10" s="22" t="s">
        <v>30</v>
      </c>
      <c r="G10" s="23" t="s">
        <v>31</v>
      </c>
      <c r="H10" s="24" t="s">
        <v>32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6">
      <c r="A11" s="7"/>
      <c r="B11" s="25" t="s">
        <v>33</v>
      </c>
      <c r="C11" s="26">
        <v>273</v>
      </c>
      <c r="D11" s="26">
        <v>13</v>
      </c>
      <c r="E11" s="20">
        <f>C11*D11</f>
        <v>3549</v>
      </c>
      <c r="F11" s="20">
        <f>ROUNDUP((E11/$D$13),0)</f>
        <v>30</v>
      </c>
      <c r="G11" s="27">
        <f>F11*D14</f>
        <v>36</v>
      </c>
      <c r="H11" s="28">
        <f>G11/22</f>
        <v>1.6363636363636365</v>
      </c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6">
      <c r="A12" s="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6">
      <c r="A13" s="7"/>
      <c r="B13" s="179" t="s">
        <v>34</v>
      </c>
      <c r="C13" s="173"/>
      <c r="D13" s="29">
        <v>120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6">
      <c r="A14" s="7"/>
      <c r="B14" s="179" t="s">
        <v>35</v>
      </c>
      <c r="C14" s="173"/>
      <c r="D14" s="30">
        <v>1.2</v>
      </c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6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6">
      <c r="A16" s="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</row>
    <row r="17" spans="1:26" ht="21.75" customHeight="1" x14ac:dyDescent="0.25">
      <c r="A17" s="31"/>
      <c r="B17" s="32" t="s">
        <v>26</v>
      </c>
      <c r="C17" s="33" t="s">
        <v>36</v>
      </c>
      <c r="D17" s="33" t="s">
        <v>37</v>
      </c>
      <c r="E17" s="33" t="s">
        <v>38</v>
      </c>
      <c r="F17" s="33" t="s">
        <v>39</v>
      </c>
      <c r="G17" s="33" t="s">
        <v>40</v>
      </c>
      <c r="H17" s="33" t="s">
        <v>41</v>
      </c>
      <c r="I17" s="33" t="s">
        <v>42</v>
      </c>
      <c r="J17" s="33" t="s">
        <v>43</v>
      </c>
      <c r="K17" s="33" t="s">
        <v>44</v>
      </c>
      <c r="L17" s="34" t="s">
        <v>32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55000000000000004">
      <c r="A18" s="31"/>
      <c r="B18" s="36" t="s">
        <v>45</v>
      </c>
      <c r="C18" s="37">
        <v>2132.0500000000002</v>
      </c>
      <c r="D18" s="37">
        <v>623.61</v>
      </c>
      <c r="E18" s="37">
        <v>37416.6</v>
      </c>
      <c r="F18" s="37">
        <v>10</v>
      </c>
      <c r="G18" s="37">
        <v>10</v>
      </c>
      <c r="H18" s="38">
        <f>ROUNDUP((C18*$D$20)/(8.8*G18),0)</f>
        <v>51</v>
      </c>
      <c r="I18" s="38">
        <f>ROUNDUP((E18*$D$22)/(8.8*F18),0)</f>
        <v>19</v>
      </c>
      <c r="J18" s="38">
        <f>ROUNDUP((D18*$D$21)/8.8,0)</f>
        <v>1</v>
      </c>
      <c r="K18" s="39">
        <f>I18+J18+H18</f>
        <v>71</v>
      </c>
      <c r="L18" s="40">
        <f t="shared" ref="L18:L19" si="0">K18/22</f>
        <v>3.2272727272727271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5"/>
      <c r="Y18" s="35"/>
      <c r="Z18" s="35"/>
    </row>
    <row r="19" spans="1:26" ht="21.75" customHeight="1" x14ac:dyDescent="0.6">
      <c r="A19" s="7"/>
      <c r="B19" s="17"/>
      <c r="C19" s="17"/>
      <c r="D19" s="17"/>
      <c r="E19" s="17"/>
      <c r="F19" s="17"/>
      <c r="G19" s="17"/>
      <c r="H19" s="17"/>
      <c r="I19" s="41"/>
      <c r="J19" s="41"/>
      <c r="K19" s="42">
        <f>K18*D23</f>
        <v>85.2</v>
      </c>
      <c r="L19" s="43">
        <f t="shared" si="0"/>
        <v>3.872727272727273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6">
      <c r="A20" s="7"/>
      <c r="B20" s="44" t="s">
        <v>46</v>
      </c>
      <c r="C20" s="45"/>
      <c r="D20" s="30">
        <v>2.08</v>
      </c>
      <c r="E20" s="17"/>
      <c r="F20" s="17"/>
      <c r="G20" s="17"/>
      <c r="H20" s="17"/>
      <c r="I20" s="17"/>
      <c r="J20" s="8"/>
      <c r="K20" s="8"/>
      <c r="L20" s="1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6">
      <c r="A21" s="7"/>
      <c r="B21" s="44" t="s">
        <v>47</v>
      </c>
      <c r="C21" s="46"/>
      <c r="D21" s="47">
        <v>1.32530120481928E-2</v>
      </c>
      <c r="E21" s="7"/>
      <c r="F21" s="7"/>
      <c r="G21" s="17"/>
      <c r="H21" s="17"/>
      <c r="I21" s="17"/>
      <c r="J21" s="17"/>
      <c r="K21" s="17"/>
      <c r="L21" s="4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6">
      <c r="A22" s="7"/>
      <c r="B22" s="44" t="s">
        <v>48</v>
      </c>
      <c r="C22" s="46"/>
      <c r="D22" s="47">
        <v>4.3999999999999997E-2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6">
      <c r="A23" s="7"/>
      <c r="B23" s="172" t="s">
        <v>35</v>
      </c>
      <c r="C23" s="173"/>
      <c r="D23" s="30">
        <v>1.2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6">
      <c r="A25" s="7"/>
      <c r="B25" s="157" t="s">
        <v>303</v>
      </c>
      <c r="C25" s="7"/>
      <c r="D25" s="7"/>
      <c r="E25" s="7"/>
      <c r="F25" s="7"/>
      <c r="G25" s="7"/>
      <c r="H25" s="7"/>
      <c r="I25" s="1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6">
      <c r="A26" s="7"/>
      <c r="B26" s="175" t="s">
        <v>24</v>
      </c>
      <c r="C26" s="176"/>
      <c r="D26" s="176"/>
      <c r="E26" s="176"/>
      <c r="F26" s="176"/>
      <c r="G26" s="176"/>
      <c r="H26" s="176"/>
      <c r="I26" s="17" t="s">
        <v>304</v>
      </c>
      <c r="J26" s="17"/>
      <c r="K26" s="17"/>
      <c r="L26" s="1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6">
      <c r="A27" s="7"/>
      <c r="B27" s="18"/>
      <c r="C27" s="177" t="s">
        <v>25</v>
      </c>
      <c r="D27" s="178"/>
      <c r="E27" s="18"/>
      <c r="F27" s="18"/>
      <c r="G27" s="18"/>
      <c r="H27" s="18"/>
      <c r="I27" s="17"/>
      <c r="J27" s="17"/>
      <c r="K27" s="17"/>
      <c r="L27" s="1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6">
      <c r="A28" s="7"/>
      <c r="B28" s="20" t="s">
        <v>26</v>
      </c>
      <c r="C28" s="19" t="s">
        <v>27</v>
      </c>
      <c r="D28" s="21" t="s">
        <v>28</v>
      </c>
      <c r="E28" s="19" t="s">
        <v>29</v>
      </c>
      <c r="F28" s="22" t="s">
        <v>30</v>
      </c>
      <c r="G28" s="23" t="s">
        <v>31</v>
      </c>
      <c r="H28" s="24" t="s">
        <v>32</v>
      </c>
      <c r="I28" s="17"/>
      <c r="J28" s="17"/>
      <c r="K28" s="17"/>
      <c r="L28" s="1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6">
      <c r="A29" s="7"/>
      <c r="B29" s="25" t="s">
        <v>33</v>
      </c>
      <c r="C29" s="26">
        <v>358</v>
      </c>
      <c r="D29" s="26">
        <v>15</v>
      </c>
      <c r="E29" s="20">
        <f>C29*D29</f>
        <v>5370</v>
      </c>
      <c r="F29" s="20">
        <f>ROUNDUP((E29/$D$13),0)</f>
        <v>45</v>
      </c>
      <c r="G29" s="27">
        <f>F29*D32</f>
        <v>54</v>
      </c>
      <c r="H29" s="28">
        <f>G29/22</f>
        <v>2.4545454545454546</v>
      </c>
      <c r="I29" s="17"/>
      <c r="J29" s="17"/>
      <c r="K29" s="17"/>
      <c r="L29" s="1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6">
      <c r="A30" s="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6">
      <c r="A31" s="7"/>
      <c r="B31" s="179" t="s">
        <v>34</v>
      </c>
      <c r="C31" s="173"/>
      <c r="D31" s="29">
        <v>120</v>
      </c>
      <c r="E31" s="17"/>
      <c r="F31" s="17"/>
      <c r="G31" s="17"/>
      <c r="H31" s="17"/>
      <c r="I31" s="17"/>
      <c r="J31" s="17"/>
      <c r="K31" s="17"/>
      <c r="L31" s="1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6">
      <c r="A32" s="7"/>
      <c r="B32" s="179" t="s">
        <v>35</v>
      </c>
      <c r="C32" s="173"/>
      <c r="D32" s="30">
        <v>1.2</v>
      </c>
      <c r="E32" s="17"/>
      <c r="F32" s="17"/>
      <c r="G32" s="17"/>
      <c r="H32" s="17"/>
      <c r="I32" s="17"/>
      <c r="J32" s="17"/>
      <c r="K32" s="17"/>
      <c r="L32" s="1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6">
      <c r="A33" s="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6">
      <c r="A34" s="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25">
      <c r="A35" s="31"/>
      <c r="B35" s="32" t="s">
        <v>26</v>
      </c>
      <c r="C35" s="33" t="s">
        <v>36</v>
      </c>
      <c r="D35" s="33" t="s">
        <v>37</v>
      </c>
      <c r="E35" s="33" t="s">
        <v>38</v>
      </c>
      <c r="F35" s="33" t="s">
        <v>39</v>
      </c>
      <c r="G35" s="33" t="s">
        <v>40</v>
      </c>
      <c r="H35" s="33" t="s">
        <v>41</v>
      </c>
      <c r="I35" s="33" t="s">
        <v>42</v>
      </c>
      <c r="J35" s="33" t="s">
        <v>43</v>
      </c>
      <c r="K35" s="33" t="s">
        <v>44</v>
      </c>
      <c r="L35" s="34" t="s">
        <v>32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5"/>
      <c r="Y35" s="35"/>
      <c r="Z35" s="35"/>
    </row>
    <row r="36" spans="1:26" ht="21.75" customHeight="1" x14ac:dyDescent="0.55000000000000004">
      <c r="A36" s="31"/>
      <c r="B36" s="36" t="s">
        <v>45</v>
      </c>
      <c r="C36" s="37">
        <v>2090.59</v>
      </c>
      <c r="D36" s="37">
        <v>918.72</v>
      </c>
      <c r="E36" s="37">
        <v>91872</v>
      </c>
      <c r="F36" s="37">
        <v>10</v>
      </c>
      <c r="G36" s="37">
        <v>10</v>
      </c>
      <c r="H36" s="38">
        <f>ROUNDUP((C36*$D$20)/(8.8*G36),0)</f>
        <v>50</v>
      </c>
      <c r="I36" s="38">
        <f>ROUNDUP((E36*$D$22)/(8.8*F36),0)</f>
        <v>46</v>
      </c>
      <c r="J36" s="38">
        <f>ROUNDUP((D36*$D$21)/8.8,0)</f>
        <v>2</v>
      </c>
      <c r="K36" s="39">
        <f>I36+J36+H36</f>
        <v>98</v>
      </c>
      <c r="L36" s="40">
        <f t="shared" ref="L36:L37" si="1">K36/22</f>
        <v>4.4545454545454541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5"/>
      <c r="Y36" s="35"/>
      <c r="Z36" s="35"/>
    </row>
    <row r="37" spans="1:26" ht="21.75" customHeight="1" x14ac:dyDescent="0.6">
      <c r="A37" s="7"/>
      <c r="B37" s="17"/>
      <c r="C37" s="17"/>
      <c r="D37" s="17"/>
      <c r="E37" s="17"/>
      <c r="F37" s="17"/>
      <c r="G37" s="17"/>
      <c r="H37" s="17"/>
      <c r="I37" s="41"/>
      <c r="J37" s="41"/>
      <c r="K37" s="42">
        <f>K36*D41</f>
        <v>117.6</v>
      </c>
      <c r="L37" s="43">
        <f t="shared" si="1"/>
        <v>5.3454545454545448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6">
      <c r="A38" s="7"/>
      <c r="B38" s="44" t="s">
        <v>46</v>
      </c>
      <c r="C38" s="45"/>
      <c r="D38" s="30">
        <v>2.08</v>
      </c>
      <c r="E38" s="17"/>
      <c r="F38" s="17"/>
      <c r="G38" s="17"/>
      <c r="H38" s="17"/>
      <c r="I38" s="17"/>
      <c r="J38" s="8"/>
      <c r="K38" s="8"/>
      <c r="L38" s="1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6">
      <c r="A39" s="7"/>
      <c r="B39" s="44" t="s">
        <v>47</v>
      </c>
      <c r="C39" s="46"/>
      <c r="D39" s="47">
        <v>1.32530120481928E-2</v>
      </c>
      <c r="E39" s="7"/>
      <c r="F39" s="7"/>
      <c r="G39" s="17"/>
      <c r="H39" s="17"/>
      <c r="I39" s="17"/>
      <c r="J39" s="17"/>
      <c r="K39" s="17"/>
      <c r="L39" s="4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6">
      <c r="A40" s="7"/>
      <c r="B40" s="44" t="s">
        <v>48</v>
      </c>
      <c r="C40" s="46"/>
      <c r="D40" s="47">
        <v>4.3999999999999997E-2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6">
      <c r="A41" s="7"/>
      <c r="B41" s="172" t="s">
        <v>35</v>
      </c>
      <c r="C41" s="173"/>
      <c r="D41" s="30">
        <v>1.2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21.75" customHeight="1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1:26" ht="21.75" customHeight="1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.7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.75" customHeight="1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1">
    <mergeCell ref="B26:H26"/>
    <mergeCell ref="C27:D27"/>
    <mergeCell ref="B31:C31"/>
    <mergeCell ref="B32:C32"/>
    <mergeCell ref="B41:C41"/>
    <mergeCell ref="B23:C23"/>
    <mergeCell ref="D3:L4"/>
    <mergeCell ref="B8:H8"/>
    <mergeCell ref="C9:D9"/>
    <mergeCell ref="B13:C13"/>
    <mergeCell ref="B14:C1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showGridLines="0" workbookViewId="0">
      <selection activeCell="G10" sqref="G10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174" t="s">
        <v>49</v>
      </c>
      <c r="E3" s="169"/>
      <c r="F3" s="169"/>
      <c r="G3" s="169"/>
      <c r="H3" s="169"/>
      <c r="I3" s="169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69"/>
      <c r="E4" s="169"/>
      <c r="F4" s="169"/>
      <c r="G4" s="169"/>
      <c r="H4" s="169"/>
      <c r="I4" s="169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157</v>
      </c>
      <c r="C8" s="37"/>
      <c r="D8" s="63">
        <f t="shared" ref="D8:D13" si="0">C8*$C$15</f>
        <v>0</v>
      </c>
      <c r="E8" s="63">
        <v>1.6</v>
      </c>
      <c r="F8" s="63">
        <f t="shared" ref="F8:F13" si="1">8.8/E8</f>
        <v>5.5</v>
      </c>
      <c r="G8" s="64">
        <v>6</v>
      </c>
      <c r="H8" s="38">
        <f t="shared" ref="H8:H13" si="2">ROUNDUP((D8*E8)/(G8*8.8),0)</f>
        <v>0</v>
      </c>
      <c r="I8" s="38">
        <f t="shared" ref="I8:I13" si="3">ROUNDUP(H8/2,0)</f>
        <v>0</v>
      </c>
      <c r="J8" s="38">
        <f t="shared" ref="J8:J13" si="4">ROUNDUP(H8/4,0)</f>
        <v>0</v>
      </c>
      <c r="K8" s="65">
        <f t="shared" ref="K8:K13" si="5">J8+I8+H8</f>
        <v>0</v>
      </c>
      <c r="L8" s="41">
        <f t="shared" ref="L8:L12" si="6">G8/22</f>
        <v>0.27272727272727271</v>
      </c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317</v>
      </c>
      <c r="C9" s="37">
        <v>722.62</v>
      </c>
      <c r="D9" s="63">
        <f t="shared" si="0"/>
        <v>1806.55</v>
      </c>
      <c r="E9" s="63">
        <v>1.21</v>
      </c>
      <c r="F9" s="63">
        <f t="shared" si="1"/>
        <v>7.2727272727272734</v>
      </c>
      <c r="G9" s="64">
        <v>12</v>
      </c>
      <c r="H9" s="38">
        <f t="shared" si="2"/>
        <v>21</v>
      </c>
      <c r="I9" s="38">
        <f t="shared" si="3"/>
        <v>11</v>
      </c>
      <c r="J9" s="38">
        <f t="shared" si="4"/>
        <v>6</v>
      </c>
      <c r="K9" s="65">
        <f t="shared" si="5"/>
        <v>38</v>
      </c>
      <c r="L9" s="41">
        <f t="shared" si="6"/>
        <v>0.54545454545454541</v>
      </c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316</v>
      </c>
      <c r="C10" s="37">
        <v>1144.29</v>
      </c>
      <c r="D10" s="63">
        <f t="shared" si="0"/>
        <v>2860.7249999999999</v>
      </c>
      <c r="E10" s="63">
        <v>1.21</v>
      </c>
      <c r="F10" s="63">
        <f t="shared" si="1"/>
        <v>7.2727272727272734</v>
      </c>
      <c r="G10" s="64">
        <v>18</v>
      </c>
      <c r="H10" s="38">
        <f t="shared" si="2"/>
        <v>22</v>
      </c>
      <c r="I10" s="38">
        <f t="shared" si="3"/>
        <v>11</v>
      </c>
      <c r="J10" s="38">
        <f t="shared" si="4"/>
        <v>6</v>
      </c>
      <c r="K10" s="65">
        <f t="shared" si="5"/>
        <v>39</v>
      </c>
      <c r="L10" s="41">
        <f t="shared" si="6"/>
        <v>0.81818181818181823</v>
      </c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315</v>
      </c>
      <c r="C11" s="37">
        <v>844.36</v>
      </c>
      <c r="D11" s="63">
        <f t="shared" si="0"/>
        <v>2110.9</v>
      </c>
      <c r="E11" s="63">
        <v>1.21</v>
      </c>
      <c r="F11" s="63">
        <f t="shared" si="1"/>
        <v>7.2727272727272734</v>
      </c>
      <c r="G11" s="64">
        <v>14</v>
      </c>
      <c r="H11" s="38">
        <f t="shared" si="2"/>
        <v>21</v>
      </c>
      <c r="I11" s="38">
        <f t="shared" si="3"/>
        <v>11</v>
      </c>
      <c r="J11" s="38">
        <f t="shared" si="4"/>
        <v>6</v>
      </c>
      <c r="K11" s="65">
        <f t="shared" si="5"/>
        <v>38</v>
      </c>
      <c r="L11" s="41">
        <f t="shared" si="6"/>
        <v>0.63636363636363635</v>
      </c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155</v>
      </c>
      <c r="C12" s="37">
        <v>1675.56</v>
      </c>
      <c r="D12" s="63">
        <f t="shared" si="0"/>
        <v>4188.8999999999996</v>
      </c>
      <c r="E12" s="63">
        <v>2.0099999999999998</v>
      </c>
      <c r="F12" s="63">
        <f t="shared" si="1"/>
        <v>4.3781094527363189</v>
      </c>
      <c r="G12" s="64">
        <v>44</v>
      </c>
      <c r="H12" s="38">
        <f t="shared" si="2"/>
        <v>22</v>
      </c>
      <c r="I12" s="38">
        <f t="shared" si="3"/>
        <v>11</v>
      </c>
      <c r="J12" s="38">
        <f t="shared" si="4"/>
        <v>6</v>
      </c>
      <c r="K12" s="65">
        <f t="shared" si="5"/>
        <v>39</v>
      </c>
      <c r="L12" s="41">
        <f t="shared" si="6"/>
        <v>2</v>
      </c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314</v>
      </c>
      <c r="C13" s="37">
        <v>1662.34</v>
      </c>
      <c r="D13" s="63">
        <f t="shared" si="0"/>
        <v>4155.8499999999995</v>
      </c>
      <c r="E13" s="63">
        <v>2.0099999999999998</v>
      </c>
      <c r="F13" s="63">
        <f t="shared" si="1"/>
        <v>4.3781094527363189</v>
      </c>
      <c r="G13" s="64">
        <v>44</v>
      </c>
      <c r="H13" s="38">
        <f t="shared" si="2"/>
        <v>22</v>
      </c>
      <c r="I13" s="38">
        <f t="shared" si="3"/>
        <v>11</v>
      </c>
      <c r="J13" s="38">
        <f t="shared" si="4"/>
        <v>6</v>
      </c>
      <c r="K13" s="65">
        <f t="shared" si="5"/>
        <v>39</v>
      </c>
      <c r="L13" s="41">
        <f>G13/22</f>
        <v>2</v>
      </c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30.75" customHeight="1" x14ac:dyDescent="0.6">
      <c r="A14" s="7"/>
      <c r="B14" s="49"/>
      <c r="C14" s="38">
        <f>SUM(C8:C13)</f>
        <v>6049.17</v>
      </c>
      <c r="D14" s="63"/>
      <c r="E14" s="63"/>
      <c r="F14" s="63"/>
      <c r="G14" s="6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7" t="s">
        <v>57</v>
      </c>
      <c r="C15" s="67">
        <v>2.5</v>
      </c>
      <c r="D15" s="68"/>
      <c r="E15" s="45"/>
      <c r="F15" s="45" t="s">
        <v>58</v>
      </c>
      <c r="G15" s="23">
        <f>SUM(G8:G13)</f>
        <v>138</v>
      </c>
      <c r="H15" s="22" t="s">
        <v>59</v>
      </c>
      <c r="I15" s="69">
        <f>G15/22</f>
        <v>6.2727272727272725</v>
      </c>
      <c r="J15" s="22"/>
      <c r="K15" s="2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180" t="s">
        <v>60</v>
      </c>
      <c r="C16" s="178"/>
      <c r="D16" s="7"/>
      <c r="E16" s="7"/>
      <c r="F16" s="7"/>
      <c r="G16" s="5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70" t="s">
        <v>61</v>
      </c>
      <c r="C17" s="70">
        <v>2.2000000000000002</v>
      </c>
      <c r="D17" s="71"/>
      <c r="E17" s="7"/>
      <c r="F17" s="7"/>
      <c r="G17" s="5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70" t="s">
        <v>62</v>
      </c>
      <c r="C18" s="70">
        <v>2.0099999999999998</v>
      </c>
      <c r="D18" s="7"/>
      <c r="E18" s="7"/>
      <c r="F18" s="7"/>
      <c r="G18" s="5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70" t="s">
        <v>63</v>
      </c>
      <c r="C19" s="70">
        <v>1.21</v>
      </c>
      <c r="D19" s="7"/>
      <c r="E19" s="7"/>
      <c r="F19" s="7"/>
      <c r="G19" s="5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70" t="s">
        <v>64</v>
      </c>
      <c r="C20" s="70">
        <v>1.17</v>
      </c>
      <c r="D20" s="7"/>
      <c r="E20" s="7"/>
      <c r="F20" s="7"/>
      <c r="G20" s="5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70" t="s">
        <v>22</v>
      </c>
      <c r="C21" s="70">
        <v>1.6</v>
      </c>
      <c r="D21" s="7"/>
      <c r="E21" s="7"/>
      <c r="F21" s="7"/>
      <c r="G21" s="5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6">
      <c r="A22" s="7"/>
      <c r="B22" s="49"/>
      <c r="C22" s="49"/>
      <c r="D22" s="7"/>
      <c r="E22" s="7"/>
      <c r="F22" s="7"/>
      <c r="G22" s="5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49"/>
      <c r="C23" s="49"/>
      <c r="D23" s="7"/>
      <c r="E23" s="7"/>
      <c r="F23" s="7"/>
      <c r="G23" s="5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6">
      <c r="A24" s="7"/>
      <c r="B24" s="49"/>
      <c r="C24" s="49"/>
      <c r="D24" s="7"/>
      <c r="E24" s="7"/>
      <c r="F24" s="7"/>
      <c r="G24" s="5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49"/>
      <c r="C25" s="49"/>
      <c r="D25" s="7"/>
      <c r="E25" s="7"/>
      <c r="F25" s="7"/>
      <c r="G25" s="5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49"/>
      <c r="C26" s="49"/>
      <c r="D26" s="7"/>
      <c r="E26" s="7"/>
      <c r="F26" s="7"/>
      <c r="G26" s="5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49"/>
      <c r="C27" s="49"/>
      <c r="D27" s="7"/>
      <c r="E27" s="7"/>
      <c r="F27" s="7"/>
      <c r="G27" s="5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49"/>
      <c r="C28" s="49"/>
      <c r="D28" s="7"/>
      <c r="E28" s="7"/>
      <c r="F28" s="7"/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2">
    <mergeCell ref="D3:I4"/>
    <mergeCell ref="B16:C1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4E3F-A027-41B8-9630-7E47E4FB3BE7}">
  <dimension ref="A1:Z1003"/>
  <sheetViews>
    <sheetView showGridLines="0" topLeftCell="A15" workbookViewId="0">
      <selection activeCell="G27" sqref="G27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174" t="s">
        <v>49</v>
      </c>
      <c r="E3" s="169"/>
      <c r="F3" s="169"/>
      <c r="G3" s="169"/>
      <c r="H3" s="169"/>
      <c r="I3" s="169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69"/>
      <c r="E4" s="169"/>
      <c r="F4" s="169"/>
      <c r="G4" s="169"/>
      <c r="H4" s="169"/>
      <c r="I4" s="169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157</v>
      </c>
      <c r="C8" s="37">
        <v>133.38</v>
      </c>
      <c r="D8" s="63">
        <f t="shared" ref="D8:D30" si="0">C8*$C$32</f>
        <v>333.45</v>
      </c>
      <c r="E8" s="63">
        <v>1.6</v>
      </c>
      <c r="F8" s="63">
        <f t="shared" ref="F8:F30" si="1">8.8/E8</f>
        <v>5.5</v>
      </c>
      <c r="G8" s="64">
        <v>6</v>
      </c>
      <c r="H8" s="38">
        <f t="shared" ref="H8:H30" si="2">ROUNDUP((D8*E8)/(G8*8.8),0)</f>
        <v>11</v>
      </c>
      <c r="I8" s="38">
        <f t="shared" ref="I8:I30" si="3">ROUNDUP(H8/2,0)</f>
        <v>6</v>
      </c>
      <c r="J8" s="38">
        <f t="shared" ref="J8:J30" si="4">ROUNDUP(H8/4,0)</f>
        <v>3</v>
      </c>
      <c r="K8" s="65">
        <f t="shared" ref="K8:K30" si="5">J8+I8+H8</f>
        <v>20</v>
      </c>
      <c r="L8" s="41">
        <f t="shared" ref="L8:L29" si="6">G8/22</f>
        <v>0.27272727272727271</v>
      </c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156</v>
      </c>
      <c r="C9" s="37">
        <v>150.18</v>
      </c>
      <c r="D9" s="63">
        <f t="shared" si="0"/>
        <v>375.45000000000005</v>
      </c>
      <c r="E9" s="63">
        <v>1.6</v>
      </c>
      <c r="F9" s="63">
        <f t="shared" si="1"/>
        <v>5.5</v>
      </c>
      <c r="G9" s="64">
        <v>7</v>
      </c>
      <c r="H9" s="38">
        <f t="shared" si="2"/>
        <v>10</v>
      </c>
      <c r="I9" s="38">
        <f t="shared" si="3"/>
        <v>5</v>
      </c>
      <c r="J9" s="38">
        <f t="shared" si="4"/>
        <v>3</v>
      </c>
      <c r="K9" s="65">
        <f t="shared" si="5"/>
        <v>18</v>
      </c>
      <c r="L9" s="41">
        <f t="shared" si="6"/>
        <v>0.31818181818181818</v>
      </c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310</v>
      </c>
      <c r="C10" s="37">
        <v>303.24</v>
      </c>
      <c r="D10" s="63">
        <f t="shared" si="0"/>
        <v>758.1</v>
      </c>
      <c r="E10" s="63">
        <v>1.6</v>
      </c>
      <c r="F10" s="63">
        <f t="shared" si="1"/>
        <v>5.5</v>
      </c>
      <c r="G10" s="64">
        <v>13</v>
      </c>
      <c r="H10" s="38">
        <f t="shared" si="2"/>
        <v>11</v>
      </c>
      <c r="I10" s="38">
        <f t="shared" si="3"/>
        <v>6</v>
      </c>
      <c r="J10" s="38">
        <f t="shared" si="4"/>
        <v>3</v>
      </c>
      <c r="K10" s="65">
        <f t="shared" si="5"/>
        <v>20</v>
      </c>
      <c r="L10" s="41">
        <f t="shared" si="6"/>
        <v>0.59090909090909094</v>
      </c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309</v>
      </c>
      <c r="C11" s="37">
        <v>693.56</v>
      </c>
      <c r="D11" s="63">
        <f t="shared" ref="D11:D12" si="7">C11*$C$32</f>
        <v>1733.8999999999999</v>
      </c>
      <c r="E11" s="63">
        <v>1.21</v>
      </c>
      <c r="F11" s="63">
        <f t="shared" ref="F11:F12" si="8">8.8/E11</f>
        <v>7.2727272727272734</v>
      </c>
      <c r="G11" s="64">
        <v>11</v>
      </c>
      <c r="H11" s="38">
        <f t="shared" ref="H11:H12" si="9">ROUNDUP((D11*E11)/(G11*8.8),0)</f>
        <v>22</v>
      </c>
      <c r="I11" s="38">
        <f t="shared" ref="I11:I12" si="10">ROUNDUP(H11/2,0)</f>
        <v>11</v>
      </c>
      <c r="J11" s="38">
        <f t="shared" ref="J11:J12" si="11">ROUNDUP(H11/4,0)</f>
        <v>6</v>
      </c>
      <c r="K11" s="65">
        <f t="shared" ref="K11:K12" si="12">J11+I11+H11</f>
        <v>39</v>
      </c>
      <c r="L11" s="41">
        <f t="shared" ref="L11:L12" si="13">G11/22</f>
        <v>0.5</v>
      </c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308</v>
      </c>
      <c r="C12" s="37">
        <v>699.84</v>
      </c>
      <c r="D12" s="63">
        <f t="shared" si="7"/>
        <v>1749.6000000000001</v>
      </c>
      <c r="E12" s="63">
        <v>1.21</v>
      </c>
      <c r="F12" s="63">
        <f t="shared" si="8"/>
        <v>7.2727272727272734</v>
      </c>
      <c r="G12" s="64">
        <v>11</v>
      </c>
      <c r="H12" s="38">
        <f t="shared" si="9"/>
        <v>22</v>
      </c>
      <c r="I12" s="38">
        <f t="shared" si="10"/>
        <v>11</v>
      </c>
      <c r="J12" s="38">
        <f t="shared" si="11"/>
        <v>6</v>
      </c>
      <c r="K12" s="65">
        <f t="shared" si="12"/>
        <v>39</v>
      </c>
      <c r="L12" s="41">
        <f t="shared" si="13"/>
        <v>0.5</v>
      </c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64</v>
      </c>
      <c r="C13" s="37">
        <v>699.84</v>
      </c>
      <c r="D13" s="63">
        <f t="shared" ref="D13:D14" si="14">C13*$C$32</f>
        <v>1749.6000000000001</v>
      </c>
      <c r="E13" s="63">
        <v>1.17</v>
      </c>
      <c r="F13" s="63">
        <f t="shared" ref="F13:F14" si="15">8.8/E13</f>
        <v>7.5213675213675222</v>
      </c>
      <c r="G13" s="64">
        <v>11</v>
      </c>
      <c r="H13" s="38">
        <f t="shared" ref="H13:H14" si="16">ROUNDUP((D13*E13)/(G13*8.8),0)</f>
        <v>22</v>
      </c>
      <c r="I13" s="38">
        <f t="shared" ref="I13:I14" si="17">ROUNDUP(H13/2,0)</f>
        <v>11</v>
      </c>
      <c r="J13" s="38">
        <f t="shared" ref="J13:J14" si="18">ROUNDUP(H13/4,0)</f>
        <v>6</v>
      </c>
      <c r="K13" s="65">
        <f t="shared" ref="K13:K14" si="19">J13+I13+H13</f>
        <v>39</v>
      </c>
      <c r="L13" s="41">
        <f t="shared" ref="L13:L14" si="20">G13/22</f>
        <v>0.5</v>
      </c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6">
      <c r="A14" s="7"/>
      <c r="B14" s="62" t="s">
        <v>64</v>
      </c>
      <c r="C14" s="37">
        <v>699.84</v>
      </c>
      <c r="D14" s="63">
        <f t="shared" si="14"/>
        <v>1749.6000000000001</v>
      </c>
      <c r="E14" s="63">
        <v>1.17</v>
      </c>
      <c r="F14" s="63">
        <f t="shared" si="15"/>
        <v>7.5213675213675222</v>
      </c>
      <c r="G14" s="64">
        <v>11</v>
      </c>
      <c r="H14" s="38">
        <f t="shared" si="16"/>
        <v>22</v>
      </c>
      <c r="I14" s="38">
        <f t="shared" si="17"/>
        <v>11</v>
      </c>
      <c r="J14" s="38">
        <f t="shared" si="18"/>
        <v>6</v>
      </c>
      <c r="K14" s="65">
        <f t="shared" si="19"/>
        <v>39</v>
      </c>
      <c r="L14" s="41">
        <f t="shared" si="20"/>
        <v>0.5</v>
      </c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2" t="s">
        <v>64</v>
      </c>
      <c r="C15" s="37">
        <v>699.84</v>
      </c>
      <c r="D15" s="63">
        <f t="shared" si="0"/>
        <v>1749.6000000000001</v>
      </c>
      <c r="E15" s="63">
        <v>1.17</v>
      </c>
      <c r="F15" s="63">
        <f t="shared" si="1"/>
        <v>7.5213675213675222</v>
      </c>
      <c r="G15" s="64">
        <v>11</v>
      </c>
      <c r="H15" s="38">
        <f t="shared" si="2"/>
        <v>22</v>
      </c>
      <c r="I15" s="38">
        <f t="shared" si="3"/>
        <v>11</v>
      </c>
      <c r="J15" s="38">
        <f t="shared" si="4"/>
        <v>6</v>
      </c>
      <c r="K15" s="65">
        <f t="shared" si="5"/>
        <v>39</v>
      </c>
      <c r="L15" s="41">
        <f t="shared" si="6"/>
        <v>0.5</v>
      </c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62" t="s">
        <v>64</v>
      </c>
      <c r="C16" s="37">
        <v>699.84</v>
      </c>
      <c r="D16" s="63">
        <f t="shared" si="0"/>
        <v>1749.6000000000001</v>
      </c>
      <c r="E16" s="63">
        <v>1.17</v>
      </c>
      <c r="F16" s="63">
        <f t="shared" si="1"/>
        <v>7.5213675213675222</v>
      </c>
      <c r="G16" s="64">
        <v>11</v>
      </c>
      <c r="H16" s="38">
        <f t="shared" si="2"/>
        <v>22</v>
      </c>
      <c r="I16" s="38">
        <f t="shared" si="3"/>
        <v>11</v>
      </c>
      <c r="J16" s="38">
        <f t="shared" si="4"/>
        <v>6</v>
      </c>
      <c r="K16" s="65">
        <f t="shared" si="5"/>
        <v>39</v>
      </c>
      <c r="L16" s="41">
        <f t="shared" si="6"/>
        <v>0.5</v>
      </c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62" t="s">
        <v>64</v>
      </c>
      <c r="C17" s="37">
        <v>699.84</v>
      </c>
      <c r="D17" s="63">
        <f t="shared" si="0"/>
        <v>1749.6000000000001</v>
      </c>
      <c r="E17" s="63">
        <v>1.17</v>
      </c>
      <c r="F17" s="63">
        <f t="shared" si="1"/>
        <v>7.5213675213675222</v>
      </c>
      <c r="G17" s="64">
        <v>11</v>
      </c>
      <c r="H17" s="38">
        <f t="shared" si="2"/>
        <v>22</v>
      </c>
      <c r="I17" s="38">
        <f t="shared" si="3"/>
        <v>11</v>
      </c>
      <c r="J17" s="38">
        <f t="shared" si="4"/>
        <v>6</v>
      </c>
      <c r="K17" s="65">
        <f t="shared" si="5"/>
        <v>39</v>
      </c>
      <c r="L17" s="41">
        <f t="shared" si="6"/>
        <v>0.5</v>
      </c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62" t="s">
        <v>64</v>
      </c>
      <c r="C18" s="37">
        <v>699.84</v>
      </c>
      <c r="D18" s="63">
        <f t="shared" si="0"/>
        <v>1749.6000000000001</v>
      </c>
      <c r="E18" s="63">
        <v>1.17</v>
      </c>
      <c r="F18" s="63">
        <f t="shared" si="1"/>
        <v>7.5213675213675222</v>
      </c>
      <c r="G18" s="64">
        <v>11</v>
      </c>
      <c r="H18" s="38">
        <f t="shared" si="2"/>
        <v>22</v>
      </c>
      <c r="I18" s="38">
        <f t="shared" si="3"/>
        <v>11</v>
      </c>
      <c r="J18" s="38">
        <f t="shared" si="4"/>
        <v>6</v>
      </c>
      <c r="K18" s="65">
        <f t="shared" si="5"/>
        <v>39</v>
      </c>
      <c r="L18" s="41">
        <f t="shared" si="6"/>
        <v>0.5</v>
      </c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62" t="s">
        <v>64</v>
      </c>
      <c r="C19" s="37">
        <v>699.84</v>
      </c>
      <c r="D19" s="63">
        <f t="shared" si="0"/>
        <v>1749.6000000000001</v>
      </c>
      <c r="E19" s="63">
        <v>1.17</v>
      </c>
      <c r="F19" s="63">
        <f t="shared" si="1"/>
        <v>7.5213675213675222</v>
      </c>
      <c r="G19" s="64">
        <v>11</v>
      </c>
      <c r="H19" s="38">
        <f t="shared" si="2"/>
        <v>22</v>
      </c>
      <c r="I19" s="38">
        <f t="shared" si="3"/>
        <v>11</v>
      </c>
      <c r="J19" s="38">
        <f t="shared" si="4"/>
        <v>6</v>
      </c>
      <c r="K19" s="65">
        <f t="shared" si="5"/>
        <v>39</v>
      </c>
      <c r="L19" s="41">
        <f t="shared" si="6"/>
        <v>0.5</v>
      </c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62" t="s">
        <v>64</v>
      </c>
      <c r="C20" s="37">
        <v>699.84</v>
      </c>
      <c r="D20" s="63">
        <f t="shared" ref="D20:D23" si="21">C20*$C$32</f>
        <v>1749.6000000000001</v>
      </c>
      <c r="E20" s="63">
        <v>1.17</v>
      </c>
      <c r="F20" s="63">
        <f t="shared" ref="F20:F23" si="22">8.8/E20</f>
        <v>7.5213675213675222</v>
      </c>
      <c r="G20" s="64">
        <v>11</v>
      </c>
      <c r="H20" s="38">
        <f t="shared" ref="H20:H23" si="23">ROUNDUP((D20*E20)/(G20*8.8),0)</f>
        <v>22</v>
      </c>
      <c r="I20" s="38">
        <f t="shared" ref="I20:I23" si="24">ROUNDUP(H20/2,0)</f>
        <v>11</v>
      </c>
      <c r="J20" s="38">
        <f t="shared" ref="J20:J23" si="25">ROUNDUP(H20/4,0)</f>
        <v>6</v>
      </c>
      <c r="K20" s="65">
        <f t="shared" ref="K20:K23" si="26">J20+I20+H20</f>
        <v>39</v>
      </c>
      <c r="L20" s="41">
        <f t="shared" ref="L20:L23" si="27">G20/22</f>
        <v>0.5</v>
      </c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62" t="s">
        <v>64</v>
      </c>
      <c r="C21" s="37">
        <v>699.84</v>
      </c>
      <c r="D21" s="63">
        <f t="shared" si="21"/>
        <v>1749.6000000000001</v>
      </c>
      <c r="E21" s="63">
        <v>1.17</v>
      </c>
      <c r="F21" s="63">
        <f t="shared" si="22"/>
        <v>7.5213675213675222</v>
      </c>
      <c r="G21" s="64">
        <v>11</v>
      </c>
      <c r="H21" s="38">
        <f t="shared" si="23"/>
        <v>22</v>
      </c>
      <c r="I21" s="38">
        <f t="shared" si="24"/>
        <v>11</v>
      </c>
      <c r="J21" s="38">
        <f t="shared" si="25"/>
        <v>6</v>
      </c>
      <c r="K21" s="65">
        <f t="shared" si="26"/>
        <v>39</v>
      </c>
      <c r="L21" s="41">
        <f t="shared" si="27"/>
        <v>0.5</v>
      </c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6">
      <c r="A22" s="7"/>
      <c r="B22" s="62" t="s">
        <v>64</v>
      </c>
      <c r="C22" s="37">
        <v>699.84</v>
      </c>
      <c r="D22" s="63">
        <f t="shared" si="21"/>
        <v>1749.6000000000001</v>
      </c>
      <c r="E22" s="63">
        <v>1.17</v>
      </c>
      <c r="F22" s="63">
        <f t="shared" si="22"/>
        <v>7.5213675213675222</v>
      </c>
      <c r="G22" s="64">
        <v>11</v>
      </c>
      <c r="H22" s="38">
        <f t="shared" si="23"/>
        <v>22</v>
      </c>
      <c r="I22" s="38">
        <f t="shared" si="24"/>
        <v>11</v>
      </c>
      <c r="J22" s="38">
        <f t="shared" si="25"/>
        <v>6</v>
      </c>
      <c r="K22" s="65">
        <f t="shared" si="26"/>
        <v>39</v>
      </c>
      <c r="L22" s="41">
        <f t="shared" si="27"/>
        <v>0.5</v>
      </c>
      <c r="M22" s="7"/>
      <c r="N22" s="8"/>
      <c r="O22" s="8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62" t="s">
        <v>64</v>
      </c>
      <c r="C23" s="37">
        <v>699.84</v>
      </c>
      <c r="D23" s="63">
        <f t="shared" si="21"/>
        <v>1749.6000000000001</v>
      </c>
      <c r="E23" s="63">
        <v>1.17</v>
      </c>
      <c r="F23" s="63">
        <f t="shared" si="22"/>
        <v>7.5213675213675222</v>
      </c>
      <c r="G23" s="64">
        <v>11</v>
      </c>
      <c r="H23" s="38">
        <f t="shared" si="23"/>
        <v>22</v>
      </c>
      <c r="I23" s="38">
        <f t="shared" si="24"/>
        <v>11</v>
      </c>
      <c r="J23" s="38">
        <f t="shared" si="25"/>
        <v>6</v>
      </c>
      <c r="K23" s="65">
        <f t="shared" si="26"/>
        <v>39</v>
      </c>
      <c r="L23" s="41">
        <f t="shared" si="27"/>
        <v>0.5</v>
      </c>
      <c r="M23" s="7"/>
      <c r="N23" s="8"/>
      <c r="O23" s="8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6">
      <c r="A24" s="7"/>
      <c r="B24" s="62" t="s">
        <v>64</v>
      </c>
      <c r="C24" s="37">
        <v>699.84</v>
      </c>
      <c r="D24" s="63">
        <f t="shared" si="0"/>
        <v>1749.6000000000001</v>
      </c>
      <c r="E24" s="63">
        <v>1.17</v>
      </c>
      <c r="F24" s="63">
        <f t="shared" si="1"/>
        <v>7.5213675213675222</v>
      </c>
      <c r="G24" s="64">
        <v>11</v>
      </c>
      <c r="H24" s="38">
        <f t="shared" si="2"/>
        <v>22</v>
      </c>
      <c r="I24" s="38">
        <f t="shared" si="3"/>
        <v>11</v>
      </c>
      <c r="J24" s="38">
        <f t="shared" si="4"/>
        <v>6</v>
      </c>
      <c r="K24" s="65">
        <f t="shared" si="5"/>
        <v>39</v>
      </c>
      <c r="L24" s="41">
        <f t="shared" si="6"/>
        <v>0.5</v>
      </c>
      <c r="M24" s="7"/>
      <c r="N24" s="8"/>
      <c r="O24" s="8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62" t="s">
        <v>64</v>
      </c>
      <c r="C25" s="37">
        <f>9097.92/13</f>
        <v>699.84</v>
      </c>
      <c r="D25" s="63">
        <f t="shared" si="0"/>
        <v>1749.6000000000001</v>
      </c>
      <c r="E25" s="63">
        <v>1.17</v>
      </c>
      <c r="F25" s="63">
        <f t="shared" si="1"/>
        <v>7.5213675213675222</v>
      </c>
      <c r="G25" s="64">
        <v>11</v>
      </c>
      <c r="H25" s="38">
        <f t="shared" si="2"/>
        <v>22</v>
      </c>
      <c r="I25" s="38">
        <f t="shared" si="3"/>
        <v>11</v>
      </c>
      <c r="J25" s="38">
        <f t="shared" si="4"/>
        <v>6</v>
      </c>
      <c r="K25" s="65">
        <f t="shared" si="5"/>
        <v>39</v>
      </c>
      <c r="L25" s="41">
        <f t="shared" si="6"/>
        <v>0.5</v>
      </c>
      <c r="M25" s="7"/>
      <c r="N25" s="8"/>
      <c r="O25" s="8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62" t="s">
        <v>307</v>
      </c>
      <c r="C26" s="37">
        <v>699.84</v>
      </c>
      <c r="D26" s="63">
        <f t="shared" si="0"/>
        <v>1749.6000000000001</v>
      </c>
      <c r="E26" s="63">
        <v>1.21</v>
      </c>
      <c r="F26" s="63">
        <f t="shared" si="1"/>
        <v>7.2727272727272734</v>
      </c>
      <c r="G26" s="64">
        <v>11</v>
      </c>
      <c r="H26" s="38">
        <f t="shared" si="2"/>
        <v>22</v>
      </c>
      <c r="I26" s="38">
        <f t="shared" si="3"/>
        <v>11</v>
      </c>
      <c r="J26" s="38">
        <f t="shared" si="4"/>
        <v>6</v>
      </c>
      <c r="K26" s="65">
        <f t="shared" si="5"/>
        <v>39</v>
      </c>
      <c r="L26" s="41">
        <f t="shared" si="6"/>
        <v>0.5</v>
      </c>
      <c r="M26" s="7"/>
      <c r="N26" s="8"/>
      <c r="O26" s="8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62" t="s">
        <v>62</v>
      </c>
      <c r="C27" s="37">
        <v>2513.4</v>
      </c>
      <c r="D27" s="63">
        <f t="shared" si="0"/>
        <v>6283.5</v>
      </c>
      <c r="E27" s="63">
        <v>2.0099999999999998</v>
      </c>
      <c r="F27" s="63">
        <f t="shared" si="1"/>
        <v>4.3781094527363189</v>
      </c>
      <c r="G27" s="64">
        <v>48</v>
      </c>
      <c r="H27" s="38">
        <f t="shared" si="2"/>
        <v>30</v>
      </c>
      <c r="I27" s="38">
        <f t="shared" si="3"/>
        <v>15</v>
      </c>
      <c r="J27" s="38">
        <f t="shared" si="4"/>
        <v>8</v>
      </c>
      <c r="K27" s="65">
        <f t="shared" si="5"/>
        <v>53</v>
      </c>
      <c r="L27" s="41">
        <f t="shared" si="6"/>
        <v>2.1818181818181817</v>
      </c>
      <c r="M27" s="7"/>
      <c r="N27" s="8"/>
      <c r="O27" s="8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62" t="s">
        <v>306</v>
      </c>
      <c r="C28" s="37">
        <v>2514.3200000000002</v>
      </c>
      <c r="D28" s="63">
        <f t="shared" si="0"/>
        <v>6285.8</v>
      </c>
      <c r="E28" s="63">
        <v>2.2000000000000002</v>
      </c>
      <c r="F28" s="63">
        <f t="shared" si="1"/>
        <v>4</v>
      </c>
      <c r="G28" s="64">
        <v>53</v>
      </c>
      <c r="H28" s="38">
        <f t="shared" si="2"/>
        <v>30</v>
      </c>
      <c r="I28" s="38">
        <f t="shared" si="3"/>
        <v>15</v>
      </c>
      <c r="J28" s="38">
        <f t="shared" si="4"/>
        <v>8</v>
      </c>
      <c r="K28" s="65">
        <f t="shared" si="5"/>
        <v>53</v>
      </c>
      <c r="L28" s="41">
        <f t="shared" si="6"/>
        <v>2.4090909090909092</v>
      </c>
      <c r="M28" s="7"/>
      <c r="N28" s="8"/>
      <c r="O28" s="8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62" t="s">
        <v>305</v>
      </c>
      <c r="C29" s="37">
        <v>2339.0300000000002</v>
      </c>
      <c r="D29" s="63">
        <f t="shared" si="0"/>
        <v>5847.5750000000007</v>
      </c>
      <c r="E29" s="63">
        <v>2.2000000000000002</v>
      </c>
      <c r="F29" s="63">
        <f t="shared" si="1"/>
        <v>4</v>
      </c>
      <c r="G29" s="64">
        <v>49</v>
      </c>
      <c r="H29" s="38">
        <f t="shared" si="2"/>
        <v>30</v>
      </c>
      <c r="I29" s="38">
        <f t="shared" si="3"/>
        <v>15</v>
      </c>
      <c r="J29" s="38">
        <f t="shared" si="4"/>
        <v>8</v>
      </c>
      <c r="K29" s="65">
        <f t="shared" si="5"/>
        <v>53</v>
      </c>
      <c r="L29" s="41">
        <f t="shared" si="6"/>
        <v>2.2272727272727271</v>
      </c>
      <c r="M29" s="7"/>
      <c r="N29" s="8"/>
      <c r="O29" s="8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62" t="s">
        <v>155</v>
      </c>
      <c r="C30" s="37">
        <v>2365.5700000000002</v>
      </c>
      <c r="D30" s="63">
        <f t="shared" si="0"/>
        <v>5913.9250000000002</v>
      </c>
      <c r="E30" s="63">
        <v>2.0099999999999998</v>
      </c>
      <c r="F30" s="63">
        <f t="shared" si="1"/>
        <v>4.3781094527363189</v>
      </c>
      <c r="G30" s="64">
        <v>46</v>
      </c>
      <c r="H30" s="38">
        <f t="shared" si="2"/>
        <v>30</v>
      </c>
      <c r="I30" s="38">
        <f t="shared" si="3"/>
        <v>15</v>
      </c>
      <c r="J30" s="38">
        <f t="shared" si="4"/>
        <v>8</v>
      </c>
      <c r="K30" s="65">
        <f t="shared" si="5"/>
        <v>53</v>
      </c>
      <c r="L30" s="41">
        <f>G30/22</f>
        <v>2.0909090909090908</v>
      </c>
      <c r="M30" s="7"/>
      <c r="N30" s="8"/>
      <c r="O30" s="8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30.75" customHeight="1" x14ac:dyDescent="0.6">
      <c r="A31" s="7"/>
      <c r="B31" s="49"/>
      <c r="C31" s="38">
        <f>SUM(C8:C30)</f>
        <v>21510.28</v>
      </c>
      <c r="D31" s="63"/>
      <c r="E31" s="63"/>
      <c r="F31" s="63"/>
      <c r="G31" s="6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67" t="s">
        <v>57</v>
      </c>
      <c r="C32" s="67">
        <v>2.5</v>
      </c>
      <c r="D32" s="68"/>
      <c r="E32" s="45"/>
      <c r="F32" s="45" t="s">
        <v>58</v>
      </c>
      <c r="G32" s="23">
        <f>SUM(G8:G30)</f>
        <v>398</v>
      </c>
      <c r="H32" s="22" t="s">
        <v>59</v>
      </c>
      <c r="I32" s="69">
        <f>G32/22</f>
        <v>18.09090909090909</v>
      </c>
      <c r="J32" s="22"/>
      <c r="K32" s="21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180" t="s">
        <v>60</v>
      </c>
      <c r="C33" s="178"/>
      <c r="D33" s="7"/>
      <c r="E33" s="7"/>
      <c r="F33" s="7"/>
      <c r="G33" s="50"/>
      <c r="H33" s="7"/>
      <c r="I33" s="7">
        <f>(SUM(G27:G30))/22</f>
        <v>8.9090909090909083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6">
      <c r="A34" s="7"/>
      <c r="B34" s="70" t="s">
        <v>61</v>
      </c>
      <c r="C34" s="70">
        <v>2.2000000000000002</v>
      </c>
      <c r="D34" s="71"/>
      <c r="E34" s="7"/>
      <c r="F34" s="7"/>
      <c r="G34" s="50"/>
      <c r="H34" s="7"/>
      <c r="I34" s="7">
        <f>(SUM(G8:G26))/22</f>
        <v>9.1818181818181817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70" t="s">
        <v>62</v>
      </c>
      <c r="C35" s="70">
        <v>2.0099999999999998</v>
      </c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6">
      <c r="A36" s="7"/>
      <c r="B36" s="70" t="s">
        <v>63</v>
      </c>
      <c r="C36" s="70">
        <v>1.21</v>
      </c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70" t="s">
        <v>64</v>
      </c>
      <c r="C37" s="70">
        <v>1.17</v>
      </c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70" t="s">
        <v>22</v>
      </c>
      <c r="C38" s="70">
        <v>1.6</v>
      </c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6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6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21.75" customHeight="1" x14ac:dyDescent="0.6">
      <c r="A219" s="7"/>
      <c r="B219" s="49"/>
      <c r="C219" s="49"/>
      <c r="D219" s="7"/>
      <c r="E219" s="7"/>
      <c r="F219" s="7"/>
      <c r="G219" s="5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spans="1:26" ht="21.75" customHeight="1" x14ac:dyDescent="0.6">
      <c r="A220" s="7"/>
      <c r="B220" s="49"/>
      <c r="C220" s="49"/>
      <c r="D220" s="7"/>
      <c r="E220" s="7"/>
      <c r="F220" s="7"/>
      <c r="G220" s="5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spans="1:26" ht="21.75" customHeight="1" x14ac:dyDescent="0.6">
      <c r="A221" s="7"/>
      <c r="B221" s="49"/>
      <c r="C221" s="49"/>
      <c r="D221" s="7"/>
      <c r="E221" s="7"/>
      <c r="F221" s="7"/>
      <c r="G221" s="5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spans="1:26" ht="21.75" customHeight="1" x14ac:dyDescent="0.6">
      <c r="A222" s="7"/>
      <c r="B222" s="49"/>
      <c r="C222" s="49"/>
      <c r="D222" s="7"/>
      <c r="E222" s="7"/>
      <c r="F222" s="7"/>
      <c r="G222" s="5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spans="1:26" ht="21.75" customHeight="1" x14ac:dyDescent="0.6">
      <c r="A223" s="7"/>
      <c r="B223" s="49"/>
      <c r="C223" s="49"/>
      <c r="D223" s="7"/>
      <c r="E223" s="7"/>
      <c r="F223" s="7"/>
      <c r="G223" s="5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spans="1:26" ht="21.75" customHeight="1" x14ac:dyDescent="0.6">
      <c r="A224" s="7"/>
      <c r="B224" s="49"/>
      <c r="C224" s="49"/>
      <c r="D224" s="7"/>
      <c r="E224" s="7"/>
      <c r="F224" s="7"/>
      <c r="G224" s="5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8"/>
    </row>
    <row r="225" spans="1:26" ht="21.75" customHeight="1" x14ac:dyDescent="0.6">
      <c r="A225" s="7"/>
      <c r="B225" s="49"/>
      <c r="C225" s="49"/>
      <c r="D225" s="7"/>
      <c r="E225" s="7"/>
      <c r="F225" s="7"/>
      <c r="G225" s="5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Y225" s="8"/>
      <c r="Z225" s="8"/>
    </row>
    <row r="226" spans="1:26" ht="21.75" customHeight="1" x14ac:dyDescent="0.6">
      <c r="A226" s="7"/>
      <c r="B226" s="49"/>
      <c r="C226" s="49"/>
      <c r="D226" s="7"/>
      <c r="E226" s="7"/>
      <c r="F226" s="7"/>
      <c r="G226" s="5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8"/>
      <c r="Y226" s="8"/>
      <c r="Z226" s="8"/>
    </row>
    <row r="227" spans="1:26" ht="21.75" customHeight="1" x14ac:dyDescent="0.6">
      <c r="A227" s="7"/>
      <c r="B227" s="49"/>
      <c r="C227" s="49"/>
      <c r="D227" s="7"/>
      <c r="E227" s="7"/>
      <c r="F227" s="7"/>
      <c r="G227" s="5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8"/>
      <c r="Y227" s="8"/>
      <c r="Z227" s="8"/>
    </row>
    <row r="228" spans="1:26" ht="21.75" customHeight="1" x14ac:dyDescent="0.6">
      <c r="A228" s="7"/>
      <c r="B228" s="49"/>
      <c r="C228" s="49"/>
      <c r="D228" s="7"/>
      <c r="E228" s="7"/>
      <c r="F228" s="7"/>
      <c r="G228" s="5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8"/>
      <c r="Y228" s="8"/>
      <c r="Z228" s="8"/>
    </row>
    <row r="229" spans="1:26" ht="21.75" customHeight="1" x14ac:dyDescent="0.6">
      <c r="A229" s="7"/>
      <c r="B229" s="49"/>
      <c r="C229" s="49"/>
      <c r="D229" s="7"/>
      <c r="E229" s="7"/>
      <c r="F229" s="7"/>
      <c r="G229" s="5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/>
      <c r="Y229" s="8"/>
      <c r="Z229" s="8"/>
    </row>
    <row r="230" spans="1:26" ht="21.75" customHeight="1" x14ac:dyDescent="0.6">
      <c r="A230" s="7"/>
      <c r="B230" s="49"/>
      <c r="C230" s="49"/>
      <c r="D230" s="7"/>
      <c r="E230" s="7"/>
      <c r="F230" s="7"/>
      <c r="G230" s="5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8"/>
      <c r="Y230" s="8"/>
      <c r="Z230" s="8"/>
    </row>
    <row r="231" spans="1:26" ht="21.75" customHeight="1" x14ac:dyDescent="0.6">
      <c r="A231" s="7"/>
      <c r="B231" s="49"/>
      <c r="C231" s="49"/>
      <c r="D231" s="7"/>
      <c r="E231" s="7"/>
      <c r="F231" s="7"/>
      <c r="G231" s="5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8"/>
      <c r="Y231" s="8"/>
      <c r="Z231" s="8"/>
    </row>
    <row r="232" spans="1:26" ht="21.75" customHeight="1" x14ac:dyDescent="0.6">
      <c r="A232" s="7"/>
      <c r="B232" s="49"/>
      <c r="C232" s="49"/>
      <c r="D232" s="7"/>
      <c r="E232" s="7"/>
      <c r="F232" s="7"/>
      <c r="G232" s="5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8"/>
      <c r="Y232" s="8"/>
      <c r="Z232" s="8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">
    <mergeCell ref="D3:I4"/>
    <mergeCell ref="B33:C3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3"/>
  <sheetViews>
    <sheetView showGridLines="0" topLeftCell="A9" zoomScale="85" zoomScaleNormal="85" workbookViewId="0">
      <selection activeCell="E24" sqref="E24"/>
    </sheetView>
  </sheetViews>
  <sheetFormatPr defaultColWidth="14.42578125" defaultRowHeight="15" customHeight="1" x14ac:dyDescent="0.25"/>
  <cols>
    <col min="1" max="1" width="1.28515625" customWidth="1"/>
    <col min="2" max="2" width="24.140625" bestFit="1" customWidth="1"/>
    <col min="3" max="3" width="18" customWidth="1"/>
    <col min="4" max="4" width="17.85546875" customWidth="1"/>
    <col min="5" max="5" width="11.42578125" customWidth="1"/>
    <col min="6" max="6" width="11.28515625" customWidth="1"/>
    <col min="7" max="7" width="10.7109375" customWidth="1"/>
    <col min="8" max="8" width="0.7109375" customWidth="1"/>
    <col min="9" max="9" width="9.140625" customWidth="1"/>
    <col min="10" max="20" width="8.7109375" customWidth="1"/>
  </cols>
  <sheetData>
    <row r="1" spans="1:23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6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6">
      <c r="A3" s="7"/>
      <c r="B3" s="181" t="s">
        <v>65</v>
      </c>
      <c r="C3" s="169"/>
      <c r="D3" s="169"/>
      <c r="E3" s="169"/>
      <c r="F3" s="169"/>
      <c r="G3" s="169"/>
      <c r="H3" s="18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6">
      <c r="A4" s="7"/>
      <c r="B4" s="183"/>
      <c r="C4" s="184"/>
      <c r="D4" s="184"/>
      <c r="E4" s="184"/>
      <c r="F4" s="184"/>
      <c r="G4" s="184"/>
      <c r="H4" s="18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6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6">
      <c r="A6" s="7"/>
      <c r="B6" s="158" t="s">
        <v>302</v>
      </c>
      <c r="C6" s="58"/>
      <c r="D6" s="17"/>
      <c r="E6" s="17"/>
      <c r="F6" s="17"/>
      <c r="G6" s="59"/>
      <c r="H6" s="1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6">
      <c r="A7" s="7"/>
      <c r="B7" s="32" t="s">
        <v>66</v>
      </c>
      <c r="C7" s="33" t="s">
        <v>67</v>
      </c>
      <c r="D7" s="60" t="s">
        <v>60</v>
      </c>
      <c r="E7" s="33" t="s">
        <v>68</v>
      </c>
      <c r="F7" s="33" t="s">
        <v>69</v>
      </c>
      <c r="G7" s="29" t="s">
        <v>55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6">
      <c r="A8" s="7"/>
      <c r="B8" s="72" t="s">
        <v>70</v>
      </c>
      <c r="C8" s="37">
        <v>2678.8176899999999</v>
      </c>
      <c r="D8" s="63">
        <v>0.17419999999999999</v>
      </c>
      <c r="E8" s="37">
        <v>15</v>
      </c>
      <c r="F8" s="38">
        <f t="shared" ref="F8:F12" si="0">ROUNDUP(((($C8*D8)/(E8*8.8))),0)</f>
        <v>4</v>
      </c>
      <c r="G8" s="65">
        <f t="shared" ref="G8:G12" si="1">ROUNDUP(F8/2,0)</f>
        <v>2</v>
      </c>
      <c r="I8" s="41"/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6">
      <c r="A9" s="7"/>
      <c r="B9" s="72" t="s">
        <v>311</v>
      </c>
      <c r="C9" s="37">
        <v>2678.8176899999999</v>
      </c>
      <c r="D9" s="63">
        <v>0.63280000000000003</v>
      </c>
      <c r="E9" s="37">
        <v>49</v>
      </c>
      <c r="F9" s="38">
        <f t="shared" si="0"/>
        <v>4</v>
      </c>
      <c r="G9" s="65">
        <f t="shared" si="1"/>
        <v>2</v>
      </c>
      <c r="I9" s="41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6">
      <c r="A10" s="7"/>
      <c r="B10" s="72" t="s">
        <v>71</v>
      </c>
      <c r="C10" s="37">
        <f>C8</f>
        <v>2678.8176899999999</v>
      </c>
      <c r="D10" s="63">
        <v>4.7E-2</v>
      </c>
      <c r="E10" s="37">
        <v>8</v>
      </c>
      <c r="F10" s="38">
        <f t="shared" si="0"/>
        <v>2</v>
      </c>
      <c r="G10" s="65">
        <f t="shared" si="1"/>
        <v>1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6">
      <c r="A11" s="7"/>
      <c r="B11" s="72" t="s">
        <v>72</v>
      </c>
      <c r="C11" s="37">
        <f>C8</f>
        <v>2678.8176899999999</v>
      </c>
      <c r="D11" s="63">
        <v>0.1855</v>
      </c>
      <c r="E11" s="37">
        <v>29</v>
      </c>
      <c r="F11" s="38">
        <f t="shared" si="0"/>
        <v>2</v>
      </c>
      <c r="G11" s="65">
        <f t="shared" si="1"/>
        <v>1</v>
      </c>
      <c r="I11" s="41"/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6">
      <c r="A12" s="7"/>
      <c r="B12" s="72" t="s">
        <v>328</v>
      </c>
      <c r="C12" s="37"/>
      <c r="D12" s="63">
        <v>0.94499999999999995</v>
      </c>
      <c r="E12" s="37">
        <f>ROUNDUP(E9*0.75,0)</f>
        <v>37</v>
      </c>
      <c r="F12" s="38">
        <f t="shared" si="0"/>
        <v>0</v>
      </c>
      <c r="G12" s="65">
        <f t="shared" si="1"/>
        <v>0</v>
      </c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6">
      <c r="A13" s="7"/>
      <c r="B13" s="72" t="s">
        <v>73</v>
      </c>
      <c r="C13" s="37" t="s">
        <v>74</v>
      </c>
      <c r="D13" s="63" t="s">
        <v>74</v>
      </c>
      <c r="E13" s="38">
        <f>5*4</f>
        <v>20</v>
      </c>
      <c r="F13" s="38" t="s">
        <v>74</v>
      </c>
      <c r="G13" s="65" t="s">
        <v>74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6">
      <c r="A14" s="7"/>
      <c r="B14" s="72" t="s">
        <v>75</v>
      </c>
      <c r="C14" s="37" t="s">
        <v>74</v>
      </c>
      <c r="D14" s="63" t="s">
        <v>74</v>
      </c>
      <c r="E14" s="38">
        <f>4*4</f>
        <v>16</v>
      </c>
      <c r="F14" s="38" t="s">
        <v>74</v>
      </c>
      <c r="G14" s="65" t="s">
        <v>74</v>
      </c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6">
      <c r="A15" s="7"/>
      <c r="B15" s="18"/>
      <c r="C15" s="73"/>
      <c r="D15" s="45" t="s">
        <v>58</v>
      </c>
      <c r="E15" s="74">
        <f>SUM(E8:E14)</f>
        <v>174</v>
      </c>
      <c r="F15" s="22" t="s">
        <v>59</v>
      </c>
      <c r="G15" s="75">
        <f>E15/22</f>
        <v>7.9090909090909092</v>
      </c>
      <c r="H15" s="76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21.75" customHeight="1" x14ac:dyDescent="0.6">
      <c r="A16" s="7"/>
      <c r="B16" s="186"/>
      <c r="C16" s="169"/>
      <c r="D16" s="7"/>
      <c r="E16" s="7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6">
      <c r="A17" s="7"/>
      <c r="B17" s="41" t="s">
        <v>312</v>
      </c>
      <c r="C17" s="96"/>
      <c r="D17" s="71"/>
      <c r="E17" s="7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6">
      <c r="A18" s="7"/>
      <c r="B18" s="159" t="s">
        <v>303</v>
      </c>
      <c r="C18" s="96"/>
      <c r="D18" s="71"/>
      <c r="E18" s="7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6">
      <c r="A19" s="7"/>
      <c r="B19" s="32" t="s">
        <v>66</v>
      </c>
      <c r="C19" s="33" t="s">
        <v>67</v>
      </c>
      <c r="D19" s="60" t="s">
        <v>60</v>
      </c>
      <c r="E19" s="33" t="s">
        <v>68</v>
      </c>
      <c r="F19" s="33" t="s">
        <v>69</v>
      </c>
      <c r="G19" s="29" t="s">
        <v>55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6">
      <c r="A20" s="7"/>
      <c r="B20" s="72" t="s">
        <v>70</v>
      </c>
      <c r="C20" s="37">
        <v>13476.3238</v>
      </c>
      <c r="D20" s="63">
        <v>0.17419999999999999</v>
      </c>
      <c r="E20" s="37">
        <v>27</v>
      </c>
      <c r="F20" s="38">
        <f t="shared" ref="F20:F24" si="2">ROUNDUP(((($C20*D20)/(E20*8.8))),0)</f>
        <v>10</v>
      </c>
      <c r="G20" s="65">
        <f t="shared" ref="G20:G24" si="3">ROUNDUP(F20/2,0)</f>
        <v>5</v>
      </c>
      <c r="I20" s="160" t="s">
        <v>313</v>
      </c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6">
      <c r="A21" s="7"/>
      <c r="B21" s="72" t="s">
        <v>311</v>
      </c>
      <c r="C21" s="37">
        <v>13476.3238</v>
      </c>
      <c r="D21" s="63">
        <v>0.63280000000000003</v>
      </c>
      <c r="E21" s="37">
        <v>97</v>
      </c>
      <c r="F21" s="38">
        <f t="shared" si="2"/>
        <v>10</v>
      </c>
      <c r="G21" s="65">
        <f t="shared" si="3"/>
        <v>5</v>
      </c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6">
      <c r="A22" s="7"/>
      <c r="B22" s="72" t="s">
        <v>71</v>
      </c>
      <c r="C22" s="37">
        <v>13476.3238</v>
      </c>
      <c r="D22" s="63">
        <v>4.7E-2</v>
      </c>
      <c r="E22" s="37">
        <v>8</v>
      </c>
      <c r="F22" s="38">
        <f t="shared" si="2"/>
        <v>9</v>
      </c>
      <c r="G22" s="65">
        <f t="shared" si="3"/>
        <v>5</v>
      </c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6">
      <c r="A23" s="7"/>
      <c r="B23" s="72" t="s">
        <v>72</v>
      </c>
      <c r="C23" s="37">
        <v>13476.3238</v>
      </c>
      <c r="D23" s="63">
        <v>0.1855</v>
      </c>
      <c r="E23" s="37">
        <v>29</v>
      </c>
      <c r="F23" s="38">
        <f t="shared" si="2"/>
        <v>10</v>
      </c>
      <c r="G23" s="65">
        <f t="shared" si="3"/>
        <v>5</v>
      </c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6">
      <c r="A24" s="7"/>
      <c r="B24" s="72" t="s">
        <v>328</v>
      </c>
      <c r="C24" s="37"/>
      <c r="D24" s="63">
        <v>0.94499999999999995</v>
      </c>
      <c r="E24" s="37">
        <f>ROUNDUP(E21*0.5,0)</f>
        <v>49</v>
      </c>
      <c r="F24" s="38">
        <f t="shared" si="2"/>
        <v>0</v>
      </c>
      <c r="G24" s="65">
        <f t="shared" si="3"/>
        <v>0</v>
      </c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6">
      <c r="A25" s="7"/>
      <c r="B25" s="72" t="s">
        <v>73</v>
      </c>
      <c r="C25" s="37" t="s">
        <v>74</v>
      </c>
      <c r="D25" s="63" t="s">
        <v>74</v>
      </c>
      <c r="E25" s="38">
        <f>5*4</f>
        <v>20</v>
      </c>
      <c r="F25" s="38" t="s">
        <v>74</v>
      </c>
      <c r="G25" s="65" t="s">
        <v>74</v>
      </c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6">
      <c r="A26" s="7"/>
      <c r="B26" s="72" t="s">
        <v>75</v>
      </c>
      <c r="C26" s="37" t="s">
        <v>74</v>
      </c>
      <c r="D26" s="63" t="s">
        <v>74</v>
      </c>
      <c r="E26" s="38">
        <f>4*4</f>
        <v>16</v>
      </c>
      <c r="F26" s="38" t="s">
        <v>74</v>
      </c>
      <c r="G26" s="65" t="s">
        <v>74</v>
      </c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6">
      <c r="A27" s="7"/>
      <c r="B27" s="18"/>
      <c r="C27" s="73"/>
      <c r="D27" s="45" t="s">
        <v>58</v>
      </c>
      <c r="E27" s="74">
        <f>SUM(E20:E26)</f>
        <v>246</v>
      </c>
      <c r="F27" s="22" t="s">
        <v>59</v>
      </c>
      <c r="G27" s="75">
        <f>E27/22</f>
        <v>11.181818181818182</v>
      </c>
      <c r="H27" s="76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6">
      <c r="A28" s="7"/>
      <c r="B28" s="186"/>
      <c r="C28" s="16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21.75" customHeight="1" x14ac:dyDescent="0.6">
      <c r="A29" s="7"/>
      <c r="B29" s="41" t="s">
        <v>312</v>
      </c>
      <c r="C29" s="96"/>
      <c r="D29" s="71"/>
      <c r="E29" s="7"/>
      <c r="F29" s="7"/>
      <c r="G29" s="50"/>
      <c r="H29" s="7"/>
      <c r="I29" s="41"/>
      <c r="J29" s="7"/>
      <c r="K29" s="8"/>
      <c r="L29" s="8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6">
      <c r="A30" s="7"/>
      <c r="B30" s="49"/>
      <c r="C30" s="49"/>
      <c r="D30" s="7"/>
      <c r="E30" s="7"/>
      <c r="F30" s="7"/>
      <c r="G30" s="50"/>
      <c r="H30" s="7"/>
      <c r="I30" s="41"/>
      <c r="J30" s="7"/>
      <c r="K30" s="8"/>
      <c r="L30" s="8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9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6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6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6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6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6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21.75" customHeight="1" x14ac:dyDescent="0.6">
      <c r="A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8"/>
      <c r="W222" s="8"/>
    </row>
    <row r="223" spans="1:23" ht="21.75" customHeight="1" x14ac:dyDescent="0.6">
      <c r="A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8"/>
      <c r="W223" s="8"/>
    </row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3">
    <mergeCell ref="B3:H4"/>
    <mergeCell ref="B16:C16"/>
    <mergeCell ref="B28:C28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000"/>
  <sheetViews>
    <sheetView showGridLines="0" topLeftCell="A4" zoomScale="70" zoomScaleNormal="70" workbookViewId="0">
      <selection activeCell="C17" sqref="C17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61" width="4.85546875" customWidth="1"/>
    <col min="63" max="63" width="72.5703125" customWidth="1"/>
    <col min="64" max="64" width="52" customWidth="1"/>
    <col min="65" max="65" width="5.140625" customWidth="1"/>
    <col min="66" max="73" width="5.28515625" customWidth="1"/>
    <col min="74" max="74" width="6.42578125" customWidth="1"/>
    <col min="75" max="75" width="6.140625" customWidth="1"/>
    <col min="76" max="83" width="6.42578125" customWidth="1"/>
    <col min="84" max="84" width="6.5703125" customWidth="1"/>
    <col min="85" max="85" width="6.42578125" customWidth="1"/>
    <col min="86" max="94" width="6.5703125" customWidth="1"/>
    <col min="95" max="95" width="6.42578125" customWidth="1"/>
    <col min="96" max="104" width="6.5703125" customWidth="1"/>
  </cols>
  <sheetData>
    <row r="1" spans="1:104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4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4" ht="12.75" customHeight="1" x14ac:dyDescent="0.6">
      <c r="A3" s="7"/>
      <c r="B3" s="181" t="s">
        <v>76</v>
      </c>
      <c r="C3" s="169"/>
      <c r="D3" s="169"/>
      <c r="E3" s="18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4" ht="12.75" customHeight="1" x14ac:dyDescent="0.6">
      <c r="A4" s="7"/>
      <c r="B4" s="183"/>
      <c r="C4" s="184"/>
      <c r="D4" s="184"/>
      <c r="E4" s="18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4" ht="21.75" customHeight="1" x14ac:dyDescent="0.6">
      <c r="A5" s="7"/>
      <c r="B5" s="58"/>
      <c r="C5" s="17"/>
      <c r="D5" s="17"/>
      <c r="E5" s="17"/>
      <c r="F5" s="7"/>
      <c r="G5" s="7"/>
      <c r="H5" s="187" t="s">
        <v>76</v>
      </c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K5" s="189" t="s">
        <v>77</v>
      </c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</row>
    <row r="6" spans="1:104" ht="21.75" customHeight="1" x14ac:dyDescent="0.6">
      <c r="A6" s="7"/>
      <c r="B6" s="32" t="s">
        <v>66</v>
      </c>
      <c r="C6" s="60" t="s">
        <v>78</v>
      </c>
      <c r="D6" s="29"/>
      <c r="F6" s="7"/>
      <c r="G6" s="77" t="s">
        <v>79</v>
      </c>
      <c r="H6" s="77" t="s">
        <v>80</v>
      </c>
      <c r="I6" s="77" t="s">
        <v>81</v>
      </c>
      <c r="J6" s="77" t="s">
        <v>82</v>
      </c>
      <c r="K6" s="77" t="s">
        <v>83</v>
      </c>
      <c r="L6" s="77" t="s">
        <v>84</v>
      </c>
      <c r="M6" s="77" t="s">
        <v>85</v>
      </c>
      <c r="N6" s="77" t="s">
        <v>86</v>
      </c>
      <c r="O6" s="77" t="s">
        <v>87</v>
      </c>
      <c r="P6" s="77" t="s">
        <v>88</v>
      </c>
      <c r="Q6" s="77" t="s">
        <v>89</v>
      </c>
      <c r="R6" s="77" t="s">
        <v>90</v>
      </c>
      <c r="S6" s="77" t="s">
        <v>91</v>
      </c>
      <c r="T6" s="77" t="s">
        <v>92</v>
      </c>
      <c r="U6" s="77" t="s">
        <v>93</v>
      </c>
      <c r="V6" s="77" t="s">
        <v>94</v>
      </c>
      <c r="W6" s="77" t="s">
        <v>95</v>
      </c>
      <c r="X6" s="77" t="s">
        <v>96</v>
      </c>
      <c r="Y6" s="77" t="s">
        <v>97</v>
      </c>
      <c r="Z6" s="77" t="s">
        <v>98</v>
      </c>
      <c r="AA6" s="77" t="s">
        <v>99</v>
      </c>
      <c r="AB6" s="77" t="s">
        <v>100</v>
      </c>
      <c r="AC6" s="77" t="s">
        <v>101</v>
      </c>
      <c r="AD6" s="77" t="s">
        <v>102</v>
      </c>
      <c r="AE6" s="77" t="s">
        <v>103</v>
      </c>
      <c r="AF6" s="78" t="s">
        <v>104</v>
      </c>
      <c r="AG6" s="78" t="s">
        <v>105</v>
      </c>
      <c r="AH6" s="78" t="s">
        <v>106</v>
      </c>
      <c r="AI6" s="78" t="s">
        <v>107</v>
      </c>
      <c r="AJ6" s="78" t="s">
        <v>108</v>
      </c>
      <c r="AK6" s="78" t="s">
        <v>109</v>
      </c>
      <c r="AL6" s="78" t="s">
        <v>110</v>
      </c>
      <c r="AM6" s="78" t="s">
        <v>111</v>
      </c>
      <c r="AN6" s="77" t="s">
        <v>112</v>
      </c>
      <c r="AO6" s="77" t="s">
        <v>113</v>
      </c>
      <c r="AP6" s="77" t="s">
        <v>114</v>
      </c>
      <c r="AQ6" s="77" t="s">
        <v>115</v>
      </c>
      <c r="AR6" s="77" t="s">
        <v>116</v>
      </c>
      <c r="AS6" s="77" t="s">
        <v>117</v>
      </c>
      <c r="AT6" s="77" t="s">
        <v>118</v>
      </c>
      <c r="AU6" s="77" t="s">
        <v>119</v>
      </c>
      <c r="AV6" s="77" t="s">
        <v>158</v>
      </c>
      <c r="AW6" s="77" t="s">
        <v>159</v>
      </c>
      <c r="AX6" s="77" t="s">
        <v>160</v>
      </c>
      <c r="AY6" s="77" t="s">
        <v>161</v>
      </c>
      <c r="AZ6" s="77" t="s">
        <v>162</v>
      </c>
      <c r="BA6" s="77" t="s">
        <v>163</v>
      </c>
      <c r="BB6" s="77" t="s">
        <v>164</v>
      </c>
      <c r="BC6" s="77" t="s">
        <v>165</v>
      </c>
      <c r="BD6" s="77" t="s">
        <v>166</v>
      </c>
      <c r="BE6" s="77" t="s">
        <v>167</v>
      </c>
      <c r="BF6" s="77" t="s">
        <v>168</v>
      </c>
      <c r="BG6" s="77" t="s">
        <v>169</v>
      </c>
      <c r="BH6" s="77" t="s">
        <v>170</v>
      </c>
      <c r="BI6" s="77" t="s">
        <v>171</v>
      </c>
      <c r="BK6" s="77" t="s">
        <v>120</v>
      </c>
      <c r="BL6" s="77" t="s">
        <v>121</v>
      </c>
      <c r="BM6" s="77" t="s">
        <v>80</v>
      </c>
      <c r="BN6" s="77" t="s">
        <v>81</v>
      </c>
      <c r="BO6" s="77" t="s">
        <v>82</v>
      </c>
      <c r="BP6" s="77" t="s">
        <v>83</v>
      </c>
      <c r="BQ6" s="77" t="s">
        <v>84</v>
      </c>
      <c r="BR6" s="77" t="s">
        <v>85</v>
      </c>
      <c r="BS6" s="77" t="s">
        <v>86</v>
      </c>
      <c r="BT6" s="77" t="s">
        <v>87</v>
      </c>
      <c r="BU6" s="77" t="s">
        <v>88</v>
      </c>
      <c r="BV6" s="77" t="s">
        <v>89</v>
      </c>
      <c r="BW6" s="77" t="s">
        <v>90</v>
      </c>
      <c r="BX6" s="77" t="s">
        <v>91</v>
      </c>
      <c r="BY6" s="77" t="s">
        <v>92</v>
      </c>
      <c r="BZ6" s="77" t="s">
        <v>93</v>
      </c>
      <c r="CA6" s="77" t="s">
        <v>94</v>
      </c>
      <c r="CB6" s="77" t="s">
        <v>95</v>
      </c>
      <c r="CC6" s="77" t="s">
        <v>96</v>
      </c>
      <c r="CD6" s="77" t="s">
        <v>97</v>
      </c>
      <c r="CE6" s="77" t="s">
        <v>98</v>
      </c>
      <c r="CF6" s="77" t="s">
        <v>99</v>
      </c>
      <c r="CG6" s="77" t="s">
        <v>100</v>
      </c>
      <c r="CH6" s="77" t="s">
        <v>101</v>
      </c>
      <c r="CI6" s="77" t="s">
        <v>102</v>
      </c>
      <c r="CJ6" s="77" t="s">
        <v>103</v>
      </c>
      <c r="CK6" s="79" t="s">
        <v>104</v>
      </c>
      <c r="CL6" s="79" t="s">
        <v>105</v>
      </c>
      <c r="CM6" s="79" t="s">
        <v>106</v>
      </c>
      <c r="CN6" s="79" t="s">
        <v>107</v>
      </c>
      <c r="CO6" s="79" t="s">
        <v>108</v>
      </c>
      <c r="CP6" s="79" t="s">
        <v>109</v>
      </c>
      <c r="CQ6" s="79" t="s">
        <v>110</v>
      </c>
      <c r="CR6" s="79" t="s">
        <v>111</v>
      </c>
      <c r="CS6" s="77" t="s">
        <v>112</v>
      </c>
      <c r="CT6" s="77" t="s">
        <v>113</v>
      </c>
      <c r="CU6" s="77" t="s">
        <v>114</v>
      </c>
      <c r="CV6" s="77" t="s">
        <v>115</v>
      </c>
      <c r="CW6" s="77" t="s">
        <v>116</v>
      </c>
      <c r="CX6" s="77" t="s">
        <v>117</v>
      </c>
      <c r="CY6" s="77" t="s">
        <v>118</v>
      </c>
      <c r="CZ6" s="77" t="s">
        <v>119</v>
      </c>
    </row>
    <row r="7" spans="1:104" ht="21.75" customHeight="1" x14ac:dyDescent="0.6">
      <c r="A7" s="7"/>
      <c r="B7" s="72" t="s">
        <v>122</v>
      </c>
      <c r="C7" s="80">
        <v>1</v>
      </c>
      <c r="D7" s="65" t="str">
        <f>"+/- 1 mês"</f>
        <v>+/- 1 mês</v>
      </c>
      <c r="F7" s="7"/>
      <c r="G7" s="81" t="s">
        <v>122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K7" s="81" t="s">
        <v>123</v>
      </c>
      <c r="BL7" s="81" t="s">
        <v>122</v>
      </c>
      <c r="BM7" s="82">
        <v>1</v>
      </c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</row>
    <row r="8" spans="1:104" ht="21.75" customHeight="1" x14ac:dyDescent="0.6">
      <c r="A8" s="7"/>
      <c r="B8" s="72" t="s">
        <v>124</v>
      </c>
      <c r="C8" s="63">
        <f>'b. Fundação'!H11+'b. Fundação'!L19</f>
        <v>5.5090909090909097</v>
      </c>
      <c r="D8" s="65" t="s">
        <v>125</v>
      </c>
      <c r="F8" s="7"/>
      <c r="G8" s="83" t="s">
        <v>124</v>
      </c>
      <c r="H8" s="84"/>
      <c r="I8" s="84">
        <v>1</v>
      </c>
      <c r="J8" s="84">
        <v>2</v>
      </c>
      <c r="K8" s="84">
        <v>3</v>
      </c>
      <c r="L8" s="84">
        <v>4</v>
      </c>
      <c r="M8" s="84">
        <v>5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K8" s="83" t="s">
        <v>126</v>
      </c>
      <c r="BL8" s="83" t="s">
        <v>124</v>
      </c>
      <c r="BM8" s="84"/>
      <c r="BN8" s="84">
        <v>1</v>
      </c>
      <c r="BO8" s="84">
        <v>2</v>
      </c>
      <c r="BP8" s="84">
        <v>3</v>
      </c>
      <c r="BQ8" s="84">
        <v>4</v>
      </c>
      <c r="BR8" s="84">
        <v>5</v>
      </c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</row>
    <row r="9" spans="1:104" ht="21.75" customHeight="1" x14ac:dyDescent="0.6">
      <c r="A9" s="7"/>
      <c r="B9" s="72" t="s">
        <v>127</v>
      </c>
      <c r="C9" s="63">
        <f>'c. Supraestrutura HOTEL'!I15</f>
        <v>6.2727272727272725</v>
      </c>
      <c r="D9" s="65" t="s">
        <v>128</v>
      </c>
      <c r="F9" s="7"/>
      <c r="G9" s="81" t="s">
        <v>127</v>
      </c>
      <c r="H9" s="82"/>
      <c r="I9" s="82"/>
      <c r="J9" s="82"/>
      <c r="K9" s="82"/>
      <c r="L9" s="82"/>
      <c r="M9" s="82"/>
      <c r="N9" s="82">
        <v>1</v>
      </c>
      <c r="O9" s="82">
        <v>2</v>
      </c>
      <c r="P9" s="82">
        <v>3</v>
      </c>
      <c r="Q9" s="82">
        <v>4</v>
      </c>
      <c r="R9" s="82">
        <v>5</v>
      </c>
      <c r="S9" s="82">
        <v>6</v>
      </c>
      <c r="T9" s="82">
        <v>7</v>
      </c>
      <c r="U9" s="82">
        <v>8</v>
      </c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K9" s="81" t="s">
        <v>129</v>
      </c>
      <c r="BL9" s="81" t="s">
        <v>127</v>
      </c>
      <c r="BM9" s="82"/>
      <c r="BN9" s="82"/>
      <c r="BO9" s="82"/>
      <c r="BP9" s="82"/>
      <c r="BQ9" s="82"/>
      <c r="BR9" s="82"/>
      <c r="BS9" s="82">
        <v>1</v>
      </c>
      <c r="BT9" s="82">
        <v>2</v>
      </c>
      <c r="BU9" s="82">
        <v>3</v>
      </c>
      <c r="BV9" s="82">
        <v>4</v>
      </c>
      <c r="BW9" s="82">
        <v>5</v>
      </c>
      <c r="BX9" s="82">
        <v>6</v>
      </c>
      <c r="BY9" s="82">
        <v>7</v>
      </c>
      <c r="BZ9" s="82">
        <v>8</v>
      </c>
      <c r="CA9" s="82">
        <v>9</v>
      </c>
      <c r="CB9" s="82">
        <v>10</v>
      </c>
      <c r="CC9" s="82">
        <v>11</v>
      </c>
      <c r="CD9" s="82">
        <v>12</v>
      </c>
      <c r="CE9" s="82">
        <v>13</v>
      </c>
      <c r="CF9" s="82">
        <v>14</v>
      </c>
      <c r="CG9" s="82">
        <v>15</v>
      </c>
      <c r="CH9" s="82">
        <v>16</v>
      </c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</row>
    <row r="10" spans="1:104" ht="21.75" customHeight="1" x14ac:dyDescent="0.6">
      <c r="A10" s="7"/>
      <c r="B10" s="72" t="s">
        <v>130</v>
      </c>
      <c r="C10" s="85">
        <v>2</v>
      </c>
      <c r="D10" s="65" t="str">
        <f>"+/-3 meses após o término da Supraestrutura"</f>
        <v>+/-3 meses após o término da Supraestrutura</v>
      </c>
      <c r="F10" s="7"/>
      <c r="G10" s="83" t="s">
        <v>131</v>
      </c>
      <c r="H10" s="84"/>
      <c r="I10" s="84"/>
      <c r="J10" s="84"/>
      <c r="K10" s="84"/>
      <c r="L10" s="84"/>
      <c r="M10" s="84"/>
      <c r="N10" s="84"/>
      <c r="O10" s="84"/>
      <c r="P10" s="84"/>
      <c r="Q10" s="84">
        <v>1</v>
      </c>
      <c r="R10" s="84">
        <v>2</v>
      </c>
      <c r="S10" s="84">
        <v>3</v>
      </c>
      <c r="T10" s="84">
        <v>4</v>
      </c>
      <c r="U10" s="84">
        <v>5</v>
      </c>
      <c r="V10" s="84">
        <v>6</v>
      </c>
      <c r="W10" s="84">
        <v>7</v>
      </c>
      <c r="X10" s="84">
        <v>8</v>
      </c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K10" s="83" t="s">
        <v>132</v>
      </c>
      <c r="BL10" s="83" t="s">
        <v>131</v>
      </c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>
        <v>1</v>
      </c>
      <c r="BX10" s="84">
        <v>2</v>
      </c>
      <c r="BY10" s="84">
        <v>3</v>
      </c>
      <c r="BZ10" s="84">
        <v>4</v>
      </c>
      <c r="CA10" s="84">
        <v>5</v>
      </c>
      <c r="CB10" s="84">
        <v>6</v>
      </c>
      <c r="CC10" s="84">
        <v>7</v>
      </c>
      <c r="CD10" s="84">
        <v>8</v>
      </c>
      <c r="CE10" s="84">
        <v>9</v>
      </c>
      <c r="CF10" s="84">
        <v>10</v>
      </c>
      <c r="CG10" s="84">
        <v>11</v>
      </c>
      <c r="CH10" s="84">
        <v>12</v>
      </c>
      <c r="CI10" s="84">
        <v>13</v>
      </c>
      <c r="CJ10" s="84">
        <v>14</v>
      </c>
      <c r="CK10" s="84">
        <v>15</v>
      </c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</row>
    <row r="11" spans="1:104" ht="21.75" customHeight="1" x14ac:dyDescent="0.6">
      <c r="A11" s="7"/>
      <c r="B11" s="72" t="s">
        <v>133</v>
      </c>
      <c r="C11" s="63">
        <f>'d. Fachada'!G15</f>
        <v>7.9090909090909092</v>
      </c>
      <c r="D11" s="65" t="s">
        <v>134</v>
      </c>
      <c r="F11" s="7"/>
      <c r="G11" s="81" t="s">
        <v>133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>
        <v>1</v>
      </c>
      <c r="Z11" s="82">
        <v>2</v>
      </c>
      <c r="AA11" s="82">
        <v>3</v>
      </c>
      <c r="AB11" s="82">
        <v>4</v>
      </c>
      <c r="AC11" s="82">
        <v>5</v>
      </c>
      <c r="AD11" s="82">
        <v>6</v>
      </c>
      <c r="AE11" s="82">
        <v>7</v>
      </c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K11" s="78" t="s">
        <v>135</v>
      </c>
      <c r="BL11" s="78" t="s">
        <v>135</v>
      </c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>
        <v>1</v>
      </c>
      <c r="BY11" s="86">
        <v>2</v>
      </c>
      <c r="BZ11" s="86">
        <v>3</v>
      </c>
      <c r="CA11" s="86">
        <v>4</v>
      </c>
      <c r="CB11" s="86">
        <v>5</v>
      </c>
      <c r="CC11" s="86">
        <v>6</v>
      </c>
      <c r="CD11" s="86">
        <v>7</v>
      </c>
      <c r="CE11" s="86">
        <v>8</v>
      </c>
      <c r="CF11" s="86">
        <v>9</v>
      </c>
      <c r="CG11" s="86">
        <v>10</v>
      </c>
      <c r="CH11" s="86">
        <v>11</v>
      </c>
      <c r="CI11" s="86">
        <v>12</v>
      </c>
      <c r="CJ11" s="86">
        <v>13</v>
      </c>
      <c r="CK11" s="86">
        <v>14</v>
      </c>
      <c r="CL11" s="86">
        <v>15</v>
      </c>
      <c r="CM11" s="86">
        <v>16</v>
      </c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</row>
    <row r="12" spans="1:104" ht="21.75" customHeight="1" x14ac:dyDescent="0.6">
      <c r="A12" s="7"/>
      <c r="B12" s="72" t="s">
        <v>136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136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>
        <v>1</v>
      </c>
      <c r="Z12" s="84">
        <v>2</v>
      </c>
      <c r="AA12" s="84">
        <v>3</v>
      </c>
      <c r="AB12" s="84">
        <v>4</v>
      </c>
      <c r="AC12" s="84">
        <v>5</v>
      </c>
      <c r="AD12" s="84">
        <v>6</v>
      </c>
      <c r="AE12" s="84">
        <v>7</v>
      </c>
      <c r="AF12" s="84">
        <v>8</v>
      </c>
      <c r="AG12" s="84">
        <v>9</v>
      </c>
      <c r="AH12" s="84">
        <v>10</v>
      </c>
      <c r="AI12" s="84">
        <v>11</v>
      </c>
      <c r="AJ12" s="84">
        <v>12</v>
      </c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K12" s="78" t="s">
        <v>137</v>
      </c>
      <c r="BL12" s="78" t="s">
        <v>137</v>
      </c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>
        <v>1</v>
      </c>
      <c r="CM12" s="86">
        <v>2</v>
      </c>
      <c r="CN12" s="86">
        <v>3</v>
      </c>
      <c r="CO12" s="86">
        <v>4</v>
      </c>
      <c r="CP12" s="86">
        <v>5</v>
      </c>
      <c r="CQ12" s="86">
        <v>6</v>
      </c>
      <c r="CR12" s="86"/>
      <c r="CS12" s="86"/>
      <c r="CT12" s="86"/>
      <c r="CU12" s="86"/>
      <c r="CV12" s="86"/>
      <c r="CW12" s="86"/>
      <c r="CX12" s="86"/>
      <c r="CY12" s="86"/>
      <c r="CZ12" s="86"/>
    </row>
    <row r="13" spans="1:104" ht="21.75" customHeight="1" x14ac:dyDescent="0.6">
      <c r="A13" s="7"/>
      <c r="B13" s="72" t="s">
        <v>138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138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>
        <v>1</v>
      </c>
      <c r="AL13" s="82">
        <v>2</v>
      </c>
      <c r="AM13" s="82">
        <v>3</v>
      </c>
      <c r="AN13" s="82">
        <v>4</v>
      </c>
      <c r="AO13" s="82">
        <v>5</v>
      </c>
      <c r="AP13" s="82">
        <v>6</v>
      </c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110"/>
      <c r="BF13" s="82"/>
      <c r="BG13" s="82"/>
      <c r="BH13" s="82"/>
      <c r="BI13" s="82"/>
      <c r="BK13" s="78" t="s">
        <v>139</v>
      </c>
      <c r="BL13" s="78" t="s">
        <v>139</v>
      </c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>
        <v>1</v>
      </c>
      <c r="CB13" s="86">
        <v>2</v>
      </c>
      <c r="CC13" s="86">
        <v>3</v>
      </c>
      <c r="CD13" s="86">
        <v>4</v>
      </c>
      <c r="CE13" s="86">
        <v>5</v>
      </c>
      <c r="CF13" s="86">
        <v>6</v>
      </c>
      <c r="CG13" s="86">
        <v>7</v>
      </c>
      <c r="CH13" s="86">
        <v>8</v>
      </c>
      <c r="CI13" s="86">
        <v>9</v>
      </c>
      <c r="CJ13" s="86">
        <v>10</v>
      </c>
      <c r="CK13" s="86">
        <v>11</v>
      </c>
      <c r="CL13" s="86">
        <v>12</v>
      </c>
      <c r="CM13" s="86">
        <v>13</v>
      </c>
      <c r="CN13" s="86">
        <v>14</v>
      </c>
      <c r="CO13" s="86">
        <v>15</v>
      </c>
      <c r="CP13" s="86">
        <v>16</v>
      </c>
      <c r="CQ13" s="86"/>
      <c r="CR13" s="86"/>
      <c r="CS13" s="86"/>
      <c r="CT13" s="86"/>
      <c r="CU13" s="86"/>
      <c r="CV13" s="86"/>
      <c r="CW13" s="86"/>
      <c r="CX13" s="86"/>
      <c r="CY13" s="86"/>
      <c r="CZ13" s="86"/>
    </row>
    <row r="14" spans="1:104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K14" s="78" t="s">
        <v>140</v>
      </c>
      <c r="BL14" s="78" t="s">
        <v>140</v>
      </c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>
        <v>1</v>
      </c>
      <c r="BZ14" s="86">
        <v>2</v>
      </c>
      <c r="CA14" s="86">
        <v>3</v>
      </c>
      <c r="CB14" s="86">
        <v>4</v>
      </c>
      <c r="CC14" s="86">
        <v>5</v>
      </c>
      <c r="CD14" s="86">
        <v>6</v>
      </c>
      <c r="CE14" s="86">
        <v>7</v>
      </c>
      <c r="CF14" s="86">
        <v>8</v>
      </c>
      <c r="CG14" s="86">
        <v>9</v>
      </c>
      <c r="CH14" s="86">
        <v>10</v>
      </c>
      <c r="CI14" s="86">
        <v>11</v>
      </c>
      <c r="CJ14" s="86">
        <v>12</v>
      </c>
      <c r="CK14" s="86">
        <v>13</v>
      </c>
      <c r="CL14" s="86">
        <v>14</v>
      </c>
      <c r="CM14" s="86">
        <v>15</v>
      </c>
      <c r="CN14" s="86">
        <v>16</v>
      </c>
      <c r="CO14" s="86">
        <v>17</v>
      </c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1:104" ht="21.75" customHeight="1" x14ac:dyDescent="0.6">
      <c r="A15" s="7"/>
      <c r="B15" s="89" t="s">
        <v>141</v>
      </c>
      <c r="C15" s="90">
        <f>C9+1</f>
        <v>7.2727272727272725</v>
      </c>
      <c r="D15" s="91" t="s">
        <v>142</v>
      </c>
      <c r="E15" s="7"/>
      <c r="F15" s="7"/>
      <c r="G15" s="77" t="s">
        <v>79</v>
      </c>
      <c r="H15" s="101" t="s">
        <v>80</v>
      </c>
      <c r="I15" s="101" t="s">
        <v>81</v>
      </c>
      <c r="J15" s="101" t="s">
        <v>82</v>
      </c>
      <c r="K15" s="101" t="s">
        <v>83</v>
      </c>
      <c r="L15" s="101" t="s">
        <v>84</v>
      </c>
      <c r="M15" s="101" t="s">
        <v>85</v>
      </c>
      <c r="N15" s="101" t="s">
        <v>86</v>
      </c>
      <c r="O15" s="101" t="s">
        <v>87</v>
      </c>
      <c r="P15" s="101" t="s">
        <v>88</v>
      </c>
      <c r="Q15" s="101" t="s">
        <v>89</v>
      </c>
      <c r="R15" s="101" t="s">
        <v>90</v>
      </c>
      <c r="S15" s="101" t="s">
        <v>91</v>
      </c>
      <c r="T15" s="101" t="s">
        <v>92</v>
      </c>
      <c r="U15" s="101" t="s">
        <v>93</v>
      </c>
      <c r="V15" s="101" t="s">
        <v>94</v>
      </c>
      <c r="W15" s="101" t="s">
        <v>95</v>
      </c>
      <c r="X15" s="101" t="s">
        <v>96</v>
      </c>
      <c r="Y15" s="101" t="s">
        <v>97</v>
      </c>
      <c r="Z15" s="101" t="s">
        <v>98</v>
      </c>
      <c r="AA15" s="101" t="s">
        <v>99</v>
      </c>
      <c r="AB15" s="101" t="s">
        <v>100</v>
      </c>
      <c r="AC15" s="101" t="s">
        <v>101</v>
      </c>
      <c r="AD15" s="101" t="s">
        <v>102</v>
      </c>
      <c r="AE15" s="101" t="s">
        <v>103</v>
      </c>
      <c r="AF15" s="102" t="s">
        <v>104</v>
      </c>
      <c r="AG15" s="102" t="s">
        <v>105</v>
      </c>
      <c r="AH15" s="102" t="s">
        <v>106</v>
      </c>
      <c r="AI15" s="102" t="s">
        <v>107</v>
      </c>
      <c r="AJ15" s="102" t="s">
        <v>108</v>
      </c>
      <c r="AK15" s="102" t="s">
        <v>109</v>
      </c>
      <c r="AL15" s="102" t="s">
        <v>110</v>
      </c>
      <c r="AM15" s="102" t="s">
        <v>111</v>
      </c>
      <c r="AN15" s="101" t="s">
        <v>112</v>
      </c>
      <c r="AO15" s="101" t="s">
        <v>113</v>
      </c>
      <c r="AP15" s="101" t="s">
        <v>114</v>
      </c>
      <c r="AQ15" s="101" t="s">
        <v>115</v>
      </c>
      <c r="AR15" s="101" t="s">
        <v>116</v>
      </c>
      <c r="AS15" s="101" t="s">
        <v>117</v>
      </c>
      <c r="AT15" s="101" t="s">
        <v>118</v>
      </c>
      <c r="AU15" s="101" t="s">
        <v>119</v>
      </c>
      <c r="AV15" s="101" t="s">
        <v>158</v>
      </c>
      <c r="AW15" s="101" t="s">
        <v>159</v>
      </c>
      <c r="AX15" s="101" t="s">
        <v>160</v>
      </c>
      <c r="AY15" s="101" t="s">
        <v>161</v>
      </c>
      <c r="AZ15" s="101" t="s">
        <v>162</v>
      </c>
      <c r="BA15" s="101" t="s">
        <v>163</v>
      </c>
      <c r="BB15" s="101" t="s">
        <v>164</v>
      </c>
      <c r="BC15" s="105" t="s">
        <v>165</v>
      </c>
      <c r="BD15" s="108"/>
      <c r="BE15" s="108"/>
      <c r="BF15" s="108"/>
      <c r="BG15" s="108"/>
      <c r="BH15" s="108"/>
      <c r="BI15" s="108"/>
      <c r="BK15" s="78" t="s">
        <v>143</v>
      </c>
      <c r="BL15" s="78" t="s">
        <v>143</v>
      </c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>
        <v>1</v>
      </c>
      <c r="CD15" s="86">
        <v>2</v>
      </c>
      <c r="CE15" s="86">
        <v>3</v>
      </c>
      <c r="CF15" s="86">
        <v>4</v>
      </c>
      <c r="CG15" s="86">
        <v>5</v>
      </c>
      <c r="CH15" s="86">
        <v>6</v>
      </c>
      <c r="CI15" s="86">
        <v>7</v>
      </c>
      <c r="CJ15" s="86">
        <v>8</v>
      </c>
      <c r="CK15" s="86">
        <v>9</v>
      </c>
      <c r="CL15" s="86">
        <v>10</v>
      </c>
      <c r="CM15" s="86">
        <v>11</v>
      </c>
      <c r="CN15" s="86">
        <v>12</v>
      </c>
      <c r="CO15" s="86">
        <v>13</v>
      </c>
      <c r="CP15" s="86">
        <v>14</v>
      </c>
      <c r="CQ15" s="86">
        <v>15</v>
      </c>
      <c r="CR15" s="86">
        <v>16</v>
      </c>
      <c r="CS15" s="86"/>
      <c r="CT15" s="86"/>
      <c r="CU15" s="86"/>
      <c r="CV15" s="86"/>
      <c r="CW15" s="86"/>
      <c r="CX15" s="86"/>
      <c r="CY15" s="86"/>
      <c r="CZ15" s="86"/>
    </row>
    <row r="16" spans="1:104" ht="23.25" customHeight="1" x14ac:dyDescent="0.6">
      <c r="A16" s="7"/>
      <c r="B16" s="89" t="s">
        <v>75</v>
      </c>
      <c r="C16" s="90">
        <f>C11+1</f>
        <v>8.9090909090909101</v>
      </c>
      <c r="D16" s="91" t="s">
        <v>144</v>
      </c>
      <c r="E16" s="7"/>
      <c r="F16" s="7"/>
      <c r="G16" s="97" t="s">
        <v>123</v>
      </c>
      <c r="H16" s="103">
        <v>1</v>
      </c>
      <c r="I16" s="103">
        <v>2</v>
      </c>
      <c r="J16" s="103">
        <v>3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6"/>
      <c r="BD16" s="109"/>
      <c r="BE16" s="109"/>
      <c r="BF16" s="109"/>
      <c r="BG16" s="109"/>
      <c r="BH16" s="109"/>
      <c r="BI16" s="109"/>
      <c r="BK16" s="83"/>
      <c r="BL16" s="83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</row>
    <row r="17" spans="1:104" ht="56.25" x14ac:dyDescent="0.6">
      <c r="A17" s="7"/>
      <c r="B17" s="89" t="s">
        <v>145</v>
      </c>
      <c r="C17" s="90">
        <f>C9-(('c. Supraestrutura HOTEL'!G13+'c. Supraestrutura HOTEL'!G12+'c. Supraestrutura HOTEL'!G11)/22)+C10+B21</f>
        <v>8.4090909090909083</v>
      </c>
      <c r="D17" s="91" t="s">
        <v>146</v>
      </c>
      <c r="E17" s="7"/>
      <c r="F17" s="7"/>
      <c r="G17" s="98" t="s">
        <v>126</v>
      </c>
      <c r="H17" s="104">
        <v>1</v>
      </c>
      <c r="I17" s="104">
        <v>2</v>
      </c>
      <c r="J17" s="104">
        <v>3</v>
      </c>
      <c r="K17" s="104">
        <v>4</v>
      </c>
      <c r="L17" s="104">
        <v>5</v>
      </c>
      <c r="M17" s="104">
        <v>6</v>
      </c>
      <c r="N17" s="104">
        <v>7</v>
      </c>
      <c r="O17" s="104">
        <v>8</v>
      </c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7"/>
      <c r="BD17" s="109"/>
      <c r="BE17" s="109"/>
      <c r="BF17" s="109"/>
      <c r="BG17" s="109"/>
      <c r="BH17" s="109"/>
      <c r="BI17" s="109"/>
      <c r="BK17" s="83" t="s">
        <v>147</v>
      </c>
      <c r="BL17" s="83" t="s">
        <v>147</v>
      </c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>
        <v>1</v>
      </c>
      <c r="CC17" s="84">
        <v>2</v>
      </c>
      <c r="CD17" s="84">
        <v>3</v>
      </c>
      <c r="CE17" s="84">
        <v>4</v>
      </c>
      <c r="CF17" s="84">
        <v>5</v>
      </c>
      <c r="CG17" s="84">
        <v>6</v>
      </c>
      <c r="CH17" s="84">
        <v>7</v>
      </c>
      <c r="CI17" s="84">
        <v>8</v>
      </c>
      <c r="CJ17" s="84">
        <v>9</v>
      </c>
      <c r="CK17" s="84">
        <v>10</v>
      </c>
      <c r="CL17" s="84">
        <v>11</v>
      </c>
      <c r="CM17" s="84">
        <v>12</v>
      </c>
      <c r="CN17" s="84">
        <v>13</v>
      </c>
      <c r="CO17" s="84">
        <v>14</v>
      </c>
      <c r="CP17" s="84">
        <v>15</v>
      </c>
      <c r="CQ17" s="84">
        <v>16</v>
      </c>
      <c r="CR17" s="84">
        <v>17</v>
      </c>
      <c r="CS17" s="84">
        <v>18</v>
      </c>
      <c r="CT17" s="84"/>
      <c r="CU17" s="84"/>
      <c r="CV17" s="84"/>
      <c r="CW17" s="84"/>
      <c r="CX17" s="84"/>
      <c r="CY17" s="84"/>
      <c r="CZ17" s="84"/>
    </row>
    <row r="18" spans="1:104" ht="21.75" customHeight="1" x14ac:dyDescent="0.6">
      <c r="A18" s="7"/>
      <c r="B18" s="41"/>
      <c r="C18" s="7"/>
      <c r="D18" s="7"/>
      <c r="E18" s="7"/>
      <c r="F18" s="7"/>
      <c r="G18" s="99" t="s">
        <v>129</v>
      </c>
      <c r="H18" s="103"/>
      <c r="I18" s="103"/>
      <c r="J18" s="103"/>
      <c r="K18" s="103"/>
      <c r="L18" s="103"/>
      <c r="M18" s="103"/>
      <c r="N18" s="103"/>
      <c r="O18" s="103"/>
      <c r="P18" s="103">
        <v>1</v>
      </c>
      <c r="Q18" s="103">
        <v>2</v>
      </c>
      <c r="R18" s="103">
        <v>3</v>
      </c>
      <c r="S18" s="103">
        <v>4</v>
      </c>
      <c r="T18" s="103">
        <v>5</v>
      </c>
      <c r="U18" s="103">
        <v>6</v>
      </c>
      <c r="V18" s="103">
        <v>7</v>
      </c>
      <c r="W18" s="103">
        <v>8</v>
      </c>
      <c r="X18" s="103">
        <v>9</v>
      </c>
      <c r="Y18" s="103">
        <v>10</v>
      </c>
      <c r="Z18" s="103">
        <v>11</v>
      </c>
      <c r="AA18" s="103">
        <v>12</v>
      </c>
      <c r="AB18" s="103">
        <v>13</v>
      </c>
      <c r="AC18" s="103">
        <v>14</v>
      </c>
      <c r="AD18" s="103">
        <v>15</v>
      </c>
      <c r="AE18" s="103">
        <v>16</v>
      </c>
      <c r="AF18" s="103">
        <v>17</v>
      </c>
      <c r="AG18" s="103">
        <v>18</v>
      </c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6"/>
      <c r="BD18" s="109"/>
      <c r="BE18" s="109"/>
      <c r="BF18" s="109"/>
      <c r="BG18" s="109"/>
      <c r="BH18" s="109"/>
      <c r="BI18" s="109"/>
      <c r="BK18" s="83" t="s">
        <v>148</v>
      </c>
      <c r="BL18" s="83" t="s">
        <v>148</v>
      </c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>
        <v>1</v>
      </c>
      <c r="CE18" s="84">
        <v>2</v>
      </c>
      <c r="CF18" s="84">
        <v>3</v>
      </c>
      <c r="CG18" s="84">
        <v>4</v>
      </c>
      <c r="CH18" s="84">
        <v>5</v>
      </c>
      <c r="CI18" s="84">
        <v>6</v>
      </c>
      <c r="CJ18" s="84">
        <v>7</v>
      </c>
      <c r="CK18" s="84">
        <v>8</v>
      </c>
      <c r="CL18" s="84">
        <v>9</v>
      </c>
      <c r="CM18" s="84">
        <v>10</v>
      </c>
      <c r="CN18" s="84">
        <v>11</v>
      </c>
      <c r="CO18" s="84">
        <v>12</v>
      </c>
      <c r="CP18" s="84">
        <v>13</v>
      </c>
      <c r="CQ18" s="84">
        <v>14</v>
      </c>
      <c r="CR18" s="84">
        <v>15</v>
      </c>
      <c r="CS18" s="84">
        <v>16</v>
      </c>
      <c r="CT18" s="84">
        <v>17</v>
      </c>
      <c r="CU18" s="84">
        <v>18</v>
      </c>
      <c r="CV18" s="84">
        <v>19</v>
      </c>
      <c r="CW18" s="84">
        <v>20</v>
      </c>
      <c r="CX18" s="84"/>
      <c r="CY18" s="84"/>
      <c r="CZ18" s="84"/>
    </row>
    <row r="19" spans="1:104" ht="21.75" customHeight="1" x14ac:dyDescent="0.6">
      <c r="A19" s="7"/>
      <c r="B19" s="92" t="s">
        <v>149</v>
      </c>
      <c r="C19" s="93">
        <f>15+15+15</f>
        <v>45</v>
      </c>
      <c r="D19" s="7"/>
      <c r="E19" s="7"/>
      <c r="F19" s="7"/>
      <c r="G19" s="98" t="s">
        <v>132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>
        <v>1</v>
      </c>
      <c r="T19" s="104">
        <v>2</v>
      </c>
      <c r="U19" s="104">
        <v>3</v>
      </c>
      <c r="V19" s="104">
        <v>4</v>
      </c>
      <c r="W19" s="104">
        <v>5</v>
      </c>
      <c r="X19" s="104">
        <v>6</v>
      </c>
      <c r="Y19" s="104">
        <v>7</v>
      </c>
      <c r="Z19" s="104">
        <v>8</v>
      </c>
      <c r="AA19" s="104">
        <v>9</v>
      </c>
      <c r="AB19" s="104">
        <v>10</v>
      </c>
      <c r="AC19" s="104">
        <v>11</v>
      </c>
      <c r="AD19" s="104">
        <v>12</v>
      </c>
      <c r="AE19" s="104">
        <v>13</v>
      </c>
      <c r="AF19" s="104">
        <v>14</v>
      </c>
      <c r="AG19" s="104">
        <v>15</v>
      </c>
      <c r="AH19" s="104">
        <v>16</v>
      </c>
      <c r="AI19" s="104">
        <v>17</v>
      </c>
      <c r="AJ19" s="104">
        <v>18</v>
      </c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7"/>
      <c r="BD19" s="109"/>
      <c r="BE19" s="109"/>
      <c r="BF19" s="109"/>
      <c r="BG19" s="109"/>
      <c r="BH19" s="109"/>
      <c r="BI19" s="109"/>
      <c r="BK19" s="78" t="s">
        <v>150</v>
      </c>
      <c r="BL19" s="78" t="s">
        <v>150</v>
      </c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>
        <v>1</v>
      </c>
      <c r="CO19" s="86">
        <v>2</v>
      </c>
      <c r="CP19" s="86">
        <v>3</v>
      </c>
      <c r="CQ19" s="86">
        <v>4</v>
      </c>
      <c r="CR19" s="86">
        <v>5</v>
      </c>
      <c r="CS19" s="86">
        <v>6</v>
      </c>
      <c r="CT19" s="86">
        <v>7</v>
      </c>
      <c r="CU19" s="86">
        <v>8</v>
      </c>
      <c r="CV19" s="86">
        <v>9</v>
      </c>
      <c r="CW19" s="86">
        <v>10</v>
      </c>
      <c r="CX19" s="86">
        <v>11</v>
      </c>
      <c r="CY19" s="86"/>
      <c r="CZ19" s="86"/>
    </row>
    <row r="20" spans="1:104" ht="21.75" customHeight="1" x14ac:dyDescent="0.6">
      <c r="A20" s="7"/>
      <c r="B20" s="92" t="s">
        <v>151</v>
      </c>
      <c r="C20" s="93">
        <v>60</v>
      </c>
      <c r="D20" s="7"/>
      <c r="E20" s="7"/>
      <c r="F20" s="7"/>
      <c r="G20" s="99" t="s">
        <v>135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>
        <v>1</v>
      </c>
      <c r="V20" s="103">
        <v>2</v>
      </c>
      <c r="W20" s="103">
        <v>3</v>
      </c>
      <c r="X20" s="103">
        <v>4</v>
      </c>
      <c r="Y20" s="103">
        <v>5</v>
      </c>
      <c r="Z20" s="103">
        <v>6</v>
      </c>
      <c r="AA20" s="103">
        <v>7</v>
      </c>
      <c r="AB20" s="103">
        <v>8</v>
      </c>
      <c r="AC20" s="103">
        <v>9</v>
      </c>
      <c r="AD20" s="103">
        <v>10</v>
      </c>
      <c r="AE20" s="103">
        <v>11</v>
      </c>
      <c r="AF20" s="103">
        <v>12</v>
      </c>
      <c r="AG20" s="103">
        <v>13</v>
      </c>
      <c r="AH20" s="103">
        <v>14</v>
      </c>
      <c r="AI20" s="103">
        <v>15</v>
      </c>
      <c r="AJ20" s="103">
        <v>16</v>
      </c>
      <c r="AK20" s="103">
        <v>17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6"/>
      <c r="BD20" s="109"/>
      <c r="BE20" s="109"/>
      <c r="BF20" s="109"/>
      <c r="BG20" s="109"/>
      <c r="BH20" s="109"/>
      <c r="BI20" s="109"/>
      <c r="BK20" s="78" t="s">
        <v>152</v>
      </c>
      <c r="BL20" s="78" t="s">
        <v>152</v>
      </c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>
        <v>1</v>
      </c>
      <c r="CV20" s="86">
        <v>2</v>
      </c>
      <c r="CW20" s="86">
        <v>3</v>
      </c>
      <c r="CX20" s="86">
        <v>4</v>
      </c>
      <c r="CY20" s="86"/>
      <c r="CZ20" s="86"/>
    </row>
    <row r="21" spans="1:104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98" t="s">
        <v>137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>
        <v>1</v>
      </c>
      <c r="AF21" s="104">
        <v>2</v>
      </c>
      <c r="AG21" s="104">
        <v>3</v>
      </c>
      <c r="AH21" s="104">
        <v>4</v>
      </c>
      <c r="AI21" s="104">
        <v>5</v>
      </c>
      <c r="AJ21" s="104">
        <v>6</v>
      </c>
      <c r="AK21" s="104">
        <v>7</v>
      </c>
      <c r="AL21" s="104">
        <v>8</v>
      </c>
      <c r="AM21" s="104">
        <v>9</v>
      </c>
      <c r="AN21" s="104">
        <v>10</v>
      </c>
      <c r="AO21" s="104">
        <v>11</v>
      </c>
      <c r="AP21" s="104">
        <v>12</v>
      </c>
      <c r="AQ21" s="104">
        <v>13</v>
      </c>
      <c r="AR21" s="104">
        <v>14</v>
      </c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7"/>
      <c r="BD21" s="109"/>
      <c r="BE21" s="109"/>
      <c r="BF21" s="109"/>
      <c r="BG21" s="109"/>
      <c r="BH21" s="109"/>
      <c r="BI21" s="109"/>
      <c r="BK21" s="81" t="s">
        <v>153</v>
      </c>
      <c r="BL21" s="81" t="s">
        <v>153</v>
      </c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>
        <v>1</v>
      </c>
      <c r="CM21" s="82">
        <v>2</v>
      </c>
      <c r="CN21" s="82">
        <v>3</v>
      </c>
      <c r="CO21" s="82">
        <v>4</v>
      </c>
      <c r="CP21" s="82">
        <v>5</v>
      </c>
      <c r="CQ21" s="82">
        <v>6</v>
      </c>
      <c r="CR21" s="82">
        <v>7</v>
      </c>
      <c r="CS21" s="82">
        <v>8</v>
      </c>
      <c r="CT21" s="82">
        <v>9</v>
      </c>
      <c r="CU21" s="82"/>
      <c r="CV21" s="82"/>
      <c r="CW21" s="82"/>
      <c r="CX21" s="82"/>
      <c r="CY21" s="82"/>
      <c r="CZ21" s="82"/>
    </row>
    <row r="22" spans="1:104" ht="21.75" customHeight="1" x14ac:dyDescent="0.6">
      <c r="A22" s="7"/>
      <c r="B22" s="58"/>
      <c r="C22" s="39"/>
      <c r="D22" s="7"/>
      <c r="E22" s="7"/>
      <c r="F22" s="7"/>
      <c r="G22" s="99" t="s">
        <v>139</v>
      </c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>
        <v>1</v>
      </c>
      <c r="X22" s="103">
        <v>2</v>
      </c>
      <c r="Y22" s="103">
        <v>3</v>
      </c>
      <c r="Z22" s="103">
        <v>4</v>
      </c>
      <c r="AA22" s="103">
        <v>5</v>
      </c>
      <c r="AB22" s="103">
        <v>6</v>
      </c>
      <c r="AC22" s="103">
        <v>7</v>
      </c>
      <c r="AD22" s="103">
        <v>8</v>
      </c>
      <c r="AE22" s="103">
        <v>9</v>
      </c>
      <c r="AF22" s="103">
        <v>10</v>
      </c>
      <c r="AG22" s="103">
        <v>11</v>
      </c>
      <c r="AH22" s="103">
        <v>12</v>
      </c>
      <c r="AI22" s="103">
        <v>13</v>
      </c>
      <c r="AJ22" s="103">
        <v>14</v>
      </c>
      <c r="AK22" s="103">
        <v>15</v>
      </c>
      <c r="AL22" s="103">
        <v>16</v>
      </c>
      <c r="AM22" s="103">
        <v>17</v>
      </c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6"/>
      <c r="BD22" s="109"/>
      <c r="BE22" s="109"/>
      <c r="BF22" s="109"/>
      <c r="BG22" s="109"/>
      <c r="BH22" s="109"/>
      <c r="BI22" s="109"/>
      <c r="BK22" s="78" t="s">
        <v>154</v>
      </c>
      <c r="BL22" s="81" t="s">
        <v>138</v>
      </c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2">
        <v>1</v>
      </c>
      <c r="CV22" s="82">
        <v>2</v>
      </c>
      <c r="CW22" s="82">
        <v>3</v>
      </c>
      <c r="CX22" s="82">
        <v>4</v>
      </c>
      <c r="CY22" s="82">
        <v>5</v>
      </c>
      <c r="CZ22" s="82">
        <v>6</v>
      </c>
    </row>
    <row r="23" spans="1:104" ht="21.75" customHeight="1" x14ac:dyDescent="0.6">
      <c r="A23" s="7"/>
      <c r="B23" s="49"/>
      <c r="C23" s="7"/>
      <c r="D23" s="7"/>
      <c r="E23" s="7"/>
      <c r="F23" s="7"/>
      <c r="G23" s="98" t="s">
        <v>140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>
        <v>1</v>
      </c>
      <c r="W23" s="104">
        <v>2</v>
      </c>
      <c r="X23" s="104">
        <v>3</v>
      </c>
      <c r="Y23" s="104">
        <v>4</v>
      </c>
      <c r="Z23" s="104">
        <v>5</v>
      </c>
      <c r="AA23" s="104">
        <v>6</v>
      </c>
      <c r="AB23" s="104">
        <v>7</v>
      </c>
      <c r="AC23" s="104">
        <v>8</v>
      </c>
      <c r="AD23" s="104">
        <v>9</v>
      </c>
      <c r="AE23" s="104">
        <v>10</v>
      </c>
      <c r="AF23" s="104">
        <v>11</v>
      </c>
      <c r="AG23" s="104">
        <v>12</v>
      </c>
      <c r="AH23" s="104">
        <v>13</v>
      </c>
      <c r="AI23" s="104">
        <v>14</v>
      </c>
      <c r="AJ23" s="104">
        <v>15</v>
      </c>
      <c r="AK23" s="104">
        <v>16</v>
      </c>
      <c r="AL23" s="104">
        <v>17</v>
      </c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7"/>
      <c r="BD23" s="109"/>
      <c r="BE23" s="109"/>
      <c r="BF23" s="109"/>
      <c r="BG23" s="109"/>
      <c r="BH23" s="109"/>
      <c r="BI23" s="109"/>
      <c r="BK23" s="83"/>
      <c r="BL23" s="83" t="s">
        <v>136</v>
      </c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>
        <v>1</v>
      </c>
      <c r="CM23" s="84">
        <v>2</v>
      </c>
      <c r="CN23" s="84">
        <v>3</v>
      </c>
      <c r="CO23" s="84">
        <v>4</v>
      </c>
      <c r="CP23" s="84">
        <v>5</v>
      </c>
      <c r="CQ23" s="84">
        <v>6</v>
      </c>
      <c r="CR23" s="84">
        <v>7</v>
      </c>
      <c r="CS23" s="84">
        <v>8</v>
      </c>
      <c r="CT23" s="84">
        <v>9</v>
      </c>
      <c r="CU23" s="84">
        <v>10</v>
      </c>
      <c r="CV23" s="84">
        <v>11</v>
      </c>
      <c r="CW23" s="84">
        <v>12</v>
      </c>
      <c r="CX23" s="84"/>
      <c r="CY23" s="84"/>
      <c r="CZ23" s="84"/>
    </row>
    <row r="24" spans="1:104" ht="23.25" customHeight="1" x14ac:dyDescent="0.6">
      <c r="A24" s="7"/>
      <c r="B24" s="49"/>
      <c r="C24" s="7"/>
      <c r="D24" s="7"/>
      <c r="E24" s="7"/>
      <c r="F24" s="7"/>
      <c r="G24" s="99" t="s">
        <v>143</v>
      </c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>
        <v>1</v>
      </c>
      <c r="Z24" s="103">
        <v>2</v>
      </c>
      <c r="AA24" s="103">
        <v>3</v>
      </c>
      <c r="AB24" s="103">
        <v>4</v>
      </c>
      <c r="AC24" s="103">
        <v>5</v>
      </c>
      <c r="AD24" s="103">
        <v>6</v>
      </c>
      <c r="AE24" s="103">
        <v>7</v>
      </c>
      <c r="AF24" s="103">
        <v>8</v>
      </c>
      <c r="AG24" s="103">
        <v>9</v>
      </c>
      <c r="AH24" s="103">
        <v>10</v>
      </c>
      <c r="AI24" s="103">
        <v>11</v>
      </c>
      <c r="AJ24" s="103">
        <v>12</v>
      </c>
      <c r="AK24" s="103">
        <v>13</v>
      </c>
      <c r="AL24" s="103">
        <v>14</v>
      </c>
      <c r="AM24" s="103">
        <v>15</v>
      </c>
      <c r="AN24" s="103">
        <v>16</v>
      </c>
      <c r="AO24" s="103">
        <v>17</v>
      </c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6"/>
      <c r="BD24" s="109"/>
      <c r="BE24" s="109"/>
      <c r="BF24" s="109"/>
      <c r="BG24" s="109"/>
      <c r="BH24" s="109"/>
      <c r="BI24" s="109"/>
    </row>
    <row r="25" spans="1:104" ht="23.25" customHeight="1" x14ac:dyDescent="0.6">
      <c r="A25" s="7"/>
      <c r="B25" s="49"/>
      <c r="C25" s="7"/>
      <c r="D25" s="7"/>
      <c r="E25" s="7"/>
      <c r="F25" s="7"/>
      <c r="G25" s="98" t="s">
        <v>147</v>
      </c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>
        <v>1</v>
      </c>
      <c r="Y25" s="104">
        <v>2</v>
      </c>
      <c r="Z25" s="104">
        <v>3</v>
      </c>
      <c r="AA25" s="104">
        <v>4</v>
      </c>
      <c r="AB25" s="104">
        <v>5</v>
      </c>
      <c r="AC25" s="104">
        <v>6</v>
      </c>
      <c r="AD25" s="104">
        <v>7</v>
      </c>
      <c r="AE25" s="104">
        <v>8</v>
      </c>
      <c r="AF25" s="104">
        <v>9</v>
      </c>
      <c r="AG25" s="104">
        <v>10</v>
      </c>
      <c r="AH25" s="104">
        <v>11</v>
      </c>
      <c r="AI25" s="104">
        <v>12</v>
      </c>
      <c r="AJ25" s="104">
        <v>13</v>
      </c>
      <c r="AK25" s="104">
        <v>14</v>
      </c>
      <c r="AL25" s="104">
        <v>15</v>
      </c>
      <c r="AM25" s="104">
        <v>16</v>
      </c>
      <c r="AN25" s="104">
        <v>17</v>
      </c>
      <c r="AO25" s="104">
        <v>18</v>
      </c>
      <c r="AP25" s="104">
        <v>19</v>
      </c>
      <c r="AQ25" s="104">
        <v>20</v>
      </c>
      <c r="AR25" s="104">
        <v>21</v>
      </c>
      <c r="AS25" s="104">
        <v>22</v>
      </c>
      <c r="AT25" s="104">
        <v>23</v>
      </c>
      <c r="AU25" s="104">
        <v>24</v>
      </c>
      <c r="AV25" s="104">
        <v>25</v>
      </c>
      <c r="AW25" s="104"/>
      <c r="AX25" s="104"/>
      <c r="AY25" s="104"/>
      <c r="AZ25" s="104"/>
      <c r="BA25" s="104"/>
      <c r="BB25" s="104"/>
      <c r="BC25" s="107"/>
      <c r="BD25" s="109"/>
      <c r="BE25" s="109"/>
      <c r="BF25" s="109"/>
      <c r="BG25" s="109"/>
      <c r="BH25" s="109"/>
      <c r="BI25" s="109"/>
    </row>
    <row r="26" spans="1:104" ht="23.25" customHeight="1" x14ac:dyDescent="0.6">
      <c r="A26" s="7"/>
      <c r="B26" s="49"/>
      <c r="C26" s="7"/>
      <c r="D26" s="7"/>
      <c r="E26" s="7"/>
      <c r="F26" s="7"/>
      <c r="G26" s="99" t="s">
        <v>148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>
        <v>1</v>
      </c>
      <c r="AA26" s="103">
        <v>2</v>
      </c>
      <c r="AB26" s="103">
        <v>3</v>
      </c>
      <c r="AC26" s="103">
        <v>4</v>
      </c>
      <c r="AD26" s="103">
        <v>5</v>
      </c>
      <c r="AE26" s="103">
        <v>6</v>
      </c>
      <c r="AF26" s="103">
        <v>7</v>
      </c>
      <c r="AG26" s="103">
        <v>8</v>
      </c>
      <c r="AH26" s="103">
        <v>9</v>
      </c>
      <c r="AI26" s="103">
        <v>10</v>
      </c>
      <c r="AJ26" s="103">
        <v>11</v>
      </c>
      <c r="AK26" s="103">
        <v>12</v>
      </c>
      <c r="AL26" s="103">
        <v>13</v>
      </c>
      <c r="AM26" s="103">
        <v>14</v>
      </c>
      <c r="AN26" s="103">
        <v>15</v>
      </c>
      <c r="AO26" s="103">
        <v>16</v>
      </c>
      <c r="AP26" s="103">
        <v>17</v>
      </c>
      <c r="AQ26" s="103">
        <v>18</v>
      </c>
      <c r="AR26" s="103">
        <v>19</v>
      </c>
      <c r="AS26" s="103">
        <v>20</v>
      </c>
      <c r="AT26" s="103">
        <v>21</v>
      </c>
      <c r="AU26" s="103">
        <v>22</v>
      </c>
      <c r="AV26" s="103">
        <v>23</v>
      </c>
      <c r="AW26" s="103">
        <v>24</v>
      </c>
      <c r="AX26" s="103">
        <v>25</v>
      </c>
      <c r="AY26" s="103">
        <v>26</v>
      </c>
      <c r="AZ26" s="103">
        <v>27</v>
      </c>
      <c r="BA26" s="103"/>
      <c r="BB26" s="103"/>
      <c r="BC26" s="106"/>
      <c r="BD26" s="109"/>
      <c r="BE26" s="109"/>
      <c r="BF26" s="109"/>
      <c r="BG26" s="109"/>
      <c r="BH26" s="109"/>
      <c r="BI26" s="109"/>
    </row>
    <row r="27" spans="1:104" ht="23.25" customHeight="1" x14ac:dyDescent="0.6">
      <c r="A27" s="7"/>
      <c r="B27" s="49"/>
      <c r="C27" s="7"/>
      <c r="D27" s="7"/>
      <c r="E27" s="7"/>
      <c r="F27" s="7"/>
      <c r="G27" s="98" t="s">
        <v>150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>
        <v>1</v>
      </c>
      <c r="AL27" s="104">
        <v>2</v>
      </c>
      <c r="AM27" s="104">
        <v>3</v>
      </c>
      <c r="AN27" s="104">
        <v>4</v>
      </c>
      <c r="AO27" s="104">
        <v>5</v>
      </c>
      <c r="AP27" s="104">
        <v>6</v>
      </c>
      <c r="AQ27" s="104">
        <v>7</v>
      </c>
      <c r="AR27" s="104">
        <v>8</v>
      </c>
      <c r="AS27" s="104">
        <v>9</v>
      </c>
      <c r="AT27" s="104">
        <v>10</v>
      </c>
      <c r="AU27" s="104"/>
      <c r="AV27" s="104"/>
      <c r="AW27" s="104"/>
      <c r="AX27" s="104"/>
      <c r="AY27" s="104"/>
      <c r="AZ27" s="104"/>
      <c r="BA27" s="104"/>
      <c r="BB27" s="104"/>
      <c r="BC27" s="107"/>
      <c r="BD27" s="109"/>
      <c r="BE27" s="109"/>
      <c r="BF27" s="109"/>
      <c r="BG27" s="109"/>
      <c r="BH27" s="109"/>
      <c r="BI27" s="109"/>
    </row>
    <row r="28" spans="1:104" ht="23.25" customHeight="1" x14ac:dyDescent="0.6">
      <c r="A28" s="7"/>
      <c r="B28" s="49"/>
      <c r="C28" s="7"/>
      <c r="D28" s="7"/>
      <c r="E28" s="7"/>
      <c r="F28" s="7"/>
      <c r="G28" s="99" t="s">
        <v>152</v>
      </c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6"/>
      <c r="BD28" s="109"/>
      <c r="BE28" s="109"/>
      <c r="BF28" s="109"/>
      <c r="BG28" s="109"/>
      <c r="BH28" s="109"/>
      <c r="BI28" s="109"/>
    </row>
    <row r="29" spans="1:104" ht="23.25" customHeight="1" x14ac:dyDescent="0.6">
      <c r="A29" s="7"/>
      <c r="B29" s="49"/>
      <c r="C29" s="7"/>
      <c r="D29" s="7"/>
      <c r="E29" s="7"/>
      <c r="F29" s="7"/>
      <c r="G29" s="98" t="s">
        <v>153</v>
      </c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>
        <v>1</v>
      </c>
      <c r="AL29" s="104">
        <v>2</v>
      </c>
      <c r="AM29" s="104">
        <v>3</v>
      </c>
      <c r="AN29" s="104">
        <v>4</v>
      </c>
      <c r="AO29" s="104">
        <v>5</v>
      </c>
      <c r="AP29" s="104">
        <v>6</v>
      </c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7"/>
      <c r="BD29" s="109"/>
      <c r="BE29" s="109"/>
      <c r="BF29" s="109"/>
      <c r="BG29" s="109"/>
      <c r="BH29" s="109"/>
      <c r="BI29" s="109"/>
    </row>
    <row r="30" spans="1:104" ht="23.25" customHeight="1" x14ac:dyDescent="0.6">
      <c r="A30" s="7"/>
      <c r="B30" s="49"/>
      <c r="C30" s="7"/>
      <c r="D30" s="7"/>
      <c r="E30" s="7"/>
      <c r="F30" s="7"/>
      <c r="G30" s="100" t="s">
        <v>154</v>
      </c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>
        <v>1</v>
      </c>
      <c r="AU30" s="103">
        <v>2</v>
      </c>
      <c r="AV30" s="103">
        <v>3</v>
      </c>
      <c r="AW30" s="103">
        <v>4</v>
      </c>
      <c r="AX30" s="103">
        <v>5</v>
      </c>
      <c r="AY30" s="103">
        <v>6</v>
      </c>
      <c r="AZ30" s="103">
        <v>7</v>
      </c>
      <c r="BA30" s="103">
        <v>8</v>
      </c>
      <c r="BB30" s="103"/>
      <c r="BC30" s="103"/>
      <c r="BD30" s="109"/>
      <c r="BE30" s="109"/>
      <c r="BF30" s="109"/>
      <c r="BG30" s="109"/>
      <c r="BH30" s="109"/>
      <c r="BI30" s="109"/>
      <c r="BJ30" s="95"/>
    </row>
    <row r="31" spans="1:104" ht="23.25" customHeight="1" x14ac:dyDescent="0.6">
      <c r="A31" s="7"/>
      <c r="B31" s="49"/>
      <c r="C31" s="7"/>
      <c r="D31" s="7"/>
      <c r="E31" s="7"/>
      <c r="F31" s="7"/>
      <c r="BJ31" s="95"/>
    </row>
    <row r="32" spans="1:104" ht="23.25" customHeight="1" x14ac:dyDescent="0.6">
      <c r="A32" s="7"/>
      <c r="B32" s="49"/>
      <c r="C32" s="7"/>
      <c r="D32" s="7"/>
      <c r="E32" s="7"/>
      <c r="F32" s="7"/>
      <c r="BJ32" s="95"/>
    </row>
    <row r="33" spans="1:62" ht="21.75" customHeight="1" x14ac:dyDescent="0.6">
      <c r="A33" s="7"/>
      <c r="B33" s="49"/>
      <c r="C33" s="7"/>
      <c r="D33" s="7"/>
      <c r="E33" s="7"/>
      <c r="F33" s="7"/>
      <c r="BJ33" s="95"/>
    </row>
    <row r="34" spans="1:62" ht="21.75" customHeight="1" x14ac:dyDescent="0.6">
      <c r="A34" s="7"/>
      <c r="B34" s="49"/>
      <c r="C34" s="7"/>
      <c r="D34" s="7"/>
      <c r="E34" s="7"/>
      <c r="F34" s="7"/>
      <c r="BJ34" s="95"/>
    </row>
    <row r="35" spans="1:62" ht="21.75" customHeight="1" x14ac:dyDescent="0.6">
      <c r="A35" s="7"/>
      <c r="B35" s="49"/>
      <c r="C35" s="7"/>
      <c r="D35" s="7"/>
      <c r="E35" s="7"/>
      <c r="F35" s="7"/>
      <c r="BJ35" s="95"/>
    </row>
    <row r="36" spans="1:62" ht="21.75" customHeight="1" x14ac:dyDescent="0.6">
      <c r="A36" s="7"/>
      <c r="B36" s="49"/>
      <c r="C36" s="7"/>
      <c r="D36" s="7"/>
      <c r="E36" s="7"/>
      <c r="F36" s="7"/>
      <c r="BJ36" s="95"/>
    </row>
    <row r="37" spans="1:62" ht="21.75" customHeight="1" x14ac:dyDescent="0.6">
      <c r="A37" s="7"/>
      <c r="B37" s="49"/>
      <c r="C37" s="7"/>
      <c r="D37" s="7"/>
      <c r="E37" s="7"/>
      <c r="F37" s="7"/>
      <c r="BJ37" s="95"/>
    </row>
    <row r="38" spans="1:62" ht="21.75" customHeight="1" x14ac:dyDescent="0.6">
      <c r="A38" s="7"/>
      <c r="B38" s="49"/>
      <c r="C38" s="7"/>
      <c r="D38" s="7"/>
      <c r="E38" s="7"/>
      <c r="F38" s="7"/>
      <c r="BJ38" s="95"/>
    </row>
    <row r="39" spans="1:62" ht="21.75" customHeight="1" x14ac:dyDescent="0.6">
      <c r="A39" s="7"/>
      <c r="B39" s="49"/>
      <c r="C39" s="7"/>
      <c r="D39" s="7"/>
      <c r="E39" s="7"/>
      <c r="F39" s="7"/>
    </row>
    <row r="40" spans="1:62" ht="21.75" customHeight="1" x14ac:dyDescent="0.6">
      <c r="A40" s="7"/>
      <c r="B40" s="49"/>
      <c r="C40" s="7"/>
      <c r="D40" s="7"/>
      <c r="E40" s="7"/>
      <c r="F40" s="7"/>
    </row>
    <row r="41" spans="1:62" ht="21.75" customHeight="1" x14ac:dyDescent="0.6">
      <c r="A41" s="7"/>
      <c r="B41" s="49"/>
      <c r="C41" s="7"/>
      <c r="D41" s="7"/>
      <c r="E41" s="7"/>
      <c r="F41" s="7"/>
    </row>
    <row r="42" spans="1:62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62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2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2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2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2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2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E4"/>
    <mergeCell ref="H5:BI5"/>
    <mergeCell ref="BK5:CZ5"/>
  </mergeCells>
  <phoneticPr fontId="19" type="noConversion"/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D363-D798-4227-BD87-F60748A6411C}">
  <dimension ref="A1:DI1000"/>
  <sheetViews>
    <sheetView showGridLines="0" topLeftCell="A4" zoomScale="70" zoomScaleNormal="70" workbookViewId="0">
      <selection activeCell="AW13" sqref="AW13:BR13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70" width="4.85546875" customWidth="1"/>
    <col min="72" max="72" width="72.5703125" customWidth="1"/>
    <col min="73" max="73" width="52" customWidth="1"/>
    <col min="74" max="74" width="5.140625" customWidth="1"/>
    <col min="75" max="82" width="5.28515625" customWidth="1"/>
    <col min="83" max="83" width="6.42578125" customWidth="1"/>
    <col min="84" max="84" width="6.140625" customWidth="1"/>
    <col min="85" max="92" width="6.42578125" customWidth="1"/>
    <col min="93" max="93" width="6.5703125" customWidth="1"/>
    <col min="94" max="94" width="6.42578125" customWidth="1"/>
    <col min="95" max="103" width="6.5703125" customWidth="1"/>
    <col min="104" max="104" width="6.42578125" customWidth="1"/>
    <col min="105" max="113" width="6.5703125" customWidth="1"/>
  </cols>
  <sheetData>
    <row r="1" spans="1:113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13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13" ht="12.75" customHeight="1" x14ac:dyDescent="0.6">
      <c r="A3" s="7"/>
      <c r="B3" s="181" t="s">
        <v>76</v>
      </c>
      <c r="C3" s="169"/>
      <c r="D3" s="169"/>
      <c r="E3" s="18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13" ht="12.75" customHeight="1" x14ac:dyDescent="0.6">
      <c r="A4" s="7"/>
      <c r="B4" s="183"/>
      <c r="C4" s="184"/>
      <c r="D4" s="184"/>
      <c r="E4" s="18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13" ht="21.75" customHeight="1" x14ac:dyDescent="0.6">
      <c r="A5" s="7"/>
      <c r="B5" s="58"/>
      <c r="C5" s="17"/>
      <c r="D5" s="17"/>
      <c r="E5" s="17"/>
      <c r="F5" s="7"/>
      <c r="G5" s="7"/>
      <c r="H5" s="187" t="s">
        <v>76</v>
      </c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8"/>
      <c r="BN5" s="188"/>
      <c r="BO5" s="188"/>
      <c r="BP5" s="188"/>
      <c r="BQ5" s="188"/>
      <c r="BR5" s="188"/>
      <c r="BT5" s="189" t="s">
        <v>77</v>
      </c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</row>
    <row r="6" spans="1:113" ht="21.75" customHeight="1" x14ac:dyDescent="0.6">
      <c r="A6" s="7"/>
      <c r="B6" s="32" t="s">
        <v>66</v>
      </c>
      <c r="C6" s="60" t="s">
        <v>78</v>
      </c>
      <c r="D6" s="29"/>
      <c r="F6" s="7"/>
      <c r="G6" s="77" t="s">
        <v>79</v>
      </c>
      <c r="H6" s="77" t="s">
        <v>80</v>
      </c>
      <c r="I6" s="77" t="s">
        <v>81</v>
      </c>
      <c r="J6" s="77" t="s">
        <v>82</v>
      </c>
      <c r="K6" s="77" t="s">
        <v>83</v>
      </c>
      <c r="L6" s="77" t="s">
        <v>84</v>
      </c>
      <c r="M6" s="77" t="s">
        <v>85</v>
      </c>
      <c r="N6" s="77" t="s">
        <v>86</v>
      </c>
      <c r="O6" s="77" t="s">
        <v>87</v>
      </c>
      <c r="P6" s="77" t="s">
        <v>88</v>
      </c>
      <c r="Q6" s="77" t="s">
        <v>89</v>
      </c>
      <c r="R6" s="77" t="s">
        <v>90</v>
      </c>
      <c r="S6" s="77" t="s">
        <v>91</v>
      </c>
      <c r="T6" s="77" t="s">
        <v>92</v>
      </c>
      <c r="U6" s="77" t="s">
        <v>93</v>
      </c>
      <c r="V6" s="77" t="s">
        <v>94</v>
      </c>
      <c r="W6" s="77" t="s">
        <v>95</v>
      </c>
      <c r="X6" s="77" t="s">
        <v>96</v>
      </c>
      <c r="Y6" s="77" t="s">
        <v>97</v>
      </c>
      <c r="Z6" s="77" t="s">
        <v>98</v>
      </c>
      <c r="AA6" s="77" t="s">
        <v>99</v>
      </c>
      <c r="AB6" s="77" t="s">
        <v>100</v>
      </c>
      <c r="AC6" s="77" t="s">
        <v>101</v>
      </c>
      <c r="AD6" s="77" t="s">
        <v>102</v>
      </c>
      <c r="AE6" s="77" t="s">
        <v>103</v>
      </c>
      <c r="AF6" s="78" t="s">
        <v>104</v>
      </c>
      <c r="AG6" s="78" t="s">
        <v>105</v>
      </c>
      <c r="AH6" s="78" t="s">
        <v>106</v>
      </c>
      <c r="AI6" s="78" t="s">
        <v>107</v>
      </c>
      <c r="AJ6" s="78" t="s">
        <v>108</v>
      </c>
      <c r="AK6" s="78" t="s">
        <v>109</v>
      </c>
      <c r="AL6" s="78" t="s">
        <v>110</v>
      </c>
      <c r="AM6" s="78" t="s">
        <v>111</v>
      </c>
      <c r="AN6" s="77" t="s">
        <v>112</v>
      </c>
      <c r="AO6" s="77" t="s">
        <v>113</v>
      </c>
      <c r="AP6" s="77" t="s">
        <v>114</v>
      </c>
      <c r="AQ6" s="77" t="s">
        <v>115</v>
      </c>
      <c r="AR6" s="77" t="s">
        <v>116</v>
      </c>
      <c r="AS6" s="77" t="s">
        <v>117</v>
      </c>
      <c r="AT6" s="77" t="s">
        <v>118</v>
      </c>
      <c r="AU6" s="77" t="s">
        <v>119</v>
      </c>
      <c r="AV6" s="77" t="s">
        <v>158</v>
      </c>
      <c r="AW6" s="77" t="s">
        <v>159</v>
      </c>
      <c r="AX6" s="77" t="s">
        <v>160</v>
      </c>
      <c r="AY6" s="77" t="s">
        <v>161</v>
      </c>
      <c r="AZ6" s="77" t="s">
        <v>162</v>
      </c>
      <c r="BA6" s="77" t="s">
        <v>163</v>
      </c>
      <c r="BB6" s="77" t="s">
        <v>164</v>
      </c>
      <c r="BC6" s="77" t="s">
        <v>165</v>
      </c>
      <c r="BD6" s="77" t="s">
        <v>166</v>
      </c>
      <c r="BE6" s="77" t="s">
        <v>167</v>
      </c>
      <c r="BF6" s="77" t="s">
        <v>168</v>
      </c>
      <c r="BG6" s="77" t="s">
        <v>169</v>
      </c>
      <c r="BH6" s="77" t="s">
        <v>170</v>
      </c>
      <c r="BI6" s="77" t="s">
        <v>171</v>
      </c>
      <c r="BJ6" s="77" t="s">
        <v>319</v>
      </c>
      <c r="BK6" s="77" t="s">
        <v>320</v>
      </c>
      <c r="BL6" s="77" t="s">
        <v>321</v>
      </c>
      <c r="BM6" s="77" t="s">
        <v>322</v>
      </c>
      <c r="BN6" s="77" t="s">
        <v>323</v>
      </c>
      <c r="BO6" s="77" t="s">
        <v>324</v>
      </c>
      <c r="BP6" s="77" t="s">
        <v>325</v>
      </c>
      <c r="BQ6" s="77" t="s">
        <v>326</v>
      </c>
      <c r="BR6" s="77" t="s">
        <v>327</v>
      </c>
      <c r="BT6" s="77" t="s">
        <v>120</v>
      </c>
      <c r="BU6" s="77" t="s">
        <v>121</v>
      </c>
      <c r="BV6" s="77" t="s">
        <v>80</v>
      </c>
      <c r="BW6" s="77" t="s">
        <v>81</v>
      </c>
      <c r="BX6" s="77" t="s">
        <v>82</v>
      </c>
      <c r="BY6" s="77" t="s">
        <v>83</v>
      </c>
      <c r="BZ6" s="77" t="s">
        <v>84</v>
      </c>
      <c r="CA6" s="77" t="s">
        <v>85</v>
      </c>
      <c r="CB6" s="77" t="s">
        <v>86</v>
      </c>
      <c r="CC6" s="77" t="s">
        <v>87</v>
      </c>
      <c r="CD6" s="77" t="s">
        <v>88</v>
      </c>
      <c r="CE6" s="77" t="s">
        <v>89</v>
      </c>
      <c r="CF6" s="77" t="s">
        <v>90</v>
      </c>
      <c r="CG6" s="77" t="s">
        <v>91</v>
      </c>
      <c r="CH6" s="77" t="s">
        <v>92</v>
      </c>
      <c r="CI6" s="77" t="s">
        <v>93</v>
      </c>
      <c r="CJ6" s="77" t="s">
        <v>94</v>
      </c>
      <c r="CK6" s="77" t="s">
        <v>95</v>
      </c>
      <c r="CL6" s="77" t="s">
        <v>96</v>
      </c>
      <c r="CM6" s="77" t="s">
        <v>97</v>
      </c>
      <c r="CN6" s="77" t="s">
        <v>98</v>
      </c>
      <c r="CO6" s="77" t="s">
        <v>99</v>
      </c>
      <c r="CP6" s="77" t="s">
        <v>100</v>
      </c>
      <c r="CQ6" s="77" t="s">
        <v>101</v>
      </c>
      <c r="CR6" s="77" t="s">
        <v>102</v>
      </c>
      <c r="CS6" s="77" t="s">
        <v>103</v>
      </c>
      <c r="CT6" s="79" t="s">
        <v>104</v>
      </c>
      <c r="CU6" s="79" t="s">
        <v>105</v>
      </c>
      <c r="CV6" s="79" t="s">
        <v>106</v>
      </c>
      <c r="CW6" s="79" t="s">
        <v>107</v>
      </c>
      <c r="CX6" s="79" t="s">
        <v>108</v>
      </c>
      <c r="CY6" s="79" t="s">
        <v>109</v>
      </c>
      <c r="CZ6" s="79" t="s">
        <v>110</v>
      </c>
      <c r="DA6" s="79" t="s">
        <v>111</v>
      </c>
      <c r="DB6" s="77" t="s">
        <v>112</v>
      </c>
      <c r="DC6" s="77" t="s">
        <v>113</v>
      </c>
      <c r="DD6" s="77" t="s">
        <v>114</v>
      </c>
      <c r="DE6" s="77" t="s">
        <v>115</v>
      </c>
      <c r="DF6" s="77" t="s">
        <v>116</v>
      </c>
      <c r="DG6" s="77" t="s">
        <v>117</v>
      </c>
      <c r="DH6" s="77" t="s">
        <v>118</v>
      </c>
      <c r="DI6" s="77" t="s">
        <v>119</v>
      </c>
    </row>
    <row r="7" spans="1:113" ht="21.75" customHeight="1" x14ac:dyDescent="0.6">
      <c r="A7" s="7"/>
      <c r="B7" s="72" t="s">
        <v>122</v>
      </c>
      <c r="C7" s="80">
        <v>1</v>
      </c>
      <c r="D7" s="65" t="str">
        <f>"+/- 1 mês"</f>
        <v>+/- 1 mês</v>
      </c>
      <c r="F7" s="7"/>
      <c r="G7" s="81" t="s">
        <v>122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T7" s="81" t="s">
        <v>123</v>
      </c>
      <c r="BU7" s="81" t="s">
        <v>122</v>
      </c>
      <c r="BV7" s="82">
        <v>1</v>
      </c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</row>
    <row r="8" spans="1:113" ht="21.75" customHeight="1" x14ac:dyDescent="0.6">
      <c r="A8" s="7"/>
      <c r="B8" s="72" t="s">
        <v>124</v>
      </c>
      <c r="C8" s="63">
        <f>'b. Fundação'!H29+'b. Fundação'!L37</f>
        <v>7.7999999999999989</v>
      </c>
      <c r="D8" s="65" t="s">
        <v>125</v>
      </c>
      <c r="F8" s="7"/>
      <c r="G8" s="83" t="s">
        <v>124</v>
      </c>
      <c r="H8" s="84"/>
      <c r="I8" s="84">
        <v>1</v>
      </c>
      <c r="J8" s="84">
        <v>2</v>
      </c>
      <c r="K8" s="84">
        <v>3</v>
      </c>
      <c r="L8" s="84">
        <v>4</v>
      </c>
      <c r="M8" s="84">
        <v>5</v>
      </c>
      <c r="N8" s="84">
        <v>6</v>
      </c>
      <c r="O8" s="84">
        <v>7</v>
      </c>
      <c r="P8" s="84">
        <v>8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T8" s="83" t="s">
        <v>126</v>
      </c>
      <c r="BU8" s="83" t="s">
        <v>124</v>
      </c>
      <c r="BV8" s="84"/>
      <c r="BW8" s="84">
        <v>1</v>
      </c>
      <c r="BX8" s="84">
        <v>2</v>
      </c>
      <c r="BY8" s="84">
        <v>3</v>
      </c>
      <c r="BZ8" s="84">
        <v>4</v>
      </c>
      <c r="CA8" s="84">
        <v>5</v>
      </c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</row>
    <row r="9" spans="1:113" ht="21.75" customHeight="1" x14ac:dyDescent="0.6">
      <c r="A9" s="7"/>
      <c r="B9" s="72" t="s">
        <v>127</v>
      </c>
      <c r="C9" s="63">
        <f>'c. Supraestrutura RESID'!I32</f>
        <v>18.09090909090909</v>
      </c>
      <c r="D9" s="65" t="s">
        <v>128</v>
      </c>
      <c r="F9" s="7"/>
      <c r="G9" s="81" t="s">
        <v>127</v>
      </c>
      <c r="H9" s="82"/>
      <c r="I9" s="82"/>
      <c r="J9" s="82"/>
      <c r="K9" s="82"/>
      <c r="L9" s="82"/>
      <c r="M9" s="82"/>
      <c r="N9" s="82"/>
      <c r="O9" s="82"/>
      <c r="P9" s="82"/>
      <c r="Q9" s="82">
        <v>1</v>
      </c>
      <c r="R9" s="82">
        <v>2</v>
      </c>
      <c r="S9" s="82">
        <v>3</v>
      </c>
      <c r="T9" s="82">
        <v>4</v>
      </c>
      <c r="U9" s="82">
        <v>5</v>
      </c>
      <c r="V9" s="82">
        <v>6</v>
      </c>
      <c r="W9" s="82">
        <v>7</v>
      </c>
      <c r="X9" s="82">
        <v>8</v>
      </c>
      <c r="Y9" s="82">
        <v>9</v>
      </c>
      <c r="Z9" s="82">
        <v>10</v>
      </c>
      <c r="AA9" s="82">
        <v>11</v>
      </c>
      <c r="AB9" s="82">
        <v>12</v>
      </c>
      <c r="AC9" s="82">
        <v>13</v>
      </c>
      <c r="AD9" s="82">
        <v>14</v>
      </c>
      <c r="AE9" s="82">
        <v>15</v>
      </c>
      <c r="AF9" s="82">
        <v>16</v>
      </c>
      <c r="AG9" s="82">
        <v>17</v>
      </c>
      <c r="AH9" s="82">
        <v>18</v>
      </c>
      <c r="AI9" s="82">
        <v>19</v>
      </c>
      <c r="AJ9" s="82">
        <v>20</v>
      </c>
      <c r="AK9" s="82">
        <v>21</v>
      </c>
      <c r="AL9" s="82">
        <v>22</v>
      </c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T9" s="81" t="s">
        <v>129</v>
      </c>
      <c r="BU9" s="81" t="s">
        <v>127</v>
      </c>
      <c r="BV9" s="82"/>
      <c r="BW9" s="82"/>
      <c r="BX9" s="82"/>
      <c r="BY9" s="82"/>
      <c r="BZ9" s="82"/>
      <c r="CA9" s="82"/>
      <c r="CB9" s="82">
        <v>1</v>
      </c>
      <c r="CC9" s="82">
        <v>2</v>
      </c>
      <c r="CD9" s="82">
        <v>3</v>
      </c>
      <c r="CE9" s="82">
        <v>4</v>
      </c>
      <c r="CF9" s="82">
        <v>5</v>
      </c>
      <c r="CG9" s="82">
        <v>6</v>
      </c>
      <c r="CH9" s="82">
        <v>7</v>
      </c>
      <c r="CI9" s="82">
        <v>8</v>
      </c>
      <c r="CJ9" s="82">
        <v>9</v>
      </c>
      <c r="CK9" s="82">
        <v>10</v>
      </c>
      <c r="CL9" s="82">
        <v>11</v>
      </c>
      <c r="CM9" s="82">
        <v>12</v>
      </c>
      <c r="CN9" s="82">
        <v>13</v>
      </c>
      <c r="CO9" s="82">
        <v>14</v>
      </c>
      <c r="CP9" s="82">
        <v>15</v>
      </c>
      <c r="CQ9" s="82">
        <v>16</v>
      </c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</row>
    <row r="10" spans="1:113" ht="21.75" customHeight="1" x14ac:dyDescent="0.6">
      <c r="A10" s="7"/>
      <c r="B10" s="72" t="s">
        <v>130</v>
      </c>
      <c r="C10" s="85">
        <v>3</v>
      </c>
      <c r="D10" s="65" t="str">
        <f>"+/-3 meses após o término da Supraestrutura"</f>
        <v>+/-3 meses após o término da Supraestrutura</v>
      </c>
      <c r="F10" s="7"/>
      <c r="G10" s="83" t="s">
        <v>131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>
        <v>1</v>
      </c>
      <c r="U10" s="84">
        <v>2</v>
      </c>
      <c r="V10" s="84">
        <v>3</v>
      </c>
      <c r="W10" s="84">
        <v>4</v>
      </c>
      <c r="X10" s="84">
        <v>5</v>
      </c>
      <c r="Y10" s="84">
        <v>6</v>
      </c>
      <c r="Z10" s="84">
        <v>7</v>
      </c>
      <c r="AA10" s="84">
        <v>8</v>
      </c>
      <c r="AB10" s="84">
        <v>9</v>
      </c>
      <c r="AC10" s="84">
        <v>10</v>
      </c>
      <c r="AD10" s="84">
        <v>11</v>
      </c>
      <c r="AE10" s="84">
        <v>12</v>
      </c>
      <c r="AF10" s="84">
        <v>13</v>
      </c>
      <c r="AG10" s="84">
        <v>14</v>
      </c>
      <c r="AH10" s="84">
        <v>15</v>
      </c>
      <c r="AI10" s="84">
        <v>16</v>
      </c>
      <c r="AJ10" s="84">
        <v>17</v>
      </c>
      <c r="AK10" s="84">
        <v>18</v>
      </c>
      <c r="AL10" s="84">
        <v>19</v>
      </c>
      <c r="AM10" s="84">
        <v>20</v>
      </c>
      <c r="AN10" s="84">
        <v>21</v>
      </c>
      <c r="AO10" s="84">
        <v>22</v>
      </c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T10" s="83" t="s">
        <v>132</v>
      </c>
      <c r="BU10" s="83" t="s">
        <v>131</v>
      </c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>
        <v>1</v>
      </c>
      <c r="CG10" s="84">
        <v>2</v>
      </c>
      <c r="CH10" s="84">
        <v>3</v>
      </c>
      <c r="CI10" s="84">
        <v>4</v>
      </c>
      <c r="CJ10" s="84">
        <v>5</v>
      </c>
      <c r="CK10" s="84">
        <v>6</v>
      </c>
      <c r="CL10" s="84">
        <v>7</v>
      </c>
      <c r="CM10" s="84">
        <v>8</v>
      </c>
      <c r="CN10" s="84">
        <v>9</v>
      </c>
      <c r="CO10" s="84">
        <v>10</v>
      </c>
      <c r="CP10" s="84">
        <v>11</v>
      </c>
      <c r="CQ10" s="84">
        <v>12</v>
      </c>
      <c r="CR10" s="84">
        <v>13</v>
      </c>
      <c r="CS10" s="84">
        <v>14</v>
      </c>
      <c r="CT10" s="84">
        <v>15</v>
      </c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</row>
    <row r="11" spans="1:113" ht="21.75" customHeight="1" x14ac:dyDescent="0.6">
      <c r="A11" s="7"/>
      <c r="B11" s="72" t="s">
        <v>133</v>
      </c>
      <c r="C11" s="63">
        <f>'d. Fachada'!G27</f>
        <v>11.181818181818182</v>
      </c>
      <c r="D11" s="65" t="s">
        <v>134</v>
      </c>
      <c r="F11" s="7"/>
      <c r="G11" s="81" t="s">
        <v>133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>
        <v>1</v>
      </c>
      <c r="AQ11" s="82">
        <v>2</v>
      </c>
      <c r="AR11" s="82">
        <v>3</v>
      </c>
      <c r="AS11" s="82">
        <v>4</v>
      </c>
      <c r="AT11" s="82">
        <v>5</v>
      </c>
      <c r="AU11" s="82">
        <v>6</v>
      </c>
      <c r="AV11" s="82">
        <v>7</v>
      </c>
      <c r="AW11" s="82">
        <v>8</v>
      </c>
      <c r="AX11" s="82">
        <v>9</v>
      </c>
      <c r="AY11" s="82">
        <v>10</v>
      </c>
      <c r="AZ11" s="82">
        <v>11</v>
      </c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T11" s="78" t="s">
        <v>135</v>
      </c>
      <c r="BU11" s="78" t="s">
        <v>135</v>
      </c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>
        <v>1</v>
      </c>
      <c r="CH11" s="86">
        <v>2</v>
      </c>
      <c r="CI11" s="86">
        <v>3</v>
      </c>
      <c r="CJ11" s="86">
        <v>4</v>
      </c>
      <c r="CK11" s="86">
        <v>5</v>
      </c>
      <c r="CL11" s="86">
        <v>6</v>
      </c>
      <c r="CM11" s="86">
        <v>7</v>
      </c>
      <c r="CN11" s="86">
        <v>8</v>
      </c>
      <c r="CO11" s="86">
        <v>9</v>
      </c>
      <c r="CP11" s="86">
        <v>10</v>
      </c>
      <c r="CQ11" s="86">
        <v>11</v>
      </c>
      <c r="CR11" s="86">
        <v>12</v>
      </c>
      <c r="CS11" s="86">
        <v>13</v>
      </c>
      <c r="CT11" s="86">
        <v>14</v>
      </c>
      <c r="CU11" s="86">
        <v>15</v>
      </c>
      <c r="CV11" s="86">
        <v>16</v>
      </c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</row>
    <row r="12" spans="1:113" ht="21.75" customHeight="1" x14ac:dyDescent="0.6">
      <c r="A12" s="7"/>
      <c r="B12" s="72" t="s">
        <v>136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136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>
        <v>1</v>
      </c>
      <c r="BB12" s="84">
        <v>2</v>
      </c>
      <c r="BC12" s="84">
        <v>3</v>
      </c>
      <c r="BD12" s="84">
        <v>4</v>
      </c>
      <c r="BE12" s="84">
        <v>5</v>
      </c>
      <c r="BF12" s="84">
        <v>6</v>
      </c>
      <c r="BG12" s="84">
        <v>7</v>
      </c>
      <c r="BH12" s="84">
        <v>8</v>
      </c>
      <c r="BI12" s="84">
        <v>9</v>
      </c>
      <c r="BJ12" s="84">
        <v>10</v>
      </c>
      <c r="BK12" s="84">
        <v>11</v>
      </c>
      <c r="BL12" s="84">
        <v>12</v>
      </c>
      <c r="BM12" s="84"/>
      <c r="BN12" s="84"/>
      <c r="BO12" s="84"/>
      <c r="BP12" s="84"/>
      <c r="BQ12" s="84"/>
      <c r="BR12" s="84"/>
      <c r="BT12" s="78" t="s">
        <v>137</v>
      </c>
      <c r="BU12" s="78" t="s">
        <v>137</v>
      </c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>
        <v>1</v>
      </c>
      <c r="CV12" s="86">
        <v>2</v>
      </c>
      <c r="CW12" s="86">
        <v>3</v>
      </c>
      <c r="CX12" s="86">
        <v>4</v>
      </c>
      <c r="CY12" s="86">
        <v>5</v>
      </c>
      <c r="CZ12" s="86">
        <v>6</v>
      </c>
      <c r="DA12" s="86"/>
      <c r="DB12" s="86"/>
      <c r="DC12" s="86"/>
      <c r="DD12" s="86"/>
      <c r="DE12" s="86"/>
      <c r="DF12" s="86"/>
      <c r="DG12" s="86"/>
      <c r="DH12" s="86"/>
      <c r="DI12" s="86"/>
    </row>
    <row r="13" spans="1:113" ht="21.75" customHeight="1" x14ac:dyDescent="0.6">
      <c r="A13" s="7"/>
      <c r="B13" s="72" t="s">
        <v>138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138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110"/>
      <c r="BF13" s="82"/>
      <c r="BG13" s="82"/>
      <c r="BH13" s="82"/>
      <c r="BI13" s="82"/>
      <c r="BJ13" s="82"/>
      <c r="BK13" s="82"/>
      <c r="BL13" s="82"/>
      <c r="BM13" s="82">
        <v>1</v>
      </c>
      <c r="BN13" s="82">
        <v>2</v>
      </c>
      <c r="BO13" s="82">
        <v>3</v>
      </c>
      <c r="BP13" s="82">
        <v>4</v>
      </c>
      <c r="BQ13" s="82">
        <v>5</v>
      </c>
      <c r="BR13" s="82">
        <v>6</v>
      </c>
      <c r="BT13" s="78" t="s">
        <v>139</v>
      </c>
      <c r="BU13" s="78" t="s">
        <v>139</v>
      </c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>
        <v>1</v>
      </c>
      <c r="CK13" s="86">
        <v>2</v>
      </c>
      <c r="CL13" s="86">
        <v>3</v>
      </c>
      <c r="CM13" s="86">
        <v>4</v>
      </c>
      <c r="CN13" s="86">
        <v>5</v>
      </c>
      <c r="CO13" s="86">
        <v>6</v>
      </c>
      <c r="CP13" s="86">
        <v>7</v>
      </c>
      <c r="CQ13" s="86">
        <v>8</v>
      </c>
      <c r="CR13" s="86">
        <v>9</v>
      </c>
      <c r="CS13" s="86">
        <v>10</v>
      </c>
      <c r="CT13" s="86">
        <v>11</v>
      </c>
      <c r="CU13" s="86">
        <v>12</v>
      </c>
      <c r="CV13" s="86">
        <v>13</v>
      </c>
      <c r="CW13" s="86">
        <v>14</v>
      </c>
      <c r="CX13" s="86">
        <v>15</v>
      </c>
      <c r="CY13" s="86">
        <v>16</v>
      </c>
      <c r="CZ13" s="86"/>
      <c r="DA13" s="86"/>
      <c r="DB13" s="86"/>
      <c r="DC13" s="86"/>
      <c r="DD13" s="86"/>
      <c r="DE13" s="86"/>
      <c r="DF13" s="86"/>
      <c r="DG13" s="86"/>
      <c r="DH13" s="86"/>
      <c r="DI13" s="86"/>
    </row>
    <row r="14" spans="1:113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T14" s="78" t="s">
        <v>140</v>
      </c>
      <c r="BU14" s="78" t="s">
        <v>140</v>
      </c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>
        <v>1</v>
      </c>
      <c r="CI14" s="86">
        <v>2</v>
      </c>
      <c r="CJ14" s="86">
        <v>3</v>
      </c>
      <c r="CK14" s="86">
        <v>4</v>
      </c>
      <c r="CL14" s="86">
        <v>5</v>
      </c>
      <c r="CM14" s="86">
        <v>6</v>
      </c>
      <c r="CN14" s="86">
        <v>7</v>
      </c>
      <c r="CO14" s="86">
        <v>8</v>
      </c>
      <c r="CP14" s="86">
        <v>9</v>
      </c>
      <c r="CQ14" s="86">
        <v>10</v>
      </c>
      <c r="CR14" s="86">
        <v>11</v>
      </c>
      <c r="CS14" s="86">
        <v>12</v>
      </c>
      <c r="CT14" s="86">
        <v>13</v>
      </c>
      <c r="CU14" s="86">
        <v>14</v>
      </c>
      <c r="CV14" s="86">
        <v>15</v>
      </c>
      <c r="CW14" s="86">
        <v>16</v>
      </c>
      <c r="CX14" s="86">
        <v>17</v>
      </c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</row>
    <row r="15" spans="1:113" ht="21.75" customHeight="1" x14ac:dyDescent="0.6">
      <c r="A15" s="7"/>
      <c r="B15" s="89" t="s">
        <v>141</v>
      </c>
      <c r="C15" s="90">
        <f>C9+1</f>
        <v>19.09090909090909</v>
      </c>
      <c r="D15" s="91" t="s">
        <v>142</v>
      </c>
      <c r="E15" s="7"/>
      <c r="F15" s="7"/>
      <c r="G15" s="77" t="s">
        <v>79</v>
      </c>
      <c r="H15" s="101" t="s">
        <v>80</v>
      </c>
      <c r="I15" s="101" t="s">
        <v>81</v>
      </c>
      <c r="J15" s="101" t="s">
        <v>82</v>
      </c>
      <c r="K15" s="101" t="s">
        <v>83</v>
      </c>
      <c r="L15" s="101" t="s">
        <v>84</v>
      </c>
      <c r="M15" s="101" t="s">
        <v>85</v>
      </c>
      <c r="N15" s="101" t="s">
        <v>86</v>
      </c>
      <c r="O15" s="101" t="s">
        <v>87</v>
      </c>
      <c r="P15" s="101" t="s">
        <v>88</v>
      </c>
      <c r="Q15" s="101" t="s">
        <v>89</v>
      </c>
      <c r="R15" s="101" t="s">
        <v>90</v>
      </c>
      <c r="S15" s="101" t="s">
        <v>91</v>
      </c>
      <c r="T15" s="101" t="s">
        <v>92</v>
      </c>
      <c r="U15" s="101" t="s">
        <v>93</v>
      </c>
      <c r="V15" s="101" t="s">
        <v>94</v>
      </c>
      <c r="W15" s="101" t="s">
        <v>95</v>
      </c>
      <c r="X15" s="101" t="s">
        <v>96</v>
      </c>
      <c r="Y15" s="101" t="s">
        <v>97</v>
      </c>
      <c r="Z15" s="101" t="s">
        <v>98</v>
      </c>
      <c r="AA15" s="101" t="s">
        <v>99</v>
      </c>
      <c r="AB15" s="101" t="s">
        <v>100</v>
      </c>
      <c r="AC15" s="101" t="s">
        <v>101</v>
      </c>
      <c r="AD15" s="101" t="s">
        <v>102</v>
      </c>
      <c r="AE15" s="101" t="s">
        <v>103</v>
      </c>
      <c r="AF15" s="102" t="s">
        <v>104</v>
      </c>
      <c r="AG15" s="102" t="s">
        <v>105</v>
      </c>
      <c r="AH15" s="102" t="s">
        <v>106</v>
      </c>
      <c r="AI15" s="102" t="s">
        <v>107</v>
      </c>
      <c r="AJ15" s="102" t="s">
        <v>108</v>
      </c>
      <c r="AK15" s="102" t="s">
        <v>109</v>
      </c>
      <c r="AL15" s="102" t="s">
        <v>110</v>
      </c>
      <c r="AM15" s="102" t="s">
        <v>111</v>
      </c>
      <c r="AN15" s="101" t="s">
        <v>112</v>
      </c>
      <c r="AO15" s="101" t="s">
        <v>113</v>
      </c>
      <c r="AP15" s="101" t="s">
        <v>114</v>
      </c>
      <c r="AQ15" s="101" t="s">
        <v>115</v>
      </c>
      <c r="AR15" s="101" t="s">
        <v>116</v>
      </c>
      <c r="AS15" s="101" t="s">
        <v>117</v>
      </c>
      <c r="AT15" s="101" t="s">
        <v>118</v>
      </c>
      <c r="AU15" s="101" t="s">
        <v>119</v>
      </c>
      <c r="AV15" s="101" t="s">
        <v>158</v>
      </c>
      <c r="AW15" s="101" t="s">
        <v>159</v>
      </c>
      <c r="AX15" s="101" t="s">
        <v>160</v>
      </c>
      <c r="AY15" s="101" t="s">
        <v>161</v>
      </c>
      <c r="AZ15" s="101" t="s">
        <v>162</v>
      </c>
      <c r="BA15" s="101" t="s">
        <v>163</v>
      </c>
      <c r="BB15" s="101" t="s">
        <v>164</v>
      </c>
      <c r="BC15" s="105" t="s">
        <v>165</v>
      </c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T15" s="78" t="s">
        <v>143</v>
      </c>
      <c r="BU15" s="78" t="s">
        <v>143</v>
      </c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>
        <v>1</v>
      </c>
      <c r="CM15" s="86">
        <v>2</v>
      </c>
      <c r="CN15" s="86">
        <v>3</v>
      </c>
      <c r="CO15" s="86">
        <v>4</v>
      </c>
      <c r="CP15" s="86">
        <v>5</v>
      </c>
      <c r="CQ15" s="86">
        <v>6</v>
      </c>
      <c r="CR15" s="86">
        <v>7</v>
      </c>
      <c r="CS15" s="86">
        <v>8</v>
      </c>
      <c r="CT15" s="86">
        <v>9</v>
      </c>
      <c r="CU15" s="86">
        <v>10</v>
      </c>
      <c r="CV15" s="86">
        <v>11</v>
      </c>
      <c r="CW15" s="86">
        <v>12</v>
      </c>
      <c r="CX15" s="86">
        <v>13</v>
      </c>
      <c r="CY15" s="86">
        <v>14</v>
      </c>
      <c r="CZ15" s="86">
        <v>15</v>
      </c>
      <c r="DA15" s="86">
        <v>16</v>
      </c>
      <c r="DB15" s="86"/>
      <c r="DC15" s="86"/>
      <c r="DD15" s="86"/>
      <c r="DE15" s="86"/>
      <c r="DF15" s="86"/>
      <c r="DG15" s="86"/>
      <c r="DH15" s="86"/>
      <c r="DI15" s="86"/>
    </row>
    <row r="16" spans="1:113" ht="23.25" customHeight="1" x14ac:dyDescent="0.6">
      <c r="A16" s="7"/>
      <c r="B16" s="89" t="s">
        <v>75</v>
      </c>
      <c r="C16" s="90">
        <f>C11+1</f>
        <v>12.181818181818182</v>
      </c>
      <c r="D16" s="91" t="s">
        <v>144</v>
      </c>
      <c r="E16" s="7"/>
      <c r="F16" s="7"/>
      <c r="G16" s="97" t="s">
        <v>123</v>
      </c>
      <c r="H16" s="103">
        <v>1</v>
      </c>
      <c r="I16" s="103">
        <v>2</v>
      </c>
      <c r="J16" s="103">
        <v>3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6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T16" s="83"/>
      <c r="BU16" s="83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</row>
    <row r="17" spans="1:113" ht="56.25" x14ac:dyDescent="0.6">
      <c r="A17" s="7"/>
      <c r="B17" s="89" t="s">
        <v>145</v>
      </c>
      <c r="C17" s="90">
        <f>C9-(('c. Supraestrutura RESID'!G13+'c. Supraestrutura RESID'!G12+'c. Supraestrutura RESID'!G11)/22)+C10+B21</f>
        <v>24.363636363636363</v>
      </c>
      <c r="D17" s="91" t="s">
        <v>146</v>
      </c>
      <c r="E17" s="7"/>
      <c r="F17" s="7"/>
      <c r="G17" s="98" t="s">
        <v>126</v>
      </c>
      <c r="H17" s="104">
        <v>1</v>
      </c>
      <c r="I17" s="104">
        <v>2</v>
      </c>
      <c r="J17" s="104">
        <v>3</v>
      </c>
      <c r="K17" s="104">
        <v>4</v>
      </c>
      <c r="L17" s="104">
        <v>5</v>
      </c>
      <c r="M17" s="104">
        <v>6</v>
      </c>
      <c r="N17" s="104">
        <v>7</v>
      </c>
      <c r="O17" s="104">
        <v>8</v>
      </c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7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T17" s="83" t="s">
        <v>147</v>
      </c>
      <c r="BU17" s="83" t="s">
        <v>147</v>
      </c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>
        <v>1</v>
      </c>
      <c r="CL17" s="84">
        <v>2</v>
      </c>
      <c r="CM17" s="84">
        <v>3</v>
      </c>
      <c r="CN17" s="84">
        <v>4</v>
      </c>
      <c r="CO17" s="84">
        <v>5</v>
      </c>
      <c r="CP17" s="84">
        <v>6</v>
      </c>
      <c r="CQ17" s="84">
        <v>7</v>
      </c>
      <c r="CR17" s="84">
        <v>8</v>
      </c>
      <c r="CS17" s="84">
        <v>9</v>
      </c>
      <c r="CT17" s="84">
        <v>10</v>
      </c>
      <c r="CU17" s="84">
        <v>11</v>
      </c>
      <c r="CV17" s="84">
        <v>12</v>
      </c>
      <c r="CW17" s="84">
        <v>13</v>
      </c>
      <c r="CX17" s="84">
        <v>14</v>
      </c>
      <c r="CY17" s="84">
        <v>15</v>
      </c>
      <c r="CZ17" s="84">
        <v>16</v>
      </c>
      <c r="DA17" s="84">
        <v>17</v>
      </c>
      <c r="DB17" s="84">
        <v>18</v>
      </c>
      <c r="DC17" s="84"/>
      <c r="DD17" s="84"/>
      <c r="DE17" s="84"/>
      <c r="DF17" s="84"/>
      <c r="DG17" s="84"/>
      <c r="DH17" s="84"/>
      <c r="DI17" s="84"/>
    </row>
    <row r="18" spans="1:113" ht="21.75" customHeight="1" x14ac:dyDescent="0.6">
      <c r="A18" s="7"/>
      <c r="B18" s="41"/>
      <c r="C18" s="7"/>
      <c r="D18" s="7"/>
      <c r="E18" s="7"/>
      <c r="F18" s="7"/>
      <c r="G18" s="99" t="s">
        <v>129</v>
      </c>
      <c r="H18" s="103"/>
      <c r="I18" s="103"/>
      <c r="J18" s="103"/>
      <c r="K18" s="103"/>
      <c r="L18" s="103"/>
      <c r="M18" s="103"/>
      <c r="N18" s="103"/>
      <c r="O18" s="103"/>
      <c r="P18" s="103">
        <v>1</v>
      </c>
      <c r="Q18" s="103">
        <v>2</v>
      </c>
      <c r="R18" s="103">
        <v>3</v>
      </c>
      <c r="S18" s="103">
        <v>4</v>
      </c>
      <c r="T18" s="103">
        <v>5</v>
      </c>
      <c r="U18" s="103">
        <v>6</v>
      </c>
      <c r="V18" s="103">
        <v>7</v>
      </c>
      <c r="W18" s="103">
        <v>8</v>
      </c>
      <c r="X18" s="103">
        <v>9</v>
      </c>
      <c r="Y18" s="103">
        <v>10</v>
      </c>
      <c r="Z18" s="103">
        <v>11</v>
      </c>
      <c r="AA18" s="103">
        <v>12</v>
      </c>
      <c r="AB18" s="103">
        <v>13</v>
      </c>
      <c r="AC18" s="103">
        <v>14</v>
      </c>
      <c r="AD18" s="103">
        <v>15</v>
      </c>
      <c r="AE18" s="103">
        <v>16</v>
      </c>
      <c r="AF18" s="103">
        <v>17</v>
      </c>
      <c r="AG18" s="103">
        <v>18</v>
      </c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6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T18" s="83" t="s">
        <v>148</v>
      </c>
      <c r="BU18" s="83" t="s">
        <v>148</v>
      </c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>
        <v>1</v>
      </c>
      <c r="CN18" s="84">
        <v>2</v>
      </c>
      <c r="CO18" s="84">
        <v>3</v>
      </c>
      <c r="CP18" s="84">
        <v>4</v>
      </c>
      <c r="CQ18" s="84">
        <v>5</v>
      </c>
      <c r="CR18" s="84">
        <v>6</v>
      </c>
      <c r="CS18" s="84">
        <v>7</v>
      </c>
      <c r="CT18" s="84">
        <v>8</v>
      </c>
      <c r="CU18" s="84">
        <v>9</v>
      </c>
      <c r="CV18" s="84">
        <v>10</v>
      </c>
      <c r="CW18" s="84">
        <v>11</v>
      </c>
      <c r="CX18" s="84">
        <v>12</v>
      </c>
      <c r="CY18" s="84">
        <v>13</v>
      </c>
      <c r="CZ18" s="84">
        <v>14</v>
      </c>
      <c r="DA18" s="84">
        <v>15</v>
      </c>
      <c r="DB18" s="84">
        <v>16</v>
      </c>
      <c r="DC18" s="84">
        <v>17</v>
      </c>
      <c r="DD18" s="84">
        <v>18</v>
      </c>
      <c r="DE18" s="84">
        <v>19</v>
      </c>
      <c r="DF18" s="84">
        <v>20</v>
      </c>
      <c r="DG18" s="84"/>
      <c r="DH18" s="84"/>
      <c r="DI18" s="84"/>
    </row>
    <row r="19" spans="1:113" ht="21.75" customHeight="1" x14ac:dyDescent="0.6">
      <c r="A19" s="7"/>
      <c r="B19" s="92" t="s">
        <v>149</v>
      </c>
      <c r="C19" s="93">
        <f>15+15+15</f>
        <v>45</v>
      </c>
      <c r="D19" s="7"/>
      <c r="E19" s="7"/>
      <c r="F19" s="7"/>
      <c r="G19" s="98" t="s">
        <v>132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>
        <v>1</v>
      </c>
      <c r="T19" s="104">
        <v>2</v>
      </c>
      <c r="U19" s="104">
        <v>3</v>
      </c>
      <c r="V19" s="104">
        <v>4</v>
      </c>
      <c r="W19" s="104">
        <v>5</v>
      </c>
      <c r="X19" s="104">
        <v>6</v>
      </c>
      <c r="Y19" s="104">
        <v>7</v>
      </c>
      <c r="Z19" s="104">
        <v>8</v>
      </c>
      <c r="AA19" s="104">
        <v>9</v>
      </c>
      <c r="AB19" s="104">
        <v>10</v>
      </c>
      <c r="AC19" s="104">
        <v>11</v>
      </c>
      <c r="AD19" s="104">
        <v>12</v>
      </c>
      <c r="AE19" s="104">
        <v>13</v>
      </c>
      <c r="AF19" s="104">
        <v>14</v>
      </c>
      <c r="AG19" s="104">
        <v>15</v>
      </c>
      <c r="AH19" s="104">
        <v>16</v>
      </c>
      <c r="AI19" s="104">
        <v>17</v>
      </c>
      <c r="AJ19" s="104">
        <v>18</v>
      </c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7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T19" s="78" t="s">
        <v>150</v>
      </c>
      <c r="BU19" s="78" t="s">
        <v>150</v>
      </c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>
        <v>1</v>
      </c>
      <c r="CX19" s="86">
        <v>2</v>
      </c>
      <c r="CY19" s="86">
        <v>3</v>
      </c>
      <c r="CZ19" s="86">
        <v>4</v>
      </c>
      <c r="DA19" s="86">
        <v>5</v>
      </c>
      <c r="DB19" s="86">
        <v>6</v>
      </c>
      <c r="DC19" s="86">
        <v>7</v>
      </c>
      <c r="DD19" s="86">
        <v>8</v>
      </c>
      <c r="DE19" s="86">
        <v>9</v>
      </c>
      <c r="DF19" s="86">
        <v>10</v>
      </c>
      <c r="DG19" s="86">
        <v>11</v>
      </c>
      <c r="DH19" s="86"/>
      <c r="DI19" s="86"/>
    </row>
    <row r="20" spans="1:113" ht="21.75" customHeight="1" x14ac:dyDescent="0.6">
      <c r="A20" s="7"/>
      <c r="B20" s="92" t="s">
        <v>151</v>
      </c>
      <c r="C20" s="93">
        <v>60</v>
      </c>
      <c r="D20" s="7"/>
      <c r="E20" s="7"/>
      <c r="F20" s="7"/>
      <c r="G20" s="99" t="s">
        <v>135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>
        <v>1</v>
      </c>
      <c r="V20" s="103">
        <v>2</v>
      </c>
      <c r="W20" s="103">
        <v>3</v>
      </c>
      <c r="X20" s="103">
        <v>4</v>
      </c>
      <c r="Y20" s="103">
        <v>5</v>
      </c>
      <c r="Z20" s="103">
        <v>6</v>
      </c>
      <c r="AA20" s="103">
        <v>7</v>
      </c>
      <c r="AB20" s="103">
        <v>8</v>
      </c>
      <c r="AC20" s="103">
        <v>9</v>
      </c>
      <c r="AD20" s="103">
        <v>10</v>
      </c>
      <c r="AE20" s="103">
        <v>11</v>
      </c>
      <c r="AF20" s="103">
        <v>12</v>
      </c>
      <c r="AG20" s="103">
        <v>13</v>
      </c>
      <c r="AH20" s="103">
        <v>14</v>
      </c>
      <c r="AI20" s="103">
        <v>15</v>
      </c>
      <c r="AJ20" s="103">
        <v>16</v>
      </c>
      <c r="AK20" s="103">
        <v>17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6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T20" s="78" t="s">
        <v>152</v>
      </c>
      <c r="BU20" s="78" t="s">
        <v>152</v>
      </c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>
        <v>1</v>
      </c>
      <c r="DE20" s="86">
        <v>2</v>
      </c>
      <c r="DF20" s="86">
        <v>3</v>
      </c>
      <c r="DG20" s="86">
        <v>4</v>
      </c>
      <c r="DH20" s="86"/>
      <c r="DI20" s="86"/>
    </row>
    <row r="21" spans="1:113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98" t="s">
        <v>137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>
        <v>1</v>
      </c>
      <c r="AF21" s="104">
        <v>2</v>
      </c>
      <c r="AG21" s="104">
        <v>3</v>
      </c>
      <c r="AH21" s="104">
        <v>4</v>
      </c>
      <c r="AI21" s="104">
        <v>5</v>
      </c>
      <c r="AJ21" s="104">
        <v>6</v>
      </c>
      <c r="AK21" s="104">
        <v>7</v>
      </c>
      <c r="AL21" s="104">
        <v>8</v>
      </c>
      <c r="AM21" s="104">
        <v>9</v>
      </c>
      <c r="AN21" s="104">
        <v>10</v>
      </c>
      <c r="AO21" s="104">
        <v>11</v>
      </c>
      <c r="AP21" s="104">
        <v>12</v>
      </c>
      <c r="AQ21" s="104">
        <v>13</v>
      </c>
      <c r="AR21" s="104">
        <v>14</v>
      </c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7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T21" s="81" t="s">
        <v>153</v>
      </c>
      <c r="BU21" s="81" t="s">
        <v>153</v>
      </c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>
        <v>1</v>
      </c>
      <c r="CV21" s="82">
        <v>2</v>
      </c>
      <c r="CW21" s="82">
        <v>3</v>
      </c>
      <c r="CX21" s="82">
        <v>4</v>
      </c>
      <c r="CY21" s="82">
        <v>5</v>
      </c>
      <c r="CZ21" s="82">
        <v>6</v>
      </c>
      <c r="DA21" s="82">
        <v>7</v>
      </c>
      <c r="DB21" s="82">
        <v>8</v>
      </c>
      <c r="DC21" s="82">
        <v>9</v>
      </c>
      <c r="DD21" s="82"/>
      <c r="DE21" s="82"/>
      <c r="DF21" s="82"/>
      <c r="DG21" s="82"/>
      <c r="DH21" s="82"/>
      <c r="DI21" s="82"/>
    </row>
    <row r="22" spans="1:113" ht="21.75" customHeight="1" x14ac:dyDescent="0.6">
      <c r="A22" s="7"/>
      <c r="B22" s="58"/>
      <c r="C22" s="39"/>
      <c r="D22" s="7"/>
      <c r="E22" s="7"/>
      <c r="F22" s="7"/>
      <c r="G22" s="99" t="s">
        <v>139</v>
      </c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>
        <v>1</v>
      </c>
      <c r="X22" s="103">
        <v>2</v>
      </c>
      <c r="Y22" s="103">
        <v>3</v>
      </c>
      <c r="Z22" s="103">
        <v>4</v>
      </c>
      <c r="AA22" s="103">
        <v>5</v>
      </c>
      <c r="AB22" s="103">
        <v>6</v>
      </c>
      <c r="AC22" s="103">
        <v>7</v>
      </c>
      <c r="AD22" s="103">
        <v>8</v>
      </c>
      <c r="AE22" s="103">
        <v>9</v>
      </c>
      <c r="AF22" s="103">
        <v>10</v>
      </c>
      <c r="AG22" s="103">
        <v>11</v>
      </c>
      <c r="AH22" s="103">
        <v>12</v>
      </c>
      <c r="AI22" s="103">
        <v>13</v>
      </c>
      <c r="AJ22" s="103">
        <v>14</v>
      </c>
      <c r="AK22" s="103">
        <v>15</v>
      </c>
      <c r="AL22" s="103">
        <v>16</v>
      </c>
      <c r="AM22" s="103">
        <v>17</v>
      </c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6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  <c r="BQ22" s="109"/>
      <c r="BR22" s="109"/>
      <c r="BT22" s="78" t="s">
        <v>154</v>
      </c>
      <c r="BU22" s="81" t="s">
        <v>138</v>
      </c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  <c r="DB22" s="86"/>
      <c r="DC22" s="86"/>
      <c r="DD22" s="82">
        <v>1</v>
      </c>
      <c r="DE22" s="82">
        <v>2</v>
      </c>
      <c r="DF22" s="82">
        <v>3</v>
      </c>
      <c r="DG22" s="82">
        <v>4</v>
      </c>
      <c r="DH22" s="82">
        <v>5</v>
      </c>
      <c r="DI22" s="82">
        <v>6</v>
      </c>
    </row>
    <row r="23" spans="1:113" ht="21.75" customHeight="1" x14ac:dyDescent="0.6">
      <c r="A23" s="7"/>
      <c r="B23" s="49"/>
      <c r="C23" s="7"/>
      <c r="D23" s="7"/>
      <c r="E23" s="7"/>
      <c r="F23" s="7"/>
      <c r="G23" s="98" t="s">
        <v>140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>
        <v>1</v>
      </c>
      <c r="W23" s="104">
        <v>2</v>
      </c>
      <c r="X23" s="104">
        <v>3</v>
      </c>
      <c r="Y23" s="104">
        <v>4</v>
      </c>
      <c r="Z23" s="104">
        <v>5</v>
      </c>
      <c r="AA23" s="104">
        <v>6</v>
      </c>
      <c r="AB23" s="104">
        <v>7</v>
      </c>
      <c r="AC23" s="104">
        <v>8</v>
      </c>
      <c r="AD23" s="104">
        <v>9</v>
      </c>
      <c r="AE23" s="104">
        <v>10</v>
      </c>
      <c r="AF23" s="104">
        <v>11</v>
      </c>
      <c r="AG23" s="104">
        <v>12</v>
      </c>
      <c r="AH23" s="104">
        <v>13</v>
      </c>
      <c r="AI23" s="104">
        <v>14</v>
      </c>
      <c r="AJ23" s="104">
        <v>15</v>
      </c>
      <c r="AK23" s="104">
        <v>16</v>
      </c>
      <c r="AL23" s="104">
        <v>17</v>
      </c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7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T23" s="83"/>
      <c r="BU23" s="83" t="s">
        <v>136</v>
      </c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>
        <v>1</v>
      </c>
      <c r="CV23" s="84">
        <v>2</v>
      </c>
      <c r="CW23" s="84">
        <v>3</v>
      </c>
      <c r="CX23" s="84">
        <v>4</v>
      </c>
      <c r="CY23" s="84">
        <v>5</v>
      </c>
      <c r="CZ23" s="84">
        <v>6</v>
      </c>
      <c r="DA23" s="84">
        <v>7</v>
      </c>
      <c r="DB23" s="84">
        <v>8</v>
      </c>
      <c r="DC23" s="84">
        <v>9</v>
      </c>
      <c r="DD23" s="84">
        <v>10</v>
      </c>
      <c r="DE23" s="84">
        <v>11</v>
      </c>
      <c r="DF23" s="84">
        <v>12</v>
      </c>
      <c r="DG23" s="84"/>
      <c r="DH23" s="84"/>
      <c r="DI23" s="84"/>
    </row>
    <row r="24" spans="1:113" ht="23.25" customHeight="1" x14ac:dyDescent="0.6">
      <c r="A24" s="7"/>
      <c r="B24" s="49"/>
      <c r="C24" s="7"/>
      <c r="D24" s="7"/>
      <c r="E24" s="7"/>
      <c r="F24" s="7"/>
      <c r="G24" s="99" t="s">
        <v>143</v>
      </c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>
        <v>1</v>
      </c>
      <c r="Z24" s="103">
        <v>2</v>
      </c>
      <c r="AA24" s="103">
        <v>3</v>
      </c>
      <c r="AB24" s="103">
        <v>4</v>
      </c>
      <c r="AC24" s="103">
        <v>5</v>
      </c>
      <c r="AD24" s="103">
        <v>6</v>
      </c>
      <c r="AE24" s="103">
        <v>7</v>
      </c>
      <c r="AF24" s="103">
        <v>8</v>
      </c>
      <c r="AG24" s="103">
        <v>9</v>
      </c>
      <c r="AH24" s="103">
        <v>10</v>
      </c>
      <c r="AI24" s="103">
        <v>11</v>
      </c>
      <c r="AJ24" s="103">
        <v>12</v>
      </c>
      <c r="AK24" s="103">
        <v>13</v>
      </c>
      <c r="AL24" s="103">
        <v>14</v>
      </c>
      <c r="AM24" s="103">
        <v>15</v>
      </c>
      <c r="AN24" s="103">
        <v>16</v>
      </c>
      <c r="AO24" s="103">
        <v>17</v>
      </c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6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</row>
    <row r="25" spans="1:113" ht="23.25" customHeight="1" x14ac:dyDescent="0.6">
      <c r="A25" s="7"/>
      <c r="B25" s="49"/>
      <c r="C25" s="7"/>
      <c r="D25" s="7"/>
      <c r="E25" s="7"/>
      <c r="F25" s="7"/>
      <c r="G25" s="98" t="s">
        <v>147</v>
      </c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>
        <v>1</v>
      </c>
      <c r="Y25" s="104">
        <v>2</v>
      </c>
      <c r="Z25" s="104">
        <v>3</v>
      </c>
      <c r="AA25" s="104">
        <v>4</v>
      </c>
      <c r="AB25" s="104">
        <v>5</v>
      </c>
      <c r="AC25" s="104">
        <v>6</v>
      </c>
      <c r="AD25" s="104">
        <v>7</v>
      </c>
      <c r="AE25" s="104">
        <v>8</v>
      </c>
      <c r="AF25" s="104">
        <v>9</v>
      </c>
      <c r="AG25" s="104">
        <v>10</v>
      </c>
      <c r="AH25" s="104">
        <v>11</v>
      </c>
      <c r="AI25" s="104">
        <v>12</v>
      </c>
      <c r="AJ25" s="104">
        <v>13</v>
      </c>
      <c r="AK25" s="104">
        <v>14</v>
      </c>
      <c r="AL25" s="104">
        <v>15</v>
      </c>
      <c r="AM25" s="104">
        <v>16</v>
      </c>
      <c r="AN25" s="104">
        <v>17</v>
      </c>
      <c r="AO25" s="104">
        <v>18</v>
      </c>
      <c r="AP25" s="104">
        <v>19</v>
      </c>
      <c r="AQ25" s="104">
        <v>20</v>
      </c>
      <c r="AR25" s="104">
        <v>21</v>
      </c>
      <c r="AS25" s="104">
        <v>22</v>
      </c>
      <c r="AT25" s="104">
        <v>23</v>
      </c>
      <c r="AU25" s="104">
        <v>24</v>
      </c>
      <c r="AV25" s="104">
        <v>25</v>
      </c>
      <c r="AW25" s="104"/>
      <c r="AX25" s="104"/>
      <c r="AY25" s="104"/>
      <c r="AZ25" s="104"/>
      <c r="BA25" s="104"/>
      <c r="BB25" s="104"/>
      <c r="BC25" s="107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</row>
    <row r="26" spans="1:113" ht="23.25" customHeight="1" x14ac:dyDescent="0.6">
      <c r="A26" s="7"/>
      <c r="B26" s="49"/>
      <c r="C26" s="7"/>
      <c r="D26" s="7"/>
      <c r="E26" s="7"/>
      <c r="F26" s="7"/>
      <c r="G26" s="99" t="s">
        <v>148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>
        <v>1</v>
      </c>
      <c r="AA26" s="103">
        <v>2</v>
      </c>
      <c r="AB26" s="103">
        <v>3</v>
      </c>
      <c r="AC26" s="103">
        <v>4</v>
      </c>
      <c r="AD26" s="103">
        <v>5</v>
      </c>
      <c r="AE26" s="103">
        <v>6</v>
      </c>
      <c r="AF26" s="103">
        <v>7</v>
      </c>
      <c r="AG26" s="103">
        <v>8</v>
      </c>
      <c r="AH26" s="103">
        <v>9</v>
      </c>
      <c r="AI26" s="103">
        <v>10</v>
      </c>
      <c r="AJ26" s="103">
        <v>11</v>
      </c>
      <c r="AK26" s="103">
        <v>12</v>
      </c>
      <c r="AL26" s="103">
        <v>13</v>
      </c>
      <c r="AM26" s="103">
        <v>14</v>
      </c>
      <c r="AN26" s="103">
        <v>15</v>
      </c>
      <c r="AO26" s="103">
        <v>16</v>
      </c>
      <c r="AP26" s="103">
        <v>17</v>
      </c>
      <c r="AQ26" s="103">
        <v>18</v>
      </c>
      <c r="AR26" s="103">
        <v>19</v>
      </c>
      <c r="AS26" s="103">
        <v>20</v>
      </c>
      <c r="AT26" s="103">
        <v>21</v>
      </c>
      <c r="AU26" s="103">
        <v>22</v>
      </c>
      <c r="AV26" s="103">
        <v>23</v>
      </c>
      <c r="AW26" s="103">
        <v>24</v>
      </c>
      <c r="AX26" s="103">
        <v>25</v>
      </c>
      <c r="AY26" s="103">
        <v>26</v>
      </c>
      <c r="AZ26" s="103">
        <v>27</v>
      </c>
      <c r="BA26" s="103"/>
      <c r="BB26" s="103"/>
      <c r="BC26" s="106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</row>
    <row r="27" spans="1:113" ht="23.25" customHeight="1" x14ac:dyDescent="0.6">
      <c r="A27" s="7"/>
      <c r="B27" s="49"/>
      <c r="C27" s="7"/>
      <c r="D27" s="7"/>
      <c r="E27" s="7"/>
      <c r="F27" s="7"/>
      <c r="G27" s="98" t="s">
        <v>150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>
        <v>1</v>
      </c>
      <c r="AL27" s="104">
        <v>2</v>
      </c>
      <c r="AM27" s="104">
        <v>3</v>
      </c>
      <c r="AN27" s="104">
        <v>4</v>
      </c>
      <c r="AO27" s="104">
        <v>5</v>
      </c>
      <c r="AP27" s="104">
        <v>6</v>
      </c>
      <c r="AQ27" s="104">
        <v>7</v>
      </c>
      <c r="AR27" s="104">
        <v>8</v>
      </c>
      <c r="AS27" s="104">
        <v>9</v>
      </c>
      <c r="AT27" s="104">
        <v>10</v>
      </c>
      <c r="AU27" s="104"/>
      <c r="AV27" s="104"/>
      <c r="AW27" s="104"/>
      <c r="AX27" s="104"/>
      <c r="AY27" s="104"/>
      <c r="AZ27" s="104"/>
      <c r="BA27" s="104"/>
      <c r="BB27" s="104"/>
      <c r="BC27" s="107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</row>
    <row r="28" spans="1:113" ht="23.25" customHeight="1" x14ac:dyDescent="0.6">
      <c r="A28" s="7"/>
      <c r="B28" s="49"/>
      <c r="C28" s="7"/>
      <c r="D28" s="7"/>
      <c r="E28" s="7"/>
      <c r="F28" s="7"/>
      <c r="G28" s="99" t="s">
        <v>152</v>
      </c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6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</row>
    <row r="29" spans="1:113" ht="23.25" customHeight="1" x14ac:dyDescent="0.6">
      <c r="A29" s="7"/>
      <c r="B29" s="49"/>
      <c r="C29" s="7"/>
      <c r="D29" s="7"/>
      <c r="E29" s="7"/>
      <c r="F29" s="7"/>
      <c r="G29" s="98" t="s">
        <v>153</v>
      </c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>
        <v>1</v>
      </c>
      <c r="AL29" s="104">
        <v>2</v>
      </c>
      <c r="AM29" s="104">
        <v>3</v>
      </c>
      <c r="AN29" s="104">
        <v>4</v>
      </c>
      <c r="AO29" s="104">
        <v>5</v>
      </c>
      <c r="AP29" s="104">
        <v>6</v>
      </c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7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</row>
    <row r="30" spans="1:113" ht="23.25" customHeight="1" x14ac:dyDescent="0.6">
      <c r="A30" s="7"/>
      <c r="B30" s="49"/>
      <c r="C30" s="7"/>
      <c r="D30" s="7"/>
      <c r="E30" s="7"/>
      <c r="F30" s="7"/>
      <c r="G30" s="100" t="s">
        <v>154</v>
      </c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>
        <v>1</v>
      </c>
      <c r="AU30" s="103">
        <v>2</v>
      </c>
      <c r="AV30" s="103">
        <v>3</v>
      </c>
      <c r="AW30" s="103">
        <v>4</v>
      </c>
      <c r="AX30" s="103">
        <v>5</v>
      </c>
      <c r="AY30" s="103">
        <v>6</v>
      </c>
      <c r="AZ30" s="103">
        <v>7</v>
      </c>
      <c r="BA30" s="103">
        <v>8</v>
      </c>
      <c r="BB30" s="103"/>
      <c r="BC30" s="103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95"/>
    </row>
    <row r="31" spans="1:113" ht="23.25" customHeight="1" x14ac:dyDescent="0.6">
      <c r="A31" s="7"/>
      <c r="B31" s="49"/>
      <c r="C31" s="7"/>
      <c r="D31" s="7"/>
      <c r="E31" s="7"/>
      <c r="F31" s="7"/>
      <c r="BS31" s="95"/>
    </row>
    <row r="32" spans="1:113" ht="23.25" customHeight="1" x14ac:dyDescent="0.6">
      <c r="A32" s="7"/>
      <c r="B32" s="49"/>
      <c r="C32" s="7"/>
      <c r="D32" s="7"/>
      <c r="E32" s="7"/>
      <c r="F32" s="7"/>
      <c r="BS32" s="95"/>
    </row>
    <row r="33" spans="1:71" ht="21.75" customHeight="1" x14ac:dyDescent="0.6">
      <c r="A33" s="7"/>
      <c r="B33" s="49"/>
      <c r="C33" s="7"/>
      <c r="D33" s="7"/>
      <c r="E33" s="7"/>
      <c r="F33" s="7"/>
      <c r="BS33" s="95"/>
    </row>
    <row r="34" spans="1:71" ht="21.75" customHeight="1" x14ac:dyDescent="0.6">
      <c r="A34" s="7"/>
      <c r="B34" s="49"/>
      <c r="C34" s="7"/>
      <c r="D34" s="7"/>
      <c r="E34" s="7"/>
      <c r="F34" s="7"/>
      <c r="BS34" s="95"/>
    </row>
    <row r="35" spans="1:71" ht="21.75" customHeight="1" x14ac:dyDescent="0.6">
      <c r="A35" s="7"/>
      <c r="B35" s="49"/>
      <c r="C35" s="7"/>
      <c r="D35" s="7"/>
      <c r="E35" s="7"/>
      <c r="F35" s="7"/>
      <c r="BS35" s="95"/>
    </row>
    <row r="36" spans="1:71" ht="21.75" customHeight="1" x14ac:dyDescent="0.6">
      <c r="A36" s="7"/>
      <c r="B36" s="49"/>
      <c r="C36" s="7"/>
      <c r="D36" s="7"/>
      <c r="E36" s="7"/>
      <c r="F36" s="7"/>
      <c r="BS36" s="95"/>
    </row>
    <row r="37" spans="1:71" ht="21.75" customHeight="1" x14ac:dyDescent="0.6">
      <c r="A37" s="7"/>
      <c r="B37" s="49"/>
      <c r="C37" s="7"/>
      <c r="D37" s="7"/>
      <c r="E37" s="7"/>
      <c r="F37" s="7"/>
      <c r="BS37" s="95"/>
    </row>
    <row r="38" spans="1:71" ht="21.75" customHeight="1" x14ac:dyDescent="0.6">
      <c r="A38" s="7"/>
      <c r="B38" s="49"/>
      <c r="C38" s="7"/>
      <c r="D38" s="7"/>
      <c r="E38" s="7"/>
      <c r="F38" s="7"/>
      <c r="BS38" s="95"/>
    </row>
    <row r="39" spans="1:71" ht="21.75" customHeight="1" x14ac:dyDescent="0.6">
      <c r="A39" s="7"/>
      <c r="B39" s="49"/>
      <c r="C39" s="7"/>
      <c r="D39" s="7"/>
      <c r="E39" s="7"/>
      <c r="F39" s="7"/>
    </row>
    <row r="40" spans="1:71" ht="21.75" customHeight="1" x14ac:dyDescent="0.6">
      <c r="A40" s="7"/>
      <c r="B40" s="49"/>
      <c r="C40" s="7"/>
      <c r="D40" s="7"/>
      <c r="E40" s="7"/>
      <c r="F40" s="7"/>
    </row>
    <row r="41" spans="1:71" ht="21.75" customHeight="1" x14ac:dyDescent="0.6">
      <c r="A41" s="7"/>
      <c r="B41" s="49"/>
      <c r="C41" s="7"/>
      <c r="D41" s="7"/>
      <c r="E41" s="7"/>
      <c r="F41" s="7"/>
    </row>
    <row r="42" spans="1:71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71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71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71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71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71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71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E4"/>
    <mergeCell ref="H5:BR5"/>
    <mergeCell ref="BT5:DI5"/>
  </mergeCells>
  <phoneticPr fontId="19" type="noConversion"/>
  <pageMargins left="0.511811024" right="0.511811024" top="0.78740157499999996" bottom="0.78740157499999996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3035-61EC-43B3-9471-A90A634A6D10}">
  <dimension ref="B2:BM23"/>
  <sheetViews>
    <sheetView tabSelected="1" zoomScale="70" zoomScaleNormal="70" workbookViewId="0">
      <selection activeCell="I15" sqref="I15:Z15"/>
    </sheetView>
  </sheetViews>
  <sheetFormatPr defaultRowHeight="15" x14ac:dyDescent="0.25"/>
  <cols>
    <col min="2" max="2" width="23.7109375" customWidth="1"/>
    <col min="3" max="3" width="3.28515625" bestFit="1" customWidth="1"/>
    <col min="4" max="5" width="3.5703125" bestFit="1" customWidth="1"/>
    <col min="6" max="8" width="3.7109375" bestFit="1" customWidth="1"/>
    <col min="9" max="9" width="3.42578125" bestFit="1" customWidth="1"/>
    <col min="10" max="10" width="3.7109375" bestFit="1" customWidth="1"/>
    <col min="11" max="11" width="3.5703125" bestFit="1" customWidth="1"/>
    <col min="12" max="12" width="4.42578125" bestFit="1" customWidth="1"/>
    <col min="13" max="13" width="4" bestFit="1" customWidth="1"/>
    <col min="14" max="15" width="4.28515625" bestFit="1" customWidth="1"/>
    <col min="16" max="18" width="4.42578125" bestFit="1" customWidth="1"/>
    <col min="19" max="19" width="4.140625" bestFit="1" customWidth="1"/>
    <col min="20" max="20" width="4.42578125" bestFit="1" customWidth="1"/>
    <col min="21" max="21" width="4.28515625" bestFit="1" customWidth="1"/>
    <col min="22" max="22" width="4.7109375" bestFit="1" customWidth="1"/>
    <col min="23" max="23" width="4.28515625" bestFit="1" customWidth="1"/>
    <col min="24" max="25" width="4.5703125" bestFit="1" customWidth="1"/>
    <col min="26" max="28" width="4.7109375" bestFit="1" customWidth="1"/>
    <col min="29" max="29" width="4.42578125" bestFit="1" customWidth="1"/>
    <col min="30" max="30" width="4.7109375" bestFit="1" customWidth="1"/>
    <col min="31" max="31" width="4.5703125" bestFit="1" customWidth="1"/>
    <col min="32" max="32" width="4.7109375" bestFit="1" customWidth="1"/>
    <col min="33" max="33" width="4.28515625" bestFit="1" customWidth="1"/>
    <col min="34" max="35" width="4.5703125" bestFit="1" customWidth="1"/>
    <col min="36" max="38" width="4.7109375" bestFit="1" customWidth="1"/>
    <col min="39" max="39" width="4.42578125" bestFit="1" customWidth="1"/>
    <col min="40" max="40" width="4.7109375" bestFit="1" customWidth="1"/>
    <col min="41" max="41" width="4.5703125" bestFit="1" customWidth="1"/>
    <col min="42" max="42" width="4.85546875" bestFit="1" customWidth="1"/>
    <col min="43" max="43" width="4.42578125" bestFit="1" customWidth="1"/>
    <col min="44" max="45" width="4.7109375" bestFit="1" customWidth="1"/>
    <col min="46" max="48" width="4.85546875" bestFit="1" customWidth="1"/>
    <col min="49" max="49" width="4.5703125" bestFit="1" customWidth="1"/>
    <col min="50" max="50" width="4.85546875" bestFit="1" customWidth="1"/>
    <col min="51" max="51" width="4.7109375" bestFit="1" customWidth="1"/>
    <col min="52" max="52" width="4.85546875" bestFit="1" customWidth="1"/>
    <col min="53" max="53" width="4.42578125" bestFit="1" customWidth="1"/>
    <col min="54" max="55" width="4.7109375" bestFit="1" customWidth="1"/>
    <col min="56" max="58" width="4.85546875" bestFit="1" customWidth="1"/>
    <col min="59" max="59" width="4.5703125" bestFit="1" customWidth="1"/>
    <col min="60" max="60" width="4.85546875" bestFit="1" customWidth="1"/>
    <col min="61" max="61" width="4.7109375" bestFit="1" customWidth="1"/>
    <col min="62" max="62" width="4.85546875" bestFit="1" customWidth="1"/>
    <col min="63" max="63" width="4.42578125" bestFit="1" customWidth="1"/>
    <col min="64" max="65" width="4.7109375" bestFit="1" customWidth="1"/>
  </cols>
  <sheetData>
    <row r="2" spans="2:65" x14ac:dyDescent="0.25">
      <c r="B2" s="161" t="s">
        <v>302</v>
      </c>
      <c r="Z2" s="211"/>
      <c r="AF2" s="162"/>
    </row>
    <row r="3" spans="2:65" ht="18.75" x14ac:dyDescent="0.25">
      <c r="B3" s="77" t="s">
        <v>79</v>
      </c>
      <c r="C3" s="77" t="s">
        <v>80</v>
      </c>
      <c r="D3" s="77" t="s">
        <v>81</v>
      </c>
      <c r="E3" s="77" t="s">
        <v>82</v>
      </c>
      <c r="F3" s="77" t="s">
        <v>83</v>
      </c>
      <c r="G3" s="77" t="s">
        <v>84</v>
      </c>
      <c r="H3" s="77" t="s">
        <v>85</v>
      </c>
      <c r="I3" s="77" t="s">
        <v>86</v>
      </c>
      <c r="J3" s="77" t="s">
        <v>87</v>
      </c>
      <c r="K3" s="77" t="s">
        <v>88</v>
      </c>
      <c r="L3" s="77" t="s">
        <v>89</v>
      </c>
      <c r="M3" s="77" t="s">
        <v>90</v>
      </c>
      <c r="N3" s="77" t="s">
        <v>91</v>
      </c>
      <c r="O3" s="77" t="s">
        <v>92</v>
      </c>
      <c r="P3" s="77" t="s">
        <v>93</v>
      </c>
      <c r="Q3" s="77" t="s">
        <v>94</v>
      </c>
      <c r="R3" s="77" t="s">
        <v>95</v>
      </c>
      <c r="S3" s="77" t="s">
        <v>96</v>
      </c>
      <c r="T3" s="77" t="s">
        <v>97</v>
      </c>
      <c r="U3" s="77" t="s">
        <v>98</v>
      </c>
      <c r="V3" s="77" t="s">
        <v>99</v>
      </c>
      <c r="W3" s="77" t="s">
        <v>100</v>
      </c>
      <c r="X3" s="77" t="s">
        <v>101</v>
      </c>
      <c r="Y3" s="77" t="s">
        <v>102</v>
      </c>
      <c r="Z3" s="77" t="s">
        <v>103</v>
      </c>
      <c r="AA3" s="78" t="s">
        <v>104</v>
      </c>
      <c r="AB3" s="78" t="s">
        <v>105</v>
      </c>
      <c r="AC3" s="78" t="s">
        <v>106</v>
      </c>
      <c r="AD3" s="78" t="s">
        <v>107</v>
      </c>
      <c r="AE3" s="78" t="s">
        <v>108</v>
      </c>
      <c r="AF3" s="78" t="s">
        <v>109</v>
      </c>
      <c r="AG3" s="78" t="s">
        <v>110</v>
      </c>
      <c r="AH3" s="78" t="s">
        <v>111</v>
      </c>
      <c r="AI3" s="77" t="s">
        <v>112</v>
      </c>
      <c r="AJ3" s="77" t="s">
        <v>113</v>
      </c>
      <c r="AK3" s="77" t="s">
        <v>114</v>
      </c>
      <c r="AL3" s="77" t="s">
        <v>115</v>
      </c>
      <c r="AM3" s="77" t="s">
        <v>116</v>
      </c>
      <c r="AN3" s="77" t="s">
        <v>117</v>
      </c>
      <c r="AO3" s="77" t="s">
        <v>118</v>
      </c>
      <c r="AP3" s="77" t="s">
        <v>119</v>
      </c>
      <c r="AQ3" s="77" t="s">
        <v>158</v>
      </c>
      <c r="AR3" s="77" t="s">
        <v>159</v>
      </c>
      <c r="AS3" s="77" t="s">
        <v>160</v>
      </c>
      <c r="AT3" s="77" t="s">
        <v>161</v>
      </c>
      <c r="AU3" s="77" t="s">
        <v>162</v>
      </c>
      <c r="AV3" s="77" t="s">
        <v>163</v>
      </c>
      <c r="AW3" s="77" t="s">
        <v>164</v>
      </c>
      <c r="AX3" s="77" t="s">
        <v>165</v>
      </c>
      <c r="AY3" s="77" t="s">
        <v>166</v>
      </c>
      <c r="AZ3" s="77" t="s">
        <v>167</v>
      </c>
      <c r="BA3" s="77" t="s">
        <v>168</v>
      </c>
      <c r="BB3" s="77" t="s">
        <v>169</v>
      </c>
      <c r="BC3" s="77" t="s">
        <v>170</v>
      </c>
      <c r="BD3" s="77" t="s">
        <v>171</v>
      </c>
    </row>
    <row r="4" spans="2:65" ht="18.75" x14ac:dyDescent="0.25">
      <c r="B4" s="81" t="s">
        <v>122</v>
      </c>
      <c r="C4" s="82">
        <v>1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</row>
    <row r="5" spans="2:65" ht="18.75" x14ac:dyDescent="0.25">
      <c r="B5" s="83" t="s">
        <v>124</v>
      </c>
      <c r="C5" s="84"/>
      <c r="D5" s="84">
        <v>1</v>
      </c>
      <c r="E5" s="84">
        <v>2</v>
      </c>
      <c r="F5" s="84">
        <v>3</v>
      </c>
      <c r="G5" s="84">
        <v>4</v>
      </c>
      <c r="H5" s="84">
        <v>5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</row>
    <row r="6" spans="2:65" ht="18.75" x14ac:dyDescent="0.25">
      <c r="B6" s="81" t="s">
        <v>127</v>
      </c>
      <c r="C6" s="82"/>
      <c r="D6" s="82"/>
      <c r="E6" s="82"/>
      <c r="F6" s="82"/>
      <c r="G6" s="82"/>
      <c r="H6" s="82"/>
      <c r="I6" s="82">
        <v>1</v>
      </c>
      <c r="J6" s="82">
        <v>2</v>
      </c>
      <c r="K6" s="82">
        <v>3</v>
      </c>
      <c r="L6" s="82">
        <v>4</v>
      </c>
      <c r="M6" s="82">
        <v>5</v>
      </c>
      <c r="N6" s="82">
        <v>6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</row>
    <row r="7" spans="2:65" ht="18.75" x14ac:dyDescent="0.25">
      <c r="B7" s="83" t="s">
        <v>131</v>
      </c>
      <c r="C7" s="84"/>
      <c r="D7" s="84"/>
      <c r="E7" s="84"/>
      <c r="F7" s="84"/>
      <c r="G7" s="84"/>
      <c r="H7" s="84"/>
      <c r="I7" s="84"/>
      <c r="J7" s="84"/>
      <c r="K7" s="84">
        <v>1</v>
      </c>
      <c r="L7" s="84">
        <v>2</v>
      </c>
      <c r="M7" s="84">
        <v>3</v>
      </c>
      <c r="N7" s="84">
        <v>4</v>
      </c>
      <c r="O7" s="84">
        <v>5</v>
      </c>
      <c r="P7" s="84">
        <v>6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</row>
    <row r="8" spans="2:65" ht="18.75" x14ac:dyDescent="0.25">
      <c r="B8" s="81" t="s">
        <v>133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>
        <v>1</v>
      </c>
      <c r="R8" s="82">
        <v>2</v>
      </c>
      <c r="S8" s="82">
        <v>3</v>
      </c>
      <c r="T8" s="82">
        <v>4</v>
      </c>
      <c r="U8" s="82">
        <v>5</v>
      </c>
      <c r="V8" s="82">
        <v>6</v>
      </c>
      <c r="W8" s="82">
        <v>7</v>
      </c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</row>
    <row r="9" spans="2:65" ht="18.75" x14ac:dyDescent="0.25">
      <c r="B9" s="83" t="s">
        <v>136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>
        <v>1</v>
      </c>
      <c r="R9" s="84">
        <v>2</v>
      </c>
      <c r="S9" s="84">
        <v>3</v>
      </c>
      <c r="T9" s="84">
        <v>4</v>
      </c>
      <c r="U9" s="84">
        <v>5</v>
      </c>
      <c r="V9" s="84">
        <v>6</v>
      </c>
      <c r="W9" s="84">
        <v>7</v>
      </c>
      <c r="X9" s="84">
        <v>8</v>
      </c>
      <c r="Y9" s="84">
        <v>9</v>
      </c>
      <c r="Z9" s="84">
        <v>10</v>
      </c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</row>
    <row r="10" spans="2:65" ht="18.75" x14ac:dyDescent="0.25">
      <c r="B10" s="81" t="s">
        <v>138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>
        <v>1</v>
      </c>
      <c r="AB10" s="82">
        <v>2</v>
      </c>
      <c r="AC10" s="82">
        <v>3</v>
      </c>
      <c r="AD10" s="82">
        <v>4</v>
      </c>
      <c r="AE10" s="82">
        <v>5</v>
      </c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110"/>
      <c r="BA10" s="82"/>
      <c r="BB10" s="82"/>
      <c r="BC10" s="82"/>
      <c r="BD10" s="82"/>
    </row>
    <row r="11" spans="2:65" x14ac:dyDescent="0.25">
      <c r="B11" s="161" t="s">
        <v>318</v>
      </c>
      <c r="AL11" s="211"/>
      <c r="AR11" s="162"/>
    </row>
    <row r="12" spans="2:65" ht="18.75" x14ac:dyDescent="0.25">
      <c r="B12" s="77" t="s">
        <v>79</v>
      </c>
      <c r="C12" s="77" t="s">
        <v>80</v>
      </c>
      <c r="D12" s="77" t="s">
        <v>81</v>
      </c>
      <c r="E12" s="77" t="s">
        <v>82</v>
      </c>
      <c r="F12" s="77" t="s">
        <v>83</v>
      </c>
      <c r="G12" s="77" t="s">
        <v>84</v>
      </c>
      <c r="H12" s="77" t="s">
        <v>85</v>
      </c>
      <c r="I12" s="77" t="s">
        <v>86</v>
      </c>
      <c r="J12" s="77" t="s">
        <v>87</v>
      </c>
      <c r="K12" s="77" t="s">
        <v>88</v>
      </c>
      <c r="L12" s="77" t="s">
        <v>89</v>
      </c>
      <c r="M12" s="77" t="s">
        <v>90</v>
      </c>
      <c r="N12" s="77" t="s">
        <v>91</v>
      </c>
      <c r="O12" s="77" t="s">
        <v>92</v>
      </c>
      <c r="P12" s="77" t="s">
        <v>93</v>
      </c>
      <c r="Q12" s="77" t="s">
        <v>94</v>
      </c>
      <c r="R12" s="77" t="s">
        <v>95</v>
      </c>
      <c r="S12" s="77" t="s">
        <v>96</v>
      </c>
      <c r="T12" s="77" t="s">
        <v>97</v>
      </c>
      <c r="U12" s="77" t="s">
        <v>98</v>
      </c>
      <c r="V12" s="77" t="s">
        <v>99</v>
      </c>
      <c r="W12" s="77" t="s">
        <v>100</v>
      </c>
      <c r="X12" s="77" t="s">
        <v>101</v>
      </c>
      <c r="Y12" s="77" t="s">
        <v>102</v>
      </c>
      <c r="Z12" s="77" t="s">
        <v>103</v>
      </c>
      <c r="AA12" s="78" t="s">
        <v>104</v>
      </c>
      <c r="AB12" s="78" t="s">
        <v>105</v>
      </c>
      <c r="AC12" s="78" t="s">
        <v>106</v>
      </c>
      <c r="AD12" s="78" t="s">
        <v>107</v>
      </c>
      <c r="AE12" s="78" t="s">
        <v>108</v>
      </c>
      <c r="AF12" s="78" t="s">
        <v>109</v>
      </c>
      <c r="AG12" s="78" t="s">
        <v>110</v>
      </c>
      <c r="AH12" s="78" t="s">
        <v>111</v>
      </c>
      <c r="AI12" s="77" t="s">
        <v>112</v>
      </c>
      <c r="AJ12" s="77" t="s">
        <v>113</v>
      </c>
      <c r="AK12" s="77" t="s">
        <v>114</v>
      </c>
      <c r="AL12" s="77" t="s">
        <v>115</v>
      </c>
      <c r="AM12" s="77" t="s">
        <v>116</v>
      </c>
      <c r="AN12" s="77" t="s">
        <v>117</v>
      </c>
      <c r="AO12" s="77" t="s">
        <v>118</v>
      </c>
      <c r="AP12" s="77" t="s">
        <v>119</v>
      </c>
      <c r="AQ12" s="77" t="s">
        <v>158</v>
      </c>
      <c r="AR12" s="77" t="s">
        <v>159</v>
      </c>
      <c r="AS12" s="77" t="s">
        <v>160</v>
      </c>
      <c r="AT12" s="77" t="s">
        <v>161</v>
      </c>
      <c r="AU12" s="77" t="s">
        <v>162</v>
      </c>
      <c r="AV12" s="77" t="s">
        <v>163</v>
      </c>
      <c r="AW12" s="77" t="s">
        <v>164</v>
      </c>
      <c r="AX12" s="77" t="s">
        <v>165</v>
      </c>
      <c r="AY12" s="77" t="s">
        <v>166</v>
      </c>
      <c r="AZ12" s="77" t="s">
        <v>167</v>
      </c>
      <c r="BA12" s="77" t="s">
        <v>168</v>
      </c>
      <c r="BB12" s="77" t="s">
        <v>169</v>
      </c>
      <c r="BC12" s="77" t="s">
        <v>170</v>
      </c>
      <c r="BD12" s="77" t="s">
        <v>171</v>
      </c>
      <c r="BE12" s="77" t="s">
        <v>319</v>
      </c>
      <c r="BF12" s="77" t="s">
        <v>320</v>
      </c>
      <c r="BG12" s="77" t="s">
        <v>321</v>
      </c>
      <c r="BH12" s="77" t="s">
        <v>322</v>
      </c>
      <c r="BI12" s="77" t="s">
        <v>323</v>
      </c>
      <c r="BJ12" s="77" t="s">
        <v>324</v>
      </c>
      <c r="BK12" s="77" t="s">
        <v>325</v>
      </c>
      <c r="BL12" s="77" t="s">
        <v>326</v>
      </c>
      <c r="BM12" s="77" t="s">
        <v>327</v>
      </c>
    </row>
    <row r="13" spans="2:65" ht="18.75" x14ac:dyDescent="0.25">
      <c r="B13" s="81" t="s">
        <v>122</v>
      </c>
      <c r="C13" s="82">
        <v>1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</row>
    <row r="14" spans="2:65" ht="18.75" x14ac:dyDescent="0.25">
      <c r="B14" s="83" t="s">
        <v>124</v>
      </c>
      <c r="C14" s="84"/>
      <c r="D14" s="84">
        <v>1</v>
      </c>
      <c r="E14" s="84">
        <v>2</v>
      </c>
      <c r="F14" s="84">
        <v>3</v>
      </c>
      <c r="G14" s="84">
        <v>4</v>
      </c>
      <c r="H14" s="84">
        <v>5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</row>
    <row r="15" spans="2:65" ht="18.75" x14ac:dyDescent="0.25">
      <c r="B15" s="81" t="s">
        <v>127</v>
      </c>
      <c r="C15" s="82"/>
      <c r="D15" s="82"/>
      <c r="E15" s="82"/>
      <c r="F15" s="82"/>
      <c r="G15" s="82"/>
      <c r="H15" s="82"/>
      <c r="I15" s="82">
        <v>1</v>
      </c>
      <c r="J15" s="82">
        <v>2</v>
      </c>
      <c r="K15" s="82">
        <v>3</v>
      </c>
      <c r="L15" s="82">
        <v>4</v>
      </c>
      <c r="M15" s="82">
        <v>5</v>
      </c>
      <c r="N15" s="82">
        <v>6</v>
      </c>
      <c r="O15" s="82">
        <v>7</v>
      </c>
      <c r="P15" s="82">
        <v>8</v>
      </c>
      <c r="Q15" s="82">
        <v>9</v>
      </c>
      <c r="R15" s="82">
        <v>10</v>
      </c>
      <c r="S15" s="82">
        <v>11</v>
      </c>
      <c r="T15" s="82">
        <v>12</v>
      </c>
      <c r="U15" s="82">
        <v>13</v>
      </c>
      <c r="V15" s="82">
        <v>14</v>
      </c>
      <c r="W15" s="82">
        <v>15</v>
      </c>
      <c r="X15" s="82">
        <v>16</v>
      </c>
      <c r="Y15" s="82">
        <v>17</v>
      </c>
      <c r="Z15" s="82">
        <v>18</v>
      </c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</row>
    <row r="16" spans="2:65" ht="18.75" x14ac:dyDescent="0.25">
      <c r="B16" s="83" t="s">
        <v>131</v>
      </c>
      <c r="C16" s="84"/>
      <c r="D16" s="84"/>
      <c r="E16" s="84"/>
      <c r="F16" s="84"/>
      <c r="G16" s="84"/>
      <c r="H16" s="84"/>
      <c r="I16" s="84"/>
      <c r="J16" s="84"/>
      <c r="K16" s="84">
        <v>1</v>
      </c>
      <c r="L16" s="84">
        <v>2</v>
      </c>
      <c r="M16" s="84">
        <v>3</v>
      </c>
      <c r="N16" s="84">
        <v>4</v>
      </c>
      <c r="O16" s="84">
        <v>5</v>
      </c>
      <c r="P16" s="84">
        <v>6</v>
      </c>
      <c r="Q16" s="84">
        <v>7</v>
      </c>
      <c r="R16" s="84">
        <v>8</v>
      </c>
      <c r="S16" s="84">
        <v>9</v>
      </c>
      <c r="T16" s="84">
        <v>10</v>
      </c>
      <c r="U16" s="84">
        <v>11</v>
      </c>
      <c r="V16" s="84">
        <v>12</v>
      </c>
      <c r="W16" s="84">
        <v>13</v>
      </c>
      <c r="X16" s="84">
        <v>14</v>
      </c>
      <c r="Y16" s="84">
        <v>15</v>
      </c>
      <c r="Z16" s="84">
        <v>16</v>
      </c>
      <c r="AA16" s="84">
        <v>17</v>
      </c>
      <c r="AB16" s="84">
        <v>18</v>
      </c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</row>
    <row r="17" spans="2:65" ht="18.75" x14ac:dyDescent="0.25">
      <c r="B17" s="81" t="s">
        <v>133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>
        <v>1</v>
      </c>
      <c r="AD17" s="82">
        <v>2</v>
      </c>
      <c r="AE17" s="82">
        <v>3</v>
      </c>
      <c r="AF17" s="82">
        <v>4</v>
      </c>
      <c r="AG17" s="82">
        <v>5</v>
      </c>
      <c r="AH17" s="82">
        <v>6</v>
      </c>
      <c r="AI17" s="82">
        <v>7</v>
      </c>
      <c r="AJ17" s="82">
        <v>8</v>
      </c>
      <c r="AK17" s="82">
        <v>9</v>
      </c>
      <c r="AL17" s="82">
        <v>10</v>
      </c>
      <c r="AM17" s="82">
        <v>11</v>
      </c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</row>
    <row r="18" spans="2:65" ht="18.75" x14ac:dyDescent="0.25">
      <c r="B18" s="83" t="s">
        <v>136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>
        <v>1</v>
      </c>
      <c r="AD18" s="84">
        <v>2</v>
      </c>
      <c r="AE18" s="84">
        <v>3</v>
      </c>
      <c r="AF18" s="84">
        <v>4</v>
      </c>
      <c r="AG18" s="84">
        <v>5</v>
      </c>
      <c r="AH18" s="84">
        <v>6</v>
      </c>
      <c r="AI18" s="84">
        <v>7</v>
      </c>
      <c r="AJ18" s="84">
        <v>8</v>
      </c>
      <c r="AK18" s="84">
        <v>9</v>
      </c>
      <c r="AL18" s="84">
        <v>10</v>
      </c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</row>
    <row r="19" spans="2:65" ht="18.75" x14ac:dyDescent="0.25">
      <c r="B19" s="81" t="s">
        <v>138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110"/>
      <c r="AH19" s="82"/>
      <c r="AI19" s="82"/>
      <c r="AJ19" s="82"/>
      <c r="AK19" s="82"/>
      <c r="AL19" s="82"/>
      <c r="AM19" s="82">
        <v>1</v>
      </c>
      <c r="AN19" s="82">
        <v>2</v>
      </c>
      <c r="AO19" s="82">
        <v>3</v>
      </c>
      <c r="AP19" s="82">
        <v>4</v>
      </c>
      <c r="AQ19" s="82">
        <v>5</v>
      </c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</row>
    <row r="22" spans="2:65" x14ac:dyDescent="0.25">
      <c r="S22">
        <v>24</v>
      </c>
    </row>
    <row r="23" spans="2:65" x14ac:dyDescent="0.25">
      <c r="S23">
        <v>36</v>
      </c>
    </row>
  </sheetData>
  <phoneticPr fontId="19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731A-619A-4663-A34E-81A510AABBEF}">
  <dimension ref="A1:Z990"/>
  <sheetViews>
    <sheetView showGridLines="0" zoomScale="85" zoomScaleNormal="85" workbookViewId="0">
      <selection activeCell="I5" sqref="I5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13" width="11" bestFit="1" customWidth="1"/>
    <col min="14" max="26" width="9.140625" customWidth="1"/>
  </cols>
  <sheetData>
    <row r="1" spans="1:26" ht="12.75" customHeight="1" x14ac:dyDescent="0.25">
      <c r="A1" s="193" t="s">
        <v>172</v>
      </c>
      <c r="B1" s="194"/>
      <c r="C1" s="194"/>
      <c r="D1" s="194"/>
      <c r="E1" s="194"/>
      <c r="F1" s="195"/>
      <c r="G1" s="146"/>
      <c r="H1" s="117">
        <f>H6+$I$5</f>
        <v>8.4583748667609621E-2</v>
      </c>
      <c r="I1" s="117">
        <f t="shared" ref="I1:M1" si="0">I6+$I$5</f>
        <v>7.7829425996298815E-2</v>
      </c>
      <c r="J1" s="117">
        <f t="shared" si="0"/>
        <v>7.7829425996298815E-2</v>
      </c>
      <c r="K1" s="117">
        <f t="shared" si="0"/>
        <v>6.8986871480675754E-2</v>
      </c>
      <c r="L1" s="117">
        <f t="shared" si="0"/>
        <v>6.8986871480675754E-2</v>
      </c>
      <c r="M1" s="117">
        <f t="shared" si="0"/>
        <v>6.8986871480675754E-2</v>
      </c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 spans="1:26" ht="12.75" customHeight="1" thickBot="1" x14ac:dyDescent="0.3">
      <c r="A2" s="196"/>
      <c r="B2" s="169"/>
      <c r="C2" s="169"/>
      <c r="D2" s="169"/>
      <c r="E2" s="169"/>
      <c r="F2" s="197"/>
      <c r="G2" s="146"/>
      <c r="H2" s="111"/>
      <c r="I2" s="111"/>
      <c r="J2" s="111"/>
      <c r="K2" s="111"/>
      <c r="L2" s="111"/>
      <c r="M2" s="111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spans="1:26" ht="19.5" customHeight="1" x14ac:dyDescent="0.25">
      <c r="A3" s="147" t="s">
        <v>173</v>
      </c>
      <c r="B3" s="198" t="str">
        <f>[4]OBRA!B2</f>
        <v>D'Lohn Empreendiementos</v>
      </c>
      <c r="C3" s="199"/>
      <c r="D3" s="199"/>
      <c r="E3" s="199"/>
      <c r="F3" s="200"/>
      <c r="G3" s="113">
        <f>F66</f>
        <v>4230121.2705396498</v>
      </c>
      <c r="H3" s="111"/>
      <c r="I3" s="111"/>
      <c r="J3" s="111"/>
      <c r="K3" s="111"/>
      <c r="L3" s="111"/>
      <c r="M3" s="111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spans="1:26" ht="19.5" customHeight="1" x14ac:dyDescent="0.25">
      <c r="A4" s="148" t="s">
        <v>174</v>
      </c>
      <c r="B4" s="201" t="str">
        <f>[4]OBRA!B1</f>
        <v>Estreito</v>
      </c>
      <c r="C4" s="202"/>
      <c r="D4" s="202"/>
      <c r="E4" s="202"/>
      <c r="F4" s="203"/>
      <c r="G4" s="113">
        <f>SUM(H7:M7)</f>
        <v>1540964.2167453852</v>
      </c>
      <c r="H4" s="114"/>
      <c r="I4" s="115"/>
      <c r="J4" s="111"/>
      <c r="K4" s="111"/>
      <c r="L4" s="111"/>
      <c r="M4" s="111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spans="1:26" ht="19.5" customHeight="1" x14ac:dyDescent="0.25">
      <c r="A5" s="148" t="s">
        <v>175</v>
      </c>
      <c r="B5" s="204">
        <v>45741</v>
      </c>
      <c r="C5" s="202"/>
      <c r="D5" s="202"/>
      <c r="E5" s="202"/>
      <c r="F5" s="203"/>
      <c r="G5" s="114">
        <f>G3-G4</f>
        <v>2689157.0537942648</v>
      </c>
      <c r="H5" s="114">
        <f>G5/46</f>
        <v>58459.935952049236</v>
      </c>
      <c r="I5" s="115">
        <f>H5/G3</f>
        <v>1.3819919622444138E-2</v>
      </c>
      <c r="J5" s="115">
        <f>G5/G3</f>
        <v>0.6357163026324304</v>
      </c>
      <c r="K5" s="111"/>
      <c r="L5" s="111"/>
      <c r="M5" s="111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spans="1:26" ht="19.5" customHeight="1" thickBot="1" x14ac:dyDescent="0.3">
      <c r="A6" s="149" t="s">
        <v>176</v>
      </c>
      <c r="B6" s="205" t="str">
        <f>[4]OBRA!B3</f>
        <v>R00</v>
      </c>
      <c r="C6" s="206"/>
      <c r="D6" s="206"/>
      <c r="E6" s="206"/>
      <c r="F6" s="207"/>
      <c r="G6" s="146"/>
      <c r="H6" s="116">
        <f>H7/$G$3</f>
        <v>7.0763829045165483E-2</v>
      </c>
      <c r="I6" s="116">
        <f t="shared" ref="I6:M6" si="1">I7/$G$3</f>
        <v>6.4009506373854677E-2</v>
      </c>
      <c r="J6" s="116">
        <f t="shared" si="1"/>
        <v>6.4009506373854677E-2</v>
      </c>
      <c r="K6" s="116">
        <f t="shared" si="1"/>
        <v>5.5166951858231617E-2</v>
      </c>
      <c r="L6" s="116">
        <f t="shared" si="1"/>
        <v>5.5166951858231617E-2</v>
      </c>
      <c r="M6" s="116">
        <f t="shared" si="1"/>
        <v>5.5166951858231617E-2</v>
      </c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spans="1:26" ht="21" customHeight="1" thickBot="1" x14ac:dyDescent="0.3">
      <c r="A7" s="208" t="s">
        <v>177</v>
      </c>
      <c r="B7" s="209"/>
      <c r="C7" s="209"/>
      <c r="D7" s="209"/>
      <c r="E7" s="209"/>
      <c r="F7" s="210"/>
      <c r="G7" s="146"/>
      <c r="H7" s="113">
        <f>SUM(H9:H66)</f>
        <v>299339.57842878596</v>
      </c>
      <c r="I7" s="113">
        <f t="shared" ref="I7:M7" si="2">SUM(I9:I66)</f>
        <v>270767.97442878596</v>
      </c>
      <c r="J7" s="113">
        <f t="shared" si="2"/>
        <v>270767.97442878596</v>
      </c>
      <c r="K7" s="113">
        <f t="shared" si="2"/>
        <v>233362.89648634242</v>
      </c>
      <c r="L7" s="113">
        <f t="shared" si="2"/>
        <v>233362.89648634242</v>
      </c>
      <c r="M7" s="113">
        <f t="shared" si="2"/>
        <v>233362.89648634242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spans="1:26" ht="19.5" customHeight="1" x14ac:dyDescent="0.25">
      <c r="A8" s="152" t="s">
        <v>178</v>
      </c>
      <c r="B8" s="152" t="s">
        <v>179</v>
      </c>
      <c r="C8" s="152" t="s">
        <v>180</v>
      </c>
      <c r="D8" s="153" t="s">
        <v>181</v>
      </c>
      <c r="E8" s="153" t="s">
        <v>182</v>
      </c>
      <c r="F8" s="153" t="s">
        <v>183</v>
      </c>
      <c r="G8" s="154"/>
      <c r="H8" s="112">
        <v>1</v>
      </c>
      <c r="I8" s="112">
        <v>2</v>
      </c>
      <c r="J8" s="112">
        <v>3</v>
      </c>
      <c r="K8" s="112">
        <v>4</v>
      </c>
      <c r="L8" s="112">
        <v>5</v>
      </c>
      <c r="M8" s="112">
        <v>6</v>
      </c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spans="1:26" ht="15.75" customHeight="1" x14ac:dyDescent="0.25">
      <c r="A9" s="118" t="s">
        <v>184</v>
      </c>
      <c r="B9" s="119" t="s">
        <v>177</v>
      </c>
      <c r="C9" s="119"/>
      <c r="D9" s="120"/>
      <c r="E9" s="120"/>
      <c r="F9" s="121">
        <f>F10+F15</f>
        <v>1365027.3789180545</v>
      </c>
      <c r="G9" s="155"/>
      <c r="H9" s="113"/>
      <c r="I9" s="111"/>
      <c r="J9" s="111"/>
      <c r="K9" s="111"/>
      <c r="L9" s="111"/>
      <c r="M9" s="111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spans="1:26" ht="15.75" customHeight="1" x14ac:dyDescent="0.25">
      <c r="A10" s="122" t="s">
        <v>185</v>
      </c>
      <c r="B10" s="123" t="s">
        <v>186</v>
      </c>
      <c r="C10" s="123"/>
      <c r="D10" s="124"/>
      <c r="E10" s="124"/>
      <c r="F10" s="125">
        <f>SUM(F11:F14)</f>
        <v>1091483.6258684814</v>
      </c>
      <c r="G10" s="146"/>
      <c r="H10" s="111"/>
      <c r="I10" s="111"/>
      <c r="J10" s="111"/>
      <c r="K10" s="111"/>
      <c r="L10" s="111"/>
      <c r="M10" s="111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spans="1:26" ht="15.75" customHeight="1" x14ac:dyDescent="0.25">
      <c r="A11" s="126" t="s">
        <v>187</v>
      </c>
      <c r="B11" s="127" t="s">
        <v>188</v>
      </c>
      <c r="C11" s="127"/>
      <c r="D11" s="128"/>
      <c r="E11" s="128"/>
      <c r="F11" s="129">
        <f>[4]BASES!H11*1.1</f>
        <v>23028.207112712196</v>
      </c>
      <c r="G11" s="146"/>
      <c r="H11" s="114">
        <f>$F11/6</f>
        <v>3838.0345187853659</v>
      </c>
      <c r="I11" s="114">
        <f t="shared" ref="I11:M11" si="3">$F11/6</f>
        <v>3838.0345187853659</v>
      </c>
      <c r="J11" s="114">
        <f t="shared" si="3"/>
        <v>3838.0345187853659</v>
      </c>
      <c r="K11" s="114">
        <f t="shared" si="3"/>
        <v>3838.0345187853659</v>
      </c>
      <c r="L11" s="114">
        <f t="shared" si="3"/>
        <v>3838.0345187853659</v>
      </c>
      <c r="M11" s="114">
        <f t="shared" si="3"/>
        <v>3838.0345187853659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spans="1:26" ht="15.75" customHeight="1" x14ac:dyDescent="0.25">
      <c r="A12" s="126" t="s">
        <v>189</v>
      </c>
      <c r="B12" s="127" t="s">
        <v>190</v>
      </c>
      <c r="C12" s="127"/>
      <c r="D12" s="128"/>
      <c r="E12" s="128"/>
      <c r="F12" s="129">
        <f>[4]BASES!H12*1.1</f>
        <v>758963.05916976836</v>
      </c>
      <c r="G12" s="146"/>
      <c r="H12" s="114">
        <f t="shared" ref="H12:M18" si="4">$F12/6</f>
        <v>126493.84319496139</v>
      </c>
      <c r="I12" s="114">
        <f t="shared" si="4"/>
        <v>126493.84319496139</v>
      </c>
      <c r="J12" s="114">
        <f t="shared" si="4"/>
        <v>126493.84319496139</v>
      </c>
      <c r="K12" s="114">
        <f t="shared" si="4"/>
        <v>126493.84319496139</v>
      </c>
      <c r="L12" s="114">
        <f t="shared" si="4"/>
        <v>126493.84319496139</v>
      </c>
      <c r="M12" s="114">
        <f t="shared" si="4"/>
        <v>126493.84319496139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 spans="1:26" ht="15.75" customHeight="1" x14ac:dyDescent="0.25">
      <c r="A13" s="126" t="s">
        <v>191</v>
      </c>
      <c r="B13" s="127" t="s">
        <v>192</v>
      </c>
      <c r="C13" s="127"/>
      <c r="D13" s="128"/>
      <c r="E13" s="128"/>
      <c r="F13" s="129">
        <f>[4]BASES!H13*1.1</f>
        <v>140400.9145644239</v>
      </c>
      <c r="G13" s="146"/>
      <c r="H13" s="114">
        <f t="shared" si="4"/>
        <v>23400.152427403984</v>
      </c>
      <c r="I13" s="114">
        <f t="shared" si="4"/>
        <v>23400.152427403984</v>
      </c>
      <c r="J13" s="114">
        <f t="shared" si="4"/>
        <v>23400.152427403984</v>
      </c>
      <c r="K13" s="114">
        <f t="shared" si="4"/>
        <v>23400.152427403984</v>
      </c>
      <c r="L13" s="114">
        <f t="shared" si="4"/>
        <v>23400.152427403984</v>
      </c>
      <c r="M13" s="114">
        <f t="shared" si="4"/>
        <v>23400.152427403984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spans="1:26" ht="15.75" customHeight="1" x14ac:dyDescent="0.25">
      <c r="A14" s="126" t="s">
        <v>193</v>
      </c>
      <c r="B14" s="127" t="s">
        <v>194</v>
      </c>
      <c r="C14" s="127"/>
      <c r="D14" s="128"/>
      <c r="E14" s="128"/>
      <c r="F14" s="129">
        <f>[4]BASES!H14*1.1</f>
        <v>169091.44502157692</v>
      </c>
      <c r="G14" s="146"/>
      <c r="H14" s="114">
        <f t="shared" si="4"/>
        <v>28181.907503596154</v>
      </c>
      <c r="I14" s="114">
        <f t="shared" si="4"/>
        <v>28181.907503596154</v>
      </c>
      <c r="J14" s="114">
        <f t="shared" si="4"/>
        <v>28181.907503596154</v>
      </c>
      <c r="K14" s="114">
        <f t="shared" si="4"/>
        <v>28181.907503596154</v>
      </c>
      <c r="L14" s="114">
        <f t="shared" si="4"/>
        <v>28181.907503596154</v>
      </c>
      <c r="M14" s="114">
        <f t="shared" si="4"/>
        <v>28181.907503596154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spans="1:26" ht="15.75" customHeight="1" x14ac:dyDescent="0.25">
      <c r="A15" s="122" t="s">
        <v>195</v>
      </c>
      <c r="B15" s="123" t="s">
        <v>196</v>
      </c>
      <c r="C15" s="123"/>
      <c r="D15" s="124"/>
      <c r="E15" s="124"/>
      <c r="F15" s="125">
        <f>SUM(F16:F18)</f>
        <v>273543.7530495731</v>
      </c>
      <c r="G15" s="146"/>
      <c r="H15" s="111"/>
      <c r="I15" s="111"/>
      <c r="J15" s="111"/>
      <c r="K15" s="111"/>
      <c r="L15" s="111"/>
      <c r="M15" s="111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spans="1:26" ht="15.75" customHeight="1" x14ac:dyDescent="0.25">
      <c r="A16" s="130" t="s">
        <v>197</v>
      </c>
      <c r="B16" s="127" t="s">
        <v>198</v>
      </c>
      <c r="C16" s="127"/>
      <c r="D16" s="128"/>
      <c r="E16" s="128"/>
      <c r="F16" s="129">
        <f>[4]BASES!H16*1.1</f>
        <v>27131.404580381797</v>
      </c>
      <c r="G16" s="146"/>
      <c r="H16" s="114">
        <f t="shared" si="4"/>
        <v>4521.9007633969659</v>
      </c>
      <c r="I16" s="114">
        <f t="shared" si="4"/>
        <v>4521.9007633969659</v>
      </c>
      <c r="J16" s="114">
        <f t="shared" si="4"/>
        <v>4521.9007633969659</v>
      </c>
      <c r="K16" s="114">
        <f t="shared" si="4"/>
        <v>4521.9007633969659</v>
      </c>
      <c r="L16" s="114">
        <f t="shared" si="4"/>
        <v>4521.9007633969659</v>
      </c>
      <c r="M16" s="114">
        <f t="shared" si="4"/>
        <v>4521.9007633969659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 spans="1:26" ht="15.75" customHeight="1" x14ac:dyDescent="0.25">
      <c r="A17" s="130" t="s">
        <v>199</v>
      </c>
      <c r="B17" s="127" t="s">
        <v>200</v>
      </c>
      <c r="C17" s="127"/>
      <c r="D17" s="128"/>
      <c r="E17" s="128"/>
      <c r="F17" s="129">
        <f>[4]BASES!H17*1.1</f>
        <v>172391.97569341352</v>
      </c>
      <c r="G17" s="146"/>
      <c r="H17" s="114">
        <f t="shared" si="4"/>
        <v>28731.995948902255</v>
      </c>
      <c r="I17" s="114">
        <f t="shared" si="4"/>
        <v>28731.995948902255</v>
      </c>
      <c r="J17" s="114">
        <f t="shared" si="4"/>
        <v>28731.995948902255</v>
      </c>
      <c r="K17" s="114">
        <f t="shared" si="4"/>
        <v>28731.995948902255</v>
      </c>
      <c r="L17" s="114">
        <f t="shared" si="4"/>
        <v>28731.995948902255</v>
      </c>
      <c r="M17" s="114">
        <f t="shared" si="4"/>
        <v>28731.995948902255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spans="1:26" ht="15.75" customHeight="1" x14ac:dyDescent="0.25">
      <c r="A18" s="126" t="s">
        <v>201</v>
      </c>
      <c r="B18" s="127" t="s">
        <v>202</v>
      </c>
      <c r="C18" s="127"/>
      <c r="D18" s="128"/>
      <c r="E18" s="128"/>
      <c r="F18" s="129">
        <f>[4]BASES!H18*1.1</f>
        <v>74020.372775777781</v>
      </c>
      <c r="G18" s="146"/>
      <c r="H18" s="114">
        <f t="shared" si="4"/>
        <v>12336.728795962963</v>
      </c>
      <c r="I18" s="114">
        <f t="shared" si="4"/>
        <v>12336.728795962963</v>
      </c>
      <c r="J18" s="114">
        <f t="shared" si="4"/>
        <v>12336.728795962963</v>
      </c>
      <c r="K18" s="114">
        <f t="shared" si="4"/>
        <v>12336.728795962963</v>
      </c>
      <c r="L18" s="114">
        <f t="shared" si="4"/>
        <v>12336.728795962963</v>
      </c>
      <c r="M18" s="114">
        <f t="shared" si="4"/>
        <v>12336.728795962963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spans="1:26" ht="15.75" customHeight="1" x14ac:dyDescent="0.25">
      <c r="A19" s="131" t="s">
        <v>203</v>
      </c>
      <c r="B19" s="132" t="s">
        <v>204</v>
      </c>
      <c r="C19" s="132"/>
      <c r="D19" s="133"/>
      <c r="E19" s="133"/>
      <c r="F19" s="134">
        <f>F20+F34+F53</f>
        <v>2865093.8916215952</v>
      </c>
      <c r="G19" s="146"/>
      <c r="H19" s="111"/>
      <c r="I19" s="111"/>
      <c r="J19" s="111"/>
      <c r="K19" s="111"/>
      <c r="L19" s="111"/>
      <c r="M19" s="111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spans="1:26" ht="15.75" customHeight="1" x14ac:dyDescent="0.25">
      <c r="A20" s="135" t="s">
        <v>205</v>
      </c>
      <c r="B20" s="123" t="s">
        <v>206</v>
      </c>
      <c r="C20" s="123"/>
      <c r="D20" s="124"/>
      <c r="E20" s="124"/>
      <c r="F20" s="125">
        <f>F21+F23+F33</f>
        <v>511881.41781731317</v>
      </c>
      <c r="G20" s="146"/>
      <c r="H20" s="111"/>
      <c r="I20" s="111"/>
      <c r="J20" s="111"/>
      <c r="K20" s="111"/>
      <c r="L20" s="111"/>
      <c r="M20" s="111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spans="1:26" ht="15.75" customHeight="1" x14ac:dyDescent="0.25">
      <c r="A21" s="130" t="s">
        <v>207</v>
      </c>
      <c r="B21" s="127" t="s">
        <v>208</v>
      </c>
      <c r="C21" s="127"/>
      <c r="D21" s="128"/>
      <c r="E21" s="128"/>
      <c r="F21" s="129">
        <f>F22</f>
        <v>115000</v>
      </c>
      <c r="G21" s="146"/>
      <c r="H21" s="111"/>
      <c r="I21" s="111"/>
      <c r="J21" s="111"/>
      <c r="K21" s="111"/>
      <c r="L21" s="111"/>
      <c r="M21" s="111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ht="15.75" customHeight="1" x14ac:dyDescent="0.25">
      <c r="A22" s="136" t="s">
        <v>209</v>
      </c>
      <c r="B22" s="137" t="s">
        <v>210</v>
      </c>
      <c r="C22" s="137" t="s">
        <v>211</v>
      </c>
      <c r="D22" s="138">
        <f>[4]OBRA!D12</f>
        <v>46</v>
      </c>
      <c r="E22" s="139">
        <f>[4]BASES!H20</f>
        <v>2500</v>
      </c>
      <c r="F22" s="140">
        <f>E22*D22</f>
        <v>115000</v>
      </c>
      <c r="G22" s="146"/>
      <c r="H22" s="111"/>
      <c r="I22" s="111"/>
      <c r="J22" s="111"/>
      <c r="K22" s="111"/>
      <c r="L22" s="111"/>
      <c r="M22" s="111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ht="15.75" customHeight="1" x14ac:dyDescent="0.25">
      <c r="A23" s="130" t="s">
        <v>212</v>
      </c>
      <c r="B23" s="127" t="s">
        <v>213</v>
      </c>
      <c r="C23" s="127"/>
      <c r="D23" s="128"/>
      <c r="E23" s="128"/>
      <c r="F23" s="129">
        <f>SUM(F24:F32)</f>
        <v>354289.86844297714</v>
      </c>
      <c r="G23" s="146"/>
      <c r="H23" s="111"/>
      <c r="I23" s="111"/>
      <c r="J23" s="111"/>
      <c r="K23" s="111"/>
      <c r="L23" s="111"/>
      <c r="M23" s="111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ht="15.75" customHeight="1" x14ac:dyDescent="0.25">
      <c r="A24" s="136" t="s">
        <v>214</v>
      </c>
      <c r="B24" s="137" t="s">
        <v>215</v>
      </c>
      <c r="C24" s="137" t="s">
        <v>216</v>
      </c>
      <c r="D24" s="138">
        <f>[4]EPCs!D13</f>
        <v>290.12</v>
      </c>
      <c r="E24" s="138">
        <v>294.33</v>
      </c>
      <c r="F24" s="140">
        <f t="shared" ref="F24:F32" si="5">E24*D24</f>
        <v>85391.0196</v>
      </c>
      <c r="G24" s="146"/>
      <c r="H24" s="111"/>
      <c r="I24" s="111"/>
      <c r="J24" s="111"/>
      <c r="K24" s="111"/>
      <c r="L24" s="111"/>
      <c r="M24" s="111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ht="15.75" customHeight="1" x14ac:dyDescent="0.25">
      <c r="A25" s="136" t="s">
        <v>217</v>
      </c>
      <c r="B25" s="137" t="s">
        <v>218</v>
      </c>
      <c r="C25" s="137" t="s">
        <v>216</v>
      </c>
      <c r="D25" s="138">
        <f>[4]EPCs!D14</f>
        <v>132.16</v>
      </c>
      <c r="E25" s="138">
        <v>210.06</v>
      </c>
      <c r="F25" s="140">
        <f t="shared" si="5"/>
        <v>27761.529599999998</v>
      </c>
      <c r="G25" s="146"/>
      <c r="H25" s="111"/>
      <c r="I25" s="111"/>
      <c r="J25" s="111"/>
      <c r="K25" s="111"/>
      <c r="L25" s="111"/>
      <c r="M25" s="111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ht="19.5" customHeight="1" x14ac:dyDescent="0.25">
      <c r="A26" s="136" t="s">
        <v>219</v>
      </c>
      <c r="B26" s="137" t="s">
        <v>220</v>
      </c>
      <c r="C26" s="137" t="s">
        <v>216</v>
      </c>
      <c r="D26" s="138">
        <f>[4]EPCs!D21</f>
        <v>528.64</v>
      </c>
      <c r="E26" s="138">
        <v>17.89</v>
      </c>
      <c r="F26" s="140">
        <f t="shared" si="5"/>
        <v>9457.3696</v>
      </c>
      <c r="G26" s="146"/>
      <c r="H26" s="111"/>
      <c r="I26" s="111"/>
      <c r="J26" s="111"/>
      <c r="K26" s="111"/>
      <c r="L26" s="111"/>
      <c r="M26" s="111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ht="19.5" customHeight="1" x14ac:dyDescent="0.25">
      <c r="A27" s="136" t="s">
        <v>221</v>
      </c>
      <c r="B27" s="137" t="s">
        <v>222</v>
      </c>
      <c r="C27" s="137" t="s">
        <v>223</v>
      </c>
      <c r="D27" s="138">
        <f>[4]EPCs!D36</f>
        <v>56.160000000000004</v>
      </c>
      <c r="E27" s="138">
        <v>47.3</v>
      </c>
      <c r="F27" s="140">
        <f t="shared" si="5"/>
        <v>2656.3679999999999</v>
      </c>
      <c r="G27" s="146"/>
      <c r="H27" s="111"/>
      <c r="I27" s="111"/>
      <c r="J27" s="111"/>
      <c r="K27" s="111"/>
      <c r="L27" s="111"/>
      <c r="M27" s="111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ht="17.25" customHeight="1" x14ac:dyDescent="0.25">
      <c r="A28" s="136" t="s">
        <v>224</v>
      </c>
      <c r="B28" s="137" t="s">
        <v>225</v>
      </c>
      <c r="C28" s="137" t="s">
        <v>216</v>
      </c>
      <c r="D28" s="138">
        <f>D26</f>
        <v>528.64</v>
      </c>
      <c r="E28" s="138">
        <v>244</v>
      </c>
      <c r="F28" s="140">
        <f t="shared" si="5"/>
        <v>128988.16</v>
      </c>
      <c r="G28" s="146"/>
      <c r="H28" s="111"/>
      <c r="I28" s="111"/>
      <c r="J28" s="111"/>
      <c r="K28" s="111"/>
      <c r="L28" s="111"/>
      <c r="M28" s="111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ht="17.25" customHeight="1" x14ac:dyDescent="0.25">
      <c r="A29" s="136" t="s">
        <v>226</v>
      </c>
      <c r="B29" s="137" t="s">
        <v>227</v>
      </c>
      <c r="C29" s="137" t="s">
        <v>223</v>
      </c>
      <c r="D29" s="138">
        <f>[4]EPCs!D28</f>
        <v>5918.1247999999996</v>
      </c>
      <c r="E29" s="138">
        <v>8.5</v>
      </c>
      <c r="F29" s="140">
        <f t="shared" si="5"/>
        <v>50304.060799999999</v>
      </c>
      <c r="G29" s="146"/>
      <c r="H29" s="111"/>
      <c r="I29" s="111"/>
      <c r="J29" s="111"/>
      <c r="K29" s="111"/>
      <c r="L29" s="111"/>
      <c r="M29" s="111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ht="15.75" customHeight="1" x14ac:dyDescent="0.25">
      <c r="A30" s="136" t="s">
        <v>228</v>
      </c>
      <c r="B30" s="137" t="s">
        <v>229</v>
      </c>
      <c r="C30" s="137" t="s">
        <v>230</v>
      </c>
      <c r="D30" s="138">
        <v>1</v>
      </c>
      <c r="E30" s="138">
        <f>[4]BASES!H21*1.1</f>
        <v>3615.5038429770984</v>
      </c>
      <c r="F30" s="140">
        <f t="shared" si="5"/>
        <v>3615.5038429770984</v>
      </c>
      <c r="G30" s="146"/>
      <c r="H30" s="111"/>
      <c r="I30" s="111"/>
      <c r="J30" s="111"/>
      <c r="K30" s="111"/>
      <c r="L30" s="111"/>
      <c r="M30" s="111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ht="15.75" customHeight="1" x14ac:dyDescent="0.25">
      <c r="A31" s="136" t="s">
        <v>231</v>
      </c>
      <c r="B31" s="137" t="s">
        <v>232</v>
      </c>
      <c r="C31" s="137" t="s">
        <v>230</v>
      </c>
      <c r="D31" s="138">
        <v>1</v>
      </c>
      <c r="E31" s="138">
        <f>[4]CANTEIRO!D18</f>
        <v>40000</v>
      </c>
      <c r="F31" s="140">
        <f t="shared" si="5"/>
        <v>40000</v>
      </c>
      <c r="G31" s="146"/>
      <c r="H31" s="111"/>
      <c r="I31" s="111"/>
      <c r="J31" s="111"/>
      <c r="K31" s="111"/>
      <c r="L31" s="111"/>
      <c r="M31" s="111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ht="15.75" customHeight="1" x14ac:dyDescent="0.25">
      <c r="A32" s="136" t="s">
        <v>295</v>
      </c>
      <c r="B32" s="137" t="s">
        <v>296</v>
      </c>
      <c r="C32" s="137" t="s">
        <v>216</v>
      </c>
      <c r="D32" s="138">
        <v>397.65</v>
      </c>
      <c r="E32" s="138">
        <v>15.38</v>
      </c>
      <c r="F32" s="140">
        <f t="shared" si="5"/>
        <v>6115.857</v>
      </c>
      <c r="G32" s="146"/>
      <c r="H32" s="111"/>
      <c r="I32" s="111"/>
      <c r="J32" s="111"/>
      <c r="K32" s="111"/>
      <c r="L32" s="111"/>
      <c r="M32" s="111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ht="15.75" customHeight="1" x14ac:dyDescent="0.25">
      <c r="A33" s="130" t="s">
        <v>233</v>
      </c>
      <c r="B33" s="127" t="s">
        <v>234</v>
      </c>
      <c r="C33" s="127"/>
      <c r="D33" s="128"/>
      <c r="E33" s="128"/>
      <c r="F33" s="129">
        <f>[4]BASES!H22</f>
        <v>42591.549374336028</v>
      </c>
      <c r="G33" s="146"/>
      <c r="H33" s="111"/>
      <c r="I33" s="111"/>
      <c r="J33" s="111"/>
      <c r="K33" s="111"/>
      <c r="L33" s="111"/>
      <c r="M33" s="111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ht="15.75" customHeight="1" x14ac:dyDescent="0.25">
      <c r="A34" s="135" t="s">
        <v>235</v>
      </c>
      <c r="B34" s="123" t="s">
        <v>236</v>
      </c>
      <c r="C34" s="123"/>
      <c r="D34" s="124"/>
      <c r="E34" s="124"/>
      <c r="F34" s="125">
        <f>F35+F41+F43+F52</f>
        <v>1834806.4738042823</v>
      </c>
      <c r="G34" s="146"/>
      <c r="H34" s="111"/>
      <c r="I34" s="111"/>
      <c r="J34" s="111"/>
      <c r="K34" s="111"/>
      <c r="L34" s="111"/>
      <c r="M34" s="111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ht="15.75" customHeight="1" x14ac:dyDescent="0.25">
      <c r="A35" s="130" t="s">
        <v>237</v>
      </c>
      <c r="B35" s="127" t="s">
        <v>238</v>
      </c>
      <c r="C35" s="127"/>
      <c r="D35" s="128"/>
      <c r="E35" s="128"/>
      <c r="F35" s="129">
        <f>SUM(F36:F40)</f>
        <v>1244946.3999999999</v>
      </c>
      <c r="G35" s="146"/>
      <c r="H35" s="111"/>
      <c r="I35" s="111"/>
      <c r="J35" s="111"/>
      <c r="K35" s="111"/>
      <c r="L35" s="111"/>
      <c r="M35" s="111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ht="15.75" customHeight="1" x14ac:dyDescent="0.25">
      <c r="A36" s="136" t="s">
        <v>239</v>
      </c>
      <c r="B36" s="137" t="s">
        <v>240</v>
      </c>
      <c r="C36" s="137" t="s">
        <v>211</v>
      </c>
      <c r="D36" s="138">
        <f>[4]OBRA!$D$12</f>
        <v>46</v>
      </c>
      <c r="E36" s="139">
        <v>8500</v>
      </c>
      <c r="F36" s="140">
        <f t="shared" ref="F36:F40" si="6">E36*D36</f>
        <v>391000</v>
      </c>
      <c r="G36" s="146"/>
      <c r="H36" s="111"/>
      <c r="I36" s="111"/>
      <c r="J36" s="111"/>
      <c r="K36" s="111"/>
      <c r="L36" s="111"/>
      <c r="M36" s="111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ht="15.75" customHeight="1" x14ac:dyDescent="0.25">
      <c r="A37" s="136" t="s">
        <v>241</v>
      </c>
      <c r="B37" s="137" t="s">
        <v>242</v>
      </c>
      <c r="C37" s="137" t="s">
        <v>211</v>
      </c>
      <c r="D37" s="138">
        <f>[4]OBRA!$D$12</f>
        <v>46</v>
      </c>
      <c r="E37" s="139">
        <v>8000</v>
      </c>
      <c r="F37" s="140">
        <f t="shared" si="6"/>
        <v>368000</v>
      </c>
      <c r="G37" s="146"/>
      <c r="H37" s="111"/>
      <c r="I37" s="111"/>
      <c r="J37" s="111"/>
      <c r="K37" s="111"/>
      <c r="L37" s="111"/>
      <c r="M37" s="111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ht="15.75" customHeight="1" x14ac:dyDescent="0.25">
      <c r="A38" s="136" t="s">
        <v>243</v>
      </c>
      <c r="B38" s="137" t="s">
        <v>244</v>
      </c>
      <c r="C38" s="137" t="s">
        <v>211</v>
      </c>
      <c r="D38" s="138">
        <f>[4]OBRA!$D$12</f>
        <v>46</v>
      </c>
      <c r="E38" s="139">
        <v>2200</v>
      </c>
      <c r="F38" s="140">
        <f t="shared" si="6"/>
        <v>101200</v>
      </c>
      <c r="G38" s="146"/>
      <c r="H38" s="111"/>
      <c r="I38" s="111"/>
      <c r="J38" s="111"/>
      <c r="K38" s="111"/>
      <c r="L38" s="111"/>
      <c r="M38" s="111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ht="15.75" customHeight="1" x14ac:dyDescent="0.25">
      <c r="A39" s="136" t="s">
        <v>245</v>
      </c>
      <c r="B39" s="137" t="s">
        <v>246</v>
      </c>
      <c r="C39" s="137" t="s">
        <v>211</v>
      </c>
      <c r="D39" s="138">
        <f>D56</f>
        <v>19</v>
      </c>
      <c r="E39" s="139">
        <f>[4]BASES!H29</f>
        <v>3500</v>
      </c>
      <c r="F39" s="140">
        <f t="shared" si="6"/>
        <v>66500</v>
      </c>
      <c r="G39" s="146"/>
      <c r="H39" s="111"/>
      <c r="I39" s="111"/>
      <c r="J39" s="111"/>
      <c r="K39" s="111"/>
      <c r="L39" s="111"/>
      <c r="M39" s="111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ht="15.75" customHeight="1" x14ac:dyDescent="0.25">
      <c r="A40" s="136" t="s">
        <v>247</v>
      </c>
      <c r="B40" s="137" t="s">
        <v>248</v>
      </c>
      <c r="C40" s="137" t="s">
        <v>211</v>
      </c>
      <c r="D40" s="138">
        <f>[4]OBRA!$D$12</f>
        <v>46</v>
      </c>
      <c r="E40" s="139">
        <f>1880*1.84*2</f>
        <v>6918.4000000000005</v>
      </c>
      <c r="F40" s="140">
        <f t="shared" si="6"/>
        <v>318246.40000000002</v>
      </c>
      <c r="G40" s="146" t="s">
        <v>297</v>
      </c>
      <c r="H40" s="111"/>
      <c r="I40" s="111"/>
      <c r="J40" s="111"/>
      <c r="K40" s="111"/>
      <c r="L40" s="111"/>
      <c r="M40" s="111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ht="15.75" customHeight="1" x14ac:dyDescent="0.25">
      <c r="A41" s="130" t="s">
        <v>249</v>
      </c>
      <c r="B41" s="127" t="s">
        <v>250</v>
      </c>
      <c r="C41" s="127"/>
      <c r="D41" s="128"/>
      <c r="E41" s="128"/>
      <c r="F41" s="129">
        <f>SUM(F42)</f>
        <v>19687.5</v>
      </c>
      <c r="G41" s="146"/>
      <c r="H41" s="111"/>
      <c r="I41" s="111"/>
      <c r="J41" s="111"/>
      <c r="K41" s="111"/>
      <c r="L41" s="111"/>
      <c r="M41" s="111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ht="15.75" customHeight="1" x14ac:dyDescent="0.25">
      <c r="A42" s="136" t="s">
        <v>251</v>
      </c>
      <c r="B42" s="137" t="s">
        <v>252</v>
      </c>
      <c r="C42" s="137" t="s">
        <v>223</v>
      </c>
      <c r="D42" s="138">
        <f>[4]OBRA!D9</f>
        <v>1575</v>
      </c>
      <c r="E42" s="139">
        <v>12.5</v>
      </c>
      <c r="F42" s="140">
        <f>E42*D42</f>
        <v>19687.5</v>
      </c>
      <c r="G42" s="146"/>
      <c r="H42" s="113">
        <f>F42</f>
        <v>19687.5</v>
      </c>
      <c r="I42" s="111"/>
      <c r="J42" s="111"/>
      <c r="K42" s="111"/>
      <c r="L42" s="111"/>
      <c r="M42" s="111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ht="15.75" customHeight="1" x14ac:dyDescent="0.25">
      <c r="A43" s="130" t="s">
        <v>253</v>
      </c>
      <c r="B43" s="127" t="s">
        <v>254</v>
      </c>
      <c r="C43" s="127"/>
      <c r="D43" s="128"/>
      <c r="E43" s="128"/>
      <c r="F43" s="129">
        <f>SUM(F44:F51)</f>
        <v>225249.33782733069</v>
      </c>
      <c r="G43" s="146"/>
      <c r="H43" s="111"/>
      <c r="I43" s="111"/>
      <c r="J43" s="111"/>
      <c r="K43" s="111"/>
      <c r="L43" s="111"/>
      <c r="M43" s="111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ht="15.75" customHeight="1" x14ac:dyDescent="0.25">
      <c r="A44" s="136" t="s">
        <v>255</v>
      </c>
      <c r="B44" s="137" t="s">
        <v>256</v>
      </c>
      <c r="C44" s="141" t="s">
        <v>211</v>
      </c>
      <c r="D44" s="138">
        <v>7</v>
      </c>
      <c r="E44" s="138">
        <v>2850</v>
      </c>
      <c r="F44" s="140">
        <f t="shared" ref="F44:F50" si="7">E44*D44</f>
        <v>19950</v>
      </c>
      <c r="G44" s="146" t="s">
        <v>298</v>
      </c>
      <c r="H44" s="114">
        <f>$F44/6</f>
        <v>3325</v>
      </c>
      <c r="I44" s="114">
        <f t="shared" ref="I44:M44" si="8">$F44/6</f>
        <v>3325</v>
      </c>
      <c r="J44" s="114">
        <f t="shared" si="8"/>
        <v>3325</v>
      </c>
      <c r="K44" s="114">
        <f t="shared" si="8"/>
        <v>3325</v>
      </c>
      <c r="L44" s="114">
        <f t="shared" si="8"/>
        <v>3325</v>
      </c>
      <c r="M44" s="114">
        <f t="shared" si="8"/>
        <v>3325</v>
      </c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ht="15.75" customHeight="1" x14ac:dyDescent="0.25">
      <c r="A45" s="136" t="s">
        <v>257</v>
      </c>
      <c r="B45" s="137" t="s">
        <v>258</v>
      </c>
      <c r="C45" s="137" t="s">
        <v>230</v>
      </c>
      <c r="D45" s="139">
        <v>1</v>
      </c>
      <c r="E45" s="139">
        <f>[4]BASES!H39</f>
        <v>73627.572200917653</v>
      </c>
      <c r="F45" s="142">
        <f t="shared" si="7"/>
        <v>73627.572200917653</v>
      </c>
      <c r="G45" s="146"/>
      <c r="H45" s="114">
        <f>$F45/3</f>
        <v>24542.52406697255</v>
      </c>
      <c r="I45" s="114">
        <f t="shared" ref="I45:J48" si="9">$F45/3</f>
        <v>24542.52406697255</v>
      </c>
      <c r="J45" s="114">
        <f t="shared" si="9"/>
        <v>24542.52406697255</v>
      </c>
      <c r="K45" s="111"/>
      <c r="L45" s="111"/>
      <c r="M45" s="111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ht="15.75" customHeight="1" x14ac:dyDescent="0.25">
      <c r="A46" s="136" t="s">
        <v>257</v>
      </c>
      <c r="B46" s="137" t="s">
        <v>299</v>
      </c>
      <c r="C46" s="141" t="s">
        <v>211</v>
      </c>
      <c r="D46" s="139">
        <f>[4]OBRA!D12</f>
        <v>46</v>
      </c>
      <c r="E46" s="139">
        <v>1500</v>
      </c>
      <c r="F46" s="142">
        <f t="shared" si="7"/>
        <v>69000</v>
      </c>
      <c r="G46" s="146"/>
      <c r="H46" s="111"/>
      <c r="I46" s="111"/>
      <c r="J46" s="111"/>
      <c r="K46" s="111"/>
      <c r="L46" s="111"/>
      <c r="M46" s="111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ht="15.75" customHeight="1" x14ac:dyDescent="0.25">
      <c r="A47" s="136" t="s">
        <v>259</v>
      </c>
      <c r="B47" s="137" t="s">
        <v>260</v>
      </c>
      <c r="C47" s="137" t="s">
        <v>230</v>
      </c>
      <c r="D47" s="139">
        <v>1</v>
      </c>
      <c r="E47" s="139">
        <f>[4]BASES!H36</f>
        <v>15778.006046364875</v>
      </c>
      <c r="F47" s="142">
        <f t="shared" si="7"/>
        <v>15778.006046364875</v>
      </c>
      <c r="G47" s="146"/>
      <c r="H47" s="114">
        <f>$F47/3</f>
        <v>5259.3353487882914</v>
      </c>
      <c r="I47" s="114">
        <f t="shared" si="9"/>
        <v>5259.3353487882914</v>
      </c>
      <c r="J47" s="114">
        <f t="shared" si="9"/>
        <v>5259.3353487882914</v>
      </c>
      <c r="K47" s="111"/>
      <c r="L47" s="111"/>
      <c r="M47" s="111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ht="15.75" customHeight="1" x14ac:dyDescent="0.25">
      <c r="A48" s="136" t="s">
        <v>261</v>
      </c>
      <c r="B48" s="137" t="s">
        <v>262</v>
      </c>
      <c r="C48" s="137" t="s">
        <v>230</v>
      </c>
      <c r="D48" s="139">
        <v>1</v>
      </c>
      <c r="E48" s="139">
        <f>[4]BASES!H37</f>
        <v>13809.655580048184</v>
      </c>
      <c r="F48" s="142">
        <f t="shared" si="7"/>
        <v>13809.655580048184</v>
      </c>
      <c r="G48" s="146"/>
      <c r="H48" s="114">
        <f>$F48/3</f>
        <v>4603.2185266827282</v>
      </c>
      <c r="I48" s="114">
        <f t="shared" si="9"/>
        <v>4603.2185266827282</v>
      </c>
      <c r="J48" s="114">
        <f t="shared" si="9"/>
        <v>4603.2185266827282</v>
      </c>
      <c r="K48" s="111"/>
      <c r="L48" s="111"/>
      <c r="M48" s="111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ht="15.75" customHeight="1" x14ac:dyDescent="0.25">
      <c r="A49" s="136" t="s">
        <v>263</v>
      </c>
      <c r="B49" s="137" t="s">
        <v>264</v>
      </c>
      <c r="C49" s="137" t="s">
        <v>230</v>
      </c>
      <c r="D49" s="139">
        <v>1</v>
      </c>
      <c r="E49" s="139">
        <f>[4]CANTEIRO!F29</f>
        <v>15200</v>
      </c>
      <c r="F49" s="142">
        <f t="shared" si="7"/>
        <v>15200</v>
      </c>
      <c r="G49" s="146"/>
      <c r="H49" s="114">
        <f>$F49/6</f>
        <v>2533.3333333333335</v>
      </c>
      <c r="I49" s="114">
        <f t="shared" ref="I49:M49" si="10">$F49/6</f>
        <v>2533.3333333333335</v>
      </c>
      <c r="J49" s="114">
        <f t="shared" si="10"/>
        <v>2533.3333333333335</v>
      </c>
      <c r="K49" s="114">
        <f t="shared" si="10"/>
        <v>2533.3333333333335</v>
      </c>
      <c r="L49" s="114">
        <f t="shared" si="10"/>
        <v>2533.3333333333335</v>
      </c>
      <c r="M49" s="114">
        <f t="shared" si="10"/>
        <v>2533.3333333333335</v>
      </c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ht="15.75" customHeight="1" x14ac:dyDescent="0.25">
      <c r="A50" s="136" t="s">
        <v>265</v>
      </c>
      <c r="B50" s="137" t="s">
        <v>266</v>
      </c>
      <c r="C50" s="141" t="s">
        <v>230</v>
      </c>
      <c r="D50" s="139">
        <v>1</v>
      </c>
      <c r="E50" s="139">
        <f>[4]CANTEIRO!F34</f>
        <v>9000</v>
      </c>
      <c r="F50" s="142">
        <f t="shared" si="7"/>
        <v>9000</v>
      </c>
      <c r="G50" s="146"/>
      <c r="H50" s="114">
        <f>$F50/3</f>
        <v>3000</v>
      </c>
      <c r="I50" s="114">
        <f t="shared" ref="I50:J50" si="11">$F50/3</f>
        <v>3000</v>
      </c>
      <c r="J50" s="114">
        <f t="shared" si="11"/>
        <v>3000</v>
      </c>
      <c r="K50" s="111"/>
      <c r="L50" s="111"/>
      <c r="M50" s="111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ht="15.75" customHeight="1" x14ac:dyDescent="0.25">
      <c r="A51" s="136" t="s">
        <v>267</v>
      </c>
      <c r="B51" s="137" t="s">
        <v>268</v>
      </c>
      <c r="C51" s="137" t="s">
        <v>223</v>
      </c>
      <c r="D51" s="138">
        <f>[4]EPCs!D43</f>
        <v>74.399999999999991</v>
      </c>
      <c r="E51" s="139">
        <v>119.41</v>
      </c>
      <c r="F51" s="140">
        <f>E51*D51</f>
        <v>8884.1039999999994</v>
      </c>
      <c r="G51" s="146"/>
      <c r="H51" s="114">
        <f>F51</f>
        <v>8884.1039999999994</v>
      </c>
      <c r="I51" s="111"/>
      <c r="J51" s="111"/>
      <c r="K51" s="111"/>
      <c r="L51" s="111"/>
      <c r="M51" s="111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ht="15.75" customHeight="1" x14ac:dyDescent="0.25">
      <c r="A52" s="130" t="s">
        <v>269</v>
      </c>
      <c r="B52" s="127" t="s">
        <v>270</v>
      </c>
      <c r="C52" s="127"/>
      <c r="D52" s="128"/>
      <c r="E52" s="128"/>
      <c r="F52" s="129">
        <f>[4]BASES!H40</f>
        <v>344923.23597695172</v>
      </c>
      <c r="G52" s="146"/>
      <c r="H52" s="111"/>
      <c r="I52" s="111"/>
      <c r="J52" s="111"/>
      <c r="K52" s="111"/>
      <c r="L52" s="111"/>
      <c r="M52" s="111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ht="15.75" customHeight="1" x14ac:dyDescent="0.25">
      <c r="A53" s="135" t="s">
        <v>271</v>
      </c>
      <c r="B53" s="123" t="s">
        <v>272</v>
      </c>
      <c r="C53" s="123"/>
      <c r="D53" s="124"/>
      <c r="E53" s="124"/>
      <c r="F53" s="125">
        <f>F54+F62</f>
        <v>518406</v>
      </c>
      <c r="G53" s="146"/>
      <c r="H53" s="111"/>
      <c r="I53" s="111"/>
      <c r="J53" s="111"/>
      <c r="K53" s="111"/>
      <c r="L53" s="111"/>
      <c r="M53" s="111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ht="15.75" customHeight="1" x14ac:dyDescent="0.25">
      <c r="A54" s="130" t="s">
        <v>273</v>
      </c>
      <c r="B54" s="127" t="s">
        <v>274</v>
      </c>
      <c r="C54" s="127"/>
      <c r="D54" s="128"/>
      <c r="E54" s="128"/>
      <c r="F54" s="129">
        <f>SUM(F55:F61)</f>
        <v>410406</v>
      </c>
      <c r="G54" s="146"/>
      <c r="H54" s="111"/>
      <c r="I54" s="111"/>
      <c r="J54" s="111"/>
      <c r="K54" s="111"/>
      <c r="L54" s="111"/>
      <c r="M54" s="111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ht="15.75" customHeight="1" x14ac:dyDescent="0.25">
      <c r="A55" s="136" t="s">
        <v>275</v>
      </c>
      <c r="B55" s="137" t="s">
        <v>276</v>
      </c>
      <c r="C55" s="137" t="s">
        <v>230</v>
      </c>
      <c r="D55" s="138">
        <v>1</v>
      </c>
      <c r="E55" s="138">
        <f>[4]CANTEIRO!D17</f>
        <v>60000</v>
      </c>
      <c r="F55" s="142">
        <f>E55*D55</f>
        <v>60000</v>
      </c>
      <c r="G55" s="146"/>
      <c r="H55" s="111"/>
      <c r="I55" s="111"/>
      <c r="J55" s="111"/>
      <c r="K55" s="111"/>
      <c r="L55" s="111"/>
      <c r="M55" s="111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ht="15.75" customHeight="1" x14ac:dyDescent="0.25">
      <c r="A56" s="136" t="s">
        <v>277</v>
      </c>
      <c r="B56" s="137" t="s">
        <v>300</v>
      </c>
      <c r="C56" s="137" t="s">
        <v>211</v>
      </c>
      <c r="D56" s="138">
        <v>19</v>
      </c>
      <c r="E56" s="138">
        <v>12000</v>
      </c>
      <c r="F56" s="142">
        <f>E56*D56</f>
        <v>228000</v>
      </c>
      <c r="G56" s="146"/>
      <c r="H56" s="111"/>
      <c r="I56" s="111"/>
      <c r="J56" s="111"/>
      <c r="K56" s="111"/>
      <c r="L56" s="111"/>
      <c r="M56" s="111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ht="15.75" customHeight="1" x14ac:dyDescent="0.25">
      <c r="A57" s="136" t="s">
        <v>278</v>
      </c>
      <c r="B57" s="137" t="s">
        <v>279</v>
      </c>
      <c r="C57" s="137" t="s">
        <v>180</v>
      </c>
      <c r="D57" s="138">
        <v>1</v>
      </c>
      <c r="E57" s="138">
        <v>17600</v>
      </c>
      <c r="F57" s="142">
        <f t="shared" ref="F57:F61" si="12">E57*D57</f>
        <v>17600</v>
      </c>
      <c r="G57" s="146"/>
      <c r="H57" s="111"/>
      <c r="I57" s="111"/>
      <c r="J57" s="111"/>
      <c r="K57" s="111"/>
      <c r="L57" s="111"/>
      <c r="M57" s="111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ht="15.75" customHeight="1" x14ac:dyDescent="0.25">
      <c r="A58" s="136" t="s">
        <v>280</v>
      </c>
      <c r="B58" s="137" t="s">
        <v>281</v>
      </c>
      <c r="C58" s="137" t="s">
        <v>180</v>
      </c>
      <c r="D58" s="138">
        <v>1</v>
      </c>
      <c r="E58" s="138">
        <v>13000</v>
      </c>
      <c r="F58" s="142">
        <f t="shared" si="12"/>
        <v>13000</v>
      </c>
      <c r="G58" s="146"/>
      <c r="H58" s="111"/>
      <c r="I58" s="111"/>
      <c r="J58" s="111"/>
      <c r="K58" s="111"/>
      <c r="L58" s="111"/>
      <c r="M58" s="111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ht="15.75" customHeight="1" x14ac:dyDescent="0.25">
      <c r="A59" s="136" t="s">
        <v>282</v>
      </c>
      <c r="B59" s="137" t="s">
        <v>301</v>
      </c>
      <c r="C59" s="137" t="s">
        <v>211</v>
      </c>
      <c r="D59" s="138">
        <v>19</v>
      </c>
      <c r="E59" s="138">
        <v>3950</v>
      </c>
      <c r="F59" s="142">
        <f t="shared" si="12"/>
        <v>75050</v>
      </c>
      <c r="G59" s="146"/>
      <c r="H59" s="111"/>
      <c r="I59" s="111"/>
      <c r="J59" s="111"/>
      <c r="K59" s="111"/>
      <c r="L59" s="111"/>
      <c r="M59" s="111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ht="15.75" customHeight="1" x14ac:dyDescent="0.25">
      <c r="A60" s="136" t="s">
        <v>283</v>
      </c>
      <c r="B60" s="137" t="s">
        <v>284</v>
      </c>
      <c r="C60" s="137" t="s">
        <v>180</v>
      </c>
      <c r="D60" s="138">
        <v>1</v>
      </c>
      <c r="E60" s="138">
        <v>7000</v>
      </c>
      <c r="F60" s="142">
        <f t="shared" si="12"/>
        <v>7000</v>
      </c>
      <c r="G60" s="146"/>
      <c r="H60" s="111"/>
      <c r="I60" s="111"/>
      <c r="J60" s="111"/>
      <c r="K60" s="111"/>
      <c r="L60" s="111"/>
      <c r="M60" s="111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ht="15.75" customHeight="1" x14ac:dyDescent="0.25">
      <c r="A61" s="136" t="s">
        <v>285</v>
      </c>
      <c r="B61" s="137" t="s">
        <v>286</v>
      </c>
      <c r="C61" s="137" t="s">
        <v>211</v>
      </c>
      <c r="D61" s="138">
        <v>1</v>
      </c>
      <c r="E61" s="138">
        <v>9756</v>
      </c>
      <c r="F61" s="142">
        <f t="shared" si="12"/>
        <v>9756</v>
      </c>
      <c r="G61" s="146"/>
      <c r="H61" s="111"/>
      <c r="I61" s="111"/>
      <c r="J61" s="111"/>
      <c r="K61" s="111"/>
      <c r="L61" s="111"/>
      <c r="M61" s="111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ht="15.75" customHeight="1" x14ac:dyDescent="0.25">
      <c r="A62" s="130" t="s">
        <v>287</v>
      </c>
      <c r="B62" s="127" t="s">
        <v>75</v>
      </c>
      <c r="C62" s="127"/>
      <c r="D62" s="143"/>
      <c r="E62" s="143"/>
      <c r="F62" s="129">
        <f>SUM(F63:F65)</f>
        <v>108000</v>
      </c>
      <c r="G62" s="146"/>
      <c r="H62" s="111"/>
      <c r="I62" s="111"/>
      <c r="J62" s="111"/>
      <c r="K62" s="111"/>
      <c r="L62" s="111"/>
      <c r="M62" s="111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ht="15.75" customHeight="1" x14ac:dyDescent="0.25">
      <c r="A63" s="136" t="s">
        <v>288</v>
      </c>
      <c r="B63" s="137" t="s">
        <v>289</v>
      </c>
      <c r="C63" s="137" t="s">
        <v>211</v>
      </c>
      <c r="D63" s="138">
        <v>9</v>
      </c>
      <c r="E63" s="138">
        <f>1800*2</f>
        <v>3600</v>
      </c>
      <c r="F63" s="142">
        <f>E63*D63</f>
        <v>32400</v>
      </c>
      <c r="G63" s="146"/>
      <c r="H63" s="111"/>
      <c r="I63" s="111"/>
      <c r="J63" s="111"/>
      <c r="K63" s="111"/>
      <c r="L63" s="111"/>
      <c r="M63" s="111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ht="15.75" customHeight="1" x14ac:dyDescent="0.25">
      <c r="A64" s="136" t="s">
        <v>290</v>
      </c>
      <c r="B64" s="137" t="s">
        <v>291</v>
      </c>
      <c r="C64" s="137" t="s">
        <v>180</v>
      </c>
      <c r="D64" s="138">
        <f>ROUNDUP([4]EPCs!$D$12/4,0)*2+ROUNDUP([4]EPCs!$D$11/4,0)*2</f>
        <v>148</v>
      </c>
      <c r="E64" s="138">
        <v>450</v>
      </c>
      <c r="F64" s="142">
        <f t="shared" ref="F64:F65" si="13">E64*D64</f>
        <v>66600</v>
      </c>
      <c r="G64" s="146"/>
      <c r="H64" s="111"/>
      <c r="I64" s="111"/>
      <c r="J64" s="111"/>
      <c r="K64" s="111"/>
      <c r="L64" s="111"/>
      <c r="M64" s="111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ht="15.75" customHeight="1" x14ac:dyDescent="0.25">
      <c r="A65" s="136" t="s">
        <v>292</v>
      </c>
      <c r="B65" s="144" t="s">
        <v>293</v>
      </c>
      <c r="C65" s="137" t="s">
        <v>211</v>
      </c>
      <c r="D65" s="145">
        <v>6</v>
      </c>
      <c r="E65" s="145">
        <v>1500</v>
      </c>
      <c r="F65" s="142">
        <f t="shared" si="13"/>
        <v>9000</v>
      </c>
      <c r="G65" s="146"/>
      <c r="H65" s="111"/>
      <c r="I65" s="111"/>
      <c r="J65" s="111"/>
      <c r="K65" s="111"/>
      <c r="L65" s="111"/>
      <c r="M65" s="111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ht="19.5" customHeight="1" thickBot="1" x14ac:dyDescent="0.3">
      <c r="A66" s="190" t="s">
        <v>294</v>
      </c>
      <c r="B66" s="191"/>
      <c r="C66" s="191"/>
      <c r="D66" s="191"/>
      <c r="E66" s="192"/>
      <c r="F66" s="156">
        <f>F19+F9</f>
        <v>4230121.2705396498</v>
      </c>
      <c r="G66" s="146"/>
      <c r="H66" s="111"/>
      <c r="I66" s="111"/>
      <c r="J66" s="111"/>
      <c r="K66" s="111"/>
      <c r="L66" s="111"/>
      <c r="M66" s="111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ht="19.5" customHeight="1" x14ac:dyDescent="0.25">
      <c r="A67" s="150"/>
      <c r="B67" s="150"/>
      <c r="C67" s="150"/>
      <c r="D67" s="151"/>
      <c r="E67" s="151"/>
      <c r="F67" s="151"/>
      <c r="G67" s="146"/>
      <c r="H67" s="111"/>
      <c r="I67" s="111"/>
      <c r="J67" s="111"/>
      <c r="K67" s="111"/>
      <c r="L67" s="111"/>
      <c r="M67" s="111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ht="19.5" customHeight="1" x14ac:dyDescent="0.25">
      <c r="A68" s="150"/>
      <c r="B68" s="150"/>
      <c r="C68" s="150"/>
      <c r="D68" s="151"/>
      <c r="E68" s="151"/>
      <c r="F68" s="151"/>
      <c r="G68" s="146"/>
      <c r="H68" s="111"/>
      <c r="I68" s="111"/>
      <c r="J68" s="111"/>
      <c r="K68" s="111"/>
      <c r="L68" s="111"/>
      <c r="M68" s="111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ht="19.5" customHeight="1" x14ac:dyDescent="0.25">
      <c r="A69" s="150"/>
      <c r="B69" s="150"/>
      <c r="C69" s="150"/>
      <c r="D69" s="151"/>
      <c r="E69" s="151"/>
      <c r="F69" s="151"/>
      <c r="G69" s="146"/>
      <c r="H69" s="111"/>
      <c r="I69" s="111"/>
      <c r="J69" s="111"/>
      <c r="K69" s="111"/>
      <c r="L69" s="111"/>
      <c r="M69" s="111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spans="1:26" ht="19.5" customHeight="1" x14ac:dyDescent="0.25">
      <c r="A70" s="150"/>
      <c r="B70" s="150"/>
      <c r="C70" s="150"/>
      <c r="D70" s="151"/>
      <c r="E70" s="151"/>
      <c r="F70" s="151"/>
      <c r="G70" s="146"/>
      <c r="H70" s="111"/>
      <c r="I70" s="111"/>
      <c r="J70" s="111"/>
      <c r="K70" s="111"/>
      <c r="L70" s="111"/>
      <c r="M70" s="111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spans="1:26" ht="19.5" customHeight="1" x14ac:dyDescent="0.25">
      <c r="A71" s="150"/>
      <c r="B71" s="150"/>
      <c r="C71" s="150"/>
      <c r="D71" s="151"/>
      <c r="E71" s="151"/>
      <c r="F71" s="151"/>
      <c r="G71" s="146"/>
      <c r="H71" s="111"/>
      <c r="I71" s="111"/>
      <c r="J71" s="111"/>
      <c r="K71" s="111"/>
      <c r="L71" s="111"/>
      <c r="M71" s="111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spans="1:26" ht="19.5" customHeight="1" x14ac:dyDescent="0.25">
      <c r="A72" s="150"/>
      <c r="B72" s="150"/>
      <c r="C72" s="150"/>
      <c r="D72" s="151"/>
      <c r="E72" s="151"/>
      <c r="F72" s="151"/>
      <c r="G72" s="146"/>
      <c r="H72" s="111"/>
      <c r="I72" s="111"/>
      <c r="J72" s="111"/>
      <c r="K72" s="111"/>
      <c r="L72" s="111"/>
      <c r="M72" s="111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spans="1:26" ht="19.5" customHeight="1" x14ac:dyDescent="0.25">
      <c r="A73" s="150"/>
      <c r="B73" s="150"/>
      <c r="C73" s="150"/>
      <c r="D73" s="151"/>
      <c r="E73" s="151"/>
      <c r="F73" s="151"/>
      <c r="G73" s="146"/>
      <c r="H73" s="111"/>
      <c r="I73" s="111"/>
      <c r="J73" s="111"/>
      <c r="K73" s="111"/>
      <c r="L73" s="111"/>
      <c r="M73" s="111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spans="1:26" ht="19.5" customHeight="1" x14ac:dyDescent="0.25">
      <c r="A74" s="150"/>
      <c r="B74" s="150"/>
      <c r="C74" s="150"/>
      <c r="D74" s="151"/>
      <c r="E74" s="151"/>
      <c r="F74" s="151"/>
      <c r="G74" s="146"/>
      <c r="H74" s="111"/>
      <c r="I74" s="111"/>
      <c r="J74" s="111"/>
      <c r="K74" s="111"/>
      <c r="L74" s="111"/>
      <c r="M74" s="111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spans="1:26" ht="19.5" customHeight="1" x14ac:dyDescent="0.25">
      <c r="A75" s="150"/>
      <c r="B75" s="150"/>
      <c r="C75" s="150"/>
      <c r="D75" s="151"/>
      <c r="E75" s="151"/>
      <c r="F75" s="151"/>
      <c r="G75" s="146"/>
      <c r="H75" s="111"/>
      <c r="I75" s="111"/>
      <c r="J75" s="111"/>
      <c r="K75" s="111"/>
      <c r="L75" s="111"/>
      <c r="M75" s="111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spans="1:26" ht="19.5" customHeight="1" x14ac:dyDescent="0.25">
      <c r="A76" s="150"/>
      <c r="B76" s="150"/>
      <c r="C76" s="150"/>
      <c r="D76" s="151"/>
      <c r="E76" s="151"/>
      <c r="F76" s="151"/>
      <c r="G76" s="146"/>
      <c r="H76" s="111"/>
      <c r="I76" s="111"/>
      <c r="J76" s="111"/>
      <c r="K76" s="111"/>
      <c r="L76" s="111"/>
      <c r="M76" s="111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6" ht="19.5" customHeight="1" x14ac:dyDescent="0.25">
      <c r="A77" s="150"/>
      <c r="B77" s="150"/>
      <c r="C77" s="150"/>
      <c r="D77" s="151"/>
      <c r="E77" s="151"/>
      <c r="F77" s="151"/>
      <c r="G77" s="146"/>
      <c r="H77" s="111"/>
      <c r="I77" s="111"/>
      <c r="J77" s="111"/>
      <c r="K77" s="111"/>
      <c r="L77" s="111"/>
      <c r="M77" s="111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spans="1:26" ht="19.5" customHeight="1" x14ac:dyDescent="0.25">
      <c r="A78" s="150"/>
      <c r="B78" s="150"/>
      <c r="C78" s="150"/>
      <c r="D78" s="151"/>
      <c r="E78" s="151"/>
      <c r="F78" s="151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6" ht="19.5" customHeight="1" x14ac:dyDescent="0.25">
      <c r="A79" s="150"/>
      <c r="B79" s="150"/>
      <c r="C79" s="150"/>
      <c r="D79" s="151"/>
      <c r="E79" s="151"/>
      <c r="F79" s="151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6" ht="19.5" customHeight="1" x14ac:dyDescent="0.25">
      <c r="A80" s="150"/>
      <c r="B80" s="150"/>
      <c r="C80" s="150"/>
      <c r="D80" s="151"/>
      <c r="E80" s="151"/>
      <c r="F80" s="151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spans="1:26" ht="19.5" customHeight="1" x14ac:dyDescent="0.25">
      <c r="A81" s="150"/>
      <c r="B81" s="150"/>
      <c r="C81" s="150"/>
      <c r="D81" s="151"/>
      <c r="E81" s="151"/>
      <c r="F81" s="151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1:26" ht="19.5" customHeight="1" x14ac:dyDescent="0.25">
      <c r="A82" s="150"/>
      <c r="B82" s="150"/>
      <c r="C82" s="150"/>
      <c r="D82" s="151"/>
      <c r="E82" s="151"/>
      <c r="F82" s="151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spans="1:26" ht="19.5" customHeight="1" x14ac:dyDescent="0.25">
      <c r="A83" s="150"/>
      <c r="B83" s="150"/>
      <c r="C83" s="150"/>
      <c r="D83" s="151"/>
      <c r="E83" s="151"/>
      <c r="F83" s="151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1:26" ht="19.5" customHeight="1" x14ac:dyDescent="0.25">
      <c r="A84" s="150"/>
      <c r="B84" s="150"/>
      <c r="C84" s="150"/>
      <c r="D84" s="151"/>
      <c r="E84" s="151"/>
      <c r="F84" s="151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1:26" ht="19.5" customHeight="1" x14ac:dyDescent="0.25">
      <c r="A85" s="150"/>
      <c r="B85" s="150"/>
      <c r="C85" s="150"/>
      <c r="D85" s="151"/>
      <c r="E85" s="151"/>
      <c r="F85" s="151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spans="1:26" ht="19.5" customHeight="1" x14ac:dyDescent="0.25">
      <c r="A86" s="150"/>
      <c r="B86" s="150"/>
      <c r="C86" s="150"/>
      <c r="D86" s="151"/>
      <c r="E86" s="151"/>
      <c r="F86" s="151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1:26" ht="19.5" customHeight="1" x14ac:dyDescent="0.25">
      <c r="A87" s="150"/>
      <c r="B87" s="150"/>
      <c r="C87" s="150"/>
      <c r="D87" s="151"/>
      <c r="E87" s="151"/>
      <c r="F87" s="151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spans="1:26" ht="19.5" customHeight="1" x14ac:dyDescent="0.25">
      <c r="A88" s="150"/>
      <c r="B88" s="150"/>
      <c r="C88" s="150"/>
      <c r="D88" s="151"/>
      <c r="E88" s="151"/>
      <c r="F88" s="151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1:26" ht="19.5" customHeight="1" x14ac:dyDescent="0.25">
      <c r="A89" s="150"/>
      <c r="B89" s="150"/>
      <c r="C89" s="150"/>
      <c r="D89" s="151"/>
      <c r="E89" s="151"/>
      <c r="F89" s="151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spans="1:26" ht="19.5" customHeight="1" x14ac:dyDescent="0.25">
      <c r="A90" s="150"/>
      <c r="B90" s="150"/>
      <c r="C90" s="150"/>
      <c r="D90" s="151"/>
      <c r="E90" s="151"/>
      <c r="F90" s="151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spans="1:26" ht="19.5" customHeight="1" x14ac:dyDescent="0.25">
      <c r="A91" s="150"/>
      <c r="B91" s="150"/>
      <c r="C91" s="150"/>
      <c r="D91" s="151"/>
      <c r="E91" s="151"/>
      <c r="F91" s="151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spans="1:26" ht="19.5" customHeight="1" x14ac:dyDescent="0.25">
      <c r="A92" s="150"/>
      <c r="B92" s="150"/>
      <c r="C92" s="150"/>
      <c r="D92" s="151"/>
      <c r="E92" s="151"/>
      <c r="F92" s="151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spans="1:26" ht="19.5" customHeight="1" x14ac:dyDescent="0.25">
      <c r="A93" s="150"/>
      <c r="B93" s="150"/>
      <c r="C93" s="150"/>
      <c r="D93" s="151"/>
      <c r="E93" s="151"/>
      <c r="F93" s="151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spans="1:26" ht="19.5" customHeight="1" x14ac:dyDescent="0.25">
      <c r="A94" s="150"/>
      <c r="B94" s="150"/>
      <c r="C94" s="150"/>
      <c r="D94" s="151"/>
      <c r="E94" s="151"/>
      <c r="F94" s="151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1:26" ht="19.5" customHeight="1" x14ac:dyDescent="0.25">
      <c r="A95" s="150"/>
      <c r="B95" s="150"/>
      <c r="C95" s="150"/>
      <c r="D95" s="151"/>
      <c r="E95" s="151"/>
      <c r="F95" s="151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spans="1:26" ht="19.5" customHeight="1" x14ac:dyDescent="0.25">
      <c r="A96" s="150"/>
      <c r="B96" s="150"/>
      <c r="C96" s="150"/>
      <c r="D96" s="151"/>
      <c r="E96" s="151"/>
      <c r="F96" s="151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1:26" ht="19.5" customHeight="1" x14ac:dyDescent="0.25">
      <c r="A97" s="150"/>
      <c r="B97" s="150"/>
      <c r="C97" s="150"/>
      <c r="D97" s="151"/>
      <c r="E97" s="151"/>
      <c r="F97" s="151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spans="1:26" ht="19.5" customHeight="1" x14ac:dyDescent="0.25">
      <c r="A98" s="150"/>
      <c r="B98" s="150"/>
      <c r="C98" s="150"/>
      <c r="D98" s="151"/>
      <c r="E98" s="151"/>
      <c r="F98" s="151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1:26" ht="19.5" customHeight="1" x14ac:dyDescent="0.25">
      <c r="A99" s="150"/>
      <c r="B99" s="150"/>
      <c r="C99" s="150"/>
      <c r="D99" s="151"/>
      <c r="E99" s="151"/>
      <c r="F99" s="151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spans="1:26" ht="19.5" customHeight="1" x14ac:dyDescent="0.25">
      <c r="A100" s="150"/>
      <c r="B100" s="150"/>
      <c r="C100" s="150"/>
      <c r="D100" s="151"/>
      <c r="E100" s="151"/>
      <c r="F100" s="151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spans="1:26" ht="19.5" customHeight="1" x14ac:dyDescent="0.25">
      <c r="A101" s="150"/>
      <c r="B101" s="150"/>
      <c r="C101" s="150"/>
      <c r="D101" s="151"/>
      <c r="E101" s="151"/>
      <c r="F101" s="151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spans="1:26" ht="19.5" customHeight="1" x14ac:dyDescent="0.25">
      <c r="A102" s="150"/>
      <c r="B102" s="150"/>
      <c r="C102" s="150"/>
      <c r="D102" s="151"/>
      <c r="E102" s="151"/>
      <c r="F102" s="151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spans="1:26" ht="19.5" customHeight="1" x14ac:dyDescent="0.25">
      <c r="A103" s="150"/>
      <c r="B103" s="150"/>
      <c r="C103" s="150"/>
      <c r="D103" s="151"/>
      <c r="E103" s="151"/>
      <c r="F103" s="151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spans="1:26" ht="19.5" customHeight="1" x14ac:dyDescent="0.25">
      <c r="A104" s="150"/>
      <c r="B104" s="150"/>
      <c r="C104" s="150"/>
      <c r="D104" s="151"/>
      <c r="E104" s="151"/>
      <c r="F104" s="151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spans="1:26" ht="19.5" customHeight="1" x14ac:dyDescent="0.25">
      <c r="A105" s="150"/>
      <c r="B105" s="150"/>
      <c r="C105" s="150"/>
      <c r="D105" s="151"/>
      <c r="E105" s="151"/>
      <c r="F105" s="151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spans="1:26" ht="19.5" customHeight="1" x14ac:dyDescent="0.25">
      <c r="A106" s="150"/>
      <c r="B106" s="150"/>
      <c r="C106" s="150"/>
      <c r="D106" s="151"/>
      <c r="E106" s="151"/>
      <c r="F106" s="151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spans="1:26" ht="19.5" customHeight="1" x14ac:dyDescent="0.25">
      <c r="A107" s="150"/>
      <c r="B107" s="150"/>
      <c r="C107" s="150"/>
      <c r="D107" s="151"/>
      <c r="E107" s="151"/>
      <c r="F107" s="151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spans="1:26" ht="19.5" customHeight="1" x14ac:dyDescent="0.25">
      <c r="A108" s="150"/>
      <c r="B108" s="150"/>
      <c r="C108" s="150"/>
      <c r="D108" s="151"/>
      <c r="E108" s="151"/>
      <c r="F108" s="151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spans="1:26" ht="19.5" customHeight="1" x14ac:dyDescent="0.25">
      <c r="A109" s="150"/>
      <c r="B109" s="150"/>
      <c r="C109" s="150"/>
      <c r="D109" s="151"/>
      <c r="E109" s="151"/>
      <c r="F109" s="151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spans="1:26" ht="19.5" customHeight="1" x14ac:dyDescent="0.25">
      <c r="A110" s="150"/>
      <c r="B110" s="150"/>
      <c r="C110" s="150"/>
      <c r="D110" s="151"/>
      <c r="E110" s="151"/>
      <c r="F110" s="151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spans="1:26" ht="19.5" customHeight="1" x14ac:dyDescent="0.25">
      <c r="A111" s="150"/>
      <c r="B111" s="150"/>
      <c r="C111" s="150"/>
      <c r="D111" s="151"/>
      <c r="E111" s="151"/>
      <c r="F111" s="151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spans="1:26" ht="19.5" customHeight="1" x14ac:dyDescent="0.25">
      <c r="A112" s="150"/>
      <c r="B112" s="150"/>
      <c r="C112" s="150"/>
      <c r="D112" s="151"/>
      <c r="E112" s="151"/>
      <c r="F112" s="151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spans="1:26" ht="19.5" customHeight="1" x14ac:dyDescent="0.25">
      <c r="A113" s="150"/>
      <c r="B113" s="150"/>
      <c r="C113" s="150"/>
      <c r="D113" s="151"/>
      <c r="E113" s="151"/>
      <c r="F113" s="151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spans="1:26" ht="19.5" customHeight="1" x14ac:dyDescent="0.25">
      <c r="A114" s="150"/>
      <c r="B114" s="150"/>
      <c r="C114" s="150"/>
      <c r="D114" s="151"/>
      <c r="E114" s="151"/>
      <c r="F114" s="151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spans="1:26" ht="19.5" customHeight="1" x14ac:dyDescent="0.25">
      <c r="A115" s="150"/>
      <c r="B115" s="150"/>
      <c r="C115" s="150"/>
      <c r="D115" s="151"/>
      <c r="E115" s="151"/>
      <c r="F115" s="151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spans="1:26" ht="19.5" customHeight="1" x14ac:dyDescent="0.25">
      <c r="A116" s="150"/>
      <c r="B116" s="150"/>
      <c r="C116" s="150"/>
      <c r="D116" s="151"/>
      <c r="E116" s="151"/>
      <c r="F116" s="151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spans="1:26" ht="19.5" customHeight="1" x14ac:dyDescent="0.25">
      <c r="A117" s="150"/>
      <c r="B117" s="150"/>
      <c r="C117" s="150"/>
      <c r="D117" s="151"/>
      <c r="E117" s="151"/>
      <c r="F117" s="151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spans="1:26" ht="19.5" customHeight="1" x14ac:dyDescent="0.25">
      <c r="A118" s="150"/>
      <c r="B118" s="150"/>
      <c r="C118" s="150"/>
      <c r="D118" s="151"/>
      <c r="E118" s="151"/>
      <c r="F118" s="151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spans="1:26" ht="19.5" customHeight="1" x14ac:dyDescent="0.25">
      <c r="A119" s="150"/>
      <c r="B119" s="150"/>
      <c r="C119" s="150"/>
      <c r="D119" s="151"/>
      <c r="E119" s="151"/>
      <c r="F119" s="151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spans="1:26" ht="19.5" customHeight="1" x14ac:dyDescent="0.25">
      <c r="A120" s="150"/>
      <c r="B120" s="150"/>
      <c r="C120" s="150"/>
      <c r="D120" s="151"/>
      <c r="E120" s="151"/>
      <c r="F120" s="151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spans="1:26" ht="19.5" customHeight="1" x14ac:dyDescent="0.25">
      <c r="A121" s="150"/>
      <c r="B121" s="150"/>
      <c r="C121" s="150"/>
      <c r="D121" s="151"/>
      <c r="E121" s="151"/>
      <c r="F121" s="151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spans="1:26" ht="19.5" customHeight="1" x14ac:dyDescent="0.25">
      <c r="A122" s="150"/>
      <c r="B122" s="150"/>
      <c r="C122" s="150"/>
      <c r="D122" s="151"/>
      <c r="E122" s="151"/>
      <c r="F122" s="151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spans="1:26" ht="19.5" customHeight="1" x14ac:dyDescent="0.25">
      <c r="A123" s="150"/>
      <c r="B123" s="150"/>
      <c r="C123" s="150"/>
      <c r="D123" s="151"/>
      <c r="E123" s="151"/>
      <c r="F123" s="151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spans="1:26" ht="19.5" customHeight="1" x14ac:dyDescent="0.25">
      <c r="A124" s="150"/>
      <c r="B124" s="150"/>
      <c r="C124" s="150"/>
      <c r="D124" s="151"/>
      <c r="E124" s="151"/>
      <c r="F124" s="151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spans="1:26" ht="19.5" customHeight="1" x14ac:dyDescent="0.25">
      <c r="A125" s="150"/>
      <c r="B125" s="150"/>
      <c r="C125" s="150"/>
      <c r="D125" s="151"/>
      <c r="E125" s="151"/>
      <c r="F125" s="151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spans="1:26" ht="19.5" customHeight="1" x14ac:dyDescent="0.25">
      <c r="A126" s="150"/>
      <c r="B126" s="150"/>
      <c r="C126" s="150"/>
      <c r="D126" s="151"/>
      <c r="E126" s="151"/>
      <c r="F126" s="151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spans="1:26" ht="19.5" customHeight="1" x14ac:dyDescent="0.25">
      <c r="A127" s="150"/>
      <c r="B127" s="150"/>
      <c r="C127" s="150"/>
      <c r="D127" s="151"/>
      <c r="E127" s="151"/>
      <c r="F127" s="151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spans="1:26" ht="19.5" customHeight="1" x14ac:dyDescent="0.25">
      <c r="A128" s="150"/>
      <c r="B128" s="150"/>
      <c r="C128" s="150"/>
      <c r="D128" s="151"/>
      <c r="E128" s="151"/>
      <c r="F128" s="151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spans="1:26" ht="19.5" customHeight="1" x14ac:dyDescent="0.25">
      <c r="A129" s="150"/>
      <c r="B129" s="150"/>
      <c r="C129" s="150"/>
      <c r="D129" s="151"/>
      <c r="E129" s="151"/>
      <c r="F129" s="151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spans="1:26" ht="19.5" customHeight="1" x14ac:dyDescent="0.25">
      <c r="A130" s="150"/>
      <c r="B130" s="150"/>
      <c r="C130" s="150"/>
      <c r="D130" s="151"/>
      <c r="E130" s="151"/>
      <c r="F130" s="151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spans="1:26" ht="19.5" customHeight="1" x14ac:dyDescent="0.25">
      <c r="A131" s="150"/>
      <c r="B131" s="150"/>
      <c r="C131" s="150"/>
      <c r="D131" s="151"/>
      <c r="E131" s="151"/>
      <c r="F131" s="151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spans="1:26" ht="19.5" customHeight="1" x14ac:dyDescent="0.25">
      <c r="A132" s="150"/>
      <c r="B132" s="150"/>
      <c r="C132" s="150"/>
      <c r="D132" s="151"/>
      <c r="E132" s="151"/>
      <c r="F132" s="151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spans="1:26" ht="19.5" customHeight="1" x14ac:dyDescent="0.25">
      <c r="A133" s="150"/>
      <c r="B133" s="150"/>
      <c r="C133" s="150"/>
      <c r="D133" s="151"/>
      <c r="E133" s="151"/>
      <c r="F133" s="151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spans="1:26" ht="19.5" customHeight="1" x14ac:dyDescent="0.25">
      <c r="A134" s="150"/>
      <c r="B134" s="150"/>
      <c r="C134" s="150"/>
      <c r="D134" s="151"/>
      <c r="E134" s="151"/>
      <c r="F134" s="151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spans="1:26" ht="19.5" customHeight="1" x14ac:dyDescent="0.25">
      <c r="A135" s="150"/>
      <c r="B135" s="150"/>
      <c r="C135" s="150"/>
      <c r="D135" s="151"/>
      <c r="E135" s="151"/>
      <c r="F135" s="151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spans="1:26" ht="19.5" customHeight="1" x14ac:dyDescent="0.25">
      <c r="A136" s="150"/>
      <c r="B136" s="150"/>
      <c r="C136" s="150"/>
      <c r="D136" s="151"/>
      <c r="E136" s="151"/>
      <c r="F136" s="151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spans="1:26" ht="19.5" customHeight="1" x14ac:dyDescent="0.25">
      <c r="A137" s="150"/>
      <c r="B137" s="150"/>
      <c r="C137" s="150"/>
      <c r="D137" s="151"/>
      <c r="E137" s="151"/>
      <c r="F137" s="151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spans="1:26" ht="19.5" customHeight="1" x14ac:dyDescent="0.25">
      <c r="A138" s="150"/>
      <c r="B138" s="150"/>
      <c r="C138" s="150"/>
      <c r="D138" s="151"/>
      <c r="E138" s="151"/>
      <c r="F138" s="151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spans="1:26" ht="19.5" customHeight="1" x14ac:dyDescent="0.25">
      <c r="A139" s="150"/>
      <c r="B139" s="150"/>
      <c r="C139" s="150"/>
      <c r="D139" s="151"/>
      <c r="E139" s="151"/>
      <c r="F139" s="151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spans="1:26" ht="19.5" customHeight="1" x14ac:dyDescent="0.25">
      <c r="A140" s="150"/>
      <c r="B140" s="150"/>
      <c r="C140" s="150"/>
      <c r="D140" s="151"/>
      <c r="E140" s="151"/>
      <c r="F140" s="151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spans="1:26" ht="19.5" customHeight="1" x14ac:dyDescent="0.25">
      <c r="A141" s="150"/>
      <c r="B141" s="150"/>
      <c r="C141" s="150"/>
      <c r="D141" s="151"/>
      <c r="E141" s="151"/>
      <c r="F141" s="151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spans="1:26" ht="19.5" customHeight="1" x14ac:dyDescent="0.25">
      <c r="A142" s="150"/>
      <c r="B142" s="150"/>
      <c r="C142" s="150"/>
      <c r="D142" s="151"/>
      <c r="E142" s="151"/>
      <c r="F142" s="151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spans="1:26" ht="19.5" customHeight="1" x14ac:dyDescent="0.25">
      <c r="A143" s="150"/>
      <c r="B143" s="150"/>
      <c r="C143" s="150"/>
      <c r="D143" s="151"/>
      <c r="E143" s="151"/>
      <c r="F143" s="151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spans="1:26" ht="19.5" customHeight="1" x14ac:dyDescent="0.25">
      <c r="A144" s="150"/>
      <c r="B144" s="150"/>
      <c r="C144" s="150"/>
      <c r="D144" s="151"/>
      <c r="E144" s="151"/>
      <c r="F144" s="151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spans="1:26" ht="19.5" customHeight="1" x14ac:dyDescent="0.25">
      <c r="A145" s="150"/>
      <c r="B145" s="150"/>
      <c r="C145" s="150"/>
      <c r="D145" s="151"/>
      <c r="E145" s="151"/>
      <c r="F145" s="151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spans="1:26" ht="19.5" customHeight="1" x14ac:dyDescent="0.25">
      <c r="A146" s="150"/>
      <c r="B146" s="150"/>
      <c r="C146" s="150"/>
      <c r="D146" s="151"/>
      <c r="E146" s="151"/>
      <c r="F146" s="151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spans="1:26" ht="19.5" customHeight="1" x14ac:dyDescent="0.25">
      <c r="A147" s="150"/>
      <c r="B147" s="150"/>
      <c r="C147" s="150"/>
      <c r="D147" s="151"/>
      <c r="E147" s="151"/>
      <c r="F147" s="151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spans="1:26" ht="19.5" customHeight="1" x14ac:dyDescent="0.25">
      <c r="A148" s="150"/>
      <c r="B148" s="150"/>
      <c r="C148" s="150"/>
      <c r="D148" s="151"/>
      <c r="E148" s="151"/>
      <c r="F148" s="151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spans="1:26" ht="19.5" customHeight="1" x14ac:dyDescent="0.25">
      <c r="A149" s="150"/>
      <c r="B149" s="150"/>
      <c r="C149" s="150"/>
      <c r="D149" s="151"/>
      <c r="E149" s="151"/>
      <c r="F149" s="151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spans="1:26" ht="19.5" customHeight="1" x14ac:dyDescent="0.25">
      <c r="A150" s="150"/>
      <c r="B150" s="150"/>
      <c r="C150" s="150"/>
      <c r="D150" s="151"/>
      <c r="E150" s="151"/>
      <c r="F150" s="151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spans="1:26" ht="19.5" customHeight="1" x14ac:dyDescent="0.25">
      <c r="A151" s="150"/>
      <c r="B151" s="150"/>
      <c r="C151" s="150"/>
      <c r="D151" s="151"/>
      <c r="E151" s="151"/>
      <c r="F151" s="151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spans="1:26" ht="19.5" customHeight="1" x14ac:dyDescent="0.25">
      <c r="A152" s="150"/>
      <c r="B152" s="150"/>
      <c r="C152" s="150"/>
      <c r="D152" s="151"/>
      <c r="E152" s="151"/>
      <c r="F152" s="151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spans="1:26" ht="19.5" customHeight="1" x14ac:dyDescent="0.25">
      <c r="A153" s="150"/>
      <c r="B153" s="150"/>
      <c r="C153" s="150"/>
      <c r="D153" s="151"/>
      <c r="E153" s="151"/>
      <c r="F153" s="151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spans="1:26" ht="19.5" customHeight="1" x14ac:dyDescent="0.25">
      <c r="A154" s="150"/>
      <c r="B154" s="150"/>
      <c r="C154" s="150"/>
      <c r="D154" s="151"/>
      <c r="E154" s="151"/>
      <c r="F154" s="151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spans="1:26" ht="19.5" customHeight="1" x14ac:dyDescent="0.25">
      <c r="A155" s="150"/>
      <c r="B155" s="150"/>
      <c r="C155" s="150"/>
      <c r="D155" s="151"/>
      <c r="E155" s="151"/>
      <c r="F155" s="151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spans="1:26" ht="19.5" customHeight="1" x14ac:dyDescent="0.25">
      <c r="A156" s="150"/>
      <c r="B156" s="150"/>
      <c r="C156" s="150"/>
      <c r="D156" s="151"/>
      <c r="E156" s="151"/>
      <c r="F156" s="151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spans="1:26" ht="19.5" customHeight="1" x14ac:dyDescent="0.25">
      <c r="A157" s="150"/>
      <c r="B157" s="150"/>
      <c r="C157" s="150"/>
      <c r="D157" s="151"/>
      <c r="E157" s="151"/>
      <c r="F157" s="151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spans="1:26" ht="19.5" customHeight="1" x14ac:dyDescent="0.25">
      <c r="A158" s="150"/>
      <c r="B158" s="150"/>
      <c r="C158" s="150"/>
      <c r="D158" s="151"/>
      <c r="E158" s="151"/>
      <c r="F158" s="151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spans="1:26" ht="19.5" customHeight="1" x14ac:dyDescent="0.25">
      <c r="A159" s="150"/>
      <c r="B159" s="150"/>
      <c r="C159" s="150"/>
      <c r="D159" s="151"/>
      <c r="E159" s="151"/>
      <c r="F159" s="151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spans="1:26" ht="19.5" customHeight="1" x14ac:dyDescent="0.25">
      <c r="A160" s="150"/>
      <c r="B160" s="150"/>
      <c r="C160" s="150"/>
      <c r="D160" s="151"/>
      <c r="E160" s="151"/>
      <c r="F160" s="151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spans="1:26" ht="19.5" customHeight="1" x14ac:dyDescent="0.25">
      <c r="A161" s="150"/>
      <c r="B161" s="150"/>
      <c r="C161" s="150"/>
      <c r="D161" s="151"/>
      <c r="E161" s="151"/>
      <c r="F161" s="151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spans="1:26" ht="19.5" customHeight="1" x14ac:dyDescent="0.25">
      <c r="A162" s="150"/>
      <c r="B162" s="150"/>
      <c r="C162" s="150"/>
      <c r="D162" s="151"/>
      <c r="E162" s="151"/>
      <c r="F162" s="151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spans="1:26" ht="19.5" customHeight="1" x14ac:dyDescent="0.25">
      <c r="A163" s="150"/>
      <c r="B163" s="150"/>
      <c r="C163" s="150"/>
      <c r="D163" s="151"/>
      <c r="E163" s="151"/>
      <c r="F163" s="151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spans="1:26" ht="19.5" customHeight="1" x14ac:dyDescent="0.25">
      <c r="A164" s="150"/>
      <c r="B164" s="150"/>
      <c r="C164" s="150"/>
      <c r="D164" s="151"/>
      <c r="E164" s="151"/>
      <c r="F164" s="151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spans="1:26" ht="19.5" customHeight="1" x14ac:dyDescent="0.25">
      <c r="A165" s="150"/>
      <c r="B165" s="150"/>
      <c r="C165" s="150"/>
      <c r="D165" s="151"/>
      <c r="E165" s="151"/>
      <c r="F165" s="151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spans="1:26" ht="19.5" customHeight="1" x14ac:dyDescent="0.25">
      <c r="A166" s="150"/>
      <c r="B166" s="150"/>
      <c r="C166" s="150"/>
      <c r="D166" s="151"/>
      <c r="E166" s="151"/>
      <c r="F166" s="151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spans="1:26" ht="19.5" customHeight="1" x14ac:dyDescent="0.25">
      <c r="A167" s="150"/>
      <c r="B167" s="150"/>
      <c r="C167" s="150"/>
      <c r="D167" s="151"/>
      <c r="E167" s="151"/>
      <c r="F167" s="151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spans="1:26" ht="19.5" customHeight="1" x14ac:dyDescent="0.25">
      <c r="A168" s="150"/>
      <c r="B168" s="150"/>
      <c r="C168" s="150"/>
      <c r="D168" s="151"/>
      <c r="E168" s="151"/>
      <c r="F168" s="151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spans="1:26" ht="19.5" customHeight="1" x14ac:dyDescent="0.25">
      <c r="A169" s="150"/>
      <c r="B169" s="150"/>
      <c r="C169" s="150"/>
      <c r="D169" s="151"/>
      <c r="E169" s="151"/>
      <c r="F169" s="151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spans="1:26" ht="19.5" customHeight="1" x14ac:dyDescent="0.25">
      <c r="A170" s="150"/>
      <c r="B170" s="150"/>
      <c r="C170" s="150"/>
      <c r="D170" s="151"/>
      <c r="E170" s="151"/>
      <c r="F170" s="151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spans="1:26" ht="19.5" customHeight="1" x14ac:dyDescent="0.25">
      <c r="A171" s="150"/>
      <c r="B171" s="150"/>
      <c r="C171" s="150"/>
      <c r="D171" s="151"/>
      <c r="E171" s="151"/>
      <c r="F171" s="151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spans="1:26" ht="19.5" customHeight="1" x14ac:dyDescent="0.25">
      <c r="A172" s="150"/>
      <c r="B172" s="150"/>
      <c r="C172" s="150"/>
      <c r="D172" s="151"/>
      <c r="E172" s="151"/>
      <c r="F172" s="151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spans="1:26" ht="19.5" customHeight="1" x14ac:dyDescent="0.25">
      <c r="A173" s="150"/>
      <c r="B173" s="150"/>
      <c r="C173" s="150"/>
      <c r="D173" s="151"/>
      <c r="E173" s="151"/>
      <c r="F173" s="151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spans="1:26" ht="19.5" customHeight="1" x14ac:dyDescent="0.25">
      <c r="A174" s="150"/>
      <c r="B174" s="150"/>
      <c r="C174" s="150"/>
      <c r="D174" s="151"/>
      <c r="E174" s="151"/>
      <c r="F174" s="151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spans="1:26" ht="19.5" customHeight="1" x14ac:dyDescent="0.25">
      <c r="A175" s="150"/>
      <c r="B175" s="150"/>
      <c r="C175" s="150"/>
      <c r="D175" s="151"/>
      <c r="E175" s="151"/>
      <c r="F175" s="151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spans="1:26" ht="19.5" customHeight="1" x14ac:dyDescent="0.25">
      <c r="A176" s="150"/>
      <c r="B176" s="150"/>
      <c r="C176" s="150"/>
      <c r="D176" s="151"/>
      <c r="E176" s="151"/>
      <c r="F176" s="151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spans="1:26" ht="19.5" customHeight="1" x14ac:dyDescent="0.25">
      <c r="A177" s="150"/>
      <c r="B177" s="150"/>
      <c r="C177" s="150"/>
      <c r="D177" s="151"/>
      <c r="E177" s="151"/>
      <c r="F177" s="151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spans="1:26" ht="19.5" customHeight="1" x14ac:dyDescent="0.25">
      <c r="A178" s="150"/>
      <c r="B178" s="150"/>
      <c r="C178" s="150"/>
      <c r="D178" s="151"/>
      <c r="E178" s="151"/>
      <c r="F178" s="151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spans="1:26" ht="19.5" customHeight="1" x14ac:dyDescent="0.25">
      <c r="A179" s="150"/>
      <c r="B179" s="150"/>
      <c r="C179" s="150"/>
      <c r="D179" s="151"/>
      <c r="E179" s="151"/>
      <c r="F179" s="151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 spans="1:26" ht="19.5" customHeight="1" x14ac:dyDescent="0.25">
      <c r="A180" s="150"/>
      <c r="B180" s="150"/>
      <c r="C180" s="150"/>
      <c r="D180" s="151"/>
      <c r="E180" s="151"/>
      <c r="F180" s="151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spans="1:26" ht="19.5" customHeight="1" x14ac:dyDescent="0.25">
      <c r="A181" s="150"/>
      <c r="B181" s="150"/>
      <c r="C181" s="150"/>
      <c r="D181" s="151"/>
      <c r="E181" s="151"/>
      <c r="F181" s="151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spans="1:26" ht="19.5" customHeight="1" x14ac:dyDescent="0.25">
      <c r="A182" s="150"/>
      <c r="B182" s="150"/>
      <c r="C182" s="150"/>
      <c r="D182" s="151"/>
      <c r="E182" s="151"/>
      <c r="F182" s="151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 spans="1:26" ht="19.5" customHeight="1" x14ac:dyDescent="0.25">
      <c r="A183" s="150"/>
      <c r="B183" s="150"/>
      <c r="C183" s="150"/>
      <c r="D183" s="151"/>
      <c r="E183" s="151"/>
      <c r="F183" s="151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spans="1:26" ht="19.5" customHeight="1" x14ac:dyDescent="0.25">
      <c r="A184" s="150"/>
      <c r="B184" s="150"/>
      <c r="C184" s="150"/>
      <c r="D184" s="151"/>
      <c r="E184" s="151"/>
      <c r="F184" s="151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spans="1:26" ht="19.5" customHeight="1" x14ac:dyDescent="0.25">
      <c r="A185" s="150"/>
      <c r="B185" s="150"/>
      <c r="C185" s="150"/>
      <c r="D185" s="151"/>
      <c r="E185" s="151"/>
      <c r="F185" s="151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spans="1:26" ht="19.5" customHeight="1" x14ac:dyDescent="0.25">
      <c r="A186" s="150"/>
      <c r="B186" s="150"/>
      <c r="C186" s="150"/>
      <c r="D186" s="151"/>
      <c r="E186" s="151"/>
      <c r="F186" s="151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spans="1:26" ht="19.5" customHeight="1" x14ac:dyDescent="0.25">
      <c r="A187" s="150"/>
      <c r="B187" s="150"/>
      <c r="C187" s="150"/>
      <c r="D187" s="151"/>
      <c r="E187" s="151"/>
      <c r="F187" s="151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spans="1:26" ht="19.5" customHeight="1" x14ac:dyDescent="0.25">
      <c r="A188" s="150"/>
      <c r="B188" s="150"/>
      <c r="C188" s="150"/>
      <c r="D188" s="151"/>
      <c r="E188" s="151"/>
      <c r="F188" s="151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spans="1:26" ht="19.5" customHeight="1" x14ac:dyDescent="0.25">
      <c r="A189" s="150"/>
      <c r="B189" s="150"/>
      <c r="C189" s="150"/>
      <c r="D189" s="151"/>
      <c r="E189" s="151"/>
      <c r="F189" s="151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spans="1:26" ht="19.5" customHeight="1" x14ac:dyDescent="0.25">
      <c r="A190" s="150"/>
      <c r="B190" s="150"/>
      <c r="C190" s="150"/>
      <c r="D190" s="151"/>
      <c r="E190" s="151"/>
      <c r="F190" s="151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spans="1:26" ht="19.5" customHeight="1" x14ac:dyDescent="0.25">
      <c r="A191" s="150"/>
      <c r="B191" s="150"/>
      <c r="C191" s="150"/>
      <c r="D191" s="151"/>
      <c r="E191" s="151"/>
      <c r="F191" s="151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spans="1:26" ht="19.5" customHeight="1" x14ac:dyDescent="0.25">
      <c r="A192" s="150"/>
      <c r="B192" s="150"/>
      <c r="C192" s="150"/>
      <c r="D192" s="151"/>
      <c r="E192" s="151"/>
      <c r="F192" s="151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spans="1:26" ht="19.5" customHeight="1" x14ac:dyDescent="0.25">
      <c r="A193" s="150"/>
      <c r="B193" s="150"/>
      <c r="C193" s="150"/>
      <c r="D193" s="151"/>
      <c r="E193" s="151"/>
      <c r="F193" s="151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spans="1:26" ht="19.5" customHeight="1" x14ac:dyDescent="0.25">
      <c r="A194" s="150"/>
      <c r="B194" s="150"/>
      <c r="C194" s="150"/>
      <c r="D194" s="151"/>
      <c r="E194" s="151"/>
      <c r="F194" s="151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spans="1:26" ht="19.5" customHeight="1" x14ac:dyDescent="0.25">
      <c r="A195" s="150"/>
      <c r="B195" s="150"/>
      <c r="C195" s="150"/>
      <c r="D195" s="151"/>
      <c r="E195" s="151"/>
      <c r="F195" s="151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spans="1:26" ht="19.5" customHeight="1" x14ac:dyDescent="0.25">
      <c r="A196" s="150"/>
      <c r="B196" s="150"/>
      <c r="C196" s="150"/>
      <c r="D196" s="151"/>
      <c r="E196" s="151"/>
      <c r="F196" s="151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spans="1:26" ht="19.5" customHeight="1" x14ac:dyDescent="0.25">
      <c r="A197" s="150"/>
      <c r="B197" s="150"/>
      <c r="C197" s="150"/>
      <c r="D197" s="151"/>
      <c r="E197" s="151"/>
      <c r="F197" s="151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spans="1:26" ht="19.5" customHeight="1" x14ac:dyDescent="0.25">
      <c r="A198" s="150"/>
      <c r="B198" s="150"/>
      <c r="C198" s="150"/>
      <c r="D198" s="151"/>
      <c r="E198" s="151"/>
      <c r="F198" s="151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spans="1:26" ht="19.5" customHeight="1" x14ac:dyDescent="0.25">
      <c r="A199" s="150"/>
      <c r="B199" s="150"/>
      <c r="C199" s="150"/>
      <c r="D199" s="151"/>
      <c r="E199" s="151"/>
      <c r="F199" s="151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spans="1:26" ht="19.5" customHeight="1" x14ac:dyDescent="0.25">
      <c r="A200" s="150"/>
      <c r="B200" s="150"/>
      <c r="C200" s="150"/>
      <c r="D200" s="151"/>
      <c r="E200" s="151"/>
      <c r="F200" s="151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spans="1:26" ht="19.5" customHeight="1" x14ac:dyDescent="0.25">
      <c r="A201" s="150"/>
      <c r="B201" s="150"/>
      <c r="C201" s="150"/>
      <c r="D201" s="151"/>
      <c r="E201" s="151"/>
      <c r="F201" s="151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 spans="1:26" ht="19.5" customHeight="1" x14ac:dyDescent="0.25">
      <c r="A202" s="150"/>
      <c r="B202" s="150"/>
      <c r="C202" s="150"/>
      <c r="D202" s="151"/>
      <c r="E202" s="151"/>
      <c r="F202" s="151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 spans="1:26" ht="19.5" customHeight="1" x14ac:dyDescent="0.25">
      <c r="A203" s="150"/>
      <c r="B203" s="150"/>
      <c r="C203" s="150"/>
      <c r="D203" s="151"/>
      <c r="E203" s="151"/>
      <c r="F203" s="151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 spans="1:26" ht="19.5" customHeight="1" x14ac:dyDescent="0.25">
      <c r="A204" s="150"/>
      <c r="B204" s="150"/>
      <c r="C204" s="150"/>
      <c r="D204" s="151"/>
      <c r="E204" s="151"/>
      <c r="F204" s="151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 spans="1:26" ht="19.5" customHeight="1" x14ac:dyDescent="0.25">
      <c r="A205" s="150"/>
      <c r="B205" s="150"/>
      <c r="C205" s="150"/>
      <c r="D205" s="151"/>
      <c r="E205" s="151"/>
      <c r="F205" s="151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 spans="1:26" ht="19.5" customHeight="1" x14ac:dyDescent="0.25">
      <c r="A206" s="150"/>
      <c r="B206" s="150"/>
      <c r="C206" s="150"/>
      <c r="D206" s="151"/>
      <c r="E206" s="151"/>
      <c r="F206" s="151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 spans="1:26" ht="19.5" customHeight="1" x14ac:dyDescent="0.25">
      <c r="A207" s="150"/>
      <c r="B207" s="150"/>
      <c r="C207" s="150"/>
      <c r="D207" s="151"/>
      <c r="E207" s="151"/>
      <c r="F207" s="151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spans="1:26" ht="19.5" customHeight="1" x14ac:dyDescent="0.25">
      <c r="A208" s="150"/>
      <c r="B208" s="150"/>
      <c r="C208" s="150"/>
      <c r="D208" s="151"/>
      <c r="E208" s="151"/>
      <c r="F208" s="151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spans="1:26" ht="19.5" customHeight="1" x14ac:dyDescent="0.25">
      <c r="A209" s="150"/>
      <c r="B209" s="150"/>
      <c r="C209" s="150"/>
      <c r="D209" s="151"/>
      <c r="E209" s="151"/>
      <c r="F209" s="151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 spans="1:26" ht="19.5" customHeight="1" x14ac:dyDescent="0.25">
      <c r="A210" s="150"/>
      <c r="B210" s="150"/>
      <c r="C210" s="150"/>
      <c r="D210" s="151"/>
      <c r="E210" s="151"/>
      <c r="F210" s="151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 spans="1:26" ht="19.5" customHeight="1" x14ac:dyDescent="0.25">
      <c r="A211" s="150"/>
      <c r="B211" s="150"/>
      <c r="C211" s="150"/>
      <c r="D211" s="151"/>
      <c r="E211" s="151"/>
      <c r="F211" s="151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 spans="1:26" ht="19.5" customHeight="1" x14ac:dyDescent="0.25">
      <c r="A212" s="150"/>
      <c r="B212" s="150"/>
      <c r="C212" s="150"/>
      <c r="D212" s="151"/>
      <c r="E212" s="151"/>
      <c r="F212" s="151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spans="1:26" ht="19.5" customHeight="1" x14ac:dyDescent="0.25">
      <c r="A213" s="150"/>
      <c r="B213" s="150"/>
      <c r="C213" s="150"/>
      <c r="D213" s="151"/>
      <c r="E213" s="151"/>
      <c r="F213" s="151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spans="1:26" ht="19.5" customHeight="1" x14ac:dyDescent="0.25">
      <c r="A214" s="150"/>
      <c r="B214" s="150"/>
      <c r="C214" s="150"/>
      <c r="D214" s="151"/>
      <c r="E214" s="151"/>
      <c r="F214" s="151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spans="1:26" ht="19.5" customHeight="1" x14ac:dyDescent="0.25">
      <c r="A215" s="150"/>
      <c r="B215" s="150"/>
      <c r="C215" s="150"/>
      <c r="D215" s="151"/>
      <c r="E215" s="151"/>
      <c r="F215" s="151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 spans="1:26" ht="19.5" customHeight="1" x14ac:dyDescent="0.25">
      <c r="A216" s="150"/>
      <c r="B216" s="150"/>
      <c r="C216" s="150"/>
      <c r="D216" s="151"/>
      <c r="E216" s="151"/>
      <c r="F216" s="151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spans="1:26" ht="19.5" customHeight="1" x14ac:dyDescent="0.25">
      <c r="A217" s="150"/>
      <c r="B217" s="150"/>
      <c r="C217" s="150"/>
      <c r="D217" s="151"/>
      <c r="E217" s="151"/>
      <c r="F217" s="151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spans="1:26" ht="19.5" customHeight="1" x14ac:dyDescent="0.25">
      <c r="A218" s="150"/>
      <c r="B218" s="150"/>
      <c r="C218" s="150"/>
      <c r="D218" s="151"/>
      <c r="E218" s="151"/>
      <c r="F218" s="151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spans="1:26" ht="19.5" customHeight="1" x14ac:dyDescent="0.25">
      <c r="A219" s="150"/>
      <c r="B219" s="150"/>
      <c r="C219" s="150"/>
      <c r="D219" s="151"/>
      <c r="E219" s="151"/>
      <c r="F219" s="151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spans="1:26" ht="19.5" customHeight="1" x14ac:dyDescent="0.25">
      <c r="A220" s="150"/>
      <c r="B220" s="150"/>
      <c r="C220" s="150"/>
      <c r="D220" s="151"/>
      <c r="E220" s="151"/>
      <c r="F220" s="151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spans="1:26" ht="19.5" customHeight="1" x14ac:dyDescent="0.25">
      <c r="A221" s="150"/>
      <c r="B221" s="150"/>
      <c r="C221" s="150"/>
      <c r="D221" s="151"/>
      <c r="E221" s="151"/>
      <c r="F221" s="151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spans="1:26" ht="19.5" customHeight="1" x14ac:dyDescent="0.25">
      <c r="A222" s="150"/>
      <c r="B222" s="150"/>
      <c r="C222" s="150"/>
      <c r="D222" s="151"/>
      <c r="E222" s="151"/>
      <c r="F222" s="151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spans="1:26" ht="19.5" customHeight="1" x14ac:dyDescent="0.25">
      <c r="A223" s="150"/>
      <c r="B223" s="150"/>
      <c r="C223" s="150"/>
      <c r="D223" s="151"/>
      <c r="E223" s="151"/>
      <c r="F223" s="151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spans="1:26" ht="19.5" customHeight="1" x14ac:dyDescent="0.25">
      <c r="A224" s="150"/>
      <c r="B224" s="150"/>
      <c r="C224" s="150"/>
      <c r="D224" s="151"/>
      <c r="E224" s="151"/>
      <c r="F224" s="151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spans="1:26" ht="19.5" customHeight="1" x14ac:dyDescent="0.25">
      <c r="A225" s="150"/>
      <c r="B225" s="150"/>
      <c r="C225" s="150"/>
      <c r="D225" s="151"/>
      <c r="E225" s="151"/>
      <c r="F225" s="151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spans="1:26" ht="19.5" customHeight="1" x14ac:dyDescent="0.25">
      <c r="A226" s="150"/>
      <c r="B226" s="150"/>
      <c r="C226" s="150"/>
      <c r="D226" s="151"/>
      <c r="E226" s="151"/>
      <c r="F226" s="151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spans="1:26" ht="19.5" customHeight="1" x14ac:dyDescent="0.25">
      <c r="A227" s="150"/>
      <c r="B227" s="150"/>
      <c r="C227" s="150"/>
      <c r="D227" s="151"/>
      <c r="E227" s="151"/>
      <c r="F227" s="151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spans="1:26" ht="19.5" customHeight="1" x14ac:dyDescent="0.25">
      <c r="A228" s="150"/>
      <c r="B228" s="150"/>
      <c r="C228" s="150"/>
      <c r="D228" s="151"/>
      <c r="E228" s="151"/>
      <c r="F228" s="151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spans="1:26" ht="19.5" customHeight="1" x14ac:dyDescent="0.25">
      <c r="A229" s="150"/>
      <c r="B229" s="150"/>
      <c r="C229" s="150"/>
      <c r="D229" s="151"/>
      <c r="E229" s="151"/>
      <c r="F229" s="151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spans="1:26" ht="19.5" customHeight="1" x14ac:dyDescent="0.25">
      <c r="A230" s="150"/>
      <c r="B230" s="150"/>
      <c r="C230" s="150"/>
      <c r="D230" s="151"/>
      <c r="E230" s="151"/>
      <c r="F230" s="151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spans="1:26" ht="19.5" customHeight="1" x14ac:dyDescent="0.25">
      <c r="A231" s="150"/>
      <c r="B231" s="150"/>
      <c r="C231" s="150"/>
      <c r="D231" s="151"/>
      <c r="E231" s="151"/>
      <c r="F231" s="151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 spans="1:26" ht="19.5" customHeight="1" x14ac:dyDescent="0.25">
      <c r="A232" s="150"/>
      <c r="B232" s="150"/>
      <c r="C232" s="150"/>
      <c r="D232" s="151"/>
      <c r="E232" s="151"/>
      <c r="F232" s="151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 spans="1:26" ht="19.5" customHeight="1" x14ac:dyDescent="0.25">
      <c r="A233" s="150"/>
      <c r="B233" s="150"/>
      <c r="C233" s="150"/>
      <c r="D233" s="151"/>
      <c r="E233" s="151"/>
      <c r="F233" s="151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spans="1:26" ht="19.5" customHeight="1" x14ac:dyDescent="0.25">
      <c r="A234" s="150"/>
      <c r="B234" s="150"/>
      <c r="C234" s="150"/>
      <c r="D234" s="151"/>
      <c r="E234" s="151"/>
      <c r="F234" s="151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spans="1:26" ht="19.5" customHeight="1" x14ac:dyDescent="0.25">
      <c r="A235" s="150"/>
      <c r="B235" s="150"/>
      <c r="C235" s="150"/>
      <c r="D235" s="151"/>
      <c r="E235" s="151"/>
      <c r="F235" s="151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spans="1:26" ht="19.5" customHeight="1" x14ac:dyDescent="0.25">
      <c r="A236" s="150"/>
      <c r="B236" s="150"/>
      <c r="C236" s="150"/>
      <c r="D236" s="151"/>
      <c r="E236" s="151"/>
      <c r="F236" s="151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spans="1:26" ht="19.5" customHeight="1" x14ac:dyDescent="0.25">
      <c r="A237" s="150"/>
      <c r="B237" s="150"/>
      <c r="C237" s="150"/>
      <c r="D237" s="151"/>
      <c r="E237" s="151"/>
      <c r="F237" s="151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spans="1:26" ht="19.5" customHeight="1" x14ac:dyDescent="0.25">
      <c r="A238" s="150"/>
      <c r="B238" s="150"/>
      <c r="C238" s="150"/>
      <c r="D238" s="151"/>
      <c r="E238" s="151"/>
      <c r="F238" s="151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spans="1:26" ht="19.5" customHeight="1" x14ac:dyDescent="0.25">
      <c r="A239" s="150"/>
      <c r="B239" s="150"/>
      <c r="C239" s="150"/>
      <c r="D239" s="151"/>
      <c r="E239" s="151"/>
      <c r="F239" s="151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spans="1:26" ht="19.5" customHeight="1" x14ac:dyDescent="0.25">
      <c r="A240" s="150"/>
      <c r="B240" s="150"/>
      <c r="C240" s="150"/>
      <c r="D240" s="151"/>
      <c r="E240" s="151"/>
      <c r="F240" s="151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spans="1:26" ht="19.5" customHeight="1" x14ac:dyDescent="0.25">
      <c r="A241" s="150"/>
      <c r="B241" s="150"/>
      <c r="C241" s="150"/>
      <c r="D241" s="151"/>
      <c r="E241" s="151"/>
      <c r="F241" s="151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spans="1:26" ht="19.5" customHeight="1" x14ac:dyDescent="0.25">
      <c r="A242" s="150"/>
      <c r="B242" s="150"/>
      <c r="C242" s="150"/>
      <c r="D242" s="151"/>
      <c r="E242" s="151"/>
      <c r="F242" s="151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spans="1:26" ht="19.5" customHeight="1" x14ac:dyDescent="0.25">
      <c r="A243" s="150"/>
      <c r="B243" s="150"/>
      <c r="C243" s="150"/>
      <c r="D243" s="151"/>
      <c r="E243" s="151"/>
      <c r="F243" s="151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spans="1:26" ht="19.5" customHeight="1" x14ac:dyDescent="0.25">
      <c r="A244" s="150"/>
      <c r="B244" s="150"/>
      <c r="C244" s="150"/>
      <c r="D244" s="151"/>
      <c r="E244" s="151"/>
      <c r="F244" s="151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spans="1:26" ht="19.5" customHeight="1" x14ac:dyDescent="0.25">
      <c r="A245" s="150"/>
      <c r="B245" s="150"/>
      <c r="C245" s="150"/>
      <c r="D245" s="151"/>
      <c r="E245" s="151"/>
      <c r="F245" s="151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spans="1:26" ht="19.5" customHeight="1" x14ac:dyDescent="0.25">
      <c r="A246" s="150"/>
      <c r="B246" s="150"/>
      <c r="C246" s="150"/>
      <c r="D246" s="151"/>
      <c r="E246" s="151"/>
      <c r="F246" s="151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spans="1:26" ht="19.5" customHeight="1" x14ac:dyDescent="0.25">
      <c r="A247" s="150"/>
      <c r="B247" s="150"/>
      <c r="C247" s="150"/>
      <c r="D247" s="151"/>
      <c r="E247" s="151"/>
      <c r="F247" s="151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spans="1:26" ht="19.5" customHeight="1" x14ac:dyDescent="0.25">
      <c r="A248" s="150"/>
      <c r="B248" s="150"/>
      <c r="C248" s="150"/>
      <c r="D248" s="151"/>
      <c r="E248" s="151"/>
      <c r="F248" s="151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spans="1:26" ht="19.5" customHeight="1" x14ac:dyDescent="0.25">
      <c r="A249" s="150"/>
      <c r="B249" s="150"/>
      <c r="C249" s="150"/>
      <c r="D249" s="151"/>
      <c r="E249" s="151"/>
      <c r="F249" s="151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spans="1:26" ht="19.5" customHeight="1" x14ac:dyDescent="0.25">
      <c r="A250" s="150"/>
      <c r="B250" s="150"/>
      <c r="C250" s="150"/>
      <c r="D250" s="151"/>
      <c r="E250" s="151"/>
      <c r="F250" s="151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spans="1:26" ht="19.5" customHeight="1" x14ac:dyDescent="0.25">
      <c r="A251" s="150"/>
      <c r="B251" s="150"/>
      <c r="C251" s="150"/>
      <c r="D251" s="151"/>
      <c r="E251" s="151"/>
      <c r="F251" s="151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spans="1:26" ht="19.5" customHeight="1" x14ac:dyDescent="0.25">
      <c r="A252" s="150"/>
      <c r="B252" s="150"/>
      <c r="C252" s="150"/>
      <c r="D252" s="151"/>
      <c r="E252" s="151"/>
      <c r="F252" s="151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spans="1:26" ht="19.5" customHeight="1" x14ac:dyDescent="0.25">
      <c r="A253" s="150"/>
      <c r="B253" s="150"/>
      <c r="C253" s="150"/>
      <c r="D253" s="151"/>
      <c r="E253" s="151"/>
      <c r="F253" s="151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spans="1:26" ht="19.5" customHeight="1" x14ac:dyDescent="0.25">
      <c r="A254" s="150"/>
      <c r="B254" s="150"/>
      <c r="C254" s="150"/>
      <c r="D254" s="151"/>
      <c r="E254" s="151"/>
      <c r="F254" s="151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spans="1:26" ht="19.5" customHeight="1" x14ac:dyDescent="0.25">
      <c r="A255" s="150"/>
      <c r="B255" s="150"/>
      <c r="C255" s="150"/>
      <c r="D255" s="151"/>
      <c r="E255" s="151"/>
      <c r="F255" s="151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spans="1:26" ht="19.5" customHeight="1" x14ac:dyDescent="0.25">
      <c r="A256" s="150"/>
      <c r="B256" s="150"/>
      <c r="C256" s="150"/>
      <c r="D256" s="151"/>
      <c r="E256" s="151"/>
      <c r="F256" s="151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spans="1:26" ht="19.5" customHeight="1" x14ac:dyDescent="0.25">
      <c r="A257" s="150"/>
      <c r="B257" s="150"/>
      <c r="C257" s="150"/>
      <c r="D257" s="151"/>
      <c r="E257" s="151"/>
      <c r="F257" s="151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spans="1:26" ht="19.5" customHeight="1" x14ac:dyDescent="0.25">
      <c r="A258" s="150"/>
      <c r="B258" s="150"/>
      <c r="C258" s="150"/>
      <c r="D258" s="151"/>
      <c r="E258" s="151"/>
      <c r="F258" s="151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spans="1:26" ht="19.5" customHeight="1" x14ac:dyDescent="0.25">
      <c r="A259" s="150"/>
      <c r="B259" s="150"/>
      <c r="C259" s="150"/>
      <c r="D259" s="151"/>
      <c r="E259" s="151"/>
      <c r="F259" s="151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spans="1:26" ht="19.5" customHeight="1" x14ac:dyDescent="0.25">
      <c r="A260" s="150"/>
      <c r="B260" s="150"/>
      <c r="C260" s="150"/>
      <c r="D260" s="151"/>
      <c r="E260" s="151"/>
      <c r="F260" s="151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spans="1:26" ht="19.5" customHeight="1" x14ac:dyDescent="0.25">
      <c r="A261" s="150"/>
      <c r="B261" s="150"/>
      <c r="C261" s="150"/>
      <c r="D261" s="151"/>
      <c r="E261" s="151"/>
      <c r="F261" s="151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spans="1:26" ht="19.5" customHeight="1" x14ac:dyDescent="0.25">
      <c r="A262" s="150"/>
      <c r="B262" s="150"/>
      <c r="C262" s="150"/>
      <c r="D262" s="151"/>
      <c r="E262" s="151"/>
      <c r="F262" s="151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spans="1:26" ht="19.5" customHeight="1" x14ac:dyDescent="0.25">
      <c r="A263" s="150"/>
      <c r="B263" s="150"/>
      <c r="C263" s="150"/>
      <c r="D263" s="151"/>
      <c r="E263" s="151"/>
      <c r="F263" s="151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spans="1:26" ht="19.5" customHeight="1" x14ac:dyDescent="0.25">
      <c r="A264" s="150"/>
      <c r="B264" s="150"/>
      <c r="C264" s="150"/>
      <c r="D264" s="151"/>
      <c r="E264" s="151"/>
      <c r="F264" s="151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spans="1:26" ht="19.5" customHeight="1" x14ac:dyDescent="0.25">
      <c r="A265" s="150"/>
      <c r="B265" s="150"/>
      <c r="C265" s="150"/>
      <c r="D265" s="151"/>
      <c r="E265" s="151"/>
      <c r="F265" s="151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spans="1:26" ht="19.5" customHeight="1" x14ac:dyDescent="0.25">
      <c r="A266" s="150"/>
      <c r="B266" s="150"/>
      <c r="C266" s="150"/>
      <c r="D266" s="151"/>
      <c r="E266" s="151"/>
      <c r="F266" s="151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spans="1:26" ht="19.5" customHeight="1" x14ac:dyDescent="0.25">
      <c r="A267" s="150"/>
      <c r="B267" s="150"/>
      <c r="C267" s="150"/>
      <c r="D267" s="151"/>
      <c r="E267" s="151"/>
      <c r="F267" s="151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spans="1:26" ht="19.5" customHeight="1" x14ac:dyDescent="0.25">
      <c r="A268" s="150"/>
      <c r="B268" s="150"/>
      <c r="C268" s="150"/>
      <c r="D268" s="151"/>
      <c r="E268" s="151"/>
      <c r="F268" s="151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spans="1:26" ht="19.5" customHeight="1" x14ac:dyDescent="0.25">
      <c r="A269" s="150"/>
      <c r="B269" s="150"/>
      <c r="C269" s="150"/>
      <c r="D269" s="151"/>
      <c r="E269" s="151"/>
      <c r="F269" s="151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spans="1:26" ht="19.5" customHeight="1" x14ac:dyDescent="0.25">
      <c r="A270" s="150"/>
      <c r="B270" s="150"/>
      <c r="C270" s="150"/>
      <c r="D270" s="151"/>
      <c r="E270" s="151"/>
      <c r="F270" s="151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spans="1:26" ht="19.5" customHeight="1" x14ac:dyDescent="0.25">
      <c r="A271" s="150"/>
      <c r="B271" s="150"/>
      <c r="C271" s="150"/>
      <c r="D271" s="151"/>
      <c r="E271" s="151"/>
      <c r="F271" s="151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spans="1:26" ht="19.5" customHeight="1" x14ac:dyDescent="0.25">
      <c r="A272" s="150"/>
      <c r="B272" s="150"/>
      <c r="C272" s="150"/>
      <c r="D272" s="151"/>
      <c r="E272" s="151"/>
      <c r="F272" s="151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spans="1:26" ht="19.5" customHeight="1" x14ac:dyDescent="0.25">
      <c r="A273" s="150"/>
      <c r="B273" s="150"/>
      <c r="C273" s="150"/>
      <c r="D273" s="151"/>
      <c r="E273" s="151"/>
      <c r="F273" s="151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spans="1:26" ht="19.5" customHeight="1" x14ac:dyDescent="0.25">
      <c r="A274" s="150"/>
      <c r="B274" s="150"/>
      <c r="C274" s="150"/>
      <c r="D274" s="151"/>
      <c r="E274" s="151"/>
      <c r="F274" s="151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spans="1:26" ht="19.5" customHeight="1" x14ac:dyDescent="0.25">
      <c r="A275" s="150"/>
      <c r="B275" s="150"/>
      <c r="C275" s="150"/>
      <c r="D275" s="151"/>
      <c r="E275" s="151"/>
      <c r="F275" s="151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spans="1:26" ht="19.5" customHeight="1" x14ac:dyDescent="0.25">
      <c r="A276" s="150"/>
      <c r="B276" s="150"/>
      <c r="C276" s="150"/>
      <c r="D276" s="151"/>
      <c r="E276" s="151"/>
      <c r="F276" s="151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spans="1:26" ht="19.5" customHeight="1" x14ac:dyDescent="0.25">
      <c r="A277" s="150"/>
      <c r="B277" s="150"/>
      <c r="C277" s="150"/>
      <c r="D277" s="151"/>
      <c r="E277" s="151"/>
      <c r="F277" s="151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spans="1:26" ht="19.5" customHeight="1" x14ac:dyDescent="0.25">
      <c r="A278" s="150"/>
      <c r="B278" s="150"/>
      <c r="C278" s="150"/>
      <c r="D278" s="151"/>
      <c r="E278" s="151"/>
      <c r="F278" s="151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spans="1:26" ht="19.5" customHeight="1" x14ac:dyDescent="0.25">
      <c r="A279" s="150"/>
      <c r="B279" s="150"/>
      <c r="C279" s="150"/>
      <c r="D279" s="151"/>
      <c r="E279" s="151"/>
      <c r="F279" s="151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spans="1:26" ht="19.5" customHeight="1" x14ac:dyDescent="0.25">
      <c r="A280" s="150"/>
      <c r="B280" s="150"/>
      <c r="C280" s="150"/>
      <c r="D280" s="151"/>
      <c r="E280" s="151"/>
      <c r="F280" s="151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spans="1:26" ht="19.5" customHeight="1" x14ac:dyDescent="0.25">
      <c r="A281" s="150"/>
      <c r="B281" s="150"/>
      <c r="C281" s="150"/>
      <c r="D281" s="151"/>
      <c r="E281" s="151"/>
      <c r="F281" s="151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spans="1:26" ht="19.5" customHeight="1" x14ac:dyDescent="0.25">
      <c r="A282" s="150"/>
      <c r="B282" s="150"/>
      <c r="C282" s="150"/>
      <c r="D282" s="151"/>
      <c r="E282" s="151"/>
      <c r="F282" s="151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spans="1:26" ht="19.5" customHeight="1" x14ac:dyDescent="0.25">
      <c r="A283" s="150"/>
      <c r="B283" s="150"/>
      <c r="C283" s="150"/>
      <c r="D283" s="151"/>
      <c r="E283" s="151"/>
      <c r="F283" s="151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spans="1:26" ht="19.5" customHeight="1" x14ac:dyDescent="0.25">
      <c r="A284" s="150"/>
      <c r="B284" s="150"/>
      <c r="C284" s="150"/>
      <c r="D284" s="151"/>
      <c r="E284" s="151"/>
      <c r="F284" s="151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spans="1:26" ht="19.5" customHeight="1" x14ac:dyDescent="0.25">
      <c r="A285" s="150"/>
      <c r="B285" s="150"/>
      <c r="C285" s="150"/>
      <c r="D285" s="151"/>
      <c r="E285" s="151"/>
      <c r="F285" s="151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spans="1:26" ht="19.5" customHeight="1" x14ac:dyDescent="0.25">
      <c r="A286" s="150"/>
      <c r="B286" s="150"/>
      <c r="C286" s="150"/>
      <c r="D286" s="151"/>
      <c r="E286" s="151"/>
      <c r="F286" s="151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spans="1:26" ht="19.5" customHeight="1" x14ac:dyDescent="0.25">
      <c r="A287" s="150"/>
      <c r="B287" s="150"/>
      <c r="C287" s="150"/>
      <c r="D287" s="151"/>
      <c r="E287" s="151"/>
      <c r="F287" s="151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spans="1:26" ht="19.5" customHeight="1" x14ac:dyDescent="0.25">
      <c r="A288" s="150"/>
      <c r="B288" s="150"/>
      <c r="C288" s="150"/>
      <c r="D288" s="151"/>
      <c r="E288" s="151"/>
      <c r="F288" s="151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spans="1:26" ht="19.5" customHeight="1" x14ac:dyDescent="0.25">
      <c r="A289" s="150"/>
      <c r="B289" s="150"/>
      <c r="C289" s="150"/>
      <c r="D289" s="151"/>
      <c r="E289" s="151"/>
      <c r="F289" s="151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spans="1:26" ht="19.5" customHeight="1" x14ac:dyDescent="0.25">
      <c r="A290" s="150"/>
      <c r="B290" s="150"/>
      <c r="C290" s="150"/>
      <c r="D290" s="151"/>
      <c r="E290" s="151"/>
      <c r="F290" s="151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 spans="1:26" ht="19.5" customHeight="1" x14ac:dyDescent="0.25">
      <c r="A291" s="150"/>
      <c r="B291" s="150"/>
      <c r="C291" s="150"/>
      <c r="D291" s="151"/>
      <c r="E291" s="151"/>
      <c r="F291" s="151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 spans="1:26" ht="19.5" customHeight="1" x14ac:dyDescent="0.25">
      <c r="A292" s="150"/>
      <c r="B292" s="150"/>
      <c r="C292" s="150"/>
      <c r="D292" s="151"/>
      <c r="E292" s="151"/>
      <c r="F292" s="151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 spans="1:26" ht="19.5" customHeight="1" x14ac:dyDescent="0.25">
      <c r="A293" s="150"/>
      <c r="B293" s="150"/>
      <c r="C293" s="150"/>
      <c r="D293" s="151"/>
      <c r="E293" s="151"/>
      <c r="F293" s="151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 spans="1:26" ht="19.5" customHeight="1" x14ac:dyDescent="0.25">
      <c r="A294" s="150"/>
      <c r="B294" s="150"/>
      <c r="C294" s="150"/>
      <c r="D294" s="151"/>
      <c r="E294" s="151"/>
      <c r="F294" s="151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 spans="1:26" ht="19.5" customHeight="1" x14ac:dyDescent="0.25">
      <c r="A295" s="150"/>
      <c r="B295" s="150"/>
      <c r="C295" s="150"/>
      <c r="D295" s="151"/>
      <c r="E295" s="151"/>
      <c r="F295" s="151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 spans="1:26" ht="19.5" customHeight="1" x14ac:dyDescent="0.25">
      <c r="A296" s="150"/>
      <c r="B296" s="150"/>
      <c r="C296" s="150"/>
      <c r="D296" s="151"/>
      <c r="E296" s="151"/>
      <c r="F296" s="151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 spans="1:26" ht="19.5" customHeight="1" x14ac:dyDescent="0.25">
      <c r="A297" s="150"/>
      <c r="B297" s="150"/>
      <c r="C297" s="150"/>
      <c r="D297" s="151"/>
      <c r="E297" s="151"/>
      <c r="F297" s="151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 spans="1:26" ht="19.5" customHeight="1" x14ac:dyDescent="0.25">
      <c r="A298" s="150"/>
      <c r="B298" s="150"/>
      <c r="C298" s="150"/>
      <c r="D298" s="151"/>
      <c r="E298" s="151"/>
      <c r="F298" s="151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 spans="1:26" ht="19.5" customHeight="1" x14ac:dyDescent="0.25">
      <c r="A299" s="150"/>
      <c r="B299" s="150"/>
      <c r="C299" s="150"/>
      <c r="D299" s="151"/>
      <c r="E299" s="151"/>
      <c r="F299" s="151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 spans="1:26" ht="19.5" customHeight="1" x14ac:dyDescent="0.25">
      <c r="A300" s="150"/>
      <c r="B300" s="150"/>
      <c r="C300" s="150"/>
      <c r="D300" s="151"/>
      <c r="E300" s="151"/>
      <c r="F300" s="151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 spans="1:26" ht="19.5" customHeight="1" x14ac:dyDescent="0.25">
      <c r="A301" s="150"/>
      <c r="B301" s="150"/>
      <c r="C301" s="150"/>
      <c r="D301" s="151"/>
      <c r="E301" s="151"/>
      <c r="F301" s="151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 spans="1:26" ht="19.5" customHeight="1" x14ac:dyDescent="0.25">
      <c r="A302" s="150"/>
      <c r="B302" s="150"/>
      <c r="C302" s="150"/>
      <c r="D302" s="151"/>
      <c r="E302" s="151"/>
      <c r="F302" s="151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 spans="1:26" ht="19.5" customHeight="1" x14ac:dyDescent="0.25">
      <c r="A303" s="150"/>
      <c r="B303" s="150"/>
      <c r="C303" s="150"/>
      <c r="D303" s="151"/>
      <c r="E303" s="151"/>
      <c r="F303" s="151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 spans="1:26" ht="19.5" customHeight="1" x14ac:dyDescent="0.25">
      <c r="A304" s="150"/>
      <c r="B304" s="150"/>
      <c r="C304" s="150"/>
      <c r="D304" s="151"/>
      <c r="E304" s="151"/>
      <c r="F304" s="151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 spans="1:26" ht="19.5" customHeight="1" x14ac:dyDescent="0.25">
      <c r="A305" s="150"/>
      <c r="B305" s="150"/>
      <c r="C305" s="150"/>
      <c r="D305" s="151"/>
      <c r="E305" s="151"/>
      <c r="F305" s="151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 spans="1:26" ht="19.5" customHeight="1" x14ac:dyDescent="0.25">
      <c r="A306" s="150"/>
      <c r="B306" s="150"/>
      <c r="C306" s="150"/>
      <c r="D306" s="151"/>
      <c r="E306" s="151"/>
      <c r="F306" s="151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 spans="1:26" ht="19.5" customHeight="1" x14ac:dyDescent="0.25">
      <c r="A307" s="150"/>
      <c r="B307" s="150"/>
      <c r="C307" s="150"/>
      <c r="D307" s="151"/>
      <c r="E307" s="151"/>
      <c r="F307" s="151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 spans="1:26" ht="19.5" customHeight="1" x14ac:dyDescent="0.25">
      <c r="A308" s="150"/>
      <c r="B308" s="150"/>
      <c r="C308" s="150"/>
      <c r="D308" s="151"/>
      <c r="E308" s="151"/>
      <c r="F308" s="151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 spans="1:26" ht="19.5" customHeight="1" x14ac:dyDescent="0.25">
      <c r="A309" s="150"/>
      <c r="B309" s="150"/>
      <c r="C309" s="150"/>
      <c r="D309" s="151"/>
      <c r="E309" s="151"/>
      <c r="F309" s="151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 spans="1:26" ht="19.5" customHeight="1" x14ac:dyDescent="0.25">
      <c r="A310" s="150"/>
      <c r="B310" s="150"/>
      <c r="C310" s="150"/>
      <c r="D310" s="151"/>
      <c r="E310" s="151"/>
      <c r="F310" s="151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 spans="1:26" ht="19.5" customHeight="1" x14ac:dyDescent="0.25">
      <c r="A311" s="150"/>
      <c r="B311" s="150"/>
      <c r="C311" s="150"/>
      <c r="D311" s="151"/>
      <c r="E311" s="151"/>
      <c r="F311" s="151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 spans="1:26" ht="19.5" customHeight="1" x14ac:dyDescent="0.25">
      <c r="A312" s="150"/>
      <c r="B312" s="150"/>
      <c r="C312" s="150"/>
      <c r="D312" s="151"/>
      <c r="E312" s="151"/>
      <c r="F312" s="151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 spans="1:26" ht="19.5" customHeight="1" x14ac:dyDescent="0.25">
      <c r="A313" s="150"/>
      <c r="B313" s="150"/>
      <c r="C313" s="150"/>
      <c r="D313" s="151"/>
      <c r="E313" s="151"/>
      <c r="F313" s="151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 spans="1:26" ht="19.5" customHeight="1" x14ac:dyDescent="0.25">
      <c r="A314" s="150"/>
      <c r="B314" s="150"/>
      <c r="C314" s="150"/>
      <c r="D314" s="151"/>
      <c r="E314" s="151"/>
      <c r="F314" s="151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 spans="1:26" ht="19.5" customHeight="1" x14ac:dyDescent="0.25">
      <c r="A315" s="150"/>
      <c r="B315" s="150"/>
      <c r="C315" s="150"/>
      <c r="D315" s="151"/>
      <c r="E315" s="151"/>
      <c r="F315" s="151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 spans="1:26" ht="19.5" customHeight="1" x14ac:dyDescent="0.25">
      <c r="A316" s="150"/>
      <c r="B316" s="150"/>
      <c r="C316" s="150"/>
      <c r="D316" s="151"/>
      <c r="E316" s="151"/>
      <c r="F316" s="151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 spans="1:26" ht="19.5" customHeight="1" x14ac:dyDescent="0.25">
      <c r="A317" s="150"/>
      <c r="B317" s="150"/>
      <c r="C317" s="150"/>
      <c r="D317" s="151"/>
      <c r="E317" s="151"/>
      <c r="F317" s="151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 spans="1:26" ht="19.5" customHeight="1" x14ac:dyDescent="0.25">
      <c r="A318" s="150"/>
      <c r="B318" s="150"/>
      <c r="C318" s="150"/>
      <c r="D318" s="151"/>
      <c r="E318" s="151"/>
      <c r="F318" s="151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 spans="1:26" ht="19.5" customHeight="1" x14ac:dyDescent="0.25">
      <c r="A319" s="150"/>
      <c r="B319" s="150"/>
      <c r="C319" s="150"/>
      <c r="D319" s="151"/>
      <c r="E319" s="151"/>
      <c r="F319" s="151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 spans="1:26" ht="19.5" customHeight="1" x14ac:dyDescent="0.25">
      <c r="A320" s="150"/>
      <c r="B320" s="150"/>
      <c r="C320" s="150"/>
      <c r="D320" s="151"/>
      <c r="E320" s="151"/>
      <c r="F320" s="151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 spans="1:26" ht="19.5" customHeight="1" x14ac:dyDescent="0.25">
      <c r="A321" s="150"/>
      <c r="B321" s="150"/>
      <c r="C321" s="150"/>
      <c r="D321" s="151"/>
      <c r="E321" s="151"/>
      <c r="F321" s="151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 spans="1:26" ht="19.5" customHeight="1" x14ac:dyDescent="0.25">
      <c r="A322" s="150"/>
      <c r="B322" s="150"/>
      <c r="C322" s="150"/>
      <c r="D322" s="151"/>
      <c r="E322" s="151"/>
      <c r="F322" s="151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 spans="1:26" ht="19.5" customHeight="1" x14ac:dyDescent="0.25">
      <c r="A323" s="150"/>
      <c r="B323" s="150"/>
      <c r="C323" s="150"/>
      <c r="D323" s="151"/>
      <c r="E323" s="151"/>
      <c r="F323" s="151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 spans="1:26" ht="19.5" customHeight="1" x14ac:dyDescent="0.25">
      <c r="A324" s="150"/>
      <c r="B324" s="150"/>
      <c r="C324" s="150"/>
      <c r="D324" s="151"/>
      <c r="E324" s="151"/>
      <c r="F324" s="151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 spans="1:26" ht="19.5" customHeight="1" x14ac:dyDescent="0.25">
      <c r="A325" s="150"/>
      <c r="B325" s="150"/>
      <c r="C325" s="150"/>
      <c r="D325" s="151"/>
      <c r="E325" s="151"/>
      <c r="F325" s="151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 spans="1:26" ht="19.5" customHeight="1" x14ac:dyDescent="0.25">
      <c r="A326" s="150"/>
      <c r="B326" s="150"/>
      <c r="C326" s="150"/>
      <c r="D326" s="151"/>
      <c r="E326" s="151"/>
      <c r="F326" s="151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 spans="1:26" ht="19.5" customHeight="1" x14ac:dyDescent="0.25">
      <c r="A327" s="150"/>
      <c r="B327" s="150"/>
      <c r="C327" s="150"/>
      <c r="D327" s="151"/>
      <c r="E327" s="151"/>
      <c r="F327" s="151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 spans="1:26" ht="19.5" customHeight="1" x14ac:dyDescent="0.25">
      <c r="A328" s="150"/>
      <c r="B328" s="150"/>
      <c r="C328" s="150"/>
      <c r="D328" s="151"/>
      <c r="E328" s="151"/>
      <c r="F328" s="151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 spans="1:26" ht="19.5" customHeight="1" x14ac:dyDescent="0.25">
      <c r="A329" s="150"/>
      <c r="B329" s="150"/>
      <c r="C329" s="150"/>
      <c r="D329" s="151"/>
      <c r="E329" s="151"/>
      <c r="F329" s="151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 spans="1:26" ht="19.5" customHeight="1" x14ac:dyDescent="0.25">
      <c r="A330" s="150"/>
      <c r="B330" s="150"/>
      <c r="C330" s="150"/>
      <c r="D330" s="151"/>
      <c r="E330" s="151"/>
      <c r="F330" s="151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 spans="1:26" ht="19.5" customHeight="1" x14ac:dyDescent="0.25">
      <c r="A331" s="150"/>
      <c r="B331" s="150"/>
      <c r="C331" s="150"/>
      <c r="D331" s="151"/>
      <c r="E331" s="151"/>
      <c r="F331" s="151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 spans="1:26" ht="19.5" customHeight="1" x14ac:dyDescent="0.25">
      <c r="A332" s="150"/>
      <c r="B332" s="150"/>
      <c r="C332" s="150"/>
      <c r="D332" s="151"/>
      <c r="E332" s="151"/>
      <c r="F332" s="151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 spans="1:26" ht="19.5" customHeight="1" x14ac:dyDescent="0.25">
      <c r="A333" s="150"/>
      <c r="B333" s="150"/>
      <c r="C333" s="150"/>
      <c r="D333" s="151"/>
      <c r="E333" s="151"/>
      <c r="F333" s="151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 spans="1:26" ht="19.5" customHeight="1" x14ac:dyDescent="0.25">
      <c r="A334" s="150"/>
      <c r="B334" s="150"/>
      <c r="C334" s="150"/>
      <c r="D334" s="151"/>
      <c r="E334" s="151"/>
      <c r="F334" s="151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 spans="1:26" ht="19.5" customHeight="1" x14ac:dyDescent="0.25">
      <c r="A335" s="150"/>
      <c r="B335" s="150"/>
      <c r="C335" s="150"/>
      <c r="D335" s="151"/>
      <c r="E335" s="151"/>
      <c r="F335" s="151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 spans="1:26" ht="19.5" customHeight="1" x14ac:dyDescent="0.25">
      <c r="A336" s="150"/>
      <c r="B336" s="150"/>
      <c r="C336" s="150"/>
      <c r="D336" s="151"/>
      <c r="E336" s="151"/>
      <c r="F336" s="151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 spans="1:26" ht="19.5" customHeight="1" x14ac:dyDescent="0.25">
      <c r="A337" s="150"/>
      <c r="B337" s="150"/>
      <c r="C337" s="150"/>
      <c r="D337" s="151"/>
      <c r="E337" s="151"/>
      <c r="F337" s="151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 spans="1:26" ht="19.5" customHeight="1" x14ac:dyDescent="0.25">
      <c r="A338" s="150"/>
      <c r="B338" s="150"/>
      <c r="C338" s="150"/>
      <c r="D338" s="151"/>
      <c r="E338" s="151"/>
      <c r="F338" s="151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 spans="1:26" ht="19.5" customHeight="1" x14ac:dyDescent="0.25">
      <c r="A339" s="150"/>
      <c r="B339" s="150"/>
      <c r="C339" s="150"/>
      <c r="D339" s="151"/>
      <c r="E339" s="151"/>
      <c r="F339" s="151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 spans="1:26" ht="19.5" customHeight="1" x14ac:dyDescent="0.25">
      <c r="A340" s="150"/>
      <c r="B340" s="150"/>
      <c r="C340" s="150"/>
      <c r="D340" s="151"/>
      <c r="E340" s="151"/>
      <c r="F340" s="151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 spans="1:26" ht="19.5" customHeight="1" x14ac:dyDescent="0.25">
      <c r="A341" s="150"/>
      <c r="B341" s="150"/>
      <c r="C341" s="150"/>
      <c r="D341" s="151"/>
      <c r="E341" s="151"/>
      <c r="F341" s="151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 spans="1:26" ht="19.5" customHeight="1" x14ac:dyDescent="0.25">
      <c r="A342" s="150"/>
      <c r="B342" s="150"/>
      <c r="C342" s="150"/>
      <c r="D342" s="151"/>
      <c r="E342" s="151"/>
      <c r="F342" s="151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 spans="1:26" ht="19.5" customHeight="1" x14ac:dyDescent="0.25">
      <c r="A343" s="150"/>
      <c r="B343" s="150"/>
      <c r="C343" s="150"/>
      <c r="D343" s="151"/>
      <c r="E343" s="151"/>
      <c r="F343" s="151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 spans="1:26" ht="19.5" customHeight="1" x14ac:dyDescent="0.25">
      <c r="A344" s="150"/>
      <c r="B344" s="150"/>
      <c r="C344" s="150"/>
      <c r="D344" s="151"/>
      <c r="E344" s="151"/>
      <c r="F344" s="151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 spans="1:26" ht="19.5" customHeight="1" x14ac:dyDescent="0.25">
      <c r="A345" s="150"/>
      <c r="B345" s="150"/>
      <c r="C345" s="150"/>
      <c r="D345" s="151"/>
      <c r="E345" s="151"/>
      <c r="F345" s="151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 spans="1:26" ht="19.5" customHeight="1" x14ac:dyDescent="0.25">
      <c r="A346" s="150"/>
      <c r="B346" s="150"/>
      <c r="C346" s="150"/>
      <c r="D346" s="151"/>
      <c r="E346" s="151"/>
      <c r="F346" s="151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 spans="1:26" ht="19.5" customHeight="1" x14ac:dyDescent="0.25">
      <c r="A347" s="150"/>
      <c r="B347" s="150"/>
      <c r="C347" s="150"/>
      <c r="D347" s="151"/>
      <c r="E347" s="151"/>
      <c r="F347" s="151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 spans="1:26" ht="19.5" customHeight="1" x14ac:dyDescent="0.25">
      <c r="A348" s="150"/>
      <c r="B348" s="150"/>
      <c r="C348" s="150"/>
      <c r="D348" s="151"/>
      <c r="E348" s="151"/>
      <c r="F348" s="151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 spans="1:26" ht="19.5" customHeight="1" x14ac:dyDescent="0.25">
      <c r="A349" s="150"/>
      <c r="B349" s="150"/>
      <c r="C349" s="150"/>
      <c r="D349" s="151"/>
      <c r="E349" s="151"/>
      <c r="F349" s="151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 spans="1:26" ht="19.5" customHeight="1" x14ac:dyDescent="0.25">
      <c r="A350" s="150"/>
      <c r="B350" s="150"/>
      <c r="C350" s="150"/>
      <c r="D350" s="151"/>
      <c r="E350" s="151"/>
      <c r="F350" s="151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 spans="1:26" ht="19.5" customHeight="1" x14ac:dyDescent="0.25">
      <c r="A351" s="150"/>
      <c r="B351" s="150"/>
      <c r="C351" s="150"/>
      <c r="D351" s="151"/>
      <c r="E351" s="151"/>
      <c r="F351" s="151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 spans="1:26" ht="19.5" customHeight="1" x14ac:dyDescent="0.25">
      <c r="A352" s="150"/>
      <c r="B352" s="150"/>
      <c r="C352" s="150"/>
      <c r="D352" s="151"/>
      <c r="E352" s="151"/>
      <c r="F352" s="151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 spans="1:26" ht="19.5" customHeight="1" x14ac:dyDescent="0.25">
      <c r="A353" s="150"/>
      <c r="B353" s="150"/>
      <c r="C353" s="150"/>
      <c r="D353" s="151"/>
      <c r="E353" s="151"/>
      <c r="F353" s="151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 spans="1:26" ht="19.5" customHeight="1" x14ac:dyDescent="0.25">
      <c r="A354" s="150"/>
      <c r="B354" s="150"/>
      <c r="C354" s="150"/>
      <c r="D354" s="151"/>
      <c r="E354" s="151"/>
      <c r="F354" s="151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 spans="1:26" ht="19.5" customHeight="1" x14ac:dyDescent="0.25">
      <c r="A355" s="150"/>
      <c r="B355" s="150"/>
      <c r="C355" s="150"/>
      <c r="D355" s="151"/>
      <c r="E355" s="151"/>
      <c r="F355" s="151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 spans="1:26" ht="19.5" customHeight="1" x14ac:dyDescent="0.25">
      <c r="A356" s="150"/>
      <c r="B356" s="150"/>
      <c r="C356" s="150"/>
      <c r="D356" s="151"/>
      <c r="E356" s="151"/>
      <c r="F356" s="151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 spans="1:26" ht="19.5" customHeight="1" x14ac:dyDescent="0.25">
      <c r="A357" s="150"/>
      <c r="B357" s="150"/>
      <c r="C357" s="150"/>
      <c r="D357" s="151"/>
      <c r="E357" s="151"/>
      <c r="F357" s="151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 spans="1:26" ht="19.5" customHeight="1" x14ac:dyDescent="0.25">
      <c r="A358" s="150"/>
      <c r="B358" s="150"/>
      <c r="C358" s="150"/>
      <c r="D358" s="151"/>
      <c r="E358" s="151"/>
      <c r="F358" s="151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 spans="1:26" ht="19.5" customHeight="1" x14ac:dyDescent="0.25">
      <c r="A359" s="150"/>
      <c r="B359" s="150"/>
      <c r="C359" s="150"/>
      <c r="D359" s="151"/>
      <c r="E359" s="151"/>
      <c r="F359" s="151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 spans="1:26" ht="19.5" customHeight="1" x14ac:dyDescent="0.25">
      <c r="A360" s="150"/>
      <c r="B360" s="150"/>
      <c r="C360" s="150"/>
      <c r="D360" s="151"/>
      <c r="E360" s="151"/>
      <c r="F360" s="151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 spans="1:26" ht="19.5" customHeight="1" x14ac:dyDescent="0.25">
      <c r="A361" s="150"/>
      <c r="B361" s="150"/>
      <c r="C361" s="150"/>
      <c r="D361" s="151"/>
      <c r="E361" s="151"/>
      <c r="F361" s="151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 spans="1:26" ht="19.5" customHeight="1" x14ac:dyDescent="0.25">
      <c r="A362" s="150"/>
      <c r="B362" s="150"/>
      <c r="C362" s="150"/>
      <c r="D362" s="151"/>
      <c r="E362" s="151"/>
      <c r="F362" s="151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 spans="1:26" ht="19.5" customHeight="1" x14ac:dyDescent="0.25">
      <c r="A363" s="150"/>
      <c r="B363" s="150"/>
      <c r="C363" s="150"/>
      <c r="D363" s="151"/>
      <c r="E363" s="151"/>
      <c r="F363" s="151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 spans="1:26" ht="19.5" customHeight="1" x14ac:dyDescent="0.25">
      <c r="A364" s="150"/>
      <c r="B364" s="150"/>
      <c r="C364" s="150"/>
      <c r="D364" s="151"/>
      <c r="E364" s="151"/>
      <c r="F364" s="151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 spans="1:26" ht="19.5" customHeight="1" x14ac:dyDescent="0.25">
      <c r="A365" s="150"/>
      <c r="B365" s="150"/>
      <c r="C365" s="150"/>
      <c r="D365" s="151"/>
      <c r="E365" s="151"/>
      <c r="F365" s="151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 spans="1:26" ht="19.5" customHeight="1" x14ac:dyDescent="0.25">
      <c r="A366" s="150"/>
      <c r="B366" s="150"/>
      <c r="C366" s="150"/>
      <c r="D366" s="151"/>
      <c r="E366" s="151"/>
      <c r="F366" s="151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 spans="1:26" ht="19.5" customHeight="1" x14ac:dyDescent="0.25">
      <c r="A367" s="150"/>
      <c r="B367" s="150"/>
      <c r="C367" s="150"/>
      <c r="D367" s="151"/>
      <c r="E367" s="151"/>
      <c r="F367" s="151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 spans="1:26" ht="19.5" customHeight="1" x14ac:dyDescent="0.25">
      <c r="A368" s="150"/>
      <c r="B368" s="150"/>
      <c r="C368" s="150"/>
      <c r="D368" s="151"/>
      <c r="E368" s="151"/>
      <c r="F368" s="151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 spans="1:26" ht="19.5" customHeight="1" x14ac:dyDescent="0.25">
      <c r="A369" s="150"/>
      <c r="B369" s="150"/>
      <c r="C369" s="150"/>
      <c r="D369" s="151"/>
      <c r="E369" s="151"/>
      <c r="F369" s="151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 spans="1:26" ht="19.5" customHeight="1" x14ac:dyDescent="0.25">
      <c r="A370" s="150"/>
      <c r="B370" s="150"/>
      <c r="C370" s="150"/>
      <c r="D370" s="151"/>
      <c r="E370" s="151"/>
      <c r="F370" s="151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 spans="1:26" ht="19.5" customHeight="1" x14ac:dyDescent="0.25">
      <c r="A371" s="150"/>
      <c r="B371" s="150"/>
      <c r="C371" s="150"/>
      <c r="D371" s="151"/>
      <c r="E371" s="151"/>
      <c r="F371" s="151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 spans="1:26" ht="19.5" customHeight="1" x14ac:dyDescent="0.25">
      <c r="A372" s="150"/>
      <c r="B372" s="150"/>
      <c r="C372" s="150"/>
      <c r="D372" s="151"/>
      <c r="E372" s="151"/>
      <c r="F372" s="151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 spans="1:26" ht="19.5" customHeight="1" x14ac:dyDescent="0.25">
      <c r="A373" s="150"/>
      <c r="B373" s="150"/>
      <c r="C373" s="150"/>
      <c r="D373" s="151"/>
      <c r="E373" s="151"/>
      <c r="F373" s="151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 spans="1:26" ht="19.5" customHeight="1" x14ac:dyDescent="0.25">
      <c r="A374" s="150"/>
      <c r="B374" s="150"/>
      <c r="C374" s="150"/>
      <c r="D374" s="151"/>
      <c r="E374" s="151"/>
      <c r="F374" s="151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 spans="1:26" ht="19.5" customHeight="1" x14ac:dyDescent="0.25">
      <c r="A375" s="150"/>
      <c r="B375" s="150"/>
      <c r="C375" s="150"/>
      <c r="D375" s="151"/>
      <c r="E375" s="151"/>
      <c r="F375" s="151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 spans="1:26" ht="19.5" customHeight="1" x14ac:dyDescent="0.25">
      <c r="A376" s="150"/>
      <c r="B376" s="150"/>
      <c r="C376" s="150"/>
      <c r="D376" s="151"/>
      <c r="E376" s="151"/>
      <c r="F376" s="151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 spans="1:26" ht="19.5" customHeight="1" x14ac:dyDescent="0.25">
      <c r="A377" s="150"/>
      <c r="B377" s="150"/>
      <c r="C377" s="150"/>
      <c r="D377" s="151"/>
      <c r="E377" s="151"/>
      <c r="F377" s="151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 spans="1:26" ht="19.5" customHeight="1" x14ac:dyDescent="0.25">
      <c r="A378" s="150"/>
      <c r="B378" s="150"/>
      <c r="C378" s="150"/>
      <c r="D378" s="151"/>
      <c r="E378" s="151"/>
      <c r="F378" s="151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 spans="1:26" ht="19.5" customHeight="1" x14ac:dyDescent="0.25">
      <c r="A379" s="150"/>
      <c r="B379" s="150"/>
      <c r="C379" s="150"/>
      <c r="D379" s="151"/>
      <c r="E379" s="151"/>
      <c r="F379" s="151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 spans="1:26" ht="19.5" customHeight="1" x14ac:dyDescent="0.25">
      <c r="A380" s="150"/>
      <c r="B380" s="150"/>
      <c r="C380" s="150"/>
      <c r="D380" s="151"/>
      <c r="E380" s="151"/>
      <c r="F380" s="151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 spans="1:26" ht="19.5" customHeight="1" x14ac:dyDescent="0.25">
      <c r="A381" s="150"/>
      <c r="B381" s="150"/>
      <c r="C381" s="150"/>
      <c r="D381" s="151"/>
      <c r="E381" s="151"/>
      <c r="F381" s="151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 spans="1:26" ht="19.5" customHeight="1" x14ac:dyDescent="0.25">
      <c r="A382" s="150"/>
      <c r="B382" s="150"/>
      <c r="C382" s="150"/>
      <c r="D382" s="151"/>
      <c r="E382" s="151"/>
      <c r="F382" s="151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 spans="1:26" ht="19.5" customHeight="1" x14ac:dyDescent="0.25">
      <c r="A383" s="150"/>
      <c r="B383" s="150"/>
      <c r="C383" s="150"/>
      <c r="D383" s="151"/>
      <c r="E383" s="151"/>
      <c r="F383" s="151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 spans="1:26" ht="19.5" customHeight="1" x14ac:dyDescent="0.25">
      <c r="A384" s="150"/>
      <c r="B384" s="150"/>
      <c r="C384" s="150"/>
      <c r="D384" s="151"/>
      <c r="E384" s="151"/>
      <c r="F384" s="151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 spans="1:26" ht="19.5" customHeight="1" x14ac:dyDescent="0.25">
      <c r="A385" s="150"/>
      <c r="B385" s="150"/>
      <c r="C385" s="150"/>
      <c r="D385" s="151"/>
      <c r="E385" s="151"/>
      <c r="F385" s="151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 spans="1:26" ht="19.5" customHeight="1" x14ac:dyDescent="0.25">
      <c r="A386" s="150"/>
      <c r="B386" s="150"/>
      <c r="C386" s="150"/>
      <c r="D386" s="151"/>
      <c r="E386" s="151"/>
      <c r="F386" s="151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 spans="1:26" ht="19.5" customHeight="1" x14ac:dyDescent="0.25">
      <c r="A387" s="150"/>
      <c r="B387" s="150"/>
      <c r="C387" s="150"/>
      <c r="D387" s="151"/>
      <c r="E387" s="151"/>
      <c r="F387" s="151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 spans="1:26" ht="19.5" customHeight="1" x14ac:dyDescent="0.25">
      <c r="A388" s="150"/>
      <c r="B388" s="150"/>
      <c r="C388" s="150"/>
      <c r="D388" s="151"/>
      <c r="E388" s="151"/>
      <c r="F388" s="151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 spans="1:26" ht="19.5" customHeight="1" x14ac:dyDescent="0.25">
      <c r="A389" s="150"/>
      <c r="B389" s="150"/>
      <c r="C389" s="150"/>
      <c r="D389" s="151"/>
      <c r="E389" s="151"/>
      <c r="F389" s="151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 spans="1:26" ht="19.5" customHeight="1" x14ac:dyDescent="0.25">
      <c r="A390" s="150"/>
      <c r="B390" s="150"/>
      <c r="C390" s="150"/>
      <c r="D390" s="151"/>
      <c r="E390" s="151"/>
      <c r="F390" s="151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 spans="1:26" ht="19.5" customHeight="1" x14ac:dyDescent="0.25">
      <c r="A391" s="150"/>
      <c r="B391" s="150"/>
      <c r="C391" s="150"/>
      <c r="D391" s="151"/>
      <c r="E391" s="151"/>
      <c r="F391" s="151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 spans="1:26" ht="19.5" customHeight="1" x14ac:dyDescent="0.25">
      <c r="A392" s="150"/>
      <c r="B392" s="150"/>
      <c r="C392" s="150"/>
      <c r="D392" s="151"/>
      <c r="E392" s="151"/>
      <c r="F392" s="151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 spans="1:26" ht="19.5" customHeight="1" x14ac:dyDescent="0.25">
      <c r="A393" s="150"/>
      <c r="B393" s="150"/>
      <c r="C393" s="150"/>
      <c r="D393" s="151"/>
      <c r="E393" s="151"/>
      <c r="F393" s="151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 spans="1:26" ht="19.5" customHeight="1" x14ac:dyDescent="0.25">
      <c r="A394" s="150"/>
      <c r="B394" s="150"/>
      <c r="C394" s="150"/>
      <c r="D394" s="151"/>
      <c r="E394" s="151"/>
      <c r="F394" s="151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 spans="1:26" ht="19.5" customHeight="1" x14ac:dyDescent="0.25">
      <c r="A395" s="150"/>
      <c r="B395" s="150"/>
      <c r="C395" s="150"/>
      <c r="D395" s="151"/>
      <c r="E395" s="151"/>
      <c r="F395" s="151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 spans="1:26" ht="19.5" customHeight="1" x14ac:dyDescent="0.25">
      <c r="A396" s="150"/>
      <c r="B396" s="150"/>
      <c r="C396" s="150"/>
      <c r="D396" s="151"/>
      <c r="E396" s="151"/>
      <c r="F396" s="151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 spans="1:26" ht="19.5" customHeight="1" x14ac:dyDescent="0.25">
      <c r="A397" s="150"/>
      <c r="B397" s="150"/>
      <c r="C397" s="150"/>
      <c r="D397" s="151"/>
      <c r="E397" s="151"/>
      <c r="F397" s="151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 spans="1:26" ht="19.5" customHeight="1" x14ac:dyDescent="0.25">
      <c r="A398" s="150"/>
      <c r="B398" s="150"/>
      <c r="C398" s="150"/>
      <c r="D398" s="151"/>
      <c r="E398" s="151"/>
      <c r="F398" s="151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 spans="1:26" ht="19.5" customHeight="1" x14ac:dyDescent="0.25">
      <c r="A399" s="150"/>
      <c r="B399" s="150"/>
      <c r="C399" s="150"/>
      <c r="D399" s="151"/>
      <c r="E399" s="151"/>
      <c r="F399" s="151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 spans="1:26" ht="19.5" customHeight="1" x14ac:dyDescent="0.25">
      <c r="A400" s="150"/>
      <c r="B400" s="150"/>
      <c r="C400" s="150"/>
      <c r="D400" s="151"/>
      <c r="E400" s="151"/>
      <c r="F400" s="151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 spans="1:26" ht="19.5" customHeight="1" x14ac:dyDescent="0.25">
      <c r="A401" s="150"/>
      <c r="B401" s="150"/>
      <c r="C401" s="150"/>
      <c r="D401" s="151"/>
      <c r="E401" s="151"/>
      <c r="F401" s="151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 spans="1:26" ht="19.5" customHeight="1" x14ac:dyDescent="0.25">
      <c r="A402" s="150"/>
      <c r="B402" s="150"/>
      <c r="C402" s="150"/>
      <c r="D402" s="151"/>
      <c r="E402" s="151"/>
      <c r="F402" s="151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 spans="1:26" ht="19.5" customHeight="1" x14ac:dyDescent="0.25">
      <c r="A403" s="150"/>
      <c r="B403" s="150"/>
      <c r="C403" s="150"/>
      <c r="D403" s="151"/>
      <c r="E403" s="151"/>
      <c r="F403" s="151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 spans="1:26" ht="19.5" customHeight="1" x14ac:dyDescent="0.25">
      <c r="A404" s="150"/>
      <c r="B404" s="150"/>
      <c r="C404" s="150"/>
      <c r="D404" s="151"/>
      <c r="E404" s="151"/>
      <c r="F404" s="151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 spans="1:26" ht="19.5" customHeight="1" x14ac:dyDescent="0.25">
      <c r="A405" s="150"/>
      <c r="B405" s="150"/>
      <c r="C405" s="150"/>
      <c r="D405" s="151"/>
      <c r="E405" s="151"/>
      <c r="F405" s="151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 spans="1:26" ht="19.5" customHeight="1" x14ac:dyDescent="0.25">
      <c r="A406" s="150"/>
      <c r="B406" s="150"/>
      <c r="C406" s="150"/>
      <c r="D406" s="151"/>
      <c r="E406" s="151"/>
      <c r="F406" s="151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 spans="1:26" ht="19.5" customHeight="1" x14ac:dyDescent="0.25">
      <c r="A407" s="150"/>
      <c r="B407" s="150"/>
      <c r="C407" s="150"/>
      <c r="D407" s="151"/>
      <c r="E407" s="151"/>
      <c r="F407" s="151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 spans="1:26" ht="19.5" customHeight="1" x14ac:dyDescent="0.25">
      <c r="A408" s="150"/>
      <c r="B408" s="150"/>
      <c r="C408" s="150"/>
      <c r="D408" s="151"/>
      <c r="E408" s="151"/>
      <c r="F408" s="151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 spans="1:26" ht="19.5" customHeight="1" x14ac:dyDescent="0.25">
      <c r="A409" s="150"/>
      <c r="B409" s="150"/>
      <c r="C409" s="150"/>
      <c r="D409" s="151"/>
      <c r="E409" s="151"/>
      <c r="F409" s="151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 spans="1:26" ht="19.5" customHeight="1" x14ac:dyDescent="0.25">
      <c r="A410" s="150"/>
      <c r="B410" s="150"/>
      <c r="C410" s="150"/>
      <c r="D410" s="151"/>
      <c r="E410" s="151"/>
      <c r="F410" s="151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 spans="1:26" ht="19.5" customHeight="1" x14ac:dyDescent="0.25">
      <c r="A411" s="150"/>
      <c r="B411" s="150"/>
      <c r="C411" s="150"/>
      <c r="D411" s="151"/>
      <c r="E411" s="151"/>
      <c r="F411" s="151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 spans="1:26" ht="19.5" customHeight="1" x14ac:dyDescent="0.25">
      <c r="A412" s="150"/>
      <c r="B412" s="150"/>
      <c r="C412" s="150"/>
      <c r="D412" s="151"/>
      <c r="E412" s="151"/>
      <c r="F412" s="151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 spans="1:26" ht="19.5" customHeight="1" x14ac:dyDescent="0.25">
      <c r="A413" s="150"/>
      <c r="B413" s="150"/>
      <c r="C413" s="150"/>
      <c r="D413" s="151"/>
      <c r="E413" s="151"/>
      <c r="F413" s="151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 spans="1:26" ht="19.5" customHeight="1" x14ac:dyDescent="0.25">
      <c r="A414" s="150"/>
      <c r="B414" s="150"/>
      <c r="C414" s="150"/>
      <c r="D414" s="151"/>
      <c r="E414" s="151"/>
      <c r="F414" s="151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 spans="1:26" ht="19.5" customHeight="1" x14ac:dyDescent="0.25">
      <c r="A415" s="150"/>
      <c r="B415" s="150"/>
      <c r="C415" s="150"/>
      <c r="D415" s="151"/>
      <c r="E415" s="151"/>
      <c r="F415" s="151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 spans="1:26" ht="19.5" customHeight="1" x14ac:dyDescent="0.25">
      <c r="A416" s="150"/>
      <c r="B416" s="150"/>
      <c r="C416" s="150"/>
      <c r="D416" s="151"/>
      <c r="E416" s="151"/>
      <c r="F416" s="151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 spans="1:26" ht="19.5" customHeight="1" x14ac:dyDescent="0.25">
      <c r="A417" s="150"/>
      <c r="B417" s="150"/>
      <c r="C417" s="150"/>
      <c r="D417" s="151"/>
      <c r="E417" s="151"/>
      <c r="F417" s="151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 spans="1:26" ht="19.5" customHeight="1" x14ac:dyDescent="0.25">
      <c r="A418" s="150"/>
      <c r="B418" s="150"/>
      <c r="C418" s="150"/>
      <c r="D418" s="151"/>
      <c r="E418" s="151"/>
      <c r="F418" s="151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 spans="1:26" ht="19.5" customHeight="1" x14ac:dyDescent="0.25">
      <c r="A419" s="150"/>
      <c r="B419" s="150"/>
      <c r="C419" s="150"/>
      <c r="D419" s="151"/>
      <c r="E419" s="151"/>
      <c r="F419" s="151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 spans="1:26" ht="19.5" customHeight="1" x14ac:dyDescent="0.25">
      <c r="A420" s="150"/>
      <c r="B420" s="150"/>
      <c r="C420" s="150"/>
      <c r="D420" s="151"/>
      <c r="E420" s="151"/>
      <c r="F420" s="151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 spans="1:26" ht="19.5" customHeight="1" x14ac:dyDescent="0.25">
      <c r="A421" s="150"/>
      <c r="B421" s="150"/>
      <c r="C421" s="150"/>
      <c r="D421" s="151"/>
      <c r="E421" s="151"/>
      <c r="F421" s="151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 spans="1:26" ht="19.5" customHeight="1" x14ac:dyDescent="0.25">
      <c r="A422" s="150"/>
      <c r="B422" s="150"/>
      <c r="C422" s="150"/>
      <c r="D422" s="151"/>
      <c r="E422" s="151"/>
      <c r="F422" s="151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 spans="1:26" ht="19.5" customHeight="1" x14ac:dyDescent="0.25">
      <c r="A423" s="150"/>
      <c r="B423" s="150"/>
      <c r="C423" s="150"/>
      <c r="D423" s="151"/>
      <c r="E423" s="151"/>
      <c r="F423" s="151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 spans="1:26" ht="19.5" customHeight="1" x14ac:dyDescent="0.25">
      <c r="A424" s="150"/>
      <c r="B424" s="150"/>
      <c r="C424" s="150"/>
      <c r="D424" s="151"/>
      <c r="E424" s="151"/>
      <c r="F424" s="151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 spans="1:26" ht="19.5" customHeight="1" x14ac:dyDescent="0.25">
      <c r="A425" s="150"/>
      <c r="B425" s="150"/>
      <c r="C425" s="150"/>
      <c r="D425" s="151"/>
      <c r="E425" s="151"/>
      <c r="F425" s="151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 spans="1:26" ht="19.5" customHeight="1" x14ac:dyDescent="0.25">
      <c r="A426" s="150"/>
      <c r="B426" s="150"/>
      <c r="C426" s="150"/>
      <c r="D426" s="151"/>
      <c r="E426" s="151"/>
      <c r="F426" s="151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 spans="1:26" ht="19.5" customHeight="1" x14ac:dyDescent="0.25">
      <c r="A427" s="150"/>
      <c r="B427" s="150"/>
      <c r="C427" s="150"/>
      <c r="D427" s="151"/>
      <c r="E427" s="151"/>
      <c r="F427" s="151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 spans="1:26" ht="19.5" customHeight="1" x14ac:dyDescent="0.25">
      <c r="A428" s="150"/>
      <c r="B428" s="150"/>
      <c r="C428" s="150"/>
      <c r="D428" s="151"/>
      <c r="E428" s="151"/>
      <c r="F428" s="151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 spans="1:26" ht="19.5" customHeight="1" x14ac:dyDescent="0.25">
      <c r="A429" s="150"/>
      <c r="B429" s="150"/>
      <c r="C429" s="150"/>
      <c r="D429" s="151"/>
      <c r="E429" s="151"/>
      <c r="F429" s="151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 spans="1:26" ht="19.5" customHeight="1" x14ac:dyDescent="0.25">
      <c r="A430" s="150"/>
      <c r="B430" s="150"/>
      <c r="C430" s="150"/>
      <c r="D430" s="151"/>
      <c r="E430" s="151"/>
      <c r="F430" s="151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 spans="1:26" ht="19.5" customHeight="1" x14ac:dyDescent="0.25">
      <c r="A431" s="150"/>
      <c r="B431" s="150"/>
      <c r="C431" s="150"/>
      <c r="D431" s="151"/>
      <c r="E431" s="151"/>
      <c r="F431" s="151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 spans="1:26" ht="19.5" customHeight="1" x14ac:dyDescent="0.25">
      <c r="A432" s="150"/>
      <c r="B432" s="150"/>
      <c r="C432" s="150"/>
      <c r="D432" s="151"/>
      <c r="E432" s="151"/>
      <c r="F432" s="151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 spans="1:26" ht="19.5" customHeight="1" x14ac:dyDescent="0.25">
      <c r="A433" s="150"/>
      <c r="B433" s="150"/>
      <c r="C433" s="150"/>
      <c r="D433" s="151"/>
      <c r="E433" s="151"/>
      <c r="F433" s="151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 spans="1:26" ht="19.5" customHeight="1" x14ac:dyDescent="0.25">
      <c r="A434" s="150"/>
      <c r="B434" s="150"/>
      <c r="C434" s="150"/>
      <c r="D434" s="151"/>
      <c r="E434" s="151"/>
      <c r="F434" s="151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 spans="1:26" ht="19.5" customHeight="1" x14ac:dyDescent="0.25">
      <c r="A435" s="150"/>
      <c r="B435" s="150"/>
      <c r="C435" s="150"/>
      <c r="D435" s="151"/>
      <c r="E435" s="151"/>
      <c r="F435" s="151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 spans="1:26" ht="19.5" customHeight="1" x14ac:dyDescent="0.25">
      <c r="A436" s="150"/>
      <c r="B436" s="150"/>
      <c r="C436" s="150"/>
      <c r="D436" s="151"/>
      <c r="E436" s="151"/>
      <c r="F436" s="151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 spans="1:26" ht="19.5" customHeight="1" x14ac:dyDescent="0.25">
      <c r="A437" s="150"/>
      <c r="B437" s="150"/>
      <c r="C437" s="150"/>
      <c r="D437" s="151"/>
      <c r="E437" s="151"/>
      <c r="F437" s="151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 spans="1:26" ht="19.5" customHeight="1" x14ac:dyDescent="0.25">
      <c r="A438" s="150"/>
      <c r="B438" s="150"/>
      <c r="C438" s="150"/>
      <c r="D438" s="151"/>
      <c r="E438" s="151"/>
      <c r="F438" s="151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 spans="1:26" ht="19.5" customHeight="1" x14ac:dyDescent="0.25">
      <c r="A439" s="150"/>
      <c r="B439" s="150"/>
      <c r="C439" s="150"/>
      <c r="D439" s="151"/>
      <c r="E439" s="151"/>
      <c r="F439" s="151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 spans="1:26" ht="19.5" customHeight="1" x14ac:dyDescent="0.25">
      <c r="A440" s="150"/>
      <c r="B440" s="150"/>
      <c r="C440" s="150"/>
      <c r="D440" s="151"/>
      <c r="E440" s="151"/>
      <c r="F440" s="151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 spans="1:26" ht="19.5" customHeight="1" x14ac:dyDescent="0.25">
      <c r="A441" s="150"/>
      <c r="B441" s="150"/>
      <c r="C441" s="150"/>
      <c r="D441" s="151"/>
      <c r="E441" s="151"/>
      <c r="F441" s="151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 spans="1:26" ht="19.5" customHeight="1" x14ac:dyDescent="0.25">
      <c r="A442" s="150"/>
      <c r="B442" s="150"/>
      <c r="C442" s="150"/>
      <c r="D442" s="151"/>
      <c r="E442" s="151"/>
      <c r="F442" s="151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 spans="1:26" ht="19.5" customHeight="1" x14ac:dyDescent="0.25">
      <c r="A443" s="150"/>
      <c r="B443" s="150"/>
      <c r="C443" s="150"/>
      <c r="D443" s="151"/>
      <c r="E443" s="151"/>
      <c r="F443" s="151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 spans="1:26" ht="19.5" customHeight="1" x14ac:dyDescent="0.25">
      <c r="A444" s="150"/>
      <c r="B444" s="150"/>
      <c r="C444" s="150"/>
      <c r="D444" s="151"/>
      <c r="E444" s="151"/>
      <c r="F444" s="151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 spans="1:26" ht="19.5" customHeight="1" x14ac:dyDescent="0.25">
      <c r="A445" s="150"/>
      <c r="B445" s="150"/>
      <c r="C445" s="150"/>
      <c r="D445" s="151"/>
      <c r="E445" s="151"/>
      <c r="F445" s="151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 spans="1:26" ht="19.5" customHeight="1" x14ac:dyDescent="0.25">
      <c r="A446" s="150"/>
      <c r="B446" s="150"/>
      <c r="C446" s="150"/>
      <c r="D446" s="151"/>
      <c r="E446" s="151"/>
      <c r="F446" s="151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 spans="1:26" ht="19.5" customHeight="1" x14ac:dyDescent="0.25">
      <c r="A447" s="150"/>
      <c r="B447" s="150"/>
      <c r="C447" s="150"/>
      <c r="D447" s="151"/>
      <c r="E447" s="151"/>
      <c r="F447" s="151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 spans="1:26" ht="19.5" customHeight="1" x14ac:dyDescent="0.25">
      <c r="A448" s="150"/>
      <c r="B448" s="150"/>
      <c r="C448" s="150"/>
      <c r="D448" s="151"/>
      <c r="E448" s="151"/>
      <c r="F448" s="151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 spans="1:26" ht="19.5" customHeight="1" x14ac:dyDescent="0.25">
      <c r="A449" s="150"/>
      <c r="B449" s="150"/>
      <c r="C449" s="150"/>
      <c r="D449" s="151"/>
      <c r="E449" s="151"/>
      <c r="F449" s="151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 spans="1:26" ht="19.5" customHeight="1" x14ac:dyDescent="0.25">
      <c r="A450" s="150"/>
      <c r="B450" s="150"/>
      <c r="C450" s="150"/>
      <c r="D450" s="151"/>
      <c r="E450" s="151"/>
      <c r="F450" s="151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spans="1:26" ht="19.5" customHeight="1" x14ac:dyDescent="0.25">
      <c r="A451" s="150"/>
      <c r="B451" s="150"/>
      <c r="C451" s="150"/>
      <c r="D451" s="151"/>
      <c r="E451" s="151"/>
      <c r="F451" s="151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 spans="1:26" ht="19.5" customHeight="1" x14ac:dyDescent="0.25">
      <c r="A452" s="150"/>
      <c r="B452" s="150"/>
      <c r="C452" s="150"/>
      <c r="D452" s="151"/>
      <c r="E452" s="151"/>
      <c r="F452" s="151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 spans="1:26" ht="19.5" customHeight="1" x14ac:dyDescent="0.25">
      <c r="A453" s="150"/>
      <c r="B453" s="150"/>
      <c r="C453" s="150"/>
      <c r="D453" s="151"/>
      <c r="E453" s="151"/>
      <c r="F453" s="151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 spans="1:26" ht="19.5" customHeight="1" x14ac:dyDescent="0.25">
      <c r="A454" s="150"/>
      <c r="B454" s="150"/>
      <c r="C454" s="150"/>
      <c r="D454" s="151"/>
      <c r="E454" s="151"/>
      <c r="F454" s="151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 spans="1:26" ht="19.5" customHeight="1" x14ac:dyDescent="0.25">
      <c r="A455" s="150"/>
      <c r="B455" s="150"/>
      <c r="C455" s="150"/>
      <c r="D455" s="151"/>
      <c r="E455" s="151"/>
      <c r="F455" s="151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 spans="1:26" ht="19.5" customHeight="1" x14ac:dyDescent="0.25">
      <c r="A456" s="150"/>
      <c r="B456" s="150"/>
      <c r="C456" s="150"/>
      <c r="D456" s="151"/>
      <c r="E456" s="151"/>
      <c r="F456" s="151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 spans="1:26" ht="19.5" customHeight="1" x14ac:dyDescent="0.25">
      <c r="A457" s="150"/>
      <c r="B457" s="150"/>
      <c r="C457" s="150"/>
      <c r="D457" s="151"/>
      <c r="E457" s="151"/>
      <c r="F457" s="151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 spans="1:26" ht="19.5" customHeight="1" x14ac:dyDescent="0.25">
      <c r="A458" s="150"/>
      <c r="B458" s="150"/>
      <c r="C458" s="150"/>
      <c r="D458" s="151"/>
      <c r="E458" s="151"/>
      <c r="F458" s="151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 spans="1:26" ht="19.5" customHeight="1" x14ac:dyDescent="0.25">
      <c r="A459" s="150"/>
      <c r="B459" s="150"/>
      <c r="C459" s="150"/>
      <c r="D459" s="151"/>
      <c r="E459" s="151"/>
      <c r="F459" s="151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 spans="1:26" ht="19.5" customHeight="1" x14ac:dyDescent="0.25">
      <c r="A460" s="150"/>
      <c r="B460" s="150"/>
      <c r="C460" s="150"/>
      <c r="D460" s="151"/>
      <c r="E460" s="151"/>
      <c r="F460" s="151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 spans="1:26" ht="19.5" customHeight="1" x14ac:dyDescent="0.25">
      <c r="A461" s="150"/>
      <c r="B461" s="150"/>
      <c r="C461" s="150"/>
      <c r="D461" s="151"/>
      <c r="E461" s="151"/>
      <c r="F461" s="151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 spans="1:26" ht="19.5" customHeight="1" x14ac:dyDescent="0.25">
      <c r="A462" s="150"/>
      <c r="B462" s="150"/>
      <c r="C462" s="150"/>
      <c r="D462" s="151"/>
      <c r="E462" s="151"/>
      <c r="F462" s="151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 spans="1:26" ht="19.5" customHeight="1" x14ac:dyDescent="0.25">
      <c r="A463" s="150"/>
      <c r="B463" s="150"/>
      <c r="C463" s="150"/>
      <c r="D463" s="151"/>
      <c r="E463" s="151"/>
      <c r="F463" s="151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 spans="1:26" ht="19.5" customHeight="1" x14ac:dyDescent="0.25">
      <c r="A464" s="150"/>
      <c r="B464" s="150"/>
      <c r="C464" s="150"/>
      <c r="D464" s="151"/>
      <c r="E464" s="151"/>
      <c r="F464" s="151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 spans="1:26" ht="19.5" customHeight="1" x14ac:dyDescent="0.25">
      <c r="A465" s="150"/>
      <c r="B465" s="150"/>
      <c r="C465" s="150"/>
      <c r="D465" s="151"/>
      <c r="E465" s="151"/>
      <c r="F465" s="151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 spans="1:26" ht="19.5" customHeight="1" x14ac:dyDescent="0.25">
      <c r="A466" s="150"/>
      <c r="B466" s="150"/>
      <c r="C466" s="150"/>
      <c r="D466" s="151"/>
      <c r="E466" s="151"/>
      <c r="F466" s="151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 spans="1:26" ht="19.5" customHeight="1" x14ac:dyDescent="0.25">
      <c r="A467" s="150"/>
      <c r="B467" s="150"/>
      <c r="C467" s="150"/>
      <c r="D467" s="151"/>
      <c r="E467" s="151"/>
      <c r="F467" s="151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 spans="1:26" ht="19.5" customHeight="1" x14ac:dyDescent="0.25">
      <c r="A468" s="150"/>
      <c r="B468" s="150"/>
      <c r="C468" s="150"/>
      <c r="D468" s="151"/>
      <c r="E468" s="151"/>
      <c r="F468" s="151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 spans="1:26" ht="19.5" customHeight="1" x14ac:dyDescent="0.25">
      <c r="A469" s="150"/>
      <c r="B469" s="150"/>
      <c r="C469" s="150"/>
      <c r="D469" s="151"/>
      <c r="E469" s="151"/>
      <c r="F469" s="151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 spans="1:26" ht="19.5" customHeight="1" x14ac:dyDescent="0.25">
      <c r="A470" s="150"/>
      <c r="B470" s="150"/>
      <c r="C470" s="150"/>
      <c r="D470" s="151"/>
      <c r="E470" s="151"/>
      <c r="F470" s="151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 spans="1:26" ht="19.5" customHeight="1" x14ac:dyDescent="0.25">
      <c r="A471" s="150"/>
      <c r="B471" s="150"/>
      <c r="C471" s="150"/>
      <c r="D471" s="151"/>
      <c r="E471" s="151"/>
      <c r="F471" s="151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 spans="1:26" ht="19.5" customHeight="1" x14ac:dyDescent="0.25">
      <c r="A472" s="150"/>
      <c r="B472" s="150"/>
      <c r="C472" s="150"/>
      <c r="D472" s="151"/>
      <c r="E472" s="151"/>
      <c r="F472" s="151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 spans="1:26" ht="19.5" customHeight="1" x14ac:dyDescent="0.25">
      <c r="A473" s="150"/>
      <c r="B473" s="150"/>
      <c r="C473" s="150"/>
      <c r="D473" s="151"/>
      <c r="E473" s="151"/>
      <c r="F473" s="151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 spans="1:26" ht="19.5" customHeight="1" x14ac:dyDescent="0.25">
      <c r="A474" s="150"/>
      <c r="B474" s="150"/>
      <c r="C474" s="150"/>
      <c r="D474" s="151"/>
      <c r="E474" s="151"/>
      <c r="F474" s="151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 spans="1:26" ht="19.5" customHeight="1" x14ac:dyDescent="0.25">
      <c r="A475" s="150"/>
      <c r="B475" s="150"/>
      <c r="C475" s="150"/>
      <c r="D475" s="151"/>
      <c r="E475" s="151"/>
      <c r="F475" s="151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 spans="1:26" ht="19.5" customHeight="1" x14ac:dyDescent="0.25">
      <c r="A476" s="150"/>
      <c r="B476" s="150"/>
      <c r="C476" s="150"/>
      <c r="D476" s="151"/>
      <c r="E476" s="151"/>
      <c r="F476" s="151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 spans="1:26" ht="19.5" customHeight="1" x14ac:dyDescent="0.25">
      <c r="A477" s="150"/>
      <c r="B477" s="150"/>
      <c r="C477" s="150"/>
      <c r="D477" s="151"/>
      <c r="E477" s="151"/>
      <c r="F477" s="151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 spans="1:26" ht="19.5" customHeight="1" x14ac:dyDescent="0.25">
      <c r="A478" s="150"/>
      <c r="B478" s="150"/>
      <c r="C478" s="150"/>
      <c r="D478" s="151"/>
      <c r="E478" s="151"/>
      <c r="F478" s="151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 spans="1:26" ht="19.5" customHeight="1" x14ac:dyDescent="0.25">
      <c r="A479" s="150"/>
      <c r="B479" s="150"/>
      <c r="C479" s="150"/>
      <c r="D479" s="151"/>
      <c r="E479" s="151"/>
      <c r="F479" s="151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 spans="1:26" ht="19.5" customHeight="1" x14ac:dyDescent="0.25">
      <c r="A480" s="150"/>
      <c r="B480" s="150"/>
      <c r="C480" s="150"/>
      <c r="D480" s="151"/>
      <c r="E480" s="151"/>
      <c r="F480" s="151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 spans="1:26" ht="19.5" customHeight="1" x14ac:dyDescent="0.25">
      <c r="A481" s="150"/>
      <c r="B481" s="150"/>
      <c r="C481" s="150"/>
      <c r="D481" s="151"/>
      <c r="E481" s="151"/>
      <c r="F481" s="151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 spans="1:26" ht="19.5" customHeight="1" x14ac:dyDescent="0.25">
      <c r="A482" s="150"/>
      <c r="B482" s="150"/>
      <c r="C482" s="150"/>
      <c r="D482" s="151"/>
      <c r="E482" s="151"/>
      <c r="F482" s="151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 spans="1:26" ht="19.5" customHeight="1" x14ac:dyDescent="0.25">
      <c r="A483" s="150"/>
      <c r="B483" s="150"/>
      <c r="C483" s="150"/>
      <c r="D483" s="151"/>
      <c r="E483" s="151"/>
      <c r="F483" s="151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 spans="1:26" ht="19.5" customHeight="1" x14ac:dyDescent="0.25">
      <c r="A484" s="150"/>
      <c r="B484" s="150"/>
      <c r="C484" s="150"/>
      <c r="D484" s="151"/>
      <c r="E484" s="151"/>
      <c r="F484" s="151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 spans="1:26" ht="19.5" customHeight="1" x14ac:dyDescent="0.25">
      <c r="A485" s="150"/>
      <c r="B485" s="150"/>
      <c r="C485" s="150"/>
      <c r="D485" s="151"/>
      <c r="E485" s="151"/>
      <c r="F485" s="151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 spans="1:26" ht="19.5" customHeight="1" x14ac:dyDescent="0.25">
      <c r="A486" s="150"/>
      <c r="B486" s="150"/>
      <c r="C486" s="150"/>
      <c r="D486" s="151"/>
      <c r="E486" s="151"/>
      <c r="F486" s="151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 spans="1:26" ht="19.5" customHeight="1" x14ac:dyDescent="0.25">
      <c r="A487" s="150"/>
      <c r="B487" s="150"/>
      <c r="C487" s="150"/>
      <c r="D487" s="151"/>
      <c r="E487" s="151"/>
      <c r="F487" s="151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 spans="1:26" ht="19.5" customHeight="1" x14ac:dyDescent="0.25">
      <c r="A488" s="150"/>
      <c r="B488" s="150"/>
      <c r="C488" s="150"/>
      <c r="D488" s="151"/>
      <c r="E488" s="151"/>
      <c r="F488" s="151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 spans="1:26" ht="19.5" customHeight="1" x14ac:dyDescent="0.25">
      <c r="A489" s="150"/>
      <c r="B489" s="150"/>
      <c r="C489" s="150"/>
      <c r="D489" s="151"/>
      <c r="E489" s="151"/>
      <c r="F489" s="151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 spans="1:26" ht="19.5" customHeight="1" x14ac:dyDescent="0.25">
      <c r="A490" s="150"/>
      <c r="B490" s="150"/>
      <c r="C490" s="150"/>
      <c r="D490" s="151"/>
      <c r="E490" s="151"/>
      <c r="F490" s="151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 spans="1:26" ht="19.5" customHeight="1" x14ac:dyDescent="0.25">
      <c r="A491" s="150"/>
      <c r="B491" s="150"/>
      <c r="C491" s="150"/>
      <c r="D491" s="151"/>
      <c r="E491" s="151"/>
      <c r="F491" s="151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 spans="1:26" ht="19.5" customHeight="1" x14ac:dyDescent="0.25">
      <c r="A492" s="150"/>
      <c r="B492" s="150"/>
      <c r="C492" s="150"/>
      <c r="D492" s="151"/>
      <c r="E492" s="151"/>
      <c r="F492" s="151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 spans="1:26" ht="19.5" customHeight="1" x14ac:dyDescent="0.25">
      <c r="A493" s="150"/>
      <c r="B493" s="150"/>
      <c r="C493" s="150"/>
      <c r="D493" s="151"/>
      <c r="E493" s="151"/>
      <c r="F493" s="151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 spans="1:26" ht="19.5" customHeight="1" x14ac:dyDescent="0.25">
      <c r="A494" s="150"/>
      <c r="B494" s="150"/>
      <c r="C494" s="150"/>
      <c r="D494" s="151"/>
      <c r="E494" s="151"/>
      <c r="F494" s="151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 spans="1:26" ht="19.5" customHeight="1" x14ac:dyDescent="0.25">
      <c r="A495" s="150"/>
      <c r="B495" s="150"/>
      <c r="C495" s="150"/>
      <c r="D495" s="151"/>
      <c r="E495" s="151"/>
      <c r="F495" s="151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 spans="1:26" ht="19.5" customHeight="1" x14ac:dyDescent="0.25">
      <c r="A496" s="150"/>
      <c r="B496" s="150"/>
      <c r="C496" s="150"/>
      <c r="D496" s="151"/>
      <c r="E496" s="151"/>
      <c r="F496" s="151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 spans="1:26" ht="19.5" customHeight="1" x14ac:dyDescent="0.25">
      <c r="A497" s="150"/>
      <c r="B497" s="150"/>
      <c r="C497" s="150"/>
      <c r="D497" s="151"/>
      <c r="E497" s="151"/>
      <c r="F497" s="151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 spans="1:26" ht="19.5" customHeight="1" x14ac:dyDescent="0.25">
      <c r="A498" s="150"/>
      <c r="B498" s="150"/>
      <c r="C498" s="150"/>
      <c r="D498" s="151"/>
      <c r="E498" s="151"/>
      <c r="F498" s="151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 spans="1:26" ht="19.5" customHeight="1" x14ac:dyDescent="0.25">
      <c r="A499" s="150"/>
      <c r="B499" s="150"/>
      <c r="C499" s="150"/>
      <c r="D499" s="151"/>
      <c r="E499" s="151"/>
      <c r="F499" s="151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 spans="1:26" ht="19.5" customHeight="1" x14ac:dyDescent="0.25">
      <c r="A500" s="150"/>
      <c r="B500" s="150"/>
      <c r="C500" s="150"/>
      <c r="D500" s="151"/>
      <c r="E500" s="151"/>
      <c r="F500" s="151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 spans="1:26" ht="19.5" customHeight="1" x14ac:dyDescent="0.25">
      <c r="A501" s="150"/>
      <c r="B501" s="150"/>
      <c r="C501" s="150"/>
      <c r="D501" s="151"/>
      <c r="E501" s="151"/>
      <c r="F501" s="151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 spans="1:26" ht="19.5" customHeight="1" x14ac:dyDescent="0.25">
      <c r="A502" s="150"/>
      <c r="B502" s="150"/>
      <c r="C502" s="150"/>
      <c r="D502" s="151"/>
      <c r="E502" s="151"/>
      <c r="F502" s="151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 spans="1:26" ht="19.5" customHeight="1" x14ac:dyDescent="0.25">
      <c r="A503" s="150"/>
      <c r="B503" s="150"/>
      <c r="C503" s="150"/>
      <c r="D503" s="151"/>
      <c r="E503" s="151"/>
      <c r="F503" s="151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 spans="1:26" ht="19.5" customHeight="1" x14ac:dyDescent="0.25">
      <c r="A504" s="150"/>
      <c r="B504" s="150"/>
      <c r="C504" s="150"/>
      <c r="D504" s="151"/>
      <c r="E504" s="151"/>
      <c r="F504" s="151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 spans="1:26" ht="19.5" customHeight="1" x14ac:dyDescent="0.25">
      <c r="A505" s="150"/>
      <c r="B505" s="150"/>
      <c r="C505" s="150"/>
      <c r="D505" s="151"/>
      <c r="E505" s="151"/>
      <c r="F505" s="151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 spans="1:26" ht="19.5" customHeight="1" x14ac:dyDescent="0.25">
      <c r="A506" s="150"/>
      <c r="B506" s="150"/>
      <c r="C506" s="150"/>
      <c r="D506" s="151"/>
      <c r="E506" s="151"/>
      <c r="F506" s="151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 spans="1:26" ht="19.5" customHeight="1" x14ac:dyDescent="0.25">
      <c r="A507" s="150"/>
      <c r="B507" s="150"/>
      <c r="C507" s="150"/>
      <c r="D507" s="151"/>
      <c r="E507" s="151"/>
      <c r="F507" s="151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 spans="1:26" ht="19.5" customHeight="1" x14ac:dyDescent="0.25">
      <c r="A508" s="150"/>
      <c r="B508" s="150"/>
      <c r="C508" s="150"/>
      <c r="D508" s="151"/>
      <c r="E508" s="151"/>
      <c r="F508" s="151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 spans="1:26" ht="19.5" customHeight="1" x14ac:dyDescent="0.25">
      <c r="A509" s="150"/>
      <c r="B509" s="150"/>
      <c r="C509" s="150"/>
      <c r="D509" s="151"/>
      <c r="E509" s="151"/>
      <c r="F509" s="151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 spans="1:26" ht="19.5" customHeight="1" x14ac:dyDescent="0.25">
      <c r="A510" s="150"/>
      <c r="B510" s="150"/>
      <c r="C510" s="150"/>
      <c r="D510" s="151"/>
      <c r="E510" s="151"/>
      <c r="F510" s="151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 spans="1:26" ht="19.5" customHeight="1" x14ac:dyDescent="0.25">
      <c r="A511" s="150"/>
      <c r="B511" s="150"/>
      <c r="C511" s="150"/>
      <c r="D511" s="151"/>
      <c r="E511" s="151"/>
      <c r="F511" s="151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 spans="1:26" ht="19.5" customHeight="1" x14ac:dyDescent="0.25">
      <c r="A512" s="150"/>
      <c r="B512" s="150"/>
      <c r="C512" s="150"/>
      <c r="D512" s="151"/>
      <c r="E512" s="151"/>
      <c r="F512" s="151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 spans="1:26" ht="19.5" customHeight="1" x14ac:dyDescent="0.25">
      <c r="A513" s="150"/>
      <c r="B513" s="150"/>
      <c r="C513" s="150"/>
      <c r="D513" s="151"/>
      <c r="E513" s="151"/>
      <c r="F513" s="151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 spans="1:26" ht="19.5" customHeight="1" x14ac:dyDescent="0.25">
      <c r="A514" s="150"/>
      <c r="B514" s="150"/>
      <c r="C514" s="150"/>
      <c r="D514" s="151"/>
      <c r="E514" s="151"/>
      <c r="F514" s="151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 spans="1:26" ht="19.5" customHeight="1" x14ac:dyDescent="0.25">
      <c r="A515" s="150"/>
      <c r="B515" s="150"/>
      <c r="C515" s="150"/>
      <c r="D515" s="151"/>
      <c r="E515" s="151"/>
      <c r="F515" s="151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 spans="1:26" ht="19.5" customHeight="1" x14ac:dyDescent="0.25">
      <c r="A516" s="150"/>
      <c r="B516" s="150"/>
      <c r="C516" s="150"/>
      <c r="D516" s="151"/>
      <c r="E516" s="151"/>
      <c r="F516" s="151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 spans="1:26" ht="19.5" customHeight="1" x14ac:dyDescent="0.25">
      <c r="A517" s="150"/>
      <c r="B517" s="150"/>
      <c r="C517" s="150"/>
      <c r="D517" s="151"/>
      <c r="E517" s="151"/>
      <c r="F517" s="151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 spans="1:26" ht="19.5" customHeight="1" x14ac:dyDescent="0.25">
      <c r="A518" s="150"/>
      <c r="B518" s="150"/>
      <c r="C518" s="150"/>
      <c r="D518" s="151"/>
      <c r="E518" s="151"/>
      <c r="F518" s="151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 spans="1:26" ht="19.5" customHeight="1" x14ac:dyDescent="0.25">
      <c r="A519" s="150"/>
      <c r="B519" s="150"/>
      <c r="C519" s="150"/>
      <c r="D519" s="151"/>
      <c r="E519" s="151"/>
      <c r="F519" s="151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 spans="1:26" ht="19.5" customHeight="1" x14ac:dyDescent="0.25">
      <c r="A520" s="150"/>
      <c r="B520" s="150"/>
      <c r="C520" s="150"/>
      <c r="D520" s="151"/>
      <c r="E520" s="151"/>
      <c r="F520" s="151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 spans="1:26" ht="19.5" customHeight="1" x14ac:dyDescent="0.25">
      <c r="A521" s="150"/>
      <c r="B521" s="150"/>
      <c r="C521" s="150"/>
      <c r="D521" s="151"/>
      <c r="E521" s="151"/>
      <c r="F521" s="151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 spans="1:26" ht="19.5" customHeight="1" x14ac:dyDescent="0.25">
      <c r="A522" s="150"/>
      <c r="B522" s="150"/>
      <c r="C522" s="150"/>
      <c r="D522" s="151"/>
      <c r="E522" s="151"/>
      <c r="F522" s="151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 spans="1:26" ht="19.5" customHeight="1" x14ac:dyDescent="0.25">
      <c r="A523" s="150"/>
      <c r="B523" s="150"/>
      <c r="C523" s="150"/>
      <c r="D523" s="151"/>
      <c r="E523" s="151"/>
      <c r="F523" s="151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 spans="1:26" ht="19.5" customHeight="1" x14ac:dyDescent="0.25">
      <c r="A524" s="150"/>
      <c r="B524" s="150"/>
      <c r="C524" s="150"/>
      <c r="D524" s="151"/>
      <c r="E524" s="151"/>
      <c r="F524" s="151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 spans="1:26" ht="19.5" customHeight="1" x14ac:dyDescent="0.25">
      <c r="A525" s="150"/>
      <c r="B525" s="150"/>
      <c r="C525" s="150"/>
      <c r="D525" s="151"/>
      <c r="E525" s="151"/>
      <c r="F525" s="151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 spans="1:26" ht="19.5" customHeight="1" x14ac:dyDescent="0.25">
      <c r="A526" s="150"/>
      <c r="B526" s="150"/>
      <c r="C526" s="150"/>
      <c r="D526" s="151"/>
      <c r="E526" s="151"/>
      <c r="F526" s="151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 spans="1:26" ht="19.5" customHeight="1" x14ac:dyDescent="0.25">
      <c r="A527" s="150"/>
      <c r="B527" s="150"/>
      <c r="C527" s="150"/>
      <c r="D527" s="151"/>
      <c r="E527" s="151"/>
      <c r="F527" s="151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 spans="1:26" ht="19.5" customHeight="1" x14ac:dyDescent="0.25">
      <c r="A528" s="150"/>
      <c r="B528" s="150"/>
      <c r="C528" s="150"/>
      <c r="D528" s="151"/>
      <c r="E528" s="151"/>
      <c r="F528" s="151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 spans="1:26" ht="19.5" customHeight="1" x14ac:dyDescent="0.25">
      <c r="A529" s="150"/>
      <c r="B529" s="150"/>
      <c r="C529" s="150"/>
      <c r="D529" s="151"/>
      <c r="E529" s="151"/>
      <c r="F529" s="151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 spans="1:26" ht="19.5" customHeight="1" x14ac:dyDescent="0.25">
      <c r="A530" s="150"/>
      <c r="B530" s="150"/>
      <c r="C530" s="150"/>
      <c r="D530" s="151"/>
      <c r="E530" s="151"/>
      <c r="F530" s="151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 spans="1:26" ht="19.5" customHeight="1" x14ac:dyDescent="0.25">
      <c r="A531" s="150"/>
      <c r="B531" s="150"/>
      <c r="C531" s="150"/>
      <c r="D531" s="151"/>
      <c r="E531" s="151"/>
      <c r="F531" s="151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 spans="1:26" ht="19.5" customHeight="1" x14ac:dyDescent="0.25">
      <c r="A532" s="150"/>
      <c r="B532" s="150"/>
      <c r="C532" s="150"/>
      <c r="D532" s="151"/>
      <c r="E532" s="151"/>
      <c r="F532" s="151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 spans="1:26" ht="19.5" customHeight="1" x14ac:dyDescent="0.25">
      <c r="A533" s="150"/>
      <c r="B533" s="150"/>
      <c r="C533" s="150"/>
      <c r="D533" s="151"/>
      <c r="E533" s="151"/>
      <c r="F533" s="151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 spans="1:26" ht="19.5" customHeight="1" x14ac:dyDescent="0.25">
      <c r="A534" s="150"/>
      <c r="B534" s="150"/>
      <c r="C534" s="150"/>
      <c r="D534" s="151"/>
      <c r="E534" s="151"/>
      <c r="F534" s="151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 spans="1:26" ht="19.5" customHeight="1" x14ac:dyDescent="0.25">
      <c r="A535" s="150"/>
      <c r="B535" s="150"/>
      <c r="C535" s="150"/>
      <c r="D535" s="151"/>
      <c r="E535" s="151"/>
      <c r="F535" s="151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 spans="1:26" ht="19.5" customHeight="1" x14ac:dyDescent="0.25">
      <c r="A536" s="150"/>
      <c r="B536" s="150"/>
      <c r="C536" s="150"/>
      <c r="D536" s="151"/>
      <c r="E536" s="151"/>
      <c r="F536" s="151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 spans="1:26" ht="19.5" customHeight="1" x14ac:dyDescent="0.25">
      <c r="A537" s="150"/>
      <c r="B537" s="150"/>
      <c r="C537" s="150"/>
      <c r="D537" s="151"/>
      <c r="E537" s="151"/>
      <c r="F537" s="151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 spans="1:26" ht="19.5" customHeight="1" x14ac:dyDescent="0.25">
      <c r="A538" s="150"/>
      <c r="B538" s="150"/>
      <c r="C538" s="150"/>
      <c r="D538" s="151"/>
      <c r="E538" s="151"/>
      <c r="F538" s="151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 spans="1:26" ht="19.5" customHeight="1" x14ac:dyDescent="0.25">
      <c r="A539" s="150"/>
      <c r="B539" s="150"/>
      <c r="C539" s="150"/>
      <c r="D539" s="151"/>
      <c r="E539" s="151"/>
      <c r="F539" s="151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 spans="1:26" ht="19.5" customHeight="1" x14ac:dyDescent="0.25">
      <c r="A540" s="150"/>
      <c r="B540" s="150"/>
      <c r="C540" s="150"/>
      <c r="D540" s="151"/>
      <c r="E540" s="151"/>
      <c r="F540" s="151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 spans="1:26" ht="19.5" customHeight="1" x14ac:dyDescent="0.25">
      <c r="A541" s="150"/>
      <c r="B541" s="150"/>
      <c r="C541" s="150"/>
      <c r="D541" s="151"/>
      <c r="E541" s="151"/>
      <c r="F541" s="151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 spans="1:26" ht="19.5" customHeight="1" x14ac:dyDescent="0.25">
      <c r="A542" s="150"/>
      <c r="B542" s="150"/>
      <c r="C542" s="150"/>
      <c r="D542" s="151"/>
      <c r="E542" s="151"/>
      <c r="F542" s="151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 spans="1:26" ht="19.5" customHeight="1" x14ac:dyDescent="0.25">
      <c r="A543" s="150"/>
      <c r="B543" s="150"/>
      <c r="C543" s="150"/>
      <c r="D543" s="151"/>
      <c r="E543" s="151"/>
      <c r="F543" s="151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 spans="1:26" ht="19.5" customHeight="1" x14ac:dyDescent="0.25">
      <c r="A544" s="150"/>
      <c r="B544" s="150"/>
      <c r="C544" s="150"/>
      <c r="D544" s="151"/>
      <c r="E544" s="151"/>
      <c r="F544" s="151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 spans="1:26" ht="19.5" customHeight="1" x14ac:dyDescent="0.25">
      <c r="A545" s="150"/>
      <c r="B545" s="150"/>
      <c r="C545" s="150"/>
      <c r="D545" s="151"/>
      <c r="E545" s="151"/>
      <c r="F545" s="151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 spans="1:26" ht="19.5" customHeight="1" x14ac:dyDescent="0.25">
      <c r="A546" s="150"/>
      <c r="B546" s="150"/>
      <c r="C546" s="150"/>
      <c r="D546" s="151"/>
      <c r="E546" s="151"/>
      <c r="F546" s="151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 spans="1:26" ht="19.5" customHeight="1" x14ac:dyDescent="0.25">
      <c r="A547" s="150"/>
      <c r="B547" s="150"/>
      <c r="C547" s="150"/>
      <c r="D547" s="151"/>
      <c r="E547" s="151"/>
      <c r="F547" s="151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 spans="1:26" ht="19.5" customHeight="1" x14ac:dyDescent="0.25">
      <c r="A548" s="150"/>
      <c r="B548" s="150"/>
      <c r="C548" s="150"/>
      <c r="D548" s="151"/>
      <c r="E548" s="151"/>
      <c r="F548" s="151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 spans="1:26" ht="19.5" customHeight="1" x14ac:dyDescent="0.25">
      <c r="A549" s="150"/>
      <c r="B549" s="150"/>
      <c r="C549" s="150"/>
      <c r="D549" s="151"/>
      <c r="E549" s="151"/>
      <c r="F549" s="151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 spans="1:26" ht="19.5" customHeight="1" x14ac:dyDescent="0.25">
      <c r="A550" s="150"/>
      <c r="B550" s="150"/>
      <c r="C550" s="150"/>
      <c r="D550" s="151"/>
      <c r="E550" s="151"/>
      <c r="F550" s="151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 spans="1:26" ht="19.5" customHeight="1" x14ac:dyDescent="0.25">
      <c r="A551" s="150"/>
      <c r="B551" s="150"/>
      <c r="C551" s="150"/>
      <c r="D551" s="151"/>
      <c r="E551" s="151"/>
      <c r="F551" s="151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 spans="1:26" ht="19.5" customHeight="1" x14ac:dyDescent="0.25">
      <c r="A552" s="150"/>
      <c r="B552" s="150"/>
      <c r="C552" s="150"/>
      <c r="D552" s="151"/>
      <c r="E552" s="151"/>
      <c r="F552" s="151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 spans="1:26" ht="19.5" customHeight="1" x14ac:dyDescent="0.25">
      <c r="A553" s="150"/>
      <c r="B553" s="150"/>
      <c r="C553" s="150"/>
      <c r="D553" s="151"/>
      <c r="E553" s="151"/>
      <c r="F553" s="151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 spans="1:26" ht="19.5" customHeight="1" x14ac:dyDescent="0.25">
      <c r="A554" s="150"/>
      <c r="B554" s="150"/>
      <c r="C554" s="150"/>
      <c r="D554" s="151"/>
      <c r="E554" s="151"/>
      <c r="F554" s="151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 spans="1:26" ht="19.5" customHeight="1" x14ac:dyDescent="0.25">
      <c r="A555" s="150"/>
      <c r="B555" s="150"/>
      <c r="C555" s="150"/>
      <c r="D555" s="151"/>
      <c r="E555" s="151"/>
      <c r="F555" s="151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 spans="1:26" ht="19.5" customHeight="1" x14ac:dyDescent="0.25">
      <c r="A556" s="150"/>
      <c r="B556" s="150"/>
      <c r="C556" s="150"/>
      <c r="D556" s="151"/>
      <c r="E556" s="151"/>
      <c r="F556" s="151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 spans="1:26" ht="19.5" customHeight="1" x14ac:dyDescent="0.25">
      <c r="A557" s="150"/>
      <c r="B557" s="150"/>
      <c r="C557" s="150"/>
      <c r="D557" s="151"/>
      <c r="E557" s="151"/>
      <c r="F557" s="151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 spans="1:26" ht="19.5" customHeight="1" x14ac:dyDescent="0.25">
      <c r="A558" s="150"/>
      <c r="B558" s="150"/>
      <c r="C558" s="150"/>
      <c r="D558" s="151"/>
      <c r="E558" s="151"/>
      <c r="F558" s="151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 spans="1:26" ht="19.5" customHeight="1" x14ac:dyDescent="0.25">
      <c r="A559" s="150"/>
      <c r="B559" s="150"/>
      <c r="C559" s="150"/>
      <c r="D559" s="151"/>
      <c r="E559" s="151"/>
      <c r="F559" s="151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 spans="1:26" ht="19.5" customHeight="1" x14ac:dyDescent="0.25">
      <c r="A560" s="150"/>
      <c r="B560" s="150"/>
      <c r="C560" s="150"/>
      <c r="D560" s="151"/>
      <c r="E560" s="151"/>
      <c r="F560" s="151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 spans="1:26" ht="19.5" customHeight="1" x14ac:dyDescent="0.25">
      <c r="A561" s="150"/>
      <c r="B561" s="150"/>
      <c r="C561" s="150"/>
      <c r="D561" s="151"/>
      <c r="E561" s="151"/>
      <c r="F561" s="151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 spans="1:26" ht="19.5" customHeight="1" x14ac:dyDescent="0.25">
      <c r="A562" s="150"/>
      <c r="B562" s="150"/>
      <c r="C562" s="150"/>
      <c r="D562" s="151"/>
      <c r="E562" s="151"/>
      <c r="F562" s="151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 spans="1:26" ht="19.5" customHeight="1" x14ac:dyDescent="0.25">
      <c r="A563" s="150"/>
      <c r="B563" s="150"/>
      <c r="C563" s="150"/>
      <c r="D563" s="151"/>
      <c r="E563" s="151"/>
      <c r="F563" s="151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 spans="1:26" ht="19.5" customHeight="1" x14ac:dyDescent="0.25">
      <c r="A564" s="150"/>
      <c r="B564" s="150"/>
      <c r="C564" s="150"/>
      <c r="D564" s="151"/>
      <c r="E564" s="151"/>
      <c r="F564" s="151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 spans="1:26" ht="19.5" customHeight="1" x14ac:dyDescent="0.25">
      <c r="A565" s="150"/>
      <c r="B565" s="150"/>
      <c r="C565" s="150"/>
      <c r="D565" s="151"/>
      <c r="E565" s="151"/>
      <c r="F565" s="151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 spans="1:26" ht="19.5" customHeight="1" x14ac:dyDescent="0.25">
      <c r="A566" s="150"/>
      <c r="B566" s="150"/>
      <c r="C566" s="150"/>
      <c r="D566" s="151"/>
      <c r="E566" s="151"/>
      <c r="F566" s="151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 spans="1:26" ht="19.5" customHeight="1" x14ac:dyDescent="0.25">
      <c r="A567" s="150"/>
      <c r="B567" s="150"/>
      <c r="C567" s="150"/>
      <c r="D567" s="151"/>
      <c r="E567" s="151"/>
      <c r="F567" s="151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 spans="1:26" ht="19.5" customHeight="1" x14ac:dyDescent="0.25">
      <c r="A568" s="150"/>
      <c r="B568" s="150"/>
      <c r="C568" s="150"/>
      <c r="D568" s="151"/>
      <c r="E568" s="151"/>
      <c r="F568" s="151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 spans="1:26" ht="19.5" customHeight="1" x14ac:dyDescent="0.25">
      <c r="A569" s="150"/>
      <c r="B569" s="150"/>
      <c r="C569" s="150"/>
      <c r="D569" s="151"/>
      <c r="E569" s="151"/>
      <c r="F569" s="151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 spans="1:26" ht="19.5" customHeight="1" x14ac:dyDescent="0.25">
      <c r="A570" s="150"/>
      <c r="B570" s="150"/>
      <c r="C570" s="150"/>
      <c r="D570" s="151"/>
      <c r="E570" s="151"/>
      <c r="F570" s="151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 spans="1:26" ht="19.5" customHeight="1" x14ac:dyDescent="0.25">
      <c r="A571" s="150"/>
      <c r="B571" s="150"/>
      <c r="C571" s="150"/>
      <c r="D571" s="151"/>
      <c r="E571" s="151"/>
      <c r="F571" s="151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 spans="1:26" ht="19.5" customHeight="1" x14ac:dyDescent="0.25">
      <c r="A572" s="150"/>
      <c r="B572" s="150"/>
      <c r="C572" s="150"/>
      <c r="D572" s="151"/>
      <c r="E572" s="151"/>
      <c r="F572" s="151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 spans="1:26" ht="19.5" customHeight="1" x14ac:dyDescent="0.25">
      <c r="A573" s="150"/>
      <c r="B573" s="150"/>
      <c r="C573" s="150"/>
      <c r="D573" s="151"/>
      <c r="E573" s="151"/>
      <c r="F573" s="151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 spans="1:26" ht="19.5" customHeight="1" x14ac:dyDescent="0.25">
      <c r="A574" s="150"/>
      <c r="B574" s="150"/>
      <c r="C574" s="150"/>
      <c r="D574" s="151"/>
      <c r="E574" s="151"/>
      <c r="F574" s="151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 spans="1:26" ht="19.5" customHeight="1" x14ac:dyDescent="0.25">
      <c r="A575" s="150"/>
      <c r="B575" s="150"/>
      <c r="C575" s="150"/>
      <c r="D575" s="151"/>
      <c r="E575" s="151"/>
      <c r="F575" s="151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 spans="1:26" ht="19.5" customHeight="1" x14ac:dyDescent="0.25">
      <c r="A576" s="150"/>
      <c r="B576" s="150"/>
      <c r="C576" s="150"/>
      <c r="D576" s="151"/>
      <c r="E576" s="151"/>
      <c r="F576" s="151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 spans="1:26" ht="19.5" customHeight="1" x14ac:dyDescent="0.25">
      <c r="A577" s="150"/>
      <c r="B577" s="150"/>
      <c r="C577" s="150"/>
      <c r="D577" s="151"/>
      <c r="E577" s="151"/>
      <c r="F577" s="151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 spans="1:26" ht="19.5" customHeight="1" x14ac:dyDescent="0.25">
      <c r="A578" s="150"/>
      <c r="B578" s="150"/>
      <c r="C578" s="150"/>
      <c r="D578" s="151"/>
      <c r="E578" s="151"/>
      <c r="F578" s="151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 spans="1:26" ht="19.5" customHeight="1" x14ac:dyDescent="0.25">
      <c r="A579" s="150"/>
      <c r="B579" s="150"/>
      <c r="C579" s="150"/>
      <c r="D579" s="151"/>
      <c r="E579" s="151"/>
      <c r="F579" s="151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 spans="1:26" ht="19.5" customHeight="1" x14ac:dyDescent="0.25">
      <c r="A580" s="150"/>
      <c r="B580" s="150"/>
      <c r="C580" s="150"/>
      <c r="D580" s="151"/>
      <c r="E580" s="151"/>
      <c r="F580" s="151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 spans="1:26" ht="19.5" customHeight="1" x14ac:dyDescent="0.25">
      <c r="A581" s="150"/>
      <c r="B581" s="150"/>
      <c r="C581" s="150"/>
      <c r="D581" s="151"/>
      <c r="E581" s="151"/>
      <c r="F581" s="151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 spans="1:26" ht="19.5" customHeight="1" x14ac:dyDescent="0.25">
      <c r="A582" s="150"/>
      <c r="B582" s="150"/>
      <c r="C582" s="150"/>
      <c r="D582" s="151"/>
      <c r="E582" s="151"/>
      <c r="F582" s="151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 spans="1:26" ht="19.5" customHeight="1" x14ac:dyDescent="0.25">
      <c r="A583" s="150"/>
      <c r="B583" s="150"/>
      <c r="C583" s="150"/>
      <c r="D583" s="151"/>
      <c r="E583" s="151"/>
      <c r="F583" s="151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 spans="1:26" ht="19.5" customHeight="1" x14ac:dyDescent="0.25">
      <c r="A584" s="150"/>
      <c r="B584" s="150"/>
      <c r="C584" s="150"/>
      <c r="D584" s="151"/>
      <c r="E584" s="151"/>
      <c r="F584" s="151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 spans="1:26" ht="19.5" customHeight="1" x14ac:dyDescent="0.25">
      <c r="A585" s="150"/>
      <c r="B585" s="150"/>
      <c r="C585" s="150"/>
      <c r="D585" s="151"/>
      <c r="E585" s="151"/>
      <c r="F585" s="151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 spans="1:26" ht="19.5" customHeight="1" x14ac:dyDescent="0.25">
      <c r="A586" s="150"/>
      <c r="B586" s="150"/>
      <c r="C586" s="150"/>
      <c r="D586" s="151"/>
      <c r="E586" s="151"/>
      <c r="F586" s="151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 spans="1:26" ht="19.5" customHeight="1" x14ac:dyDescent="0.25">
      <c r="A587" s="150"/>
      <c r="B587" s="150"/>
      <c r="C587" s="150"/>
      <c r="D587" s="151"/>
      <c r="E587" s="151"/>
      <c r="F587" s="151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 spans="1:26" ht="19.5" customHeight="1" x14ac:dyDescent="0.25">
      <c r="A588" s="150"/>
      <c r="B588" s="150"/>
      <c r="C588" s="150"/>
      <c r="D588" s="151"/>
      <c r="E588" s="151"/>
      <c r="F588" s="151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 spans="1:26" ht="19.5" customHeight="1" x14ac:dyDescent="0.25">
      <c r="A589" s="150"/>
      <c r="B589" s="150"/>
      <c r="C589" s="150"/>
      <c r="D589" s="151"/>
      <c r="E589" s="151"/>
      <c r="F589" s="151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 spans="1:26" ht="19.5" customHeight="1" x14ac:dyDescent="0.25">
      <c r="A590" s="150"/>
      <c r="B590" s="150"/>
      <c r="C590" s="150"/>
      <c r="D590" s="151"/>
      <c r="E590" s="151"/>
      <c r="F590" s="151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 spans="1:26" ht="19.5" customHeight="1" x14ac:dyDescent="0.25">
      <c r="A591" s="150"/>
      <c r="B591" s="150"/>
      <c r="C591" s="150"/>
      <c r="D591" s="151"/>
      <c r="E591" s="151"/>
      <c r="F591" s="151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 spans="1:26" ht="19.5" customHeight="1" x14ac:dyDescent="0.25">
      <c r="A592" s="150"/>
      <c r="B592" s="150"/>
      <c r="C592" s="150"/>
      <c r="D592" s="151"/>
      <c r="E592" s="151"/>
      <c r="F592" s="151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 spans="1:26" ht="19.5" customHeight="1" x14ac:dyDescent="0.25">
      <c r="A593" s="150"/>
      <c r="B593" s="150"/>
      <c r="C593" s="150"/>
      <c r="D593" s="151"/>
      <c r="E593" s="151"/>
      <c r="F593" s="151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 spans="1:26" ht="19.5" customHeight="1" x14ac:dyDescent="0.25">
      <c r="A594" s="150"/>
      <c r="B594" s="150"/>
      <c r="C594" s="150"/>
      <c r="D594" s="151"/>
      <c r="E594" s="151"/>
      <c r="F594" s="151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 spans="1:26" ht="19.5" customHeight="1" x14ac:dyDescent="0.25">
      <c r="A595" s="150"/>
      <c r="B595" s="150"/>
      <c r="C595" s="150"/>
      <c r="D595" s="151"/>
      <c r="E595" s="151"/>
      <c r="F595" s="151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 spans="1:26" ht="19.5" customHeight="1" x14ac:dyDescent="0.25">
      <c r="A596" s="150"/>
      <c r="B596" s="150"/>
      <c r="C596" s="150"/>
      <c r="D596" s="151"/>
      <c r="E596" s="151"/>
      <c r="F596" s="151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 spans="1:26" ht="19.5" customHeight="1" x14ac:dyDescent="0.25">
      <c r="A597" s="150"/>
      <c r="B597" s="150"/>
      <c r="C597" s="150"/>
      <c r="D597" s="151"/>
      <c r="E597" s="151"/>
      <c r="F597" s="151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 spans="1:26" ht="19.5" customHeight="1" x14ac:dyDescent="0.25">
      <c r="A598" s="150"/>
      <c r="B598" s="150"/>
      <c r="C598" s="150"/>
      <c r="D598" s="151"/>
      <c r="E598" s="151"/>
      <c r="F598" s="151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 spans="1:26" ht="19.5" customHeight="1" x14ac:dyDescent="0.25">
      <c r="A599" s="150"/>
      <c r="B599" s="150"/>
      <c r="C599" s="150"/>
      <c r="D599" s="151"/>
      <c r="E599" s="151"/>
      <c r="F599" s="151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 spans="1:26" ht="19.5" customHeight="1" x14ac:dyDescent="0.25">
      <c r="A600" s="150"/>
      <c r="B600" s="150"/>
      <c r="C600" s="150"/>
      <c r="D600" s="151"/>
      <c r="E600" s="151"/>
      <c r="F600" s="151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 spans="1:26" ht="19.5" customHeight="1" x14ac:dyDescent="0.25">
      <c r="A601" s="150"/>
      <c r="B601" s="150"/>
      <c r="C601" s="150"/>
      <c r="D601" s="151"/>
      <c r="E601" s="151"/>
      <c r="F601" s="151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 spans="1:26" ht="19.5" customHeight="1" x14ac:dyDescent="0.25">
      <c r="A602" s="150"/>
      <c r="B602" s="150"/>
      <c r="C602" s="150"/>
      <c r="D602" s="151"/>
      <c r="E602" s="151"/>
      <c r="F602" s="151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 spans="1:26" ht="19.5" customHeight="1" x14ac:dyDescent="0.25">
      <c r="A603" s="150"/>
      <c r="B603" s="150"/>
      <c r="C603" s="150"/>
      <c r="D603" s="151"/>
      <c r="E603" s="151"/>
      <c r="F603" s="151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 spans="1:26" ht="19.5" customHeight="1" x14ac:dyDescent="0.25">
      <c r="A604" s="150"/>
      <c r="B604" s="150"/>
      <c r="C604" s="150"/>
      <c r="D604" s="151"/>
      <c r="E604" s="151"/>
      <c r="F604" s="151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 spans="1:26" ht="19.5" customHeight="1" x14ac:dyDescent="0.25">
      <c r="A605" s="150"/>
      <c r="B605" s="150"/>
      <c r="C605" s="150"/>
      <c r="D605" s="151"/>
      <c r="E605" s="151"/>
      <c r="F605" s="151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 spans="1:26" ht="19.5" customHeight="1" x14ac:dyDescent="0.25">
      <c r="A606" s="150"/>
      <c r="B606" s="150"/>
      <c r="C606" s="150"/>
      <c r="D606" s="151"/>
      <c r="E606" s="151"/>
      <c r="F606" s="151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 spans="1:26" ht="19.5" customHeight="1" x14ac:dyDescent="0.25">
      <c r="A607" s="150"/>
      <c r="B607" s="150"/>
      <c r="C607" s="150"/>
      <c r="D607" s="151"/>
      <c r="E607" s="151"/>
      <c r="F607" s="151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 spans="1:26" ht="19.5" customHeight="1" x14ac:dyDescent="0.25">
      <c r="A608" s="150"/>
      <c r="B608" s="150"/>
      <c r="C608" s="150"/>
      <c r="D608" s="151"/>
      <c r="E608" s="151"/>
      <c r="F608" s="151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 spans="1:26" ht="19.5" customHeight="1" x14ac:dyDescent="0.25">
      <c r="A609" s="150"/>
      <c r="B609" s="150"/>
      <c r="C609" s="150"/>
      <c r="D609" s="151"/>
      <c r="E609" s="151"/>
      <c r="F609" s="151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 spans="1:26" ht="19.5" customHeight="1" x14ac:dyDescent="0.25">
      <c r="A610" s="150"/>
      <c r="B610" s="150"/>
      <c r="C610" s="150"/>
      <c r="D610" s="151"/>
      <c r="E610" s="151"/>
      <c r="F610" s="151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 spans="1:26" ht="19.5" customHeight="1" x14ac:dyDescent="0.25">
      <c r="A611" s="150"/>
      <c r="B611" s="150"/>
      <c r="C611" s="150"/>
      <c r="D611" s="151"/>
      <c r="E611" s="151"/>
      <c r="F611" s="151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 spans="1:26" ht="19.5" customHeight="1" x14ac:dyDescent="0.25">
      <c r="A612" s="150"/>
      <c r="B612" s="150"/>
      <c r="C612" s="150"/>
      <c r="D612" s="151"/>
      <c r="E612" s="151"/>
      <c r="F612" s="151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 spans="1:26" ht="19.5" customHeight="1" x14ac:dyDescent="0.25">
      <c r="A613" s="150"/>
      <c r="B613" s="150"/>
      <c r="C613" s="150"/>
      <c r="D613" s="151"/>
      <c r="E613" s="151"/>
      <c r="F613" s="151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 spans="1:26" ht="19.5" customHeight="1" x14ac:dyDescent="0.25">
      <c r="A614" s="150"/>
      <c r="B614" s="150"/>
      <c r="C614" s="150"/>
      <c r="D614" s="151"/>
      <c r="E614" s="151"/>
      <c r="F614" s="151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 spans="1:26" ht="19.5" customHeight="1" x14ac:dyDescent="0.25">
      <c r="A615" s="150"/>
      <c r="B615" s="150"/>
      <c r="C615" s="150"/>
      <c r="D615" s="151"/>
      <c r="E615" s="151"/>
      <c r="F615" s="151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 spans="1:26" ht="19.5" customHeight="1" x14ac:dyDescent="0.25">
      <c r="A616" s="150"/>
      <c r="B616" s="150"/>
      <c r="C616" s="150"/>
      <c r="D616" s="151"/>
      <c r="E616" s="151"/>
      <c r="F616" s="151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 spans="1:26" ht="19.5" customHeight="1" x14ac:dyDescent="0.25">
      <c r="A617" s="150"/>
      <c r="B617" s="150"/>
      <c r="C617" s="150"/>
      <c r="D617" s="151"/>
      <c r="E617" s="151"/>
      <c r="F617" s="151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 spans="1:26" ht="19.5" customHeight="1" x14ac:dyDescent="0.25">
      <c r="A618" s="150"/>
      <c r="B618" s="150"/>
      <c r="C618" s="150"/>
      <c r="D618" s="151"/>
      <c r="E618" s="151"/>
      <c r="F618" s="151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 spans="1:26" ht="19.5" customHeight="1" x14ac:dyDescent="0.25">
      <c r="A619" s="150"/>
      <c r="B619" s="150"/>
      <c r="C619" s="150"/>
      <c r="D619" s="151"/>
      <c r="E619" s="151"/>
      <c r="F619" s="151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 spans="1:26" ht="19.5" customHeight="1" x14ac:dyDescent="0.25">
      <c r="A620" s="150"/>
      <c r="B620" s="150"/>
      <c r="C620" s="150"/>
      <c r="D620" s="151"/>
      <c r="E620" s="151"/>
      <c r="F620" s="151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 spans="1:26" ht="19.5" customHeight="1" x14ac:dyDescent="0.25">
      <c r="A621" s="150"/>
      <c r="B621" s="150"/>
      <c r="C621" s="150"/>
      <c r="D621" s="151"/>
      <c r="E621" s="151"/>
      <c r="F621" s="151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 spans="1:26" ht="19.5" customHeight="1" x14ac:dyDescent="0.25">
      <c r="A622" s="150"/>
      <c r="B622" s="150"/>
      <c r="C622" s="150"/>
      <c r="D622" s="151"/>
      <c r="E622" s="151"/>
      <c r="F622" s="151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 spans="1:26" ht="19.5" customHeight="1" x14ac:dyDescent="0.25">
      <c r="A623" s="150"/>
      <c r="B623" s="150"/>
      <c r="C623" s="150"/>
      <c r="D623" s="151"/>
      <c r="E623" s="151"/>
      <c r="F623" s="151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 spans="1:26" ht="19.5" customHeight="1" x14ac:dyDescent="0.25">
      <c r="A624" s="150"/>
      <c r="B624" s="150"/>
      <c r="C624" s="150"/>
      <c r="D624" s="151"/>
      <c r="E624" s="151"/>
      <c r="F624" s="151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 spans="1:26" ht="19.5" customHeight="1" x14ac:dyDescent="0.25">
      <c r="A625" s="150"/>
      <c r="B625" s="150"/>
      <c r="C625" s="150"/>
      <c r="D625" s="151"/>
      <c r="E625" s="151"/>
      <c r="F625" s="151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 spans="1:26" ht="19.5" customHeight="1" x14ac:dyDescent="0.25">
      <c r="A626" s="150"/>
      <c r="B626" s="150"/>
      <c r="C626" s="150"/>
      <c r="D626" s="151"/>
      <c r="E626" s="151"/>
      <c r="F626" s="151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 spans="1:26" ht="19.5" customHeight="1" x14ac:dyDescent="0.25">
      <c r="A627" s="150"/>
      <c r="B627" s="150"/>
      <c r="C627" s="150"/>
      <c r="D627" s="151"/>
      <c r="E627" s="151"/>
      <c r="F627" s="151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 spans="1:26" ht="19.5" customHeight="1" x14ac:dyDescent="0.25">
      <c r="A628" s="150"/>
      <c r="B628" s="150"/>
      <c r="C628" s="150"/>
      <c r="D628" s="151"/>
      <c r="E628" s="151"/>
      <c r="F628" s="151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 spans="1:26" ht="19.5" customHeight="1" x14ac:dyDescent="0.25">
      <c r="A629" s="150"/>
      <c r="B629" s="150"/>
      <c r="C629" s="150"/>
      <c r="D629" s="151"/>
      <c r="E629" s="151"/>
      <c r="F629" s="151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 spans="1:26" ht="19.5" customHeight="1" x14ac:dyDescent="0.25">
      <c r="A630" s="150"/>
      <c r="B630" s="150"/>
      <c r="C630" s="150"/>
      <c r="D630" s="151"/>
      <c r="E630" s="151"/>
      <c r="F630" s="151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 spans="1:26" ht="19.5" customHeight="1" x14ac:dyDescent="0.25">
      <c r="A631" s="150"/>
      <c r="B631" s="150"/>
      <c r="C631" s="150"/>
      <c r="D631" s="151"/>
      <c r="E631" s="151"/>
      <c r="F631" s="151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 spans="1:26" ht="19.5" customHeight="1" x14ac:dyDescent="0.25">
      <c r="A632" s="150"/>
      <c r="B632" s="150"/>
      <c r="C632" s="150"/>
      <c r="D632" s="151"/>
      <c r="E632" s="151"/>
      <c r="F632" s="151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 spans="1:26" ht="19.5" customHeight="1" x14ac:dyDescent="0.25">
      <c r="A633" s="150"/>
      <c r="B633" s="150"/>
      <c r="C633" s="150"/>
      <c r="D633" s="151"/>
      <c r="E633" s="151"/>
      <c r="F633" s="151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 spans="1:26" ht="19.5" customHeight="1" x14ac:dyDescent="0.25">
      <c r="A634" s="150"/>
      <c r="B634" s="150"/>
      <c r="C634" s="150"/>
      <c r="D634" s="151"/>
      <c r="E634" s="151"/>
      <c r="F634" s="151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 spans="1:26" ht="19.5" customHeight="1" x14ac:dyDescent="0.25">
      <c r="A635" s="150"/>
      <c r="B635" s="150"/>
      <c r="C635" s="150"/>
      <c r="D635" s="151"/>
      <c r="E635" s="151"/>
      <c r="F635" s="151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 spans="1:26" ht="19.5" customHeight="1" x14ac:dyDescent="0.25">
      <c r="A636" s="150"/>
      <c r="B636" s="150"/>
      <c r="C636" s="150"/>
      <c r="D636" s="151"/>
      <c r="E636" s="151"/>
      <c r="F636" s="151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 spans="1:26" ht="19.5" customHeight="1" x14ac:dyDescent="0.25">
      <c r="A637" s="150"/>
      <c r="B637" s="150"/>
      <c r="C637" s="150"/>
      <c r="D637" s="151"/>
      <c r="E637" s="151"/>
      <c r="F637" s="151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 spans="1:26" ht="19.5" customHeight="1" x14ac:dyDescent="0.25">
      <c r="A638" s="150"/>
      <c r="B638" s="150"/>
      <c r="C638" s="150"/>
      <c r="D638" s="151"/>
      <c r="E638" s="151"/>
      <c r="F638" s="151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 spans="1:26" ht="19.5" customHeight="1" x14ac:dyDescent="0.25">
      <c r="A639" s="150"/>
      <c r="B639" s="150"/>
      <c r="C639" s="150"/>
      <c r="D639" s="151"/>
      <c r="E639" s="151"/>
      <c r="F639" s="151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 spans="1:26" ht="19.5" customHeight="1" x14ac:dyDescent="0.25">
      <c r="A640" s="150"/>
      <c r="B640" s="150"/>
      <c r="C640" s="150"/>
      <c r="D640" s="151"/>
      <c r="E640" s="151"/>
      <c r="F640" s="151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 spans="1:26" ht="19.5" customHeight="1" x14ac:dyDescent="0.25">
      <c r="A641" s="150"/>
      <c r="B641" s="150"/>
      <c r="C641" s="150"/>
      <c r="D641" s="151"/>
      <c r="E641" s="151"/>
      <c r="F641" s="151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 spans="1:26" ht="19.5" customHeight="1" x14ac:dyDescent="0.25">
      <c r="A642" s="150"/>
      <c r="B642" s="150"/>
      <c r="C642" s="150"/>
      <c r="D642" s="151"/>
      <c r="E642" s="151"/>
      <c r="F642" s="151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 spans="1:26" ht="19.5" customHeight="1" x14ac:dyDescent="0.25">
      <c r="A643" s="150"/>
      <c r="B643" s="150"/>
      <c r="C643" s="150"/>
      <c r="D643" s="151"/>
      <c r="E643" s="151"/>
      <c r="F643" s="151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 spans="1:26" ht="19.5" customHeight="1" x14ac:dyDescent="0.25">
      <c r="A644" s="150"/>
      <c r="B644" s="150"/>
      <c r="C644" s="150"/>
      <c r="D644" s="151"/>
      <c r="E644" s="151"/>
      <c r="F644" s="151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 spans="1:26" ht="19.5" customHeight="1" x14ac:dyDescent="0.25">
      <c r="A645" s="150"/>
      <c r="B645" s="150"/>
      <c r="C645" s="150"/>
      <c r="D645" s="151"/>
      <c r="E645" s="151"/>
      <c r="F645" s="151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 spans="1:26" ht="19.5" customHeight="1" x14ac:dyDescent="0.25">
      <c r="A646" s="150"/>
      <c r="B646" s="150"/>
      <c r="C646" s="150"/>
      <c r="D646" s="151"/>
      <c r="E646" s="151"/>
      <c r="F646" s="151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 spans="1:26" ht="19.5" customHeight="1" x14ac:dyDescent="0.25">
      <c r="A647" s="150"/>
      <c r="B647" s="150"/>
      <c r="C647" s="150"/>
      <c r="D647" s="151"/>
      <c r="E647" s="151"/>
      <c r="F647" s="151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 spans="1:26" ht="19.5" customHeight="1" x14ac:dyDescent="0.25">
      <c r="A648" s="150"/>
      <c r="B648" s="150"/>
      <c r="C648" s="150"/>
      <c r="D648" s="151"/>
      <c r="E648" s="151"/>
      <c r="F648" s="151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 spans="1:26" ht="19.5" customHeight="1" x14ac:dyDescent="0.25">
      <c r="A649" s="150"/>
      <c r="B649" s="150"/>
      <c r="C649" s="150"/>
      <c r="D649" s="151"/>
      <c r="E649" s="151"/>
      <c r="F649" s="151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 spans="1:26" ht="19.5" customHeight="1" x14ac:dyDescent="0.25">
      <c r="A650" s="150"/>
      <c r="B650" s="150"/>
      <c r="C650" s="150"/>
      <c r="D650" s="151"/>
      <c r="E650" s="151"/>
      <c r="F650" s="151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 spans="1:26" ht="19.5" customHeight="1" x14ac:dyDescent="0.25">
      <c r="A651" s="150"/>
      <c r="B651" s="150"/>
      <c r="C651" s="150"/>
      <c r="D651" s="151"/>
      <c r="E651" s="151"/>
      <c r="F651" s="151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 spans="1:26" ht="19.5" customHeight="1" x14ac:dyDescent="0.25">
      <c r="A652" s="150"/>
      <c r="B652" s="150"/>
      <c r="C652" s="150"/>
      <c r="D652" s="151"/>
      <c r="E652" s="151"/>
      <c r="F652" s="151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 spans="1:26" ht="19.5" customHeight="1" x14ac:dyDescent="0.25">
      <c r="A653" s="150"/>
      <c r="B653" s="150"/>
      <c r="C653" s="150"/>
      <c r="D653" s="151"/>
      <c r="E653" s="151"/>
      <c r="F653" s="151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 spans="1:26" ht="19.5" customHeight="1" x14ac:dyDescent="0.25">
      <c r="A654" s="150"/>
      <c r="B654" s="150"/>
      <c r="C654" s="150"/>
      <c r="D654" s="151"/>
      <c r="E654" s="151"/>
      <c r="F654" s="151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 spans="1:26" ht="19.5" customHeight="1" x14ac:dyDescent="0.25">
      <c r="A655" s="150"/>
      <c r="B655" s="150"/>
      <c r="C655" s="150"/>
      <c r="D655" s="151"/>
      <c r="E655" s="151"/>
      <c r="F655" s="151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 spans="1:26" ht="19.5" customHeight="1" x14ac:dyDescent="0.25">
      <c r="A656" s="150"/>
      <c r="B656" s="150"/>
      <c r="C656" s="150"/>
      <c r="D656" s="151"/>
      <c r="E656" s="151"/>
      <c r="F656" s="151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 spans="1:26" ht="19.5" customHeight="1" x14ac:dyDescent="0.25">
      <c r="A657" s="150"/>
      <c r="B657" s="150"/>
      <c r="C657" s="150"/>
      <c r="D657" s="151"/>
      <c r="E657" s="151"/>
      <c r="F657" s="151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 spans="1:26" ht="19.5" customHeight="1" x14ac:dyDescent="0.25">
      <c r="A658" s="150"/>
      <c r="B658" s="150"/>
      <c r="C658" s="150"/>
      <c r="D658" s="151"/>
      <c r="E658" s="151"/>
      <c r="F658" s="151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 spans="1:26" ht="19.5" customHeight="1" x14ac:dyDescent="0.25">
      <c r="A659" s="150"/>
      <c r="B659" s="150"/>
      <c r="C659" s="150"/>
      <c r="D659" s="151"/>
      <c r="E659" s="151"/>
      <c r="F659" s="151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 spans="1:26" ht="19.5" customHeight="1" x14ac:dyDescent="0.25">
      <c r="A660" s="150"/>
      <c r="B660" s="150"/>
      <c r="C660" s="150"/>
      <c r="D660" s="151"/>
      <c r="E660" s="151"/>
      <c r="F660" s="151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 spans="1:26" ht="19.5" customHeight="1" x14ac:dyDescent="0.25">
      <c r="A661" s="150"/>
      <c r="B661" s="150"/>
      <c r="C661" s="150"/>
      <c r="D661" s="151"/>
      <c r="E661" s="151"/>
      <c r="F661" s="151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 spans="1:26" ht="19.5" customHeight="1" x14ac:dyDescent="0.25">
      <c r="A662" s="150"/>
      <c r="B662" s="150"/>
      <c r="C662" s="150"/>
      <c r="D662" s="151"/>
      <c r="E662" s="151"/>
      <c r="F662" s="151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 spans="1:26" ht="19.5" customHeight="1" x14ac:dyDescent="0.25">
      <c r="A663" s="150"/>
      <c r="B663" s="150"/>
      <c r="C663" s="150"/>
      <c r="D663" s="151"/>
      <c r="E663" s="151"/>
      <c r="F663" s="151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 spans="1:26" ht="19.5" customHeight="1" x14ac:dyDescent="0.25">
      <c r="A664" s="150"/>
      <c r="B664" s="150"/>
      <c r="C664" s="150"/>
      <c r="D664" s="151"/>
      <c r="E664" s="151"/>
      <c r="F664" s="151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 spans="1:26" ht="19.5" customHeight="1" x14ac:dyDescent="0.25">
      <c r="A665" s="150"/>
      <c r="B665" s="150"/>
      <c r="C665" s="150"/>
      <c r="D665" s="151"/>
      <c r="E665" s="151"/>
      <c r="F665" s="151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 spans="1:26" ht="19.5" customHeight="1" x14ac:dyDescent="0.25">
      <c r="A666" s="150"/>
      <c r="B666" s="150"/>
      <c r="C666" s="150"/>
      <c r="D666" s="151"/>
      <c r="E666" s="151"/>
      <c r="F666" s="151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 spans="1:26" ht="19.5" customHeight="1" x14ac:dyDescent="0.25">
      <c r="A667" s="150"/>
      <c r="B667" s="150"/>
      <c r="C667" s="150"/>
      <c r="D667" s="151"/>
      <c r="E667" s="151"/>
      <c r="F667" s="151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 spans="1:26" ht="19.5" customHeight="1" x14ac:dyDescent="0.25">
      <c r="A668" s="150"/>
      <c r="B668" s="150"/>
      <c r="C668" s="150"/>
      <c r="D668" s="151"/>
      <c r="E668" s="151"/>
      <c r="F668" s="151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 spans="1:26" ht="19.5" customHeight="1" x14ac:dyDescent="0.25">
      <c r="A669" s="150"/>
      <c r="B669" s="150"/>
      <c r="C669" s="150"/>
      <c r="D669" s="151"/>
      <c r="E669" s="151"/>
      <c r="F669" s="151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 spans="1:26" ht="19.5" customHeight="1" x14ac:dyDescent="0.25">
      <c r="A670" s="150"/>
      <c r="B670" s="150"/>
      <c r="C670" s="150"/>
      <c r="D670" s="151"/>
      <c r="E670" s="151"/>
      <c r="F670" s="151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 spans="1:26" ht="19.5" customHeight="1" x14ac:dyDescent="0.25">
      <c r="A671" s="150"/>
      <c r="B671" s="150"/>
      <c r="C671" s="150"/>
      <c r="D671" s="151"/>
      <c r="E671" s="151"/>
      <c r="F671" s="151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 spans="1:26" ht="19.5" customHeight="1" x14ac:dyDescent="0.25">
      <c r="A672" s="150"/>
      <c r="B672" s="150"/>
      <c r="C672" s="150"/>
      <c r="D672" s="151"/>
      <c r="E672" s="151"/>
      <c r="F672" s="151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 spans="1:26" ht="19.5" customHeight="1" x14ac:dyDescent="0.25">
      <c r="A673" s="150"/>
      <c r="B673" s="150"/>
      <c r="C673" s="150"/>
      <c r="D673" s="151"/>
      <c r="E673" s="151"/>
      <c r="F673" s="151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 spans="1:26" ht="19.5" customHeight="1" x14ac:dyDescent="0.25">
      <c r="A674" s="150"/>
      <c r="B674" s="150"/>
      <c r="C674" s="150"/>
      <c r="D674" s="151"/>
      <c r="E674" s="151"/>
      <c r="F674" s="151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 spans="1:26" ht="19.5" customHeight="1" x14ac:dyDescent="0.25">
      <c r="A675" s="150"/>
      <c r="B675" s="150"/>
      <c r="C675" s="150"/>
      <c r="D675" s="151"/>
      <c r="E675" s="151"/>
      <c r="F675" s="151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 spans="1:26" ht="19.5" customHeight="1" x14ac:dyDescent="0.25">
      <c r="A676" s="150"/>
      <c r="B676" s="150"/>
      <c r="C676" s="150"/>
      <c r="D676" s="151"/>
      <c r="E676" s="151"/>
      <c r="F676" s="151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 spans="1:26" ht="19.5" customHeight="1" x14ac:dyDescent="0.25">
      <c r="A677" s="150"/>
      <c r="B677" s="150"/>
      <c r="C677" s="150"/>
      <c r="D677" s="151"/>
      <c r="E677" s="151"/>
      <c r="F677" s="151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 spans="1:26" ht="19.5" customHeight="1" x14ac:dyDescent="0.25">
      <c r="A678" s="150"/>
      <c r="B678" s="150"/>
      <c r="C678" s="150"/>
      <c r="D678" s="151"/>
      <c r="E678" s="151"/>
      <c r="F678" s="151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 spans="1:26" ht="19.5" customHeight="1" x14ac:dyDescent="0.25">
      <c r="A679" s="150"/>
      <c r="B679" s="150"/>
      <c r="C679" s="150"/>
      <c r="D679" s="151"/>
      <c r="E679" s="151"/>
      <c r="F679" s="151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 spans="1:26" ht="19.5" customHeight="1" x14ac:dyDescent="0.25">
      <c r="A680" s="150"/>
      <c r="B680" s="150"/>
      <c r="C680" s="150"/>
      <c r="D680" s="151"/>
      <c r="E680" s="151"/>
      <c r="F680" s="151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 spans="1:26" ht="19.5" customHeight="1" x14ac:dyDescent="0.25">
      <c r="A681" s="150"/>
      <c r="B681" s="150"/>
      <c r="C681" s="150"/>
      <c r="D681" s="151"/>
      <c r="E681" s="151"/>
      <c r="F681" s="151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 spans="1:26" ht="19.5" customHeight="1" x14ac:dyDescent="0.25">
      <c r="A682" s="150"/>
      <c r="B682" s="150"/>
      <c r="C682" s="150"/>
      <c r="D682" s="151"/>
      <c r="E682" s="151"/>
      <c r="F682" s="151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 spans="1:26" ht="19.5" customHeight="1" x14ac:dyDescent="0.25">
      <c r="A683" s="150"/>
      <c r="B683" s="150"/>
      <c r="C683" s="150"/>
      <c r="D683" s="151"/>
      <c r="E683" s="151"/>
      <c r="F683" s="151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 spans="1:26" ht="19.5" customHeight="1" x14ac:dyDescent="0.25">
      <c r="A684" s="150"/>
      <c r="B684" s="150"/>
      <c r="C684" s="150"/>
      <c r="D684" s="151"/>
      <c r="E684" s="151"/>
      <c r="F684" s="151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 spans="1:26" ht="19.5" customHeight="1" x14ac:dyDescent="0.25">
      <c r="A685" s="150"/>
      <c r="B685" s="150"/>
      <c r="C685" s="150"/>
      <c r="D685" s="151"/>
      <c r="E685" s="151"/>
      <c r="F685" s="151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 spans="1:26" ht="19.5" customHeight="1" x14ac:dyDescent="0.25">
      <c r="A686" s="150"/>
      <c r="B686" s="150"/>
      <c r="C686" s="150"/>
      <c r="D686" s="151"/>
      <c r="E686" s="151"/>
      <c r="F686" s="151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 spans="1:26" ht="19.5" customHeight="1" x14ac:dyDescent="0.25">
      <c r="A687" s="150"/>
      <c r="B687" s="150"/>
      <c r="C687" s="150"/>
      <c r="D687" s="151"/>
      <c r="E687" s="151"/>
      <c r="F687" s="151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 spans="1:26" ht="19.5" customHeight="1" x14ac:dyDescent="0.25">
      <c r="A688" s="150"/>
      <c r="B688" s="150"/>
      <c r="C688" s="150"/>
      <c r="D688" s="151"/>
      <c r="E688" s="151"/>
      <c r="F688" s="151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 spans="1:26" ht="19.5" customHeight="1" x14ac:dyDescent="0.25">
      <c r="A689" s="150"/>
      <c r="B689" s="150"/>
      <c r="C689" s="150"/>
      <c r="D689" s="151"/>
      <c r="E689" s="151"/>
      <c r="F689" s="151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 spans="1:26" ht="19.5" customHeight="1" x14ac:dyDescent="0.25">
      <c r="A690" s="150"/>
      <c r="B690" s="150"/>
      <c r="C690" s="150"/>
      <c r="D690" s="151"/>
      <c r="E690" s="151"/>
      <c r="F690" s="151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 spans="1:26" ht="19.5" customHeight="1" x14ac:dyDescent="0.25">
      <c r="A691" s="150"/>
      <c r="B691" s="150"/>
      <c r="C691" s="150"/>
      <c r="D691" s="151"/>
      <c r="E691" s="151"/>
      <c r="F691" s="151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 spans="1:26" ht="19.5" customHeight="1" x14ac:dyDescent="0.25">
      <c r="A692" s="150"/>
      <c r="B692" s="150"/>
      <c r="C692" s="150"/>
      <c r="D692" s="151"/>
      <c r="E692" s="151"/>
      <c r="F692" s="151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 spans="1:26" ht="19.5" customHeight="1" x14ac:dyDescent="0.25">
      <c r="A693" s="150"/>
      <c r="B693" s="150"/>
      <c r="C693" s="150"/>
      <c r="D693" s="151"/>
      <c r="E693" s="151"/>
      <c r="F693" s="151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 spans="1:26" ht="19.5" customHeight="1" x14ac:dyDescent="0.25">
      <c r="A694" s="150"/>
      <c r="B694" s="150"/>
      <c r="C694" s="150"/>
      <c r="D694" s="151"/>
      <c r="E694" s="151"/>
      <c r="F694" s="151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 spans="1:26" ht="19.5" customHeight="1" x14ac:dyDescent="0.25">
      <c r="A695" s="150"/>
      <c r="B695" s="150"/>
      <c r="C695" s="150"/>
      <c r="D695" s="151"/>
      <c r="E695" s="151"/>
      <c r="F695" s="151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 spans="1:26" ht="19.5" customHeight="1" x14ac:dyDescent="0.25">
      <c r="A696" s="150"/>
      <c r="B696" s="150"/>
      <c r="C696" s="150"/>
      <c r="D696" s="151"/>
      <c r="E696" s="151"/>
      <c r="F696" s="151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 spans="1:26" ht="19.5" customHeight="1" x14ac:dyDescent="0.25">
      <c r="A697" s="150"/>
      <c r="B697" s="150"/>
      <c r="C697" s="150"/>
      <c r="D697" s="151"/>
      <c r="E697" s="151"/>
      <c r="F697" s="151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 spans="1:26" ht="19.5" customHeight="1" x14ac:dyDescent="0.25">
      <c r="A698" s="150"/>
      <c r="B698" s="150"/>
      <c r="C698" s="150"/>
      <c r="D698" s="151"/>
      <c r="E698" s="151"/>
      <c r="F698" s="151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 spans="1:26" ht="19.5" customHeight="1" x14ac:dyDescent="0.25">
      <c r="A699" s="150"/>
      <c r="B699" s="150"/>
      <c r="C699" s="150"/>
      <c r="D699" s="151"/>
      <c r="E699" s="151"/>
      <c r="F699" s="151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 spans="1:26" ht="19.5" customHeight="1" x14ac:dyDescent="0.25">
      <c r="A700" s="150"/>
      <c r="B700" s="150"/>
      <c r="C700" s="150"/>
      <c r="D700" s="151"/>
      <c r="E700" s="151"/>
      <c r="F700" s="151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 spans="1:26" ht="19.5" customHeight="1" x14ac:dyDescent="0.25">
      <c r="A701" s="150"/>
      <c r="B701" s="150"/>
      <c r="C701" s="150"/>
      <c r="D701" s="151"/>
      <c r="E701" s="151"/>
      <c r="F701" s="151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 spans="1:26" ht="19.5" customHeight="1" x14ac:dyDescent="0.25">
      <c r="A702" s="150"/>
      <c r="B702" s="150"/>
      <c r="C702" s="150"/>
      <c r="D702" s="151"/>
      <c r="E702" s="151"/>
      <c r="F702" s="151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 spans="1:26" ht="19.5" customHeight="1" x14ac:dyDescent="0.25">
      <c r="A703" s="150"/>
      <c r="B703" s="150"/>
      <c r="C703" s="150"/>
      <c r="D703" s="151"/>
      <c r="E703" s="151"/>
      <c r="F703" s="151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 spans="1:26" ht="19.5" customHeight="1" x14ac:dyDescent="0.25">
      <c r="A704" s="150"/>
      <c r="B704" s="150"/>
      <c r="C704" s="150"/>
      <c r="D704" s="151"/>
      <c r="E704" s="151"/>
      <c r="F704" s="151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 spans="1:26" ht="19.5" customHeight="1" x14ac:dyDescent="0.25">
      <c r="A705" s="150"/>
      <c r="B705" s="150"/>
      <c r="C705" s="150"/>
      <c r="D705" s="151"/>
      <c r="E705" s="151"/>
      <c r="F705" s="151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 spans="1:26" ht="19.5" customHeight="1" x14ac:dyDescent="0.25">
      <c r="A706" s="150"/>
      <c r="B706" s="150"/>
      <c r="C706" s="150"/>
      <c r="D706" s="151"/>
      <c r="E706" s="151"/>
      <c r="F706" s="151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 spans="1:26" ht="19.5" customHeight="1" x14ac:dyDescent="0.25">
      <c r="A707" s="150"/>
      <c r="B707" s="150"/>
      <c r="C707" s="150"/>
      <c r="D707" s="151"/>
      <c r="E707" s="151"/>
      <c r="F707" s="151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 spans="1:26" ht="19.5" customHeight="1" x14ac:dyDescent="0.25">
      <c r="A708" s="150"/>
      <c r="B708" s="150"/>
      <c r="C708" s="150"/>
      <c r="D708" s="151"/>
      <c r="E708" s="151"/>
      <c r="F708" s="151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 spans="1:26" ht="19.5" customHeight="1" x14ac:dyDescent="0.25">
      <c r="A709" s="150"/>
      <c r="B709" s="150"/>
      <c r="C709" s="150"/>
      <c r="D709" s="151"/>
      <c r="E709" s="151"/>
      <c r="F709" s="151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 spans="1:26" ht="19.5" customHeight="1" x14ac:dyDescent="0.25">
      <c r="A710" s="150"/>
      <c r="B710" s="150"/>
      <c r="C710" s="150"/>
      <c r="D710" s="151"/>
      <c r="E710" s="151"/>
      <c r="F710" s="151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 spans="1:26" ht="19.5" customHeight="1" x14ac:dyDescent="0.25">
      <c r="A711" s="150"/>
      <c r="B711" s="150"/>
      <c r="C711" s="150"/>
      <c r="D711" s="151"/>
      <c r="E711" s="151"/>
      <c r="F711" s="151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 spans="1:26" ht="19.5" customHeight="1" x14ac:dyDescent="0.25">
      <c r="A712" s="150"/>
      <c r="B712" s="150"/>
      <c r="C712" s="150"/>
      <c r="D712" s="151"/>
      <c r="E712" s="151"/>
      <c r="F712" s="151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 spans="1:26" ht="19.5" customHeight="1" x14ac:dyDescent="0.25">
      <c r="A713" s="150"/>
      <c r="B713" s="150"/>
      <c r="C713" s="150"/>
      <c r="D713" s="151"/>
      <c r="E713" s="151"/>
      <c r="F713" s="151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 spans="1:26" ht="19.5" customHeight="1" x14ac:dyDescent="0.25">
      <c r="A714" s="150"/>
      <c r="B714" s="150"/>
      <c r="C714" s="150"/>
      <c r="D714" s="151"/>
      <c r="E714" s="151"/>
      <c r="F714" s="151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 spans="1:26" ht="19.5" customHeight="1" x14ac:dyDescent="0.25">
      <c r="A715" s="150"/>
      <c r="B715" s="150"/>
      <c r="C715" s="150"/>
      <c r="D715" s="151"/>
      <c r="E715" s="151"/>
      <c r="F715" s="151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 spans="1:26" ht="19.5" customHeight="1" x14ac:dyDescent="0.25">
      <c r="A716" s="150"/>
      <c r="B716" s="150"/>
      <c r="C716" s="150"/>
      <c r="D716" s="151"/>
      <c r="E716" s="151"/>
      <c r="F716" s="151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 spans="1:26" ht="19.5" customHeight="1" x14ac:dyDescent="0.25">
      <c r="A717" s="150"/>
      <c r="B717" s="150"/>
      <c r="C717" s="150"/>
      <c r="D717" s="151"/>
      <c r="E717" s="151"/>
      <c r="F717" s="151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 spans="1:26" ht="19.5" customHeight="1" x14ac:dyDescent="0.25">
      <c r="A718" s="150"/>
      <c r="B718" s="150"/>
      <c r="C718" s="150"/>
      <c r="D718" s="151"/>
      <c r="E718" s="151"/>
      <c r="F718" s="151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 spans="1:26" ht="19.5" customHeight="1" x14ac:dyDescent="0.25">
      <c r="A719" s="150"/>
      <c r="B719" s="150"/>
      <c r="C719" s="150"/>
      <c r="D719" s="151"/>
      <c r="E719" s="151"/>
      <c r="F719" s="151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 spans="1:26" ht="19.5" customHeight="1" x14ac:dyDescent="0.25">
      <c r="A720" s="150"/>
      <c r="B720" s="150"/>
      <c r="C720" s="150"/>
      <c r="D720" s="151"/>
      <c r="E720" s="151"/>
      <c r="F720" s="151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 spans="1:26" ht="19.5" customHeight="1" x14ac:dyDescent="0.25">
      <c r="A721" s="150"/>
      <c r="B721" s="150"/>
      <c r="C721" s="150"/>
      <c r="D721" s="151"/>
      <c r="E721" s="151"/>
      <c r="F721" s="151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 spans="1:26" ht="19.5" customHeight="1" x14ac:dyDescent="0.25">
      <c r="A722" s="150"/>
      <c r="B722" s="150"/>
      <c r="C722" s="150"/>
      <c r="D722" s="151"/>
      <c r="E722" s="151"/>
      <c r="F722" s="151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 spans="1:26" ht="19.5" customHeight="1" x14ac:dyDescent="0.25">
      <c r="A723" s="150"/>
      <c r="B723" s="150"/>
      <c r="C723" s="150"/>
      <c r="D723" s="151"/>
      <c r="E723" s="151"/>
      <c r="F723" s="151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 spans="1:26" ht="19.5" customHeight="1" x14ac:dyDescent="0.25">
      <c r="A724" s="150"/>
      <c r="B724" s="150"/>
      <c r="C724" s="150"/>
      <c r="D724" s="151"/>
      <c r="E724" s="151"/>
      <c r="F724" s="151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 spans="1:26" ht="19.5" customHeight="1" x14ac:dyDescent="0.25">
      <c r="A725" s="150"/>
      <c r="B725" s="150"/>
      <c r="C725" s="150"/>
      <c r="D725" s="151"/>
      <c r="E725" s="151"/>
      <c r="F725" s="151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 spans="1:26" ht="19.5" customHeight="1" x14ac:dyDescent="0.25">
      <c r="A726" s="150"/>
      <c r="B726" s="150"/>
      <c r="C726" s="150"/>
      <c r="D726" s="151"/>
      <c r="E726" s="151"/>
      <c r="F726" s="151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 spans="1:26" ht="19.5" customHeight="1" x14ac:dyDescent="0.25">
      <c r="A727" s="150"/>
      <c r="B727" s="150"/>
      <c r="C727" s="150"/>
      <c r="D727" s="151"/>
      <c r="E727" s="151"/>
      <c r="F727" s="151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 spans="1:26" ht="19.5" customHeight="1" x14ac:dyDescent="0.25">
      <c r="A728" s="150"/>
      <c r="B728" s="150"/>
      <c r="C728" s="150"/>
      <c r="D728" s="151"/>
      <c r="E728" s="151"/>
      <c r="F728" s="151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 spans="1:26" ht="19.5" customHeight="1" x14ac:dyDescent="0.25">
      <c r="A729" s="150"/>
      <c r="B729" s="150"/>
      <c r="C729" s="150"/>
      <c r="D729" s="151"/>
      <c r="E729" s="151"/>
      <c r="F729" s="151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 spans="1:26" ht="19.5" customHeight="1" x14ac:dyDescent="0.25">
      <c r="A730" s="150"/>
      <c r="B730" s="150"/>
      <c r="C730" s="150"/>
      <c r="D730" s="151"/>
      <c r="E730" s="151"/>
      <c r="F730" s="151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 spans="1:26" ht="19.5" customHeight="1" x14ac:dyDescent="0.25">
      <c r="A731" s="150"/>
      <c r="B731" s="150"/>
      <c r="C731" s="150"/>
      <c r="D731" s="151"/>
      <c r="E731" s="151"/>
      <c r="F731" s="151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 spans="1:26" ht="19.5" customHeight="1" x14ac:dyDescent="0.25">
      <c r="A732" s="150"/>
      <c r="B732" s="150"/>
      <c r="C732" s="150"/>
      <c r="D732" s="151"/>
      <c r="E732" s="151"/>
      <c r="F732" s="151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 spans="1:26" ht="19.5" customHeight="1" x14ac:dyDescent="0.25">
      <c r="A733" s="150"/>
      <c r="B733" s="150"/>
      <c r="C733" s="150"/>
      <c r="D733" s="151"/>
      <c r="E733" s="151"/>
      <c r="F733" s="151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 spans="1:26" ht="19.5" customHeight="1" x14ac:dyDescent="0.25">
      <c r="A734" s="150"/>
      <c r="B734" s="150"/>
      <c r="C734" s="150"/>
      <c r="D734" s="151"/>
      <c r="E734" s="151"/>
      <c r="F734" s="151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 spans="1:26" ht="19.5" customHeight="1" x14ac:dyDescent="0.25">
      <c r="A735" s="150"/>
      <c r="B735" s="150"/>
      <c r="C735" s="150"/>
      <c r="D735" s="151"/>
      <c r="E735" s="151"/>
      <c r="F735" s="151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 spans="1:26" ht="19.5" customHeight="1" x14ac:dyDescent="0.25">
      <c r="A736" s="150"/>
      <c r="B736" s="150"/>
      <c r="C736" s="150"/>
      <c r="D736" s="151"/>
      <c r="E736" s="151"/>
      <c r="F736" s="151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 spans="1:26" ht="19.5" customHeight="1" x14ac:dyDescent="0.25">
      <c r="A737" s="150"/>
      <c r="B737" s="150"/>
      <c r="C737" s="150"/>
      <c r="D737" s="151"/>
      <c r="E737" s="151"/>
      <c r="F737" s="151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 spans="1:26" ht="19.5" customHeight="1" x14ac:dyDescent="0.25">
      <c r="A738" s="150"/>
      <c r="B738" s="150"/>
      <c r="C738" s="150"/>
      <c r="D738" s="151"/>
      <c r="E738" s="151"/>
      <c r="F738" s="151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 spans="1:26" ht="19.5" customHeight="1" x14ac:dyDescent="0.25">
      <c r="A739" s="150"/>
      <c r="B739" s="150"/>
      <c r="C739" s="150"/>
      <c r="D739" s="151"/>
      <c r="E739" s="151"/>
      <c r="F739" s="151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 spans="1:26" ht="19.5" customHeight="1" x14ac:dyDescent="0.25">
      <c r="A740" s="150"/>
      <c r="B740" s="150"/>
      <c r="C740" s="150"/>
      <c r="D740" s="151"/>
      <c r="E740" s="151"/>
      <c r="F740" s="151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 spans="1:26" ht="19.5" customHeight="1" x14ac:dyDescent="0.25">
      <c r="A741" s="150"/>
      <c r="B741" s="150"/>
      <c r="C741" s="150"/>
      <c r="D741" s="151"/>
      <c r="E741" s="151"/>
      <c r="F741" s="151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 spans="1:26" ht="19.5" customHeight="1" x14ac:dyDescent="0.25">
      <c r="A742" s="150"/>
      <c r="B742" s="150"/>
      <c r="C742" s="150"/>
      <c r="D742" s="151"/>
      <c r="E742" s="151"/>
      <c r="F742" s="151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 spans="1:26" ht="19.5" customHeight="1" x14ac:dyDescent="0.25">
      <c r="A743" s="150"/>
      <c r="B743" s="150"/>
      <c r="C743" s="150"/>
      <c r="D743" s="151"/>
      <c r="E743" s="151"/>
      <c r="F743" s="151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 spans="1:26" ht="19.5" customHeight="1" x14ac:dyDescent="0.25">
      <c r="A744" s="150"/>
      <c r="B744" s="150"/>
      <c r="C744" s="150"/>
      <c r="D744" s="151"/>
      <c r="E744" s="151"/>
      <c r="F744" s="151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 spans="1:26" ht="19.5" customHeight="1" x14ac:dyDescent="0.25">
      <c r="A745" s="150"/>
      <c r="B745" s="150"/>
      <c r="C745" s="150"/>
      <c r="D745" s="151"/>
      <c r="E745" s="151"/>
      <c r="F745" s="151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 spans="1:26" ht="19.5" customHeight="1" x14ac:dyDescent="0.25">
      <c r="A746" s="150"/>
      <c r="B746" s="150"/>
      <c r="C746" s="150"/>
      <c r="D746" s="151"/>
      <c r="E746" s="151"/>
      <c r="F746" s="151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 spans="1:26" ht="19.5" customHeight="1" x14ac:dyDescent="0.25">
      <c r="A747" s="150"/>
      <c r="B747" s="150"/>
      <c r="C747" s="150"/>
      <c r="D747" s="151"/>
      <c r="E747" s="151"/>
      <c r="F747" s="151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 spans="1:26" ht="19.5" customHeight="1" x14ac:dyDescent="0.25">
      <c r="A748" s="150"/>
      <c r="B748" s="150"/>
      <c r="C748" s="150"/>
      <c r="D748" s="151"/>
      <c r="E748" s="151"/>
      <c r="F748" s="151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 spans="1:26" ht="19.5" customHeight="1" x14ac:dyDescent="0.25">
      <c r="A749" s="150"/>
      <c r="B749" s="150"/>
      <c r="C749" s="150"/>
      <c r="D749" s="151"/>
      <c r="E749" s="151"/>
      <c r="F749" s="151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 spans="1:26" ht="19.5" customHeight="1" x14ac:dyDescent="0.25">
      <c r="A750" s="150"/>
      <c r="B750" s="150"/>
      <c r="C750" s="150"/>
      <c r="D750" s="151"/>
      <c r="E750" s="151"/>
      <c r="F750" s="151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 spans="1:26" ht="19.5" customHeight="1" x14ac:dyDescent="0.25">
      <c r="A751" s="150"/>
      <c r="B751" s="150"/>
      <c r="C751" s="150"/>
      <c r="D751" s="151"/>
      <c r="E751" s="151"/>
      <c r="F751" s="151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 spans="1:26" ht="19.5" customHeight="1" x14ac:dyDescent="0.25">
      <c r="A752" s="150"/>
      <c r="B752" s="150"/>
      <c r="C752" s="150"/>
      <c r="D752" s="151"/>
      <c r="E752" s="151"/>
      <c r="F752" s="151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 spans="1:26" ht="19.5" customHeight="1" x14ac:dyDescent="0.25">
      <c r="A753" s="150"/>
      <c r="B753" s="150"/>
      <c r="C753" s="150"/>
      <c r="D753" s="151"/>
      <c r="E753" s="151"/>
      <c r="F753" s="151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 spans="1:26" ht="19.5" customHeight="1" x14ac:dyDescent="0.25">
      <c r="A754" s="150"/>
      <c r="B754" s="150"/>
      <c r="C754" s="150"/>
      <c r="D754" s="151"/>
      <c r="E754" s="151"/>
      <c r="F754" s="151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 spans="1:26" ht="19.5" customHeight="1" x14ac:dyDescent="0.25">
      <c r="A755" s="150"/>
      <c r="B755" s="150"/>
      <c r="C755" s="150"/>
      <c r="D755" s="151"/>
      <c r="E755" s="151"/>
      <c r="F755" s="151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 spans="1:26" ht="19.5" customHeight="1" x14ac:dyDescent="0.25">
      <c r="A756" s="150"/>
      <c r="B756" s="150"/>
      <c r="C756" s="150"/>
      <c r="D756" s="151"/>
      <c r="E756" s="151"/>
      <c r="F756" s="151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 spans="1:26" ht="19.5" customHeight="1" x14ac:dyDescent="0.25">
      <c r="A757" s="150"/>
      <c r="B757" s="150"/>
      <c r="C757" s="150"/>
      <c r="D757" s="151"/>
      <c r="E757" s="151"/>
      <c r="F757" s="151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 spans="1:26" ht="19.5" customHeight="1" x14ac:dyDescent="0.25">
      <c r="A758" s="150"/>
      <c r="B758" s="150"/>
      <c r="C758" s="150"/>
      <c r="D758" s="151"/>
      <c r="E758" s="151"/>
      <c r="F758" s="151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 spans="1:26" ht="19.5" customHeight="1" x14ac:dyDescent="0.25">
      <c r="A759" s="150"/>
      <c r="B759" s="150"/>
      <c r="C759" s="150"/>
      <c r="D759" s="151"/>
      <c r="E759" s="151"/>
      <c r="F759" s="151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 spans="1:26" ht="19.5" customHeight="1" x14ac:dyDescent="0.25">
      <c r="A760" s="150"/>
      <c r="B760" s="150"/>
      <c r="C760" s="150"/>
      <c r="D760" s="151"/>
      <c r="E760" s="151"/>
      <c r="F760" s="151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 spans="1:26" ht="19.5" customHeight="1" x14ac:dyDescent="0.25">
      <c r="A761" s="150"/>
      <c r="B761" s="150"/>
      <c r="C761" s="150"/>
      <c r="D761" s="151"/>
      <c r="E761" s="151"/>
      <c r="F761" s="151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 spans="1:26" ht="19.5" customHeight="1" x14ac:dyDescent="0.25">
      <c r="A762" s="150"/>
      <c r="B762" s="150"/>
      <c r="C762" s="150"/>
      <c r="D762" s="151"/>
      <c r="E762" s="151"/>
      <c r="F762" s="151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 spans="1:26" ht="19.5" customHeight="1" x14ac:dyDescent="0.25">
      <c r="A763" s="150"/>
      <c r="B763" s="150"/>
      <c r="C763" s="150"/>
      <c r="D763" s="151"/>
      <c r="E763" s="151"/>
      <c r="F763" s="151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 spans="1:26" ht="19.5" customHeight="1" x14ac:dyDescent="0.25">
      <c r="A764" s="150"/>
      <c r="B764" s="150"/>
      <c r="C764" s="150"/>
      <c r="D764" s="151"/>
      <c r="E764" s="151"/>
      <c r="F764" s="151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 spans="1:26" ht="19.5" customHeight="1" x14ac:dyDescent="0.25">
      <c r="A765" s="150"/>
      <c r="B765" s="150"/>
      <c r="C765" s="150"/>
      <c r="D765" s="151"/>
      <c r="E765" s="151"/>
      <c r="F765" s="151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 spans="1:26" ht="19.5" customHeight="1" x14ac:dyDescent="0.25">
      <c r="A766" s="150"/>
      <c r="B766" s="150"/>
      <c r="C766" s="150"/>
      <c r="D766" s="151"/>
      <c r="E766" s="151"/>
      <c r="F766" s="151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 spans="1:26" ht="19.5" customHeight="1" x14ac:dyDescent="0.25">
      <c r="A767" s="150"/>
      <c r="B767" s="150"/>
      <c r="C767" s="150"/>
      <c r="D767" s="151"/>
      <c r="E767" s="151"/>
      <c r="F767" s="151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 spans="1:26" ht="19.5" customHeight="1" x14ac:dyDescent="0.25">
      <c r="A768" s="150"/>
      <c r="B768" s="150"/>
      <c r="C768" s="150"/>
      <c r="D768" s="151"/>
      <c r="E768" s="151"/>
      <c r="F768" s="151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 spans="1:26" ht="19.5" customHeight="1" x14ac:dyDescent="0.25">
      <c r="A769" s="150"/>
      <c r="B769" s="150"/>
      <c r="C769" s="150"/>
      <c r="D769" s="151"/>
      <c r="E769" s="151"/>
      <c r="F769" s="151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 spans="1:26" ht="19.5" customHeight="1" x14ac:dyDescent="0.25">
      <c r="A770" s="150"/>
      <c r="B770" s="150"/>
      <c r="C770" s="150"/>
      <c r="D770" s="151"/>
      <c r="E770" s="151"/>
      <c r="F770" s="151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 spans="1:26" ht="19.5" customHeight="1" x14ac:dyDescent="0.25">
      <c r="A771" s="150"/>
      <c r="B771" s="150"/>
      <c r="C771" s="150"/>
      <c r="D771" s="151"/>
      <c r="E771" s="151"/>
      <c r="F771" s="151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 spans="1:26" ht="19.5" customHeight="1" x14ac:dyDescent="0.25">
      <c r="A772" s="150"/>
      <c r="B772" s="150"/>
      <c r="C772" s="150"/>
      <c r="D772" s="151"/>
      <c r="E772" s="151"/>
      <c r="F772" s="151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 spans="1:26" ht="19.5" customHeight="1" x14ac:dyDescent="0.25">
      <c r="A773" s="150"/>
      <c r="B773" s="150"/>
      <c r="C773" s="150"/>
      <c r="D773" s="151"/>
      <c r="E773" s="151"/>
      <c r="F773" s="151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 spans="1:26" ht="19.5" customHeight="1" x14ac:dyDescent="0.25">
      <c r="A774" s="150"/>
      <c r="B774" s="150"/>
      <c r="C774" s="150"/>
      <c r="D774" s="151"/>
      <c r="E774" s="151"/>
      <c r="F774" s="151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 spans="1:26" ht="19.5" customHeight="1" x14ac:dyDescent="0.25">
      <c r="A775" s="150"/>
      <c r="B775" s="150"/>
      <c r="C775" s="150"/>
      <c r="D775" s="151"/>
      <c r="E775" s="151"/>
      <c r="F775" s="151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 spans="1:26" ht="19.5" customHeight="1" x14ac:dyDescent="0.25">
      <c r="A776" s="150"/>
      <c r="B776" s="150"/>
      <c r="C776" s="150"/>
      <c r="D776" s="151"/>
      <c r="E776" s="151"/>
      <c r="F776" s="151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 spans="1:26" ht="19.5" customHeight="1" x14ac:dyDescent="0.25">
      <c r="A777" s="150"/>
      <c r="B777" s="150"/>
      <c r="C777" s="150"/>
      <c r="D777" s="151"/>
      <c r="E777" s="151"/>
      <c r="F777" s="151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 spans="1:26" ht="19.5" customHeight="1" x14ac:dyDescent="0.25">
      <c r="A778" s="150"/>
      <c r="B778" s="150"/>
      <c r="C778" s="150"/>
      <c r="D778" s="151"/>
      <c r="E778" s="151"/>
      <c r="F778" s="151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 spans="1:26" ht="19.5" customHeight="1" x14ac:dyDescent="0.25">
      <c r="A779" s="150"/>
      <c r="B779" s="150"/>
      <c r="C779" s="150"/>
      <c r="D779" s="151"/>
      <c r="E779" s="151"/>
      <c r="F779" s="151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 spans="1:26" ht="19.5" customHeight="1" x14ac:dyDescent="0.25">
      <c r="A780" s="150"/>
      <c r="B780" s="150"/>
      <c r="C780" s="150"/>
      <c r="D780" s="151"/>
      <c r="E780" s="151"/>
      <c r="F780" s="151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 spans="1:26" ht="19.5" customHeight="1" x14ac:dyDescent="0.25">
      <c r="A781" s="150"/>
      <c r="B781" s="150"/>
      <c r="C781" s="150"/>
      <c r="D781" s="151"/>
      <c r="E781" s="151"/>
      <c r="F781" s="151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 spans="1:26" ht="19.5" customHeight="1" x14ac:dyDescent="0.25">
      <c r="A782" s="150"/>
      <c r="B782" s="150"/>
      <c r="C782" s="150"/>
      <c r="D782" s="151"/>
      <c r="E782" s="151"/>
      <c r="F782" s="151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 spans="1:26" ht="19.5" customHeight="1" x14ac:dyDescent="0.25">
      <c r="A783" s="150"/>
      <c r="B783" s="150"/>
      <c r="C783" s="150"/>
      <c r="D783" s="151"/>
      <c r="E783" s="151"/>
      <c r="F783" s="151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 spans="1:26" ht="19.5" customHeight="1" x14ac:dyDescent="0.25">
      <c r="A784" s="150"/>
      <c r="B784" s="150"/>
      <c r="C784" s="150"/>
      <c r="D784" s="151"/>
      <c r="E784" s="151"/>
      <c r="F784" s="151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 spans="1:26" ht="19.5" customHeight="1" x14ac:dyDescent="0.25">
      <c r="A785" s="150"/>
      <c r="B785" s="150"/>
      <c r="C785" s="150"/>
      <c r="D785" s="151"/>
      <c r="E785" s="151"/>
      <c r="F785" s="151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 spans="1:26" ht="19.5" customHeight="1" x14ac:dyDescent="0.25">
      <c r="A786" s="150"/>
      <c r="B786" s="150"/>
      <c r="C786" s="150"/>
      <c r="D786" s="151"/>
      <c r="E786" s="151"/>
      <c r="F786" s="151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 spans="1:26" ht="19.5" customHeight="1" x14ac:dyDescent="0.25">
      <c r="A787" s="150"/>
      <c r="B787" s="150"/>
      <c r="C787" s="150"/>
      <c r="D787" s="151"/>
      <c r="E787" s="151"/>
      <c r="F787" s="151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 spans="1:26" ht="19.5" customHeight="1" x14ac:dyDescent="0.25">
      <c r="A788" s="150"/>
      <c r="B788" s="150"/>
      <c r="C788" s="150"/>
      <c r="D788" s="151"/>
      <c r="E788" s="151"/>
      <c r="F788" s="151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 spans="1:26" ht="19.5" customHeight="1" x14ac:dyDescent="0.25">
      <c r="A789" s="150"/>
      <c r="B789" s="150"/>
      <c r="C789" s="150"/>
      <c r="D789" s="151"/>
      <c r="E789" s="151"/>
      <c r="F789" s="151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 spans="1:26" ht="19.5" customHeight="1" x14ac:dyDescent="0.25">
      <c r="A790" s="150"/>
      <c r="B790" s="150"/>
      <c r="C790" s="150"/>
      <c r="D790" s="151"/>
      <c r="E790" s="151"/>
      <c r="F790" s="151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 spans="1:26" ht="19.5" customHeight="1" x14ac:dyDescent="0.25">
      <c r="A791" s="150"/>
      <c r="B791" s="150"/>
      <c r="C791" s="150"/>
      <c r="D791" s="151"/>
      <c r="E791" s="151"/>
      <c r="F791" s="151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 spans="1:26" ht="19.5" customHeight="1" x14ac:dyDescent="0.25">
      <c r="A792" s="150"/>
      <c r="B792" s="150"/>
      <c r="C792" s="150"/>
      <c r="D792" s="151"/>
      <c r="E792" s="151"/>
      <c r="F792" s="151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 spans="1:26" ht="19.5" customHeight="1" x14ac:dyDescent="0.25">
      <c r="A793" s="150"/>
      <c r="B793" s="150"/>
      <c r="C793" s="150"/>
      <c r="D793" s="151"/>
      <c r="E793" s="151"/>
      <c r="F793" s="151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 spans="1:26" ht="19.5" customHeight="1" x14ac:dyDescent="0.25">
      <c r="A794" s="150"/>
      <c r="B794" s="150"/>
      <c r="C794" s="150"/>
      <c r="D794" s="151"/>
      <c r="E794" s="151"/>
      <c r="F794" s="151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 spans="1:26" ht="19.5" customHeight="1" x14ac:dyDescent="0.25">
      <c r="A795" s="150"/>
      <c r="B795" s="150"/>
      <c r="C795" s="150"/>
      <c r="D795" s="151"/>
      <c r="E795" s="151"/>
      <c r="F795" s="151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 spans="1:26" ht="19.5" customHeight="1" x14ac:dyDescent="0.25">
      <c r="A796" s="150"/>
      <c r="B796" s="150"/>
      <c r="C796" s="150"/>
      <c r="D796" s="151"/>
      <c r="E796" s="151"/>
      <c r="F796" s="151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 spans="1:26" ht="19.5" customHeight="1" x14ac:dyDescent="0.25">
      <c r="A797" s="150"/>
      <c r="B797" s="150"/>
      <c r="C797" s="150"/>
      <c r="D797" s="151"/>
      <c r="E797" s="151"/>
      <c r="F797" s="151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 spans="1:26" ht="19.5" customHeight="1" x14ac:dyDescent="0.25">
      <c r="A798" s="150"/>
      <c r="B798" s="150"/>
      <c r="C798" s="150"/>
      <c r="D798" s="151"/>
      <c r="E798" s="151"/>
      <c r="F798" s="151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 spans="1:26" ht="19.5" customHeight="1" x14ac:dyDescent="0.25">
      <c r="A799" s="150"/>
      <c r="B799" s="150"/>
      <c r="C799" s="150"/>
      <c r="D799" s="151"/>
      <c r="E799" s="151"/>
      <c r="F799" s="151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 spans="1:26" ht="19.5" customHeight="1" x14ac:dyDescent="0.25">
      <c r="A800" s="150"/>
      <c r="B800" s="150"/>
      <c r="C800" s="150"/>
      <c r="D800" s="151"/>
      <c r="E800" s="151"/>
      <c r="F800" s="151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 spans="1:26" ht="19.5" customHeight="1" x14ac:dyDescent="0.25">
      <c r="A801" s="150"/>
      <c r="B801" s="150"/>
      <c r="C801" s="150"/>
      <c r="D801" s="151"/>
      <c r="E801" s="151"/>
      <c r="F801" s="151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 spans="1:26" ht="19.5" customHeight="1" x14ac:dyDescent="0.25">
      <c r="A802" s="150"/>
      <c r="B802" s="150"/>
      <c r="C802" s="150"/>
      <c r="D802" s="151"/>
      <c r="E802" s="151"/>
      <c r="F802" s="151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 spans="1:26" ht="19.5" customHeight="1" x14ac:dyDescent="0.25">
      <c r="A803" s="150"/>
      <c r="B803" s="150"/>
      <c r="C803" s="150"/>
      <c r="D803" s="151"/>
      <c r="E803" s="151"/>
      <c r="F803" s="151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 spans="1:26" ht="19.5" customHeight="1" x14ac:dyDescent="0.25">
      <c r="A804" s="150"/>
      <c r="B804" s="150"/>
      <c r="C804" s="150"/>
      <c r="D804" s="151"/>
      <c r="E804" s="151"/>
      <c r="F804" s="151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 spans="1:26" ht="19.5" customHeight="1" x14ac:dyDescent="0.25">
      <c r="A805" s="150"/>
      <c r="B805" s="150"/>
      <c r="C805" s="150"/>
      <c r="D805" s="151"/>
      <c r="E805" s="151"/>
      <c r="F805" s="151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 spans="1:26" ht="19.5" customHeight="1" x14ac:dyDescent="0.25">
      <c r="A806" s="150"/>
      <c r="B806" s="150"/>
      <c r="C806" s="150"/>
      <c r="D806" s="151"/>
      <c r="E806" s="151"/>
      <c r="F806" s="151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 spans="1:26" ht="19.5" customHeight="1" x14ac:dyDescent="0.25">
      <c r="A807" s="150"/>
      <c r="B807" s="150"/>
      <c r="C807" s="150"/>
      <c r="D807" s="151"/>
      <c r="E807" s="151"/>
      <c r="F807" s="151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 spans="1:26" ht="19.5" customHeight="1" x14ac:dyDescent="0.25">
      <c r="A808" s="150"/>
      <c r="B808" s="150"/>
      <c r="C808" s="150"/>
      <c r="D808" s="151"/>
      <c r="E808" s="151"/>
      <c r="F808" s="151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 spans="1:26" ht="19.5" customHeight="1" x14ac:dyDescent="0.25">
      <c r="A809" s="150"/>
      <c r="B809" s="150"/>
      <c r="C809" s="150"/>
      <c r="D809" s="151"/>
      <c r="E809" s="151"/>
      <c r="F809" s="151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 spans="1:26" ht="19.5" customHeight="1" x14ac:dyDescent="0.25">
      <c r="A810" s="150"/>
      <c r="B810" s="150"/>
      <c r="C810" s="150"/>
      <c r="D810" s="151"/>
      <c r="E810" s="151"/>
      <c r="F810" s="151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 spans="1:26" ht="19.5" customHeight="1" x14ac:dyDescent="0.25">
      <c r="A811" s="150"/>
      <c r="B811" s="150"/>
      <c r="C811" s="150"/>
      <c r="D811" s="151"/>
      <c r="E811" s="151"/>
      <c r="F811" s="151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 spans="1:26" ht="19.5" customHeight="1" x14ac:dyDescent="0.25">
      <c r="A812" s="150"/>
      <c r="B812" s="150"/>
      <c r="C812" s="150"/>
      <c r="D812" s="151"/>
      <c r="E812" s="151"/>
      <c r="F812" s="151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 spans="1:26" ht="19.5" customHeight="1" x14ac:dyDescent="0.25">
      <c r="A813" s="150"/>
      <c r="B813" s="150"/>
      <c r="C813" s="150"/>
      <c r="D813" s="151"/>
      <c r="E813" s="151"/>
      <c r="F813" s="151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 spans="1:26" ht="19.5" customHeight="1" x14ac:dyDescent="0.25">
      <c r="A814" s="150"/>
      <c r="B814" s="150"/>
      <c r="C814" s="150"/>
      <c r="D814" s="151"/>
      <c r="E814" s="151"/>
      <c r="F814" s="151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 spans="1:26" ht="19.5" customHeight="1" x14ac:dyDescent="0.25">
      <c r="A815" s="150"/>
      <c r="B815" s="150"/>
      <c r="C815" s="150"/>
      <c r="D815" s="151"/>
      <c r="E815" s="151"/>
      <c r="F815" s="151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 spans="1:26" ht="19.5" customHeight="1" x14ac:dyDescent="0.25">
      <c r="A816" s="150"/>
      <c r="B816" s="150"/>
      <c r="C816" s="150"/>
      <c r="D816" s="151"/>
      <c r="E816" s="151"/>
      <c r="F816" s="151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 spans="1:26" ht="19.5" customHeight="1" x14ac:dyDescent="0.25">
      <c r="A817" s="150"/>
      <c r="B817" s="150"/>
      <c r="C817" s="150"/>
      <c r="D817" s="151"/>
      <c r="E817" s="151"/>
      <c r="F817" s="151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 spans="1:26" ht="19.5" customHeight="1" x14ac:dyDescent="0.25">
      <c r="A818" s="150"/>
      <c r="B818" s="150"/>
      <c r="C818" s="150"/>
      <c r="D818" s="151"/>
      <c r="E818" s="151"/>
      <c r="F818" s="151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 spans="1:26" ht="19.5" customHeight="1" x14ac:dyDescent="0.25">
      <c r="A819" s="150"/>
      <c r="B819" s="150"/>
      <c r="C819" s="150"/>
      <c r="D819" s="151"/>
      <c r="E819" s="151"/>
      <c r="F819" s="151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 spans="1:26" ht="19.5" customHeight="1" x14ac:dyDescent="0.25">
      <c r="A820" s="150"/>
      <c r="B820" s="150"/>
      <c r="C820" s="150"/>
      <c r="D820" s="151"/>
      <c r="E820" s="151"/>
      <c r="F820" s="151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 spans="1:26" ht="19.5" customHeight="1" x14ac:dyDescent="0.25">
      <c r="A821" s="150"/>
      <c r="B821" s="150"/>
      <c r="C821" s="150"/>
      <c r="D821" s="151"/>
      <c r="E821" s="151"/>
      <c r="F821" s="151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 spans="1:26" ht="19.5" customHeight="1" x14ac:dyDescent="0.25">
      <c r="A822" s="150"/>
      <c r="B822" s="150"/>
      <c r="C822" s="150"/>
      <c r="D822" s="151"/>
      <c r="E822" s="151"/>
      <c r="F822" s="151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 spans="1:26" ht="19.5" customHeight="1" x14ac:dyDescent="0.25">
      <c r="A823" s="150"/>
      <c r="B823" s="150"/>
      <c r="C823" s="150"/>
      <c r="D823" s="151"/>
      <c r="E823" s="151"/>
      <c r="F823" s="151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 spans="1:26" ht="19.5" customHeight="1" x14ac:dyDescent="0.25">
      <c r="A824" s="150"/>
      <c r="B824" s="150"/>
      <c r="C824" s="150"/>
      <c r="D824" s="151"/>
      <c r="E824" s="151"/>
      <c r="F824" s="151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 spans="1:26" ht="19.5" customHeight="1" x14ac:dyDescent="0.25">
      <c r="A825" s="150"/>
      <c r="B825" s="150"/>
      <c r="C825" s="150"/>
      <c r="D825" s="151"/>
      <c r="E825" s="151"/>
      <c r="F825" s="151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 spans="1:26" ht="19.5" customHeight="1" x14ac:dyDescent="0.25">
      <c r="A826" s="150"/>
      <c r="B826" s="150"/>
      <c r="C826" s="150"/>
      <c r="D826" s="151"/>
      <c r="E826" s="151"/>
      <c r="F826" s="151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 spans="1:26" ht="19.5" customHeight="1" x14ac:dyDescent="0.25">
      <c r="A827" s="150"/>
      <c r="B827" s="150"/>
      <c r="C827" s="150"/>
      <c r="D827" s="151"/>
      <c r="E827" s="151"/>
      <c r="F827" s="151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 spans="1:26" ht="19.5" customHeight="1" x14ac:dyDescent="0.25">
      <c r="A828" s="150"/>
      <c r="B828" s="150"/>
      <c r="C828" s="150"/>
      <c r="D828" s="151"/>
      <c r="E828" s="151"/>
      <c r="F828" s="151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 spans="1:26" ht="19.5" customHeight="1" x14ac:dyDescent="0.25">
      <c r="A829" s="150"/>
      <c r="B829" s="150"/>
      <c r="C829" s="150"/>
      <c r="D829" s="151"/>
      <c r="E829" s="151"/>
      <c r="F829" s="151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 spans="1:26" ht="19.5" customHeight="1" x14ac:dyDescent="0.25">
      <c r="A830" s="150"/>
      <c r="B830" s="150"/>
      <c r="C830" s="150"/>
      <c r="D830" s="151"/>
      <c r="E830" s="151"/>
      <c r="F830" s="151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 spans="1:26" ht="19.5" customHeight="1" x14ac:dyDescent="0.25">
      <c r="A831" s="150"/>
      <c r="B831" s="150"/>
      <c r="C831" s="150"/>
      <c r="D831" s="151"/>
      <c r="E831" s="151"/>
      <c r="F831" s="151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 spans="1:26" ht="19.5" customHeight="1" x14ac:dyDescent="0.25">
      <c r="A832" s="150"/>
      <c r="B832" s="150"/>
      <c r="C832" s="150"/>
      <c r="D832" s="151"/>
      <c r="E832" s="151"/>
      <c r="F832" s="151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 spans="1:26" ht="19.5" customHeight="1" x14ac:dyDescent="0.25">
      <c r="A833" s="150"/>
      <c r="B833" s="150"/>
      <c r="C833" s="150"/>
      <c r="D833" s="151"/>
      <c r="E833" s="151"/>
      <c r="F833" s="151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 spans="1:26" ht="19.5" customHeight="1" x14ac:dyDescent="0.25">
      <c r="A834" s="150"/>
      <c r="B834" s="150"/>
      <c r="C834" s="150"/>
      <c r="D834" s="151"/>
      <c r="E834" s="151"/>
      <c r="F834" s="151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 spans="1:26" ht="19.5" customHeight="1" x14ac:dyDescent="0.25">
      <c r="A835" s="150"/>
      <c r="B835" s="150"/>
      <c r="C835" s="150"/>
      <c r="D835" s="151"/>
      <c r="E835" s="151"/>
      <c r="F835" s="151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 spans="1:26" ht="19.5" customHeight="1" x14ac:dyDescent="0.25">
      <c r="A836" s="150"/>
      <c r="B836" s="150"/>
      <c r="C836" s="150"/>
      <c r="D836" s="151"/>
      <c r="E836" s="151"/>
      <c r="F836" s="151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 spans="1:26" ht="19.5" customHeight="1" x14ac:dyDescent="0.25">
      <c r="A837" s="150"/>
      <c r="B837" s="150"/>
      <c r="C837" s="150"/>
      <c r="D837" s="151"/>
      <c r="E837" s="151"/>
      <c r="F837" s="151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 spans="1:26" ht="19.5" customHeight="1" x14ac:dyDescent="0.25">
      <c r="A838" s="150"/>
      <c r="B838" s="150"/>
      <c r="C838" s="150"/>
      <c r="D838" s="151"/>
      <c r="E838" s="151"/>
      <c r="F838" s="151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 spans="1:26" ht="19.5" customHeight="1" x14ac:dyDescent="0.25">
      <c r="A839" s="150"/>
      <c r="B839" s="150"/>
      <c r="C839" s="150"/>
      <c r="D839" s="151"/>
      <c r="E839" s="151"/>
      <c r="F839" s="151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 spans="1:26" ht="19.5" customHeight="1" x14ac:dyDescent="0.25">
      <c r="A840" s="150"/>
      <c r="B840" s="150"/>
      <c r="C840" s="150"/>
      <c r="D840" s="151"/>
      <c r="E840" s="151"/>
      <c r="F840" s="151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 spans="1:26" ht="19.5" customHeight="1" x14ac:dyDescent="0.25">
      <c r="A841" s="150"/>
      <c r="B841" s="150"/>
      <c r="C841" s="150"/>
      <c r="D841" s="151"/>
      <c r="E841" s="151"/>
      <c r="F841" s="151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 spans="1:26" ht="19.5" customHeight="1" x14ac:dyDescent="0.25">
      <c r="A842" s="150"/>
      <c r="B842" s="150"/>
      <c r="C842" s="150"/>
      <c r="D842" s="151"/>
      <c r="E842" s="151"/>
      <c r="F842" s="151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 spans="1:26" ht="19.5" customHeight="1" x14ac:dyDescent="0.25">
      <c r="A843" s="150"/>
      <c r="B843" s="150"/>
      <c r="C843" s="150"/>
      <c r="D843" s="151"/>
      <c r="E843" s="151"/>
      <c r="F843" s="151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 spans="1:26" ht="19.5" customHeight="1" x14ac:dyDescent="0.25">
      <c r="A844" s="150"/>
      <c r="B844" s="150"/>
      <c r="C844" s="150"/>
      <c r="D844" s="151"/>
      <c r="E844" s="151"/>
      <c r="F844" s="151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 spans="1:26" ht="19.5" customHeight="1" x14ac:dyDescent="0.25">
      <c r="A845" s="150"/>
      <c r="B845" s="150"/>
      <c r="C845" s="150"/>
      <c r="D845" s="151"/>
      <c r="E845" s="151"/>
      <c r="F845" s="151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 spans="1:26" ht="19.5" customHeight="1" x14ac:dyDescent="0.25">
      <c r="A846" s="150"/>
      <c r="B846" s="150"/>
      <c r="C846" s="150"/>
      <c r="D846" s="151"/>
      <c r="E846" s="151"/>
      <c r="F846" s="151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 spans="1:26" ht="19.5" customHeight="1" x14ac:dyDescent="0.25">
      <c r="A847" s="150"/>
      <c r="B847" s="150"/>
      <c r="C847" s="150"/>
      <c r="D847" s="151"/>
      <c r="E847" s="151"/>
      <c r="F847" s="151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 spans="1:26" ht="19.5" customHeight="1" x14ac:dyDescent="0.25">
      <c r="A848" s="150"/>
      <c r="B848" s="150"/>
      <c r="C848" s="150"/>
      <c r="D848" s="151"/>
      <c r="E848" s="151"/>
      <c r="F848" s="151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 spans="1:26" ht="19.5" customHeight="1" x14ac:dyDescent="0.25">
      <c r="A849" s="150"/>
      <c r="B849" s="150"/>
      <c r="C849" s="150"/>
      <c r="D849" s="151"/>
      <c r="E849" s="151"/>
      <c r="F849" s="151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 spans="1:26" ht="19.5" customHeight="1" x14ac:dyDescent="0.25">
      <c r="A850" s="150"/>
      <c r="B850" s="150"/>
      <c r="C850" s="150"/>
      <c r="D850" s="151"/>
      <c r="E850" s="151"/>
      <c r="F850" s="151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 spans="1:26" ht="19.5" customHeight="1" x14ac:dyDescent="0.25">
      <c r="A851" s="150"/>
      <c r="B851" s="150"/>
      <c r="C851" s="150"/>
      <c r="D851" s="151"/>
      <c r="E851" s="151"/>
      <c r="F851" s="151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 spans="1:26" ht="19.5" customHeight="1" x14ac:dyDescent="0.25">
      <c r="A852" s="150"/>
      <c r="B852" s="150"/>
      <c r="C852" s="150"/>
      <c r="D852" s="151"/>
      <c r="E852" s="151"/>
      <c r="F852" s="151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 spans="1:26" ht="19.5" customHeight="1" x14ac:dyDescent="0.25">
      <c r="A853" s="150"/>
      <c r="B853" s="150"/>
      <c r="C853" s="150"/>
      <c r="D853" s="151"/>
      <c r="E853" s="151"/>
      <c r="F853" s="151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 spans="1:26" ht="19.5" customHeight="1" x14ac:dyDescent="0.25">
      <c r="A854" s="150"/>
      <c r="B854" s="150"/>
      <c r="C854" s="150"/>
      <c r="D854" s="151"/>
      <c r="E854" s="151"/>
      <c r="F854" s="151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 spans="1:26" ht="19.5" customHeight="1" x14ac:dyDescent="0.25">
      <c r="A855" s="150"/>
      <c r="B855" s="150"/>
      <c r="C855" s="150"/>
      <c r="D855" s="151"/>
      <c r="E855" s="151"/>
      <c r="F855" s="151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 spans="1:26" ht="19.5" customHeight="1" x14ac:dyDescent="0.25">
      <c r="A856" s="150"/>
      <c r="B856" s="150"/>
      <c r="C856" s="150"/>
      <c r="D856" s="151"/>
      <c r="E856" s="151"/>
      <c r="F856" s="151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 spans="1:26" ht="19.5" customHeight="1" x14ac:dyDescent="0.25">
      <c r="A857" s="150"/>
      <c r="B857" s="150"/>
      <c r="C857" s="150"/>
      <c r="D857" s="151"/>
      <c r="E857" s="151"/>
      <c r="F857" s="151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 spans="1:26" ht="19.5" customHeight="1" x14ac:dyDescent="0.25">
      <c r="A858" s="150"/>
      <c r="B858" s="150"/>
      <c r="C858" s="150"/>
      <c r="D858" s="151"/>
      <c r="E858" s="151"/>
      <c r="F858" s="151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 spans="1:26" ht="19.5" customHeight="1" x14ac:dyDescent="0.25">
      <c r="A859" s="150"/>
      <c r="B859" s="150"/>
      <c r="C859" s="150"/>
      <c r="D859" s="151"/>
      <c r="E859" s="151"/>
      <c r="F859" s="151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 spans="1:26" ht="19.5" customHeight="1" x14ac:dyDescent="0.25">
      <c r="A860" s="150"/>
      <c r="B860" s="150"/>
      <c r="C860" s="150"/>
      <c r="D860" s="151"/>
      <c r="E860" s="151"/>
      <c r="F860" s="151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 spans="1:26" ht="19.5" customHeight="1" x14ac:dyDescent="0.25">
      <c r="A861" s="150"/>
      <c r="B861" s="150"/>
      <c r="C861" s="150"/>
      <c r="D861" s="151"/>
      <c r="E861" s="151"/>
      <c r="F861" s="151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 spans="1:26" ht="19.5" customHeight="1" x14ac:dyDescent="0.25">
      <c r="A862" s="150"/>
      <c r="B862" s="150"/>
      <c r="C862" s="150"/>
      <c r="D862" s="151"/>
      <c r="E862" s="151"/>
      <c r="F862" s="151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 spans="1:26" ht="19.5" customHeight="1" x14ac:dyDescent="0.25">
      <c r="A863" s="150"/>
      <c r="B863" s="150"/>
      <c r="C863" s="150"/>
      <c r="D863" s="151"/>
      <c r="E863" s="151"/>
      <c r="F863" s="151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 spans="1:26" ht="19.5" customHeight="1" x14ac:dyDescent="0.25">
      <c r="A864" s="150"/>
      <c r="B864" s="150"/>
      <c r="C864" s="150"/>
      <c r="D864" s="151"/>
      <c r="E864" s="151"/>
      <c r="F864" s="151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 spans="1:26" ht="19.5" customHeight="1" x14ac:dyDescent="0.25">
      <c r="A865" s="150"/>
      <c r="B865" s="150"/>
      <c r="C865" s="150"/>
      <c r="D865" s="151"/>
      <c r="E865" s="151"/>
      <c r="F865" s="151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 spans="1:26" ht="19.5" customHeight="1" x14ac:dyDescent="0.25">
      <c r="A866" s="150"/>
      <c r="B866" s="150"/>
      <c r="C866" s="150"/>
      <c r="D866" s="151"/>
      <c r="E866" s="151"/>
      <c r="F866" s="151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 spans="1:26" ht="19.5" customHeight="1" x14ac:dyDescent="0.25">
      <c r="A867" s="150"/>
      <c r="B867" s="150"/>
      <c r="C867" s="150"/>
      <c r="D867" s="151"/>
      <c r="E867" s="151"/>
      <c r="F867" s="151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 spans="1:26" ht="19.5" customHeight="1" x14ac:dyDescent="0.25">
      <c r="A868" s="150"/>
      <c r="B868" s="150"/>
      <c r="C868" s="150"/>
      <c r="D868" s="151"/>
      <c r="E868" s="151"/>
      <c r="F868" s="151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 spans="1:26" ht="19.5" customHeight="1" x14ac:dyDescent="0.25">
      <c r="A869" s="150"/>
      <c r="B869" s="150"/>
      <c r="C869" s="150"/>
      <c r="D869" s="151"/>
      <c r="E869" s="151"/>
      <c r="F869" s="151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 spans="1:26" ht="19.5" customHeight="1" x14ac:dyDescent="0.25">
      <c r="A870" s="150"/>
      <c r="B870" s="150"/>
      <c r="C870" s="150"/>
      <c r="D870" s="151"/>
      <c r="E870" s="151"/>
      <c r="F870" s="151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 spans="1:26" ht="19.5" customHeight="1" x14ac:dyDescent="0.25">
      <c r="A871" s="150"/>
      <c r="B871" s="150"/>
      <c r="C871" s="150"/>
      <c r="D871" s="151"/>
      <c r="E871" s="151"/>
      <c r="F871" s="151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 spans="1:26" ht="19.5" customHeight="1" x14ac:dyDescent="0.25">
      <c r="A872" s="150"/>
      <c r="B872" s="150"/>
      <c r="C872" s="150"/>
      <c r="D872" s="151"/>
      <c r="E872" s="151"/>
      <c r="F872" s="151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 spans="1:26" ht="19.5" customHeight="1" x14ac:dyDescent="0.25">
      <c r="A873" s="150"/>
      <c r="B873" s="150"/>
      <c r="C873" s="150"/>
      <c r="D873" s="151"/>
      <c r="E873" s="151"/>
      <c r="F873" s="151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 spans="1:26" ht="19.5" customHeight="1" x14ac:dyDescent="0.25">
      <c r="A874" s="150"/>
      <c r="B874" s="150"/>
      <c r="C874" s="150"/>
      <c r="D874" s="151"/>
      <c r="E874" s="151"/>
      <c r="F874" s="151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 spans="1:26" ht="19.5" customHeight="1" x14ac:dyDescent="0.25">
      <c r="A875" s="150"/>
      <c r="B875" s="150"/>
      <c r="C875" s="150"/>
      <c r="D875" s="151"/>
      <c r="E875" s="151"/>
      <c r="F875" s="151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 spans="1:26" ht="19.5" customHeight="1" x14ac:dyDescent="0.25">
      <c r="A876" s="150"/>
      <c r="B876" s="150"/>
      <c r="C876" s="150"/>
      <c r="D876" s="151"/>
      <c r="E876" s="151"/>
      <c r="F876" s="151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 spans="1:26" ht="19.5" customHeight="1" x14ac:dyDescent="0.25">
      <c r="A877" s="150"/>
      <c r="B877" s="150"/>
      <c r="C877" s="150"/>
      <c r="D877" s="151"/>
      <c r="E877" s="151"/>
      <c r="F877" s="151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 spans="1:26" ht="19.5" customHeight="1" x14ac:dyDescent="0.25">
      <c r="A878" s="150"/>
      <c r="B878" s="150"/>
      <c r="C878" s="150"/>
      <c r="D878" s="151"/>
      <c r="E878" s="151"/>
      <c r="F878" s="151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 spans="1:26" ht="19.5" customHeight="1" x14ac:dyDescent="0.25">
      <c r="A879" s="150"/>
      <c r="B879" s="150"/>
      <c r="C879" s="150"/>
      <c r="D879" s="151"/>
      <c r="E879" s="151"/>
      <c r="F879" s="151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 spans="1:26" ht="19.5" customHeight="1" x14ac:dyDescent="0.25">
      <c r="A880" s="150"/>
      <c r="B880" s="150"/>
      <c r="C880" s="150"/>
      <c r="D880" s="151"/>
      <c r="E880" s="151"/>
      <c r="F880" s="151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 spans="1:26" ht="19.5" customHeight="1" x14ac:dyDescent="0.25">
      <c r="A881" s="150"/>
      <c r="B881" s="150"/>
      <c r="C881" s="150"/>
      <c r="D881" s="151"/>
      <c r="E881" s="151"/>
      <c r="F881" s="151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 spans="1:26" ht="19.5" customHeight="1" x14ac:dyDescent="0.25">
      <c r="A882" s="150"/>
      <c r="B882" s="150"/>
      <c r="C882" s="150"/>
      <c r="D882" s="151"/>
      <c r="E882" s="151"/>
      <c r="F882" s="151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 spans="1:26" ht="19.5" customHeight="1" x14ac:dyDescent="0.25">
      <c r="A883" s="150"/>
      <c r="B883" s="150"/>
      <c r="C883" s="150"/>
      <c r="D883" s="151"/>
      <c r="E883" s="151"/>
      <c r="F883" s="151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 spans="1:26" ht="19.5" customHeight="1" x14ac:dyDescent="0.25">
      <c r="A884" s="150"/>
      <c r="B884" s="150"/>
      <c r="C884" s="150"/>
      <c r="D884" s="151"/>
      <c r="E884" s="151"/>
      <c r="F884" s="151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 spans="1:26" ht="19.5" customHeight="1" x14ac:dyDescent="0.25">
      <c r="A885" s="150"/>
      <c r="B885" s="150"/>
      <c r="C885" s="150"/>
      <c r="D885" s="151"/>
      <c r="E885" s="151"/>
      <c r="F885" s="151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 spans="1:26" ht="19.5" customHeight="1" x14ac:dyDescent="0.25">
      <c r="A886" s="150"/>
      <c r="B886" s="150"/>
      <c r="C886" s="150"/>
      <c r="D886" s="151"/>
      <c r="E886" s="151"/>
      <c r="F886" s="151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 spans="1:26" ht="19.5" customHeight="1" x14ac:dyDescent="0.25">
      <c r="A887" s="150"/>
      <c r="B887" s="150"/>
      <c r="C887" s="150"/>
      <c r="D887" s="151"/>
      <c r="E887" s="151"/>
      <c r="F887" s="151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 spans="1:26" ht="19.5" customHeight="1" x14ac:dyDescent="0.25">
      <c r="A888" s="150"/>
      <c r="B888" s="150"/>
      <c r="C888" s="150"/>
      <c r="D888" s="151"/>
      <c r="E888" s="151"/>
      <c r="F888" s="151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 spans="1:26" ht="19.5" customHeight="1" x14ac:dyDescent="0.25">
      <c r="A889" s="150"/>
      <c r="B889" s="150"/>
      <c r="C889" s="150"/>
      <c r="D889" s="151"/>
      <c r="E889" s="151"/>
      <c r="F889" s="151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 spans="1:26" ht="19.5" customHeight="1" x14ac:dyDescent="0.25">
      <c r="A890" s="150"/>
      <c r="B890" s="150"/>
      <c r="C890" s="150"/>
      <c r="D890" s="151"/>
      <c r="E890" s="151"/>
      <c r="F890" s="151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 spans="1:26" ht="19.5" customHeight="1" x14ac:dyDescent="0.25">
      <c r="A891" s="150"/>
      <c r="B891" s="150"/>
      <c r="C891" s="150"/>
      <c r="D891" s="151"/>
      <c r="E891" s="151"/>
      <c r="F891" s="151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 spans="1:26" ht="19.5" customHeight="1" x14ac:dyDescent="0.25">
      <c r="A892" s="150"/>
      <c r="B892" s="150"/>
      <c r="C892" s="150"/>
      <c r="D892" s="151"/>
      <c r="E892" s="151"/>
      <c r="F892" s="151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 spans="1:26" ht="19.5" customHeight="1" x14ac:dyDescent="0.25">
      <c r="A893" s="150"/>
      <c r="B893" s="150"/>
      <c r="C893" s="150"/>
      <c r="D893" s="151"/>
      <c r="E893" s="151"/>
      <c r="F893" s="151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 spans="1:26" ht="19.5" customHeight="1" x14ac:dyDescent="0.25">
      <c r="A894" s="150"/>
      <c r="B894" s="150"/>
      <c r="C894" s="150"/>
      <c r="D894" s="151"/>
      <c r="E894" s="151"/>
      <c r="F894" s="151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 spans="1:26" ht="19.5" customHeight="1" x14ac:dyDescent="0.25">
      <c r="A895" s="150"/>
      <c r="B895" s="150"/>
      <c r="C895" s="150"/>
      <c r="D895" s="151"/>
      <c r="E895" s="151"/>
      <c r="F895" s="151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 spans="1:26" ht="19.5" customHeight="1" x14ac:dyDescent="0.25">
      <c r="A896" s="150"/>
      <c r="B896" s="150"/>
      <c r="C896" s="150"/>
      <c r="D896" s="151"/>
      <c r="E896" s="151"/>
      <c r="F896" s="151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 spans="1:26" ht="19.5" customHeight="1" x14ac:dyDescent="0.25">
      <c r="A897" s="150"/>
      <c r="B897" s="150"/>
      <c r="C897" s="150"/>
      <c r="D897" s="151"/>
      <c r="E897" s="151"/>
      <c r="F897" s="151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 spans="1:26" ht="19.5" customHeight="1" x14ac:dyDescent="0.25">
      <c r="A898" s="150"/>
      <c r="B898" s="150"/>
      <c r="C898" s="150"/>
      <c r="D898" s="151"/>
      <c r="E898" s="151"/>
      <c r="F898" s="151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 spans="1:26" ht="19.5" customHeight="1" x14ac:dyDescent="0.25">
      <c r="A899" s="150"/>
      <c r="B899" s="150"/>
      <c r="C899" s="150"/>
      <c r="D899" s="151"/>
      <c r="E899" s="151"/>
      <c r="F899" s="151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 spans="1:26" ht="19.5" customHeight="1" x14ac:dyDescent="0.25">
      <c r="A900" s="150"/>
      <c r="B900" s="150"/>
      <c r="C900" s="150"/>
      <c r="D900" s="151"/>
      <c r="E900" s="151"/>
      <c r="F900" s="151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 spans="1:26" ht="19.5" customHeight="1" x14ac:dyDescent="0.25">
      <c r="A901" s="150"/>
      <c r="B901" s="150"/>
      <c r="C901" s="150"/>
      <c r="D901" s="151"/>
      <c r="E901" s="151"/>
      <c r="F901" s="151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 spans="1:26" ht="19.5" customHeight="1" x14ac:dyDescent="0.25">
      <c r="A902" s="150"/>
      <c r="B902" s="150"/>
      <c r="C902" s="150"/>
      <c r="D902" s="151"/>
      <c r="E902" s="151"/>
      <c r="F902" s="151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 spans="1:26" ht="19.5" customHeight="1" x14ac:dyDescent="0.25">
      <c r="A903" s="150"/>
      <c r="B903" s="150"/>
      <c r="C903" s="150"/>
      <c r="D903" s="151"/>
      <c r="E903" s="151"/>
      <c r="F903" s="151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 spans="1:26" ht="19.5" customHeight="1" x14ac:dyDescent="0.25">
      <c r="A904" s="150"/>
      <c r="B904" s="150"/>
      <c r="C904" s="150"/>
      <c r="D904" s="151"/>
      <c r="E904" s="151"/>
      <c r="F904" s="151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 spans="1:26" ht="19.5" customHeight="1" x14ac:dyDescent="0.25">
      <c r="A905" s="150"/>
      <c r="B905" s="150"/>
      <c r="C905" s="150"/>
      <c r="D905" s="151"/>
      <c r="E905" s="151"/>
      <c r="F905" s="151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 spans="1:26" ht="19.5" customHeight="1" x14ac:dyDescent="0.25">
      <c r="A906" s="150"/>
      <c r="B906" s="150"/>
      <c r="C906" s="150"/>
      <c r="D906" s="151"/>
      <c r="E906" s="151"/>
      <c r="F906" s="151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 spans="1:26" ht="19.5" customHeight="1" x14ac:dyDescent="0.25">
      <c r="A907" s="150"/>
      <c r="B907" s="150"/>
      <c r="C907" s="150"/>
      <c r="D907" s="151"/>
      <c r="E907" s="151"/>
      <c r="F907" s="151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 spans="1:26" ht="19.5" customHeight="1" x14ac:dyDescent="0.25">
      <c r="A908" s="150"/>
      <c r="B908" s="150"/>
      <c r="C908" s="150"/>
      <c r="D908" s="151"/>
      <c r="E908" s="151"/>
      <c r="F908" s="151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 spans="1:26" ht="19.5" customHeight="1" x14ac:dyDescent="0.25">
      <c r="A909" s="150"/>
      <c r="B909" s="150"/>
      <c r="C909" s="150"/>
      <c r="D909" s="151"/>
      <c r="E909" s="151"/>
      <c r="F909" s="151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 spans="1:26" ht="19.5" customHeight="1" x14ac:dyDescent="0.25">
      <c r="A910" s="150"/>
      <c r="B910" s="150"/>
      <c r="C910" s="150"/>
      <c r="D910" s="151"/>
      <c r="E910" s="151"/>
      <c r="F910" s="151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 spans="1:26" ht="19.5" customHeight="1" x14ac:dyDescent="0.25">
      <c r="A911" s="150"/>
      <c r="B911" s="150"/>
      <c r="C911" s="150"/>
      <c r="D911" s="151"/>
      <c r="E911" s="151"/>
      <c r="F911" s="151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 spans="1:26" ht="19.5" customHeight="1" x14ac:dyDescent="0.25">
      <c r="A912" s="150"/>
      <c r="B912" s="150"/>
      <c r="C912" s="150"/>
      <c r="D912" s="151"/>
      <c r="E912" s="151"/>
      <c r="F912" s="151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 spans="1:26" ht="19.5" customHeight="1" x14ac:dyDescent="0.25">
      <c r="A913" s="150"/>
      <c r="B913" s="150"/>
      <c r="C913" s="150"/>
      <c r="D913" s="151"/>
      <c r="E913" s="151"/>
      <c r="F913" s="151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 spans="1:26" ht="19.5" customHeight="1" x14ac:dyDescent="0.25">
      <c r="A914" s="150"/>
      <c r="B914" s="150"/>
      <c r="C914" s="150"/>
      <c r="D914" s="151"/>
      <c r="E914" s="151"/>
      <c r="F914" s="151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 spans="1:26" ht="19.5" customHeight="1" x14ac:dyDescent="0.25">
      <c r="A915" s="150"/>
      <c r="B915" s="150"/>
      <c r="C915" s="150"/>
      <c r="D915" s="151"/>
      <c r="E915" s="151"/>
      <c r="F915" s="151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 spans="1:26" ht="19.5" customHeight="1" x14ac:dyDescent="0.25">
      <c r="A916" s="150"/>
      <c r="B916" s="150"/>
      <c r="C916" s="150"/>
      <c r="D916" s="151"/>
      <c r="E916" s="151"/>
      <c r="F916" s="151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 spans="1:26" ht="19.5" customHeight="1" x14ac:dyDescent="0.25">
      <c r="A917" s="150"/>
      <c r="B917" s="150"/>
      <c r="C917" s="150"/>
      <c r="D917" s="151"/>
      <c r="E917" s="151"/>
      <c r="F917" s="151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 spans="1:26" ht="19.5" customHeight="1" x14ac:dyDescent="0.25">
      <c r="A918" s="150"/>
      <c r="B918" s="150"/>
      <c r="C918" s="150"/>
      <c r="D918" s="151"/>
      <c r="E918" s="151"/>
      <c r="F918" s="151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 spans="1:26" ht="19.5" customHeight="1" x14ac:dyDescent="0.25">
      <c r="A919" s="150"/>
      <c r="B919" s="150"/>
      <c r="C919" s="150"/>
      <c r="D919" s="151"/>
      <c r="E919" s="151"/>
      <c r="F919" s="151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 spans="1:26" ht="19.5" customHeight="1" x14ac:dyDescent="0.25">
      <c r="A920" s="150"/>
      <c r="B920" s="150"/>
      <c r="C920" s="150"/>
      <c r="D920" s="151"/>
      <c r="E920" s="151"/>
      <c r="F920" s="151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 spans="1:26" ht="19.5" customHeight="1" x14ac:dyDescent="0.25">
      <c r="A921" s="150"/>
      <c r="B921" s="150"/>
      <c r="C921" s="150"/>
      <c r="D921" s="151"/>
      <c r="E921" s="151"/>
      <c r="F921" s="151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 spans="1:26" ht="19.5" customHeight="1" x14ac:dyDescent="0.25">
      <c r="A922" s="150"/>
      <c r="B922" s="150"/>
      <c r="C922" s="150"/>
      <c r="D922" s="151"/>
      <c r="E922" s="151"/>
      <c r="F922" s="151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 spans="1:26" ht="19.5" customHeight="1" x14ac:dyDescent="0.25">
      <c r="A923" s="150"/>
      <c r="B923" s="150"/>
      <c r="C923" s="150"/>
      <c r="D923" s="151"/>
      <c r="E923" s="151"/>
      <c r="F923" s="151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 spans="1:26" ht="19.5" customHeight="1" x14ac:dyDescent="0.25">
      <c r="A924" s="150"/>
      <c r="B924" s="150"/>
      <c r="C924" s="150"/>
      <c r="D924" s="151"/>
      <c r="E924" s="151"/>
      <c r="F924" s="151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 spans="1:26" ht="19.5" customHeight="1" x14ac:dyDescent="0.25">
      <c r="A925" s="150"/>
      <c r="B925" s="150"/>
      <c r="C925" s="150"/>
      <c r="D925" s="151"/>
      <c r="E925" s="151"/>
      <c r="F925" s="151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 spans="1:26" ht="19.5" customHeight="1" x14ac:dyDescent="0.25">
      <c r="A926" s="150"/>
      <c r="B926" s="150"/>
      <c r="C926" s="150"/>
      <c r="D926" s="151"/>
      <c r="E926" s="151"/>
      <c r="F926" s="151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 spans="1:26" ht="19.5" customHeight="1" x14ac:dyDescent="0.25">
      <c r="A927" s="150"/>
      <c r="B927" s="150"/>
      <c r="C927" s="150"/>
      <c r="D927" s="151"/>
      <c r="E927" s="151"/>
      <c r="F927" s="151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 spans="1:26" ht="19.5" customHeight="1" x14ac:dyDescent="0.25">
      <c r="A928" s="150"/>
      <c r="B928" s="150"/>
      <c r="C928" s="150"/>
      <c r="D928" s="151"/>
      <c r="E928" s="151"/>
      <c r="F928" s="151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 spans="1:26" ht="19.5" customHeight="1" x14ac:dyDescent="0.25">
      <c r="A929" s="150"/>
      <c r="B929" s="150"/>
      <c r="C929" s="150"/>
      <c r="D929" s="151"/>
      <c r="E929" s="151"/>
      <c r="F929" s="151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 spans="1:26" ht="19.5" customHeight="1" x14ac:dyDescent="0.25">
      <c r="A930" s="150"/>
      <c r="B930" s="150"/>
      <c r="C930" s="150"/>
      <c r="D930" s="151"/>
      <c r="E930" s="151"/>
      <c r="F930" s="151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 spans="1:26" ht="19.5" customHeight="1" x14ac:dyDescent="0.25">
      <c r="A931" s="150"/>
      <c r="B931" s="150"/>
      <c r="C931" s="150"/>
      <c r="D931" s="151"/>
      <c r="E931" s="151"/>
      <c r="F931" s="151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 spans="1:26" ht="19.5" customHeight="1" x14ac:dyDescent="0.25">
      <c r="A932" s="150"/>
      <c r="B932" s="150"/>
      <c r="C932" s="150"/>
      <c r="D932" s="151"/>
      <c r="E932" s="151"/>
      <c r="F932" s="151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 spans="1:26" ht="19.5" customHeight="1" x14ac:dyDescent="0.25">
      <c r="A933" s="150"/>
      <c r="B933" s="150"/>
      <c r="C933" s="150"/>
      <c r="D933" s="151"/>
      <c r="E933" s="151"/>
      <c r="F933" s="151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 spans="1:26" ht="19.5" customHeight="1" x14ac:dyDescent="0.25">
      <c r="A934" s="150"/>
      <c r="B934" s="150"/>
      <c r="C934" s="150"/>
      <c r="D934" s="151"/>
      <c r="E934" s="151"/>
      <c r="F934" s="151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 spans="1:26" ht="19.5" customHeight="1" x14ac:dyDescent="0.25">
      <c r="A935" s="150"/>
      <c r="B935" s="150"/>
      <c r="C935" s="150"/>
      <c r="D935" s="151"/>
      <c r="E935" s="151"/>
      <c r="F935" s="151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 spans="1:26" ht="19.5" customHeight="1" x14ac:dyDescent="0.25">
      <c r="A936" s="150"/>
      <c r="B936" s="150"/>
      <c r="C936" s="150"/>
      <c r="D936" s="151"/>
      <c r="E936" s="151"/>
      <c r="F936" s="151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 spans="1:26" ht="19.5" customHeight="1" x14ac:dyDescent="0.25">
      <c r="A937" s="150"/>
      <c r="B937" s="150"/>
      <c r="C937" s="150"/>
      <c r="D937" s="151"/>
      <c r="E937" s="151"/>
      <c r="F937" s="151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 spans="1:26" ht="19.5" customHeight="1" x14ac:dyDescent="0.25">
      <c r="A938" s="150"/>
      <c r="B938" s="150"/>
      <c r="C938" s="150"/>
      <c r="D938" s="151"/>
      <c r="E938" s="151"/>
      <c r="F938" s="151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 spans="1:26" ht="19.5" customHeight="1" x14ac:dyDescent="0.25">
      <c r="A939" s="150"/>
      <c r="B939" s="150"/>
      <c r="C939" s="150"/>
      <c r="D939" s="151"/>
      <c r="E939" s="151"/>
      <c r="F939" s="151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 spans="1:26" ht="19.5" customHeight="1" x14ac:dyDescent="0.25">
      <c r="A940" s="150"/>
      <c r="B940" s="150"/>
      <c r="C940" s="150"/>
      <c r="D940" s="151"/>
      <c r="E940" s="151"/>
      <c r="F940" s="151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 spans="1:26" ht="19.5" customHeight="1" x14ac:dyDescent="0.25">
      <c r="A941" s="150"/>
      <c r="B941" s="150"/>
      <c r="C941" s="150"/>
      <c r="D941" s="151"/>
      <c r="E941" s="151"/>
      <c r="F941" s="151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 spans="1:26" ht="19.5" customHeight="1" x14ac:dyDescent="0.25">
      <c r="A942" s="150"/>
      <c r="B942" s="150"/>
      <c r="C942" s="150"/>
      <c r="D942" s="151"/>
      <c r="E942" s="151"/>
      <c r="F942" s="151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 spans="1:26" ht="19.5" customHeight="1" x14ac:dyDescent="0.25">
      <c r="A943" s="150"/>
      <c r="B943" s="150"/>
      <c r="C943" s="150"/>
      <c r="D943" s="151"/>
      <c r="E943" s="151"/>
      <c r="F943" s="151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 spans="1:26" ht="19.5" customHeight="1" x14ac:dyDescent="0.25">
      <c r="A944" s="150"/>
      <c r="B944" s="150"/>
      <c r="C944" s="150"/>
      <c r="D944" s="151"/>
      <c r="E944" s="151"/>
      <c r="F944" s="151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 spans="1:26" ht="19.5" customHeight="1" x14ac:dyDescent="0.25">
      <c r="A945" s="150"/>
      <c r="B945" s="150"/>
      <c r="C945" s="150"/>
      <c r="D945" s="151"/>
      <c r="E945" s="151"/>
      <c r="F945" s="151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 spans="1:26" ht="19.5" customHeight="1" x14ac:dyDescent="0.25">
      <c r="A946" s="150"/>
      <c r="B946" s="150"/>
      <c r="C946" s="150"/>
      <c r="D946" s="151"/>
      <c r="E946" s="151"/>
      <c r="F946" s="151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 spans="1:26" ht="19.5" customHeight="1" x14ac:dyDescent="0.25">
      <c r="A947" s="150"/>
      <c r="B947" s="150"/>
      <c r="C947" s="150"/>
      <c r="D947" s="151"/>
      <c r="E947" s="151"/>
      <c r="F947" s="151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 spans="1:26" ht="19.5" customHeight="1" x14ac:dyDescent="0.25">
      <c r="A948" s="150"/>
      <c r="B948" s="150"/>
      <c r="C948" s="150"/>
      <c r="D948" s="151"/>
      <c r="E948" s="151"/>
      <c r="F948" s="151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 spans="1:26" ht="19.5" customHeight="1" x14ac:dyDescent="0.25">
      <c r="A949" s="150"/>
      <c r="B949" s="150"/>
      <c r="C949" s="150"/>
      <c r="D949" s="151"/>
      <c r="E949" s="151"/>
      <c r="F949" s="151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 spans="1:26" ht="19.5" customHeight="1" x14ac:dyDescent="0.25">
      <c r="A950" s="150"/>
      <c r="B950" s="150"/>
      <c r="C950" s="150"/>
      <c r="D950" s="151"/>
      <c r="E950" s="151"/>
      <c r="F950" s="151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 spans="1:26" ht="19.5" customHeight="1" x14ac:dyDescent="0.25">
      <c r="A951" s="150"/>
      <c r="B951" s="150"/>
      <c r="C951" s="150"/>
      <c r="D951" s="151"/>
      <c r="E951" s="151"/>
      <c r="F951" s="151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 spans="1:26" ht="19.5" customHeight="1" x14ac:dyDescent="0.25">
      <c r="A952" s="150"/>
      <c r="B952" s="150"/>
      <c r="C952" s="150"/>
      <c r="D952" s="151"/>
      <c r="E952" s="151"/>
      <c r="F952" s="151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 spans="1:26" ht="19.5" customHeight="1" x14ac:dyDescent="0.25">
      <c r="A953" s="150"/>
      <c r="B953" s="150"/>
      <c r="C953" s="150"/>
      <c r="D953" s="151"/>
      <c r="E953" s="151"/>
      <c r="F953" s="151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 spans="1:26" ht="19.5" customHeight="1" x14ac:dyDescent="0.25">
      <c r="A954" s="150"/>
      <c r="B954" s="150"/>
      <c r="C954" s="150"/>
      <c r="D954" s="151"/>
      <c r="E954" s="151"/>
      <c r="F954" s="151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 spans="1:26" ht="19.5" customHeight="1" x14ac:dyDescent="0.25">
      <c r="A955" s="150"/>
      <c r="B955" s="150"/>
      <c r="C955" s="150"/>
      <c r="D955" s="151"/>
      <c r="E955" s="151"/>
      <c r="F955" s="151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 spans="1:26" ht="19.5" customHeight="1" x14ac:dyDescent="0.25">
      <c r="A956" s="150"/>
      <c r="B956" s="150"/>
      <c r="C956" s="150"/>
      <c r="D956" s="151"/>
      <c r="E956" s="151"/>
      <c r="F956" s="151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 spans="1:26" ht="19.5" customHeight="1" x14ac:dyDescent="0.25">
      <c r="A957" s="150"/>
      <c r="B957" s="150"/>
      <c r="C957" s="150"/>
      <c r="D957" s="151"/>
      <c r="E957" s="151"/>
      <c r="F957" s="151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 spans="1:26" ht="19.5" customHeight="1" x14ac:dyDescent="0.25">
      <c r="A958" s="150"/>
      <c r="B958" s="150"/>
      <c r="C958" s="150"/>
      <c r="D958" s="151"/>
      <c r="E958" s="151"/>
      <c r="F958" s="151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 spans="1:26" ht="19.5" customHeight="1" x14ac:dyDescent="0.25">
      <c r="A959" s="150"/>
      <c r="B959" s="150"/>
      <c r="C959" s="150"/>
      <c r="D959" s="151"/>
      <c r="E959" s="151"/>
      <c r="F959" s="151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 spans="1:26" ht="19.5" customHeight="1" x14ac:dyDescent="0.25">
      <c r="A960" s="150"/>
      <c r="B960" s="150"/>
      <c r="C960" s="150"/>
      <c r="D960" s="151"/>
      <c r="E960" s="151"/>
      <c r="F960" s="151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 spans="1:26" ht="19.5" customHeight="1" x14ac:dyDescent="0.25">
      <c r="A961" s="150"/>
      <c r="B961" s="150"/>
      <c r="C961" s="150"/>
      <c r="D961" s="151"/>
      <c r="E961" s="151"/>
      <c r="F961" s="151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 spans="1:26" ht="19.5" customHeight="1" x14ac:dyDescent="0.25">
      <c r="A962" s="150"/>
      <c r="B962" s="150"/>
      <c r="C962" s="150"/>
      <c r="D962" s="151"/>
      <c r="E962" s="151"/>
      <c r="F962" s="151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 spans="1:26" ht="19.5" customHeight="1" x14ac:dyDescent="0.25">
      <c r="A963" s="150"/>
      <c r="B963" s="150"/>
      <c r="C963" s="150"/>
      <c r="D963" s="151"/>
      <c r="E963" s="151"/>
      <c r="F963" s="151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 spans="1:26" ht="19.5" customHeight="1" x14ac:dyDescent="0.25">
      <c r="A964" s="150"/>
      <c r="B964" s="150"/>
      <c r="C964" s="150"/>
      <c r="D964" s="151"/>
      <c r="E964" s="151"/>
      <c r="F964" s="151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 spans="1:26" ht="19.5" customHeight="1" x14ac:dyDescent="0.25">
      <c r="A965" s="150"/>
      <c r="B965" s="150"/>
      <c r="C965" s="150"/>
      <c r="D965" s="151"/>
      <c r="E965" s="151"/>
      <c r="F965" s="151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 spans="1:26" ht="19.5" customHeight="1" x14ac:dyDescent="0.25">
      <c r="A966" s="150"/>
      <c r="B966" s="150"/>
      <c r="C966" s="150"/>
      <c r="D966" s="151"/>
      <c r="E966" s="151"/>
      <c r="F966" s="151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 spans="1:26" ht="19.5" customHeight="1" x14ac:dyDescent="0.25">
      <c r="A967" s="150"/>
      <c r="B967" s="150"/>
      <c r="C967" s="150"/>
      <c r="D967" s="151"/>
      <c r="E967" s="151"/>
      <c r="F967" s="151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 spans="1:26" ht="19.5" customHeight="1" x14ac:dyDescent="0.25">
      <c r="A968" s="150"/>
      <c r="B968" s="150"/>
      <c r="C968" s="150"/>
      <c r="D968" s="151"/>
      <c r="E968" s="151"/>
      <c r="F968" s="151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 spans="1:26" ht="19.5" customHeight="1" x14ac:dyDescent="0.25">
      <c r="A969" s="150"/>
      <c r="B969" s="150"/>
      <c r="C969" s="150"/>
      <c r="D969" s="151"/>
      <c r="E969" s="151"/>
      <c r="F969" s="151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 spans="1:26" ht="19.5" customHeight="1" x14ac:dyDescent="0.25">
      <c r="A970" s="150"/>
      <c r="B970" s="150"/>
      <c r="C970" s="150"/>
      <c r="D970" s="151"/>
      <c r="E970" s="151"/>
      <c r="F970" s="151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 spans="1:26" ht="19.5" customHeight="1" x14ac:dyDescent="0.25">
      <c r="A971" s="150"/>
      <c r="B971" s="150"/>
      <c r="C971" s="150"/>
      <c r="D971" s="151"/>
      <c r="E971" s="151"/>
      <c r="F971" s="151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 spans="1:26" ht="19.5" customHeight="1" x14ac:dyDescent="0.25">
      <c r="A972" s="150"/>
      <c r="B972" s="150"/>
      <c r="C972" s="150"/>
      <c r="D972" s="151"/>
      <c r="E972" s="151"/>
      <c r="F972" s="151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 spans="1:26" ht="19.5" customHeight="1" x14ac:dyDescent="0.25">
      <c r="A973" s="150"/>
      <c r="B973" s="150"/>
      <c r="C973" s="150"/>
      <c r="D973" s="151"/>
      <c r="E973" s="151"/>
      <c r="F973" s="151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 spans="1:26" ht="19.5" customHeight="1" x14ac:dyDescent="0.25">
      <c r="A974" s="150"/>
      <c r="B974" s="150"/>
      <c r="C974" s="150"/>
      <c r="D974" s="151"/>
      <c r="E974" s="151"/>
      <c r="F974" s="151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 spans="1:26" ht="19.5" customHeight="1" x14ac:dyDescent="0.25">
      <c r="A975" s="150"/>
      <c r="B975" s="150"/>
      <c r="C975" s="150"/>
      <c r="D975" s="151"/>
      <c r="E975" s="151"/>
      <c r="F975" s="151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 spans="1:26" ht="19.5" customHeight="1" x14ac:dyDescent="0.25">
      <c r="A976" s="150"/>
      <c r="B976" s="150"/>
      <c r="C976" s="150"/>
      <c r="D976" s="151"/>
      <c r="E976" s="151"/>
      <c r="F976" s="151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 spans="1:26" ht="19.5" customHeight="1" x14ac:dyDescent="0.25">
      <c r="A977" s="150"/>
      <c r="B977" s="150"/>
      <c r="C977" s="150"/>
      <c r="D977" s="151"/>
      <c r="E977" s="151"/>
      <c r="F977" s="151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 spans="1:26" ht="19.5" customHeight="1" x14ac:dyDescent="0.25">
      <c r="A978" s="150"/>
      <c r="B978" s="150"/>
      <c r="C978" s="150"/>
      <c r="D978" s="151"/>
      <c r="E978" s="151"/>
      <c r="F978" s="151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 spans="1:26" ht="19.5" customHeight="1" x14ac:dyDescent="0.25">
      <c r="A979" s="150"/>
      <c r="B979" s="150"/>
      <c r="C979" s="150"/>
      <c r="D979" s="151"/>
      <c r="E979" s="151"/>
      <c r="F979" s="151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 spans="1:26" ht="19.5" customHeight="1" x14ac:dyDescent="0.25">
      <c r="A980" s="150"/>
      <c r="B980" s="150"/>
      <c r="C980" s="150"/>
      <c r="D980" s="151"/>
      <c r="E980" s="151"/>
      <c r="F980" s="151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 spans="1:26" ht="19.5" customHeight="1" x14ac:dyDescent="0.25">
      <c r="A981" s="150"/>
      <c r="B981" s="150"/>
      <c r="C981" s="150"/>
      <c r="D981" s="151"/>
      <c r="E981" s="151"/>
      <c r="F981" s="151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 spans="1:26" ht="19.5" customHeight="1" x14ac:dyDescent="0.25">
      <c r="A982" s="150"/>
      <c r="B982" s="150"/>
      <c r="C982" s="150"/>
      <c r="D982" s="151"/>
      <c r="E982" s="151"/>
      <c r="F982" s="151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 spans="1:26" ht="19.5" customHeight="1" x14ac:dyDescent="0.25">
      <c r="A983" s="150"/>
      <c r="B983" s="150"/>
      <c r="C983" s="150"/>
      <c r="D983" s="151"/>
      <c r="E983" s="151"/>
      <c r="F983" s="151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 spans="1:26" ht="19.5" customHeight="1" x14ac:dyDescent="0.25">
      <c r="A984" s="150"/>
      <c r="B984" s="150"/>
      <c r="C984" s="150"/>
      <c r="D984" s="151"/>
      <c r="E984" s="151"/>
      <c r="F984" s="151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 spans="1:26" ht="19.5" customHeight="1" x14ac:dyDescent="0.25">
      <c r="A985" s="150"/>
      <c r="B985" s="150"/>
      <c r="C985" s="150"/>
      <c r="D985" s="151"/>
      <c r="E985" s="151"/>
      <c r="F985" s="151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 spans="1:26" ht="19.5" customHeight="1" x14ac:dyDescent="0.25">
      <c r="A986" s="150"/>
      <c r="B986" s="150"/>
      <c r="C986" s="150"/>
      <c r="D986" s="151"/>
      <c r="E986" s="151"/>
      <c r="F986" s="151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 spans="1:26" ht="19.5" customHeight="1" x14ac:dyDescent="0.25">
      <c r="A987" s="150"/>
      <c r="B987" s="150"/>
      <c r="C987" s="150"/>
      <c r="D987" s="151"/>
      <c r="E987" s="151"/>
      <c r="F987" s="151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 spans="1:26" ht="19.5" customHeight="1" x14ac:dyDescent="0.25">
      <c r="A988" s="150"/>
      <c r="B988" s="150"/>
      <c r="C988" s="150"/>
      <c r="D988" s="151"/>
      <c r="E988" s="151"/>
      <c r="F988" s="151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 spans="1:26" ht="19.5" customHeight="1" x14ac:dyDescent="0.25">
      <c r="A989" s="150"/>
      <c r="B989" s="150"/>
      <c r="C989" s="150"/>
      <c r="D989" s="151"/>
      <c r="E989" s="151"/>
      <c r="F989" s="151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  <row r="990" spans="1:26" ht="19.5" customHeight="1" x14ac:dyDescent="0.25">
      <c r="A990" s="150"/>
      <c r="B990" s="150"/>
      <c r="C990" s="150"/>
      <c r="D990" s="151"/>
      <c r="E990" s="151"/>
      <c r="F990" s="151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</row>
  </sheetData>
  <mergeCells count="7">
    <mergeCell ref="A66:E66"/>
    <mergeCell ref="A1:F2"/>
    <mergeCell ref="B3:F3"/>
    <mergeCell ref="B4:F4"/>
    <mergeCell ref="B5:F5"/>
    <mergeCell ref="B6:F6"/>
    <mergeCell ref="A7:F7"/>
  </mergeCells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a. COMPARATIVOS OBRAS</vt:lpstr>
      <vt:lpstr>b. Fundação</vt:lpstr>
      <vt:lpstr>c. Supraestrutura HOTEL</vt:lpstr>
      <vt:lpstr>c. Supraestrutura RESID</vt:lpstr>
      <vt:lpstr>d. Fachada</vt:lpstr>
      <vt:lpstr>e. ESTIMATIVA PRAZO HOTEL</vt:lpstr>
      <vt:lpstr>e. ESTIMATIVA PRAZO RESID</vt:lpstr>
      <vt:lpstr>Planilha3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2025-06-16T19:35:29Z</dcterms:modified>
</cp:coreProperties>
</file>