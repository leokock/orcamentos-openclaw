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errazzo Correa Incorporadora\04. Custo\04.1 Custo - Paramétrico\02 - Diretos\"/>
    </mc:Choice>
  </mc:AlternateContent>
  <xr:revisionPtr revIDLastSave="0" documentId="13_ncr:1_{DD312E37-3235-47A4-82E8-1281B6AE5AE7}" xr6:coauthVersionLast="47" xr6:coauthVersionMax="47" xr10:uidLastSave="{00000000-0000-0000-0000-000000000000}"/>
  <bookViews>
    <workbookView xWindow="2790" yWindow="1680" windowWidth="28065" windowHeight="12195" tabRatio="849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" sheetId="21" r:id="rId4"/>
    <sheet name="CONTENÇÃO" sheetId="68" state="hidden" r:id="rId5"/>
    <sheet name="SUPRAESTRUTURA" sheetId="48" r:id="rId6"/>
    <sheet name="ALVENARIA" sheetId="61" r:id="rId7"/>
    <sheet name="INSTALAÇÕES" sheetId="58" r:id="rId8"/>
    <sheet name="SISTEMAS ESPECIAIS" sheetId="59" r:id="rId9"/>
    <sheet name="IMPERMEABILIZAÇÃO" sheetId="62" r:id="rId10"/>
    <sheet name="PISO E TETO" sheetId="67" r:id="rId11"/>
    <sheet name="Rev. Internos Piso e Parede" sheetId="51" r:id="rId12"/>
    <sheet name="TETO" sheetId="63" r:id="rId13"/>
    <sheet name="Acabamentos de Piso e Parede" sheetId="53" r:id="rId14"/>
    <sheet name="PINTURA INTERNA" sheetId="64" r:id="rId15"/>
    <sheet name="ESQUADRIAS" sheetId="65" r:id="rId16"/>
    <sheet name="COBERTURA" sheetId="66" r:id="rId17"/>
    <sheet name="Rev. Fachada" sheetId="55" r:id="rId18"/>
    <sheet name="COMPLEMENTARES" sheetId="60" r:id="rId19"/>
    <sheet name="Auxiliar" sheetId="36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\0" localSheetId="16">#REF!</definedName>
    <definedName name="\0" localSheetId="18">#REF!</definedName>
    <definedName name="\0" localSheetId="0">#REF!</definedName>
    <definedName name="\0" localSheetId="7">#REF!</definedName>
    <definedName name="\0" localSheetId="1">#REF!</definedName>
    <definedName name="\0" localSheetId="8">#REF!</definedName>
    <definedName name="\0">#REF!</definedName>
    <definedName name="\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0">#REF!</definedName>
    <definedName name="\m">#REF!</definedName>
    <definedName name="\o">#REF!</definedName>
    <definedName name="\p">#REF!</definedName>
    <definedName name="\r">#REF!</definedName>
    <definedName name="\T">#REF!</definedName>
    <definedName name="\xasd" hidden="1">{#N/A,#N/A,FALSE,"Plan1";#N/A,#N/A,FALSE,"Plan2"}</definedName>
    <definedName name="\z">#REF!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>#REF!</definedName>
    <definedName name="______ACR15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>#REF!</definedName>
    <definedName name="_____ACR15">#REF!</definedName>
    <definedName name="_____acr20">#REF!</definedName>
    <definedName name="_____acr5">#REF!</definedName>
    <definedName name="_____ARQ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>#REF!</definedName>
    <definedName name="__htn2">#REF!</definedName>
    <definedName name="__iss2">#REF!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hidden="1">#REF!</definedName>
    <definedName name="_10__123Graph_CCHART_1" hidden="1">#REF!</definedName>
    <definedName name="_11.SERV.TECNIC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 hidden="1">"'54256040-62ff-475a-9348-dbdfce08df30'"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hidden="1">#REF!</definedName>
    <definedName name="_CAB1">#REF!</definedName>
    <definedName name="_CAB2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hidden="1">#REF!</definedName>
    <definedName name="_fill1" hidden="1">#REF!</definedName>
    <definedName name="_FiltrarBancoDados2" hidden="1">#REF!</definedName>
    <definedName name="_xlnm._FilterDatabase" localSheetId="19" hidden="1">Auxiliar!$A$1:$D$68</definedName>
    <definedName name="_xlnm._FilterDatabase" localSheetId="0" hidden="1">DADOS_INICIAIS!#REF!</definedName>
    <definedName name="_xlnm._FilterDatabase" hidden="1">#REF!</definedName>
    <definedName name="_htm2">#REF!</definedName>
    <definedName name="_htn2">#REF!</definedName>
    <definedName name="_IA0542" hidden="1">{#N/A,#N/A,FALSE,"Plan1";#N/A,#N/A,FALSE,"Plan2"}</definedName>
    <definedName name="_iss2">#REF!</definedName>
    <definedName name="_IV65617">#REF!</definedName>
    <definedName name="_IV65999">#REF!</definedName>
    <definedName name="_IV66000">#REF!</definedName>
    <definedName name="_IV67021">#REF!</definedName>
    <definedName name="_IV67022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0</definedName>
    <definedName name="_Parse_Out" hidden="1">#REF!</definedName>
    <definedName name="_PAV01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hidden="1">#REF!</definedName>
    <definedName name="_T">#REF!</definedName>
    <definedName name="_Table1_In1" hidden="1">#REF!</definedName>
    <definedName name="_Table1_Out" hidden="1">#REF!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 hidden="1">#REF!</definedName>
    <definedName name="a\sgt" hidden="1">{#N/A,#N/A,FALSE,"Plan1";#N/A,#N/A,FALSE,"Plan2"}</definedName>
    <definedName name="aa" localSheetId="0">#REF!</definedName>
    <definedName name="aa">#REF!</definedName>
    <definedName name="aaa">#REF!</definedName>
    <definedName name="aaaa" localSheetId="16">'[1]M.O.'!#REF!</definedName>
    <definedName name="aaaa" localSheetId="18">'[1]M.O.'!#REF!</definedName>
    <definedName name="aaaa" localSheetId="0">'[1]M.O.'!#REF!</definedName>
    <definedName name="aaaa" localSheetId="7">'[1]M.O.'!#REF!</definedName>
    <definedName name="aaaa" localSheetId="1">'[1]M.O.'!#REF!</definedName>
    <definedName name="aaaa" localSheetId="8">'[1]M.O.'!#REF!</definedName>
    <definedName name="aaaa">'[1]M.O.'!#REF!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>#REF!</definedName>
    <definedName name="aaacccc" hidden="1">{#N/A,#N/A,FALSE,"Plan1";#N/A,#N/A,FALSE,"Plan2"}</definedName>
    <definedName name="aaas">#REF!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at_ISS">#REF!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bebqt">#REF!</definedName>
    <definedName name="abr17RJ">#REF!</definedName>
    <definedName name="ABRIL">#REF!</definedName>
    <definedName name="ABRIL200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ER">#REF!</definedName>
    <definedName name="ACDIV">#REF!</definedName>
    <definedName name="ACDS" hidden="1">#REF!</definedName>
    <definedName name="ACEQP">#REF!</definedName>
    <definedName name="ACHAFQT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hidden="1">{#N/A,#N/A,FALSE,"Plan1";#N/A,#N/A,FALSE,"Plan2"}</definedName>
    <definedName name="ACOMP">#REF!</definedName>
    <definedName name="ACONT2">#REF!</definedName>
    <definedName name="ACPIPA">#REF!</definedName>
    <definedName name="ACTRANSP">#REF!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hidden="1">{#N/A,#N/A,FALSE,"Plan1";#N/A,#N/A,FALSE,"Plan2"}</definedName>
    <definedName name="adads" hidden="1">{#N/A,#N/A,FALSE,"Plan1";#N/A,#N/A,FALSE,"Plan2"}</definedName>
    <definedName name="adads2" hidden="1">{#N/A,#N/A,FALSE,"Plan1";#N/A,#N/A,FALSE,"Plan2"}</definedName>
    <definedName name="adced" hidden="1">{#N/A,#N/A,FALSE,"Plan1";#N/A,#N/A,FALSE,"Plan2"}</definedName>
    <definedName name="adced2" hidden="1">{#N/A,#N/A,FALSE,"Plan1";#N/A,#N/A,FALSE,"Plan2"}</definedName>
    <definedName name="ader" hidden="1">{#N/A,#N/A,FALSE,"Plan1";#N/A,#N/A,FALSE,"Plan2"}</definedName>
    <definedName name="ader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hidden="1">{#N/A,#N/A,FALSE,"Plan1";#N/A,#N/A,FALSE,"Plan2"}</definedName>
    <definedName name="adf" hidden="1">{#N/A,#N/A,FALSE,"Plan1";#N/A,#N/A,FALSE,"Plan2"}</definedName>
    <definedName name="ADITIVO_BRUTO">#REF!</definedName>
    <definedName name="ADITIVO_LIQUIDO">#REF!</definedName>
    <definedName name="ADM.EXTERNA">#REF!</definedName>
    <definedName name="adsfr" hidden="1">{#N/A,#N/A,FALSE,"Plan1";#N/A,#N/A,FALSE,"Plan2"}</definedName>
    <definedName name="adssrgtg" hidden="1">{#N/A,#N/A,FALSE,"Plan1";#N/A,#N/A,FALSE,"Plan2"}</definedName>
    <definedName name="adtsetrr6t" hidden="1">{#N/A,#N/A,FALSE,"Plan1";#N/A,#N/A,FALSE,"Plan2"}</definedName>
    <definedName name="ADUCQT">#REF!</definedName>
    <definedName name="adwr" hidden="1">{#N/A,#N/A,FALSE,"Plan1";#N/A,#N/A,FALSE,"Plan2"}</definedName>
    <definedName name="aeiresft" hidden="1">{#N/A,#N/A,FALSE,"Plan1";#N/A,#N/A,FALSE,"Plan2"}</definedName>
    <definedName name="aEL3QE" hidden="1">{#N/A,#N/A,FALSE,"Plan1";#N/A,#N/A,FALSE,"Plan2"}</definedName>
    <definedName name="afeasfre" hidden="1">{#N/A,#N/A,FALSE,"Plan1";#N/A,#N/A,FALSE,"Plan2"}</definedName>
    <definedName name="agdsf" hidden="1">#REF!</definedName>
    <definedName name="ago17RJ">#REF!</definedName>
    <definedName name="AGOSTO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ITEM">#REF!</definedName>
    <definedName name="Ajudante_Geral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16">[2]Geral!#REF!</definedName>
    <definedName name="angelo" localSheetId="18">[2]Geral!#REF!</definedName>
    <definedName name="angelo" localSheetId="0">[2]Geral!#REF!</definedName>
    <definedName name="angelo" localSheetId="7">[2]Geral!#REF!</definedName>
    <definedName name="angelo" localSheetId="1">[2]Geral!#REF!</definedName>
    <definedName name="angelo" localSheetId="8">[2]Geral!#REF!</definedName>
    <definedName name="angelo">[2]Geral!#REF!</definedName>
    <definedName name="anscount" hidden="1">1</definedName>
    <definedName name="AQE" hidden="1">{"'장비'!$A$3:$M$12"}</definedName>
    <definedName name="AQTEMP1">#REF!</definedName>
    <definedName name="AQTEMP2">#REF!</definedName>
    <definedName name="ArComprimido" hidden="1">{"'Estimativa de Lançamento-JAN'!$A$1:$AI$85"}</definedName>
    <definedName name="area">#REF!</definedName>
    <definedName name="área">#REF!</definedName>
    <definedName name="Área_Construída">#REF!</definedName>
    <definedName name="_xlnm.Print_Area" localSheetId="13">'Acabamentos de Piso e Parede'!$A$1:$H$32</definedName>
    <definedName name="_xlnm.Print_Area" localSheetId="6">ALVENARIA!$A$1:$I$16</definedName>
    <definedName name="_xlnm.Print_Area" localSheetId="16">COBERTURA!$A$1:$H$15</definedName>
    <definedName name="_xlnm.Print_Area" localSheetId="18">COMPLEMENTARES!$A$1:$G$16</definedName>
    <definedName name="_xlnm.Print_Area" localSheetId="4">CONTENÇÃO!$A$1:$I$38</definedName>
    <definedName name="_xlnm.Print_Area" localSheetId="2">CONTENÇÕES!$A$1:$I$45</definedName>
    <definedName name="_xlnm.Print_Area" localSheetId="0">DADOS_INICIAIS!$A$1:$G$51</definedName>
    <definedName name="_xlnm.Print_Area" localSheetId="15">ESQUADRIAS!$A$1:$I$24</definedName>
    <definedName name="_xlnm.Print_Area" localSheetId="9">IMPERMEABILIZAÇÃO!$A$1:$I$20</definedName>
    <definedName name="_xlnm.Print_Area" localSheetId="3">INFRAESTRUTURA!$A$1:$I$34</definedName>
    <definedName name="_xlnm.Print_Area" localSheetId="7">INSTALAÇÕES!$A$1:$E$33</definedName>
    <definedName name="_xlnm.Print_Area" localSheetId="1">MOVIMENTAÇÃO_DE_TERRA!$A$1:$G$26</definedName>
    <definedName name="_xlnm.Print_Area" localSheetId="14">'PINTURA INTERNA'!$A$1:$I$18</definedName>
    <definedName name="_xlnm.Print_Area" localSheetId="17">'Rev. Fachada'!$A$1:$H$32</definedName>
    <definedName name="_xlnm.Print_Area" localSheetId="11">'Rev. Internos Piso e Parede'!$A$1:$H$26</definedName>
    <definedName name="_xlnm.Print_Area" localSheetId="8">'SISTEMAS ESPECIAIS'!$A$1:$E$35</definedName>
    <definedName name="_xlnm.Print_Area" localSheetId="5">SUPRAESTRUTURA!$A$1:$I$18</definedName>
    <definedName name="_xlnm.Print_Area" localSheetId="12">TETO!$A$1:$I$15</definedName>
    <definedName name="_xlnm.Print_Are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hidden="1">{#N/A,#N/A,FALSE,"Plan1";#N/A,#N/A,FALSE,"Plan2"}</definedName>
    <definedName name="as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A" hidden="1">{#N/A,#N/A,FALSE,"Plan1";#N/A,#N/A,FALSE,"Plan2"}</definedName>
    <definedName name="asdade" hidden="1">{#N/A,#N/A,FALSE,"Plan1";#N/A,#N/A,FALSE,"Plan2"}</definedName>
    <definedName name="asdas" hidden="1">{#N/A,#N/A,FALSE,"Plan1";#N/A,#N/A,FALSE,"Plan2"}</definedName>
    <definedName name="asdawed" hidden="1">{#N/A,#N/A,FALSE,"Plan1";#N/A,#N/A,FALSE,"Plan2"}</definedName>
    <definedName name="ASDER" hidden="1">{#N/A,#N/A,FALSE,"Plan1";#N/A,#N/A,FALSE,"Plan2"}</definedName>
    <definedName name="asderr" hidden="1">{#N/A,#N/A,FALSE,"Plan1";#N/A,#N/A,FALSE,"Plan2"}</definedName>
    <definedName name="asdesre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hidden="1">{#N/A,#N/A,FALSE,"Plan1";#N/A,#N/A,FALSE,"Plan2"}</definedName>
    <definedName name="asdg" hidden="1">{#N/A,#N/A,FALSE,"Plan1";#N/A,#N/A,FALSE,"Plan2"}</definedName>
    <definedName name="asdjksej" hidden="1">#REF!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hidden="1">{#N/A,#N/A,FALSE,"Plan1";#N/A,#N/A,FALSE,"Plan2"}</definedName>
    <definedName name="asdqwe" hidden="1">{#N/A,#N/A,FALSE,"Plan1";#N/A,#N/A,FALSE,"Plan2"}</definedName>
    <definedName name="asdsa" hidden="1">{#N/A,#N/A,FALSE,"Plan1";#N/A,#N/A,FALSE,"Plan2"}</definedName>
    <definedName name="asdser" hidden="1">{#N/A,#N/A,FALSE,"Plan1";#N/A,#N/A,FALSE,"Plan2"}</definedName>
    <definedName name="asdwef" hidden="1">{#N/A,#N/A,FALSE,"Plan1";#N/A,#N/A,FALSE,"Plan2"}</definedName>
    <definedName name="aseiuw" hidden="1">#REF!</definedName>
    <definedName name="ASET" hidden="1">{#N/A,#N/A,FALSE,"Plan1";#N/A,#N/A,FALSE,"Plan2"}</definedName>
    <definedName name="asfDSF" hidden="1">{#N/A,#N/A,FALSE,"Plan1";#N/A,#N/A,FALSE,"Plan2"}</definedName>
    <definedName name="ASFERTE" hidden="1">{#N/A,#N/A,FALSE,"Plan1";#N/A,#N/A,FALSE,"Plan2"}</definedName>
    <definedName name="asfl" hidden="1">{#N/A,#N/A,FALSE,"Plan1";#N/A,#N/A,FALSE,"Plan2"}</definedName>
    <definedName name="asfsz" hidden="1">{#N/A,#N/A,FALSE,"Plan1";#N/A,#N/A,FALSE,"Plan2"}</definedName>
    <definedName name="askserf" hidden="1">{#N/A,#N/A,FALSE,"Plan1";#N/A,#N/A,FALSE,"Plan2"}</definedName>
    <definedName name="ASSFSDF" hidden="1">{#N/A,#N/A,FALSE,"Plan1";#N/A,#N/A,FALSE,"Plan2"}</definedName>
    <definedName name="asw" hidden="1">{#N/A,#N/A,FALSE,"Plan1";#N/A,#N/A,FALSE,"Plan2"}</definedName>
    <definedName name="Até_Chaves">#REF!</definedName>
    <definedName name="ATIVOS" hidden="1">{#N/A,#N/A,FALSE,"F-01"}</definedName>
    <definedName name="Ato">#REF!</definedName>
    <definedName name="ATUAL">#REF!</definedName>
    <definedName name="aux" localSheetId="16">#REF!</definedName>
    <definedName name="aux" localSheetId="18">#REF!</definedName>
    <definedName name="aux" localSheetId="0">#REF!</definedName>
    <definedName name="aux" localSheetId="7">#REF!</definedName>
    <definedName name="aux" localSheetId="1">#REF!</definedName>
    <definedName name="aux" localSheetId="8">#REF!</definedName>
    <definedName name="aux">#REF!</definedName>
    <definedName name="AUXILIO">#REF!</definedName>
    <definedName name="avulsos">#REF!</definedName>
    <definedName name="awdjw" hidden="1">{#N/A,#N/A,FALSE,"Plan1";#N/A,#N/A,FALSE,"Plan2"}</definedName>
    <definedName name="aweqw4" hidden="1">{#N/A,#N/A,FALSE,"Plan1";#N/A,#N/A,FALSE,"Plan2"}</definedName>
    <definedName name="awssdwaer" hidden="1">{#N/A,#N/A,FALSE,"Plan1";#N/A,#N/A,FALSE,"Plan2"}</definedName>
    <definedName name="AZ" hidden="1">#REF!</definedName>
    <definedName name="b" hidden="1">{#N/A,#N/A,FALSE,"Plan1";#N/A,#N/A,FALSE,"Plan2"}</definedName>
    <definedName name="BA">#REF!</definedName>
    <definedName name="balão1">"AutoForma 17"</definedName>
    <definedName name="BANCO">#REF!</definedName>
    <definedName name="Banco_dados_IM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>#REF!</definedName>
    <definedName name="bbb">#REF!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0">#REF!</definedName>
    <definedName name="BDA">#REF!</definedName>
    <definedName name="bdfjghf" hidden="1">{#N/A,#N/A,FALSE,"Plan1";#N/A,#N/A,FALSE,"Plan2"}</definedName>
    <definedName name="BDI">#REF!</definedName>
    <definedName name="bdzbfbdr" hidden="1">{#N/A,#N/A,FALSE,"Plan1";#N/A,#N/A,FALSE,"Plan2"}</definedName>
    <definedName name="be">#REF!</definedName>
    <definedName name="bebqt">#REF!</definedName>
    <definedName name="bela_cdi">#REF!</definedName>
    <definedName name="bela_hist">#REF!</definedName>
    <definedName name="bela_uss">#REF!</definedName>
    <definedName name="bg" hidden="1">#REF!</definedName>
    <definedName name="BGG" hidden="1">{#N/A,#N/A,FALSE,"Plan1";#N/A,#N/A,FALSE,"Plan2"}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hidden="1">{#N/A,#N/A,FALSE,"Plan1";#N/A,#N/A,FALSE,"Plan2"}</definedName>
    <definedName name="bloco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hidden="1">{#N/A,#N/A,FALSE,"Plan1";#N/A,#N/A,FALSE,"Plan2"}</definedName>
    <definedName name="bnkjhjhdfxgt" hidden="1">{#N/A,#N/A,FALSE,"Plan1";#N/A,#N/A,FALSE,"Plan2"}</definedName>
    <definedName name="BORBA2">#REF!</definedName>
    <definedName name="BORDA1">#N/A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V" hidden="1">#REF!</definedName>
    <definedName name="bxnzfmkzxbhdf" hidden="1">{#N/A,#N/A,FALSE,"Plan1";#N/A,#N/A,FALSE,"Plan2"}</definedName>
    <definedName name="ca">#REF!</definedName>
    <definedName name="CAB">#N/A</definedName>
    <definedName name="CAFS">"Carlos Antonio Fernandes da Silva"</definedName>
    <definedName name="CAGR">#REF!</definedName>
    <definedName name="caixa">#REF!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>#REF!</definedName>
    <definedName name="CAMP">#REF!</definedName>
    <definedName name="CAMPOS">#REF!</definedName>
    <definedName name="çaos\ewapo" hidden="1">{#N/A,#N/A,FALSE,"Plan1";#N/A,#N/A,FALSE,"Plan2"}</definedName>
    <definedName name="Capa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hidden="1">{#N/A,#N/A,FALSE,"F-01"}</definedName>
    <definedName name="categori45">#REF!</definedName>
    <definedName name="CATEGORIA1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>OFFSET(#REF!,0,0,COUNTA(#REF!)+1,1)</definedName>
    <definedName name="CAUX3">OFFSET(#REF!,0,0,COUNTA(#REF!)+1,1)</definedName>
    <definedName name="CCC">#REF!</definedName>
    <definedName name="ççç" hidden="1">{#N/A,#N/A,FALSE,"Plan1";#N/A,#N/A,FALSE,"Plan2"}</definedName>
    <definedName name="cccc" hidden="1">{#N/A,#N/A,FALSE,"Plan1";#N/A,#N/A,FALSE,"Plan2"}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>#REF!</definedName>
    <definedName name="çdfmerf" hidden="1">{#N/A,#N/A,FALSE,"Plan1";#N/A,#N/A,FALSE,"Plan2"}</definedName>
    <definedName name="CDSGHE" hidden="1">{#N/A,#N/A,FALSE,"Plan1";#N/A,#N/A,FALSE,"Plan2"}</definedName>
    <definedName name="cdvthd">#REF!</definedName>
    <definedName name="Cel_Constr">#REF!</definedName>
    <definedName name="CestaExcel">#REF!</definedName>
    <definedName name="CevaG">#REF!</definedName>
    <definedName name="CevaGS">#REF!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hidden="1">{#N/A,#N/A,FALSE,"Plan1";#N/A,#N/A,FALSE,"Plan2"}</definedName>
    <definedName name="CHAFQT">#REF!</definedName>
    <definedName name="Chaves">#REF!</definedName>
    <definedName name="chfch" hidden="1">{#N/A,#N/A,FALSE,"Plan1";#N/A,#N/A,FALSE,"Plan2"}</definedName>
    <definedName name="CI">#REF!</definedName>
    <definedName name="cidades">#REF!</definedName>
    <definedName name="CIFIXA">#REF!</definedName>
    <definedName name="CINCO">#REF!</definedName>
    <definedName name="CITOTAL">#REF!</definedName>
    <definedName name="CIVAR">#REF!</definedName>
    <definedName name="ÇJKRÇLFS" hidden="1">{"Econ Consolidado",#N/A,FALSE,"Econ Consol";"Fluxo de Caixa",#N/A,FALSE,"Fluxo Caixa";"Investimentos",#N/A,FALSE,"Investimentos"}</definedName>
    <definedName name="ÇJsrejtçe" hidden="1">{#N/A,#N/A,FALSE,"Plan1";#N/A,#N/A,FALSE,"Plan2"}</definedName>
    <definedName name="çkaçekow" hidden="1">{#N/A,#N/A,FALSE,"Plan1";#N/A,#N/A,FALSE,"Plan2"}</definedName>
    <definedName name="ÇKSDOEKR" hidden="1">{#N/A,#N/A,FALSE,"Plan1";#N/A,#N/A,FALSE,"Plan2"}</definedName>
    <definedName name="çl" hidden="1">{#N/A,#N/A,FALSE,"Plan1";#N/A,#N/A,FALSE,"Plan2"}</definedName>
    <definedName name="çlassde" hidden="1">{#N/A,#N/A,FALSE,"Plan1";#N/A,#N/A,FALSE,"Plan2"}</definedName>
    <definedName name="Classificação">#REF!</definedName>
    <definedName name="çlçlç" hidden="1">{#N/A,#N/A,FALSE,"Plan1";#N/A,#N/A,FALSE,"Plan2"}</definedName>
    <definedName name="çld" hidden="1">{#N/A,#N/A,FALSE,"Plan1";#N/A,#N/A,FALSE,"Plan2"}</definedName>
    <definedName name="çlererr" hidden="1">{#N/A,#N/A,FALSE,"Plan1";#N/A,#N/A,FALSE,"Plan2"}</definedName>
    <definedName name="çlertert" hidden="1">{#N/A,#N/A,FALSE,"Plan1";#N/A,#N/A,FALSE,"Plan2"}</definedName>
    <definedName name="çlkdflçkrlr" hidden="1">#REF!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>#REF!</definedName>
    <definedName name="Cod_Esquadrias">#REF!</definedName>
    <definedName name="CÓDG">OFFSET(#REF!,0,0,COUNTA(#REF!),1)</definedName>
    <definedName name="codigo2">#REF!</definedName>
    <definedName name="codigo3">#REF!</definedName>
    <definedName name="CÓDT">OFFSET(#REF!,0,0,COUNTA(#REF!)+1,1)</definedName>
    <definedName name="COFINS">#REF!</definedName>
    <definedName name="cofins2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hidden="1">{#N/A,#N/A,TRUE,"Quinzena 01 à 15-04-98 "}</definedName>
    <definedName name="cont" hidden="1">{#N/A,#N/A,FALSE,"Plan1";#N/A,#N/A,FALSE,"Plan2"}</definedName>
    <definedName name="CONT1">#REF!</definedName>
    <definedName name="CONT2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hidden="1">#REF!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>#REF!</definedName>
    <definedName name="CUSTINDIRETO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hidden="1">{#N/A,#N/A,FALSE,"Plan1";#N/A,#N/A,FALSE,"Plan2"}</definedName>
    <definedName name="DATA">#REF!</definedName>
    <definedName name="Data_base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Chaves_MAP">#REF!</definedName>
    <definedName name="DatasOut13AteDez20">#REF!</definedName>
    <definedName name="DÇDL" hidden="1">{#N/A,#N/A,FALSE,"Plan1";#N/A,#N/A,FALSE,"Plan2"}</definedName>
    <definedName name="dchart26" hidden="1">#REF!</definedName>
    <definedName name="dchart31" hidden="1">#REF!</definedName>
    <definedName name="dcnsfgdjkgb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hidden="1">{"'장비'!$A$3:$M$12"}</definedName>
    <definedName name="ddddd" hidden="1">{#N/A,#N/A,FALSE,"Plan1";#N/A,#N/A,FALSE,"Plan2"}</definedName>
    <definedName name="ddddddddddd">#REF!</definedName>
    <definedName name="dddddddddddddddddddddddddd">#REF!</definedName>
    <definedName name="dddddddddddddppppppppp">#REF!</definedName>
    <definedName name="dde" hidden="1">{#N/A,#N/A,FALSE,"Plan1";#N/A,#N/A,FALSE,"Plan2"}</definedName>
    <definedName name="ddfs" hidden="1">#REF!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hidden="1">{#N/A,#N/A,FALSE,"Plan1";#N/A,#N/A,FALSE,"Plan2"}</definedName>
    <definedName name="dede" hidden="1">{#N/A,#N/A,FALSE,"Plan1";#N/A,#N/A,FALSE,"Plan2"}</definedName>
    <definedName name="defasagem">OFFSET(INDEX(#REF!,MATCH(#REF!,#REF!,0)),1,0,COUNTA(#REF!)-1)</definedName>
    <definedName name="depara">#REF!</definedName>
    <definedName name="DERIVQT">#REF!</definedName>
    <definedName name="des" hidden="1">{#N/A,#N/A,FALSE,"Plan1";#N/A,#N/A,FALSE,"Plan2"}</definedName>
    <definedName name="desc" hidden="1">{#N/A,#N/A,FALSE,"Plan1";#N/A,#N/A,FALSE,"Plan2"}</definedName>
    <definedName name="DESCONTO">#REF!</definedName>
    <definedName name="DESCRIÇÃO_OBRA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hidden="1">{#N/A,#N/A,FALSE,"Plan1";#N/A,#N/A,FALSE,"Plan2"}</definedName>
    <definedName name="dfdrtrr" hidden="1">{#N/A,#N/A,FALSE,"Plan1";#N/A,#N/A,FALSE,"Plan2"}</definedName>
    <definedName name="DFDSG" hidden="1">{#N/A,#N/A,FALSE,"Plan1";#N/A,#N/A,FALSE,"Plan2"}</definedName>
    <definedName name="dfer" hidden="1">{#N/A,#N/A,FALSE,"Plan1";#N/A,#N/A,FALSE,"Plan2"}</definedName>
    <definedName name="dffbty" hidden="1">{#N/A,#N/A,FALSE,"Plan1";#N/A,#N/A,FALSE,"Plan2"}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hidden="1">{#N/A,#N/A,FALSE,"Plan1";#N/A,#N/A,FALSE,"Plan2"}</definedName>
    <definedName name="dfg" hidden="1">{#N/A,#N/A,FALSE,"Plan1";#N/A,#N/A,FALSE,"Plan2"}</definedName>
    <definedName name="dfgdf" hidden="1">{#N/A,#N/A,FALSE,"Plan1";#N/A,#N/A,FALSE,"Plan2"}</definedName>
    <definedName name="dfgdytygr" hidden="1">{#N/A,#N/A,FALSE,"Plan1";#N/A,#N/A,FALSE,"Plan2"}</definedName>
    <definedName name="dfgftrrdt5" hidden="1">{#N/A,#N/A,FALSE,"Plan1";#N/A,#N/A,FALSE,"Plan2"}</definedName>
    <definedName name="dfgh">#REF!</definedName>
    <definedName name="dfghjfhsg" hidden="1">{#N/A,#N/A,FALSE,"Plan1";#N/A,#N/A,FALSE,"Plan2"}</definedName>
    <definedName name="dfgj" hidden="1">{#N/A,#N/A,FALSE,"Plan1";#N/A,#N/A,FALSE,"Plan2"}</definedName>
    <definedName name="dfgjfttyd" hidden="1">{#N/A,#N/A,FALSE,"Plan1";#N/A,#N/A,FALSE,"Plan2"}</definedName>
    <definedName name="dfgjjtdrtg" hidden="1">{#N/A,#N/A,FALSE,"Plan1";#N/A,#N/A,FALSE,"Plan2"}</definedName>
    <definedName name="dfgt" hidden="1">{#N/A,#N/A,FALSE,"Plan1";#N/A,#N/A,FALSE,"Plan2"}</definedName>
    <definedName name="dfgtrkjhk" hidden="1">{#N/A,#N/A,FALSE,"Plan1";#N/A,#N/A,FALSE,"Plan2"}</definedName>
    <definedName name="dfgty" hidden="1">{#N/A,#N/A,FALSE,"Plan1";#N/A,#N/A,FALSE,"Plan2"}</definedName>
    <definedName name="dfhdgfdgf" hidden="1">{#N/A,#N/A,FALSE,"Plan1";#N/A,#N/A,FALSE,"Plan2"}</definedName>
    <definedName name="DFHDJGJFHJGF" hidden="1">{#N/A,#N/A,FALSE,"Plan1";#N/A,#N/A,FALSE,"Plan2"}</definedName>
    <definedName name="dfhdyg" hidden="1">{#N/A,#N/A,FALSE,"Plan1";#N/A,#N/A,FALSE,"Plan2"}</definedName>
    <definedName name="DFHGDHUR" hidden="1">{#N/A,#N/A,FALSE,"Plan1";#N/A,#N/A,FALSE,"Plan2"}</definedName>
    <definedName name="dfhgjfgdhfjdrf" hidden="1">{#N/A,#N/A,FALSE,"Plan1";#N/A,#N/A,FALSE,"Plan2"}</definedName>
    <definedName name="dfhgkhfut" hidden="1">{#N/A,#N/A,FALSE,"Plan1";#N/A,#N/A,FALSE,"Plan2"}</definedName>
    <definedName name="dfhgkjdhkjghjd" hidden="1">#REF!</definedName>
    <definedName name="dfhguitrhfg" hidden="1">{#N/A,#N/A,FALSE,"Plan1";#N/A,#N/A,FALSE,"Plan2"}</definedName>
    <definedName name="DFHKHDGKJHDKS" hidden="1">{#N/A,#N/A,FALSE,"Plan1";#N/A,#N/A,FALSE,"Plan2"}</definedName>
    <definedName name="dfijvnqienvvnjv">#REF!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hidden="1">{#N/A,#N/A,FALSE,"Plan1";#N/A,#N/A,FALSE,"Plan2"}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hidden="1">{#N/A,#N/A,FALSE,"Plan1";#N/A,#N/A,FALSE,"Plan2"}</definedName>
    <definedName name="dfnert" hidden="1">{#N/A,#N/A,FALSE,"Plan1";#N/A,#N/A,FALSE,"Plan2"}</definedName>
    <definedName name="dfrt" hidden="1">{#N/A,#N/A,FALSE,"Plan1";#N/A,#N/A,FALSE,"Plan2"}</definedName>
    <definedName name="dfsdr5tt" hidden="1">{#N/A,#N/A,FALSE,"Plan1";#N/A,#N/A,FALSE,"Plan2"}</definedName>
    <definedName name="dfsds" hidden="1">#REF!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hidden="1">{#N/A,#N/A,FALSE,"Plan1";#N/A,#N/A,FALSE,"Plan2"}</definedName>
    <definedName name="dfsf" hidden="1">{#N/A,#N/A,FALSE,"Plan1";#N/A,#N/A,FALSE,"Plan2"}</definedName>
    <definedName name="DFT" hidden="1">{#N/A,#N/A,FALSE,"Plan1";#N/A,#N/A,FALSE,"Plan2"}</definedName>
    <definedName name="DFTRTTY" hidden="1">{#N/A,#N/A,FALSE,"Plan1";#N/A,#N/A,FALSE,"Plan2"}</definedName>
    <definedName name="dfurghifdjyhits" hidden="1">{#N/A,#N/A,FALSE,"Plan1";#N/A,#N/A,FALSE,"Plan2"}</definedName>
    <definedName name="dfxgdrged" hidden="1">{#N/A,#N/A,FALSE,"Plan1";#N/A,#N/A,FALSE,"Plan2"}</definedName>
    <definedName name="dgfrtyt" hidden="1">{#N/A,#N/A,FALSE,"Plan1";#N/A,#N/A,FALSE,"Plan2"}</definedName>
    <definedName name="dggfdg" hidden="1">{#N/A,#N/A,FALSE,"Plan1";#N/A,#N/A,FALSE,"Plan2"}</definedName>
    <definedName name="dgldfhgkljslh" hidden="1">{#N/A,#N/A,FALSE,"Plan1";#N/A,#N/A,FALSE,"Plan2"}</definedName>
    <definedName name="dhfgdhrehrwe" hidden="1">{#N/A,#N/A,FALSE,"Plan1";#N/A,#N/A,FALSE,"Plan2"}</definedName>
    <definedName name="dhgfdgrfgdfgd" hidden="1">{#N/A,#N/A,FALSE,"Plan1";#N/A,#N/A,FALSE,"Plan2"}</definedName>
    <definedName name="dhkjfhdhfjdh" hidden="1">{#N/A,#N/A,FALSE,"Plan1";#N/A,#N/A,FALSE,"Plan2"}</definedName>
    <definedName name="DHTJRT" hidden="1">{#N/A,#N/A,FALSE,"Plan1";#N/A,#N/A,FALSE,"Plan2"}</definedName>
    <definedName name="DI">#REF!</definedName>
    <definedName name="dia3estac">#REF!</definedName>
    <definedName name="diaestaca">#REF!</definedName>
    <definedName name="diambase">#REF!</definedName>
    <definedName name="DIFQT">#REF!</definedName>
    <definedName name="dijghdhks" hidden="1">{#N/A,#N/A,FALSE,"Plan1";#N/A,#N/A,FALSE,"Plan2"}</definedName>
    <definedName name="DIMENSÕES">#REF!</definedName>
    <definedName name="DIR_OPER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hidden="1">{#N/A,#N/A,FALSE,"Plan1";#N/A,#N/A,FALSE,"Plan2"}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hidden="1">{#N/A,#N/A,FALSE,"Plan1";#N/A,#N/A,FALSE,"Plan2"}</definedName>
    <definedName name="djfkhsdkjhf" hidden="1">{#N/A,#N/A,FALSE,"Plan1";#N/A,#N/A,FALSE,"Plan2"}</definedName>
    <definedName name="djfldjsgljslkjtg" hidden="1">{#N/A,#N/A,FALSE,"Plan1";#N/A,#N/A,FALSE,"Plan2"}</definedName>
    <definedName name="djflkdjgdth" hidden="1">{#N/A,#N/A,FALSE,"Plan1";#N/A,#N/A,FALSE,"Plan2"}</definedName>
    <definedName name="DJFLKDJGKTJYJT" hidden="1">{#N/A,#N/A,FALSE,"Plan1";#N/A,#N/A,FALSE,"Plan2"}</definedName>
    <definedName name="djgkfjgtiyty" hidden="1">{#N/A,#N/A,FALSE,"Plan1";#N/A,#N/A,FALSE,"Plan2"}</definedName>
    <definedName name="djrkehrjfhng" hidden="1">{#N/A,#N/A,FALSE,"Plan1";#N/A,#N/A,FALSE,"Plan2"}</definedName>
    <definedName name="djswfr" hidden="1">#REF!</definedName>
    <definedName name="djtkjldfr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hidden="1">{#N/A,#N/A,FALSE,"Plan1";#N/A,#N/A,FALSE,"Plan2"}</definedName>
    <definedName name="dkjfk" hidden="1">{#N/A,#N/A,FALSE,"Plan1";#N/A,#N/A,FALSE,"Plan2"}</definedName>
    <definedName name="DKLD" hidden="1">{#N/A,#N/A,FALSE,"Plan1";#N/A,#N/A,FALSE,"Plan2"}</definedName>
    <definedName name="DKLFJDKFD" hidden="1">{#N/A,#N/A,FALSE,"Plan1";#N/A,#N/A,FALSE,"Plan2"}</definedName>
    <definedName name="dklfjgirtgid" hidden="1">{#N/A,#N/A,FALSE,"Plan1";#N/A,#N/A,FALSE,"Plan2"}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>#REF!</definedName>
    <definedName name="DOIS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hidden="1">{#N/A,#N/A,FALSE,"Plan1";#N/A,#N/A,FALSE,"Plan2"}</definedName>
    <definedName name="dsfdf" hidden="1">{#N/A,#N/A,FALSE,"Plan1";#N/A,#N/A,FALSE,"Plan2"}</definedName>
    <definedName name="dsfg" hidden="1">{#N/A,#N/A,FALSE,"Plan1";#N/A,#N/A,FALSE,"Plan2"}</definedName>
    <definedName name="DSFKDSKH" hidden="1">{#N/A,#N/A,FALSE,"Plan1";#N/A,#N/A,FALSE,"Plan2"}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hidden="1">{#N/A,#N/A,FALSE,"Plan1";#N/A,#N/A,FALSE,"Plan2"}</definedName>
    <definedName name="DSFSAD" hidden="1">{#N/A,#N/A,FALSE,"Plan1";#N/A,#N/A,FALSE,"Plan2"}</definedName>
    <definedName name="dsfsdf" hidden="1">{#N/A,#N/A,FALSE,"Plan1";#N/A,#N/A,FALSE,"Plan2"}</definedName>
    <definedName name="dsfsdgfb" hidden="1">{#N/A,#N/A,FALSE,"Plan1";#N/A,#N/A,FALSE,"Plan2"}</definedName>
    <definedName name="dsgfr" hidden="1">{#N/A,#N/A,FALSE,"Plan1";#N/A,#N/A,FALSE,"Plan2"}</definedName>
    <definedName name="dshfkhkrhesru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hidden="1">{#N/A,#N/A,FALSE,"Plan1";#N/A,#N/A,FALSE,"Plan2"}</definedName>
    <definedName name="dslfkf" hidden="1">4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hidden="1">{#N/A,#N/A,FALSE,"Plan1";#N/A,#N/A,FALSE,"Plan2"}</definedName>
    <definedName name="dtgsrytt" hidden="1">{#N/A,#N/A,FALSE,"Plan1";#N/A,#N/A,FALSE,"Plan2"}</definedName>
    <definedName name="dtrjkhtrgkfh" hidden="1">{#N/A,#N/A,FALSE,"Plan1";#N/A,#N/A,FALSE,"Plan2"}</definedName>
    <definedName name="dttjuk" hidden="1">{#N/A,#N/A,FALSE,"Plan1";#N/A,#N/A,FALSE,"Plan2"}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hidden="1">{#N/A,#N/A,FALSE,"Plan1";#N/A,#N/A,FALSE,"Plan2"}</definedName>
    <definedName name="dwqhdjwqgdwq">#REF!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hidden="1">{#N/A,#N/A,FALSE,"Plan1";#N/A,#N/A,FALSE,"Plan2"}</definedName>
    <definedName name="dzdfr" hidden="1">{#N/A,#N/A,FALSE,"Plan1";#N/A,#N/A,FALSE,"Plan2"}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>#REF!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hidden="1">#REF!</definedName>
    <definedName name="EcoPark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hidden="1">{#N/A,#N/A,FALSE,"Plan1";#N/A,#N/A,FALSE,"Plan2"}</definedName>
    <definedName name="ee">#REF!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18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>#REF!</definedName>
    <definedName name="efestfr" hidden="1">{#N/A,#N/A,FALSE,"Plan1";#N/A,#N/A,FALSE,"Plan2"}</definedName>
    <definedName name="EFICIÊNCIA">#REF!</definedName>
    <definedName name="Eficiência1">#REF!</definedName>
    <definedName name="efrdrt" hidden="1">{#N/A,#N/A,FALSE,"Plan1";#N/A,#N/A,FALSE,"Plan2"}</definedName>
    <definedName name="efrg" hidden="1">{#N/A,#N/A,FALSE,"Plan1";#N/A,#N/A,FALSE,"Plan2"}</definedName>
    <definedName name="efsgfr" hidden="1">{#N/A,#N/A,FALSE,"Plan1";#N/A,#N/A,FALSE,"Plan2"}</definedName>
    <definedName name="eixo_x_fluxo_graf1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>#REF!</definedName>
    <definedName name="eixo_x_graf3_vendas">#REF!</definedName>
    <definedName name="eixo_y_cury_graf2">IFERROR(OFFSET(INDEX(#REF!,MATCH((INDEX(#REF!,MATCH(1,#REF!,0))),#REF!,0)),0,0,1,COUNTIF(#REF!,"&gt;=0")+COUNTIF(#REF!,"&lt;0")),0)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>#REF!</definedName>
    <definedName name="eixo_y_socio_graf2">IFERROR(OFFSET(INDEX(#REF!,MATCH((INDEX(#REF!,MATCH(1,#REF!,0))),#REF!,0)),0,0,1,COUNTIF(#REF!,"&gt;=0")+COUNTIF(#REF!,"&lt;0")),0)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>#REF!</definedName>
    <definedName name="Empreend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hidden="1">{#N/A,#N/A,FALSE,"Plan1";#N/A,#N/A,FALSE,"Plan2"}</definedName>
    <definedName name="erne_cdi">#REF!</definedName>
    <definedName name="erne_hist">#REF!</definedName>
    <definedName name="erne_uss">#REF!</definedName>
    <definedName name="erte" hidden="1">#REF!</definedName>
    <definedName name="ESGFDSFD" hidden="1">{#N/A,#N/A,FALSE,"Plan1";#N/A,#N/A,FALSE,"Plan2"}</definedName>
    <definedName name="esp">#REF!</definedName>
    <definedName name="ESPESSURA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hidden="1">{#N/A,#N/A,FALSE,"Plan1";#N/A,#N/A,FALSE,"Plan2"}</definedName>
    <definedName name="EV__LASTREFTIME__" hidden="1">39965.7223611111</definedName>
    <definedName name="EVL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hidden="1">{#N/A,#N/A,FALSE,"Plan1";#N/A,#N/A,FALSE,"Plan2"}</definedName>
    <definedName name="exce_cdi">#REF!</definedName>
    <definedName name="exce_hist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hidden="1">{#N/A,#N/A,FALSE,"Plan1";#N/A,#N/A,FALSE,"Plan2"}</definedName>
    <definedName name="f" hidden="1">{#N/A,#N/A,FALSE,"Plan1";#N/A,#N/A,FALSE,"Plan2"}</definedName>
    <definedName name="FACULDADE">#REF!</definedName>
    <definedName name="FAL">#REF!</definedName>
    <definedName name="farialima">#REF!</definedName>
    <definedName name="FAS" hidden="1">{"'Total'!$A$1","'Total'!$A$3"}</definedName>
    <definedName name="fasfasf" hidden="1">{#N/A,#N/A,TRUE,"Quinzena 01 à 15-04-98 "}</definedName>
    <definedName name="FATOR_K">#REF!</definedName>
    <definedName name="FATORK">#REF!</definedName>
    <definedName name="FBancaria">#REF!</definedName>
    <definedName name="fchart31" hidden="1">#REF!</definedName>
    <definedName name="fddhght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hidden="1">{#N/A,#N/A,FALSE,"Plan1";#N/A,#N/A,FALSE,"Plan2"}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hidden="1">{#N/A,#N/A,FALSE,"Plan1";#N/A,#N/A,FALSE,"Plan2"}</definedName>
    <definedName name="fdgfyhygfuj" hidden="1">{#N/A,#N/A,FALSE,"Plan1";#N/A,#N/A,FALSE,"Plan2"}</definedName>
    <definedName name="fdhgfdf" hidden="1">{#N/A,#N/A,FALSE,"Plan1";#N/A,#N/A,FALSE,"Plan2"}</definedName>
    <definedName name="fdjfgdfjg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hidden="1">{#N/A,#N/A,FALSE,"Plan1";#N/A,#N/A,FALSE,"Plan2"}</definedName>
    <definedName name="FE">#REF!</definedName>
    <definedName name="fefefefe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hidden="1">{#N/A,#N/A,FALSE,"Plan1";#N/A,#N/A,FALSE,"Plan2"}</definedName>
    <definedName name="FFFFFFF" localSheetId="16">#REF!</definedName>
    <definedName name="FFFFFFF" localSheetId="18">#REF!</definedName>
    <definedName name="FFFFFFF" localSheetId="0">#REF!</definedName>
    <definedName name="FFFFFFF" localSheetId="7">#REF!</definedName>
    <definedName name="FFFFFFF" localSheetId="1">#REF!</definedName>
    <definedName name="FFFFFFF" localSheetId="8">#REF!</definedName>
    <definedName name="FFFFFFF">#REF!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hidden="1">{#N/A,#N/A,FALSE,"Plan1";#N/A,#N/A,FALSE,"Plan2"}</definedName>
    <definedName name="FGJHFGK" hidden="1">{#N/A,#N/A,FALSE,"Plan1";#N/A,#N/A,FALSE,"Plan2"}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hidden="1">{#N/A,#N/A,FALSE,"Plan1";#N/A,#N/A,FALSE,"Plan2"}</definedName>
    <definedName name="fgty" hidden="1">#REF!</definedName>
    <definedName name="fhgjfgyt" hidden="1">{#N/A,#N/A,FALSE,"Plan1";#N/A,#N/A,FALSE,"Plan2"}</definedName>
    <definedName name="fhgjkhtrfg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iltro_Rel_Sienge">#REF!</definedName>
    <definedName name="Firs_hist">#REF!</definedName>
    <definedName name="First_cdi">#REF!</definedName>
    <definedName name="First_uss">#REF!</definedName>
    <definedName name="fjdhfgjdhtgu" hidden="1">{#N/A,#N/A,FALSE,"Plan1";#N/A,#N/A,FALSE,"Plan2"}</definedName>
    <definedName name="fjfjg" hidden="1">{#N/A,#N/A,FALSE,"명세표"}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hidden="1">{#N/A,#N/A,FALSE,"Plan1";#N/A,#N/A,FALSE,"Plan2"}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hidden="1">{#N/A,#N/A,FALSE,"Plan1";#N/A,#N/A,FALSE,"Plan2"}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_1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hidden="1">{#N/A,#N/A,FALSE,"Plan1";#N/A,#N/A,FALSE,"Plan2"}</definedName>
    <definedName name="fuste">#REF!</definedName>
    <definedName name="fxjghkfg" hidden="1">{#N/A,#N/A,FALSE,"Plan1";#N/A,#N/A,FALSE,"Plan2"}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>#REF!</definedName>
    <definedName name="garcia">#REF!</definedName>
    <definedName name="GASTOS_JULHO">#REF!</definedName>
    <definedName name="gbdjkvhgd" hidden="1">{#N/A,#N/A,FALSE,"Plan1";#N/A,#N/A,FALSE,"Plan2"}</definedName>
    <definedName name="gbdsjgsjfdgj" hidden="1">{#N/A,#N/A,FALSE,"Plan1";#N/A,#N/A,FALSE,"Plan2"}</definedName>
    <definedName name="gdfdhgfjgj" hidden="1">{#N/A,#N/A,FALSE,"Plan1";#N/A,#N/A,FALSE,"Plan2"}</definedName>
    <definedName name="gdfgdstggt" hidden="1">{#N/A,#N/A,FALSE,"Plan1";#N/A,#N/A,FALSE,"Plan2"}</definedName>
    <definedName name="GDFHGRJGFJDRF" hidden="1">{"Econ Consolidado",#N/A,FALSE,"Econ Consol";"Fluxo de Caixa",#N/A,FALSE,"Fluxo Caixa";"Investimentos",#N/A,FALSE,"Investimentos"}</definedName>
    <definedName name="gdfigfhuyuy" hidden="1">{#N/A,#N/A,FALSE,"Plan1";#N/A,#N/A,FALSE,"Plan2"}</definedName>
    <definedName name="gdfsgfew" hidden="1">{#N/A,#N/A,FALSE,"Plan1";#N/A,#N/A,FALSE,"Plan2"}</definedName>
    <definedName name="gdhfgdhfgf" hidden="1">{#N/A,#N/A,FALSE,"Plan1";#N/A,#N/A,FALSE,"Plan2"}</definedName>
    <definedName name="gdsfhefrwrw" hidden="1">{#N/A,#N/A,FALSE,"Plan1";#N/A,#N/A,FALSE,"Plan2"}</definedName>
    <definedName name="GER_TECNICO">#REF!</definedName>
    <definedName name="Gerentes">#REF!</definedName>
    <definedName name="geshrjhed" hidden="1">{#N/A,#N/A,FALSE,"Plan1";#N/A,#N/A,FALSE,"Plan2"}</definedName>
    <definedName name="gestao" hidden="1">OFFSET(INDEX(#REF!,MATCH(#REF!,#REF!,0)),1,0,COUNTA(#REF!)-1)</definedName>
    <definedName name="gfdcgnkf" hidden="1">{#N/A,#N/A,FALSE,"Plan1";#N/A,#N/A,FALSE,"Plan2"}</definedName>
    <definedName name="gfdjtgur" hidden="1">{#N/A,#N/A,FALSE,"Plan1";#N/A,#N/A,FALSE,"Plan2"}</definedName>
    <definedName name="gfdrtg" hidden="1">#REF!</definedName>
    <definedName name="gfgdhxgfdhf" hidden="1">{#N/A,#N/A,FALSE,"Plan1";#N/A,#N/A,FALSE,"Plan2"}</definedName>
    <definedName name="gfhfdtgjb" hidden="1">{#N/A,#N/A,FALSE,"Plan1";#N/A,#N/A,FALSE,"Plan2"}</definedName>
    <definedName name="gfjdshrtjhtged" hidden="1">{#N/A,#N/A,FALSE,"Plan1";#N/A,#N/A,FALSE,"Plan2"}</definedName>
    <definedName name="gfjgkddgfd" hidden="1">{#N/A,#N/A,FALSE,"Plan1";#N/A,#N/A,FALSE,"Plan2"}</definedName>
    <definedName name="gfsghjdgygr" hidden="1">{#N/A,#N/A,FALSE,"Plan1";#N/A,#N/A,FALSE,"Plan2"}</definedName>
    <definedName name="gftfy" hidden="1">{#N/A,#N/A,FALSE,"Plan1";#N/A,#N/A,FALSE,"Plan2"}</definedName>
    <definedName name="gfty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hidden="1">{"'장비'!$A$3:$M$12"}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hidden="1">{#N/A,#N/A,FALSE,"Plan1";#N/A,#N/A,FALSE,"Plan2"}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hidden="1">{#N/A,#N/A,FALSE,"Plan1";#N/A,#N/A,FALSE,"Plan2"}</definedName>
    <definedName name="glgl" hidden="1">{#N/A,#N/A,FALSE,"Plan1";#N/A,#N/A,FALSE,"Plan2"}</definedName>
    <definedName name="global" hidden="1">{"'Estimativa de Lançamento-JAN'!$A$1:$AI$85"}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>#REF!</definedName>
    <definedName name="grec_hist">#REF!</definedName>
    <definedName name="grec_uss">#REF!</definedName>
    <definedName name="grua">#REF!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">#REF!</definedName>
    <definedName name="hbjgjuae">#REF!</definedName>
    <definedName name="hcjfkhdghfktg" hidden="1">{#N/A,#N/A,FALSE,"Plan1";#N/A,#N/A,FALSE,"Plan2"}</definedName>
    <definedName name="hckhjfdkgfdg" hidden="1">#REF!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hidden="1">{#N/A,#N/A,FALSE,"Plan1";#N/A,#N/A,FALSE,"Plan2"}</definedName>
    <definedName name="HDFGJKHKFDHTY" hidden="1">{#N/A,#N/A,FALSE,"Plan1";#N/A,#N/A,FALSE,"Plan2"}</definedName>
    <definedName name="hdfhdhrtgd" hidden="1">{#N/A,#N/A,FALSE,"Plan1";#N/A,#N/A,FALSE,"Plan2"}</definedName>
    <definedName name="hdfhftde" hidden="1">{#N/A,#N/A,FALSE,"Plan1";#N/A,#N/A,FALSE,"Plan2"}</definedName>
    <definedName name="hdfhgkdhgtrf" hidden="1">{#N/A,#N/A,FALSE,"Plan1";#N/A,#N/A,FALSE,"Plan2"}</definedName>
    <definedName name="hdfjhdkzhgdr" hidden="1">{#N/A,#N/A,FALSE,"Plan1";#N/A,#N/A,FALSE,"Plan2"}</definedName>
    <definedName name="hdfjkgvjgtd" hidden="1">{#N/A,#N/A,FALSE,"Plan1";#N/A,#N/A,FALSE,"Plan2"}</definedName>
    <definedName name="hdfjkhdhrute" hidden="1">{#N/A,#N/A,FALSE,"Plan1";#N/A,#N/A,FALSE,"Plan2"}</definedName>
    <definedName name="HDFKGVF" hidden="1">{#N/A,#N/A,FALSE,"Plan1";#N/A,#N/A,FALSE,"Plan2"}</definedName>
    <definedName name="hdgfhdgtdrt" hidden="1">{#N/A,#N/A,FALSE,"Plan1";#N/A,#N/A,FALSE,"Plan2"}</definedName>
    <definedName name="hdghgtgtrgd" hidden="1">{#N/A,#N/A,FALSE,"Plan1";#N/A,#N/A,FALSE,"Plan2"}</definedName>
    <definedName name="HDHDGHTUHDTG" hidden="1">{#N/A,#N/A,FALSE,"Plan1";#N/A,#N/A,FALSE,"Plan2"}</definedName>
    <definedName name="hdhghfthrrhy" hidden="1">{#N/A,#N/A,FALSE,"Plan1";#N/A,#N/A,FALSE,"Plan2"}</definedName>
    <definedName name="hdkfjhydjh" hidden="1">{#N/A,#N/A,FALSE,"Plan1";#N/A,#N/A,FALSE,"Plan2"}</definedName>
    <definedName name="hdsgfgrrdgr" hidden="1">{#N/A,#N/A,FALSE,"Plan1";#N/A,#N/A,FALSE,"Plan2"}</definedName>
    <definedName name="hdtertkkdsa" hidden="1">{#N/A,#N/A,FALSE,"Plan1";#N/A,#N/A,FALSE,"Plan2"}</definedName>
    <definedName name="Header">#REF!</definedName>
    <definedName name="HEDHA" hidden="1">{#N/A,#N/A,FALSE,"Plan1";#N/A,#N/A,FALSE,"Plan2"}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>#REF!</definedName>
    <definedName name="herkfdshfker" hidden="1">{#N/A,#N/A,FALSE,"Plan1";#N/A,#N/A,FALSE,"Plan2"}</definedName>
    <definedName name="hersdtretyt" hidden="1">{#N/A,#N/A,FALSE,"Plan1";#N/A,#N/A,FALSE,"Plan2"}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hidden="1">{#N/A,#N/A,FALSE,"Plan1";#N/A,#N/A,FALSE,"Plan2"}</definedName>
    <definedName name="hfdkhgkfdhtj" hidden="1">{#N/A,#N/A,FALSE,"Plan1";#N/A,#N/A,FALSE,"Plan2"}</definedName>
    <definedName name="hfgfktgkhyt" hidden="1">{#N/A,#N/A,FALSE,"Plan1";#N/A,#N/A,FALSE,"Plan2"}</definedName>
    <definedName name="hfghdkhrgkjg" hidden="1">{#N/A,#N/A,FALSE,"Plan1";#N/A,#N/A,FALSE,"Plan2"}</definedName>
    <definedName name="hfighfth" hidden="1">{#N/A,#N/A,FALSE,"Plan1";#N/A,#N/A,FALSE,"Plan2"}</definedName>
    <definedName name="hfjghtfuyrf" hidden="1">{#N/A,#N/A,FALSE,"Plan1";#N/A,#N/A,FALSE,"Plan2"}</definedName>
    <definedName name="HFKJHDJGHFJ" hidden="1">{#N/A,#N/A,FALSE,"Plan1";#N/A,#N/A,FALSE,"Plan2"}</definedName>
    <definedName name="hgdesgfgsj" hidden="1">{#N/A,#N/A,FALSE,"Plan1";#N/A,#N/A,FALSE,"Plan2"}</definedName>
    <definedName name="hgdgfd" hidden="1">{#N/A,#N/A,FALSE,"Plan1";#N/A,#N/A,FALSE,"Plan2"}</definedName>
    <definedName name="hgfhjkdfhj" hidden="1">{#N/A,#N/A,FALSE,"Plan1";#N/A,#N/A,FALSE,"Plan2"}</definedName>
    <definedName name="hgg" hidden="1">{#N/A,#N/A,FALSE,"Plan1";#N/A,#N/A,FALSE,"Plan2"}</definedName>
    <definedName name="hgjdfgghg" hidden="1">{#N/A,#N/A,FALSE,"Plan1";#N/A,#N/A,FALSE,"Plan2"}</definedName>
    <definedName name="hgjkfdhg" hidden="1">{#N/A,#N/A,FALSE,"Plan1";#N/A,#N/A,FALSE,"Plan2"}</definedName>
    <definedName name="hgkdfhkfk" hidden="1">{#N/A,#N/A,FALSE,"Plan1";#N/A,#N/A,FALSE,"Plan2"}</definedName>
    <definedName name="hgkjhdfhtrdyt" hidden="1">{#N/A,#N/A,FALSE,"Plan1";#N/A,#N/A,FALSE,"Plan2"}</definedName>
    <definedName name="hgkjhdfkhgtfhg" hidden="1">{#N/A,#N/A,FALSE,"Plan1";#N/A,#N/A,FALSE,"Plan2"}</definedName>
    <definedName name="hgkjhkfhsdkdhgk" hidden="1">{#N/A,#N/A,FALSE,"Plan1";#N/A,#N/A,FALSE,"Plan2"}</definedName>
    <definedName name="hgsufgdhghd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hidden="1">#REF!</definedName>
    <definedName name="hik" hidden="1">{#N/A,#N/A,FALSE,"TABLE"}</definedName>
    <definedName name="hist">#REF!</definedName>
    <definedName name="HIST1">#REF!</definedName>
    <definedName name="HISTEQ">#REF!</definedName>
    <definedName name="HISTOGRAMA">#REF!</definedName>
    <definedName name="hjdgtjdjxrfg" hidden="1">{#N/A,#N/A,FALSE,"Plan1";#N/A,#N/A,FALSE,"Plan2"}</definedName>
    <definedName name="HJFDGD" hidden="1">{#N/A,#N/A,FALSE,"Plan1";#N/A,#N/A,FALSE,"Plan2"}</definedName>
    <definedName name="HJGASD" hidden="1">{#N/A,#N/A,FALSE,"Plan1";#N/A,#N/A,FALSE,"Plan2"}</definedName>
    <definedName name="HJGFGTFDG" hidden="1">{#N/A,#N/A,FALSE,"Plan1";#N/A,#N/A,FALSE,"Plan2"}</definedName>
    <definedName name="hjgfhdsgfhsd" hidden="1">{#N/A,#N/A,FALSE,"Plan1";#N/A,#N/A,FALSE,"Plan2"}</definedName>
    <definedName name="hjgxfjgdjyftr" hidden="1">{#N/A,#N/A,FALSE,"Plan1";#N/A,#N/A,FALSE,"Plan2"}</definedName>
    <definedName name="hjgyugasd" hidden="1">{#N/A,#N/A,FALSE,"Plan1";#N/A,#N/A,FALSE,"Plan2"}</definedName>
    <definedName name="hjjfyfy" hidden="1">{#N/A,#N/A,FALSE,"Plan1";#N/A,#N/A,FALSE,"Plan2"}</definedName>
    <definedName name="hjkchkvjhdjkgh" hidden="1">{#N/A,#N/A,FALSE,"Plan1";#N/A,#N/A,FALSE,"Plan2"}</definedName>
    <definedName name="hjkfjdyht" hidden="1">{#N/A,#N/A,FALSE,"Plan1";#N/A,#N/A,FALSE,"Plan2"}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hidden="1">{#N/A,#N/A,FALSE,"Plan1";#N/A,#N/A,FALSE,"Plan2"}</definedName>
    <definedName name="hjsdsdrjfrh" hidden="1">2</definedName>
    <definedName name="hjsrdfre" hidden="1">{"Econ Consolidado",#N/A,FALSE,"Econ Consol";"Fluxo de Caixa",#N/A,FALSE,"Fluxo Caixa";"Investimentos",#N/A,FALSE,"Investimentos"}</definedName>
    <definedName name="HKewewsr" hidden="1">{#N/A,#N/A,FALSE,"Plan1";#N/A,#N/A,FALSE,"Plan2"}</definedName>
    <definedName name="hkhdskacd" hidden="1">{#N/A,#N/A,FALSE,"Plan1";#N/A,#N/A,FALSE,"Plan2"}</definedName>
    <definedName name="hkjfgfhgfh" hidden="1">{#N/A,#N/A,FALSE,"Plan1";#N/A,#N/A,FALSE,"Plan2"}</definedName>
    <definedName name="hkjfhgjkfhghfg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OJE">#REF!</definedName>
    <definedName name="HONORARIOS">#REF!</definedName>
    <definedName name="HOSPEDES">#REF!</definedName>
    <definedName name="HOTEL">#REF!</definedName>
    <definedName name="hrterte" hidden="1">{#N/A,#N/A,FALSE,"Plan1";#N/A,#N/A,FALSE,"Plan2"}</definedName>
    <definedName name="hsdf" hidden="1">{#N/A,#N/A,FALSE,"Plan1";#N/A,#N/A,FALSE,"Plan2"}</definedName>
    <definedName name="hsdfgdgudrt" hidden="1">{#N/A,#N/A,FALSE,"Plan1";#N/A,#N/A,FALSE,"Plan2"}</definedName>
    <definedName name="hsdfjkdhur" hidden="1">{#N/A,#N/A,FALSE,"Plan1";#N/A,#N/A,FALSE,"Plan2"}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hidden="1">{#N/A,#N/A,FALSE,"Plan1";#N/A,#N/A,FALSE,"Plan2"}</definedName>
    <definedName name="hsdjffe" hidden="1">{#N/A,#N/A,FALSE,"Plan1";#N/A,#N/A,FALSE,"Plan2"}</definedName>
    <definedName name="HSFIHDTR" hidden="1">{"Econ Consolidado",#N/A,FALSE,"Econ Consol";"Fluxo de Caixa",#N/A,FALSE,"Fluxo Caixa";"Investimentos",#N/A,FALSE,"Investimentos"}</definedName>
    <definedName name="hsfjkdshrgf" hidden="1">{#N/A,#N/A,FALSE,"Plan1";#N/A,#N/A,FALSE,"Plan2"}</definedName>
    <definedName name="hthhrtetdre" hidden="1">{#N/A,#N/A,FALSE,"Plan1";#N/A,#N/A,FALSE,"Plan2"}</definedName>
    <definedName name="HTM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TN">#REF!</definedName>
    <definedName name="HVJKHGKFXHFD" hidden="1">{#N/A,#N/A,FALSE,"Plan1";#N/A,#N/A,FALSE,"Plan2"}</definedName>
    <definedName name="hwekjhekhf" hidden="1">{#N/A,#N/A,FALSE,"Plan1";#N/A,#N/A,FALSE,"Plan2"}</definedName>
    <definedName name="HXFRE" hidden="1">{#N/A,#N/A,FALSE,"Plan1";#N/A,#N/A,FALSE,"Plan2"}</definedName>
    <definedName name="HXKJFGDKHG" hidden="1">{#N/A,#N/A,FALSE,"Plan1";#N/A,#N/A,FALSE,"Plan2"}</definedName>
    <definedName name="I">#REF!</definedName>
    <definedName name="ibir_cdi">#REF!</definedName>
    <definedName name="ibir_hist">#REF!</definedName>
    <definedName name="ibir_uss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hidden="1">{#N/A,#N/A,FALSE,"Plan1";#N/A,#N/A,FALSE,"Plan2"}</definedName>
    <definedName name="ieroweft" hidden="1">{#N/A,#N/A,FALSE,"Plan1";#N/A,#N/A,FALSE,"Plan2"}</definedName>
    <definedName name="iewpotqi5poejy" hidden="1">{#N/A,#N/A,FALSE,"Plan1";#N/A,#N/A,FALSE,"Plan2"}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hidden="1">#REF!</definedName>
    <definedName name="ihfdkjhktgrd" hidden="1">{#N/A,#N/A,FALSE,"Plan1";#N/A,#N/A,FALSE,"Plan2"}</definedName>
    <definedName name="ihrtetw4r" hidden="1">{#N/A,#N/A,FALSE,"Plan1";#N/A,#N/A,FALSE,"Plan2"}</definedName>
    <definedName name="II">#REF!</definedName>
    <definedName name="IIASDSAWE" hidden="1">{"Econ Consolidado",#N/A,FALSE,"Econ Consol";"Fluxo de Caixa",#N/A,FALSE,"Fluxo Caixa";"Investimentos",#N/A,FALSE,"Investimentos"}</definedName>
    <definedName name="III">#REF!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hidden="1">{#N/A,#N/A,FALSE,"Plan1";#N/A,#N/A,FALSE,"Plan2"}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>#REF!</definedName>
    <definedName name="IMP" hidden="1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>#REF!</definedName>
    <definedName name="Inss_Bloqueado_Previsão_Fin_Medições">#REF!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>OFFSET(#REF!,0,0,COUNTA(#REF!),1)</definedName>
    <definedName name="INSUMOS">#REF!</definedName>
    <definedName name="INT.FILTRO.NBASE">#REF!</definedName>
    <definedName name="INTEGRA" hidden="1">{"'Edit'!$A$1:$V$2277"}</definedName>
    <definedName name="IO">196.003</definedName>
    <definedName name="ioeriotyt" hidden="1">{#N/A,#N/A,FALSE,"Plan1";#N/A,#N/A,FALSE,"Plan2"}</definedName>
    <definedName name="iohudtorh" hidden="1">{#N/A,#N/A,FALSE,"Plan1";#N/A,#N/A,FALSE,"Plan2"}</definedName>
    <definedName name="iojtkheayed" hidden="1">{#N/A,#N/A,FALSE,"Plan1";#N/A,#N/A,FALSE,"Plan2"}</definedName>
    <definedName name="iouweroieuw4" hidden="1">{#N/A,#N/A,FALSE,"Plan1";#N/A,#N/A,FALSE,"Plan2"}</definedName>
    <definedName name="iphifpgh" hidden="1">{#N/A,#N/A,FALSE,"Plan1";#N/A,#N/A,FALSE,"Plan2"}</definedName>
    <definedName name="IPMF">#REF!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6">#REF!</definedName>
    <definedName name="item_1" localSheetId="18">#REF!</definedName>
    <definedName name="item_1" localSheetId="0">#REF!</definedName>
    <definedName name="item_1" localSheetId="7">#REF!</definedName>
    <definedName name="item_1" localSheetId="1">#REF!</definedName>
    <definedName name="item_1" localSheetId="8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>#REF!</definedName>
    <definedName name="ITENS0">#REF!</definedName>
    <definedName name="ITENS1">#REF!</definedName>
    <definedName name="ITENSP">#REF!</definedName>
    <definedName name="ITENSPMED">#REF!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>#REF!</definedName>
    <definedName name="iyguygiyt" hidden="1">{#N/A,#N/A,FALSE,"Plan1";#N/A,#N/A,FALSE,"Plan2"}</definedName>
    <definedName name="iyuyheturtd" hidden="1">{#N/A,#N/A,FALSE,"Plan1";#N/A,#N/A,FALSE,"Plan2"}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hidden="1">{#N/A,#N/A,FALSE,"Plan1";#N/A,#N/A,FALSE,"Plan2"}</definedName>
    <definedName name="jan_05">#REF!</definedName>
    <definedName name="jan17RJ">#REF!</definedName>
    <definedName name="JANEIRO2001">#REF!</definedName>
    <definedName name="JASDJS" hidden="1">{#N/A,#N/A,FALSE,"Plan1";#N/A,#N/A,FALSE,"Plan2"}</definedName>
    <definedName name="jaskldjlse" hidden="1">{#N/A,#N/A,FALSE,"Plan1";#N/A,#N/A,FALSE,"Plan2"}</definedName>
    <definedName name="JASLDKLD" hidden="1">{#N/A,#N/A,FALSE,"Plan1";#N/A,#N/A,FALSE,"Plan2"}</definedName>
    <definedName name="jasoe" hidden="1">#REF!</definedName>
    <definedName name="jbzxffcbgdhgft" hidden="1">#REF!</definedName>
    <definedName name="JÇDFHDF" hidden="1">{"Econ Consolidado",#N/A,FALSE,"Econ Consol";"Fluxo de Caixa",#N/A,FALSE,"Fluxo Caixa";"Investimentos",#N/A,FALSE,"Investimentos"}</definedName>
    <definedName name="jdbgftbhr" hidden="1">{#N/A,#N/A,FALSE,"Plan1";#N/A,#N/A,FALSE,"Plan2"}</definedName>
    <definedName name="jdfgkrhgft" hidden="1">#REF!</definedName>
    <definedName name="jdfgldfjgklh" hidden="1">{#N/A,#N/A,FALSE,"Plan1";#N/A,#N/A,FALSE,"Plan2"}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hidden="1">{#N/A,#N/A,FALSE,"Plan1";#N/A,#N/A,FALSE,"Plan2"}</definedName>
    <definedName name="JDFJLDJR" hidden="1">{#N/A,#N/A,FALSE,"Plan1";#N/A,#N/A,FALSE,"Plan2"}</definedName>
    <definedName name="jdfkgitfgdrtt" hidden="1">{#N/A,#N/A,FALSE,"Plan1";#N/A,#N/A,FALSE,"Plan2"}</definedName>
    <definedName name="JDFKHFKJ" hidden="1">{#N/A,#N/A,FALSE,"Plan1";#N/A,#N/A,FALSE,"Plan2"}</definedName>
    <definedName name="jdfklgtdtr" hidden="1">{#N/A,#N/A,FALSE,"Plan1";#N/A,#N/A,FALSE,"Plan2"}</definedName>
    <definedName name="JDFKTHRT" hidden="1">{#N/A,#N/A,FALSE,"Plan1";#N/A,#N/A,FALSE,"Plan2"}</definedName>
    <definedName name="JDFLKJDRF" hidden="1">{#N/A,#N/A,FALSE,"Plan1";#N/A,#N/A,FALSE,"Plan2"}</definedName>
    <definedName name="jdfzlkjgfdht" hidden="1">{#N/A,#N/A,FALSE,"Plan1";#N/A,#N/A,FALSE,"Plan2"}</definedName>
    <definedName name="jdglhfghkt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hidden="1">{#N/A,#N/A,FALSE,"Plan1";#N/A,#N/A,FALSE,"Plan2"}</definedName>
    <definedName name="jdkfjdtr" hidden="1">{#N/A,#N/A,FALSE,"Plan1";#N/A,#N/A,FALSE,"Plan2"}</definedName>
    <definedName name="jdljgftldjti5r" hidden="1">{#N/A,#N/A,FALSE,"Plan1";#N/A,#N/A,FALSE,"Plan2"}</definedName>
    <definedName name="JDLKJDASGF" hidden="1">{#N/A,#N/A,FALSE,"Plan1";#N/A,#N/A,FALSE,"Plan2"}</definedName>
    <definedName name="jdrfkdjfghrtfjg" hidden="1">{#N/A,#N/A,FALSE,"Plan1";#N/A,#N/A,FALSE,"Plan2"}</definedName>
    <definedName name="jdskfhdk" hidden="1">{#N/A,#N/A,FALSE,"Plan1";#N/A,#N/A,FALSE,"Plan2"}</definedName>
    <definedName name="JDSKLGKDRHGGF" hidden="1">{#N/A,#N/A,FALSE,"Plan1";#N/A,#N/A,FALSE,"Plan2"}</definedName>
    <definedName name="jefsgfr" hidden="1">{#N/A,#N/A,FALSE,"Plan1";#N/A,#N/A,FALSE,"Plan2"}</definedName>
    <definedName name="JERHIEHYURE" hidden="1">{#N/A,#N/A,FALSE,"Plan1";#N/A,#N/A,FALSE,"Plan2"}</definedName>
    <definedName name="jfddlsrtyty" hidden="1">{#N/A,#N/A,FALSE,"Plan1";#N/A,#N/A,FALSE,"Plan2"}</definedName>
    <definedName name="jfdjtgdjghitfyh" hidden="1">{#N/A,#N/A,FALSE,"Plan1";#N/A,#N/A,FALSE,"Plan2"}</definedName>
    <definedName name="jfdkgkftftg" hidden="1">{#N/A,#N/A,FALSE,"Plan1";#N/A,#N/A,FALSE,"Plan2"}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hidden="1">{#N/A,#N/A,FALSE,"Plan1";#N/A,#N/A,FALSE,"Plan2"}</definedName>
    <definedName name="jfgkflcnjkglc" hidden="1">{#N/A,#N/A,FALSE,"Plan1";#N/A,#N/A,FALSE,"Plan2"}</definedName>
    <definedName name="JFHRE" hidden="1">{#N/A,#N/A,FALSE,"Plan1";#N/A,#N/A,FALSE,"Plan2"}</definedName>
    <definedName name="jfkdls5jtirjd" hidden="1">{#N/A,#N/A,FALSE,"Plan1";#N/A,#N/A,FALSE,"Plan2"}</definedName>
    <definedName name="jfkljdkfcj" hidden="1">{#N/A,#N/A,FALSE,"Plan1";#N/A,#N/A,FALSE,"Plan2"}</definedName>
    <definedName name="jfkrhdtghdut" hidden="1">{#N/A,#N/A,FALSE,"Plan1";#N/A,#N/A,FALSE,"Plan2"}</definedName>
    <definedName name="JFRESR" hidden="1">{#N/A,#N/A,FALSE,"Plan1";#N/A,#N/A,FALSE,"Plan2"}</definedName>
    <definedName name="jgdfdgfjgdj" hidden="1">{#N/A,#N/A,FALSE,"Plan1";#N/A,#N/A,FALSE,"Plan2"}</definedName>
    <definedName name="jgdfght" hidden="1">{#N/A,#N/A,FALSE,"Plan1";#N/A,#N/A,FALSE,"Plan2"}</definedName>
    <definedName name="jgfgdsgfdhrf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hidden="1">{#N/A,#N/A,FALSE,"Plan1";#N/A,#N/A,FALSE,"Plan2"}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hidden="1">{#N/A,#N/A,FALSE,"Plan1";#N/A,#N/A,FALSE,"Plan2"}</definedName>
    <definedName name="jhdfjkhtrdhf" hidden="1">{#N/A,#N/A,FALSE,"Plan1";#N/A,#N/A,FALSE,"Plan2"}</definedName>
    <definedName name="jhdfuthr" hidden="1">{#N/A,#N/A,FALSE,"Plan1";#N/A,#N/A,FALSE,"Plan2"}</definedName>
    <definedName name="JHDFZGRDHF" hidden="1">{"Econ Consolidado",#N/A,FALSE,"Econ Consol";"Fluxo de Caixa",#N/A,FALSE,"Fluxo Caixa";"Investimentos",#N/A,FALSE,"Investimentos"}</definedName>
    <definedName name="JHERKHKFGH" hidden="1">{#N/A,#N/A,FALSE,"Plan1";#N/A,#N/A,FALSE,"Plan2"}</definedName>
    <definedName name="jhfhhztfhe" hidden="1">#REF!</definedName>
    <definedName name="JHGKJFJFJGL" hidden="1">{#N/A,#N/A,FALSE,"Plan1";#N/A,#N/A,FALSE,"Plan2"}</definedName>
    <definedName name="jhsdjkhfuks" hidden="1">{#N/A,#N/A,FALSE,"Plan1";#N/A,#N/A,FALSE,"Plan2"}</definedName>
    <definedName name="jisdrkje" hidden="1">{#N/A,#N/A,FALSE,"Plan1";#N/A,#N/A,FALSE,"Plan2"}</definedName>
    <definedName name="jishfrieyhtau" hidden="1">{#N/A,#N/A,FALSE,"Plan1";#N/A,#N/A,FALSE,"Plan2"}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hidden="1">{#N/A,#N/A,FALSE,"Plan1";#N/A,#N/A,FALSE,"Plan2"}</definedName>
    <definedName name="jjjjjjjjjjjjjjjjjjjj">#REF!</definedName>
    <definedName name="jjkjkjk" hidden="1">{#N/A,#N/A,FALSE,"Plan1";#N/A,#N/A,FALSE,"Plan2"}</definedName>
    <definedName name="JKDCK" hidden="1">{#N/A,#N/A,FALSE,"Plan1";#N/A,#N/A,FALSE,"Plan2"}</definedName>
    <definedName name="JKDFHKHFR" hidden="1">{#N/A,#N/A,FALSE,"Plan1";#N/A,#N/A,FALSE,"Plan2"}</definedName>
    <definedName name="JKDFTRDRJ" hidden="1">{#N/A,#N/A,FALSE,"Plan1";#N/A,#N/A,FALSE,"Plan2"}</definedName>
    <definedName name="jkdhfukhddf" hidden="1">{#N/A,#N/A,FALSE,"Plan1";#N/A,#N/A,FALSE,"Plan2"}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hidden="1">{#N/A,#N/A,FALSE,"Plan1";#N/A,#N/A,FALSE,"Plan2"}</definedName>
    <definedName name="jkfhjgkfhghh" hidden="1">{#N/A,#N/A,FALSE,"Plan1";#N/A,#N/A,FALSE,"Plan2"}</definedName>
    <definedName name="jkhderjkhes" hidden="1">{#N/A,#N/A,FALSE,"Plan1";#N/A,#N/A,FALSE,"Plan2"}</definedName>
    <definedName name="jkhdfhfd" hidden="1">{#N/A,#N/A,FALSE,"Plan1";#N/A,#N/A,FALSE,"Plan2"}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hidden="1">{#N/A,#N/A,FALSE,"Plan1";#N/A,#N/A,FALSE,"Plan2"}</definedName>
    <definedName name="JKHGDHFUHTG" hidden="1">{#N/A,#N/A,FALSE,"Plan1";#N/A,#N/A,FALSE,"Plan2"}</definedName>
    <definedName name="jkhsdzjkfyiu" hidden="1">{#N/A,#N/A,FALSE,"Plan1";#N/A,#N/A,FALSE,"Plan2"}</definedName>
    <definedName name="jkjsdkhfdhrf" hidden="1">{#N/A,#N/A,FALSE,"Plan1";#N/A,#N/A,FALSE,"Plan2"}</definedName>
    <definedName name="jklgfsjgtjtg" hidden="1">{#N/A,#N/A,FALSE,"Plan1";#N/A,#N/A,FALSE,"Plan2"}</definedName>
    <definedName name="jksldfjsdhf" hidden="1">{#N/A,#N/A,FALSE,"Plan1";#N/A,#N/A,FALSE,"Plan2"}</definedName>
    <definedName name="jkxhcjkhfr" hidden="1">{#N/A,#N/A,FALSE,"Plan1";#N/A,#N/A,FALSE,"Plan2"}</definedName>
    <definedName name="JNGCKFKJFGH" hidden="1">{#N/A,#N/A,FALSE,"Plan1";#N/A,#N/A,FALSE,"Plan2"}</definedName>
    <definedName name="JOALDO">#REF!</definedName>
    <definedName name="joao_cdi">#REF!</definedName>
    <definedName name="joao_hist">#REF!</definedName>
    <definedName name="joao_uss">#REF!</definedName>
    <definedName name="JREJRW" hidden="1">{#N/A,#N/A,FALSE,"Plan1";#N/A,#N/A,FALSE,"Plan2"}</definedName>
    <definedName name="JSADKAH" hidden="1">{"Econ Consolidado",#N/A,FALSE,"Econ Consol";"Fluxo de Caixa",#N/A,FALSE,"Fluxo Caixa";"Investimentos",#N/A,FALSE,"Investimentos"}</definedName>
    <definedName name="JSDAJRE" hidden="1">{#N/A,#N/A,FALSE,"Plan1";#N/A,#N/A,FALSE,"Plan2"}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hidden="1">{#N/A,#N/A,FALSE,"Plan1";#N/A,#N/A,FALSE,"Plan2"}</definedName>
    <definedName name="jsdfkgnfr" hidden="1">#REF!</definedName>
    <definedName name="jsdfsdfd" hidden="1">{#N/A,#N/A,FALSE,"Plan1";#N/A,#N/A,FALSE,"Plan2"}</definedName>
    <definedName name="jsdljficd" hidden="1">{#N/A,#N/A,FALSE,"Plan1";#N/A,#N/A,FALSE,"Plan2"}</definedName>
    <definedName name="JSDTLFJDRG" hidden="1">{#N/A,#N/A,FALSE,"Plan1";#N/A,#N/A,FALSE,"Plan2"}</definedName>
    <definedName name="jsfjsjferwea" hidden="1">{#N/A,#N/A,FALSE,"Plan1";#N/A,#N/A,FALSE,"Plan2"}</definedName>
    <definedName name="jslrjer" hidden="1">{#N/A,#N/A,FALSE,"Plan1";#N/A,#N/A,FALSE,"Plan2"}</definedName>
    <definedName name="juklhkhdf" hidden="1">{#N/A,#N/A,FALSE,"Plan1";#N/A,#N/A,FALSE,"Plan2"}</definedName>
    <definedName name="jul17RJ">#REF!</definedName>
    <definedName name="JULHO">#REF!</definedName>
    <definedName name="JULHO2001">#REF!</definedName>
    <definedName name="JULHO99" hidden="1">{#N/A,#N/A,TRUE,"Quinzena 01 à 15-04-98 "}</definedName>
    <definedName name="jun17RJ">#REF!</definedName>
    <definedName name="JUNHO">#REF!</definedName>
    <definedName name="JUNHO2001">#REF!</definedName>
    <definedName name="JurosTpMes">#REF!</definedName>
    <definedName name="jwekljd" hidden="1">{#N/A,#N/A,FALSE,"Plan1";#N/A,#N/A,FALSE,"Plan2"}</definedName>
    <definedName name="JWEOITORU5Y" hidden="1">{#N/A,#N/A,FALSE,"Plan1";#N/A,#N/A,FALSE,"Plan2"}</definedName>
    <definedName name="jxdfjsrf" hidden="1">{#N/A,#N/A,FALSE,"Plan1";#N/A,#N/A,FALSE,"Plan2"}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hidden="1">{#N/A,#N/A,FALSE,"Plan1";#N/A,#N/A,FALSE,"Plan2"}</definedName>
    <definedName name="JZXFKLJLDJF" hidden="1">{#N/A,#N/A,FALSE,"Plan1";#N/A,#N/A,FALSE,"Plan2"}</definedName>
    <definedName name="jzxklfdlvgfg" hidden="1">{#N/A,#N/A,FALSE,"Plan1";#N/A,#N/A,FALSE,"Plan2"}</definedName>
    <definedName name="k" hidden="1">{#N/A,#N/A,FALSE,"Plan1";#N/A,#N/A,FALSE,"Plan2"}</definedName>
    <definedName name="K_1">#REF!</definedName>
    <definedName name="kaedkroswr" hidden="1">{"Econ Consolidado",#N/A,FALSE,"Econ Consol";"Fluxo de Caixa",#N/A,FALSE,"Fluxo Caixa";"Investimentos",#N/A,FALSE,"Investimentos"}</definedName>
    <definedName name="kapa">#REF!</definedName>
    <definedName name="kç\lKçaksdçaqew" hidden="1">{#N/A,#N/A,FALSE,"Plan1";#N/A,#N/A,FALSE,"Plan2"}</definedName>
    <definedName name="kçdasekr" hidden="1">{#N/A,#N/A,FALSE,"Plan1";#N/A,#N/A,FALSE,"Plan2"}</definedName>
    <definedName name="kçfdljtredr" hidden="1">{#N/A,#N/A,FALSE,"Plan1";#N/A,#N/A,FALSE,"Plan2"}</definedName>
    <definedName name="KCIVIL">#REF!</definedName>
    <definedName name="kclçkglf" hidden="1">{#N/A,#N/A,FALSE,"Plan1";#N/A,#N/A,FALSE,"Plan2"}</definedName>
    <definedName name="kçlkasçkere" hidden="1">{#N/A,#N/A,FALSE,"Plan1";#N/A,#N/A,FALSE,"Plan2"}</definedName>
    <definedName name="kdfbngtjkbf" hidden="1">{#N/A,#N/A,FALSE,"Plan1";#N/A,#N/A,FALSE,"Plan2"}</definedName>
    <definedName name="kdfhkghkrh" hidden="1">{#N/A,#N/A,FALSE,"Plan1";#N/A,#N/A,FALSE,"Plan2"}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hidden="1">{#N/A,#N/A,FALSE,"Plan1";#N/A,#N/A,FALSE,"Plan2"}</definedName>
    <definedName name="kdfljlfr" hidden="1">{#N/A,#N/A,FALSE,"Plan1";#N/A,#N/A,FALSE,"Plan2"}</definedName>
    <definedName name="kdhfgkdfhytgu" hidden="1">{#N/A,#N/A,FALSE,"Plan1";#N/A,#N/A,FALSE,"Plan2"}</definedName>
    <definedName name="kdhgftfg" hidden="1">{#N/A,#N/A,FALSE,"Plan1";#N/A,#N/A,FALSE,"Plan2"}</definedName>
    <definedName name="KDHKFGKKHGF" hidden="1">{#N/A,#N/A,FALSE,"Plan1";#N/A,#N/A,FALSE,"Plan2"}</definedName>
    <definedName name="kdjfdr" hidden="1">#REF!</definedName>
    <definedName name="kdjgkfjgd" hidden="1">{#N/A,#N/A,FALSE,"Plan1";#N/A,#N/A,FALSE,"Plan2"}</definedName>
    <definedName name="kdjglkdlgjd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hidden="1">{#N/A,#N/A,FALSE,"Plan1";#N/A,#N/A,FALSE,"Plan2"}</definedName>
    <definedName name="kdsf" hidden="1">{#N/A,#N/A,FALSE,"Plan1";#N/A,#N/A,FALSE,"Plan2"}</definedName>
    <definedName name="kdsr" hidden="1">{#N/A,#N/A,FALSE,"Plan1";#N/A,#N/A,FALSE,"Plan2"}</definedName>
    <definedName name="kergtfdstr" hidden="1">{#N/A,#N/A,FALSE,"Plan1";#N/A,#N/A,FALSE,"Plan2"}</definedName>
    <definedName name="kesp">#REF!</definedName>
    <definedName name="KFDKTHGT" hidden="1">{#N/A,#N/A,FALSE,"Plan1";#N/A,#N/A,FALSE,"Plan2"}</definedName>
    <definedName name="kfdxlfdzs" hidden="1">{"Econ Consolidado",#N/A,FALSE,"Econ Consol";"Fluxo de Caixa",#N/A,FALSE,"Fluxo Caixa";"Investimentos",#N/A,FALSE,"Investimentos"}</definedName>
    <definedName name="kfgkhjkjhy" hidden="1">{#N/A,#N/A,FALSE,"Plan1";#N/A,#N/A,FALSE,"Plan2"}</definedName>
    <definedName name="KFJFDSDF" hidden="1">{#N/A,#N/A,FALSE,"Plan1";#N/A,#N/A,FALSE,"Plan2"}</definedName>
    <definedName name="kfnkeasd" hidden="1">{#N/A,#N/A,FALSE,"Plan1";#N/A,#N/A,FALSE,"Plan2"}</definedName>
    <definedName name="khdjkfkjhtg" hidden="1">{#N/A,#N/A,FALSE,"Plan1";#N/A,#N/A,FALSE,"Plan2"}</definedName>
    <definedName name="khdkfjhhfsdg" hidden="1">{#N/A,#N/A,FALSE,"Plan1";#N/A,#N/A,FALSE,"Plan2"}</definedName>
    <definedName name="khdkjfhgudytu" hidden="1">{#N/A,#N/A,FALSE,"Plan1";#N/A,#N/A,FALSE,"Plan2"}</definedName>
    <definedName name="khfdghhhgd" hidden="1">{#N/A,#N/A,FALSE,"Plan1";#N/A,#N/A,FALSE,"Plan2"}</definedName>
    <definedName name="khfdkjhsdjf" hidden="1">{#N/A,#N/A,FALSE,"Plan1";#N/A,#N/A,FALSE,"Plan2"}</definedName>
    <definedName name="khgdkftfy" hidden="1">{#N/A,#N/A,FALSE,"Plan1";#N/A,#N/A,FALSE,"Plan2"}</definedName>
    <definedName name="khgfhhtuhf" hidden="1">{#N/A,#N/A,FALSE,"Plan1";#N/A,#N/A,FALSE,"Plan2"}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hidden="1">{#N/A,#N/A,FALSE,"Plan1";#N/A,#N/A,FALSE,"Plan2"}</definedName>
    <definedName name="kieret" hidden="1">{#N/A,#N/A,FALSE,"Plan1";#N/A,#N/A,FALSE,"Plan2"}</definedName>
    <definedName name="kiweokwr" hidden="1">#REF!</definedName>
    <definedName name="kjchkfhsezk" hidden="1">{#N/A,#N/A,FALSE,"Plan1";#N/A,#N/A,FALSE,"Plan2"}</definedName>
    <definedName name="kjdghksef" hidden="1">{#N/A,#N/A,FALSE,"Plan1";#N/A,#N/A,FALSE,"Plan2"}</definedName>
    <definedName name="kjdkftyhtert" hidden="1">{#N/A,#N/A,FALSE,"Plan1";#N/A,#N/A,FALSE,"Plan2"}</definedName>
    <definedName name="kjdlfkjds" hidden="1">{#N/A,#N/A,FALSE,"Plan1";#N/A,#N/A,FALSE,"Plan2"}</definedName>
    <definedName name="kjdzhfytrfy" hidden="1">{#N/A,#N/A,FALSE,"Plan1";#N/A,#N/A,FALSE,"Plan2"}</definedName>
    <definedName name="kjhdfgjthdft" hidden="1">{#N/A,#N/A,FALSE,"Plan1";#N/A,#N/A,FALSE,"Plan2"}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hidden="1">{#N/A,#N/A,FALSE,"Plan1";#N/A,#N/A,FALSE,"Plan2"}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hidden="1">{#N/A,#N/A,FALSE,"Plan1";#N/A,#N/A,FALSE,"Plan2"}</definedName>
    <definedName name="kjl" hidden="1">{#N/A,#N/A,FALSE,"ENG'G(보호계전기)"}</definedName>
    <definedName name="KJOI" hidden="1">{#N/A,#N/A,FALSE,"Plan1";#N/A,#N/A,FALSE,"Plan2"}</definedName>
    <definedName name="kjqwerw" hidden="1">{#N/A,#N/A,FALSE,"Plan1";#N/A,#N/A,FALSE,"Plan2"}</definedName>
    <definedName name="kjsfert" hidden="1">{#N/A,#N/A,FALSE,"Plan1";#N/A,#N/A,FALSE,"Plan2"}</definedName>
    <definedName name="KJXCFKR" hidden="1">{#N/A,#N/A,FALSE,"Plan1";#N/A,#N/A,FALSE,"Plan2"}</definedName>
    <definedName name="KJXDFD" hidden="1">{#N/A,#N/A,FALSE,"Plan1";#N/A,#N/A,FALSE,"Plan2"}</definedName>
    <definedName name="kjydhfkjghkjfh" hidden="1">#REF!</definedName>
    <definedName name="kk">#REF!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hidden="1">{#N/A,#N/A,FALSE,"Plan1";#N/A,#N/A,FALSE,"Plan2"}</definedName>
    <definedName name="kkkkk" hidden="1">{#N/A,#N/A,FALSE,"Plan1";#N/A,#N/A,FALSE,"Plan2"}</definedName>
    <definedName name="kkkkkk" hidden="1">{#N/A,#N/A,FALSE,"Plan1";#N/A,#N/A,FALSE,"Plan2"}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hidden="1">{#N/A,#N/A,FALSE,"Plan1";#N/A,#N/A,FALSE,"Plan2"}</definedName>
    <definedName name="kksarde" hidden="1">{#N/A,#N/A,FALSE,"Plan1";#N/A,#N/A,FALSE,"Plan2"}</definedName>
    <definedName name="klaskldjsw" hidden="1">{#N/A,#N/A,FALSE,"Plan1";#N/A,#N/A,FALSE,"Plan2"}</definedName>
    <definedName name="klçkop" hidden="1">{#N/A,#N/A,FALSE,"Plan1";#N/A,#N/A,FALSE,"Plan2"}</definedName>
    <definedName name="KLDFNTRDT" hidden="1">{#N/A,#N/A,FALSE,"Plan1";#N/A,#N/A,FALSE,"Plan2"}</definedName>
    <definedName name="klhjsdklhdf" hidden="1">{#N/A,#N/A,FALSE,"Plan1";#N/A,#N/A,FALSE,"Plan2"}</definedName>
    <definedName name="KLHSKLRHWE" hidden="1">{#N/A,#N/A,FALSE,"Plan1";#N/A,#N/A,FALSE,"Plan2"}</definedName>
    <definedName name="KLJASKJD" hidden="1">{#N/A,#N/A,FALSE,"Plan1";#N/A,#N/A,FALSE,"Plan2"}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hidden="1">{#N/A,#N/A,FALSE,"Plan1";#N/A,#N/A,FALSE,"Plan2"}</definedName>
    <definedName name="kljflgjrf" hidden="1">{#N/A,#N/A,FALSE,"Plan1";#N/A,#N/A,FALSE,"Plan2"}</definedName>
    <definedName name="kljgfdfr" hidden="1">{#N/A,#N/A,FALSE,"Plan1";#N/A,#N/A,FALSE,"Plan2"}</definedName>
    <definedName name="kljgfjrt" hidden="1">{#N/A,#N/A,FALSE,"Plan1";#N/A,#N/A,FALSE,"Plan2"}</definedName>
    <definedName name="kljlkdfj" hidden="1">{#N/A,#N/A,FALSE,"Plan1";#N/A,#N/A,FALSE,"Plan2"}</definedName>
    <definedName name="kljsakjfr" hidden="1">{#N/A,#N/A,FALSE,"Plan1";#N/A,#N/A,FALSE,"Plan2"}</definedName>
    <definedName name="kljsdje" hidden="1">{#N/A,#N/A,FALSE,"Plan1";#N/A,#N/A,FALSE,"Plan2"}</definedName>
    <definedName name="kljsfwe" hidden="1">{#N/A,#N/A,FALSE,"Plan1";#N/A,#N/A,FALSE,"Plan2"}</definedName>
    <definedName name="klk" hidden="1">{#N/A,#N/A,FALSE,"Plan1";#N/A,#N/A,FALSE,"Plan2"}</definedName>
    <definedName name="KLKKLKÇJÇ" hidden="1">{#N/A,#N/A,FALSE,"Plan1";#N/A,#N/A,FALSE,"Plan2"}</definedName>
    <definedName name="KLSDFT" hidden="1">{#N/A,#N/A,FALSE,"Plan1";#N/A,#N/A,FALSE,"Plan2"}</definedName>
    <definedName name="KLSDHSJKHF" hidden="1">{#N/A,#N/A,FALSE,"Plan1";#N/A,#N/A,FALSE,"Plan2"}</definedName>
    <definedName name="klsdkre" hidden="1">{#N/A,#N/A,FALSE,"Plan1";#N/A,#N/A,FALSE,"Plan2"}</definedName>
    <definedName name="KLSIDJE" hidden="1">{#N/A,#N/A,FALSE,"Plan1";#N/A,#N/A,FALSE,"Plan2"}</definedName>
    <definedName name="klsjarsf" hidden="1">{#N/A,#N/A,FALSE,"Plan1";#N/A,#N/A,FALSE,"Plan2"}</definedName>
    <definedName name="klsjdwe" hidden="1">#REF!</definedName>
    <definedName name="klxhjfdkhser" hidden="1">{#N/A,#N/A,FALSE,"Plan1";#N/A,#N/A,FALSE,"Plan2"}</definedName>
    <definedName name="kopipnsdfne" hidden="1">{#N/A,#N/A,FALSE,"Plan1";#N/A,#N/A,FALSE,"Plan2"}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hidden="1">{#N/A,#N/A,FALSE,"Plan1";#N/A,#N/A,FALSE,"Plan2"}</definedName>
    <definedName name="ksdlkfsçzd" hidden="1">{#N/A,#N/A,FALSE,"Plan1";#N/A,#N/A,FALSE,"Plan2"}</definedName>
    <definedName name="KSDNFK">#REF!</definedName>
    <definedName name="ksdoçierfe" hidden="1">{#N/A,#N/A,FALSE,"Plan1";#N/A,#N/A,FALSE,"Plan2"}</definedName>
    <definedName name="ksdtrdrkf" hidden="1">{#N/A,#N/A,FALSE,"Plan1";#N/A,#N/A,FALSE,"Plan2"}</definedName>
    <definedName name="KSFÇJDFJL" hidden="1">{#N/A,#N/A,FALSE,"Plan1";#N/A,#N/A,FALSE,"Plan2"}</definedName>
    <definedName name="ksfhse" hidden="1">{#N/A,#N/A,FALSE,"Plan1";#N/A,#N/A,FALSE,"Plan2"}</definedName>
    <definedName name="KSRKOE" hidden="1">{#N/A,#N/A,FALSE,"Plan1";#N/A,#N/A,FALSE,"Plan2"}</definedName>
    <definedName name="KSWKE" hidden="1">{#N/A,#N/A,FALSE,"Plan1";#N/A,#N/A,FALSE,"Plan2"}</definedName>
    <definedName name="kubus">#REF!</definedName>
    <definedName name="kubus1">#REF!</definedName>
    <definedName name="kysdusf" hidden="1">{#N/A,#N/A,FALSE,"Plan1";#N/A,#N/A,FALSE,"Plan2"}</definedName>
    <definedName name="kzslçdkçle" hidden="1">{#N/A,#N/A,FALSE,"Plan1";#N/A,#N/A,FALSE,"Plan2"}</definedName>
    <definedName name="L_">#REF!</definedName>
    <definedName name="LAEKWRK" hidden="1">{#N/A,#N/A,FALSE,"Plan1";#N/A,#N/A,FALSE,"Plan2"}</definedName>
    <definedName name="laeqwep" hidden="1">#REF!</definedName>
    <definedName name="LAKDEWRF" hidden="1">{#N/A,#N/A,FALSE,"Plan1";#N/A,#N/A,FALSE,"Plan2"}</definedName>
    <definedName name="Lancamentos">#REF!</definedName>
    <definedName name="LARGURA">#REF!</definedName>
    <definedName name="LASÇDSRLF" hidden="1">{#N/A,#N/A,FALSE,"Plan1";#N/A,#N/A,FALSE,"Plan2"}</definedName>
    <definedName name="LASDAKWE" hidden="1">25</definedName>
    <definedName name="lasrlswer" hidden="1">{#N/A,#N/A,FALSE,"Plan1";#N/A,#N/A,FALSE,"Plan2"}</definedName>
    <definedName name="LAZER">#REF!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hidden="1">{#N/A,#N/A,FALSE,"Plan1";#N/A,#N/A,FALSE,"Plan2"}</definedName>
    <definedName name="lçasser" hidden="1">{#N/A,#N/A,FALSE,"Plan1";#N/A,#N/A,FALSE,"Plan2"}</definedName>
    <definedName name="lcdgjtklfrn" hidden="1">{#N/A,#N/A,FALSE,"Plan1";#N/A,#N/A,FALSE,"Plan2"}</definedName>
    <definedName name="lçfklsdkçaer" hidden="1">{#N/A,#N/A,FALSE,"Plan1";#N/A,#N/A,FALSE,"Plan2"}</definedName>
    <definedName name="lçjkgf" hidden="1">{#N/A,#N/A,FALSE,"Plan1";#N/A,#N/A,FALSE,"Plan2"}</definedName>
    <definedName name="LÇJSLDFJ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hidden="1">{#N/A,#N/A,FALSE,"Plan1";#N/A,#N/A,FALSE,"Plan2"}</definedName>
    <definedName name="lçslrr4r" hidden="1">{#N/A,#N/A,FALSE,"Plan1";#N/A,#N/A,FALSE,"Plan2"}</definedName>
    <definedName name="ldfjgry" hidden="1">{#N/A,#N/A,FALSE,"Plan1";#N/A,#N/A,FALSE,"Plan2"}</definedName>
    <definedName name="ldfjgtilrf" hidden="1">{#N/A,#N/A,FALSE,"Plan1";#N/A,#N/A,FALSE,"Plan2"}</definedName>
    <definedName name="ldk" hidden="1">{#N/A,#N/A,FALSE,"Plan1";#N/A,#N/A,FALSE,"Plan2"}</definedName>
    <definedName name="ldkgkdfjgkh" hidden="1">{#N/A,#N/A,FALSE,"Plan1";#N/A,#N/A,FALSE,"Plan2"}</definedName>
    <definedName name="LDTJGR" hidden="1">{#N/A,#N/A,FALSE,"Plan1";#N/A,#N/A,FALSE,"Plan2"}</definedName>
    <definedName name="Leg" hidden="1">#REF!</definedName>
    <definedName name="legr_cdi">#REF!</definedName>
    <definedName name="legr_hist">#REF!</definedName>
    <definedName name="legr_uss">#REF!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>#REF!</definedName>
    <definedName name="lfjdjrt" hidden="1">{#N/A,#N/A,FALSE,"Plan1";#N/A,#N/A,FALSE,"Plan2"}</definedName>
    <definedName name="LI">#REF!</definedName>
    <definedName name="LIDER_OPER">#REF!</definedName>
    <definedName name="lidfjgklruf" hidden="1">{#N/A,#N/A,FALSE,"Plan1";#N/A,#N/A,FALSE,"Plan2"}</definedName>
    <definedName name="LII">#REF!</definedName>
    <definedName name="LIII">#REF!</definedName>
    <definedName name="LIMBO">#REF!</definedName>
    <definedName name="limcount" hidden="1">3</definedName>
    <definedName name="LIN">#REF!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>#REF!</definedName>
    <definedName name="LISTA_CONTAS">#REF!</definedName>
    <definedName name="lista_empresa">OFFSET(INDEX(#REF!,MATCH(#REF!,#REF!,0)),1,0,COUNTA(#REF!)-1)</definedName>
    <definedName name="LISTA_FORNECEDORES">#REF!</definedName>
    <definedName name="LISTSEL">#REF!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>#REF!</definedName>
    <definedName name="LIX">#REF!</definedName>
    <definedName name="ljdfkgyt" hidden="1">{#N/A,#N/A,FALSE,"Plan1";#N/A,#N/A,FALSE,"Plan2"}</definedName>
    <definedName name="LJDFLJRL" hidden="1">{#N/A,#N/A,FALSE,"Plan1";#N/A,#N/A,FALSE,"Plan2"}</definedName>
    <definedName name="ljsdfrd" hidden="1">{#N/A,#N/A,FALSE,"Plan1";#N/A,#N/A,FALSE,"Plan2"}</definedName>
    <definedName name="LJSFLDJDLKFJG" hidden="1">#REF!</definedName>
    <definedName name="LK" hidden="1">{#N/A,#N/A,TRUE,"Quinzena 01 à 15-04-98 "}</definedName>
    <definedName name="lkasdkeo" hidden="1">{#N/A,#N/A,FALSE,"Plan1";#N/A,#N/A,FALSE,"Plan2"}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hidden="1">{#N/A,#N/A,FALSE,"Plan1";#N/A,#N/A,FALSE,"Plan2"}</definedName>
    <definedName name="lkt" hidden="1">{#N/A,#N/A,FALSE,"Plan1";#N/A,#N/A,FALSE,"Plan2"}</definedName>
    <definedName name="lktlyklt" hidden="1">{#N/A,#N/A,FALSE,"Plan1";#N/A,#N/A,FALSE,"Plan2"}</definedName>
    <definedName name="LKTTYT" hidden="1">{#N/A,#N/A,FALSE,"Plan1";#N/A,#N/A,FALSE,"Plan2"}</definedName>
    <definedName name="llgg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>#REF!</definedName>
    <definedName name="LOCALOBRA">#REF!</definedName>
    <definedName name="LS" localSheetId="16">'[1]M.O.'!#REF!</definedName>
    <definedName name="LS" localSheetId="18">'[1]M.O.'!#REF!</definedName>
    <definedName name="LS" localSheetId="0">'[1]M.O.'!#REF!</definedName>
    <definedName name="LS" localSheetId="7">'[1]M.O.'!#REF!</definedName>
    <definedName name="LS" localSheetId="1">'[1]M.O.'!#REF!</definedName>
    <definedName name="LS" localSheetId="8">'[1]M.O.'!#REF!</definedName>
    <definedName name="LS">'[1]M.O.'!#REF!</definedName>
    <definedName name="LSDFKLDKFTR" hidden="1">{#N/A,#N/A,FALSE,"Plan1";#N/A,#N/A,FALSE,"Plan2"}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hidden="1">{#N/A,#N/A,FALSE,"Plan1";#N/A,#N/A,FALSE,"Plan2"}</definedName>
    <definedName name="lsdsder" hidden="1">{#N/A,#N/A,FALSE,"Plan1";#N/A,#N/A,FALSE,"Plan2"}</definedName>
    <definedName name="ltj6ljyhdjhngças" hidden="1">{#N/A,#N/A,FALSE,"Plan1";#N/A,#N/A,FALSE,"Plan2"}</definedName>
    <definedName name="LUCRO">#REF!</definedName>
    <definedName name="luis_cdi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>#REF!</definedName>
    <definedName name="mai17RJ">#REF!</definedName>
    <definedName name="MAIO">#REF!</definedName>
    <definedName name="MAIO2001">#REF!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>#REF!</definedName>
    <definedName name="mar17RJ">#REF!</definedName>
    <definedName name="MARCAX">#REF!</definedName>
    <definedName name="MARÇO">#REF!</definedName>
    <definedName name="MARÇO2001">#REF!</definedName>
    <definedName name="martha">#REF!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>#REF!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>#REF!</definedName>
    <definedName name="mdfgtr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dido_Fin_Medições">#REF!</definedName>
    <definedName name="melo_cdi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6">#REF!</definedName>
    <definedName name="MENU" localSheetId="18">#REF!</definedName>
    <definedName name="MENU" localSheetId="0">#REF!</definedName>
    <definedName name="MENU" localSheetId="7">#REF!</definedName>
    <definedName name="MENU" localSheetId="1">#REF!</definedName>
    <definedName name="MENU" localSheetId="8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>#REF!</definedName>
    <definedName name="MetaBP">#REF!</definedName>
    <definedName name="MILENA" hidden="1">#REF!</definedName>
    <definedName name="Minha_Casa_Minha_Vida">#REF!</definedName>
    <definedName name="MLMÇLKJKI" hidden="1">{#N/A,#N/A,FALSE,"Plan1";#N/A,#N/A,FALSE,"Plan2"}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hidden="1">{"tabela",#N/A,FALSE,"Tabela";"decoração",#N/A,FALSE,"Decor.";"Informações",#N/A,FALSE,"Inform."}</definedName>
    <definedName name="mmmmmmm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NBXFKGS" hidden="1">{#N/A,#N/A,FALSE,"Plan1";#N/A,#N/A,FALSE,"Plan2"}</definedName>
    <definedName name="mncvbgcvmc" hidden="1">{#N/A,#N/A,FALSE,"Plan1";#N/A,#N/A,FALSE,"Plan2"}</definedName>
    <definedName name="MNDKZSFNCEA" hidden="1">{#N/A,#N/A,FALSE,"Plan1";#N/A,#N/A,FALSE,"Plan2"}</definedName>
    <definedName name="mnhdshfgfhd" hidden="1">{#N/A,#N/A,FALSE,"Plan1";#N/A,#N/A,FALSE,"Plan2"}</definedName>
    <definedName name="mo">#REF!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>#REF!</definedName>
    <definedName name="mond_cdi">#REF!</definedName>
    <definedName name="mond_hist">#REF!</definedName>
    <definedName name="mond_uss">#REF!</definedName>
    <definedName name="MP" hidden="1">{#N/A,#N/A,FALSE,"CCTV"}</definedName>
    <definedName name="MSDFJKDT" hidden="1">25</definedName>
    <definedName name="MSDRFSWER" hidden="1">{"Econ Consolidado",#N/A,FALSE,"Econ Consol";"Fluxo de Caixa",#N/A,FALSE,"Fluxo Caixa";"Investimentos",#N/A,FALSE,"Investimentos"}</definedName>
    <definedName name="MURBOMB">#REF!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hidden="1">{#N/A,#N/A,FALSE,"Plan1";#N/A,#N/A,FALSE,"Plan2"}</definedName>
    <definedName name="nchngdfhgdh" hidden="1">{#N/A,#N/A,FALSE,"Plan1";#N/A,#N/A,FALSE,"Plan2"}</definedName>
    <definedName name="NCJFKNGJHF" hidden="1">{#N/A,#N/A,FALSE,"Plan1";#N/A,#N/A,FALSE,"Plan2"}</definedName>
    <definedName name="NDATA">#REF!</definedName>
    <definedName name="ndcxhgdhf" hidden="1">{#N/A,#N/A,FALSE,"Plan1";#N/A,#N/A,FALSE,"Plan2"}</definedName>
    <definedName name="ndfjnjkrhdgt" hidden="1">{#N/A,#N/A,FALSE,"Plan1";#N/A,#N/A,FALSE,"Plan2"}</definedName>
    <definedName name="ndfkghkjthfyst" hidden="1">{#N/A,#N/A,FALSE,"Plan1";#N/A,#N/A,FALSE,"Plan2"}</definedName>
    <definedName name="ndfldslvjnvberugberqubquierbv">#REF!</definedName>
    <definedName name="NDJGKFKGHUFG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hidden="1">{#N/A,#N/A,FALSE,"Plan1";#N/A,#N/A,FALSE,"Plan2"}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hidden="1">{#N/A,#N/A,FALSE,"Plan1";#N/A,#N/A,FALSE,"Plan2"}</definedName>
    <definedName name="NJSDFHERTG" hidden="1">{#N/A,#N/A,FALSE,"Plan1";#N/A,#N/A,FALSE,"Plan2"}</definedName>
    <definedName name="nkfnsskdn" hidden="1">{#N/A,#N/A,FALSE,"Plan1";#N/A,#N/A,FALSE,"Plan2"}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>#REF!</definedName>
    <definedName name="nlaksjdwe" hidden="1">{#N/A,#N/A,FALSE,"Plan1";#N/A,#N/A,FALSE,"Plan2"}</definedName>
    <definedName name="nljsdfljfdsfr" hidden="1">{#N/A,#N/A,FALSE,"Plan1";#N/A,#N/A,FALSE,"Plan2"}</definedName>
    <definedName name="nm_k1">#REF!</definedName>
    <definedName name="nm_k2">#REF!</definedName>
    <definedName name="nm_k3">#REF!</definedName>
    <definedName name="nmjdfhxj" hidden="1">{#N/A,#N/A,FALSE,"Plan1";#N/A,#N/A,FALSE,"Plan2"}</definedName>
    <definedName name="nnmn" hidden="1">{#N/A,#N/A,FALSE,"Plan1";#N/A,#N/A,FALSE,"Plan2"}</definedName>
    <definedName name="nnn" hidden="1">{#N/A,#N/A,FALSE,"$170M Cash";#N/A,#N/A,FALSE,"$250M Cash";#N/A,#N/A,FALSE,"$325M Cash"}</definedName>
    <definedName name="nnnnnnnnnnn" hidden="1">{"HW",#N/A,FALSE,"1998"}</definedName>
    <definedName name="NNNNNNNNNNNNNNN" hidden="1">{#N/A,#N/A,FALSE,"Plan1";#N/A,#N/A,FALSE,"Plan2"}</definedName>
    <definedName name="nnnnnnnnnnnnnnnnnnnn" hidden="1">{#N/A,#N/A,FALSE,"Plan1";#N/A,#N/A,FALSE,"Plan2"}</definedName>
    <definedName name="NNXFT" hidden="1">{#N/A,#N/A,FALSE,"Plan1";#N/A,#N/A,FALSE,"Plan2"}</definedName>
    <definedName name="no">#REF!</definedName>
    <definedName name="NOME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hidden="1">{#N/A,#N/A,FALSE,"Plan1";#N/A,#N/A,FALSE,"Plan2"}</definedName>
    <definedName name="nsfljdiljrf" hidden="1">{#N/A,#N/A,FALSE,"Plan1";#N/A,#N/A,FALSE,"Plan2"}</definedName>
    <definedName name="NUCOPIAS">#REF!</definedName>
    <definedName name="NUMOBRA">#REF!</definedName>
    <definedName name="NutN">#REF!</definedName>
    <definedName name="nzxcnnjkd" hidden="1">{#N/A,#N/A,FALSE,"Plan1";#N/A,#N/A,FALSE,"Plan2"}</definedName>
    <definedName name="OAE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hidden="1">{#N/A,#N/A,FALSE,"Plan1";#N/A,#N/A,FALSE,"Plan2"}</definedName>
    <definedName name="ODH" hidden="1">#REF!</definedName>
    <definedName name="oficial_mes">#REF!</definedName>
    <definedName name="oficial2_mes">#REF!</definedName>
    <definedName name="oiditrot" hidden="1">{#N/A,#N/A,FALSE,"Plan1";#N/A,#N/A,FALSE,"Plan2"}</definedName>
    <definedName name="oio" hidden="1">{#N/A,#N/A,FALSE,"Plan1";#N/A,#N/A,FALSE,"Plan2"}</definedName>
    <definedName name="OITO">#REF!</definedName>
    <definedName name="oiufioorif" hidden="1">#REF!</definedName>
    <definedName name="OJÇLJ" hidden="1">{#N/A,#N/A,FALSE,"Plan1";#N/A,#N/A,FALSE,"Plan2"}</definedName>
    <definedName name="ojkdfit" hidden="1">{#N/A,#N/A,FALSE,"Plan1";#N/A,#N/A,FALSE,"Plan2"}</definedName>
    <definedName name="oMISSOS" hidden="1">#REF!</definedName>
    <definedName name="ONZE">#REF!</definedName>
    <definedName name="ooo" hidden="1">{#N/A,#N/A,FALSE,"Plan1";#N/A,#N/A,FALSE,"Plan2"}</definedName>
    <definedName name="OPASEDWED" hidden="1">{"Econ Consolidado",#N/A,FALSE,"Econ Consol";"Fluxo de Caixa",#N/A,FALSE,"Fluxo Caixa";"Investimentos",#N/A,FALSE,"Investimentos"}</definedName>
    <definedName name="opcao_taxa_desconto">#REF!</definedName>
    <definedName name="opções">#REF!</definedName>
    <definedName name="opiwre" hidden="1">{#N/A,#N/A,FALSE,"Plan1";#N/A,#N/A,FALSE,"Plan2"}</definedName>
    <definedName name="ORCAMEN">#REF!</definedName>
    <definedName name="Orcamentistas">#REF!</definedName>
    <definedName name="origem_recebiveis">#REF!</definedName>
    <definedName name="origem_unidades">#REF!</definedName>
    <definedName name="Origem2_Recebimento_Fin_Medições">#REF!</definedName>
    <definedName name="os" hidden="1">{#N/A,#N/A,FALSE,"TABLE"}</definedName>
    <definedName name="osca_cdi">#REF!</definedName>
    <definedName name="osca_hist">#REF!</definedName>
    <definedName name="osca_uss">#REF!</definedName>
    <definedName name="otodgkrjglsrd" hidden="1">{#N/A,#N/A,FALSE,"Plan1";#N/A,#N/A,FALSE,"Plan2"}</definedName>
    <definedName name="OUERWRSR" hidden="1">{#N/A,#N/A,FALSE,"Plan1";#N/A,#N/A,FALSE,"Plan2"}</definedName>
    <definedName name="out17RJ">#REF!</definedName>
    <definedName name="outro" hidden="1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>#REF!</definedName>
    <definedName name="oxfo_hist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>ROW()-Linha_Cabeçalho</definedName>
    <definedName name="Pago_Até_2015_Controladoria">#REF!</definedName>
    <definedName name="Pal_Workbook_GUID" hidden="1">"3HURD34M2XKWJ5V6M4BWCR5Q"</definedName>
    <definedName name="PAP">#REF!</definedName>
    <definedName name="PARAM_FIS_1">#REF!</definedName>
    <definedName name="PARAM_FIS_2">#REF!</definedName>
    <definedName name="ParamValues1">[3]ParamValues!$A$1:$A$39</definedName>
    <definedName name="ParamValues2">#REF!</definedName>
    <definedName name="Parao_E">#REF!</definedName>
    <definedName name="Parede1">#REF!</definedName>
    <definedName name="Parede2">#REF!</definedName>
    <definedName name="PAREDES">#REF!</definedName>
    <definedName name="PAV" localSheetId="16">#REF!</definedName>
    <definedName name="PAV" localSheetId="18">#REF!</definedName>
    <definedName name="PAV" localSheetId="0">#REF!</definedName>
    <definedName name="PAV" localSheetId="7">#REF!</definedName>
    <definedName name="PAV" localSheetId="1">#REF!</definedName>
    <definedName name="PAV" localSheetId="8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>#REF!</definedName>
    <definedName name="Perímetro_lajão">#REF!</definedName>
    <definedName name="Perímetro_Terreno">#REF!</definedName>
    <definedName name="Perímetro_torre">#REF!</definedName>
    <definedName name="pessoal">#REF!</definedName>
    <definedName name="petro2" hidden="1">#REF!</definedName>
    <definedName name="PhyG">#REF!</definedName>
    <definedName name="PhyGS">#REF!</definedName>
    <definedName name="PI">#REF!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>#REF!</definedName>
    <definedName name="Pintura">'[1]M.O.'!#REF!</definedName>
    <definedName name="PIS_COFINS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hidden="1">{#N/A,#N/A,TRUE,"Quinzena 01 à 15-04-98 "}</definedName>
    <definedName name="Placas_Areas" hidden="1">{#N/A,#N/A,TRUE,"Quinzena 01 à 15-04-98 "}</definedName>
    <definedName name="plan" hidden="1">#REF!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>#REF!</definedName>
    <definedName name="Planilha2">#REF!</definedName>
    <definedName name="plasçdeaw" hidden="1">{#N/A,#N/A,FALSE,"Plan1";#N/A,#N/A,FALSE,"Plan2"}</definedName>
    <definedName name="plaslrswe" hidden="1">{#N/A,#N/A,FALSE,"Plan1";#N/A,#N/A,FALSE,"Plan2"}</definedName>
    <definedName name="pls" hidden="1">#REF!</definedName>
    <definedName name="plsearpef" hidden="1">{#N/A,#N/A,FALSE,"Plan1";#N/A,#N/A,FALSE,"Plan2"}</definedName>
    <definedName name="plss" hidden="1">{#N/A,#N/A,FALSE,"Plan1";#N/A,#N/A,FALSE,"Plan2"}</definedName>
    <definedName name="PMUR">#REF!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>#REF!</definedName>
    <definedName name="Pós_Chaves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>OFFSET(#REF!,0,0,COUNTA(#REF!),1)</definedName>
    <definedName name="Previsão_Inicial_abr_16">#REF!</definedName>
    <definedName name="Previsão_Inicial_ago_16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hidden="1">{#N/A,#N/A,FALSE,"$170M Cash";#N/A,#N/A,FALSE,"$250M Cash";#N/A,#N/A,FALSE,"$325M Cash"}</definedName>
    <definedName name="Print_Area">#REF!</definedName>
    <definedName name="Print_Area_MI">#REF!</definedName>
    <definedName name="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>IF((COUNTA(#REF!)-2)&gt;1,"TERRENO "&amp;VLOOKUP(#REF!,#REF!,8,0),VLOOKUP(#REF!,#REF!,3,0))</definedName>
    <definedName name="PROPAGANDA">#REF!</definedName>
    <definedName name="ptirigyiotut" hidden="1">{#N/A,#N/A,FALSE,"Plan1";#N/A,#N/A,FALSE,"Plan2"}</definedName>
    <definedName name="PWER3" hidden="1">{#N/A,#N/A,FALSE,"Plan1";#N/A,#N/A,FALSE,"Plan2"}</definedName>
    <definedName name="q" hidden="1">#REF!</definedName>
    <definedName name="QCLIENTE_PCLIENTE">#REF!</definedName>
    <definedName name="QCliente_PCliente1">#REF!</definedName>
    <definedName name="qe">#REF!</definedName>
    <definedName name="qee">#REF!</definedName>
    <definedName name="qkqh1" hidden="1">{#N/A,#N/A,FALSE,"명세표"}</definedName>
    <definedName name="QOAS_POAS">#REF!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>#REF!:#REF!</definedName>
    <definedName name="QQQQQQQQ" hidden="1">#REF!</definedName>
    <definedName name="QREAL_PCLIENTE">#REF!</definedName>
    <definedName name="QReal_PCliente1">#REF!</definedName>
    <definedName name="QSQWSE" hidden="1">{#N/A,#N/A,FALSE,"Plan1";#N/A,#N/A,FALSE,"Plan2"}</definedName>
    <definedName name="qtd_mensal">#REF!</definedName>
    <definedName name="qtd3esta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 hidden="1">{#N/A,#N/A,FALSE,"Plan1";#N/A,#N/A,FALSE,"Plan2"}</definedName>
    <definedName name="qweqwe" hidden="1">{#N/A,#N/A,FALSE,"Plan1";#N/A,#N/A,FALSE,"Plan2"}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hidden="1">#REF!</definedName>
    <definedName name="qwqw" hidden="1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hidden="1">{"HW",#N/A,FALSE,"1998"}</definedName>
    <definedName name="RANGE">#REF!</definedName>
    <definedName name="RANGE1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>#REF!</definedName>
    <definedName name="REL_RJ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>#REF!</definedName>
    <definedName name="RESUMO2" hidden="1">{#N/A,#N/A,TRUE,"Quinzena 01 à 15-04-98 "}</definedName>
    <definedName name="REV">#REF!</definedName>
    <definedName name="RF" hidden="1">{#N/A,#N/A,FALSE,"CCTV"}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>#REF!</definedName>
    <definedName name="ridbeb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>#REF!</definedName>
    <definedName name="Rodapé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SEQ">#REF!</definedName>
    <definedName name="RSUBTOT">#REF!</definedName>
    <definedName name="rtitbeb">#REF!</definedName>
    <definedName name="RTITCHAF">#REF!</definedName>
    <definedName name="rtubos">#REF!</definedName>
    <definedName name="RTYE" hidden="1">{"'장비'!$A$3:$M$12"}</definedName>
    <definedName name="s">#REF!</definedName>
    <definedName name="sa">#REF!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hidden="1">{#N/A,#N/A,FALSE,"Plan1";#N/A,#N/A,FALSE,"Plan2"}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hidden="1">{#N/A,#N/A,FALSE,"Plan1";#N/A,#N/A,FALSE,"Plan2"}</definedName>
    <definedName name="SADSRTR" hidden="1">{#N/A,#N/A,FALSE,"Plan1";#N/A,#N/A,FALSE,"Plan2"}</definedName>
    <definedName name="sadwde" hidden="1">{#N/A,#N/A,FALSE,"Plan1";#N/A,#N/A,FALSE,"Plan2"}</definedName>
    <definedName name="Salas">#REF!</definedName>
    <definedName name="sanjay" hidden="1">{#N/A,#N/A,FALSE,"TABLE"}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">#REF!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hidden="1">{#N/A,#N/A,FALSE,"Plan1";#N/A,#N/A,FALSE,"Plan2"}</definedName>
    <definedName name="sdckd" hidden="1">{#N/A,#N/A,FALSE,"Plan1";#N/A,#N/A,FALSE,"Plan2"}</definedName>
    <definedName name="SDDFKSEDE" hidden="1">{#N/A,#N/A,FALSE,"Plan1";#N/A,#N/A,FALSE,"Plan2"}</definedName>
    <definedName name="sddkslker" hidden="1">{#N/A,#N/A,FALSE,"Plan1";#N/A,#N/A,FALSE,"Plan2"}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hidden="1">#REF!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hidden="1">{#N/A,#N/A,FALSE,"Plan1";#N/A,#N/A,FALSE,"Plan2"}</definedName>
    <definedName name="sdfdfc" hidden="1">{#N/A,#N/A,FALSE,"Plan1";#N/A,#N/A,FALSE,"Plan2"}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hidden="1">{#N/A,#N/A,FALSE,"Plan1";#N/A,#N/A,FALSE,"Plan2"}</definedName>
    <definedName name="sdfdsf" hidden="1">{#N/A,#N/A,FALSE,"Plan1";#N/A,#N/A,FALSE,"Plan2"}</definedName>
    <definedName name="sdfdsf\da" hidden="1">{#N/A,#N/A,FALSE,"Plan1";#N/A,#N/A,FALSE,"Plan2"}</definedName>
    <definedName name="SDFEDRT" hidden="1">{#N/A,#N/A,FALSE,"Plan1";#N/A,#N/A,FALSE,"Plan2"}</definedName>
    <definedName name="sdfer" hidden="1">{#N/A,#N/A,FALSE,"Plan1";#N/A,#N/A,FALSE,"Plan2"}</definedName>
    <definedName name="sdferr" hidden="1">{#N/A,#N/A,FALSE,"Plan1";#N/A,#N/A,FALSE,"Plan2"}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hidden="1">{#N/A,#N/A,FALSE,"Plan1";#N/A,#N/A,FALSE,"Plan2"}</definedName>
    <definedName name="sdfgtr" hidden="1">{#N/A,#N/A,FALSE,"Plan1";#N/A,#N/A,FALSE,"Plan2"}</definedName>
    <definedName name="sdfjdetrt" hidden="1">{#N/A,#N/A,FALSE,"Plan1";#N/A,#N/A,FALSE,"Plan2"}</definedName>
    <definedName name="SDFJDRTJEIDR" hidden="1">{#N/A,#N/A,FALSE,"Plan1";#N/A,#N/A,FALSE,"Plan2"}</definedName>
    <definedName name="sdfjergtij" hidden="1">{#N/A,#N/A,FALSE,"Plan1";#N/A,#N/A,FALSE,"Plan2"}</definedName>
    <definedName name="SDFOPJKWE" hidden="1">{#N/A,#N/A,FALSE,"Plan1";#N/A,#N/A,FALSE,"Plan2"}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hidden="1">{#N/A,#N/A,FALSE,"Plan1";#N/A,#N/A,FALSE,"Plan2"}</definedName>
    <definedName name="SDFRTKK" hidden="1">{#N/A,#N/A,FALSE,"Plan1";#N/A,#N/A,FALSE,"Plan2"}</definedName>
    <definedName name="SDFRTR" hidden="1">{#N/A,#N/A,FALSE,"Plan1";#N/A,#N/A,FALSE,"Plan2"}</definedName>
    <definedName name="sdfry6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hidden="1">{#N/A,#N/A,FALSE,"Plan1";#N/A,#N/A,FALSE,"Plan2"}</definedName>
    <definedName name="SDFSDFK" hidden="1">{#N/A,#N/A,FALSE,"Plan1";#N/A,#N/A,FALSE,"Plan2"}</definedName>
    <definedName name="sdfsdgftret" hidden="1">{#N/A,#N/A,FALSE,"Plan1";#N/A,#N/A,FALSE,"Plan2"}</definedName>
    <definedName name="sdfsdr" hidden="1">1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RT" hidden="1">{"Econ Consolidado",#N/A,FALSE,"Econ Consol";"Fluxo de Caixa",#N/A,FALSE,"Fluxo Caixa";"Investimentos",#N/A,FALSE,"Investimentos"}</definedName>
    <definedName name="sdfsr" hidden="1">{#N/A,#N/A,FALSE,"Plan1";#N/A,#N/A,FALSE,"Plan2"}</definedName>
    <definedName name="sdfty" hidden="1">{#N/A,#N/A,FALSE,"Plan1";#N/A,#N/A,FALSE,"Plan2"}</definedName>
    <definedName name="sdgdf" hidden="1">{#N/A,#N/A,FALSE,"Plan1";#N/A,#N/A,FALSE,"Plan2"}</definedName>
    <definedName name="sdgfrt" hidden="1">{#N/A,#N/A,FALSE,"Plan1";#N/A,#N/A,FALSE,"Plan2"}</definedName>
    <definedName name="sdgft" hidden="1">{#N/A,#N/A,FALSE,"Plan1";#N/A,#N/A,FALSE,"Plan2"}</definedName>
    <definedName name="sdgt" hidden="1">{#N/A,#N/A,FALSE,"Plan1";#N/A,#N/A,FALSE,"Plan2"}</definedName>
    <definedName name="sdgtry" hidden="1">#REF!</definedName>
    <definedName name="sdhfghdsfg" hidden="1">{#N/A,#N/A,FALSE,"Plan1";#N/A,#N/A,FALSE,"Plan2"}</definedName>
    <definedName name="SDHFJKHDFJRE" hidden="1">{#N/A,#N/A,FALSE,"Plan1";#N/A,#N/A,FALSE,"Plan2"}</definedName>
    <definedName name="SDHKFDRKGTR" hidden="1">{#N/A,#N/A,FALSE,"Plan1";#N/A,#N/A,FALSE,"Plan2"}</definedName>
    <definedName name="sdjdswger" hidden="1">{#N/A,#N/A,FALSE,"Plan1";#N/A,#N/A,FALSE,"Plan2"}</definedName>
    <definedName name="sdjfdf" hidden="1">{#N/A,#N/A,FALSE,"Plan1";#N/A,#N/A,FALSE,"Plan2"}</definedName>
    <definedName name="sdjfhdjk" hidden="1">{#N/A,#N/A,FALSE,"Plan1";#N/A,#N/A,FALSE,"Plan2"}</definedName>
    <definedName name="SDJFJDER" hidden="1">{#N/A,#N/A,FALSE,"Plan1";#N/A,#N/A,FALSE,"Plan2"}</definedName>
    <definedName name="sdjflsdjfl" hidden="1">{#N/A,#N/A,FALSE,"Plan1";#N/A,#N/A,FALSE,"Plan2"}</definedName>
    <definedName name="SDJHF" hidden="1">{#N/A,#N/A,FALSE,"Plan1";#N/A,#N/A,FALSE,"Plan2"}</definedName>
    <definedName name="sdjrderertrr" hidden="1">{#N/A,#N/A,FALSE,"Plan1";#N/A,#N/A,FALSE,"Plan2"}</definedName>
    <definedName name="sdkdjk" hidden="1">{#N/A,#N/A,FALSE,"Plan1";#N/A,#N/A,FALSE,"Plan2"}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hidden="1">{#N/A,#N/A,FALSE,"Plan1";#N/A,#N/A,FALSE,"Plan2"}</definedName>
    <definedName name="sdkk" hidden="1">{#N/A,#N/A,FALSE,"Plan1";#N/A,#N/A,FALSE,"Plan2"}</definedName>
    <definedName name="sdlfsdflj" hidden="1">{#N/A,#N/A,FALSE,"Plan1";#N/A,#N/A,FALSE,"Plan2"}</definedName>
    <definedName name="sdmfmdfsgfd" hidden="1">{#N/A,#N/A,FALSE,"Plan1";#N/A,#N/A,FALSE,"Plan2"}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hidden="1">{#N/A,#N/A,FALSE,"Plan1";#N/A,#N/A,FALSE,"Plan2"}</definedName>
    <definedName name="sdsd" hidden="1">{#N/A,#N/A,FALSE,"Plan1";#N/A,#N/A,FALSE,"Plan2"}</definedName>
    <definedName name="sdser" hidden="1">{#N/A,#N/A,FALSE,"Plan1";#N/A,#N/A,FALSE,"Plan2"}</definedName>
    <definedName name="sdsre" hidden="1">{#N/A,#N/A,FALSE,"Plan1";#N/A,#N/A,FALSE,"Plan2"}</definedName>
    <definedName name="sdss" hidden="1">{#N/A,#N/A,FALSE,"Plan1";#N/A,#N/A,FALSE,"Plan2"}</definedName>
    <definedName name="sdtrtg" hidden="1">#REF!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hidden="1">{"Econ Consolidado",#N/A,FALSE,"Econ Consol";"Fluxo de Caixa",#N/A,FALSE,"Fluxo Caixa";"Investimentos",#N/A,FALSE,"Investimentos"}</definedName>
    <definedName name="sdxfrt" hidden="1">{#N/A,#N/A,FALSE,"Plan1";#N/A,#N/A,FALSE,"Plan2"}</definedName>
    <definedName name="SDZFERF" hidden="1">{#N/A,#N/A,FALSE,"Plan1";#N/A,#N/A,FALSE,"Plan2"}</definedName>
    <definedName name="se">#REF!</definedName>
    <definedName name="SEDE">#REF!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>#REF!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>#REF!</definedName>
    <definedName name="sencount" hidden="1">1</definedName>
    <definedName name="SEQUENCIA">#REF!</definedName>
    <definedName name="SEREWRSWE" hidden="1">{"tabela",#N/A,FALSE,"Tabela";"decoração",#N/A,FALSE,"Decor.";"Informações",#N/A,FALSE,"Inform."}</definedName>
    <definedName name="Set_17">#REF!</definedName>
    <definedName name="SETE">#REF!</definedName>
    <definedName name="SETEMBRO">#REF!</definedName>
    <definedName name="setRJ17">#REF!</definedName>
    <definedName name="severo">#REF!</definedName>
    <definedName name="sf" hidden="1">{#N/A,#N/A,FALSE,"Plan1";#N/A,#N/A,FALSE,"Plan2"}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hidden="1">{#N/A,#N/A,FALSE,"Plan1";#N/A,#N/A,FALSE,"Plan2"}</definedName>
    <definedName name="sfds" hidden="1">{#N/A,#N/A,FALSE,"Plan1";#N/A,#N/A,FALSE,"Plan2"}</definedName>
    <definedName name="sfdsd" hidden="1">{#N/A,#N/A,FALSE,"Plan1";#N/A,#N/A,FALSE,"Plan2"}</definedName>
    <definedName name="SFDSF" hidden="1">34</definedName>
    <definedName name="sfrsdrgt" hidden="1">{#N/A,#N/A,FALSE,"Plan1";#N/A,#N/A,FALSE,"Plan2"}</definedName>
    <definedName name="SFRT" hidden="1">{#N/A,#N/A,FALSE,"Plan1";#N/A,#N/A,FALSE,"Plan2"}</definedName>
    <definedName name="sfsdferf" hidden="1">{#N/A,#N/A,FALSE,"Plan1";#N/A,#N/A,FALSE,"Plan2"}</definedName>
    <definedName name="sfsdfs" hidden="1">34</definedName>
    <definedName name="SFSDS" hidden="1">{#N/A,#N/A,FALSE,"Plan1";#N/A,#N/A,FALSE,"Plan2"}</definedName>
    <definedName name="SGarantia">#REF!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>#REF!</definedName>
    <definedName name="SISTEM1">#REF!</definedName>
    <definedName name="SISTEM2">#REF!</definedName>
    <definedName name="SIV">#REF!</definedName>
    <definedName name="sjawe" hidden="1">{#N/A,#N/A,FALSE,"Plan1";#N/A,#N/A,FALSE,"Plan2"}</definedName>
    <definedName name="sjdffd" hidden="1">{#N/A,#N/A,FALSE,"Plan1";#N/A,#N/A,FALSE,"Plan2"}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hidden="1">{#N/A,#N/A,FALSE,"Plan1";#N/A,#N/A,FALSE,"Plan2"}</definedName>
    <definedName name="SJDKJDE" hidden="1">{"Econ Consolidado",#N/A,FALSE,"Econ Consol";"Fluxo de Caixa",#N/A,FALSE,"Fluxo Caixa";"Investimentos",#N/A,FALSE,"Investimentos"}</definedName>
    <definedName name="sjekwjri" hidden="1">{#N/A,#N/A,FALSE,"Plan1";#N/A,#N/A,FALSE,"Plan2"}</definedName>
    <definedName name="sjfkdhsfds" hidden="1">{#N/A,#N/A,FALSE,"Plan1";#N/A,#N/A,FALSE,"Plan2"}</definedName>
    <definedName name="sjkdljslkrje" hidden="1">{#N/A,#N/A,FALSE,"Plan1";#N/A,#N/A,FALSE,"Plan2"}</definedName>
    <definedName name="skadadaszs" hidden="1">{#N/A,#N/A,FALSE,"Plan1";#N/A,#N/A,FALSE,"Plan2"}</definedName>
    <definedName name="SKASH" hidden="1">{#N/A,#N/A,FALSE,"Plan1";#N/A,#N/A,FALSE,"Plan2"}</definedName>
    <definedName name="skldfrde" hidden="1">{#N/A,#N/A,FALSE,"Plan1";#N/A,#N/A,FALSE,"Plan2"}</definedName>
    <definedName name="skosroer" hidden="1">{#N/A,#N/A,FALSE,"Plan1";#N/A,#N/A,FALSE,"Plan2"}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>#REF!</definedName>
    <definedName name="sssss" hidden="1">#REF!</definedName>
    <definedName name="stake_cury">#REF!</definedName>
    <definedName name="status_projeto" hidden="1">OFFSET(INDEX(#REF!,MATCH(#REF!,#REF!,0)),1,0,COUNTA(#REF!)-1)</definedName>
    <definedName name="SUB_TOTAL_1">#REF!</definedName>
    <definedName name="SUBDER">#REF!</definedName>
    <definedName name="SUBDIV">#REF!</definedName>
    <definedName name="SUBEQP">#REF!</definedName>
    <definedName name="SUBMUR">#REF!</definedName>
    <definedName name="summ" hidden="1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>#REF!</definedName>
    <definedName name="TABACABAMENTOS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>OFFSET(#REF!,0,0,COUNTA(#REF!)+1,1)</definedName>
    <definedName name="TAUX3">OFFSET(#REF!,0,0,COUNTA(#REF!)+1,1)</definedName>
    <definedName name="TAXA_VENTO">#REF!</definedName>
    <definedName name="TAXAS">#REF!</definedName>
    <definedName name="TbDin">OFFSET(#REF!,0,0,COUNTA(#REF!),13)</definedName>
    <definedName name="tc">#REF!</definedName>
    <definedName name="TE">#REF!</definedName>
    <definedName name="TECLA">#REF!</definedName>
    <definedName name="Tendência_Obra_Controladoria">#REF!</definedName>
    <definedName name="TERRENO">#REF!</definedName>
    <definedName name="Test" hidden="1">{"'Edit'!$A$1:$V$2277"}</definedName>
    <definedName name="TESTANDO" hidden="1">{#N/A,#N/A,TRUE,"Quinzena 01 à 15-04-98 "}</definedName>
    <definedName name="teste">#REF!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>#REF!</definedName>
    <definedName name="TESTHKEY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hidden="1">{#N/A,#N/A,FALSE,"Plan1";#N/A,#N/A,FALSE,"Plan2"}</definedName>
    <definedName name="THYJ" hidden="1">{#N/A,#N/A,FALSE,"Plan1";#N/A,#N/A,FALSE,"Plan2"}</definedName>
    <definedName name="tihjgih" hidden="1">{#N/A,#N/A,FALSE,"Plan1";#N/A,#N/A,FALSE,"Plan2"}</definedName>
    <definedName name="TIPO_CTT">#REF!</definedName>
    <definedName name="Tipo_de_Diretoria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 localSheetId="13">'Acabamentos de Piso e Parede'!$7:$11</definedName>
    <definedName name="_xlnm.Print_Titles" localSheetId="6">ALVENARIA!$2:$2</definedName>
    <definedName name="_xlnm.Print_Titles" localSheetId="16">COBERTURA!#REF!</definedName>
    <definedName name="_xlnm.Print_Titles" localSheetId="18">COMPLEMENTARES!#REF!</definedName>
    <definedName name="_xlnm.Print_Titles" localSheetId="4">CONTENÇÃO!$2:$2</definedName>
    <definedName name="_xlnm.Print_Titles" localSheetId="2">CONTENÇÕES!$2:$2</definedName>
    <definedName name="_xlnm.Print_Titles" localSheetId="0">DADOS_INICIAIS!$1:$6</definedName>
    <definedName name="_xlnm.Print_Titles" localSheetId="15">ESQUADRIAS!$2:$2</definedName>
    <definedName name="_xlnm.Print_Titles" localSheetId="9">IMPERMEABILIZAÇÃO!$2:$2</definedName>
    <definedName name="_xlnm.Print_Titles" localSheetId="3">INFRAESTRUTURA!$2:$2</definedName>
    <definedName name="_xlnm.Print_Titles" localSheetId="7">INSTALAÇÕES!#REF!</definedName>
    <definedName name="_xlnm.Print_Titles" localSheetId="1">MOVIMENTAÇÃO_DE_TERRA!#REF!</definedName>
    <definedName name="_xlnm.Print_Titles" localSheetId="14">'PINTURA INTERNA'!$2:$2</definedName>
    <definedName name="_xlnm.Print_Titles" localSheetId="17">'Rev. Fachada'!$7:$11</definedName>
    <definedName name="_xlnm.Print_Titles" localSheetId="11">'Rev. Internos Piso e Parede'!$7:$11</definedName>
    <definedName name="_xlnm.Print_Titles" localSheetId="8">'SISTEMAS ESPECIAIS'!#REF!</definedName>
    <definedName name="_xlnm.Print_Titles" localSheetId="5">SUPRAESTRUTURA!$2:$2</definedName>
    <definedName name="_xlnm.Print_Titles" localSheetId="12">TETO!$2:$2</definedName>
    <definedName name="_xlnm.Print_Titles">#REF!</definedName>
    <definedName name="Títulos_impressão_IM">#REF!</definedName>
    <definedName name="TMO">#REF!</definedName>
    <definedName name="TOLTAL2">#REF!</definedName>
    <definedName name="TOT" localSheetId="16">#REF!</definedName>
    <definedName name="TOT" localSheetId="18">#REF!</definedName>
    <definedName name="TOT" localSheetId="0">#REF!</definedName>
    <definedName name="TOT" localSheetId="7">#REF!</definedName>
    <definedName name="TOT" localSheetId="1">#REF!</definedName>
    <definedName name="TOT" localSheetId="8">#REF!</definedName>
    <definedName name="TOT">#REF!</definedName>
    <definedName name="tot3estac">#REF!</definedName>
    <definedName name="TOTAIS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>OFFSET(#REF!,0,0,COUNTA(#REF!),1)</definedName>
    <definedName name="totperfura">#REF!</definedName>
    <definedName name="TOTQTS">#REF!</definedName>
    <definedName name="TOTT">OFFSET(#REF!,0,0,COUNTA(#REF!)+1,1)</definedName>
    <definedName name="TR">#REF!</definedName>
    <definedName name="Transferencia1">#REF!</definedName>
    <definedName name="TRES">#REF!</definedName>
    <definedName name="TREZE">#REF!</definedName>
    <definedName name="tri">#REF!</definedName>
    <definedName name="Trimestre_data_base">#REF!</definedName>
    <definedName name="trjyidih" hidden="1">{#N/A,#N/A,FALSE,"Plan1";#N/A,#N/A,FALSE,"Plan2"}</definedName>
    <definedName name="TRP">#REF!</definedName>
    <definedName name="TTT">#REF!</definedName>
    <definedName name="TURNO">#REF!</definedName>
    <definedName name="tuyedjsksj" hidden="1">{#N/A,#N/A,FALSE,"Plan1";#N/A,#N/A,FALSE,"Plan2"}</definedName>
    <definedName name="TX_ADM">#REF!</definedName>
    <definedName name="tx_desconto_real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hidden="1">{#N/A,#N/A,FALSE,"Plan1";#N/A,#N/A,FALSE,"Plan2"}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18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hidden="1">{#N/A,#N/A,FALSE,"Plan1";#N/A,#N/A,FALSE,"Plan2"}</definedName>
    <definedName name="ueiutriuef" hidden="1">{#N/A,#N/A,FALSE,"Plan1";#N/A,#N/A,FALSE,"Plan2"}</definedName>
    <definedName name="UENSIT">#REF!</definedName>
    <definedName name="UENSITS">#REF!</definedName>
    <definedName name="UHGSDUS" hidden="1">{#N/A,#N/A,FALSE,"Plan1";#N/A,#N/A,FALSE,"Plan2"}</definedName>
    <definedName name="UI" hidden="1">#REF!</definedName>
    <definedName name="UIHWER45R" hidden="1">{#N/A,#N/A,FALSE,"Plan1";#N/A,#N/A,FALSE,"Plan2"}</definedName>
    <definedName name="uiosderuiu" hidden="1">{#N/A,#N/A,FALSE,"Plan1";#N/A,#N/A,FALSE,"Plan2"}</definedName>
    <definedName name="UIOURET" hidden="1">{#N/A,#N/A,FALSE,"Plan1";#N/A,#N/A,FALSE,"Plan2"}</definedName>
    <definedName name="uiwuer" hidden="1">{#N/A,#N/A,FALSE,"Plan1";#N/A,#N/A,FALSE,"Plan2"}</definedName>
    <definedName name="UKHDFDSGUDFKD" hidden="1">{#N/A,#N/A,FALSE,"Plan1";#N/A,#N/A,FALSE,"Plan2"}</definedName>
    <definedName name="um" hidden="1">0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>OFFSET(#REF!,0,0,COUNTA(#REF!),1)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>#REF!</definedName>
    <definedName name="univ_hist">#REF!</definedName>
    <definedName name="univ_uss">#REF!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hidden="1">{#N/A,#N/A,FALSE,"Plan1";#N/A,#N/A,FALSE,"Plan2"}</definedName>
    <definedName name="V">#REF!</definedName>
    <definedName name="VALIDADE_EXECUÇÃO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>#REF!</definedName>
    <definedName name="vdsgfrhgfr" hidden="1">{#N/A,#N/A,FALSE,"Plan1";#N/A,#N/A,FALSE,"Plan2"}</definedName>
    <definedName name="Veiculos">#REF!</definedName>
    <definedName name="VENDA_ADOTADA">#REF!</definedName>
    <definedName name="VENDAFINAL_R">#REF!</definedName>
    <definedName name="VENDAFINAL_U">#REF!</definedName>
    <definedName name="Vendas">#REF!</definedName>
    <definedName name="vendas_">#REF!</definedName>
    <definedName name="VERIFICAR" hidden="1">{#N/A,#N/A,TRUE,"Quinzena 01 à 15-04-98 "}</definedName>
    <definedName name="versao_estudo">#REF!</definedName>
    <definedName name="vfbg">#REF!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hidden="1">{#N/A,#N/A,FALSE,"Plan1";#N/A,#N/A,FALSE,"Plan2"}</definedName>
    <definedName name="VI">#REF!</definedName>
    <definedName name="VINTE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hidden="1">IF(#REF!="Ativa",OFFSET(INDEX(rng_list_classificacao,MATCH(#REF!,rng_list_classificacao,0)),1,0,COUNTA(rng_list_classificacao)-1),#REF!)</definedName>
    <definedName name="vld_regional" hidden="1">OFFSET(INDEX(rng_list_regional,MATCH(#REF!,rng_list_regional,0)),1,0,COUNTA(rng_list_regional)-1)</definedName>
    <definedName name="vld_segmento" hidden="1">IF(#REF!="Ativa",OFFSET(INDEX(rng_list_segmento,MATCH(#REF!,rng_list_segmento,0)),1,0,COUNTA(rng_list_segmento)-1),#REF!)</definedName>
    <definedName name="vld_sociedade" hidden="1">OFFSET(INDEX(rng_list_sociedade,MATCH(#REF!,rng_list_sociedade,0)),1,0,COUNTA(rng_list_sociedade)-1)</definedName>
    <definedName name="vld_status_empresa" hidden="1">OFFSET(INDEX(rng_list_status_empresa,MATCH(#REF!,rng_list_status_empresa,0)),1,0,COUNTA(rng_list_status_empresa)-1)</definedName>
    <definedName name="vld_status_lancamento" hidden="1">IF(#REF!="Ativa",OFFSET(INDEX(rng_list_status_lancamento,MATCH(#REF!,rng_list_status_lancamento,0)),1,0,COUNTA(rng_list_status_lancamento)-1),#REF!)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hidden="1">OFFSET(INDEX(rng_list_status_viabilidade,MATCH(#REF!,rng_list_status_viabilidade,0)),1,0,COUNTA(rng_list_status_viabilidade)-1)</definedName>
    <definedName name="VOLUME1">#REF!</definedName>
    <definedName name="VOLUME2">#REF!</definedName>
    <definedName name="VOLUME3">#REF!</definedName>
    <definedName name="VSDHFGDFGR" hidden="1">{#N/A,#N/A,FALSE,"Plan1";#N/A,#N/A,FALSE,"Plan2"}</definedName>
    <definedName name="vvbb" hidden="1">{"tabela",#N/A,FALSE,"Tabela";"decoração",#N/A,FALSE,"Decor.";"Informações",#N/A,FALSE,"Inform."}</definedName>
    <definedName name="vvcbnb" hidden="1">{#N/A,#N/A,FALSE,"Plan1";#N/A,#N/A,FALSE,"Plan2"}</definedName>
    <definedName name="vvvvv" hidden="1">{"Econ Consolidado",#N/A,FALSE,"Econ Consol";"Fluxo de Caixa",#N/A,FALSE,"Fluxo Caixa";"Investimentos",#N/A,FALSE,"Investimentos"}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cc">#REF!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>#REF!</definedName>
    <definedName name="WKJHIR" hidden="1">{#N/A,#N/A,FALSE,"Plan1";#N/A,#N/A,FALSE,"Plan2"}</definedName>
    <definedName name="WLQ" hidden="1">{#N/A,#N/A,FALSE,"명세표"}</definedName>
    <definedName name="WNMLOCAL">#REF!</definedName>
    <definedName name="WNMMUN">#REF!</definedName>
    <definedName name="WNMSERV">#REF!</definedName>
    <definedName name="worl_cdi">#REF!</definedName>
    <definedName name="worl_hist">#REF!</definedName>
    <definedName name="worl_uss">#REF!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hidden="1">{#N/A,#N/A,FALSE,"Plan1";#N/A,#N/A,FALSE,"Plan2"}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>#REF!</definedName>
    <definedName name="XALFA">#REF!</definedName>
    <definedName name="XC">#REF!</definedName>
    <definedName name="xcfrt" hidden="1">{#N/A,#N/A,FALSE,"Plan1";#N/A,#N/A,FALSE,"Plan2"}</definedName>
    <definedName name="xcgjkfghf" hidden="1">{#N/A,#N/A,FALSE,"Plan1";#N/A,#N/A,FALSE,"Plan2"}</definedName>
    <definedName name="XCGJKVHFDG" hidden="1">{#N/A,#N/A,FALSE,"Plan1";#N/A,#N/A,FALSE,"Plan2"}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çl" hidden="1">{#N/A,#N/A,FALSE,"Plan1";#N/A,#N/A,FALSE,"Plan2"}</definedName>
    <definedName name="xcndj" hidden="1">{#N/A,#N/A,FALSE,"Plan1";#N/A,#N/A,FALSE,"Plan2"}</definedName>
    <definedName name="XCV">#REF!</definedName>
    <definedName name="XCVGGT" hidden="1">{#N/A,#N/A,FALSE,"Plan1";#N/A,#N/A,FALSE,"Plan2"}</definedName>
    <definedName name="XCVI">#REF!</definedName>
    <definedName name="XCVII">#REF!</definedName>
    <definedName name="XCVIII">#REF!</definedName>
    <definedName name="xcvrg" hidden="1">{#N/A,#N/A,FALSE,"Plan1";#N/A,#N/A,FALSE,"Plan2"}</definedName>
    <definedName name="XDATA">#REF!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hidden="1">{#N/A,#N/A,FALSE,"Plan1";#N/A,#N/A,FALSE,"Plan2"}</definedName>
    <definedName name="xfdlfj" hidden="1">{#N/A,#N/A,FALSE,"Plan1";#N/A,#N/A,FALSE,"Plan2"}</definedName>
    <definedName name="xfdxfdf" hidden="1">{#N/A,#N/A,FALSE,"Plan1";#N/A,#N/A,FALSE,"Plan2"}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hidden="1">{#N/A,#N/A,FALSE,"Plan1";#N/A,#N/A,FALSE,"Plan2"}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hidden="1">{"Econ Consolidado",#N/A,FALSE,"Econ Consol";"Fluxo de Caixa",#N/A,FALSE,"Fluxo Caixa";"Investimentos",#N/A,FALSE,"Investimentos"}</definedName>
    <definedName name="xfvgcfgt" hidden="1">{#N/A,#N/A,FALSE,"Plan1";#N/A,#N/A,FALSE,"Plan2"}</definedName>
    <definedName name="xgrg" hidden="1">{#N/A,#N/A,FALSE,"Plan1";#N/A,#N/A,FALSE,"Plan2"}</definedName>
    <definedName name="XI">#REF!</definedName>
    <definedName name="XII">#REF!</definedName>
    <definedName name="XIII">#REF!</definedName>
    <definedName name="XITEM">#REF!</definedName>
    <definedName name="XIV">#REF!</definedName>
    <definedName name="XLOC">#REF!</definedName>
    <definedName name="xmght" hidden="1">{#N/A,#N/A,FALSE,"Plan1";#N/A,#N/A,FALSE,"Plan2"}</definedName>
    <definedName name="xnInforme_quantos_bebedouros____bebqt__if_bebqt__0__xlQt.bebedouros_invalida___ENTER_p_reinformar__xresp__branch_rqtderv">#REF!</definedName>
    <definedName name="XNUCOPIAS">#REF!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1</definedName>
    <definedName name="XRefCopy2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>#REF!</definedName>
    <definedName name="XTITRES">#REF!</definedName>
    <definedName name="XV">#REF!</definedName>
    <definedName name="xx" hidden="1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6">#REF!</definedName>
    <definedName name="xxxx" localSheetId="18">#REF!</definedName>
    <definedName name="xxxx" localSheetId="0">#REF!</definedName>
    <definedName name="xxxx" localSheetId="7">#REF!</definedName>
    <definedName name="xxxx" localSheetId="1">#REF!</definedName>
    <definedName name="xxxx" localSheetId="8">#REF!</definedName>
    <definedName name="xxxx">#REF!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hidden="1">{"'Edit'!$A$1:$V$2277"}</definedName>
    <definedName name="xxxxxxxxxxxxxx" hidden="1">{#N/A,#N/A,FALSE,"Plan1";#N/A,#N/A,FALSE,"Plan2"}</definedName>
    <definedName name="xzfrt" hidden="1">{#N/A,#N/A,FALSE,"Plan1";#N/A,#N/A,FALSE,"Plan2"}</definedName>
    <definedName name="yeitrtged" hidden="1">{#N/A,#N/A,FALSE,"Plan1";#N/A,#N/A,FALSE,"Plan2"}</definedName>
    <definedName name="yhdfiuygrui" hidden="1">{#N/A,#N/A,FALSE,"Plan1";#N/A,#N/A,FALSE,"Plan2"}</definedName>
    <definedName name="YRGUYDRIY" hidden="1">{"Econ Consolidado",#N/A,FALSE,"Econ Consol";"Fluxo de Caixa",#N/A,FALSE,"Fluxo Caixa";"Investimentos",#N/A,FALSE,"Investimentos"}</definedName>
    <definedName name="ytdju">#REF!</definedName>
    <definedName name="yuegursdmksf" hidden="1">{#N/A,#N/A,FALSE,"Plan1";#N/A,#N/A,FALSE,"Plan2"}</definedName>
    <definedName name="yuekl4fr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hidden="1">{#N/A,#N/A,FALSE,"Plan1";#N/A,#N/A,FALSE,"Plan2"}</definedName>
    <definedName name="zcsdrfrt" hidden="1">{#N/A,#N/A,FALSE,"Plan1";#N/A,#N/A,FALSE,"Plan2"}</definedName>
    <definedName name="ZDRE" hidden="1">{#N/A,#N/A,FALSE,"Plan1";#N/A,#N/A,FALSE,"Plan2"}</definedName>
    <definedName name="ZEZE">#REF!</definedName>
    <definedName name="ZIN">#REF!</definedName>
    <definedName name="ZINS">#REF!</definedName>
    <definedName name="ZSADF" hidden="1">{#N/A,#N/A,FALSE,"Plan1";#N/A,#N/A,FALSE,"Plan2"}</definedName>
    <definedName name="zsads" hidden="1">{#N/A,#N/A,FALSE,"Plan1";#N/A,#N/A,FALSE,"Plan2"}</definedName>
    <definedName name="ZSDFSETR" hidden="1">#REF!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hidden="1">{#N/A,#N/A,FALSE,"Plan1";#N/A,#N/A,FALSE,"Plan2"}</definedName>
    <definedName name="zxcdsf" hidden="1">#REF!</definedName>
    <definedName name="zxcfdstrrt" hidden="1">{#N/A,#N/A,FALSE,"Plan1";#N/A,#N/A,FALSE,"Plan2"}</definedName>
    <definedName name="zxcx" hidden="1">{#N/A,#N/A,FALSE,"Plan1";#N/A,#N/A,FALSE,"Plan2"}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hidden="1">{#N/A,#N/A,FALSE,"Plan1";#N/A,#N/A,FALSE,"Plan2"}</definedName>
    <definedName name="ZZ">#REF!</definedName>
    <definedName name="zzdftr" hidden="1">{#N/A,#N/A,FALSE,"Plan1";#N/A,#N/A,FALSE,"Plan2"}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6" l="1"/>
  <c r="M31" i="67"/>
  <c r="B24" i="53" s="1"/>
  <c r="G24" i="53" s="1"/>
  <c r="M32" i="67"/>
  <c r="B23" i="53" s="1"/>
  <c r="D40" i="67"/>
  <c r="I40" i="67"/>
  <c r="D13" i="66"/>
  <c r="D39" i="67"/>
  <c r="I39" i="67"/>
  <c r="B27" i="55"/>
  <c r="D19" i="55"/>
  <c r="D18" i="55"/>
  <c r="F14" i="65" l="1"/>
  <c r="G37" i="55"/>
  <c r="A48" i="55"/>
  <c r="A47" i="55"/>
  <c r="A46" i="55"/>
  <c r="A45" i="55"/>
  <c r="N18" i="65" l="1"/>
  <c r="D11" i="65"/>
  <c r="D16" i="65"/>
  <c r="G16" i="65" s="1"/>
  <c r="D12" i="65"/>
  <c r="F16" i="65"/>
  <c r="E26" i="62" l="1"/>
  <c r="E25" i="62"/>
  <c r="C27" i="62"/>
  <c r="D15" i="62"/>
  <c r="D12" i="62"/>
  <c r="F10" i="62"/>
  <c r="C49" i="55" l="1"/>
  <c r="E49" i="55" s="1"/>
  <c r="D13" i="64" l="1"/>
  <c r="B29" i="53" l="1"/>
  <c r="F9" i="60" l="1"/>
  <c r="F15" i="60" s="1"/>
  <c r="E21" i="46"/>
  <c r="F15" i="65"/>
  <c r="D14" i="65" l="1"/>
  <c r="D15" i="65"/>
  <c r="D22" i="65" l="1"/>
  <c r="L17" i="65"/>
  <c r="N17" i="65" s="1"/>
  <c r="M17" i="65"/>
  <c r="D18" i="65"/>
  <c r="D19" i="65"/>
  <c r="L11" i="65"/>
  <c r="N11" i="65" s="1"/>
  <c r="L13" i="65"/>
  <c r="N13" i="65" s="1"/>
  <c r="L10" i="65"/>
  <c r="N10" i="65" s="1"/>
  <c r="M14" i="65"/>
  <c r="N14" i="65" s="1"/>
  <c r="M13" i="65"/>
  <c r="M12" i="65"/>
  <c r="N12" i="65" s="1"/>
  <c r="M11" i="65"/>
  <c r="M10" i="65"/>
  <c r="F24" i="48"/>
  <c r="F25" i="48"/>
  <c r="N15" i="65" l="1"/>
  <c r="N16" i="65"/>
  <c r="C26" i="59"/>
  <c r="B10" i="59"/>
  <c r="B9" i="59"/>
  <c r="J7" i="59"/>
  <c r="J10" i="59"/>
  <c r="I10" i="59"/>
  <c r="I9" i="59"/>
  <c r="I7" i="59"/>
  <c r="H7" i="59"/>
  <c r="H9" i="59"/>
  <c r="H10" i="59"/>
  <c r="H8" i="59"/>
  <c r="B8" i="59" s="1"/>
  <c r="G7" i="59"/>
  <c r="B7" i="59" s="1"/>
  <c r="C30" i="46" l="1"/>
  <c r="D13" i="60" l="1"/>
  <c r="G16" i="53"/>
  <c r="D23" i="51" l="1"/>
  <c r="D64" i="67"/>
  <c r="D62" i="67"/>
  <c r="D9" i="66" s="1"/>
  <c r="D61" i="67"/>
  <c r="D59" i="67"/>
  <c r="D56" i="67"/>
  <c r="D57" i="67" s="1"/>
  <c r="D54" i="67"/>
  <c r="D51" i="67"/>
  <c r="D52" i="67" s="1"/>
  <c r="D49" i="67"/>
  <c r="D50" i="67" s="1"/>
  <c r="D47" i="67"/>
  <c r="D44" i="67"/>
  <c r="D45" i="67" s="1"/>
  <c r="D41" i="67"/>
  <c r="D42" i="67"/>
  <c r="D37" i="67"/>
  <c r="D32" i="67"/>
  <c r="D29" i="67"/>
  <c r="D27" i="67"/>
  <c r="D30" i="67"/>
  <c r="D26" i="67"/>
  <c r="D25" i="67"/>
  <c r="D23" i="67"/>
  <c r="D20" i="67"/>
  <c r="D22" i="67"/>
  <c r="D21" i="67"/>
  <c r="D19" i="67"/>
  <c r="D13" i="67"/>
  <c r="D10" i="66" l="1"/>
  <c r="G10" i="66" s="1"/>
  <c r="D11" i="66"/>
  <c r="G11" i="66" s="1"/>
  <c r="D12" i="66"/>
  <c r="G32" i="21"/>
  <c r="K25" i="55" l="1"/>
  <c r="G14" i="61"/>
  <c r="D14" i="61"/>
  <c r="G28" i="48" l="1"/>
  <c r="G24" i="48"/>
  <c r="I25" i="48"/>
  <c r="G25" i="48"/>
  <c r="H25" i="48"/>
  <c r="D23" i="48"/>
  <c r="D22" i="48" s="1"/>
  <c r="G70" i="48" l="1"/>
  <c r="G71" i="48" s="1"/>
  <c r="H71" i="48" s="1"/>
  <c r="E25" i="46"/>
  <c r="E22" i="46"/>
  <c r="G30" i="65" l="1"/>
  <c r="E30" i="65"/>
  <c r="H30" i="65" s="1"/>
  <c r="E31" i="65"/>
  <c r="G31" i="65" s="1"/>
  <c r="D31" i="65"/>
  <c r="G11" i="65"/>
  <c r="G29" i="53"/>
  <c r="F16" i="64"/>
  <c r="F15" i="64"/>
  <c r="F14" i="64"/>
  <c r="F13" i="64"/>
  <c r="F10" i="64"/>
  <c r="G28" i="53"/>
  <c r="G27" i="53"/>
  <c r="G26" i="53"/>
  <c r="D14" i="60"/>
  <c r="F14" i="60" s="1"/>
  <c r="F13" i="60"/>
  <c r="G13" i="66"/>
  <c r="G12" i="66"/>
  <c r="F31" i="65" l="1"/>
  <c r="H31" i="65" s="1"/>
  <c r="B42" i="55"/>
  <c r="B23" i="51" l="1"/>
  <c r="G23" i="51" s="1"/>
  <c r="D10" i="65" l="1"/>
  <c r="D11" i="61"/>
  <c r="I11" i="61" s="1"/>
  <c r="D10" i="61"/>
  <c r="D31" i="59"/>
  <c r="D28" i="59"/>
  <c r="D18" i="59"/>
  <c r="D19" i="59"/>
  <c r="D17" i="59"/>
  <c r="D40" i="59"/>
  <c r="D32" i="58"/>
  <c r="D31" i="58"/>
  <c r="D30" i="58"/>
  <c r="D24" i="58"/>
  <c r="D23" i="58"/>
  <c r="D22" i="58"/>
  <c r="D21" i="58"/>
  <c r="D20" i="58"/>
  <c r="D19" i="58"/>
  <c r="D13" i="58"/>
  <c r="D12" i="58"/>
  <c r="D11" i="58"/>
  <c r="D10" i="58"/>
  <c r="D9" i="58"/>
  <c r="D8" i="58"/>
  <c r="D7" i="58"/>
  <c r="C33" i="59"/>
  <c r="D26" i="59"/>
  <c r="B11" i="59"/>
  <c r="G11" i="61" l="1"/>
  <c r="D21" i="59"/>
  <c r="H24" i="48" l="1"/>
  <c r="F29" i="48"/>
  <c r="E30" i="46" l="1"/>
  <c r="D10" i="21"/>
  <c r="G17" i="53" l="1"/>
  <c r="I34" i="67"/>
  <c r="G9" i="66" l="1"/>
  <c r="G11" i="64"/>
  <c r="K43" i="62" l="1"/>
  <c r="L43" i="62" s="1"/>
  <c r="F42" i="62"/>
  <c r="G42" i="62" s="1"/>
  <c r="F41" i="62"/>
  <c r="G41" i="62" s="1"/>
  <c r="H41" i="62" s="1"/>
  <c r="F40" i="62"/>
  <c r="G40" i="62" s="1"/>
  <c r="F39" i="62"/>
  <c r="G39" i="62" s="1"/>
  <c r="F38" i="62"/>
  <c r="G38" i="62" s="1"/>
  <c r="F37" i="62"/>
  <c r="G37" i="62" s="1"/>
  <c r="H37" i="62" s="1"/>
  <c r="F36" i="62"/>
  <c r="G36" i="62" s="1"/>
  <c r="F35" i="62"/>
  <c r="G35" i="62" s="1"/>
  <c r="F34" i="62"/>
  <c r="G34" i="62" l="1"/>
  <c r="G43" i="62" s="1"/>
  <c r="B15" i="64" l="1"/>
  <c r="D11" i="60"/>
  <c r="F11" i="60" s="1"/>
  <c r="D13" i="61" l="1"/>
  <c r="I60" i="67" l="1"/>
  <c r="F34" i="68"/>
  <c r="D29" i="68"/>
  <c r="G32" i="68"/>
  <c r="G20" i="65" l="1"/>
  <c r="B16" i="64"/>
  <c r="D25" i="53"/>
  <c r="D23" i="53"/>
  <c r="E14" i="46" l="1"/>
  <c r="D12" i="61" s="1"/>
  <c r="F29" i="21"/>
  <c r="F19" i="21"/>
  <c r="F13" i="48"/>
  <c r="F26" i="48"/>
  <c r="E31" i="47" l="1"/>
  <c r="D31" i="47"/>
  <c r="F31" i="47" s="1"/>
  <c r="D9" i="47"/>
  <c r="D40" i="21"/>
  <c r="D38" i="21"/>
  <c r="C38" i="21"/>
  <c r="C39" i="21" s="1"/>
  <c r="D39" i="21" s="1"/>
  <c r="D28" i="68" l="1"/>
  <c r="I17" i="67"/>
  <c r="I18" i="67"/>
  <c r="I19" i="67"/>
  <c r="I20" i="67"/>
  <c r="M25" i="67" s="1"/>
  <c r="B22" i="53" s="1"/>
  <c r="I21" i="67"/>
  <c r="M26" i="67" s="1"/>
  <c r="B20" i="53" s="1"/>
  <c r="I22" i="67"/>
  <c r="I23" i="67"/>
  <c r="M27" i="67" s="1"/>
  <c r="B15" i="51" s="1"/>
  <c r="D10" i="64" s="1"/>
  <c r="I24" i="67"/>
  <c r="I26" i="67"/>
  <c r="I27" i="67"/>
  <c r="I28" i="67"/>
  <c r="I29" i="67"/>
  <c r="I30" i="67"/>
  <c r="I31" i="67"/>
  <c r="I32" i="67"/>
  <c r="I33" i="67"/>
  <c r="I25" i="67"/>
  <c r="I16" i="67"/>
  <c r="C28" i="62"/>
  <c r="C26" i="62"/>
  <c r="C25" i="62"/>
  <c r="F15" i="62"/>
  <c r="D35" i="68" l="1"/>
  <c r="G35" i="68" s="1"/>
  <c r="D31" i="68"/>
  <c r="G31" i="68" s="1"/>
  <c r="D30" i="68"/>
  <c r="G30" i="68" s="1"/>
  <c r="H28" i="68"/>
  <c r="D34" i="68"/>
  <c r="D33" i="68" s="1"/>
  <c r="G33" i="68" l="1"/>
  <c r="G34" i="68"/>
  <c r="G36" i="68" l="1"/>
  <c r="D19" i="53"/>
  <c r="D27" i="59" l="1"/>
  <c r="D17" i="51"/>
  <c r="I63" i="67"/>
  <c r="M30" i="67" s="1"/>
  <c r="I65" i="67"/>
  <c r="I64" i="67"/>
  <c r="I62" i="67"/>
  <c r="I61" i="67"/>
  <c r="I47" i="67"/>
  <c r="I48" i="67"/>
  <c r="I50" i="67"/>
  <c r="I51" i="67"/>
  <c r="I52" i="67"/>
  <c r="I53" i="67"/>
  <c r="I54" i="67"/>
  <c r="I55" i="67"/>
  <c r="I56" i="67"/>
  <c r="I57" i="67"/>
  <c r="I58" i="67"/>
  <c r="I59" i="67"/>
  <c r="I49" i="67"/>
  <c r="B2" i="67"/>
  <c r="B1" i="67"/>
  <c r="G23" i="53" l="1"/>
  <c r="G17" i="62"/>
  <c r="C35" i="61" l="1"/>
  <c r="D34" i="59" l="1"/>
  <c r="G21" i="68"/>
  <c r="F19" i="68"/>
  <c r="G16" i="68"/>
  <c r="G14" i="68"/>
  <c r="D31" i="21"/>
  <c r="D29" i="21"/>
  <c r="D28" i="21"/>
  <c r="D10" i="47"/>
  <c r="F10" i="47" s="1"/>
  <c r="K17" i="64"/>
  <c r="D30" i="21" l="1"/>
  <c r="G29" i="21"/>
  <c r="G18" i="68"/>
  <c r="G22" i="68"/>
  <c r="G12" i="68" l="1"/>
  <c r="G20" i="68" l="1"/>
  <c r="G19" i="68"/>
  <c r="I11" i="67"/>
  <c r="I12" i="67"/>
  <c r="I13" i="67"/>
  <c r="I14" i="67"/>
  <c r="I15" i="67"/>
  <c r="M24" i="67" s="1"/>
  <c r="B16" i="51" s="1"/>
  <c r="D12" i="64" s="1"/>
  <c r="I35" i="67"/>
  <c r="I36" i="67"/>
  <c r="I37" i="67"/>
  <c r="I38" i="67"/>
  <c r="I41" i="67"/>
  <c r="M29" i="67" s="1"/>
  <c r="B19" i="53" s="1"/>
  <c r="I42" i="67"/>
  <c r="I43" i="67"/>
  <c r="I44" i="67"/>
  <c r="I45" i="67"/>
  <c r="I46" i="67"/>
  <c r="D16" i="62" l="1"/>
  <c r="M11" i="67"/>
  <c r="B18" i="51" s="1"/>
  <c r="B20" i="51" s="1"/>
  <c r="G20" i="51" s="1"/>
  <c r="M12" i="67"/>
  <c r="B19" i="51" s="1"/>
  <c r="G19" i="51" s="1"/>
  <c r="K46" i="67"/>
  <c r="M28" i="67"/>
  <c r="B21" i="53" s="1"/>
  <c r="M17" i="67"/>
  <c r="B16" i="62" s="1"/>
  <c r="G20" i="53"/>
  <c r="G18" i="53"/>
  <c r="M16" i="67"/>
  <c r="D10" i="63" s="1"/>
  <c r="M15" i="67"/>
  <c r="D12" i="63" s="1"/>
  <c r="G23" i="68"/>
  <c r="G39" i="68" s="1"/>
  <c r="M23" i="67"/>
  <c r="B15" i="53" s="1"/>
  <c r="G18" i="51" l="1"/>
  <c r="D14" i="64"/>
  <c r="D13" i="63"/>
  <c r="G13" i="63" s="1"/>
  <c r="D15" i="64"/>
  <c r="D11" i="63"/>
  <c r="D10" i="62"/>
  <c r="D11" i="62"/>
  <c r="G11" i="62" s="1"/>
  <c r="G25" i="53"/>
  <c r="G10" i="64"/>
  <c r="I15" i="51"/>
  <c r="G22" i="53"/>
  <c r="H39" i="68"/>
  <c r="H41" i="68" s="1"/>
  <c r="G21" i="53"/>
  <c r="D21" i="65"/>
  <c r="G12" i="65"/>
  <c r="G13" i="65"/>
  <c r="G15" i="64" l="1"/>
  <c r="B10" i="63"/>
  <c r="G14" i="64"/>
  <c r="B12" i="63"/>
  <c r="D9" i="60" l="1"/>
  <c r="G10" i="65"/>
  <c r="I10" i="65" s="1"/>
  <c r="G18" i="63" l="1"/>
  <c r="G17" i="51"/>
  <c r="D30" i="59"/>
  <c r="G21" i="65" l="1"/>
  <c r="G15" i="65"/>
  <c r="G12" i="63"/>
  <c r="G11" i="63"/>
  <c r="D26" i="61" l="1"/>
  <c r="D25" i="61"/>
  <c r="D24" i="61"/>
  <c r="D23" i="61"/>
  <c r="D22" i="61"/>
  <c r="D21" i="61"/>
  <c r="D20" i="61"/>
  <c r="D55" i="48"/>
  <c r="D17" i="21"/>
  <c r="D11" i="21" l="1"/>
  <c r="D27" i="61"/>
  <c r="D13" i="21"/>
  <c r="D15" i="21"/>
  <c r="F58" i="48"/>
  <c r="G58" i="48" s="1"/>
  <c r="F57" i="48"/>
  <c r="F55" i="48"/>
  <c r="D57" i="48"/>
  <c r="D56" i="48"/>
  <c r="G56" i="48" s="1"/>
  <c r="F52" i="48"/>
  <c r="D52" i="48"/>
  <c r="D53" i="48" s="1"/>
  <c r="G53" i="48" s="1"/>
  <c r="D54" i="48"/>
  <c r="D51" i="48"/>
  <c r="G51" i="48" s="1"/>
  <c r="D50" i="48"/>
  <c r="D49" i="48" s="1"/>
  <c r="F54" i="48"/>
  <c r="G54" i="48" l="1"/>
  <c r="G52" i="48"/>
  <c r="G55" i="48"/>
  <c r="G50" i="48"/>
  <c r="G49" i="48"/>
  <c r="G57" i="48"/>
  <c r="G59" i="48" l="1"/>
  <c r="D18" i="21" l="1"/>
  <c r="G18" i="21" s="1"/>
  <c r="G25" i="61" l="1"/>
  <c r="G24" i="61"/>
  <c r="F27" i="61"/>
  <c r="I10" i="61" l="1"/>
  <c r="D28" i="61"/>
  <c r="G27" i="61"/>
  <c r="G23" i="61"/>
  <c r="F16" i="48"/>
  <c r="D28" i="48"/>
  <c r="D26" i="48"/>
  <c r="D15" i="48"/>
  <c r="D13" i="48"/>
  <c r="D14" i="48" s="1"/>
  <c r="D12" i="48"/>
  <c r="D11" i="48"/>
  <c r="D27" i="48" l="1"/>
  <c r="G26" i="48"/>
  <c r="J23" i="61"/>
  <c r="J24" i="61" s="1"/>
  <c r="G16" i="51" l="1"/>
  <c r="K19" i="51" l="1"/>
  <c r="J19" i="51"/>
  <c r="G15" i="51"/>
  <c r="G19" i="53"/>
  <c r="G15" i="53"/>
  <c r="G31" i="53" s="1"/>
  <c r="I31" i="53" s="1"/>
  <c r="G12" i="62"/>
  <c r="D29" i="59"/>
  <c r="D35" i="59" s="1"/>
  <c r="C40" i="46" l="1"/>
  <c r="H15" i="51"/>
  <c r="G12" i="64"/>
  <c r="G19" i="65"/>
  <c r="K24" i="55"/>
  <c r="M24" i="55" s="1"/>
  <c r="K22" i="55"/>
  <c r="L31" i="55" s="1"/>
  <c r="G14" i="66"/>
  <c r="D12" i="60"/>
  <c r="F12" i="60" s="1"/>
  <c r="D10" i="60"/>
  <c r="F10" i="60" s="1"/>
  <c r="F17" i="65"/>
  <c r="G17" i="65" s="1"/>
  <c r="G22" i="65"/>
  <c r="G18" i="65"/>
  <c r="K23" i="65"/>
  <c r="L23" i="65" s="1"/>
  <c r="L17" i="64"/>
  <c r="G10" i="63"/>
  <c r="G14" i="63" s="1"/>
  <c r="K14" i="63"/>
  <c r="L14" i="63" s="1"/>
  <c r="B18" i="55" l="1"/>
  <c r="A44" i="55"/>
  <c r="B36" i="55" s="1"/>
  <c r="B29" i="55" s="1"/>
  <c r="B16" i="55"/>
  <c r="C46" i="55" s="1"/>
  <c r="E46" i="55" s="1"/>
  <c r="E47" i="55" s="1"/>
  <c r="E48" i="55" s="1"/>
  <c r="G16" i="66"/>
  <c r="C43" i="46" s="1"/>
  <c r="H14" i="63"/>
  <c r="B15" i="55"/>
  <c r="B25" i="55" s="1"/>
  <c r="G14" i="65"/>
  <c r="G23" i="65" s="1"/>
  <c r="G36" i="55" l="1"/>
  <c r="G18" i="55"/>
  <c r="B19" i="55"/>
  <c r="G19" i="55" s="1"/>
  <c r="H37" i="55"/>
  <c r="B17" i="55"/>
  <c r="B21" i="51"/>
  <c r="G21" i="51" s="1"/>
  <c r="G16" i="55"/>
  <c r="G15" i="55"/>
  <c r="H14" i="64"/>
  <c r="G25" i="65"/>
  <c r="C42" i="46" s="1"/>
  <c r="H16" i="66"/>
  <c r="G16" i="63"/>
  <c r="C39" i="46" s="1"/>
  <c r="G17" i="55" l="1"/>
  <c r="G20" i="55" s="1"/>
  <c r="B26" i="55"/>
  <c r="G26" i="55" s="1"/>
  <c r="H26" i="55" s="1"/>
  <c r="G38" i="55"/>
  <c r="G25" i="55"/>
  <c r="B22" i="51"/>
  <c r="G13" i="64"/>
  <c r="H13" i="64"/>
  <c r="H25" i="65"/>
  <c r="H16" i="63"/>
  <c r="E24" i="58"/>
  <c r="E13" i="58"/>
  <c r="D9" i="59"/>
  <c r="D8" i="59"/>
  <c r="F12" i="48"/>
  <c r="G12" i="48"/>
  <c r="G27" i="55" l="1"/>
  <c r="H27" i="55" s="1"/>
  <c r="B28" i="55"/>
  <c r="G28" i="55" s="1"/>
  <c r="H28" i="55" s="1"/>
  <c r="G29" i="55"/>
  <c r="H29" i="55" s="1"/>
  <c r="B30" i="55"/>
  <c r="G30" i="55" s="1"/>
  <c r="H30" i="55" s="1"/>
  <c r="G22" i="51"/>
  <c r="D16" i="64"/>
  <c r="G16" i="64" s="1"/>
  <c r="G17" i="64" s="1"/>
  <c r="B24" i="51"/>
  <c r="G24" i="51" s="1"/>
  <c r="H25" i="55"/>
  <c r="H19" i="63"/>
  <c r="D10" i="59"/>
  <c r="G26" i="61"/>
  <c r="D7" i="59"/>
  <c r="D25" i="58"/>
  <c r="G31" i="55" l="1"/>
  <c r="G41" i="55"/>
  <c r="H41" i="55" s="1"/>
  <c r="G25" i="51"/>
  <c r="D12" i="59"/>
  <c r="G19" i="64"/>
  <c r="C41" i="46" s="1"/>
  <c r="D22" i="47"/>
  <c r="D23" i="47" s="1"/>
  <c r="C44" i="46" l="1"/>
  <c r="H19" i="64"/>
  <c r="H21" i="64" s="1"/>
  <c r="F18" i="62"/>
  <c r="G18" i="62" s="1"/>
  <c r="H18" i="62" s="1"/>
  <c r="F14" i="62"/>
  <c r="G14" i="62" s="1"/>
  <c r="K19" i="62"/>
  <c r="L19" i="62" s="1"/>
  <c r="G12" i="61"/>
  <c r="G15" i="61" s="1"/>
  <c r="G22" i="61"/>
  <c r="G21" i="61"/>
  <c r="K15" i="61"/>
  <c r="L15" i="61" s="1"/>
  <c r="G11" i="48"/>
  <c r="F42" i="48"/>
  <c r="F40" i="48"/>
  <c r="F39" i="48"/>
  <c r="G29" i="48"/>
  <c r="G30" i="48" s="1"/>
  <c r="G27" i="48"/>
  <c r="G23" i="48"/>
  <c r="K17" i="48"/>
  <c r="L17" i="48" s="1"/>
  <c r="G16" i="48"/>
  <c r="G21" i="21"/>
  <c r="F16" i="47"/>
  <c r="B39" i="49"/>
  <c r="F39" i="49" s="1"/>
  <c r="G10" i="61"/>
  <c r="D41" i="59"/>
  <c r="D14" i="58"/>
  <c r="D33" i="58"/>
  <c r="D43" i="59" l="1"/>
  <c r="C36" i="46" s="1"/>
  <c r="H14" i="62"/>
  <c r="G15" i="62"/>
  <c r="G13" i="61"/>
  <c r="G17" i="61"/>
  <c r="G16" i="62"/>
  <c r="F17" i="60"/>
  <c r="C45" i="46" s="1"/>
  <c r="F32" i="47"/>
  <c r="H31" i="47"/>
  <c r="G20" i="61"/>
  <c r="G28" i="61"/>
  <c r="G22" i="48"/>
  <c r="D10" i="48"/>
  <c r="G10" i="48" s="1"/>
  <c r="D35" i="58"/>
  <c r="C35" i="46" s="1"/>
  <c r="G10" i="62" l="1"/>
  <c r="G32" i="61"/>
  <c r="C34" i="46" s="1"/>
  <c r="G29" i="61"/>
  <c r="G17" i="60"/>
  <c r="E43" i="59"/>
  <c r="E35" i="58"/>
  <c r="E37" i="58" s="1"/>
  <c r="J39" i="55"/>
  <c r="H32" i="61" l="1"/>
  <c r="G35" i="61"/>
  <c r="H35" i="61" s="1"/>
  <c r="H42" i="55" l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31" i="21"/>
  <c r="F31" i="21" s="1"/>
  <c r="F15" i="48"/>
  <c r="G28" i="21"/>
  <c r="D14" i="21"/>
  <c r="F17" i="47"/>
  <c r="D13" i="62" l="1"/>
  <c r="G15" i="48"/>
  <c r="G13" i="48"/>
  <c r="G31" i="21"/>
  <c r="G14" i="21"/>
  <c r="G30" i="21"/>
  <c r="G30" i="49"/>
  <c r="D17" i="49"/>
  <c r="B17" i="49"/>
  <c r="G14" i="49"/>
  <c r="D16" i="21"/>
  <c r="G16" i="21" s="1"/>
  <c r="G13" i="62" l="1"/>
  <c r="G19" i="62" s="1"/>
  <c r="F23" i="47"/>
  <c r="F22" i="47"/>
  <c r="F9" i="47"/>
  <c r="F11" i="47" s="1"/>
  <c r="D18" i="49"/>
  <c r="G18" i="49" s="1"/>
  <c r="D19" i="49"/>
  <c r="G19" i="49" s="1"/>
  <c r="G17" i="49"/>
  <c r="G21" i="62" l="1"/>
  <c r="C37" i="46" s="1"/>
  <c r="D24" i="47"/>
  <c r="F24" i="47" s="1"/>
  <c r="G21" i="49"/>
  <c r="G46" i="49" s="1"/>
  <c r="H46" i="49" s="1"/>
  <c r="H21" i="62" l="1"/>
  <c r="H24" i="62" s="1"/>
  <c r="G14" i="48"/>
  <c r="G17" i="48" s="1"/>
  <c r="H11" i="36"/>
  <c r="H10" i="36"/>
  <c r="H9" i="36"/>
  <c r="H8" i="36"/>
  <c r="H7" i="36"/>
  <c r="H6" i="36"/>
  <c r="H12" i="36"/>
  <c r="H5" i="36"/>
  <c r="D12" i="21" l="1"/>
  <c r="D19" i="21" s="1"/>
  <c r="D22" i="21"/>
  <c r="G22" i="21" s="1"/>
  <c r="G12" i="21" l="1"/>
  <c r="D25" i="47" l="1"/>
  <c r="F25" i="47" s="1"/>
  <c r="F26" i="47" s="1"/>
  <c r="F34" i="47" s="1"/>
  <c r="G19" i="21"/>
  <c r="D20" i="21"/>
  <c r="G20" i="21" s="1"/>
  <c r="F35" i="47" l="1"/>
  <c r="C31" i="46"/>
  <c r="G23" i="21"/>
  <c r="G24" i="21" s="1"/>
  <c r="G34" i="47"/>
  <c r="G35" i="21" l="1"/>
  <c r="C32" i="46" s="1"/>
  <c r="H35" i="21" l="1"/>
  <c r="H37" i="21" s="1"/>
  <c r="G28" i="51" l="1"/>
  <c r="C38" i="46" s="1"/>
  <c r="H28" i="51" l="1"/>
  <c r="E45" i="46" l="1"/>
  <c r="E39" i="46" l="1"/>
  <c r="E43" i="46" l="1"/>
  <c r="E42" i="46" l="1"/>
  <c r="E41" i="46"/>
  <c r="F43" i="48" s="1"/>
  <c r="G43" i="48" s="1"/>
  <c r="E40" i="46"/>
  <c r="E44" i="46"/>
  <c r="E34" i="46"/>
  <c r="D37" i="48" l="1"/>
  <c r="G37" i="48" s="1"/>
  <c r="E32" i="46"/>
  <c r="E35" i="46"/>
  <c r="E31" i="46"/>
  <c r="D39" i="49" l="1"/>
  <c r="G39" i="49" s="1"/>
  <c r="D36" i="49"/>
  <c r="G36" i="49" s="1"/>
  <c r="D37" i="49"/>
  <c r="E38" i="46"/>
  <c r="D42" i="48" l="1"/>
  <c r="G42" i="48" s="1"/>
  <c r="D36" i="48"/>
  <c r="D39" i="48"/>
  <c r="G39" i="48" s="1"/>
  <c r="D40" i="48"/>
  <c r="D38" i="49"/>
  <c r="G38" i="49" s="1"/>
  <c r="G37" i="49"/>
  <c r="G40" i="49" l="1"/>
  <c r="D41" i="48"/>
  <c r="G41" i="48" s="1"/>
  <c r="G40" i="48"/>
  <c r="G36" i="48"/>
  <c r="D35" i="48"/>
  <c r="G35" i="48" s="1"/>
  <c r="E36" i="46" l="1"/>
  <c r="E37" i="46" l="1"/>
  <c r="G62" i="48"/>
  <c r="H62" i="48" l="1"/>
  <c r="H64" i="48" s="1"/>
  <c r="C33" i="46"/>
  <c r="C46" i="46" l="1"/>
  <c r="E33" i="46"/>
  <c r="C47" i="46" l="1"/>
  <c r="D34" i="46" s="1"/>
  <c r="B39" i="62"/>
  <c r="E46" i="46"/>
  <c r="D38" i="48" s="1"/>
  <c r="G38" i="48" s="1"/>
  <c r="G44" i="48" s="1"/>
  <c r="D43" i="46" l="1"/>
  <c r="D35" i="46"/>
  <c r="D37" i="46"/>
  <c r="D36" i="46"/>
  <c r="D44" i="46"/>
  <c r="D32" i="46"/>
  <c r="D45" i="46"/>
  <c r="D33" i="46"/>
  <c r="D42" i="46"/>
  <c r="D46" i="46"/>
  <c r="D40" i="46"/>
  <c r="D39" i="46"/>
  <c r="D31" i="46"/>
  <c r="D41" i="46"/>
  <c r="D38" i="46"/>
  <c r="E47" i="46"/>
  <c r="E48" i="46" s="1"/>
  <c r="D30" i="46"/>
  <c r="D47" i="4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6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4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A1B1C653-6A30-40D0-A361-28559755B50A}">
      <text>
        <r>
          <rPr>
            <sz val="9"/>
            <color indexed="81"/>
            <rFont val="Segoe UI"/>
            <family val="2"/>
          </rPr>
          <t>30% de perda</t>
        </r>
      </text>
    </comment>
    <comment ref="F33" authorId="0" shapeId="0" xr:uid="{82D2F4CB-C9BF-40F1-B6DD-475307089183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26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7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5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5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0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49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49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1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5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6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2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2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<sst xmlns="http://schemas.openxmlformats.org/spreadsheetml/2006/main" count="1575" uniqueCount="520">
  <si>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</si>
  <si>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</si>
  <si>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</si>
  <si>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</si>
  <si>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</si>
  <si>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</si>
  <si>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</si>
  <si>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</si>
  <si>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</si>
  <si>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</si>
  <si>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</si>
  <si>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</si>
  <si>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</si>
  <si>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</si>
  <si>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</si>
  <si>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</si>
  <si>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</si>
  <si>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</si>
  <si>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</si>
  <si>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</si>
  <si>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</si>
  <si>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</si>
  <si>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</si>
  <si>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</si>
  <si>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</si>
  <si>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</si>
  <si>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</si>
  <si>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</si>
  <si>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</si>
  <si>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</si>
  <si>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</si>
  <si>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</si>
  <si>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</si>
  <si>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</si>
  <si>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</si>
  <si>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</si>
  <si>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</si>
  <si>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</si>
  <si>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</si>
  <si>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</si>
  <si>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</si>
  <si>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</si>
  <si>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</si>
  <si>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</si>
  <si>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</si>
  <si>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</si>
  <si>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</si>
  <si>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</si>
  <si>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</si>
  <si>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</si>
  <si>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</si>
  <si>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</si>
  <si>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</si>
  <si>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</si>
  <si>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</si>
  <si>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</si>
  <si>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</si>
  <si>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</si>
  <si>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</si>
  <si>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</si>
  <si>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</si>
  <si>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</si>
  <si>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</si>
  <si>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</si>
  <si>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</si>
  <si>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</si>
  <si>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</si>
  <si>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</si>
  <si>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</si>
  <si>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</si>
  <si>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</si>
  <si>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</si>
  <si>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</si>
  <si>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</si>
  <si>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</si>
  <si>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</si>
  <si>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</si>
  <si>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</si>
  <si>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</si>
  <si>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</si>
  <si>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</si>
  <si>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</si>
  <si>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</si>
  <si>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</si>
  <si>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</si>
  <si>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</si>
  <si>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</si>
  <si>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</si>
  <si>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</si>
  <si>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</si>
  <si>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</si>
  <si>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</si>
  <si>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</si>
  <si>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</si>
  <si>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</si>
  <si>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</si>
  <si>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</si>
  <si>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</si>
  <si>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</si>
  <si>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</si>
  <si>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</si>
  <si>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</si>
  <si>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</si>
  <si>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</si>
  <si>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</si>
  <si>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</si>
  <si>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</si>
  <si>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</si>
  <si>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</si>
  <si>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</si>
  <si>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</si>
  <si>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</si>
  <si>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</si>
  <si>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</si>
  <si>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</si>
  <si>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</si>
  <si>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</si>
  <si>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</si>
  <si>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</si>
  <si>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</si>
  <si>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</si>
  <si>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</si>
  <si>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</si>
  <si>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</si>
  <si>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</si>
  <si>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</si>
  <si>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</si>
  <si>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</si>
  <si>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</si>
  <si>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</si>
  <si>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</si>
  <si>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</si>
  <si>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</si>
  <si>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</si>
  <si>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</si>
  <si>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</si>
  <si>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</si>
  <si>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</si>
  <si>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</si>
  <si>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</si>
  <si>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</si>
  <si>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</si>
  <si>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</si>
  <si>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</si>
  <si>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</si>
  <si>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</si>
  <si>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</si>
  <si>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</si>
  <si>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</si>
  <si>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</si>
  <si>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</si>
  <si>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</si>
  <si>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</si>
  <si>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</si>
  <si>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</si>
  <si>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</si>
  <si>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</si>
  <si>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</si>
  <si>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</si>
  <si>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</si>
  <si>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</si>
  <si>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</si>
  <si>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</si>
  <si>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</si>
  <si>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</si>
  <si>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</si>
  <si>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</si>
  <si>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</si>
  <si>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</si>
  <si>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</si>
  <si>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</si>
  <si>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</si>
  <si>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</si>
  <si>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</si>
  <si>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</si>
  <si>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</si>
  <si>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</si>
  <si>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</si>
  <si>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</si>
  <si>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</si>
  <si>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</si>
  <si>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</si>
  <si>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</si>
  <si>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</si>
  <si>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</si>
  <si>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</si>
  <si>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</si>
  <si>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</si>
  <si>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</si>
  <si>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</si>
  <si>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</si>
  <si>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</si>
  <si>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</si>
  <si>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</si>
  <si>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</si>
  <si>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</si>
  <si>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</si>
  <si>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</si>
  <si>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</si>
  <si>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</si>
  <si>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Revestimentos de Parede</t>
  </si>
  <si>
    <t>Rodapés</t>
  </si>
  <si>
    <t xml:space="preserve">m² </t>
  </si>
  <si>
    <t>Piscina</t>
  </si>
  <si>
    <t xml:space="preserve">Porcelanato 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</si>
  <si>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</si>
  <si>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</si>
  <si>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</si>
  <si>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</si>
  <si>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</si>
  <si>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</si>
  <si>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</si>
  <si>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</si>
  <si>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</si>
  <si>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</si>
  <si>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</si>
  <si>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</si>
  <si>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</si>
  <si>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</si>
  <si>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</si>
  <si>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</si>
  <si>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</si>
  <si>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</si>
  <si>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</si>
  <si>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</si>
  <si>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</si>
  <si>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</si>
  <si>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</si>
  <si>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</si>
  <si>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</si>
  <si>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</si>
  <si>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</si>
  <si>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</si>
  <si>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</si>
  <si>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</si>
  <si>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</si>
  <si>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</si>
  <si>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</si>
  <si>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</si>
  <si>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</si>
  <si>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</si>
  <si>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</si>
  <si>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</si>
  <si>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</si>
  <si>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</si>
  <si>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</si>
  <si>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</si>
  <si>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</si>
  <si>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</si>
  <si>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</si>
  <si>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</si>
  <si>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</si>
  <si>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</si>
  <si>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</si>
  <si>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</si>
  <si>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</si>
  <si>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</si>
  <si>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</si>
  <si>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</si>
  <si>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</si>
  <si>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</si>
  <si>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</si>
  <si>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</si>
  <si>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</si>
  <si>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</si>
  <si>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</si>
  <si>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</si>
  <si>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</si>
  <si>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</si>
  <si>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</si>
  <si>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</si>
  <si>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</si>
  <si>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</si>
  <si>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</si>
  <si>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</si>
  <si>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</si>
  <si>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</si>
  <si>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</si>
  <si>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</si>
  <si>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</si>
  <si>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</si>
  <si>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</si>
  <si>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</si>
  <si>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</si>
  <si>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</si>
  <si>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</si>
  <si>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</si>
  <si>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</si>
  <si>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</si>
  <si>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</si>
  <si>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</si>
  <si>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</si>
  <si>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</si>
  <si>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</si>
  <si>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Observação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</si>
  <si>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</si>
  <si>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</si>
  <si>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</si>
  <si>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</si>
  <si>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</si>
  <si>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</si>
  <si>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</si>
  <si>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CUBETAS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</si>
  <si>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</si>
  <si>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</si>
  <si>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</si>
  <si>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</si>
  <si>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</si>
  <si>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</si>
  <si>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</si>
  <si>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</si>
  <si>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</si>
  <si>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</si>
  <si>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</si>
  <si>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</si>
  <si>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</si>
  <si>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</si>
  <si>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</si>
  <si>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</si>
  <si>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TELHADO</t>
  </si>
  <si>
    <t>Piso alisado</t>
  </si>
  <si>
    <t>TOTAL ESQUADRIAS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</si>
  <si>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</si>
  <si>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</si>
  <si>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</si>
  <si>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</si>
  <si>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</si>
  <si>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</si>
  <si>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</si>
  <si>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</si>
  <si>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</si>
  <si>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</si>
  <si>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</si>
  <si>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Base obra Trindade Parkside</t>
  </si>
  <si>
    <t>ALVENARIA - DRYWALL</t>
  </si>
  <si>
    <t>CIMENTADO</t>
  </si>
  <si>
    <t>Equipamento de piscina</t>
  </si>
  <si>
    <t>TOTAL FORRO</t>
  </si>
  <si>
    <t>Fechadura Biometrica</t>
  </si>
  <si>
    <t>Piso ranhurado</t>
  </si>
  <si>
    <t>Pele de vidro</t>
  </si>
  <si>
    <t>Não</t>
  </si>
  <si>
    <t>Sim</t>
  </si>
  <si>
    <t>CIRCULAÇÃO</t>
  </si>
  <si>
    <t>PISCINA</t>
  </si>
  <si>
    <t>ACADEMIA</t>
  </si>
  <si>
    <t>RESERVATORIO</t>
  </si>
  <si>
    <t>Área total</t>
  </si>
  <si>
    <t>Material</t>
  </si>
  <si>
    <t>ACABAMENTOS</t>
  </si>
  <si>
    <t>Revestimento</t>
  </si>
  <si>
    <t>Total</t>
  </si>
  <si>
    <t>Repetição</t>
  </si>
  <si>
    <t>Contrapiso (Sim/Não)</t>
  </si>
  <si>
    <t>Área (m²)</t>
  </si>
  <si>
    <t>Ambiente</t>
  </si>
  <si>
    <t>Pavimento</t>
  </si>
  <si>
    <t>CONTRAPISO</t>
  </si>
  <si>
    <t>LEVANTAMENTO DE PROJETO</t>
  </si>
  <si>
    <t>LEVANTAMENTO QUANTITATIVO</t>
  </si>
  <si>
    <t>Sem rebaixamento</t>
  </si>
  <si>
    <t>Comprimento do muro</t>
  </si>
  <si>
    <t>Altura do muro</t>
  </si>
  <si>
    <t>TOTAL CONTENÇÃO</t>
  </si>
  <si>
    <t>Sistema de placas solares</t>
  </si>
  <si>
    <t>mês</t>
  </si>
  <si>
    <t>VINILICO</t>
  </si>
  <si>
    <t>Vinilico</t>
  </si>
  <si>
    <t>Forro</t>
  </si>
  <si>
    <t>Gesso</t>
  </si>
  <si>
    <t>REVESTIMENTOS E ACABAMENTOS DE PISO E TETO</t>
  </si>
  <si>
    <t>FORRO</t>
  </si>
  <si>
    <t>Plataforma elevatória</t>
  </si>
  <si>
    <t>inox</t>
  </si>
  <si>
    <t>só banheiro</t>
  </si>
  <si>
    <t>cozinha</t>
  </si>
  <si>
    <t>concreto</t>
  </si>
  <si>
    <t>aço</t>
  </si>
  <si>
    <t>mo</t>
  </si>
  <si>
    <t>Área de subsolo (m2)</t>
  </si>
  <si>
    <t>30% de empolamento</t>
  </si>
  <si>
    <t>Lastro de concreto magto e=10cm</t>
  </si>
  <si>
    <t>Polimento de concreto</t>
  </si>
  <si>
    <t>Ceramica</t>
  </si>
  <si>
    <t>Deck</t>
  </si>
  <si>
    <t>Madeira sauna</t>
  </si>
  <si>
    <t>GC SACADA</t>
  </si>
  <si>
    <t>Gradil area tecnica</t>
  </si>
  <si>
    <t>Corrimão comercial</t>
  </si>
  <si>
    <t>Impermeabilizações com manta asfalticafloreiras</t>
  </si>
  <si>
    <t>Execução de mureta guia</t>
  </si>
  <si>
    <t>Serviço especializado parede diafragma</t>
  </si>
  <si>
    <t>Mobilização para parede diagragma</t>
  </si>
  <si>
    <t>Concreto (30 Mpa) COM CRISTALIZANTE</t>
  </si>
  <si>
    <t>Tratamento em juntas de concretagem com fita hidroexpansiva</t>
  </si>
  <si>
    <t>espessura</t>
  </si>
  <si>
    <t>GESSO</t>
  </si>
  <si>
    <t>Pintura Interna Tetos</t>
  </si>
  <si>
    <t>Textura Teto</t>
  </si>
  <si>
    <t xml:space="preserve">Alvenaria </t>
  </si>
  <si>
    <t>01 - Implantação e Situação - R1</t>
  </si>
  <si>
    <t>SALA 01</t>
  </si>
  <si>
    <t>SALA 02</t>
  </si>
  <si>
    <t>LAVABO SALAS</t>
  </si>
  <si>
    <t>Paver</t>
  </si>
  <si>
    <t>PASSEIO/ACESSO FRENTE coberto</t>
  </si>
  <si>
    <t xml:space="preserve">PASSEIO/ACESSO FRENTE </t>
  </si>
  <si>
    <t>LIXEIRA</t>
  </si>
  <si>
    <t>CENTRAL DE GÁS</t>
  </si>
  <si>
    <t>HALL DE ENTRADA</t>
  </si>
  <si>
    <t xml:space="preserve">PORCELANATO </t>
  </si>
  <si>
    <t>G1</t>
  </si>
  <si>
    <t>G2</t>
  </si>
  <si>
    <t>LAVABO</t>
  </si>
  <si>
    <t>G3</t>
  </si>
  <si>
    <t>TIPO (X21)</t>
  </si>
  <si>
    <t>ROOFTOP</t>
  </si>
  <si>
    <t>CASA DE MAQUINAS</t>
  </si>
  <si>
    <t>ETAPA</t>
  </si>
  <si>
    <t>VALOR ORÇADO</t>
  </si>
  <si>
    <t>%</t>
  </si>
  <si>
    <t>VALOR / m²</t>
  </si>
  <si>
    <t>GERENCIAMENTO TÉCNICO E ADMINISTRATIVO</t>
  </si>
  <si>
    <t>INSTALAÇÕES ELÉTRICAS, HIDRÁULICAS, GLP E PREVENTIVAS</t>
  </si>
  <si>
    <t>REVESTIMENTOS E ACABAMENTOS DE FACHADA</t>
  </si>
  <si>
    <t>ESQUADRIAS, VIDROS E FERRAGENS</t>
  </si>
  <si>
    <t>EQUIPAMENTOS E SISTEMAS ESPECIAIS</t>
  </si>
  <si>
    <t>CUB/SC</t>
  </si>
  <si>
    <t>Indice Atlantia</t>
  </si>
  <si>
    <t>um/m²</t>
  </si>
  <si>
    <t>Pressurização de escada</t>
  </si>
  <si>
    <t>TIPO DIF</t>
  </si>
  <si>
    <t xml:space="preserve">Equipamento de sauna </t>
  </si>
  <si>
    <t>Equipamento de spa</t>
  </si>
  <si>
    <t>Alvenaria silico calcario</t>
  </si>
  <si>
    <t>Tratamento</t>
  </si>
  <si>
    <t>Mo Tetxura</t>
  </si>
  <si>
    <t>Textura</t>
  </si>
  <si>
    <t>Mao de obra argamassado</t>
  </si>
  <si>
    <t>MO Estucamento</t>
  </si>
  <si>
    <t>Forro gesso mineral</t>
  </si>
  <si>
    <t>ACABAMENTOS EM PISO E PAREDE</t>
  </si>
  <si>
    <t>Mao de obra acabamentos</t>
  </si>
  <si>
    <t>Terraços e áreas externas</t>
  </si>
  <si>
    <t>Porcelanato AC</t>
  </si>
  <si>
    <t>Porcelanato AP</t>
  </si>
  <si>
    <t xml:space="preserve">Soleiras </t>
  </si>
  <si>
    <t>Peitoris</t>
  </si>
  <si>
    <t>Pintura piso resina</t>
  </si>
  <si>
    <t>Vagas e bicicleta</t>
  </si>
  <si>
    <t>BRISE TEC</t>
  </si>
  <si>
    <t>IMPREVISTOS E CONTINGENCIAS</t>
  </si>
  <si>
    <t>Viva Perequê Residencial</t>
  </si>
  <si>
    <t>Ferazzo e Correa Incorporadora</t>
  </si>
  <si>
    <t>Locação de escoramento metálico</t>
  </si>
  <si>
    <t xml:space="preserve">TORRE </t>
  </si>
  <si>
    <t>REVESTIMENTOS E ACABAMENTOS INTERNOS EM TETO</t>
  </si>
  <si>
    <t>S TECNICA</t>
  </si>
  <si>
    <t>ESCADA</t>
  </si>
  <si>
    <t>RAMPA</t>
  </si>
  <si>
    <t xml:space="preserve">ANTECAMARA </t>
  </si>
  <si>
    <t>POLIDO</t>
  </si>
  <si>
    <t>LADRILHO HIDRAULICO</t>
  </si>
  <si>
    <t>G1/G2</t>
  </si>
  <si>
    <t xml:space="preserve">GARAGEM </t>
  </si>
  <si>
    <t>DIF / LAZER</t>
  </si>
  <si>
    <t>SALÃO DE FESTAS</t>
  </si>
  <si>
    <t>PUB</t>
  </si>
  <si>
    <t>LAZER EXTERNO</t>
  </si>
  <si>
    <t>PRAINHA</t>
  </si>
  <si>
    <t>PASTILHA</t>
  </si>
  <si>
    <t>GOUMET EXTERNO</t>
  </si>
  <si>
    <t xml:space="preserve">QUARTOS </t>
  </si>
  <si>
    <t>APARTAMENTO</t>
  </si>
  <si>
    <t>TIPO</t>
  </si>
  <si>
    <t>QUARTOS 01/02</t>
  </si>
  <si>
    <t>APARTAMENTO 01/02</t>
  </si>
  <si>
    <t>QUARTOS 03/04</t>
  </si>
  <si>
    <t>APARTAMENTO 03/04</t>
  </si>
  <si>
    <t xml:space="preserve">TIPO 2 </t>
  </si>
  <si>
    <t xml:space="preserve">APARTAMENTO </t>
  </si>
  <si>
    <t>CASA DE BOMBAS</t>
  </si>
  <si>
    <t>LAJE SOB COBERTURA</t>
  </si>
  <si>
    <t>TOPO DE LAJE</t>
  </si>
  <si>
    <t>Mao de obra contrapiso</t>
  </si>
  <si>
    <t>Ladrilho hidraulico</t>
  </si>
  <si>
    <t>LAZER</t>
  </si>
  <si>
    <t>TIPO 8</t>
  </si>
  <si>
    <t>TIPO 1</t>
  </si>
  <si>
    <t>vaga pne</t>
  </si>
  <si>
    <t>J3</t>
  </si>
  <si>
    <t>J9</t>
  </si>
  <si>
    <t>J4</t>
  </si>
  <si>
    <t>J6</t>
  </si>
  <si>
    <t>J10</t>
  </si>
  <si>
    <t>PORTAS</t>
  </si>
  <si>
    <t>Telhamento Shingle</t>
  </si>
  <si>
    <t>Mo ocbertura</t>
  </si>
  <si>
    <t>banheiros</t>
  </si>
  <si>
    <t>Molduras EPS</t>
  </si>
  <si>
    <t>R$ / m</t>
  </si>
  <si>
    <t xml:space="preserve">INDICE </t>
  </si>
  <si>
    <t>TODO COM MOLDURA</t>
  </si>
  <si>
    <t>APENAS EMBASAMENTO E COBERTURA</t>
  </si>
  <si>
    <t>Esquadrias de PVC arredondadas</t>
  </si>
  <si>
    <t>Esquadrias de PVC</t>
  </si>
  <si>
    <t>Gradil fachada</t>
  </si>
  <si>
    <t>Pintura molduras</t>
  </si>
  <si>
    <t>Mo Pintura molduras</t>
  </si>
  <si>
    <t xml:space="preserve">Detalhes unitarios </t>
  </si>
  <si>
    <t>um</t>
  </si>
  <si>
    <t xml:space="preserve">R$ / un </t>
  </si>
  <si>
    <t>Textura frisos</t>
  </si>
  <si>
    <t>Mo Tetxura frisos</t>
  </si>
  <si>
    <t>Revestimento torre frisado</t>
  </si>
  <si>
    <t>mo Revestimento torre frisado</t>
  </si>
  <si>
    <t>PLAYGROUND</t>
  </si>
  <si>
    <t>GRAMA SINTETICA</t>
  </si>
  <si>
    <t>DECK</t>
  </si>
  <si>
    <t>Grama sintetica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</si>
</sst>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(&quot;R$&quot;* #,##0.00_);_(&quot;R$&quot;* \(#,##0.00\);_(&quot;R$&quot;* &quot;-&quot;??_);_(@_)"/>
    <numFmt numFmtId="168" formatCode="[$-416]mmm\-yy;@"/>
    <numFmt numFmtId="169" formatCode="_(* #,##0.00_);_(* \(#,##0.00\);_(* &quot;-&quot;??_);_(@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Roboto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Poppins"/>
    </font>
    <font>
      <sz val="11"/>
      <color rgb="FFFFC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121212"/>
        <bgColor rgb="FF121212"/>
      </patternFill>
    </fill>
    <fill>
      <patternFill patternType="solid">
        <fgColor rgb="FFFC3400"/>
        <bgColor rgb="FFFC3400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8" fillId="0" borderId="0"/>
    <xf numFmtId="9" fontId="2" fillId="0" borderId="0"/>
    <xf numFmtId="0" fontId="2" fillId="0" borderId="0" applyNumberFormat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2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43" fontId="3" fillId="0" borderId="71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2" fontId="3" fillId="0" borderId="82" xfId="1" applyNumberFormat="1" applyFont="1" applyBorder="1" applyAlignment="1">
      <alignment horizontal="center" vertical="center" wrapText="1"/>
    </xf>
    <xf numFmtId="43" fontId="3" fillId="0" borderId="39" xfId="0" applyNumberFormat="1" applyFont="1" applyBorder="1" applyAlignment="1">
      <alignment vertical="center"/>
    </xf>
    <xf numFmtId="0" fontId="38" fillId="0" borderId="0" xfId="11"/>
    <xf numFmtId="0" fontId="39" fillId="13" borderId="0" xfId="11" applyFont="1" applyFill="1"/>
    <xf numFmtId="0" fontId="39" fillId="13" borderId="83" xfId="11" applyFont="1" applyFill="1" applyBorder="1"/>
    <xf numFmtId="0" fontId="39" fillId="0" borderId="84" xfId="11" applyFont="1" applyBorder="1"/>
    <xf numFmtId="0" fontId="39" fillId="0" borderId="85" xfId="11" applyFont="1" applyBorder="1"/>
    <xf numFmtId="0" fontId="39" fillId="0" borderId="86" xfId="11" applyFont="1" applyBorder="1"/>
    <xf numFmtId="0" fontId="39" fillId="12" borderId="86" xfId="11" applyFont="1" applyFill="1" applyBorder="1"/>
    <xf numFmtId="0" fontId="39" fillId="12" borderId="85" xfId="11" applyFont="1" applyFill="1" applyBorder="1"/>
    <xf numFmtId="0" fontId="39" fillId="13" borderId="87" xfId="11" applyFont="1" applyFill="1" applyBorder="1"/>
    <xf numFmtId="2" fontId="39" fillId="0" borderId="84" xfId="11" applyNumberFormat="1" applyFont="1" applyBorder="1"/>
    <xf numFmtId="0" fontId="39" fillId="0" borderId="88" xfId="11" applyFont="1" applyBorder="1"/>
    <xf numFmtId="0" fontId="39" fillId="0" borderId="89" xfId="11" applyFont="1" applyBorder="1"/>
    <xf numFmtId="0" fontId="5" fillId="14" borderId="90" xfId="11" applyFont="1" applyFill="1" applyBorder="1" applyAlignment="1">
      <alignment horizontal="center" vertical="center"/>
    </xf>
    <xf numFmtId="0" fontId="5" fillId="14" borderId="91" xfId="11" applyFont="1" applyFill="1" applyBorder="1" applyAlignment="1">
      <alignment horizontal="center" vertical="center"/>
    </xf>
    <xf numFmtId="2" fontId="39" fillId="0" borderId="94" xfId="11" applyNumberFormat="1" applyFont="1" applyBorder="1"/>
    <xf numFmtId="0" fontId="39" fillId="0" borderId="95" xfId="11" applyFont="1" applyBorder="1"/>
    <xf numFmtId="0" fontId="39" fillId="12" borderId="95" xfId="11" applyFont="1" applyFill="1" applyBorder="1"/>
    <xf numFmtId="0" fontId="39" fillId="12" borderId="96" xfId="11" applyFont="1" applyFill="1" applyBorder="1"/>
    <xf numFmtId="0" fontId="5" fillId="14" borderId="97" xfId="11" applyFont="1" applyFill="1" applyBorder="1" applyAlignment="1">
      <alignment horizontal="center" vertical="center"/>
    </xf>
    <xf numFmtId="0" fontId="5" fillId="14" borderId="98" xfId="11" applyFont="1" applyFill="1" applyBorder="1" applyAlignment="1">
      <alignment horizontal="center"/>
    </xf>
    <xf numFmtId="0" fontId="39" fillId="13" borderId="100" xfId="11" applyFont="1" applyFill="1" applyBorder="1"/>
    <xf numFmtId="0" fontId="16" fillId="13" borderId="64" xfId="11" applyFont="1" applyFill="1" applyBorder="1" applyAlignment="1">
      <alignment horizontal="left" vertical="center" wrapText="1"/>
    </xf>
    <xf numFmtId="0" fontId="9" fillId="12" borderId="102" xfId="11" applyFont="1" applyFill="1" applyBorder="1" applyAlignment="1">
      <alignment vertical="center" wrapText="1"/>
    </xf>
    <xf numFmtId="0" fontId="39" fillId="13" borderId="64" xfId="11" applyFont="1" applyFill="1" applyBorder="1"/>
    <xf numFmtId="0" fontId="40" fillId="0" borderId="61" xfId="11" applyFont="1" applyBorder="1"/>
    <xf numFmtId="0" fontId="9" fillId="12" borderId="103" xfId="11" applyFont="1" applyFill="1" applyBorder="1" applyAlignment="1">
      <alignment vertical="center" wrapText="1"/>
    </xf>
    <xf numFmtId="0" fontId="39" fillId="13" borderId="104" xfId="11" applyFont="1" applyFill="1" applyBorder="1"/>
    <xf numFmtId="0" fontId="39" fillId="13" borderId="105" xfId="11" applyFont="1" applyFill="1" applyBorder="1"/>
    <xf numFmtId="0" fontId="16" fillId="13" borderId="105" xfId="11" applyFont="1" applyFill="1" applyBorder="1" applyAlignment="1">
      <alignment horizontal="left" vertical="center" wrapText="1"/>
    </xf>
    <xf numFmtId="0" fontId="40" fillId="0" borderId="106" xfId="11" applyFont="1" applyBorder="1"/>
    <xf numFmtId="0" fontId="9" fillId="12" borderId="91" xfId="11" applyFont="1" applyFill="1" applyBorder="1" applyAlignment="1">
      <alignment vertical="center" wrapText="1"/>
    </xf>
    <xf numFmtId="43" fontId="10" fillId="0" borderId="1" xfId="1" applyFont="1" applyFill="1" applyBorder="1" applyAlignment="1">
      <alignment vertical="center" wrapText="1"/>
    </xf>
    <xf numFmtId="44" fontId="26" fillId="0" borderId="1" xfId="10" applyFont="1" applyBorder="1" applyAlignment="1">
      <alignment horizontal="center" vertical="center" wrapText="1"/>
    </xf>
    <xf numFmtId="44" fontId="26" fillId="0" borderId="1" xfId="10" applyFont="1" applyBorder="1" applyAlignment="1">
      <alignment vertical="center" wrapText="1"/>
    </xf>
    <xf numFmtId="44" fontId="10" fillId="0" borderId="1" xfId="10" applyFont="1" applyFill="1" applyBorder="1" applyAlignment="1">
      <alignment vertical="center" wrapText="1"/>
    </xf>
    <xf numFmtId="2" fontId="39" fillId="0" borderId="88" xfId="11" applyNumberFormat="1" applyFont="1" applyBorder="1"/>
    <xf numFmtId="43" fontId="3" fillId="0" borderId="72" xfId="1" applyFont="1" applyFill="1" applyBorder="1" applyAlignment="1">
      <alignment horizontal="center" vertical="center" wrapText="1"/>
    </xf>
    <xf numFmtId="43" fontId="29" fillId="0" borderId="72" xfId="1" applyFont="1" applyFill="1" applyBorder="1" applyAlignment="1">
      <alignment horizontal="center" vertical="center" wrapText="1"/>
    </xf>
    <xf numFmtId="44" fontId="26" fillId="0" borderId="1" xfId="10" applyFont="1" applyFill="1" applyBorder="1" applyAlignment="1">
      <alignment horizontal="center" vertical="center" wrapText="1"/>
    </xf>
    <xf numFmtId="0" fontId="39" fillId="0" borderId="87" xfId="11" applyFont="1" applyBorder="1"/>
    <xf numFmtId="0" fontId="39" fillId="0" borderId="83" xfId="11" applyFont="1" applyBorder="1"/>
    <xf numFmtId="2" fontId="19" fillId="0" borderId="0" xfId="0" applyNumberFormat="1" applyFont="1" applyAlignment="1">
      <alignment vertical="center"/>
    </xf>
    <xf numFmtId="43" fontId="3" fillId="0" borderId="82" xfId="1" applyFont="1" applyBorder="1" applyAlignment="1">
      <alignment horizontal="center" vertical="center" wrapText="1"/>
    </xf>
    <xf numFmtId="43" fontId="19" fillId="0" borderId="0" xfId="0" applyNumberFormat="1" applyFont="1" applyAlignment="1">
      <alignment vertical="center"/>
    </xf>
    <xf numFmtId="43" fontId="44" fillId="0" borderId="0" xfId="1" applyFont="1" applyAlignment="1">
      <alignment vertical="center"/>
    </xf>
    <xf numFmtId="43" fontId="44" fillId="0" borderId="0" xfId="1" applyFont="1" applyAlignment="1">
      <alignment horizontal="right" vertical="center"/>
    </xf>
    <xf numFmtId="14" fontId="39" fillId="0" borderId="101" xfId="11" applyNumberFormat="1" applyFont="1" applyBorder="1" applyAlignment="1">
      <alignment horizontal="left"/>
    </xf>
    <xf numFmtId="2" fontId="39" fillId="12" borderId="86" xfId="11" applyNumberFormat="1" applyFont="1" applyFill="1" applyBorder="1"/>
    <xf numFmtId="0" fontId="45" fillId="14" borderId="15" xfId="13" applyFont="1" applyFill="1" applyBorder="1" applyAlignment="1">
      <alignment horizontal="center" vertical="center"/>
    </xf>
    <xf numFmtId="0" fontId="45" fillId="14" borderId="21" xfId="13" applyFont="1" applyFill="1" applyBorder="1" applyAlignment="1">
      <alignment horizontal="center" vertical="center"/>
    </xf>
    <xf numFmtId="0" fontId="45" fillId="14" borderId="22" xfId="13" applyFont="1" applyFill="1" applyBorder="1" applyAlignment="1">
      <alignment horizontal="center" vertical="center"/>
    </xf>
    <xf numFmtId="0" fontId="46" fillId="18" borderId="107" xfId="13" applyFont="1" applyFill="1" applyBorder="1" applyAlignment="1">
      <alignment horizontal="left" vertical="center"/>
    </xf>
    <xf numFmtId="0" fontId="46" fillId="19" borderId="107" xfId="13" applyFont="1" applyFill="1" applyBorder="1" applyAlignment="1">
      <alignment horizontal="left" vertical="center"/>
    </xf>
    <xf numFmtId="0" fontId="45" fillId="14" borderId="16" xfId="13" applyFont="1" applyFill="1" applyBorder="1" applyAlignment="1">
      <alignment horizontal="left" vertical="center"/>
    </xf>
    <xf numFmtId="9" fontId="45" fillId="14" borderId="1" xfId="13" applyNumberFormat="1" applyFont="1" applyFill="1" applyBorder="1" applyAlignment="1">
      <alignment horizontal="center" vertical="center"/>
    </xf>
    <xf numFmtId="0" fontId="45" fillId="14" borderId="110" xfId="13" applyFont="1" applyFill="1" applyBorder="1" applyAlignment="1">
      <alignment horizontal="left" vertical="center"/>
    </xf>
    <xf numFmtId="167" fontId="45" fillId="14" borderId="111" xfId="14" applyFont="1" applyFill="1" applyBorder="1" applyAlignment="1">
      <alignment horizontal="left" vertical="center"/>
    </xf>
    <xf numFmtId="168" fontId="45" fillId="14" borderId="111" xfId="13" applyNumberFormat="1" applyFont="1" applyFill="1" applyBorder="1" applyAlignment="1">
      <alignment horizontal="center" vertical="center"/>
    </xf>
    <xf numFmtId="167" fontId="45" fillId="14" borderId="112" xfId="14" applyFont="1" applyFill="1" applyBorder="1" applyAlignment="1">
      <alignment horizontal="center" vertical="center"/>
    </xf>
    <xf numFmtId="10" fontId="46" fillId="13" borderId="108" xfId="6" applyNumberFormat="1" applyFont="1" applyFill="1" applyBorder="1" applyAlignment="1">
      <alignment horizontal="center" vertical="center"/>
    </xf>
    <xf numFmtId="10" fontId="46" fillId="19" borderId="108" xfId="6" applyNumberFormat="1" applyFont="1" applyFill="1" applyBorder="1" applyAlignment="1">
      <alignment horizontal="center" vertical="center"/>
    </xf>
    <xf numFmtId="44" fontId="43" fillId="13" borderId="108" xfId="10" applyFont="1" applyFill="1" applyBorder="1" applyAlignment="1">
      <alignment horizontal="center" vertical="center"/>
    </xf>
    <xf numFmtId="44" fontId="43" fillId="19" borderId="108" xfId="10" applyFont="1" applyFill="1" applyBorder="1" applyAlignment="1">
      <alignment horizontal="center" vertical="center"/>
    </xf>
    <xf numFmtId="44" fontId="46" fillId="13" borderId="109" xfId="10" applyFont="1" applyFill="1" applyBorder="1" applyAlignment="1">
      <alignment horizontal="center" vertical="center"/>
    </xf>
    <xf numFmtId="44" fontId="46" fillId="19" borderId="109" xfId="10" applyFont="1" applyFill="1" applyBorder="1" applyAlignment="1">
      <alignment horizontal="center" vertical="center"/>
    </xf>
    <xf numFmtId="44" fontId="45" fillId="14" borderId="1" xfId="10" applyFont="1" applyFill="1" applyBorder="1" applyAlignment="1">
      <alignment horizontal="center" vertical="center"/>
    </xf>
    <xf numFmtId="44" fontId="45" fillId="14" borderId="18" xfId="10" applyFont="1" applyFill="1" applyBorder="1" applyAlignment="1">
      <alignment horizontal="center" vertical="center"/>
    </xf>
    <xf numFmtId="0" fontId="15" fillId="0" borderId="0" xfId="0" applyFont="1" applyAlignment="1">
      <alignment horizontal="left" vertical="top"/>
    </xf>
    <xf numFmtId="14" fontId="19" fillId="0" borderId="0" xfId="0" applyNumberFormat="1" applyFont="1" applyAlignment="1">
      <alignment vertical="center"/>
    </xf>
    <xf numFmtId="43" fontId="47" fillId="2" borderId="13" xfId="1" applyFont="1" applyFill="1" applyBorder="1" applyAlignment="1">
      <alignment vertical="center" wrapText="1"/>
    </xf>
    <xf numFmtId="20" fontId="10" fillId="0" borderId="0" xfId="0" applyNumberFormat="1" applyFont="1"/>
    <xf numFmtId="0" fontId="48" fillId="0" borderId="85" xfId="11" applyFont="1" applyBorder="1"/>
    <xf numFmtId="44" fontId="10" fillId="0" borderId="0" xfId="0" applyNumberFormat="1" applyFont="1" applyAlignment="1">
      <alignment horizontal="center"/>
    </xf>
    <xf numFmtId="0" fontId="41" fillId="0" borderId="85" xfId="11" applyFont="1" applyBorder="1"/>
    <xf numFmtId="2" fontId="41" fillId="0" borderId="88" xfId="11" applyNumberFormat="1" applyFont="1" applyBorder="1"/>
    <xf numFmtId="43" fontId="44" fillId="0" borderId="0" xfId="1" applyFont="1" applyAlignment="1">
      <alignment horizontal="center" vertical="center"/>
    </xf>
    <xf numFmtId="44" fontId="37" fillId="0" borderId="1" xfId="10" applyFont="1" applyFill="1" applyBorder="1" applyAlignment="1">
      <alignment horizontal="left" vertical="center" wrapText="1"/>
    </xf>
    <xf numFmtId="44" fontId="37" fillId="0" borderId="1" xfId="10" applyFont="1" applyBorder="1" applyAlignment="1">
      <alignment horizontal="left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1" fillId="17" borderId="87" xfId="11" applyFont="1" applyFill="1" applyBorder="1" applyAlignment="1">
      <alignment horizontal="center" vertical="center" wrapText="1"/>
    </xf>
    <xf numFmtId="0" fontId="41" fillId="0" borderId="0" xfId="11" applyFont="1"/>
    <xf numFmtId="0" fontId="41" fillId="0" borderId="83" xfId="11" applyFont="1" applyBorder="1"/>
    <xf numFmtId="0" fontId="11" fillId="16" borderId="87" xfId="11" applyFont="1" applyFill="1" applyBorder="1" applyAlignment="1">
      <alignment horizontal="center" vertical="center" wrapText="1"/>
    </xf>
    <xf numFmtId="0" fontId="42" fillId="15" borderId="93" xfId="11" applyFont="1" applyFill="1" applyBorder="1" applyAlignment="1">
      <alignment horizontal="center"/>
    </xf>
    <xf numFmtId="0" fontId="41" fillId="0" borderId="99" xfId="11" applyFont="1" applyBorder="1"/>
    <xf numFmtId="0" fontId="41" fillId="0" borderId="92" xfId="11" applyFont="1" applyBorder="1"/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8">
    <cellStyle name="Moeda" xfId="10" builtinId="4"/>
    <cellStyle name="Moeda 9" xfId="14" xr:uid="{2AD985BD-B04C-4CB2-BFF3-654D5952E1E2}"/>
    <cellStyle name="Normal" xfId="0" builtinId="0"/>
    <cellStyle name="Normal 11 2" xfId="15" xr:uid="{38DEC01A-8BC8-4183-826E-935D9B248245}"/>
    <cellStyle name="Normal 2" xfId="2" xr:uid="{00000000-0005-0000-0000-000001000000}"/>
    <cellStyle name="Normal 2 4" xfId="13" xr:uid="{FA727E6A-21BC-42F9-8BB7-3C4EE35D460D}"/>
    <cellStyle name="Normal 3" xfId="7" xr:uid="{E04F1BAC-8E74-4A37-9445-C7335308FD48}"/>
    <cellStyle name="Normal 4" xfId="11" xr:uid="{D74BDD3A-FAE7-462F-A1F7-AD8D3775B668}"/>
    <cellStyle name="Normal 7" xfId="5" xr:uid="{B5D56057-44D1-4A2B-9814-263CBEA5E92D}"/>
    <cellStyle name="Porcentagem" xfId="6" builtinId="5"/>
    <cellStyle name="Porcentagem 2" xfId="12" xr:uid="{0CF89817-ACA2-4BC3-B654-13E67BD33FF2}"/>
    <cellStyle name="Porcentagem 2 2" xfId="17" xr:uid="{52B0BBFB-D4E4-423F-9186-0FDF51B12B86}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3 2 2" xfId="16" xr:uid="{62669938-003A-455D-8929-B170F66E76B6}"/>
    <cellStyle name="Vírgula 4" xfId="9" xr:uid="{36500701-2F34-46A0-BEC0-E5982B15FF0A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 defaultTableStyle="TableStyleMedium2" defaultPivotStyle="PivotStyleLight16">
    <tableStyle name="PISO-style" pivot="0" count="3" xr9:uid="{5931D982-F9E3-4AFC-89BB-E173BD6A8484}">
      <tableStyleElement type="headerRow" dxfId="3"/>
      <tableStyleElement type="firstRowStripe" dxfId="2"/>
      <tableStyleElement type="secondRowStripe" dxfId="1"/>
    </tableStyle>
  </tableStyles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  <xdr:twoCellAnchor editAs="oneCell">
    <xdr:from>
      <xdr:col>5</xdr:col>
      <xdr:colOff>486166</xdr:colOff>
      <xdr:row>6</xdr:row>
      <xdr:rowOff>62189</xdr:rowOff>
    </xdr:from>
    <xdr:to>
      <xdr:col>11</xdr:col>
      <xdr:colOff>187467</xdr:colOff>
      <xdr:row>19</xdr:row>
      <xdr:rowOff>224015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7474BCF-7A70-F520-715F-AFE7369A5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9904" y="1472245"/>
          <a:ext cx="5069912" cy="37552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410472</xdr:colOff>
      <xdr:row>4</xdr:row>
      <xdr:rowOff>123736</xdr:rowOff>
    </xdr:from>
    <xdr:to>
      <xdr:col>11</xdr:col>
      <xdr:colOff>224050</xdr:colOff>
      <xdr:row>10</xdr:row>
      <xdr:rowOff>263214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EF880F-0F01-4FD7-8E00-2609B538C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8166" y="1477407"/>
          <a:ext cx="2236738" cy="20323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571836</xdr:colOff>
      <xdr:row>12</xdr:row>
      <xdr:rowOff>129316</xdr:rowOff>
    </xdr:from>
    <xdr:to>
      <xdr:col>16</xdr:col>
      <xdr:colOff>568578</xdr:colOff>
      <xdr:row>21</xdr:row>
      <xdr:rowOff>339461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0F2648A-D425-4A94-B0D6-E53F4C05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29530" y="3661410"/>
          <a:ext cx="5483142" cy="3214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209550</xdr:colOff>
      <xdr:row>0</xdr:row>
      <xdr:rowOff>180975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645001A5-0D05-4276-BB8D-67EDE72372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34800" y="182880"/>
          <a:ext cx="1381125" cy="2286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Ferrazzo%20Correa%20Incorporadora\04.%20Custo\04.1%20Custo%20-%20Param&#233;trico\03%20-%20Indiretos\CTN-FCR-VIV-Custos_Indiretos_R00.xlsx" TargetMode="External"/><Relationship Id="rId1" Type="http://schemas.openxmlformats.org/officeDocument/2006/relationships/externalLinkPath" Target="/.shortcut-targets-by-id/16oaQUYgx8kiowDwLhg-oO1zGZ777DJUb/2.%20Projetos%20em%20Andamento/Ferrazzo%20Correa%20Incorporadora/04.%20Custo/04.1%20Custo%20-%20Param&#233;trico/03%20-%20Indiretos/CTN-FCR-VIV-Custos_Indiretos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CANTEIRO"/>
      <sheetName val="BASES"/>
      <sheetName val="EPCs"/>
      <sheetName val="CUSTOS_INDIRETOS"/>
    </sheetNames>
    <sheetDataSet>
      <sheetData sheetId="0"/>
      <sheetData sheetId="1"/>
      <sheetData sheetId="2"/>
      <sheetData sheetId="3"/>
      <sheetData sheetId="4">
        <row r="71">
          <cell r="F71">
            <v>2854260.1606227332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77342-A2B4-482C-B18B-06EF374B6F61}" name="Table_2" displayName="Table_2" ref="B10:G100">
  <tableColumns count="6">
    <tableColumn id="1" xr3:uid="{00000000-0010-0000-0100-000001000000}" name="Pavimento"/>
    <tableColumn id="2" xr3:uid="{00000000-0010-0000-0100-000002000000}" name="Ambiente"/>
    <tableColumn id="3" xr3:uid="{00000000-0010-0000-0100-000003000000}" name="Área (m²)"/>
    <tableColumn id="4" xr3:uid="{00000000-0010-0000-0100-000004000000}" name="Material"/>
    <tableColumn id="5" xr3:uid="{00000000-0010-0000-0100-000005000000}" name="Contrapiso (Sim/Não)"/>
    <tableColumn id="6" xr3:uid="{6621DE4B-8AA6-4A57-B06E-C3FE3C157665}" name="Forro" dataDxfId="0" dataCellStyle="Normal 4"/>
  </tableColumns>
  <tableStyleInfo name="PISO-style" showFirstColumn="1" showLastColumn="1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tabColor rgb="FF003C66"/>
    <pageSetUpPr fitToPage="1"/>
  </sheetPr>
  <dimension ref="A1:G49"/>
  <sheetViews>
    <sheetView tabSelected="1" view="pageBreakPreview" topLeftCell="A3" zoomScale="107" zoomScaleNormal="115" zoomScaleSheetLayoutView="107" workbookViewId="0">
      <selection activeCell="E11" sqref="E11"/>
    </sheetView>
  </sheetViews>
  <sheetFormatPr defaultRowHeight="21.75" x14ac:dyDescent="0.6"/>
  <cols>
    <col min="1" max="1" width="19.140625" style="41" customWidth="1"/>
    <col min="2" max="2" width="40" style="42" bestFit="1" customWidth="1"/>
    <col min="3" max="3" width="13.7109375" style="42" customWidth="1"/>
    <col min="4" max="4" width="11.28515625" style="42" customWidth="1"/>
    <col min="5" max="5" width="11.28515625" style="43" customWidth="1"/>
    <col min="6" max="6" width="19.710937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">
        <v>452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">
        <v>453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184</v>
      </c>
      <c r="C3" s="12"/>
      <c r="D3" s="12"/>
      <c r="E3" s="13"/>
      <c r="F3" s="14"/>
      <c r="G3" s="15"/>
    </row>
    <row r="4" spans="1:7" ht="18" customHeight="1" x14ac:dyDescent="0.6">
      <c r="A4" s="10" t="s">
        <v>283</v>
      </c>
      <c r="B4" s="11" t="s">
        <v>400</v>
      </c>
      <c r="C4" s="12"/>
      <c r="D4" s="12"/>
      <c r="E4" s="13"/>
      <c r="F4" s="14"/>
      <c r="G4" s="20"/>
    </row>
    <row r="5" spans="1:7" ht="25.15" customHeight="1" x14ac:dyDescent="0.25">
      <c r="A5" s="280" t="s">
        <v>126</v>
      </c>
      <c r="B5" s="281"/>
      <c r="C5" s="281"/>
      <c r="D5" s="281"/>
      <c r="E5" s="281"/>
      <c r="F5" s="281"/>
      <c r="G5" s="282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v>600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v>5576.17</v>
      </c>
      <c r="F9" s="26"/>
      <c r="G9" s="21"/>
    </row>
    <row r="10" spans="1:7" x14ac:dyDescent="0.6">
      <c r="A10" s="22"/>
      <c r="B10" s="30" t="s">
        <v>284</v>
      </c>
      <c r="C10" s="31" t="s">
        <v>285</v>
      </c>
      <c r="D10" s="31" t="s">
        <v>123</v>
      </c>
      <c r="E10" s="32">
        <f>4*8+2+2</f>
        <v>36</v>
      </c>
      <c r="F10" s="195"/>
      <c r="G10" s="21"/>
    </row>
    <row r="11" spans="1:7" x14ac:dyDescent="0.6">
      <c r="A11" s="22"/>
      <c r="B11" s="30" t="s">
        <v>286</v>
      </c>
      <c r="C11" s="31" t="s">
        <v>290</v>
      </c>
      <c r="D11" s="31" t="s">
        <v>123</v>
      </c>
      <c r="E11" s="32"/>
      <c r="F11" s="26"/>
      <c r="G11" s="21"/>
    </row>
    <row r="12" spans="1:7" x14ac:dyDescent="0.6">
      <c r="A12" s="22"/>
      <c r="B12" s="30" t="s">
        <v>287</v>
      </c>
      <c r="C12" s="31" t="s">
        <v>291</v>
      </c>
      <c r="D12" s="31" t="s">
        <v>123</v>
      </c>
      <c r="E12" s="32"/>
      <c r="F12" s="26"/>
      <c r="G12" s="21"/>
    </row>
    <row r="13" spans="1:7" x14ac:dyDescent="0.6">
      <c r="A13" s="22"/>
      <c r="B13" s="30" t="s">
        <v>288</v>
      </c>
      <c r="C13" s="31" t="s">
        <v>289</v>
      </c>
      <c r="D13" s="31" t="s">
        <v>123</v>
      </c>
      <c r="E13" s="32"/>
      <c r="F13" s="26"/>
      <c r="G13" s="21"/>
    </row>
    <row r="14" spans="1:7" x14ac:dyDescent="0.6">
      <c r="A14" s="22"/>
      <c r="B14" s="30" t="s">
        <v>267</v>
      </c>
      <c r="C14" s="31" t="s">
        <v>307</v>
      </c>
      <c r="D14" s="31" t="s">
        <v>123</v>
      </c>
      <c r="E14" s="271">
        <f>'SISTEMAS ESPECIAIS'!B10</f>
        <v>40</v>
      </c>
      <c r="F14" s="26"/>
      <c r="G14" s="21"/>
    </row>
    <row r="15" spans="1:7" x14ac:dyDescent="0.6">
      <c r="A15" s="22"/>
      <c r="B15" s="30" t="s">
        <v>130</v>
      </c>
      <c r="C15" s="31" t="s">
        <v>9</v>
      </c>
      <c r="D15" s="31" t="s">
        <v>123</v>
      </c>
      <c r="E15" s="32">
        <v>15</v>
      </c>
      <c r="F15" s="26"/>
      <c r="G15" s="21"/>
    </row>
    <row r="16" spans="1:7" x14ac:dyDescent="0.6">
      <c r="A16" s="22"/>
      <c r="B16" s="30" t="s">
        <v>131</v>
      </c>
      <c r="C16" s="31" t="s">
        <v>10</v>
      </c>
      <c r="D16" s="31" t="s">
        <v>123</v>
      </c>
      <c r="E16" s="32">
        <v>8</v>
      </c>
      <c r="F16" s="26"/>
      <c r="G16" s="21"/>
    </row>
    <row r="17" spans="1:7" x14ac:dyDescent="0.6">
      <c r="A17" s="22"/>
      <c r="B17" s="30" t="s">
        <v>132</v>
      </c>
      <c r="C17" s="31" t="s">
        <v>40</v>
      </c>
      <c r="D17" s="31" t="s">
        <v>123</v>
      </c>
      <c r="E17" s="32">
        <v>1</v>
      </c>
      <c r="F17" s="26"/>
      <c r="G17" s="21"/>
    </row>
    <row r="18" spans="1:7" x14ac:dyDescent="0.6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6">
      <c r="A19" s="22"/>
      <c r="B19" s="30" t="s">
        <v>134</v>
      </c>
      <c r="C19" s="31" t="s">
        <v>11</v>
      </c>
      <c r="D19" s="31" t="s">
        <v>120</v>
      </c>
      <c r="E19" s="32">
        <v>312.08</v>
      </c>
      <c r="F19" s="26"/>
      <c r="G19" s="21"/>
    </row>
    <row r="20" spans="1:7" x14ac:dyDescent="0.6">
      <c r="A20" s="22"/>
      <c r="B20" s="30" t="s">
        <v>135</v>
      </c>
      <c r="C20" s="31" t="s">
        <v>12</v>
      </c>
      <c r="D20" s="31" t="s">
        <v>119</v>
      </c>
      <c r="E20" s="32">
        <v>73.290000000000006</v>
      </c>
      <c r="F20" s="26"/>
      <c r="G20" s="21"/>
    </row>
    <row r="21" spans="1:7" x14ac:dyDescent="0.6">
      <c r="A21" s="22"/>
      <c r="B21" s="30" t="s">
        <v>136</v>
      </c>
      <c r="C21" s="31" t="s">
        <v>36</v>
      </c>
      <c r="D21" s="31" t="s">
        <v>120</v>
      </c>
      <c r="E21" s="32">
        <f>537.71-107.3*2</f>
        <v>323.11</v>
      </c>
      <c r="F21" s="26"/>
      <c r="G21" s="21"/>
    </row>
    <row r="22" spans="1:7" x14ac:dyDescent="0.6">
      <c r="A22" s="22"/>
      <c r="B22" s="30" t="s">
        <v>137</v>
      </c>
      <c r="C22" s="31" t="s">
        <v>35</v>
      </c>
      <c r="D22" s="31" t="s">
        <v>120</v>
      </c>
      <c r="E22" s="32">
        <f>502.69+537.71*3</f>
        <v>2115.8200000000002</v>
      </c>
      <c r="F22" s="26"/>
      <c r="G22" s="21"/>
    </row>
    <row r="23" spans="1:7" x14ac:dyDescent="0.6">
      <c r="A23" s="22"/>
      <c r="B23" s="30" t="s">
        <v>138</v>
      </c>
      <c r="C23" s="31" t="s">
        <v>139</v>
      </c>
      <c r="D23" s="31" t="s">
        <v>120</v>
      </c>
      <c r="E23" s="32"/>
      <c r="F23" s="26"/>
      <c r="G23" s="21"/>
    </row>
    <row r="24" spans="1:7" x14ac:dyDescent="0.6">
      <c r="A24" s="22"/>
      <c r="B24" s="30" t="s">
        <v>140</v>
      </c>
      <c r="C24" s="31" t="s">
        <v>13</v>
      </c>
      <c r="D24" s="31" t="s">
        <v>123</v>
      </c>
      <c r="E24" s="32"/>
      <c r="F24" s="26"/>
      <c r="G24" s="21"/>
    </row>
    <row r="25" spans="1:7" x14ac:dyDescent="0.6">
      <c r="A25" s="22"/>
      <c r="B25" s="30" t="s">
        <v>141</v>
      </c>
      <c r="C25" s="31" t="s">
        <v>39</v>
      </c>
      <c r="D25" s="31" t="s">
        <v>120</v>
      </c>
      <c r="E25" s="32">
        <f>537.71</f>
        <v>537.71</v>
      </c>
      <c r="F25" s="26"/>
      <c r="G25" s="21"/>
    </row>
    <row r="26" spans="1:7" x14ac:dyDescent="0.6">
      <c r="A26" s="22"/>
      <c r="B26" s="30" t="s">
        <v>142</v>
      </c>
      <c r="C26" s="31" t="s">
        <v>153</v>
      </c>
      <c r="D26" s="31" t="s">
        <v>119</v>
      </c>
      <c r="E26" s="32">
        <v>93.06</v>
      </c>
      <c r="F26" s="26"/>
      <c r="G26" s="21"/>
    </row>
    <row r="27" spans="1:7" ht="22.5" thickBot="1" x14ac:dyDescent="0.65">
      <c r="A27" s="22"/>
      <c r="B27" s="33" t="s">
        <v>143</v>
      </c>
      <c r="C27" s="34" t="s">
        <v>154</v>
      </c>
      <c r="D27" s="34" t="s">
        <v>123</v>
      </c>
      <c r="E27" s="35">
        <v>4</v>
      </c>
      <c r="F27" s="26"/>
      <c r="G27" s="21"/>
    </row>
    <row r="28" spans="1:7" ht="22.5" thickBot="1" x14ac:dyDescent="0.65">
      <c r="A28" s="36"/>
      <c r="B28" s="37"/>
      <c r="C28" s="37"/>
      <c r="D28" s="37"/>
      <c r="E28" s="38"/>
      <c r="F28" s="39"/>
      <c r="G28" s="40"/>
    </row>
    <row r="29" spans="1:7" ht="10.5" customHeight="1" x14ac:dyDescent="0.6">
      <c r="B29" s="250" t="s">
        <v>418</v>
      </c>
      <c r="C29" s="251" t="s">
        <v>419</v>
      </c>
      <c r="D29" s="251" t="s">
        <v>420</v>
      </c>
      <c r="E29" s="252" t="s">
        <v>421</v>
      </c>
    </row>
    <row r="30" spans="1:7" ht="10.5" customHeight="1" x14ac:dyDescent="0.6">
      <c r="B30" s="253" t="s">
        <v>422</v>
      </c>
      <c r="C30" s="263">
        <f>[4]CUSTOS_INDIRETOS!$F$71</f>
        <v>2854260.1606227332</v>
      </c>
      <c r="D30" s="261">
        <f t="shared" ref="D30:D46" si="0">C30/C$47</f>
        <v>0.12397490657908725</v>
      </c>
      <c r="E30" s="265">
        <f t="shared" ref="E30:E45" si="1">C30/$E$9</f>
        <v>511.86749339111492</v>
      </c>
    </row>
    <row r="31" spans="1:7" ht="10.5" customHeight="1" x14ac:dyDescent="0.6">
      <c r="B31" s="254" t="s">
        <v>121</v>
      </c>
      <c r="C31" s="264">
        <f>MOVIMENTAÇÃO_DE_TERRA!F34</f>
        <v>67840.800445694273</v>
      </c>
      <c r="D31" s="262">
        <f t="shared" si="0"/>
        <v>2.9466679364191033E-3</v>
      </c>
      <c r="E31" s="266">
        <f t="shared" si="1"/>
        <v>12.166200177845058</v>
      </c>
      <c r="F31" s="269"/>
    </row>
    <row r="32" spans="1:7" ht="10.5" customHeight="1" x14ac:dyDescent="0.6">
      <c r="B32" s="253" t="s">
        <v>122</v>
      </c>
      <c r="C32" s="263">
        <f>INFRAESTRUTURA!G35</f>
        <v>1034699.5999886501</v>
      </c>
      <c r="D32" s="261">
        <f t="shared" si="0"/>
        <v>4.494221935887751E-2</v>
      </c>
      <c r="E32" s="265">
        <f t="shared" si="1"/>
        <v>185.55739871428779</v>
      </c>
      <c r="F32" s="269"/>
    </row>
    <row r="33" spans="2:7" ht="10.5" customHeight="1" x14ac:dyDescent="0.6">
      <c r="B33" s="254" t="s">
        <v>28</v>
      </c>
      <c r="C33" s="264">
        <f>SUPRAESTRUTURA!G62</f>
        <v>4305290.296084757</v>
      </c>
      <c r="D33" s="262">
        <f t="shared" si="0"/>
        <v>0.18700045973962906</v>
      </c>
      <c r="E33" s="266">
        <f t="shared" si="1"/>
        <v>772.08734598922865</v>
      </c>
    </row>
    <row r="34" spans="2:7" ht="10.5" customHeight="1" x14ac:dyDescent="0.6">
      <c r="B34" s="253" t="s">
        <v>183</v>
      </c>
      <c r="C34" s="263">
        <f>ALVENARIA!G32</f>
        <v>895755.05579999997</v>
      </c>
      <c r="D34" s="261">
        <f t="shared" si="0"/>
        <v>3.8907157410739072E-2</v>
      </c>
      <c r="E34" s="265">
        <f t="shared" si="1"/>
        <v>160.63983985423687</v>
      </c>
    </row>
    <row r="35" spans="2:7" ht="10.5" customHeight="1" x14ac:dyDescent="0.6">
      <c r="B35" s="254" t="s">
        <v>423</v>
      </c>
      <c r="C35" s="264">
        <f>INSTALAÇÕES!D35</f>
        <v>1887533.5450000002</v>
      </c>
      <c r="D35" s="262">
        <f t="shared" si="0"/>
        <v>8.1985096570599061E-2</v>
      </c>
      <c r="E35" s="266">
        <f t="shared" si="1"/>
        <v>338.5</v>
      </c>
    </row>
    <row r="36" spans="2:7" ht="18" customHeight="1" x14ac:dyDescent="0.6">
      <c r="B36" s="253" t="s">
        <v>426</v>
      </c>
      <c r="C36" s="263">
        <f>'SISTEMAS ESPECIAIS'!D43</f>
        <v>1161762.2920000001</v>
      </c>
      <c r="D36" s="261">
        <f t="shared" si="0"/>
        <v>5.0461192572712935E-2</v>
      </c>
      <c r="E36" s="265">
        <f t="shared" si="1"/>
        <v>208.3441308281491</v>
      </c>
      <c r="G36" s="272"/>
    </row>
    <row r="37" spans="2:7" ht="24.75" customHeight="1" x14ac:dyDescent="0.6">
      <c r="B37" s="254" t="s">
        <v>225</v>
      </c>
      <c r="C37" s="264">
        <f>IMPERMEABILIZAÇÃO!G21</f>
        <v>295473.30845999997</v>
      </c>
      <c r="D37" s="262">
        <f t="shared" si="0"/>
        <v>1.2833895213304674E-2</v>
      </c>
      <c r="E37" s="266">
        <f t="shared" si="1"/>
        <v>52.988576112277777</v>
      </c>
      <c r="G37" s="272"/>
    </row>
    <row r="38" spans="2:7" ht="24" customHeight="1" x14ac:dyDescent="0.6">
      <c r="B38" s="253" t="s">
        <v>194</v>
      </c>
      <c r="C38" s="263">
        <f>'Rev. Internos Piso e Parede'!G28</f>
        <v>1007134.1953134</v>
      </c>
      <c r="D38" s="261">
        <f t="shared" si="0"/>
        <v>4.3744914881669913E-2</v>
      </c>
      <c r="E38" s="265">
        <f>C38/$E$9</f>
        <v>180.61396896317723</v>
      </c>
      <c r="G38" s="272"/>
    </row>
    <row r="39" spans="2:7" ht="10.5" customHeight="1" x14ac:dyDescent="0.6">
      <c r="B39" s="254" t="s">
        <v>456</v>
      </c>
      <c r="C39" s="264">
        <f>TETO!G16</f>
        <v>412383.44434479502</v>
      </c>
      <c r="D39" s="262">
        <f t="shared" si="0"/>
        <v>1.7911891737385933E-2</v>
      </c>
      <c r="E39" s="266">
        <f>C39/$E$9</f>
        <v>73.95460402835549</v>
      </c>
    </row>
    <row r="40" spans="2:7" ht="10.5" customHeight="1" x14ac:dyDescent="0.6">
      <c r="B40" s="253" t="s">
        <v>441</v>
      </c>
      <c r="C40" s="263">
        <f>'Acabamentos de Piso e Parede'!G31</f>
        <v>1270508.2016518102</v>
      </c>
      <c r="D40" s="261">
        <f t="shared" si="0"/>
        <v>5.5184575597124981E-2</v>
      </c>
      <c r="E40" s="265">
        <f t="shared" si="1"/>
        <v>227.84603081538228</v>
      </c>
    </row>
    <row r="41" spans="2:7" ht="10.5" customHeight="1" x14ac:dyDescent="0.6">
      <c r="B41" s="254" t="s">
        <v>314</v>
      </c>
      <c r="C41" s="264">
        <f>'PINTURA INTERNA'!G19</f>
        <v>906892.24789834011</v>
      </c>
      <c r="D41" s="262">
        <f t="shared" si="0"/>
        <v>3.9390901804117646E-2</v>
      </c>
      <c r="E41" s="266">
        <f t="shared" si="1"/>
        <v>162.63712331193994</v>
      </c>
    </row>
    <row r="42" spans="2:7" ht="10.5" customHeight="1" x14ac:dyDescent="0.6">
      <c r="B42" s="253" t="s">
        <v>425</v>
      </c>
      <c r="C42" s="263">
        <f>ESQUADRIAS!G25</f>
        <v>3267859.9585054973</v>
      </c>
      <c r="D42" s="261">
        <f t="shared" si="0"/>
        <v>0.14193963068204282</v>
      </c>
      <c r="E42" s="265">
        <f t="shared" si="1"/>
        <v>586.04023164743853</v>
      </c>
    </row>
    <row r="43" spans="2:7" ht="10.5" customHeight="1" x14ac:dyDescent="0.6">
      <c r="B43" s="254" t="s">
        <v>198</v>
      </c>
      <c r="C43" s="264">
        <f>COBERTURA!G16</f>
        <v>382095.36827999994</v>
      </c>
      <c r="D43" s="262">
        <f t="shared" si="0"/>
        <v>1.6596327917242078E-2</v>
      </c>
      <c r="E43" s="266">
        <f>C43/$E$9</f>
        <v>68.522905198370907</v>
      </c>
    </row>
    <row r="44" spans="2:7" ht="10.5" customHeight="1" x14ac:dyDescent="0.6">
      <c r="B44" s="253" t="s">
        <v>424</v>
      </c>
      <c r="C44" s="263">
        <f>'Rev. Fachada'!G41</f>
        <v>1558167.8469720001</v>
      </c>
      <c r="D44" s="261">
        <f t="shared" si="0"/>
        <v>6.7679084033021433E-2</v>
      </c>
      <c r="E44" s="265">
        <f t="shared" si="1"/>
        <v>279.43334707729502</v>
      </c>
    </row>
    <row r="45" spans="2:7" ht="10.5" customHeight="1" x14ac:dyDescent="0.6">
      <c r="B45" s="254" t="s">
        <v>281</v>
      </c>
      <c r="C45" s="264">
        <f>COMPLEMENTARES!F17</f>
        <v>1127794.1280000003</v>
      </c>
      <c r="D45" s="262">
        <f t="shared" si="0"/>
        <v>4.8985783982893175E-2</v>
      </c>
      <c r="E45" s="266">
        <f t="shared" si="1"/>
        <v>202.25246504321072</v>
      </c>
    </row>
    <row r="46" spans="2:7" ht="10.5" customHeight="1" x14ac:dyDescent="0.6">
      <c r="B46" s="253" t="s">
        <v>451</v>
      </c>
      <c r="C46" s="263">
        <f>SUM(C31:C45)*0.03</f>
        <v>587435.70866234822</v>
      </c>
      <c r="D46" s="261">
        <f t="shared" si="0"/>
        <v>2.5515293983133378E-2</v>
      </c>
      <c r="E46" s="265">
        <f>C46/$E$9</f>
        <v>105.34752503283583</v>
      </c>
    </row>
    <row r="47" spans="2:7" ht="10.5" customHeight="1" x14ac:dyDescent="0.6">
      <c r="B47" s="255" t="s">
        <v>17</v>
      </c>
      <c r="C47" s="267">
        <f>SUM(C30:C46)</f>
        <v>23022886.158030026</v>
      </c>
      <c r="D47" s="256">
        <f>SUM(D30:D46)</f>
        <v>1.0000000000000002</v>
      </c>
      <c r="E47" s="268">
        <f>SUM(E30:E46)</f>
        <v>4128.7991861851451</v>
      </c>
    </row>
    <row r="48" spans="2:7" ht="10.5" customHeight="1" thickBot="1" x14ac:dyDescent="0.65">
      <c r="B48" s="257" t="s">
        <v>427</v>
      </c>
      <c r="C48" s="258">
        <v>2965.54</v>
      </c>
      <c r="D48" s="259">
        <v>45839</v>
      </c>
      <c r="E48" s="260" t="str">
        <f>ROUNDUP(+E47/C48,2)&amp;" CUB"</f>
        <v>1,4 CUB</v>
      </c>
    </row>
    <row r="49" spans="3:3" x14ac:dyDescent="0.6">
      <c r="C49" s="274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6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5"/>
  <sheetViews>
    <sheetView showGridLines="0" topLeftCell="A21" zoomScale="85" zoomScaleNormal="85" zoomScaleSheetLayoutView="95" workbookViewId="0">
      <selection activeCell="E30" sqref="E30:E31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79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287" t="s">
        <v>121</v>
      </c>
      <c r="B2" s="288"/>
      <c r="C2" s="288"/>
      <c r="D2" s="288"/>
      <c r="E2" s="288"/>
      <c r="F2" s="288"/>
      <c r="G2" s="289"/>
      <c r="I2" s="2"/>
    </row>
    <row r="3" spans="1:9" ht="28.5" customHeight="1" x14ac:dyDescent="0.25">
      <c r="A3" s="182" t="s">
        <v>185</v>
      </c>
      <c r="B3" s="188">
        <v>45727</v>
      </c>
      <c r="C3" s="186"/>
      <c r="D3" s="186"/>
      <c r="E3" s="186"/>
      <c r="F3" s="186"/>
      <c r="G3" s="187"/>
      <c r="I3" s="2"/>
    </row>
    <row r="4" spans="1:9" ht="28.5" customHeight="1" x14ac:dyDescent="0.25">
      <c r="A4" s="182" t="s">
        <v>292</v>
      </c>
      <c r="B4" s="189" t="s">
        <v>210</v>
      </c>
      <c r="C4" s="184"/>
      <c r="D4" s="184"/>
      <c r="E4" s="184"/>
      <c r="F4" s="184"/>
      <c r="G4" s="185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149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379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294</v>
      </c>
    </row>
    <row r="9" spans="1:9" s="55" customFormat="1" ht="21.75" x14ac:dyDescent="0.25">
      <c r="A9" s="66" t="s">
        <v>145</v>
      </c>
      <c r="B9" s="67">
        <v>0</v>
      </c>
      <c r="C9" s="67">
        <v>6</v>
      </c>
      <c r="D9" s="68">
        <f>(C9*B9)</f>
        <v>0</v>
      </c>
      <c r="E9" s="88">
        <v>2.66</v>
      </c>
      <c r="F9" s="89">
        <f>E9*D9*1.1</f>
        <v>0</v>
      </c>
      <c r="G9" s="67"/>
    </row>
    <row r="10" spans="1:9" s="55" customFormat="1" ht="21.75" x14ac:dyDescent="0.25">
      <c r="A10" s="70" t="s">
        <v>155</v>
      </c>
      <c r="B10" s="67"/>
      <c r="C10" s="67"/>
      <c r="D10" s="68">
        <f>D9*1.3</f>
        <v>0</v>
      </c>
      <c r="E10" s="88">
        <v>45.45</v>
      </c>
      <c r="F10" s="89">
        <f>E10*D10*1.1</f>
        <v>0</v>
      </c>
      <c r="G10" s="67" t="s">
        <v>380</v>
      </c>
    </row>
    <row r="11" spans="1:9" s="55" customFormat="1" ht="21.75" x14ac:dyDescent="0.25">
      <c r="A11" s="286" t="s">
        <v>17</v>
      </c>
      <c r="B11" s="286"/>
      <c r="C11" s="286"/>
      <c r="D11" s="286"/>
      <c r="E11" s="286"/>
      <c r="F11" s="90">
        <f>SUM(F9:F10)</f>
        <v>0</v>
      </c>
      <c r="G11" s="90"/>
    </row>
    <row r="12" spans="1:9" s="55" customFormat="1" ht="21.75" x14ac:dyDescent="0.25">
      <c r="A12" s="290"/>
      <c r="B12" s="290"/>
      <c r="C12" s="290"/>
      <c r="D12" s="290"/>
      <c r="E12" s="290"/>
      <c r="F12" s="100"/>
      <c r="G12" s="100"/>
    </row>
    <row r="13" spans="1:9" s="55" customFormat="1" ht="21.75" x14ac:dyDescent="0.25">
      <c r="A13" s="52" t="s">
        <v>152</v>
      </c>
      <c r="B13" s="53"/>
      <c r="C13" s="53"/>
      <c r="D13" s="54"/>
      <c r="E13" s="98"/>
      <c r="F13" s="98"/>
      <c r="G13" s="98"/>
    </row>
    <row r="14" spans="1:9" s="55" customFormat="1" ht="21.75" x14ac:dyDescent="0.25">
      <c r="A14" s="56"/>
      <c r="B14" s="57"/>
      <c r="C14" s="57"/>
      <c r="D14" s="58"/>
      <c r="E14" s="99"/>
      <c r="F14" s="100"/>
      <c r="G14" s="100"/>
    </row>
    <row r="15" spans="1:9" s="55" customFormat="1" ht="42" customHeight="1" x14ac:dyDescent="0.25">
      <c r="A15" s="63" t="s">
        <v>14</v>
      </c>
      <c r="B15" s="64" t="s">
        <v>151</v>
      </c>
      <c r="C15" s="64"/>
      <c r="D15" s="65"/>
      <c r="E15" s="101" t="s">
        <v>150</v>
      </c>
      <c r="F15" s="90" t="s">
        <v>16</v>
      </c>
      <c r="G15" s="90" t="s">
        <v>294</v>
      </c>
    </row>
    <row r="16" spans="1:9" s="55" customFormat="1" ht="21.75" x14ac:dyDescent="0.25">
      <c r="A16" s="66" t="s">
        <v>124</v>
      </c>
      <c r="B16" s="67">
        <v>0</v>
      </c>
      <c r="C16" s="74"/>
      <c r="D16" s="75"/>
      <c r="E16" s="88">
        <v>200</v>
      </c>
      <c r="F16" s="89">
        <f>B16*E16*1.1</f>
        <v>0</v>
      </c>
      <c r="G16" s="67" t="s">
        <v>360</v>
      </c>
    </row>
    <row r="17" spans="1:11" s="55" customFormat="1" ht="21.75" x14ac:dyDescent="0.25">
      <c r="A17" s="286" t="s">
        <v>17</v>
      </c>
      <c r="B17" s="286"/>
      <c r="C17" s="286"/>
      <c r="D17" s="286"/>
      <c r="E17" s="286"/>
      <c r="F17" s="90">
        <f>SUM(F16:F16)</f>
        <v>0</v>
      </c>
      <c r="G17" s="90"/>
    </row>
    <row r="18" spans="1:11" s="55" customFormat="1" ht="21.75" x14ac:dyDescent="0.25">
      <c r="A18" s="290"/>
      <c r="B18" s="290"/>
      <c r="C18" s="290"/>
      <c r="D18" s="290"/>
      <c r="E18" s="290"/>
      <c r="F18" s="100"/>
      <c r="G18" s="100"/>
    </row>
    <row r="19" spans="1:11" s="55" customFormat="1" ht="21.75" x14ac:dyDescent="0.25">
      <c r="A19" s="52" t="s">
        <v>19</v>
      </c>
      <c r="B19" s="53"/>
      <c r="C19" s="53"/>
      <c r="D19" s="54"/>
      <c r="E19" s="98"/>
      <c r="F19" s="98"/>
      <c r="G19" s="98"/>
    </row>
    <row r="20" spans="1:11" s="55" customFormat="1" ht="21.75" x14ac:dyDescent="0.25">
      <c r="A20" s="56"/>
      <c r="B20" s="57"/>
      <c r="C20" s="57"/>
      <c r="D20" s="58"/>
      <c r="E20" s="99"/>
      <c r="F20" s="100"/>
      <c r="G20" s="100"/>
    </row>
    <row r="21" spans="1:11" s="55" customFormat="1" ht="42" customHeight="1" x14ac:dyDescent="0.25">
      <c r="A21" s="63" t="s">
        <v>14</v>
      </c>
      <c r="B21" s="291" t="s">
        <v>5</v>
      </c>
      <c r="C21" s="292"/>
      <c r="D21" s="65" t="s">
        <v>147</v>
      </c>
      <c r="E21" s="101" t="s">
        <v>159</v>
      </c>
      <c r="F21" s="90" t="s">
        <v>16</v>
      </c>
      <c r="G21" s="90" t="s">
        <v>294</v>
      </c>
    </row>
    <row r="22" spans="1:11" s="55" customFormat="1" ht="43.5" x14ac:dyDescent="0.25">
      <c r="A22" s="70" t="s">
        <v>20</v>
      </c>
      <c r="B22" s="62">
        <v>1.3</v>
      </c>
      <c r="C22" s="62" t="s">
        <v>310</v>
      </c>
      <c r="D22" s="72">
        <f>B22*INFRAESTRUTURA!D29</f>
        <v>314.56035000000003</v>
      </c>
      <c r="E22" s="88">
        <v>36.36</v>
      </c>
      <c r="F22" s="106">
        <f>E22*D22*1.1</f>
        <v>12581.155758600002</v>
      </c>
      <c r="G22" s="67"/>
    </row>
    <row r="23" spans="1:11" s="55" customFormat="1" ht="26.25" customHeight="1" x14ac:dyDescent="0.25">
      <c r="A23" s="70" t="s">
        <v>21</v>
      </c>
      <c r="B23" s="62">
        <v>0.6</v>
      </c>
      <c r="C23" s="62" t="s">
        <v>156</v>
      </c>
      <c r="D23" s="72">
        <f>D22-INFRAESTRUTURA!D29</f>
        <v>72.590850000000017</v>
      </c>
      <c r="E23" s="88">
        <v>14.55</v>
      </c>
      <c r="F23" s="106">
        <f>E23*D23*1.1</f>
        <v>1161.8165542500003</v>
      </c>
      <c r="G23" s="67"/>
    </row>
    <row r="24" spans="1:11" s="55" customFormat="1" ht="21.75" x14ac:dyDescent="0.25">
      <c r="A24" s="70" t="s">
        <v>155</v>
      </c>
      <c r="B24" s="62">
        <v>1.3</v>
      </c>
      <c r="C24" s="62"/>
      <c r="D24" s="72">
        <f>(D22-D23)*B24</f>
        <v>314.56035000000003</v>
      </c>
      <c r="E24" s="88">
        <v>45.45</v>
      </c>
      <c r="F24" s="106">
        <f>E24*D24*1.1</f>
        <v>15726.444698250003</v>
      </c>
      <c r="G24" s="67"/>
    </row>
    <row r="25" spans="1:11" s="55" customFormat="1" ht="21.75" x14ac:dyDescent="0.25">
      <c r="A25" s="69" t="s">
        <v>144</v>
      </c>
      <c r="B25" s="61">
        <v>1</v>
      </c>
      <c r="C25" s="61" t="s">
        <v>22</v>
      </c>
      <c r="D25" s="73">
        <f>INFRAESTRUTURA!D19</f>
        <v>278.1880294753762</v>
      </c>
      <c r="E25" s="88">
        <v>68.180000000000007</v>
      </c>
      <c r="F25" s="106">
        <f>E25*D25*1.1</f>
        <v>20863.545834594268</v>
      </c>
      <c r="G25" s="67"/>
    </row>
    <row r="26" spans="1:11" s="55" customFormat="1" ht="21.75" x14ac:dyDescent="0.25">
      <c r="A26" s="286" t="s">
        <v>17</v>
      </c>
      <c r="B26" s="286"/>
      <c r="C26" s="286"/>
      <c r="D26" s="286"/>
      <c r="E26" s="286"/>
      <c r="F26" s="90">
        <f>SUM(F22:F25)</f>
        <v>50332.962845694274</v>
      </c>
      <c r="G26" s="90"/>
    </row>
    <row r="27" spans="1:11" x14ac:dyDescent="0.25">
      <c r="K27" s="47"/>
    </row>
    <row r="28" spans="1:11" ht="21.75" x14ac:dyDescent="0.25">
      <c r="A28" s="52" t="s">
        <v>100</v>
      </c>
      <c r="B28" s="53"/>
      <c r="C28" s="53"/>
      <c r="D28" s="54"/>
      <c r="E28" s="98"/>
      <c r="F28" s="98"/>
      <c r="G28" s="98"/>
    </row>
    <row r="29" spans="1:11" ht="21.75" x14ac:dyDescent="0.25">
      <c r="A29" s="56"/>
      <c r="B29" s="57"/>
      <c r="C29" s="57"/>
      <c r="D29" s="58"/>
      <c r="E29" s="99"/>
      <c r="F29" s="100"/>
      <c r="G29" s="100"/>
    </row>
    <row r="30" spans="1:11" ht="43.5" x14ac:dyDescent="0.25">
      <c r="A30" s="63" t="s">
        <v>14</v>
      </c>
      <c r="B30" s="291" t="s">
        <v>5</v>
      </c>
      <c r="C30" s="292"/>
      <c r="D30" s="65" t="s">
        <v>157</v>
      </c>
      <c r="E30" s="101" t="s">
        <v>158</v>
      </c>
      <c r="F30" s="90" t="s">
        <v>16</v>
      </c>
      <c r="G30" s="90" t="s">
        <v>294</v>
      </c>
    </row>
    <row r="31" spans="1:11" ht="21.75" x14ac:dyDescent="0.25">
      <c r="A31" s="70" t="s">
        <v>381</v>
      </c>
      <c r="B31" s="62">
        <v>0.8</v>
      </c>
      <c r="C31" s="62" t="s">
        <v>113</v>
      </c>
      <c r="D31" s="72">
        <f>B31*DADOS_INICIAIS!E25</f>
        <v>430.16800000000006</v>
      </c>
      <c r="E31" s="88">
        <f>370*0.1</f>
        <v>37</v>
      </c>
      <c r="F31" s="106">
        <f>E31*D31*1.1</f>
        <v>17507.837600000003</v>
      </c>
      <c r="G31" s="67"/>
      <c r="H31" s="1">
        <f>F31/DADOS_INICIAIS!E25</f>
        <v>32.56</v>
      </c>
      <c r="I31" s="100"/>
    </row>
    <row r="32" spans="1:11" ht="21.75" x14ac:dyDescent="0.25">
      <c r="A32" s="286" t="s">
        <v>17</v>
      </c>
      <c r="B32" s="286"/>
      <c r="C32" s="286"/>
      <c r="D32" s="286"/>
      <c r="E32" s="286"/>
      <c r="F32" s="90">
        <f>SUM(F31:F31)</f>
        <v>17507.837600000003</v>
      </c>
      <c r="G32" s="90"/>
    </row>
    <row r="34" spans="1:7" ht="23.25" customHeight="1" x14ac:dyDescent="0.25">
      <c r="A34" s="283" t="s">
        <v>103</v>
      </c>
      <c r="B34" s="284"/>
      <c r="C34" s="284"/>
      <c r="D34" s="284"/>
      <c r="E34" s="285"/>
      <c r="F34" s="108">
        <f>F11+F17+F26+F32</f>
        <v>67840.800445694273</v>
      </c>
      <c r="G34" s="108">
        <f>F34/DADOS_INICIAIS!E9</f>
        <v>12.166200177845058</v>
      </c>
    </row>
    <row r="35" spans="1:7" x14ac:dyDescent="0.25">
      <c r="F35" s="107">
        <f>F34/DADOS_INICIAIS!E25</f>
        <v>126.16614986831985</v>
      </c>
    </row>
  </sheetData>
  <mergeCells count="10">
    <mergeCell ref="A34:E34"/>
    <mergeCell ref="A26:E26"/>
    <mergeCell ref="A2:G2"/>
    <mergeCell ref="A11:E11"/>
    <mergeCell ref="A12:E12"/>
    <mergeCell ref="B21:C21"/>
    <mergeCell ref="B30:C30"/>
    <mergeCell ref="A32:E32"/>
    <mergeCell ref="A17:E17"/>
    <mergeCell ref="A18:E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87" t="s">
        <v>165</v>
      </c>
      <c r="B3" s="295"/>
      <c r="C3" s="295"/>
      <c r="D3" s="288"/>
      <c r="E3" s="288"/>
      <c r="F3" s="288"/>
      <c r="G3" s="288"/>
      <c r="H3" s="289"/>
      <c r="J3" s="79"/>
    </row>
    <row r="4" spans="1:10" ht="19.5" x14ac:dyDescent="0.25">
      <c r="A4" s="182" t="s">
        <v>185</v>
      </c>
      <c r="B4" s="188"/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292</v>
      </c>
      <c r="B5" s="183"/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291" t="s">
        <v>5</v>
      </c>
      <c r="C9" s="292"/>
      <c r="D9" s="291" t="s">
        <v>18</v>
      </c>
      <c r="E9" s="292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B10*DADOS_INICIAIS!E25</f>
        <v>80.656500000000008</v>
      </c>
      <c r="E10" s="67" t="s">
        <v>3</v>
      </c>
      <c r="F10" s="92"/>
      <c r="G10" s="93"/>
      <c r="H10" s="102"/>
    </row>
    <row r="11" spans="1:10" ht="21.75" x14ac:dyDescent="0.25">
      <c r="A11" s="293" t="s">
        <v>161</v>
      </c>
      <c r="B11" s="76">
        <v>0.1</v>
      </c>
      <c r="C11" s="62"/>
      <c r="D11" s="67">
        <f>B11*$D$10</f>
        <v>8.0656500000000015</v>
      </c>
      <c r="E11" s="67" t="s">
        <v>3</v>
      </c>
      <c r="F11" s="92"/>
      <c r="G11" s="93"/>
      <c r="H11" s="102"/>
    </row>
    <row r="12" spans="1:10" ht="21.75" x14ac:dyDescent="0.25">
      <c r="A12" s="294"/>
      <c r="B12" s="77">
        <v>20</v>
      </c>
      <c r="C12" s="62" t="s">
        <v>162</v>
      </c>
      <c r="D12" s="67">
        <f>B12*D11</f>
        <v>161.31300000000005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293" t="s">
        <v>160</v>
      </c>
      <c r="B13" s="76">
        <v>0.5</v>
      </c>
      <c r="C13" s="62"/>
      <c r="D13" s="67">
        <f>B13*$D$10</f>
        <v>40.328250000000004</v>
      </c>
      <c r="E13" s="67" t="s">
        <v>3</v>
      </c>
      <c r="F13" s="92"/>
      <c r="G13" s="93"/>
      <c r="H13" s="102"/>
    </row>
    <row r="14" spans="1:10" ht="21.75" x14ac:dyDescent="0.25">
      <c r="A14" s="294"/>
      <c r="B14" s="77">
        <v>20</v>
      </c>
      <c r="C14" s="62" t="s">
        <v>162</v>
      </c>
      <c r="D14" s="67">
        <f>B14*D13</f>
        <v>806.56500000000005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293" t="s">
        <v>114</v>
      </c>
      <c r="B15" s="76">
        <v>0.4</v>
      </c>
      <c r="C15" s="62" t="s">
        <v>108</v>
      </c>
      <c r="D15" s="67">
        <f>B15*$D$10</f>
        <v>32.262600000000006</v>
      </c>
      <c r="E15" s="67" t="s">
        <v>3</v>
      </c>
      <c r="F15" s="92"/>
      <c r="G15" s="93"/>
      <c r="H15" s="102"/>
    </row>
    <row r="16" spans="1:10" ht="21.75" x14ac:dyDescent="0.25">
      <c r="A16" s="294"/>
      <c r="B16" s="77">
        <v>20</v>
      </c>
      <c r="C16" s="62" t="s">
        <v>162</v>
      </c>
      <c r="D16" s="67">
        <f>B16*D15</f>
        <v>645.25200000000018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273.66105729340643</v>
      </c>
      <c r="C17" s="62" t="s">
        <v>108</v>
      </c>
      <c r="D17" s="67">
        <f>(PI()*0.4^2)/4*D14+(PI()*0.5^2)/4*D16+(PI()*0.6^2)/4*D12</f>
        <v>273.66105729340643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453.59679285714293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2785.4146157142859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286" t="s">
        <v>17</v>
      </c>
      <c r="B21" s="286"/>
      <c r="C21" s="286"/>
      <c r="D21" s="286"/>
      <c r="E21" s="286"/>
      <c r="F21" s="286"/>
      <c r="G21" s="90">
        <f>SUM(G10:G20)</f>
        <v>0</v>
      </c>
      <c r="H21" s="103"/>
    </row>
    <row r="23" spans="1:8" ht="21.75" x14ac:dyDescent="0.25">
      <c r="A23" s="52" t="s">
        <v>293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291" t="s">
        <v>5</v>
      </c>
      <c r="C25" s="292"/>
      <c r="D25" s="291" t="s">
        <v>18</v>
      </c>
      <c r="E25" s="292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B26*DADOS_INICIAIS!E25</f>
        <v>1129.191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B27*DADOS_INICIAIS!E25</f>
        <v>349.51150000000001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38446.264999999999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360</v>
      </c>
      <c r="C29" s="62" t="s">
        <v>102</v>
      </c>
      <c r="D29" s="67">
        <f>DADOS_INICIAIS!E25</f>
        <v>537.71</v>
      </c>
      <c r="E29" s="67" t="s">
        <v>2</v>
      </c>
      <c r="F29" s="88">
        <f>B29</f>
        <v>360</v>
      </c>
      <c r="G29" s="89">
        <f>F29*D29</f>
        <v>193575.6</v>
      </c>
      <c r="H29" s="102"/>
    </row>
    <row r="30" spans="1:8" ht="21.75" x14ac:dyDescent="0.25">
      <c r="A30" s="286" t="s">
        <v>17</v>
      </c>
      <c r="B30" s="286"/>
      <c r="C30" s="286"/>
      <c r="D30" s="286"/>
      <c r="E30" s="286"/>
      <c r="F30" s="286"/>
      <c r="G30" s="90">
        <f>SUM(G26:G29)</f>
        <v>193575.6</v>
      </c>
      <c r="H30" s="103"/>
    </row>
    <row r="33" spans="1:8" ht="21.75" x14ac:dyDescent="0.25">
      <c r="A33" s="52" t="s">
        <v>167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291" t="s">
        <v>5</v>
      </c>
      <c r="C35" s="292"/>
      <c r="D35" s="291" t="s">
        <v>18</v>
      </c>
      <c r="E35" s="292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B36*DADOS_INICIAIS!E35</f>
        <v>710.85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B37*DADOS_INICIAIS!E35</f>
        <v>220.02500000000001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24202.75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SUPRAESTRUTURA!B69*1.5</f>
        <v>0</v>
      </c>
      <c r="C39" s="62" t="s">
        <v>102</v>
      </c>
      <c r="D39" s="67">
        <f>DADOS_INICIAIS!E35</f>
        <v>338.5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286" t="s">
        <v>17</v>
      </c>
      <c r="B40" s="286"/>
      <c r="C40" s="286"/>
      <c r="D40" s="286"/>
      <c r="E40" s="286"/>
      <c r="F40" s="286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296" t="s">
        <v>104</v>
      </c>
      <c r="B46" s="297"/>
      <c r="C46" s="297"/>
      <c r="D46" s="297"/>
      <c r="E46" s="297"/>
      <c r="F46" s="298"/>
      <c r="G46" s="91">
        <f>G21+G30</f>
        <v>193575.6</v>
      </c>
      <c r="H46" s="91">
        <f>G46/DADOS_INICIAIS!E9</f>
        <v>34.714795280631691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40"/>
  <sheetViews>
    <sheetView showGridLines="0" topLeftCell="A19" zoomScale="80" zoomScaleNormal="80" zoomScaleSheetLayoutView="95" workbookViewId="0">
      <selection activeCell="D10" sqref="D10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69.42578125" style="94" customWidth="1"/>
    <col min="9" max="9" width="17.140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87" t="s">
        <v>122</v>
      </c>
      <c r="B3" s="295"/>
      <c r="C3" s="295"/>
      <c r="D3" s="288"/>
      <c r="E3" s="288"/>
      <c r="F3" s="288"/>
      <c r="G3" s="288"/>
      <c r="H3" s="289"/>
      <c r="J3" s="79"/>
    </row>
    <row r="4" spans="1:10" ht="19.5" x14ac:dyDescent="0.25">
      <c r="A4" s="182" t="s">
        <v>185</v>
      </c>
      <c r="B4" s="188">
        <v>45727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292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291" t="s">
        <v>5</v>
      </c>
      <c r="C9" s="292"/>
      <c r="D9" s="291" t="s">
        <v>18</v>
      </c>
      <c r="E9" s="292"/>
      <c r="F9" s="101" t="s">
        <v>118</v>
      </c>
      <c r="G9" s="90" t="s">
        <v>16</v>
      </c>
      <c r="H9" s="90" t="s">
        <v>294</v>
      </c>
    </row>
    <row r="10" spans="1:10" ht="21.75" x14ac:dyDescent="0.25">
      <c r="A10" s="66" t="s">
        <v>107</v>
      </c>
      <c r="B10" s="62">
        <v>0.12</v>
      </c>
      <c r="C10" s="62" t="s">
        <v>108</v>
      </c>
      <c r="D10" s="67">
        <f>ROUNDUP(B10*DADOS_INICIAIS!$E$25,0)</f>
        <v>65</v>
      </c>
      <c r="E10" s="67" t="s">
        <v>3</v>
      </c>
      <c r="F10" s="92"/>
      <c r="G10" s="93"/>
      <c r="H10" s="67"/>
    </row>
    <row r="11" spans="1:10" ht="21.75" x14ac:dyDescent="0.25">
      <c r="A11" s="293" t="s">
        <v>161</v>
      </c>
      <c r="B11" s="76">
        <v>0.2</v>
      </c>
      <c r="C11" s="62"/>
      <c r="D11" s="67">
        <f>ROUNDUP(B11*$D$10,0)</f>
        <v>13</v>
      </c>
      <c r="E11" s="67" t="s">
        <v>3</v>
      </c>
      <c r="F11" s="92"/>
      <c r="G11" s="93"/>
      <c r="H11" s="67"/>
    </row>
    <row r="12" spans="1:10" ht="21.75" x14ac:dyDescent="0.25">
      <c r="A12" s="294"/>
      <c r="B12" s="77">
        <v>22</v>
      </c>
      <c r="C12" s="62" t="s">
        <v>162</v>
      </c>
      <c r="D12" s="67">
        <f>B12*D11</f>
        <v>286</v>
      </c>
      <c r="E12" s="67" t="s">
        <v>4</v>
      </c>
      <c r="F12" s="88">
        <v>70</v>
      </c>
      <c r="G12" s="89">
        <f>F12*D12*1.1</f>
        <v>22022</v>
      </c>
      <c r="H12" s="67"/>
    </row>
    <row r="13" spans="1:10" ht="21.75" x14ac:dyDescent="0.25">
      <c r="A13" s="293" t="s">
        <v>160</v>
      </c>
      <c r="B13" s="76">
        <v>0.7</v>
      </c>
      <c r="C13" s="62"/>
      <c r="D13" s="67">
        <f>ROUNDUP(B13*D10,0)</f>
        <v>46</v>
      </c>
      <c r="E13" s="67" t="s">
        <v>3</v>
      </c>
      <c r="F13" s="92"/>
      <c r="G13" s="93"/>
      <c r="H13" s="67"/>
    </row>
    <row r="14" spans="1:10" ht="21.75" x14ac:dyDescent="0.25">
      <c r="A14" s="294"/>
      <c r="B14" s="77">
        <v>22</v>
      </c>
      <c r="C14" s="62" t="s">
        <v>162</v>
      </c>
      <c r="D14" s="67">
        <f>B14*D13</f>
        <v>1012</v>
      </c>
      <c r="E14" s="67" t="s">
        <v>4</v>
      </c>
      <c r="F14" s="88">
        <v>90</v>
      </c>
      <c r="G14" s="89">
        <f>F14*D14*1.1</f>
        <v>100188.00000000001</v>
      </c>
      <c r="H14" s="67"/>
    </row>
    <row r="15" spans="1:10" ht="21.75" x14ac:dyDescent="0.25">
      <c r="A15" s="293" t="s">
        <v>114</v>
      </c>
      <c r="B15" s="76">
        <v>0.1</v>
      </c>
      <c r="C15" s="62" t="s">
        <v>108</v>
      </c>
      <c r="D15" s="67">
        <f>ROUNDUP(B15*$D$10,0)</f>
        <v>7</v>
      </c>
      <c r="E15" s="67" t="s">
        <v>3</v>
      </c>
      <c r="F15" s="92"/>
      <c r="G15" s="93"/>
      <c r="H15" s="67"/>
    </row>
    <row r="16" spans="1:10" ht="21.75" x14ac:dyDescent="0.25">
      <c r="A16" s="294"/>
      <c r="B16" s="77">
        <v>22</v>
      </c>
      <c r="C16" s="62" t="s">
        <v>162</v>
      </c>
      <c r="D16" s="67">
        <f>B16*D15</f>
        <v>154</v>
      </c>
      <c r="E16" s="67" t="s">
        <v>4</v>
      </c>
      <c r="F16" s="88">
        <v>105</v>
      </c>
      <c r="G16" s="89">
        <f>F16*D16*1.1</f>
        <v>17787</v>
      </c>
      <c r="H16" s="67"/>
    </row>
    <row r="17" spans="1:9" ht="21.75" x14ac:dyDescent="0.25">
      <c r="A17" s="293" t="s">
        <v>323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</row>
    <row r="18" spans="1:9" ht="21.75" x14ac:dyDescent="0.25">
      <c r="A18" s="294"/>
      <c r="B18" s="77"/>
      <c r="C18" s="62" t="s">
        <v>162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</row>
    <row r="19" spans="1:9" ht="21.75" x14ac:dyDescent="0.25">
      <c r="A19" s="66" t="s">
        <v>295</v>
      </c>
      <c r="B19" s="62">
        <v>1.3</v>
      </c>
      <c r="C19" s="62" t="s">
        <v>309</v>
      </c>
      <c r="D19" s="67">
        <f>(PI()*((0.4^2)/4)*D12+PI()*((0.5^2)/4)*D14+PI()*((0.6^2)/4)*D16)</f>
        <v>278.1880294753762</v>
      </c>
      <c r="E19" s="67" t="s">
        <v>22</v>
      </c>
      <c r="F19" s="88">
        <f>(535+45+(1.67*0.6))*B19</f>
        <v>755.30259999999998</v>
      </c>
      <c r="G19" s="89">
        <f>F19*D19*1.1</f>
        <v>231127.7561467911</v>
      </c>
      <c r="H19" s="67"/>
    </row>
    <row r="20" spans="1:9" ht="21.75" x14ac:dyDescent="0.25">
      <c r="A20" s="66" t="s">
        <v>324</v>
      </c>
      <c r="B20" s="62">
        <v>13</v>
      </c>
      <c r="C20" s="62" t="s">
        <v>34</v>
      </c>
      <c r="D20" s="67">
        <f>B20*D19</f>
        <v>3616.4443831798908</v>
      </c>
      <c r="E20" s="67" t="s">
        <v>26</v>
      </c>
      <c r="F20" s="88">
        <v>7.62</v>
      </c>
      <c r="G20" s="89">
        <f>F20*D20*1.1</f>
        <v>30313.036819813846</v>
      </c>
      <c r="H20" s="67"/>
    </row>
    <row r="21" spans="1:9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15000</v>
      </c>
      <c r="G21" s="89">
        <f>F21*D21*1.1</f>
        <v>16500</v>
      </c>
      <c r="H21" s="67"/>
    </row>
    <row r="22" spans="1:9" ht="21.75" x14ac:dyDescent="0.25">
      <c r="A22" s="66" t="s">
        <v>296</v>
      </c>
      <c r="B22" s="62"/>
      <c r="C22" s="62"/>
      <c r="D22" s="67">
        <f>D10</f>
        <v>65</v>
      </c>
      <c r="E22" s="67" t="s">
        <v>3</v>
      </c>
      <c r="F22" s="88">
        <v>300</v>
      </c>
      <c r="G22" s="89">
        <f>F22*D22*1</f>
        <v>19500</v>
      </c>
      <c r="H22" s="67"/>
    </row>
    <row r="23" spans="1:9" ht="21.75" x14ac:dyDescent="0.25">
      <c r="A23" s="286" t="s">
        <v>17</v>
      </c>
      <c r="B23" s="286"/>
      <c r="C23" s="286"/>
      <c r="D23" s="286"/>
      <c r="E23" s="286"/>
      <c r="F23" s="286"/>
      <c r="G23" s="90">
        <f>SUM(G10:G22)</f>
        <v>437437.79296660493</v>
      </c>
      <c r="H23" s="90"/>
      <c r="I23" s="245"/>
    </row>
    <row r="24" spans="1:9" x14ac:dyDescent="0.25">
      <c r="G24" s="94">
        <f>G23/981.89</f>
        <v>445.50590490442409</v>
      </c>
    </row>
    <row r="25" spans="1:9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9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9" ht="21.75" x14ac:dyDescent="0.25">
      <c r="A27" s="63" t="s">
        <v>14</v>
      </c>
      <c r="B27" s="291" t="s">
        <v>5</v>
      </c>
      <c r="C27" s="292"/>
      <c r="D27" s="291" t="s">
        <v>18</v>
      </c>
      <c r="E27" s="292"/>
      <c r="F27" s="101" t="s">
        <v>118</v>
      </c>
      <c r="G27" s="90" t="s">
        <v>16</v>
      </c>
      <c r="H27" s="90" t="s">
        <v>294</v>
      </c>
    </row>
    <row r="28" spans="1:9" ht="43.5" x14ac:dyDescent="0.25">
      <c r="A28" s="66" t="s">
        <v>111</v>
      </c>
      <c r="B28" s="62">
        <v>0.98</v>
      </c>
      <c r="C28" s="62" t="s">
        <v>113</v>
      </c>
      <c r="D28" s="67">
        <f>B28*DADOS_INICIAIS!E25</f>
        <v>526.95580000000007</v>
      </c>
      <c r="E28" s="67" t="s">
        <v>2</v>
      </c>
      <c r="F28" s="88">
        <v>68</v>
      </c>
      <c r="G28" s="89">
        <f>F28*D28*1.1</f>
        <v>39416.293840000006</v>
      </c>
      <c r="H28" s="67"/>
    </row>
    <row r="29" spans="1:9" ht="21.75" x14ac:dyDescent="0.25">
      <c r="A29" s="66" t="s">
        <v>295</v>
      </c>
      <c r="B29" s="62">
        <v>0.45</v>
      </c>
      <c r="C29" s="62" t="s">
        <v>112</v>
      </c>
      <c r="D29" s="67">
        <f>B29*DADOS_INICIAIS!E25</f>
        <v>241.96950000000001</v>
      </c>
      <c r="E29" s="67" t="s">
        <v>22</v>
      </c>
      <c r="F29" s="88">
        <f>(535+45+(1.67*0.6))*1.05</f>
        <v>610.0521</v>
      </c>
      <c r="G29" s="89">
        <f>F29*D29*1.1</f>
        <v>162375.40177204504</v>
      </c>
      <c r="H29" s="67"/>
    </row>
    <row r="30" spans="1:9" ht="21.75" x14ac:dyDescent="0.25">
      <c r="A30" s="66" t="s">
        <v>23</v>
      </c>
      <c r="B30" s="62">
        <v>90</v>
      </c>
      <c r="C30" s="62" t="s">
        <v>34</v>
      </c>
      <c r="D30" s="67">
        <f>B30*D29</f>
        <v>21777.255000000001</v>
      </c>
      <c r="E30" s="67" t="s">
        <v>26</v>
      </c>
      <c r="F30" s="88">
        <v>7.62</v>
      </c>
      <c r="G30" s="89">
        <f>F30*D30*1.1</f>
        <v>182536.95141000004</v>
      </c>
      <c r="H30" s="67"/>
    </row>
    <row r="31" spans="1:9" ht="21.75" x14ac:dyDescent="0.25">
      <c r="A31" s="66" t="s">
        <v>25</v>
      </c>
      <c r="B31" s="62">
        <f>SUPRAESTRUTURA!B15*1.5</f>
        <v>360</v>
      </c>
      <c r="C31" s="62" t="s">
        <v>102</v>
      </c>
      <c r="D31" s="67">
        <f>DADOS_INICIAIS!E25</f>
        <v>537.71</v>
      </c>
      <c r="E31" s="67" t="s">
        <v>2</v>
      </c>
      <c r="F31" s="88">
        <f>B31</f>
        <v>360</v>
      </c>
      <c r="G31" s="89">
        <f>F31*D31*1.1</f>
        <v>212933.16000000003</v>
      </c>
      <c r="H31" s="67"/>
    </row>
    <row r="32" spans="1:9" ht="21.75" x14ac:dyDescent="0.25">
      <c r="A32" s="286" t="s">
        <v>17</v>
      </c>
      <c r="B32" s="286"/>
      <c r="C32" s="286"/>
      <c r="D32" s="286"/>
      <c r="E32" s="286"/>
      <c r="F32" s="286"/>
      <c r="G32" s="90">
        <f>SUM(G28:G31)</f>
        <v>597261.80702204513</v>
      </c>
      <c r="H32" s="90"/>
    </row>
    <row r="34" spans="1:8" x14ac:dyDescent="0.25">
      <c r="D34" s="86"/>
      <c r="E34" s="87"/>
    </row>
    <row r="35" spans="1:8" ht="21.75" x14ac:dyDescent="0.25">
      <c r="A35" s="296" t="s">
        <v>104</v>
      </c>
      <c r="B35" s="297"/>
      <c r="C35" s="297"/>
      <c r="D35" s="297"/>
      <c r="E35" s="297"/>
      <c r="F35" s="298"/>
      <c r="G35" s="91">
        <f>G23+G32</f>
        <v>1034699.5999886501</v>
      </c>
      <c r="H35" s="91">
        <f>G35/DADOS_INICIAIS!E9</f>
        <v>185.55739871428779</v>
      </c>
    </row>
    <row r="37" spans="1:8" x14ac:dyDescent="0.25">
      <c r="H37" s="94">
        <f>H35/1.1</f>
        <v>168.68854428571615</v>
      </c>
    </row>
    <row r="38" spans="1:8" x14ac:dyDescent="0.25">
      <c r="B38" s="55" t="s">
        <v>376</v>
      </c>
      <c r="C38" s="243">
        <f>0.1</f>
        <v>0.1</v>
      </c>
      <c r="D38" s="81">
        <f>C38*F29</f>
        <v>61.005210000000005</v>
      </c>
    </row>
    <row r="39" spans="1:8" x14ac:dyDescent="0.25">
      <c r="B39" s="55" t="s">
        <v>377</v>
      </c>
      <c r="C39" s="55">
        <f>C38*120</f>
        <v>12</v>
      </c>
      <c r="D39" s="81">
        <f>C39*F30</f>
        <v>91.44</v>
      </c>
    </row>
    <row r="40" spans="1:8" x14ac:dyDescent="0.25">
      <c r="B40" s="55" t="s">
        <v>378</v>
      </c>
      <c r="C40" s="243">
        <v>1</v>
      </c>
      <c r="D40" s="81">
        <f>C40*20</f>
        <v>20</v>
      </c>
    </row>
  </sheetData>
  <mergeCells count="12">
    <mergeCell ref="A32:F32"/>
    <mergeCell ref="A35:F35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05D2-31BC-475C-B9D7-6D3BFDD48640}">
  <dimension ref="A1:J41"/>
  <sheetViews>
    <sheetView showGridLines="0" topLeftCell="A16" zoomScale="80" zoomScaleNormal="80" zoomScaleSheetLayoutView="95" workbookViewId="0">
      <selection activeCell="F31" sqref="F3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3.140625" style="94" bestFit="1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87" t="s">
        <v>122</v>
      </c>
      <c r="B3" s="295"/>
      <c r="C3" s="295"/>
      <c r="D3" s="288"/>
      <c r="E3" s="288"/>
      <c r="F3" s="288"/>
      <c r="G3" s="288"/>
      <c r="H3" s="289"/>
      <c r="J3" s="79"/>
    </row>
    <row r="4" spans="1:10" ht="19.5" x14ac:dyDescent="0.25">
      <c r="A4" s="182" t="s">
        <v>185</v>
      </c>
      <c r="B4" s="188">
        <v>45719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292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291" t="s">
        <v>5</v>
      </c>
      <c r="C9" s="292"/>
      <c r="D9" s="291" t="s">
        <v>18</v>
      </c>
      <c r="E9" s="292"/>
      <c r="F9" s="101" t="s">
        <v>118</v>
      </c>
      <c r="G9" s="90" t="s">
        <v>16</v>
      </c>
      <c r="H9" s="90" t="s">
        <v>294</v>
      </c>
    </row>
    <row r="10" spans="1:10" ht="21.75" x14ac:dyDescent="0.25">
      <c r="A10" s="66" t="s">
        <v>107</v>
      </c>
      <c r="B10" s="62"/>
      <c r="C10" s="62"/>
      <c r="D10" s="67"/>
      <c r="E10" s="67" t="s">
        <v>3</v>
      </c>
      <c r="F10" s="92"/>
      <c r="G10" s="93"/>
      <c r="H10" s="67" t="s">
        <v>333</v>
      </c>
    </row>
    <row r="11" spans="1:10" ht="21.75" x14ac:dyDescent="0.25">
      <c r="A11" s="293" t="s">
        <v>161</v>
      </c>
      <c r="B11" s="76"/>
      <c r="C11" s="62"/>
      <c r="D11" s="67"/>
      <c r="E11" s="67" t="s">
        <v>3</v>
      </c>
      <c r="F11" s="92"/>
      <c r="G11" s="93"/>
      <c r="H11" s="67"/>
    </row>
    <row r="12" spans="1:10" ht="21.75" x14ac:dyDescent="0.25">
      <c r="A12" s="294"/>
      <c r="B12" s="77"/>
      <c r="C12" s="62"/>
      <c r="D12" s="67"/>
      <c r="E12" s="67" t="s">
        <v>4</v>
      </c>
      <c r="F12" s="88">
        <v>70</v>
      </c>
      <c r="G12" s="89">
        <f>F12*D12*1.1</f>
        <v>0</v>
      </c>
      <c r="H12" s="67"/>
    </row>
    <row r="13" spans="1:10" ht="21.75" x14ac:dyDescent="0.25">
      <c r="A13" s="293" t="s">
        <v>160</v>
      </c>
      <c r="B13" s="76"/>
      <c r="C13" s="62"/>
      <c r="D13" s="67"/>
      <c r="E13" s="67" t="s">
        <v>3</v>
      </c>
      <c r="F13" s="92"/>
      <c r="G13" s="93"/>
      <c r="H13" s="67"/>
    </row>
    <row r="14" spans="1:10" ht="21.75" x14ac:dyDescent="0.25">
      <c r="A14" s="294"/>
      <c r="B14" s="77"/>
      <c r="C14" s="62"/>
      <c r="D14" s="67"/>
      <c r="E14" s="67" t="s">
        <v>4</v>
      </c>
      <c r="F14" s="88">
        <v>90</v>
      </c>
      <c r="G14" s="89">
        <f>F14*D14*1.1</f>
        <v>0</v>
      </c>
      <c r="H14" s="67"/>
    </row>
    <row r="15" spans="1:10" ht="21.75" x14ac:dyDescent="0.25">
      <c r="A15" s="293" t="s">
        <v>114</v>
      </c>
      <c r="B15" s="76"/>
      <c r="C15" s="62"/>
      <c r="D15" s="67"/>
      <c r="E15" s="67" t="s">
        <v>3</v>
      </c>
      <c r="F15" s="92"/>
      <c r="G15" s="93"/>
      <c r="H15" s="67"/>
    </row>
    <row r="16" spans="1:10" ht="21.75" x14ac:dyDescent="0.25">
      <c r="A16" s="294"/>
      <c r="B16" s="77"/>
      <c r="C16" s="62"/>
      <c r="D16" s="67"/>
      <c r="E16" s="67" t="s">
        <v>4</v>
      </c>
      <c r="F16" s="88">
        <v>105</v>
      </c>
      <c r="G16" s="89">
        <f>F16*D16*1.1</f>
        <v>0</v>
      </c>
      <c r="H16" s="67"/>
    </row>
    <row r="17" spans="1:8" ht="21.75" x14ac:dyDescent="0.25">
      <c r="A17" s="293" t="s">
        <v>323</v>
      </c>
      <c r="B17" s="76"/>
      <c r="C17" s="62"/>
      <c r="D17" s="67"/>
      <c r="E17" s="67" t="s">
        <v>3</v>
      </c>
      <c r="F17" s="92"/>
      <c r="G17" s="93"/>
      <c r="H17" s="67"/>
    </row>
    <row r="18" spans="1:8" ht="21.75" x14ac:dyDescent="0.25">
      <c r="A18" s="294"/>
      <c r="B18" s="77"/>
      <c r="C18" s="62"/>
      <c r="D18" s="67"/>
      <c r="E18" s="67" t="s">
        <v>4</v>
      </c>
      <c r="F18" s="88">
        <v>120</v>
      </c>
      <c r="G18" s="89">
        <f>F18*D18*1.1</f>
        <v>0</v>
      </c>
      <c r="H18" s="67"/>
    </row>
    <row r="19" spans="1:8" ht="21.75" x14ac:dyDescent="0.25">
      <c r="A19" s="66" t="s">
        <v>295</v>
      </c>
      <c r="B19" s="62"/>
      <c r="C19" s="62"/>
      <c r="D19" s="67"/>
      <c r="E19" s="67" t="s">
        <v>22</v>
      </c>
      <c r="F19" s="88">
        <f>535+45</f>
        <v>580</v>
      </c>
      <c r="G19" s="89">
        <f>F19*D19*B19*1.1</f>
        <v>0</v>
      </c>
      <c r="H19" s="67"/>
    </row>
    <row r="20" spans="1:8" ht="21.75" x14ac:dyDescent="0.25">
      <c r="A20" s="66" t="s">
        <v>324</v>
      </c>
      <c r="B20" s="62"/>
      <c r="C20" s="62"/>
      <c r="D20" s="67"/>
      <c r="E20" s="67" t="s">
        <v>26</v>
      </c>
      <c r="F20" s="88">
        <v>7.62</v>
      </c>
      <c r="G20" s="89">
        <f>F20*D20*1.1</f>
        <v>0</v>
      </c>
      <c r="H20" s="67"/>
    </row>
    <row r="21" spans="1:8" ht="21.75" x14ac:dyDescent="0.25">
      <c r="A21" s="66" t="s">
        <v>109</v>
      </c>
      <c r="B21" s="62"/>
      <c r="C21" s="62"/>
      <c r="D21" s="67"/>
      <c r="E21" s="67" t="s">
        <v>27</v>
      </c>
      <c r="F21" s="88">
        <v>12500</v>
      </c>
      <c r="G21" s="89">
        <f>F21*D21*1.1</f>
        <v>0</v>
      </c>
      <c r="H21" s="67"/>
    </row>
    <row r="22" spans="1:8" ht="21.75" x14ac:dyDescent="0.25">
      <c r="A22" s="66" t="s">
        <v>296</v>
      </c>
      <c r="B22" s="62"/>
      <c r="C22" s="62"/>
      <c r="D22" s="67"/>
      <c r="E22" s="67" t="s">
        <v>3</v>
      </c>
      <c r="F22" s="88">
        <v>300</v>
      </c>
      <c r="G22" s="89">
        <f>F22*D22*1</f>
        <v>0</v>
      </c>
      <c r="H22" s="67"/>
    </row>
    <row r="23" spans="1:8" ht="21.75" x14ac:dyDescent="0.25">
      <c r="A23" s="286" t="s">
        <v>17</v>
      </c>
      <c r="B23" s="286"/>
      <c r="C23" s="286"/>
      <c r="D23" s="286"/>
      <c r="E23" s="286"/>
      <c r="F23" s="286"/>
      <c r="G23" s="90">
        <f>SUM(G10:G22)</f>
        <v>0</v>
      </c>
      <c r="H23" s="90"/>
    </row>
    <row r="25" spans="1:8" ht="21.75" x14ac:dyDescent="0.25">
      <c r="A25" s="52" t="s">
        <v>293</v>
      </c>
      <c r="B25" s="52"/>
      <c r="C25" s="52"/>
      <c r="D25" s="53"/>
      <c r="E25" s="53"/>
      <c r="F25" s="98"/>
      <c r="G25" s="98"/>
      <c r="H25" s="98"/>
    </row>
    <row r="26" spans="1:8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8" ht="21.75" x14ac:dyDescent="0.25">
      <c r="A27" s="63" t="s">
        <v>14</v>
      </c>
      <c r="B27" s="291" t="s">
        <v>5</v>
      </c>
      <c r="C27" s="292"/>
      <c r="D27" s="291" t="s">
        <v>18</v>
      </c>
      <c r="E27" s="292"/>
      <c r="F27" s="101" t="s">
        <v>118</v>
      </c>
      <c r="G27" s="90" t="s">
        <v>16</v>
      </c>
      <c r="H27" s="90" t="s">
        <v>294</v>
      </c>
    </row>
    <row r="28" spans="1:8" ht="21.75" x14ac:dyDescent="0.25">
      <c r="A28" s="66" t="s">
        <v>361</v>
      </c>
      <c r="B28" s="62"/>
      <c r="C28" s="62"/>
      <c r="D28" s="67">
        <f>DADOS_INICIAIS!E26</f>
        <v>93.06</v>
      </c>
      <c r="E28" s="67" t="s">
        <v>4</v>
      </c>
      <c r="F28" s="92"/>
      <c r="G28" s="93"/>
      <c r="H28" s="67">
        <f>D28*D29</f>
        <v>837.54</v>
      </c>
    </row>
    <row r="29" spans="1:8" ht="21.75" x14ac:dyDescent="0.25">
      <c r="A29" s="66" t="s">
        <v>362</v>
      </c>
      <c r="B29" s="62"/>
      <c r="C29" s="62"/>
      <c r="D29" s="67">
        <f>6+3</f>
        <v>9</v>
      </c>
      <c r="E29" s="67" t="s">
        <v>4</v>
      </c>
      <c r="F29" s="92"/>
      <c r="G29" s="93"/>
      <c r="H29" s="67"/>
    </row>
    <row r="30" spans="1:8" ht="21.75" x14ac:dyDescent="0.25">
      <c r="A30" s="66" t="s">
        <v>390</v>
      </c>
      <c r="B30" s="62"/>
      <c r="C30" s="62"/>
      <c r="D30" s="67">
        <f>D28</f>
        <v>93.06</v>
      </c>
      <c r="E30" s="67" t="s">
        <v>4</v>
      </c>
      <c r="F30" s="88">
        <v>710</v>
      </c>
      <c r="G30" s="89">
        <f>F30*D30*1.1</f>
        <v>72679.860000000015</v>
      </c>
      <c r="H30" s="67"/>
    </row>
    <row r="31" spans="1:8" ht="21.75" x14ac:dyDescent="0.25">
      <c r="A31" s="66" t="s">
        <v>391</v>
      </c>
      <c r="B31" s="62"/>
      <c r="C31" s="62"/>
      <c r="D31" s="67">
        <f>D28*D29</f>
        <v>837.54</v>
      </c>
      <c r="E31" s="67" t="s">
        <v>2</v>
      </c>
      <c r="F31" s="88">
        <v>270</v>
      </c>
      <c r="G31" s="89">
        <f>F31*D31</f>
        <v>226135.8</v>
      </c>
      <c r="H31" s="67"/>
    </row>
    <row r="32" spans="1:8" ht="21.75" x14ac:dyDescent="0.25">
      <c r="A32" s="66" t="s">
        <v>392</v>
      </c>
      <c r="B32" s="62"/>
      <c r="C32" s="62"/>
      <c r="D32" s="67">
        <v>1</v>
      </c>
      <c r="E32" s="67" t="s">
        <v>27</v>
      </c>
      <c r="F32" s="88">
        <v>18000</v>
      </c>
      <c r="G32" s="89">
        <f>F32</f>
        <v>18000</v>
      </c>
      <c r="H32" s="67"/>
    </row>
    <row r="33" spans="1:8" ht="21.75" x14ac:dyDescent="0.25">
      <c r="A33" s="66" t="s">
        <v>324</v>
      </c>
      <c r="B33" s="62">
        <v>112</v>
      </c>
      <c r="C33" s="62" t="s">
        <v>34</v>
      </c>
      <c r="D33" s="67">
        <f>B33*D34</f>
        <v>28141.343999999997</v>
      </c>
      <c r="E33" s="67" t="s">
        <v>26</v>
      </c>
      <c r="F33" s="88">
        <v>7.62</v>
      </c>
      <c r="G33" s="89">
        <f>F33*D33</f>
        <v>214437.04127999998</v>
      </c>
      <c r="H33" s="67"/>
    </row>
    <row r="34" spans="1:8" ht="21.75" x14ac:dyDescent="0.25">
      <c r="A34" s="66" t="s">
        <v>393</v>
      </c>
      <c r="B34" s="62">
        <v>0.3</v>
      </c>
      <c r="C34" s="62" t="s">
        <v>395</v>
      </c>
      <c r="D34" s="67">
        <f>B34*D29*D28</f>
        <v>251.26199999999997</v>
      </c>
      <c r="E34" s="67" t="s">
        <v>22</v>
      </c>
      <c r="F34" s="88">
        <f>(535*1.22+45+(1.67*0.6))*1.05</f>
        <v>733.63709999999992</v>
      </c>
      <c r="G34" s="89">
        <f>F34*D34*1.05</f>
        <v>193551.88127120995</v>
      </c>
      <c r="H34" s="67"/>
    </row>
    <row r="35" spans="1:8" ht="43.5" x14ac:dyDescent="0.25">
      <c r="A35" s="66" t="s">
        <v>394</v>
      </c>
      <c r="B35" s="62"/>
      <c r="C35" s="62"/>
      <c r="D35" s="67">
        <f>ROUNDUP(D28/1.25,0)*6</f>
        <v>450</v>
      </c>
      <c r="E35" s="67" t="s">
        <v>4</v>
      </c>
      <c r="F35" s="88">
        <v>41.5</v>
      </c>
      <c r="G35" s="89">
        <f>F35*D35*1.1</f>
        <v>20542.5</v>
      </c>
      <c r="H35" s="67"/>
    </row>
    <row r="36" spans="1:8" ht="21.75" x14ac:dyDescent="0.25">
      <c r="A36" s="286" t="s">
        <v>17</v>
      </c>
      <c r="B36" s="286"/>
      <c r="C36" s="286"/>
      <c r="D36" s="286"/>
      <c r="E36" s="286"/>
      <c r="F36" s="286"/>
      <c r="G36" s="90">
        <f>SUM(G28:G35)</f>
        <v>745347.08255120995</v>
      </c>
      <c r="H36" s="90"/>
    </row>
    <row r="38" spans="1:8" x14ac:dyDescent="0.25">
      <c r="D38" s="86"/>
      <c r="E38" s="87"/>
    </row>
    <row r="39" spans="1:8" ht="21.75" x14ac:dyDescent="0.25">
      <c r="A39" s="296" t="s">
        <v>363</v>
      </c>
      <c r="B39" s="297"/>
      <c r="C39" s="297"/>
      <c r="D39" s="297"/>
      <c r="E39" s="297"/>
      <c r="F39" s="298"/>
      <c r="G39" s="91">
        <f>G23+G36</f>
        <v>745347.08255120995</v>
      </c>
      <c r="H39" s="91">
        <f>G39/DADOS_INICIAIS!E9</f>
        <v>133.6664919740987</v>
      </c>
    </row>
    <row r="41" spans="1:8" x14ac:dyDescent="0.25">
      <c r="H41" s="94">
        <f>H39/1.1</f>
        <v>121.51499270372608</v>
      </c>
    </row>
  </sheetData>
  <mergeCells count="12">
    <mergeCell ref="A39:F39"/>
    <mergeCell ref="A3:H3"/>
    <mergeCell ref="B9:C9"/>
    <mergeCell ref="D9:E9"/>
    <mergeCell ref="A11:A12"/>
    <mergeCell ref="A13:A14"/>
    <mergeCell ref="A15:A16"/>
    <mergeCell ref="A17:A18"/>
    <mergeCell ref="A23:F23"/>
    <mergeCell ref="B27:C27"/>
    <mergeCell ref="D27:E27"/>
    <mergeCell ref="A36:F3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71"/>
  <sheetViews>
    <sheetView showGridLines="0" topLeftCell="A5" zoomScale="80" zoomScaleNormal="80" zoomScaleSheetLayoutView="95" workbookViewId="0">
      <selection activeCell="D26" sqref="D26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13.7109375" style="55" bestFit="1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87" t="s">
        <v>28</v>
      </c>
      <c r="B3" s="295"/>
      <c r="C3" s="295"/>
      <c r="D3" s="288"/>
      <c r="E3" s="288"/>
      <c r="F3" s="288"/>
      <c r="G3" s="288"/>
      <c r="H3" s="289"/>
      <c r="J3" s="79"/>
    </row>
    <row r="4" spans="1:10" ht="19.5" x14ac:dyDescent="0.25">
      <c r="A4" s="182" t="s">
        <v>185</v>
      </c>
      <c r="B4" s="188">
        <v>45472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292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hidden="1" x14ac:dyDescent="0.25">
      <c r="A7" s="52" t="s">
        <v>301</v>
      </c>
      <c r="B7" s="52"/>
      <c r="C7" s="52"/>
      <c r="D7" s="53"/>
      <c r="E7" s="53"/>
      <c r="F7" s="54"/>
      <c r="G7" s="53"/>
      <c r="H7" s="53"/>
    </row>
    <row r="8" spans="1:10" ht="21.75" hidden="1" x14ac:dyDescent="0.25">
      <c r="A8" s="56"/>
      <c r="B8" s="56"/>
      <c r="C8" s="56"/>
      <c r="D8" s="57"/>
      <c r="E8" s="57"/>
      <c r="F8" s="58"/>
      <c r="G8" s="59"/>
      <c r="H8" s="59"/>
    </row>
    <row r="9" spans="1:10" ht="42" hidden="1" customHeight="1" x14ac:dyDescent="0.25">
      <c r="A9" s="63" t="s">
        <v>14</v>
      </c>
      <c r="B9" s="291" t="s">
        <v>5</v>
      </c>
      <c r="C9" s="292"/>
      <c r="D9" s="291" t="s">
        <v>18</v>
      </c>
      <c r="E9" s="292"/>
      <c r="F9" s="65" t="s">
        <v>118</v>
      </c>
      <c r="G9" s="71" t="s">
        <v>16</v>
      </c>
      <c r="H9" s="90" t="s">
        <v>294</v>
      </c>
    </row>
    <row r="10" spans="1:10" ht="21.75" hidden="1" x14ac:dyDescent="0.25">
      <c r="A10" s="66" t="s">
        <v>29</v>
      </c>
      <c r="B10" s="62">
        <v>3</v>
      </c>
      <c r="C10" s="62" t="s">
        <v>300</v>
      </c>
      <c r="D10" s="67">
        <f>(D11/DADOS_INICIAIS!$E$15)*B10</f>
        <v>2788.0849999999996</v>
      </c>
      <c r="E10" s="67" t="s">
        <v>2</v>
      </c>
      <c r="F10" s="88">
        <v>110</v>
      </c>
      <c r="G10" s="89">
        <f>F10*D10*1.1</f>
        <v>337358.28499999997</v>
      </c>
      <c r="H10" s="67"/>
    </row>
    <row r="11" spans="1:10" ht="21.75" hidden="1" x14ac:dyDescent="0.25">
      <c r="A11" s="78" t="s">
        <v>30</v>
      </c>
      <c r="B11" s="62">
        <v>2.5</v>
      </c>
      <c r="C11" s="62" t="s">
        <v>37</v>
      </c>
      <c r="D11" s="67">
        <f>B11*DADOS_INICIAIS!$E$9</f>
        <v>13940.424999999999</v>
      </c>
      <c r="E11" s="67" t="s">
        <v>2</v>
      </c>
      <c r="F11" s="88">
        <v>2.5</v>
      </c>
      <c r="G11" s="89">
        <f>F11*D11*1.1</f>
        <v>38336.168750000004</v>
      </c>
      <c r="H11" s="67"/>
    </row>
    <row r="12" spans="1:10" ht="21.75" hidden="1" x14ac:dyDescent="0.25">
      <c r="A12" s="78" t="s">
        <v>311</v>
      </c>
      <c r="B12" s="62">
        <v>4</v>
      </c>
      <c r="C12" s="62" t="s">
        <v>164</v>
      </c>
      <c r="D12" s="67">
        <f>ROUNDUP(B12*DADOS_INICIAIS!$E$25*B10,0)</f>
        <v>6453</v>
      </c>
      <c r="E12" s="67" t="s">
        <v>3</v>
      </c>
      <c r="F12" s="88">
        <f>17</f>
        <v>17</v>
      </c>
      <c r="G12" s="89">
        <f>F12*D12*1.1</f>
        <v>120671.1</v>
      </c>
      <c r="H12" s="67"/>
      <c r="I12" s="191"/>
    </row>
    <row r="13" spans="1:10" ht="21.75" hidden="1" x14ac:dyDescent="0.25">
      <c r="A13" s="66" t="s">
        <v>99</v>
      </c>
      <c r="B13" s="62">
        <v>0.22</v>
      </c>
      <c r="C13" s="62" t="s">
        <v>38</v>
      </c>
      <c r="D13" s="67">
        <f>B13*DADOS_INICIAIS!$E$9</f>
        <v>1226.7574</v>
      </c>
      <c r="E13" s="67" t="s">
        <v>22</v>
      </c>
      <c r="F13" s="88">
        <f>(535+45+(1.67*0.6))*1.05</f>
        <v>610.0521</v>
      </c>
      <c r="G13" s="89">
        <f>F13*D13*1.05*1.1</f>
        <v>864385.74690992374</v>
      </c>
      <c r="H13" s="67"/>
    </row>
    <row r="14" spans="1:10" ht="21.75" hidden="1" x14ac:dyDescent="0.25">
      <c r="A14" s="66" t="s">
        <v>31</v>
      </c>
      <c r="B14" s="62">
        <v>110</v>
      </c>
      <c r="C14" s="62" t="s">
        <v>34</v>
      </c>
      <c r="D14" s="67">
        <f>D13*B14</f>
        <v>134943.31399999998</v>
      </c>
      <c r="E14" s="67" t="s">
        <v>26</v>
      </c>
      <c r="F14" s="88">
        <v>7.62</v>
      </c>
      <c r="G14" s="89">
        <f>F14*D14*1.1</f>
        <v>1131094.8579479998</v>
      </c>
      <c r="H14" s="67"/>
    </row>
    <row r="15" spans="1:10" ht="43.5" hidden="1" x14ac:dyDescent="0.25">
      <c r="A15" s="66" t="s">
        <v>101</v>
      </c>
      <c r="B15" s="62">
        <v>240</v>
      </c>
      <c r="C15" s="62" t="s">
        <v>6</v>
      </c>
      <c r="D15" s="67">
        <f>DADOS_INICIAIS!$E$9</f>
        <v>5576.17</v>
      </c>
      <c r="E15" s="67" t="s">
        <v>2</v>
      </c>
      <c r="F15" s="88">
        <f>B15</f>
        <v>240</v>
      </c>
      <c r="G15" s="89">
        <f>F15*D15*1.1</f>
        <v>1472108.8800000001</v>
      </c>
      <c r="H15" s="67"/>
    </row>
    <row r="16" spans="1:10" ht="43.5" hidden="1" x14ac:dyDescent="0.25">
      <c r="A16" s="66" t="s">
        <v>297</v>
      </c>
      <c r="B16" s="62">
        <v>5300</v>
      </c>
      <c r="C16" s="62" t="s">
        <v>298</v>
      </c>
      <c r="D16" s="67">
        <v>1</v>
      </c>
      <c r="E16" s="67" t="s">
        <v>27</v>
      </c>
      <c r="F16" s="88">
        <f>B16*DADOS_INICIAIS!$E$15</f>
        <v>79500</v>
      </c>
      <c r="G16" s="89">
        <f>F16*D16*1.1</f>
        <v>87450</v>
      </c>
      <c r="H16" s="67" t="s">
        <v>299</v>
      </c>
      <c r="I16" s="55" t="s">
        <v>304</v>
      </c>
    </row>
    <row r="17" spans="1:12" ht="21.75" hidden="1" x14ac:dyDescent="0.25">
      <c r="A17" s="286" t="s">
        <v>17</v>
      </c>
      <c r="B17" s="286"/>
      <c r="C17" s="286"/>
      <c r="D17" s="286"/>
      <c r="E17" s="286"/>
      <c r="F17" s="286"/>
      <c r="G17" s="90">
        <f>SUM(G10:G16)</f>
        <v>4051405.0386079233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x14ac:dyDescent="0.25">
      <c r="A19" s="52" t="s">
        <v>302</v>
      </c>
      <c r="B19" s="52"/>
      <c r="C19" s="52"/>
      <c r="D19" s="53"/>
      <c r="E19" s="53"/>
      <c r="F19" s="54"/>
      <c r="G19" s="53"/>
      <c r="H19" s="53"/>
    </row>
    <row r="20" spans="1:12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x14ac:dyDescent="0.25">
      <c r="A21" s="63" t="s">
        <v>14</v>
      </c>
      <c r="B21" s="291" t="s">
        <v>5</v>
      </c>
      <c r="C21" s="292"/>
      <c r="D21" s="291" t="s">
        <v>18</v>
      </c>
      <c r="E21" s="292"/>
      <c r="F21" s="65" t="s">
        <v>118</v>
      </c>
      <c r="G21" s="71" t="s">
        <v>16</v>
      </c>
      <c r="H21" s="90" t="s">
        <v>294</v>
      </c>
    </row>
    <row r="22" spans="1:12" ht="21.75" x14ac:dyDescent="0.25">
      <c r="A22" s="66" t="s">
        <v>29</v>
      </c>
      <c r="B22" s="62">
        <v>3</v>
      </c>
      <c r="C22" s="62" t="s">
        <v>300</v>
      </c>
      <c r="D22" s="67">
        <f>(D23/DADOS_INICIAIS!$E$15)*B22</f>
        <v>2341.9913999999999</v>
      </c>
      <c r="E22" s="67" t="s">
        <v>2</v>
      </c>
      <c r="F22" s="88">
        <v>110</v>
      </c>
      <c r="G22" s="89">
        <f t="shared" ref="G22:G29" si="0">F22*D22*1.1</f>
        <v>283380.95939999999</v>
      </c>
      <c r="H22" s="67"/>
    </row>
    <row r="23" spans="1:12" ht="21.75" x14ac:dyDescent="0.25">
      <c r="A23" s="78" t="s">
        <v>30</v>
      </c>
      <c r="B23" s="62">
        <v>2.1</v>
      </c>
      <c r="C23" s="62" t="s">
        <v>37</v>
      </c>
      <c r="D23" s="67">
        <f>B23*DADOS_INICIAIS!$E$9</f>
        <v>11709.957</v>
      </c>
      <c r="E23" s="67" t="s">
        <v>2</v>
      </c>
      <c r="F23" s="88">
        <v>2.5</v>
      </c>
      <c r="G23" s="89">
        <f t="shared" si="0"/>
        <v>32202.381750000004</v>
      </c>
      <c r="H23" s="67"/>
    </row>
    <row r="24" spans="1:12" ht="21.75" x14ac:dyDescent="0.25">
      <c r="A24" s="78" t="s">
        <v>454</v>
      </c>
      <c r="B24" s="62"/>
      <c r="C24" s="62" t="s">
        <v>429</v>
      </c>
      <c r="D24" s="233">
        <v>13</v>
      </c>
      <c r="E24" s="67" t="s">
        <v>365</v>
      </c>
      <c r="F24" s="88">
        <f>18300*0.8</f>
        <v>14640</v>
      </c>
      <c r="G24" s="89">
        <f>F24*D24*1.1</f>
        <v>209352.00000000003</v>
      </c>
      <c r="H24" s="67">
        <f>G24/DADOS_INICIAIS!E9</f>
        <v>37.544049051589177</v>
      </c>
      <c r="I24" s="191"/>
      <c r="J24" s="270"/>
    </row>
    <row r="25" spans="1:12" ht="21.75" x14ac:dyDescent="0.25">
      <c r="A25" s="66" t="s">
        <v>116</v>
      </c>
      <c r="B25" s="62"/>
      <c r="C25" s="62"/>
      <c r="D25" s="233">
        <v>13</v>
      </c>
      <c r="E25" s="67" t="s">
        <v>365</v>
      </c>
      <c r="F25" s="88">
        <f>H25*0.38*30</f>
        <v>10681.8</v>
      </c>
      <c r="G25" s="89">
        <f>F25*D25*1.1</f>
        <v>152749.74000000002</v>
      </c>
      <c r="H25" s="67">
        <f>ROUNDUP(DADOS_INICIAIS!E19*B22,0)</f>
        <v>937</v>
      </c>
      <c r="I25" s="55">
        <f>F25/DADOS_INICIAIS!E9</f>
        <v>1.9156159155836352</v>
      </c>
      <c r="J25" s="270"/>
    </row>
    <row r="26" spans="1:12" ht="21.75" x14ac:dyDescent="0.25">
      <c r="A26" s="66" t="s">
        <v>99</v>
      </c>
      <c r="B26" s="62">
        <v>0.28000000000000003</v>
      </c>
      <c r="C26" s="62" t="s">
        <v>38</v>
      </c>
      <c r="D26" s="67">
        <f>B26*DADOS_INICIAIS!$E$9</f>
        <v>1561.3276000000001</v>
      </c>
      <c r="E26" s="67" t="s">
        <v>22</v>
      </c>
      <c r="F26" s="88">
        <f>(535+45+(1.67*0.6))*1.05</f>
        <v>610.0521</v>
      </c>
      <c r="G26" s="89">
        <f t="shared" si="0"/>
        <v>1047740.2992847562</v>
      </c>
      <c r="H26" s="67" t="s">
        <v>428</v>
      </c>
    </row>
    <row r="27" spans="1:12" ht="21.75" x14ac:dyDescent="0.25">
      <c r="A27" s="66" t="s">
        <v>31</v>
      </c>
      <c r="B27" s="62">
        <v>75</v>
      </c>
      <c r="C27" s="62" t="s">
        <v>34</v>
      </c>
      <c r="D27" s="67">
        <f>D26*B27</f>
        <v>117099.57</v>
      </c>
      <c r="E27" s="67" t="s">
        <v>26</v>
      </c>
      <c r="F27" s="88">
        <v>5.95</v>
      </c>
      <c r="G27" s="89">
        <f t="shared" si="0"/>
        <v>766416.68565000012</v>
      </c>
      <c r="H27" s="67" t="s">
        <v>428</v>
      </c>
    </row>
    <row r="28" spans="1:12" ht="43.5" x14ac:dyDescent="0.25">
      <c r="A28" s="66" t="s">
        <v>101</v>
      </c>
      <c r="B28" s="62"/>
      <c r="C28" s="62" t="s">
        <v>6</v>
      </c>
      <c r="D28" s="67">
        <f>DADOS_INICIAIS!$E$9</f>
        <v>5576.17</v>
      </c>
      <c r="E28" s="67" t="s">
        <v>2</v>
      </c>
      <c r="F28" s="88">
        <v>290</v>
      </c>
      <c r="G28" s="89">
        <f>F28*D28*1.1</f>
        <v>1778798.2300000002</v>
      </c>
      <c r="H28" s="67"/>
    </row>
    <row r="29" spans="1:12" ht="43.5" x14ac:dyDescent="0.25">
      <c r="A29" s="66" t="s">
        <v>297</v>
      </c>
      <c r="B29" s="62">
        <v>2100</v>
      </c>
      <c r="C29" s="62" t="s">
        <v>298</v>
      </c>
      <c r="D29" s="67">
        <v>1</v>
      </c>
      <c r="E29" s="67" t="s">
        <v>27</v>
      </c>
      <c r="F29" s="88">
        <f>B29*DADOS_INICIAIS!$E$15</f>
        <v>31500</v>
      </c>
      <c r="G29" s="89">
        <f t="shared" si="0"/>
        <v>34650</v>
      </c>
      <c r="H29" s="67" t="s">
        <v>299</v>
      </c>
    </row>
    <row r="30" spans="1:12" ht="21.75" x14ac:dyDescent="0.25">
      <c r="A30" s="286" t="s">
        <v>17</v>
      </c>
      <c r="B30" s="286"/>
      <c r="C30" s="286"/>
      <c r="D30" s="286"/>
      <c r="E30" s="286"/>
      <c r="F30" s="286"/>
      <c r="G30" s="90">
        <f>SUM(G22:G29)</f>
        <v>4305290.296084757</v>
      </c>
      <c r="H30" s="90"/>
    </row>
    <row r="32" spans="1:12" ht="21.75" hidden="1" x14ac:dyDescent="0.25">
      <c r="A32" s="52" t="s">
        <v>303</v>
      </c>
      <c r="B32" s="52"/>
      <c r="C32" s="52"/>
      <c r="D32" s="53"/>
      <c r="E32" s="53"/>
      <c r="F32" s="54"/>
      <c r="G32" s="53"/>
      <c r="H32" s="53"/>
    </row>
    <row r="33" spans="1:8" ht="21.75" hidden="1" x14ac:dyDescent="0.25">
      <c r="A33" s="56"/>
      <c r="B33" s="56"/>
      <c r="C33" s="56"/>
      <c r="D33" s="57"/>
      <c r="E33" s="57"/>
      <c r="F33" s="58"/>
      <c r="G33" s="59"/>
      <c r="H33" s="59"/>
    </row>
    <row r="34" spans="1:8" ht="21.75" hidden="1" x14ac:dyDescent="0.25">
      <c r="A34" s="63" t="s">
        <v>14</v>
      </c>
      <c r="B34" s="291" t="s">
        <v>5</v>
      </c>
      <c r="C34" s="292"/>
      <c r="D34" s="291" t="s">
        <v>18</v>
      </c>
      <c r="E34" s="292"/>
      <c r="F34" s="65" t="s">
        <v>118</v>
      </c>
      <c r="G34" s="71" t="s">
        <v>16</v>
      </c>
      <c r="H34" s="90" t="s">
        <v>294</v>
      </c>
    </row>
    <row r="35" spans="1:8" ht="21.75" hidden="1" x14ac:dyDescent="0.25">
      <c r="A35" s="66" t="s">
        <v>29</v>
      </c>
      <c r="B35" s="190">
        <v>2</v>
      </c>
      <c r="C35" s="190" t="s">
        <v>300</v>
      </c>
      <c r="D35" s="67">
        <f>(D36/DADOS_INICIAIS!$E$15)*B35</f>
        <v>50.571911309689625</v>
      </c>
      <c r="E35" s="67" t="s">
        <v>2</v>
      </c>
      <c r="F35" s="88">
        <v>85</v>
      </c>
      <c r="G35" s="89">
        <f>F35*D35*1.1</f>
        <v>4728.4737074559798</v>
      </c>
      <c r="H35" s="67"/>
    </row>
    <row r="36" spans="1:8" ht="21.75" hidden="1" x14ac:dyDescent="0.25">
      <c r="A36" s="78" t="s">
        <v>30</v>
      </c>
      <c r="B36" s="190">
        <v>2.1</v>
      </c>
      <c r="C36" s="190" t="s">
        <v>37</v>
      </c>
      <c r="D36" s="67">
        <f>B36*DADOS_INICIAIS!E38</f>
        <v>379.28933482267217</v>
      </c>
      <c r="E36" s="67" t="s">
        <v>2</v>
      </c>
      <c r="F36" s="88">
        <v>1.5</v>
      </c>
      <c r="G36" s="89">
        <f>F36*D36*1.1</f>
        <v>625.82740245740922</v>
      </c>
      <c r="H36" s="67"/>
    </row>
    <row r="37" spans="1:8" ht="21.75" hidden="1" x14ac:dyDescent="0.25">
      <c r="A37" s="78" t="s">
        <v>32</v>
      </c>
      <c r="B37" s="190">
        <v>2</v>
      </c>
      <c r="C37" s="190" t="s">
        <v>163</v>
      </c>
      <c r="D37" s="67">
        <f>B37*DADOS_INICIAIS!E44*DADOS_INICIAIS!E42</f>
        <v>327518.36690239416</v>
      </c>
      <c r="E37" s="67" t="s">
        <v>3</v>
      </c>
      <c r="F37" s="88">
        <v>17</v>
      </c>
      <c r="G37" s="89">
        <f>F37*D37*1.1</f>
        <v>6124593.4610747714</v>
      </c>
      <c r="H37" s="67"/>
    </row>
    <row r="38" spans="1:8" ht="21.75" hidden="1" x14ac:dyDescent="0.25">
      <c r="A38" s="78" t="s">
        <v>33</v>
      </c>
      <c r="B38" s="190">
        <v>2</v>
      </c>
      <c r="C38" s="190" t="s">
        <v>164</v>
      </c>
      <c r="D38" s="67">
        <f>B38*DADOS_INICIAIS!E46</f>
        <v>210.69505006567167</v>
      </c>
      <c r="E38" s="67" t="s">
        <v>3</v>
      </c>
      <c r="F38" s="88">
        <v>17</v>
      </c>
      <c r="G38" s="89">
        <f>F38*D38*1.1</f>
        <v>3939.9974362280605</v>
      </c>
      <c r="H38" s="67"/>
    </row>
    <row r="39" spans="1:8" ht="21.75" hidden="1" x14ac:dyDescent="0.25">
      <c r="A39" s="66" t="s">
        <v>116</v>
      </c>
      <c r="B39" s="190">
        <v>25</v>
      </c>
      <c r="C39" s="190" t="s">
        <v>6</v>
      </c>
      <c r="D39" s="67">
        <f>B39*DADOS_INICIAIS!E38</f>
        <v>4515.3492240794303</v>
      </c>
      <c r="E39" s="67" t="s">
        <v>22</v>
      </c>
      <c r="F39" s="88">
        <f>B39</f>
        <v>25</v>
      </c>
      <c r="G39" s="89">
        <f>F39*D39*1.1</f>
        <v>124172.10366218435</v>
      </c>
      <c r="H39" s="67"/>
    </row>
    <row r="40" spans="1:8" ht="21.75" hidden="1" x14ac:dyDescent="0.25">
      <c r="A40" s="66" t="s">
        <v>99</v>
      </c>
      <c r="B40" s="190">
        <v>0.25</v>
      </c>
      <c r="C40" s="190" t="s">
        <v>38</v>
      </c>
      <c r="D40" s="67">
        <f>B40*DADOS_INICIAIS!E38</f>
        <v>45.153492240794307</v>
      </c>
      <c r="E40" s="67" t="s">
        <v>22</v>
      </c>
      <c r="F40" s="88">
        <f>575</f>
        <v>575</v>
      </c>
      <c r="G40" s="89">
        <f>F40*D40*1.05*1.1</f>
        <v>29987.563034417522</v>
      </c>
      <c r="H40" s="67"/>
    </row>
    <row r="41" spans="1:8" ht="21.75" hidden="1" x14ac:dyDescent="0.25">
      <c r="A41" s="66" t="s">
        <v>31</v>
      </c>
      <c r="B41" s="190">
        <v>110</v>
      </c>
      <c r="C41" s="190" t="s">
        <v>34</v>
      </c>
      <c r="D41" s="67">
        <f>D40*B41</f>
        <v>4966.884146487374</v>
      </c>
      <c r="E41" s="67" t="s">
        <v>26</v>
      </c>
      <c r="F41" s="88">
        <v>7.25</v>
      </c>
      <c r="G41" s="89">
        <f>F41*D41*1.1</f>
        <v>39610.901068236817</v>
      </c>
      <c r="H41" s="67"/>
    </row>
    <row r="42" spans="1:8" ht="43.5" hidden="1" x14ac:dyDescent="0.25">
      <c r="A42" s="66" t="s">
        <v>101</v>
      </c>
      <c r="B42" s="190">
        <v>240</v>
      </c>
      <c r="C42" s="190" t="s">
        <v>6</v>
      </c>
      <c r="D42" s="67">
        <f>DADOS_INICIAIS!E38</f>
        <v>180.61396896317723</v>
      </c>
      <c r="E42" s="67" t="s">
        <v>2</v>
      </c>
      <c r="F42" s="88">
        <f>B42</f>
        <v>240</v>
      </c>
      <c r="G42" s="89">
        <f>F42*D42*1.1</f>
        <v>47682.087806278789</v>
      </c>
      <c r="H42" s="67"/>
    </row>
    <row r="43" spans="1:8" ht="43.5" hidden="1" x14ac:dyDescent="0.25">
      <c r="A43" s="66" t="s">
        <v>297</v>
      </c>
      <c r="B43" s="190">
        <v>5300</v>
      </c>
      <c r="C43" s="190" t="s">
        <v>298</v>
      </c>
      <c r="D43" s="67">
        <v>1</v>
      </c>
      <c r="E43" s="67" t="s">
        <v>27</v>
      </c>
      <c r="F43" s="88">
        <f>B43*DADOS_INICIAIS!E41</f>
        <v>861976.75355328165</v>
      </c>
      <c r="G43" s="89">
        <f>F43*D43*1.1</f>
        <v>948174.4289086099</v>
      </c>
      <c r="H43" s="67" t="s">
        <v>299</v>
      </c>
    </row>
    <row r="44" spans="1:8" ht="21.75" hidden="1" x14ac:dyDescent="0.25">
      <c r="A44" s="286" t="s">
        <v>17</v>
      </c>
      <c r="B44" s="286"/>
      <c r="C44" s="286"/>
      <c r="D44" s="286"/>
      <c r="E44" s="286"/>
      <c r="F44" s="286"/>
      <c r="G44" s="90">
        <f>SUM(G35:G43)</f>
        <v>7323514.8441006402</v>
      </c>
      <c r="H44" s="90"/>
    </row>
    <row r="45" spans="1:8" hidden="1" x14ac:dyDescent="0.25"/>
    <row r="46" spans="1:8" ht="21.75" hidden="1" x14ac:dyDescent="0.25">
      <c r="A46" s="52" t="s">
        <v>325</v>
      </c>
      <c r="B46" s="52"/>
      <c r="C46" s="52"/>
      <c r="D46" s="53"/>
      <c r="E46" s="53"/>
      <c r="F46" s="54"/>
      <c r="G46" s="53"/>
      <c r="H46" s="53"/>
    </row>
    <row r="47" spans="1:8" ht="21.75" hidden="1" x14ac:dyDescent="0.25">
      <c r="A47" s="56"/>
      <c r="B47" s="56"/>
      <c r="C47" s="56"/>
      <c r="D47" s="57"/>
      <c r="E47" s="57"/>
      <c r="F47" s="58"/>
      <c r="G47" s="59"/>
      <c r="H47" s="59"/>
    </row>
    <row r="48" spans="1:8" ht="21.75" hidden="1" x14ac:dyDescent="0.25">
      <c r="A48" s="63" t="s">
        <v>14</v>
      </c>
      <c r="B48" s="291" t="s">
        <v>5</v>
      </c>
      <c r="C48" s="292"/>
      <c r="D48" s="291" t="s">
        <v>18</v>
      </c>
      <c r="E48" s="292"/>
      <c r="F48" s="65" t="s">
        <v>118</v>
      </c>
      <c r="G48" s="71" t="s">
        <v>16</v>
      </c>
      <c r="H48" s="90" t="s">
        <v>294</v>
      </c>
    </row>
    <row r="49" spans="1:8" ht="21.75" hidden="1" x14ac:dyDescent="0.25">
      <c r="A49" s="66" t="s">
        <v>29</v>
      </c>
      <c r="B49" s="62">
        <v>3</v>
      </c>
      <c r="C49" s="62" t="s">
        <v>300</v>
      </c>
      <c r="D49" s="67">
        <f>(D50/DADOS_INICIAIS!$E$15)*B49</f>
        <v>2341.9913999999999</v>
      </c>
      <c r="E49" s="67" t="s">
        <v>2</v>
      </c>
      <c r="F49" s="88">
        <v>110</v>
      </c>
      <c r="G49" s="89">
        <f t="shared" ref="G49:G54" si="1">F49*D49*1.1</f>
        <v>283380.95939999999</v>
      </c>
      <c r="H49" s="67"/>
    </row>
    <row r="50" spans="1:8" ht="21.75" hidden="1" x14ac:dyDescent="0.25">
      <c r="A50" s="78" t="s">
        <v>30</v>
      </c>
      <c r="B50" s="62">
        <v>2.1</v>
      </c>
      <c r="C50" s="62" t="s">
        <v>37</v>
      </c>
      <c r="D50" s="67">
        <f>B50*DADOS_INICIAIS!$E$9</f>
        <v>11709.957</v>
      </c>
      <c r="E50" s="67" t="s">
        <v>2</v>
      </c>
      <c r="F50" s="88">
        <v>2.5</v>
      </c>
      <c r="G50" s="89">
        <f t="shared" si="1"/>
        <v>32202.381750000004</v>
      </c>
      <c r="H50" s="67"/>
    </row>
    <row r="51" spans="1:8" ht="21.75" hidden="1" x14ac:dyDescent="0.25">
      <c r="A51" s="78" t="s">
        <v>311</v>
      </c>
      <c r="B51" s="62">
        <v>3</v>
      </c>
      <c r="C51" s="62" t="s">
        <v>164</v>
      </c>
      <c r="D51" s="67">
        <f>ROUNDUP(B51*DADOS_INICIAIS!$E$25*B49,0)</f>
        <v>4840</v>
      </c>
      <c r="E51" s="67" t="s">
        <v>3</v>
      </c>
      <c r="F51" s="88">
        <v>17</v>
      </c>
      <c r="G51" s="89">
        <f t="shared" si="1"/>
        <v>90508.000000000015</v>
      </c>
      <c r="H51" s="67"/>
    </row>
    <row r="52" spans="1:8" ht="21.75" hidden="1" x14ac:dyDescent="0.25">
      <c r="A52" s="78" t="s">
        <v>328</v>
      </c>
      <c r="B52" s="196">
        <v>12.3</v>
      </c>
      <c r="C52" s="196" t="s">
        <v>326</v>
      </c>
      <c r="D52" s="67">
        <f>(DADOS_INICIAIS!$E$16+DADOS_INICIAIS!$E$17)*DADOS_INICIAIS!$E$19+DADOS_INICIAIS!$E$22</f>
        <v>4924.54</v>
      </c>
      <c r="E52" s="67" t="s">
        <v>2</v>
      </c>
      <c r="F52" s="88">
        <f>B52</f>
        <v>12.3</v>
      </c>
      <c r="G52" s="89">
        <f t="shared" si="1"/>
        <v>66629.026200000008</v>
      </c>
      <c r="H52" s="67"/>
    </row>
    <row r="53" spans="1:8" ht="21.75" hidden="1" x14ac:dyDescent="0.25">
      <c r="A53" s="78" t="s">
        <v>329</v>
      </c>
      <c r="B53" s="196">
        <v>2.83</v>
      </c>
      <c r="C53" s="196" t="s">
        <v>327</v>
      </c>
      <c r="D53" s="67">
        <f>B53*D52</f>
        <v>13936.448200000001</v>
      </c>
      <c r="E53" s="67" t="s">
        <v>26</v>
      </c>
      <c r="F53" s="88">
        <v>12.3</v>
      </c>
      <c r="G53" s="89">
        <f t="shared" si="1"/>
        <v>188560.14414600004</v>
      </c>
      <c r="H53" s="67"/>
    </row>
    <row r="54" spans="1:8" ht="21.75" hidden="1" x14ac:dyDescent="0.25">
      <c r="A54" s="66" t="s">
        <v>330</v>
      </c>
      <c r="B54" s="196">
        <v>9000</v>
      </c>
      <c r="C54" s="196" t="s">
        <v>331</v>
      </c>
      <c r="D54" s="67">
        <f>DADOS_INICIAIS!E15</f>
        <v>15</v>
      </c>
      <c r="E54" s="67" t="s">
        <v>332</v>
      </c>
      <c r="F54" s="88">
        <f>B54</f>
        <v>9000</v>
      </c>
      <c r="G54" s="89">
        <f t="shared" si="1"/>
        <v>148500</v>
      </c>
      <c r="H54" s="67"/>
    </row>
    <row r="55" spans="1:8" ht="21.75" hidden="1" x14ac:dyDescent="0.25">
      <c r="A55" s="66" t="s">
        <v>99</v>
      </c>
      <c r="B55" s="196">
        <v>0.25</v>
      </c>
      <c r="C55" s="196" t="s">
        <v>38</v>
      </c>
      <c r="D55" s="67">
        <f>B55*DADOS_INICIAIS!$E$9</f>
        <v>1394.0425</v>
      </c>
      <c r="E55" s="67" t="s">
        <v>22</v>
      </c>
      <c r="F55" s="88">
        <f>535+45</f>
        <v>580</v>
      </c>
      <c r="G55" s="89">
        <f>F55*D55*1.05*1.1</f>
        <v>933869.07075000019</v>
      </c>
      <c r="H55" s="67"/>
    </row>
    <row r="56" spans="1:8" ht="21.75" hidden="1" x14ac:dyDescent="0.25">
      <c r="A56" s="66" t="s">
        <v>31</v>
      </c>
      <c r="B56" s="196">
        <v>90</v>
      </c>
      <c r="C56" s="196" t="s">
        <v>34</v>
      </c>
      <c r="D56" s="67">
        <f>D55*B56</f>
        <v>125463.825</v>
      </c>
      <c r="E56" s="67" t="s">
        <v>26</v>
      </c>
      <c r="F56" s="88">
        <v>7.62</v>
      </c>
      <c r="G56" s="89">
        <f>F56*D56*1.1</f>
        <v>1051637.7811500002</v>
      </c>
      <c r="H56" s="67"/>
    </row>
    <row r="57" spans="1:8" ht="43.5" hidden="1" x14ac:dyDescent="0.25">
      <c r="A57" s="66" t="s">
        <v>101</v>
      </c>
      <c r="B57" s="62">
        <v>240</v>
      </c>
      <c r="C57" s="62" t="s">
        <v>6</v>
      </c>
      <c r="D57" s="67">
        <f>DADOS_INICIAIS!$E$9</f>
        <v>5576.17</v>
      </c>
      <c r="E57" s="67" t="s">
        <v>2</v>
      </c>
      <c r="F57" s="88">
        <f>B57</f>
        <v>240</v>
      </c>
      <c r="G57" s="89">
        <f>F57*D57*1.1</f>
        <v>1472108.8800000001</v>
      </c>
      <c r="H57" s="67"/>
    </row>
    <row r="58" spans="1:8" ht="43.5" hidden="1" x14ac:dyDescent="0.25">
      <c r="A58" s="66" t="s">
        <v>297</v>
      </c>
      <c r="B58" s="62">
        <v>5300</v>
      </c>
      <c r="C58" s="62" t="s">
        <v>298</v>
      </c>
      <c r="D58" s="67">
        <v>1</v>
      </c>
      <c r="E58" s="67" t="s">
        <v>27</v>
      </c>
      <c r="F58" s="88">
        <f>B58*DADOS_INICIAIS!$E$15</f>
        <v>79500</v>
      </c>
      <c r="G58" s="89">
        <f>F58*D58*1.1</f>
        <v>87450</v>
      </c>
      <c r="H58" s="67" t="s">
        <v>299</v>
      </c>
    </row>
    <row r="59" spans="1:8" ht="21.75" hidden="1" x14ac:dyDescent="0.25">
      <c r="A59" s="286" t="s">
        <v>17</v>
      </c>
      <c r="B59" s="286"/>
      <c r="C59" s="286"/>
      <c r="D59" s="286"/>
      <c r="E59" s="286"/>
      <c r="F59" s="286"/>
      <c r="G59" s="90">
        <f>SUM(G49:G58)</f>
        <v>4354846.243396</v>
      </c>
      <c r="H59" s="90"/>
    </row>
    <row r="62" spans="1:8" ht="21.75" x14ac:dyDescent="0.25">
      <c r="A62" s="296" t="s">
        <v>105</v>
      </c>
      <c r="B62" s="297"/>
      <c r="C62" s="297"/>
      <c r="D62" s="297"/>
      <c r="E62" s="297"/>
      <c r="F62" s="298"/>
      <c r="G62" s="91">
        <f>G30</f>
        <v>4305290.296084757</v>
      </c>
      <c r="H62" s="91">
        <f>G62/DADOS_INICIAIS!E9</f>
        <v>772.08734598922865</v>
      </c>
    </row>
    <row r="64" spans="1:8" x14ac:dyDescent="0.25">
      <c r="G64" s="191"/>
      <c r="H64" s="191">
        <f>H62/1.1</f>
        <v>701.89758726293508</v>
      </c>
    </row>
    <row r="69" spans="7:8" x14ac:dyDescent="0.25">
      <c r="G69" s="191">
        <v>250685.82</v>
      </c>
    </row>
    <row r="70" spans="7:8" x14ac:dyDescent="0.25">
      <c r="G70" s="191">
        <f>G24+G25</f>
        <v>362101.74000000005</v>
      </c>
    </row>
    <row r="71" spans="7:8" x14ac:dyDescent="0.25">
      <c r="G71" s="191">
        <f>G70-G69</f>
        <v>111415.92000000004</v>
      </c>
      <c r="H71" s="55">
        <f>G71/DADOS_INICIAIS!E9</f>
        <v>19.980725121364671</v>
      </c>
    </row>
  </sheetData>
  <mergeCells count="14">
    <mergeCell ref="A17:F17"/>
    <mergeCell ref="A62:F62"/>
    <mergeCell ref="A3:H3"/>
    <mergeCell ref="B9:C9"/>
    <mergeCell ref="D9:E9"/>
    <mergeCell ref="B21:C21"/>
    <mergeCell ref="D21:E21"/>
    <mergeCell ref="A30:F30"/>
    <mergeCell ref="B34:C34"/>
    <mergeCell ref="D34:E34"/>
    <mergeCell ref="A44:F44"/>
    <mergeCell ref="B48:C48"/>
    <mergeCell ref="D48:E48"/>
    <mergeCell ref="A59:F5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35"/>
  <sheetViews>
    <sheetView showGridLines="0" topLeftCell="A4" zoomScale="80" zoomScaleNormal="80" zoomScaleSheetLayoutView="95" workbookViewId="0">
      <selection activeCell="D12" sqref="A12:D1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87" t="s">
        <v>305</v>
      </c>
      <c r="B3" s="295"/>
      <c r="C3" s="295"/>
      <c r="D3" s="288"/>
      <c r="E3" s="288"/>
      <c r="F3" s="288"/>
      <c r="G3" s="288"/>
      <c r="H3" s="289"/>
      <c r="J3" s="79"/>
    </row>
    <row r="4" spans="1:12" ht="19.5" x14ac:dyDescent="0.25">
      <c r="A4" s="182" t="s">
        <v>185</v>
      </c>
      <c r="B4" s="188">
        <v>45469</v>
      </c>
      <c r="C4" s="186"/>
      <c r="D4" s="186"/>
      <c r="E4" s="186"/>
      <c r="F4" s="186"/>
      <c r="G4" s="186"/>
      <c r="H4" s="187"/>
      <c r="J4" s="79"/>
    </row>
    <row r="5" spans="1:12" ht="19.5" x14ac:dyDescent="0.25">
      <c r="A5" s="182" t="s">
        <v>292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183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91" t="s">
        <v>5</v>
      </c>
      <c r="C9" s="292"/>
      <c r="D9" s="291" t="s">
        <v>18</v>
      </c>
      <c r="E9" s="292"/>
      <c r="F9" s="65" t="s">
        <v>118</v>
      </c>
      <c r="G9" s="71" t="s">
        <v>16</v>
      </c>
      <c r="H9" s="90" t="s">
        <v>294</v>
      </c>
    </row>
    <row r="10" spans="1:12" ht="21.75" x14ac:dyDescent="0.25">
      <c r="A10" s="66" t="s">
        <v>399</v>
      </c>
      <c r="B10" s="62">
        <v>1.2</v>
      </c>
      <c r="C10" s="62" t="s">
        <v>37</v>
      </c>
      <c r="D10" s="67">
        <f>B10*DADOS_INICIAIS!$E$9</f>
        <v>6691.4039999999995</v>
      </c>
      <c r="E10" s="67" t="s">
        <v>2</v>
      </c>
      <c r="F10" s="88">
        <v>45</v>
      </c>
      <c r="G10" s="89">
        <f>F10*D10*1.1</f>
        <v>331224.49800000002</v>
      </c>
      <c r="H10" s="67"/>
      <c r="I10" s="245" t="e">
        <f>(D10+#REF!+#REF!+#REF!+#REF!)/DADOS_INICIAIS!E9</f>
        <v>#REF!</v>
      </c>
    </row>
    <row r="11" spans="1:12" ht="21.75" x14ac:dyDescent="0.25">
      <c r="A11" s="66" t="s">
        <v>434</v>
      </c>
      <c r="B11" s="62">
        <v>0.2</v>
      </c>
      <c r="C11" s="62" t="s">
        <v>37</v>
      </c>
      <c r="D11" s="67">
        <f>B11*DADOS_INICIAIS!$E$9</f>
        <v>1115.2340000000002</v>
      </c>
      <c r="E11" s="67" t="s">
        <v>2</v>
      </c>
      <c r="F11" s="88">
        <v>70</v>
      </c>
      <c r="G11" s="89">
        <f>F11*D11*1.1</f>
        <v>85873.018000000011</v>
      </c>
      <c r="H11" s="67"/>
      <c r="I11" s="245" t="e">
        <f>(D11+#REF!+#REF!+#REF!+#REF!)/DADOS_INICIAIS!E10</f>
        <v>#REF!</v>
      </c>
    </row>
    <row r="12" spans="1:12" ht="21.75" x14ac:dyDescent="0.25">
      <c r="A12" s="66" t="s">
        <v>172</v>
      </c>
      <c r="B12" s="62">
        <v>1.75</v>
      </c>
      <c r="C12" s="62" t="s">
        <v>308</v>
      </c>
      <c r="D12" s="67">
        <f>B12*DADOS_INICIAIS!$E$14</f>
        <v>70</v>
      </c>
      <c r="E12" s="67" t="s">
        <v>2</v>
      </c>
      <c r="F12" s="88">
        <v>210</v>
      </c>
      <c r="G12" s="89">
        <f>F12*D12*1.1</f>
        <v>16170.000000000002</v>
      </c>
      <c r="H12" s="67"/>
    </row>
    <row r="13" spans="1:12" ht="21.75" x14ac:dyDescent="0.25">
      <c r="A13" s="66" t="s">
        <v>171</v>
      </c>
      <c r="B13" s="62">
        <v>12.5</v>
      </c>
      <c r="C13" s="62" t="s">
        <v>170</v>
      </c>
      <c r="D13" s="67">
        <f>D10</f>
        <v>6691.4039999999995</v>
      </c>
      <c r="E13" s="67" t="s">
        <v>2</v>
      </c>
      <c r="F13" s="88">
        <v>22</v>
      </c>
      <c r="G13" s="89">
        <f>F13*D13*1.1</f>
        <v>161931.97679999997</v>
      </c>
      <c r="H13" s="67"/>
    </row>
    <row r="14" spans="1:12" ht="21.75" x14ac:dyDescent="0.25">
      <c r="A14" s="66" t="s">
        <v>25</v>
      </c>
      <c r="B14" s="62">
        <v>35</v>
      </c>
      <c r="C14" s="62" t="s">
        <v>170</v>
      </c>
      <c r="D14" s="67">
        <f>D10+D11</f>
        <v>7806.6379999999999</v>
      </c>
      <c r="E14" s="67" t="s">
        <v>2</v>
      </c>
      <c r="F14" s="88">
        <v>35</v>
      </c>
      <c r="G14" s="89">
        <f>F14*D14*1.1</f>
        <v>300555.56300000002</v>
      </c>
      <c r="H14" s="67"/>
    </row>
    <row r="15" spans="1:12" ht="21.75" x14ac:dyDescent="0.25">
      <c r="A15" s="286" t="s">
        <v>17</v>
      </c>
      <c r="B15" s="286"/>
      <c r="C15" s="286"/>
      <c r="D15" s="286"/>
      <c r="E15" s="286"/>
      <c r="F15" s="286"/>
      <c r="G15" s="90">
        <f>SUM(G10:G14)</f>
        <v>895755.05579999997</v>
      </c>
      <c r="H15" s="90"/>
      <c r="K15" s="55">
        <f>4160+1440+1120+2880+4800+91680+4000</f>
        <v>110080</v>
      </c>
      <c r="L15" s="55">
        <f>K15/21</f>
        <v>5241.9047619047615</v>
      </c>
    </row>
    <row r="17" spans="1:10" ht="21.75" hidden="1" x14ac:dyDescent="0.25">
      <c r="A17" s="52" t="s">
        <v>334</v>
      </c>
      <c r="B17" s="52"/>
      <c r="C17" s="52"/>
      <c r="D17" s="53"/>
      <c r="E17" s="53"/>
      <c r="F17" s="54"/>
      <c r="G17" s="53">
        <f>G14/D14</f>
        <v>38.5</v>
      </c>
      <c r="H17" s="53"/>
    </row>
    <row r="18" spans="1:10" ht="21.75" hidden="1" x14ac:dyDescent="0.25">
      <c r="A18" s="56"/>
      <c r="B18" s="56"/>
      <c r="C18" s="56"/>
      <c r="D18" s="57"/>
      <c r="E18" s="57"/>
      <c r="F18" s="58"/>
      <c r="G18" s="59"/>
      <c r="H18" s="59"/>
    </row>
    <row r="19" spans="1:10" ht="21.75" hidden="1" x14ac:dyDescent="0.25">
      <c r="A19" s="63" t="s">
        <v>14</v>
      </c>
      <c r="B19" s="291" t="s">
        <v>5</v>
      </c>
      <c r="C19" s="292"/>
      <c r="D19" s="291" t="s">
        <v>18</v>
      </c>
      <c r="E19" s="292"/>
      <c r="F19" s="65" t="s">
        <v>118</v>
      </c>
      <c r="G19" s="71" t="s">
        <v>16</v>
      </c>
      <c r="H19" s="90" t="s">
        <v>294</v>
      </c>
    </row>
    <row r="20" spans="1:10" ht="21.75" hidden="1" x14ac:dyDescent="0.25">
      <c r="A20" s="66" t="s">
        <v>181</v>
      </c>
      <c r="B20" s="62">
        <v>1</v>
      </c>
      <c r="C20" s="62" t="s">
        <v>180</v>
      </c>
      <c r="D20" s="67">
        <f>B20*DADOS_INICIAIS!$E$22</f>
        <v>2115.8200000000002</v>
      </c>
      <c r="E20" s="67" t="s">
        <v>2</v>
      </c>
      <c r="F20" s="88">
        <v>45</v>
      </c>
      <c r="G20" s="89">
        <f>F20*D20*1.1</f>
        <v>104733.09000000001</v>
      </c>
      <c r="H20" s="67"/>
    </row>
    <row r="21" spans="1:10" ht="21.75" hidden="1" x14ac:dyDescent="0.25">
      <c r="A21" s="78" t="s">
        <v>179</v>
      </c>
      <c r="B21" s="62">
        <v>0.4</v>
      </c>
      <c r="C21" s="62" t="s">
        <v>178</v>
      </c>
      <c r="D21" s="67">
        <f>B21*DADOS_INICIAIS!$E$21</f>
        <v>129.244</v>
      </c>
      <c r="E21" s="67" t="s">
        <v>2</v>
      </c>
      <c r="F21" s="88">
        <v>45</v>
      </c>
      <c r="G21" s="89">
        <f>F21*D21*1.1</f>
        <v>6397.5780000000004</v>
      </c>
      <c r="H21" s="67"/>
    </row>
    <row r="22" spans="1:10" ht="21.75" hidden="1" x14ac:dyDescent="0.25">
      <c r="A22" s="78" t="s">
        <v>177</v>
      </c>
      <c r="B22" s="62">
        <v>1.65</v>
      </c>
      <c r="C22" s="62" t="s">
        <v>176</v>
      </c>
      <c r="D22" s="67">
        <f>B22*(DADOS_INICIAIS!$E$19*(DADOS_INICIAIS!$E$16+DADOS_INICIAIS!$E$17))*0.4</f>
        <v>1853.7551999999996</v>
      </c>
      <c r="E22" s="67" t="s">
        <v>2</v>
      </c>
      <c r="F22" s="88">
        <v>45</v>
      </c>
      <c r="G22" s="89">
        <f>F22*D22*1.1</f>
        <v>91760.882399999988</v>
      </c>
      <c r="H22" s="67"/>
    </row>
    <row r="23" spans="1:10" ht="21.75" hidden="1" x14ac:dyDescent="0.25">
      <c r="A23" s="78" t="s">
        <v>306</v>
      </c>
      <c r="B23" s="62">
        <v>1.65</v>
      </c>
      <c r="C23" s="62" t="s">
        <v>176</v>
      </c>
      <c r="D23" s="67">
        <f>B23*(DADOS_INICIAIS!$E$19*(DADOS_INICIAIS!$E$16+DADOS_INICIAIS!$E$17))*0.6</f>
        <v>2780.6327999999994</v>
      </c>
      <c r="E23" s="67" t="s">
        <v>2</v>
      </c>
      <c r="F23" s="88">
        <v>220</v>
      </c>
      <c r="G23" s="89">
        <f t="shared" ref="G23:G27" si="0">F23*D23*1.1</f>
        <v>672913.1375999999</v>
      </c>
      <c r="H23" s="67"/>
      <c r="J23" s="55">
        <f>D23/(D27+D23)</f>
        <v>0.33727738390534123</v>
      </c>
    </row>
    <row r="24" spans="1:10" ht="21.75" hidden="1" x14ac:dyDescent="0.25">
      <c r="A24" s="78" t="s">
        <v>175</v>
      </c>
      <c r="B24" s="62">
        <v>0.2</v>
      </c>
      <c r="C24" s="62" t="s">
        <v>37</v>
      </c>
      <c r="D24" s="67">
        <f>B24*DADOS_INICIAIS!$E$9</f>
        <v>1115.2340000000002</v>
      </c>
      <c r="E24" s="67" t="s">
        <v>2</v>
      </c>
      <c r="F24" s="88">
        <v>70</v>
      </c>
      <c r="G24" s="89">
        <f t="shared" si="0"/>
        <v>85873.018000000011</v>
      </c>
      <c r="H24" s="67"/>
      <c r="J24" s="55">
        <f>1-J23</f>
        <v>0.66272261609465877</v>
      </c>
    </row>
    <row r="25" spans="1:10" ht="21.75" hidden="1" x14ac:dyDescent="0.25">
      <c r="A25" s="66" t="s">
        <v>174</v>
      </c>
      <c r="B25" s="62">
        <v>0.8</v>
      </c>
      <c r="C25" s="62" t="s">
        <v>173</v>
      </c>
      <c r="D25" s="67">
        <f>B25*DADOS_INICIAIS!$E$19</f>
        <v>249.66399999999999</v>
      </c>
      <c r="E25" s="67" t="s">
        <v>22</v>
      </c>
      <c r="F25" s="88">
        <v>45</v>
      </c>
      <c r="G25" s="89">
        <f t="shared" si="0"/>
        <v>12358.368</v>
      </c>
      <c r="H25" s="67"/>
    </row>
    <row r="26" spans="1:10" ht="21.75" hidden="1" x14ac:dyDescent="0.25">
      <c r="A26" s="66" t="s">
        <v>172</v>
      </c>
      <c r="B26" s="62">
        <v>1.75</v>
      </c>
      <c r="C26" s="62" t="s">
        <v>308</v>
      </c>
      <c r="D26" s="67">
        <f>'SISTEMAS ESPECIAIS'!B10</f>
        <v>40</v>
      </c>
      <c r="E26" s="67" t="s">
        <v>322</v>
      </c>
      <c r="F26" s="88">
        <v>210</v>
      </c>
      <c r="G26" s="89">
        <f t="shared" si="0"/>
        <v>9240</v>
      </c>
      <c r="H26" s="67"/>
    </row>
    <row r="27" spans="1:10" ht="21.75" hidden="1" x14ac:dyDescent="0.25">
      <c r="A27" s="66" t="s">
        <v>171</v>
      </c>
      <c r="B27" s="62">
        <v>12.5</v>
      </c>
      <c r="C27" s="62" t="s">
        <v>170</v>
      </c>
      <c r="D27" s="67">
        <f>D21+D22+D20+D24+D25</f>
        <v>5463.7172</v>
      </c>
      <c r="E27" s="67" t="s">
        <v>2</v>
      </c>
      <c r="F27" s="88">
        <f>B27</f>
        <v>12.5</v>
      </c>
      <c r="G27" s="89">
        <f t="shared" si="0"/>
        <v>75126.111499999999</v>
      </c>
      <c r="H27" s="67"/>
    </row>
    <row r="28" spans="1:10" ht="21.75" hidden="1" x14ac:dyDescent="0.25">
      <c r="A28" s="66" t="s">
        <v>25</v>
      </c>
      <c r="B28" s="62">
        <v>35</v>
      </c>
      <c r="C28" s="62" t="s">
        <v>170</v>
      </c>
      <c r="D28" s="67">
        <f>D21+D22+D20+D24+D25</f>
        <v>5463.7172</v>
      </c>
      <c r="E28" s="67" t="s">
        <v>2</v>
      </c>
      <c r="F28" s="88">
        <v>35</v>
      </c>
      <c r="G28" s="89">
        <f>F28*D28*1.1</f>
        <v>210353.11220000003</v>
      </c>
      <c r="H28" s="67"/>
    </row>
    <row r="29" spans="1:10" ht="21.75" hidden="1" x14ac:dyDescent="0.25">
      <c r="A29" s="286" t="s">
        <v>17</v>
      </c>
      <c r="B29" s="286"/>
      <c r="C29" s="286"/>
      <c r="D29" s="286"/>
      <c r="E29" s="286"/>
      <c r="F29" s="286"/>
      <c r="G29" s="90">
        <f>SUM(G20:G28)</f>
        <v>1268755.2977</v>
      </c>
      <c r="H29" s="90"/>
    </row>
    <row r="32" spans="1:10" ht="21.75" x14ac:dyDescent="0.25">
      <c r="A32" s="296" t="s">
        <v>168</v>
      </c>
      <c r="B32" s="297"/>
      <c r="C32" s="297"/>
      <c r="D32" s="297"/>
      <c r="E32" s="297"/>
      <c r="F32" s="298"/>
      <c r="G32" s="91">
        <f>G15</f>
        <v>895755.05579999997</v>
      </c>
      <c r="H32" s="91">
        <f>G32/DADOS_INICIAIS!E9</f>
        <v>160.63983985423687</v>
      </c>
    </row>
    <row r="35" spans="3:8" x14ac:dyDescent="0.25">
      <c r="C35" s="55">
        <f>24000/(568+874+1996+1144)</f>
        <v>5.2378873854212138</v>
      </c>
      <c r="G35" s="191">
        <f>G32/1.1</f>
        <v>814322.77799999993</v>
      </c>
      <c r="H35" s="55">
        <f>G35/DADOS_INICIAIS!E9</f>
        <v>146.03621804930623</v>
      </c>
    </row>
  </sheetData>
  <mergeCells count="8">
    <mergeCell ref="A29:F29"/>
    <mergeCell ref="A32:F32"/>
    <mergeCell ref="A3:H3"/>
    <mergeCell ref="B9:C9"/>
    <mergeCell ref="D9:E9"/>
    <mergeCell ref="A15:F15"/>
    <mergeCell ref="B19:C19"/>
    <mergeCell ref="D19:E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7"/>
  <sheetViews>
    <sheetView showGridLines="0" topLeftCell="A25" zoomScale="85" zoomScaleNormal="85" zoomScaleSheetLayoutView="95" workbookViewId="0">
      <selection activeCell="A16" sqref="A16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287" t="s">
        <v>253</v>
      </c>
      <c r="B2" s="288"/>
      <c r="C2" s="288"/>
      <c r="D2" s="288"/>
      <c r="E2" s="289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252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291" t="s">
        <v>5</v>
      </c>
      <c r="C6" s="292"/>
      <c r="D6" s="71" t="s">
        <v>16</v>
      </c>
      <c r="E6" s="59"/>
    </row>
    <row r="7" spans="1:7" s="55" customFormat="1" ht="21.75" x14ac:dyDescent="0.25">
      <c r="A7" s="66" t="s">
        <v>251</v>
      </c>
      <c r="B7" s="62">
        <v>5</v>
      </c>
      <c r="C7" s="62" t="s">
        <v>6</v>
      </c>
      <c r="D7" s="89">
        <f>B7*DADOS_INICIAIS!$E$9</f>
        <v>27880.85</v>
      </c>
      <c r="E7" s="57"/>
    </row>
    <row r="8" spans="1:7" s="55" customFormat="1" ht="21.75" x14ac:dyDescent="0.25">
      <c r="A8" s="66" t="s">
        <v>250</v>
      </c>
      <c r="B8" s="62">
        <v>12</v>
      </c>
      <c r="C8" s="62" t="s">
        <v>6</v>
      </c>
      <c r="D8" s="89">
        <f>B8*DADOS_INICIAIS!$E$9</f>
        <v>66914.040000000008</v>
      </c>
      <c r="E8" s="57"/>
    </row>
    <row r="9" spans="1:7" s="55" customFormat="1" ht="21.75" x14ac:dyDescent="0.25">
      <c r="A9" s="66" t="s">
        <v>249</v>
      </c>
      <c r="B9" s="62">
        <v>25</v>
      </c>
      <c r="C9" s="62" t="s">
        <v>6</v>
      </c>
      <c r="D9" s="89">
        <f>B9*DADOS_INICIAIS!$E$9</f>
        <v>139404.25</v>
      </c>
      <c r="E9" s="57"/>
    </row>
    <row r="10" spans="1:7" s="55" customFormat="1" ht="21.75" x14ac:dyDescent="0.25">
      <c r="A10" s="66" t="s">
        <v>248</v>
      </c>
      <c r="B10" s="62">
        <v>12</v>
      </c>
      <c r="C10" s="62" t="s">
        <v>6</v>
      </c>
      <c r="D10" s="89">
        <f>B10*DADOS_INICIAIS!$E$9</f>
        <v>66914.040000000008</v>
      </c>
      <c r="E10" s="57"/>
    </row>
    <row r="11" spans="1:7" s="55" customFormat="1" ht="21.75" x14ac:dyDescent="0.25">
      <c r="A11" s="66" t="s">
        <v>247</v>
      </c>
      <c r="B11" s="62">
        <v>10</v>
      </c>
      <c r="C11" s="62" t="s">
        <v>6</v>
      </c>
      <c r="D11" s="89">
        <f>B11*DADOS_INICIAIS!$E$9</f>
        <v>55761.7</v>
      </c>
      <c r="E11" s="57"/>
    </row>
    <row r="12" spans="1:7" s="55" customFormat="1" ht="21.75" x14ac:dyDescent="0.25">
      <c r="A12" s="66" t="s">
        <v>246</v>
      </c>
      <c r="B12" s="62">
        <v>5</v>
      </c>
      <c r="C12" s="62" t="s">
        <v>6</v>
      </c>
      <c r="D12" s="89">
        <f>B12*DADOS_INICIAIS!$E$9</f>
        <v>27880.85</v>
      </c>
      <c r="E12" s="57"/>
    </row>
    <row r="13" spans="1:7" s="55" customFormat="1" ht="21.75" x14ac:dyDescent="0.25">
      <c r="A13" s="66" t="s">
        <v>245</v>
      </c>
      <c r="B13" s="62">
        <v>70</v>
      </c>
      <c r="C13" s="62" t="s">
        <v>6</v>
      </c>
      <c r="D13" s="89">
        <f>B13*DADOS_INICIAIS!$E$9</f>
        <v>390331.9</v>
      </c>
      <c r="E13" s="57">
        <f>D13/DADOS_INICIAIS!$E$9</f>
        <v>70</v>
      </c>
    </row>
    <row r="14" spans="1:7" s="55" customFormat="1" ht="21.75" x14ac:dyDescent="0.25">
      <c r="A14" s="286" t="s">
        <v>17</v>
      </c>
      <c r="B14" s="286"/>
      <c r="C14" s="286"/>
      <c r="D14" s="90">
        <f>SUM(D7:D13)</f>
        <v>775087.63000000012</v>
      </c>
      <c r="E14" s="60"/>
    </row>
    <row r="15" spans="1:7" s="55" customFormat="1" ht="21.75" x14ac:dyDescent="0.25">
      <c r="A15" s="290"/>
      <c r="B15" s="290"/>
      <c r="C15" s="290"/>
      <c r="D15" s="100"/>
      <c r="E15" s="59"/>
    </row>
    <row r="16" spans="1:7" s="55" customFormat="1" ht="21.75" x14ac:dyDescent="0.25">
      <c r="A16" s="52" t="s">
        <v>244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291" t="s">
        <v>5</v>
      </c>
      <c r="C18" s="292"/>
      <c r="D18" s="90" t="s">
        <v>16</v>
      </c>
      <c r="E18" s="59"/>
    </row>
    <row r="19" spans="1:5" s="55" customFormat="1" ht="21.75" x14ac:dyDescent="0.25">
      <c r="A19" s="66" t="s">
        <v>243</v>
      </c>
      <c r="B19" s="62">
        <v>20</v>
      </c>
      <c r="C19" s="62" t="s">
        <v>6</v>
      </c>
      <c r="D19" s="89">
        <f>B19*DADOS_INICIAIS!$E$9</f>
        <v>111523.4</v>
      </c>
      <c r="E19" s="57"/>
    </row>
    <row r="20" spans="1:5" s="55" customFormat="1" ht="21.75" x14ac:dyDescent="0.25">
      <c r="A20" s="66" t="s">
        <v>242</v>
      </c>
      <c r="B20" s="62">
        <v>15</v>
      </c>
      <c r="C20" s="62" t="s">
        <v>6</v>
      </c>
      <c r="D20" s="89">
        <f>B20*DADOS_INICIAIS!$E$9</f>
        <v>83642.55</v>
      </c>
      <c r="E20" s="57"/>
    </row>
    <row r="21" spans="1:5" s="55" customFormat="1" ht="21.75" x14ac:dyDescent="0.25">
      <c r="A21" s="66" t="s">
        <v>241</v>
      </c>
      <c r="B21" s="62">
        <v>12</v>
      </c>
      <c r="C21" s="62" t="s">
        <v>6</v>
      </c>
      <c r="D21" s="89">
        <f>B21*DADOS_INICIAIS!$E$9</f>
        <v>66914.040000000008</v>
      </c>
      <c r="E21" s="57"/>
    </row>
    <row r="22" spans="1:5" s="55" customFormat="1" ht="21.75" x14ac:dyDescent="0.25">
      <c r="A22" s="66" t="s">
        <v>240</v>
      </c>
      <c r="B22" s="62">
        <v>16</v>
      </c>
      <c r="C22" s="62" t="s">
        <v>6</v>
      </c>
      <c r="D22" s="89">
        <f>B22*DADOS_INICIAIS!$E$9</f>
        <v>89218.72</v>
      </c>
      <c r="E22" s="57"/>
    </row>
    <row r="23" spans="1:5" s="55" customFormat="1" ht="21.75" x14ac:dyDescent="0.25">
      <c r="A23" s="66" t="s">
        <v>239</v>
      </c>
      <c r="B23" s="62">
        <v>45</v>
      </c>
      <c r="C23" s="62" t="s">
        <v>6</v>
      </c>
      <c r="D23" s="89">
        <f>B23*DADOS_INICIAIS!$E$9</f>
        <v>250927.65</v>
      </c>
      <c r="E23" s="57"/>
    </row>
    <row r="24" spans="1:5" s="55" customFormat="1" ht="21.75" x14ac:dyDescent="0.25">
      <c r="A24" s="66" t="s">
        <v>238</v>
      </c>
      <c r="B24" s="62">
        <v>55</v>
      </c>
      <c r="C24" s="62" t="s">
        <v>6</v>
      </c>
      <c r="D24" s="89">
        <f>B24*DADOS_INICIAIS!$E$9</f>
        <v>306689.34999999998</v>
      </c>
      <c r="E24" s="57">
        <f>D24/DADOS_INICIAIS!$E$9</f>
        <v>54.999999999999993</v>
      </c>
    </row>
    <row r="25" spans="1:5" s="55" customFormat="1" ht="21.75" x14ac:dyDescent="0.25">
      <c r="A25" s="286" t="s">
        <v>17</v>
      </c>
      <c r="B25" s="286"/>
      <c r="C25" s="286"/>
      <c r="D25" s="90">
        <f>SUM(D19:D24)</f>
        <v>908915.71</v>
      </c>
      <c r="E25" s="60"/>
    </row>
    <row r="26" spans="1:5" s="55" customFormat="1" ht="21.75" x14ac:dyDescent="0.25">
      <c r="A26" s="290"/>
      <c r="B26" s="290"/>
      <c r="C26" s="290"/>
      <c r="D26" s="100"/>
      <c r="E26" s="59"/>
    </row>
    <row r="27" spans="1:5" s="55" customFormat="1" ht="21.75" x14ac:dyDescent="0.25">
      <c r="A27" s="52" t="s">
        <v>237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291" t="s">
        <v>5</v>
      </c>
      <c r="C29" s="292"/>
      <c r="D29" s="90" t="s">
        <v>16</v>
      </c>
      <c r="E29" s="59"/>
    </row>
    <row r="30" spans="1:5" s="55" customFormat="1" ht="26.25" customHeight="1" x14ac:dyDescent="0.25">
      <c r="A30" s="70" t="s">
        <v>236</v>
      </c>
      <c r="B30" s="62">
        <v>15</v>
      </c>
      <c r="C30" s="62" t="s">
        <v>6</v>
      </c>
      <c r="D30" s="89">
        <f>B30*DADOS_INICIAIS!$E$9</f>
        <v>83642.55</v>
      </c>
      <c r="E30" s="57"/>
    </row>
    <row r="31" spans="1:5" s="55" customFormat="1" ht="26.25" customHeight="1" x14ac:dyDescent="0.25">
      <c r="A31" s="70" t="s">
        <v>235</v>
      </c>
      <c r="B31" s="62">
        <v>15</v>
      </c>
      <c r="C31" s="62" t="s">
        <v>6</v>
      </c>
      <c r="D31" s="89">
        <f>B31*DADOS_INICIAIS!$E$9</f>
        <v>83642.55</v>
      </c>
      <c r="E31" s="57"/>
    </row>
    <row r="32" spans="1:5" s="55" customFormat="1" ht="21.75" x14ac:dyDescent="0.25">
      <c r="A32" s="70" t="s">
        <v>234</v>
      </c>
      <c r="B32" s="62">
        <v>6.5</v>
      </c>
      <c r="C32" s="62" t="s">
        <v>6</v>
      </c>
      <c r="D32" s="89">
        <f>B32*DADOS_INICIAIS!$E$9</f>
        <v>36245.105000000003</v>
      </c>
      <c r="E32" s="57"/>
    </row>
    <row r="33" spans="1:9" s="55" customFormat="1" ht="21.75" x14ac:dyDescent="0.25">
      <c r="A33" s="286" t="s">
        <v>17</v>
      </c>
      <c r="B33" s="286"/>
      <c r="C33" s="286"/>
      <c r="D33" s="90">
        <f>SUM(D30:D32)</f>
        <v>203530.20500000002</v>
      </c>
      <c r="E33" s="60"/>
    </row>
    <row r="34" spans="1:9" x14ac:dyDescent="0.25">
      <c r="D34" s="107"/>
      <c r="I34" s="47"/>
    </row>
    <row r="35" spans="1:9" ht="23.25" customHeight="1" x14ac:dyDescent="0.25">
      <c r="A35" s="283" t="s">
        <v>233</v>
      </c>
      <c r="B35" s="284"/>
      <c r="C35" s="284"/>
      <c r="D35" s="108">
        <f>D14+D25+D33</f>
        <v>1887533.5450000002</v>
      </c>
      <c r="E35" s="108">
        <f>D35/DADOS_INICIAIS!E9</f>
        <v>338.5</v>
      </c>
    </row>
    <row r="37" spans="1:9" x14ac:dyDescent="0.25">
      <c r="E37" s="192">
        <f>E35/1.1</f>
        <v>307.72727272727269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K43"/>
  <sheetViews>
    <sheetView showGridLines="0" topLeftCell="A32" zoomScale="85" zoomScaleNormal="85" zoomScaleSheetLayoutView="95" workbookViewId="0">
      <selection activeCell="B20" sqref="B20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7" width="9.140625" style="1"/>
    <col min="8" max="8" width="12.85546875" style="1" bestFit="1" customWidth="1"/>
    <col min="9" max="16384" width="9.140625" style="1"/>
  </cols>
  <sheetData>
    <row r="1" spans="1:11" x14ac:dyDescent="0.25">
      <c r="A1" s="48"/>
      <c r="B1" s="48"/>
      <c r="C1" s="48"/>
      <c r="D1" s="48"/>
      <c r="E1" s="48"/>
      <c r="G1" s="2"/>
    </row>
    <row r="2" spans="1:11" ht="28.5" x14ac:dyDescent="0.25">
      <c r="A2" s="287" t="s">
        <v>272</v>
      </c>
      <c r="B2" s="288"/>
      <c r="C2" s="288"/>
      <c r="D2" s="288"/>
      <c r="E2" s="289"/>
      <c r="G2" s="2"/>
    </row>
    <row r="3" spans="1:11" x14ac:dyDescent="0.25">
      <c r="A3" s="50"/>
      <c r="B3" s="50"/>
      <c r="C3" s="50"/>
      <c r="D3" s="48"/>
      <c r="E3" s="48"/>
      <c r="G3" s="2"/>
    </row>
    <row r="4" spans="1:11" s="55" customFormat="1" ht="21.75" x14ac:dyDescent="0.25">
      <c r="A4" s="52" t="s">
        <v>271</v>
      </c>
      <c r="B4" s="53"/>
      <c r="C4" s="53"/>
      <c r="D4" s="53"/>
      <c r="E4" s="53"/>
    </row>
    <row r="5" spans="1:11" s="55" customFormat="1" ht="21.75" x14ac:dyDescent="0.25">
      <c r="A5" s="56"/>
      <c r="B5" s="57"/>
      <c r="C5" s="57"/>
      <c r="D5" s="59"/>
      <c r="E5" s="59"/>
    </row>
    <row r="6" spans="1:11" s="55" customFormat="1" ht="42" customHeight="1" x14ac:dyDescent="0.25">
      <c r="A6" s="63" t="s">
        <v>14</v>
      </c>
      <c r="B6" s="65" t="s">
        <v>18</v>
      </c>
      <c r="C6" s="71" t="s">
        <v>260</v>
      </c>
      <c r="D6" s="71" t="s">
        <v>16</v>
      </c>
      <c r="E6" s="59"/>
      <c r="G6" s="55" t="s">
        <v>199</v>
      </c>
      <c r="H6" s="55" t="s">
        <v>486</v>
      </c>
      <c r="I6" s="55" t="s">
        <v>487</v>
      </c>
      <c r="J6" s="55" t="s">
        <v>488</v>
      </c>
      <c r="K6" s="55" t="s">
        <v>198</v>
      </c>
    </row>
    <row r="7" spans="1:11" s="55" customFormat="1" ht="43.5" x14ac:dyDescent="0.25">
      <c r="A7" s="66" t="s">
        <v>270</v>
      </c>
      <c r="B7" s="67">
        <f>SUM(G7:M7)</f>
        <v>121</v>
      </c>
      <c r="C7" s="181">
        <v>1200</v>
      </c>
      <c r="D7" s="89">
        <f>B7*C7*1.1</f>
        <v>159720</v>
      </c>
      <c r="E7" s="57"/>
      <c r="G7" s="55">
        <f>3*2+2</f>
        <v>8</v>
      </c>
      <c r="H7" s="55">
        <f>4+3*2</f>
        <v>10</v>
      </c>
      <c r="I7" s="55">
        <f>(3*2+3*2)*8</f>
        <v>96</v>
      </c>
      <c r="J7" s="55">
        <f>3+4</f>
        <v>7</v>
      </c>
    </row>
    <row r="8" spans="1:11" s="55" customFormat="1" ht="21.75" x14ac:dyDescent="0.25">
      <c r="A8" s="66" t="s">
        <v>269</v>
      </c>
      <c r="B8" s="67">
        <f>SUM(G8:M8)</f>
        <v>6</v>
      </c>
      <c r="C8" s="181">
        <v>5000</v>
      </c>
      <c r="D8" s="89">
        <f>B8*C8*1.1</f>
        <v>33000</v>
      </c>
      <c r="E8" s="57"/>
      <c r="G8" s="55">
        <v>2</v>
      </c>
      <c r="H8" s="55">
        <f>4</f>
        <v>4</v>
      </c>
      <c r="I8" s="55">
        <v>0</v>
      </c>
      <c r="J8" s="55">
        <v>0</v>
      </c>
    </row>
    <row r="9" spans="1:11" s="55" customFormat="1" ht="21.75" x14ac:dyDescent="0.25">
      <c r="A9" s="66" t="s">
        <v>268</v>
      </c>
      <c r="B9" s="67">
        <f>SUM(G9:M9)</f>
        <v>24</v>
      </c>
      <c r="C9" s="181">
        <v>900</v>
      </c>
      <c r="D9" s="89">
        <f>B9*C9*1.1</f>
        <v>23760.000000000004</v>
      </c>
      <c r="E9" s="57"/>
      <c r="G9" s="55">
        <v>4</v>
      </c>
      <c r="H9" s="55">
        <f>1+1*2</f>
        <v>3</v>
      </c>
      <c r="I9" s="55">
        <f>1*2*8</f>
        <v>16</v>
      </c>
      <c r="J9" s="55">
        <v>1</v>
      </c>
    </row>
    <row r="10" spans="1:11" s="55" customFormat="1" ht="21.75" x14ac:dyDescent="0.25">
      <c r="A10" s="66" t="s">
        <v>267</v>
      </c>
      <c r="B10" s="67">
        <f>SUM(G10:M10)</f>
        <v>40</v>
      </c>
      <c r="C10" s="181">
        <v>3500</v>
      </c>
      <c r="D10" s="89">
        <f>B10*C10*1.1</f>
        <v>154000</v>
      </c>
      <c r="E10" s="57"/>
      <c r="G10" s="55">
        <v>0</v>
      </c>
      <c r="H10" s="55">
        <f>2+2*2</f>
        <v>6</v>
      </c>
      <c r="I10" s="55">
        <f>4*8</f>
        <v>32</v>
      </c>
      <c r="J10" s="55">
        <f>2</f>
        <v>2</v>
      </c>
    </row>
    <row r="11" spans="1:11" s="55" customFormat="1" ht="21.75" x14ac:dyDescent="0.25">
      <c r="A11" s="66" t="s">
        <v>430</v>
      </c>
      <c r="B11" s="67">
        <f>DADOS_INICIAIS!E9</f>
        <v>5576.17</v>
      </c>
      <c r="C11" s="181">
        <v>11</v>
      </c>
      <c r="D11" s="89"/>
      <c r="E11" s="57"/>
    </row>
    <row r="12" spans="1:11" s="55" customFormat="1" ht="21.75" x14ac:dyDescent="0.25">
      <c r="A12" s="286" t="s">
        <v>17</v>
      </c>
      <c r="B12" s="286"/>
      <c r="C12" s="286"/>
      <c r="D12" s="90">
        <f>SUM(D7:D11)</f>
        <v>370480</v>
      </c>
      <c r="E12" s="60"/>
    </row>
    <row r="13" spans="1:11" s="55" customFormat="1" ht="21.75" x14ac:dyDescent="0.25">
      <c r="A13" s="290"/>
      <c r="B13" s="290"/>
      <c r="C13" s="290"/>
      <c r="D13" s="59"/>
      <c r="E13" s="59"/>
    </row>
    <row r="14" spans="1:11" s="55" customFormat="1" ht="21.75" x14ac:dyDescent="0.25">
      <c r="A14" s="52" t="s">
        <v>266</v>
      </c>
      <c r="B14" s="53"/>
      <c r="C14" s="53"/>
      <c r="D14" s="53"/>
      <c r="E14" s="53"/>
    </row>
    <row r="15" spans="1:11" s="55" customFormat="1" ht="21.75" x14ac:dyDescent="0.25">
      <c r="A15" s="56"/>
      <c r="B15" s="57"/>
      <c r="C15" s="57"/>
      <c r="D15" s="59"/>
      <c r="E15" s="59"/>
    </row>
    <row r="16" spans="1:11" s="55" customFormat="1" ht="42" customHeight="1" x14ac:dyDescent="0.25">
      <c r="A16" s="63" t="s">
        <v>14</v>
      </c>
      <c r="B16" s="291" t="s">
        <v>5</v>
      </c>
      <c r="C16" s="292"/>
      <c r="D16" s="71" t="s">
        <v>16</v>
      </c>
      <c r="E16" s="59"/>
    </row>
    <row r="17" spans="1:8" s="55" customFormat="1" ht="21.75" x14ac:dyDescent="0.25">
      <c r="A17" s="66" t="s">
        <v>265</v>
      </c>
      <c r="B17" s="62">
        <v>2</v>
      </c>
      <c r="C17" s="62" t="s">
        <v>6</v>
      </c>
      <c r="D17" s="89">
        <f>B17*DADOS_INICIAIS!$E$9*1.05</f>
        <v>11709.957</v>
      </c>
      <c r="E17" s="57"/>
    </row>
    <row r="18" spans="1:8" s="55" customFormat="1" ht="21.75" x14ac:dyDescent="0.25">
      <c r="A18" s="66" t="s">
        <v>264</v>
      </c>
      <c r="B18" s="62">
        <v>4</v>
      </c>
      <c r="C18" s="62" t="s">
        <v>6</v>
      </c>
      <c r="D18" s="89">
        <f>B18*DADOS_INICIAIS!$E$9*1.05</f>
        <v>23419.914000000001</v>
      </c>
      <c r="E18" s="57"/>
    </row>
    <row r="19" spans="1:8" s="55" customFormat="1" ht="21.75" x14ac:dyDescent="0.25">
      <c r="A19" s="66" t="s">
        <v>263</v>
      </c>
      <c r="B19" s="62">
        <v>6</v>
      </c>
      <c r="C19" s="62" t="s">
        <v>6</v>
      </c>
      <c r="D19" s="89">
        <f>B19*DADOS_INICIAIS!$E$9*1.05</f>
        <v>35129.871000000006</v>
      </c>
      <c r="E19" s="57"/>
      <c r="H19" s="270"/>
    </row>
    <row r="20" spans="1:8" s="55" customFormat="1" ht="43.5" x14ac:dyDescent="0.25">
      <c r="A20" s="66" t="s">
        <v>262</v>
      </c>
      <c r="B20" s="62">
        <v>5.5</v>
      </c>
      <c r="C20" s="62" t="s">
        <v>6</v>
      </c>
      <c r="D20" s="89"/>
      <c r="E20" s="57"/>
      <c r="H20" s="270"/>
    </row>
    <row r="21" spans="1:8" s="55" customFormat="1" ht="21.75" x14ac:dyDescent="0.25">
      <c r="A21" s="286" t="s">
        <v>17</v>
      </c>
      <c r="B21" s="286"/>
      <c r="C21" s="286"/>
      <c r="D21" s="90">
        <f>SUM(D17:D20)</f>
        <v>70259.741999999998</v>
      </c>
      <c r="E21" s="60"/>
    </row>
    <row r="22" spans="1:8" s="55" customFormat="1" ht="21.75" x14ac:dyDescent="0.25">
      <c r="A22" s="290"/>
      <c r="B22" s="290"/>
      <c r="C22" s="290"/>
      <c r="D22" s="59"/>
      <c r="E22" s="59"/>
    </row>
    <row r="23" spans="1:8" s="55" customFormat="1" ht="21.75" x14ac:dyDescent="0.25">
      <c r="A23" s="52" t="s">
        <v>261</v>
      </c>
      <c r="B23" s="53"/>
      <c r="C23" s="53"/>
      <c r="D23" s="53"/>
      <c r="E23" s="53"/>
    </row>
    <row r="24" spans="1:8" s="55" customFormat="1" ht="21.75" x14ac:dyDescent="0.25">
      <c r="A24" s="56"/>
      <c r="B24" s="57"/>
      <c r="C24" s="57"/>
      <c r="D24" s="59"/>
      <c r="E24" s="59"/>
    </row>
    <row r="25" spans="1:8" s="55" customFormat="1" ht="42" customHeight="1" x14ac:dyDescent="0.25">
      <c r="A25" s="63" t="s">
        <v>14</v>
      </c>
      <c r="B25" s="65" t="s">
        <v>18</v>
      </c>
      <c r="C25" s="71" t="s">
        <v>260</v>
      </c>
      <c r="D25" s="71" t="s">
        <v>16</v>
      </c>
      <c r="E25" s="59"/>
    </row>
    <row r="26" spans="1:8" s="55" customFormat="1" ht="26.25" customHeight="1" x14ac:dyDescent="0.25">
      <c r="A26" s="70" t="s">
        <v>259</v>
      </c>
      <c r="B26" s="67">
        <v>2</v>
      </c>
      <c r="C26" s="234">
        <f>17750*DADOS_INICIAIS!E15</f>
        <v>266250</v>
      </c>
      <c r="D26" s="89">
        <f t="shared" ref="D26" si="0">B26*C26*1.1</f>
        <v>585750</v>
      </c>
      <c r="E26" s="57"/>
    </row>
    <row r="27" spans="1:8" s="55" customFormat="1" ht="26.25" customHeight="1" x14ac:dyDescent="0.25">
      <c r="A27" s="70" t="s">
        <v>372</v>
      </c>
      <c r="B27" s="67"/>
      <c r="C27" s="240">
        <v>42750</v>
      </c>
      <c r="D27" s="89">
        <f t="shared" ref="D27" si="1">B27*C27*1.1</f>
        <v>0</v>
      </c>
      <c r="E27" s="57" t="s">
        <v>373</v>
      </c>
    </row>
    <row r="28" spans="1:8" s="55" customFormat="1" ht="26.25" customHeight="1" x14ac:dyDescent="0.25">
      <c r="A28" s="70" t="s">
        <v>258</v>
      </c>
      <c r="B28" s="67">
        <v>1</v>
      </c>
      <c r="C28" s="235">
        <v>19800</v>
      </c>
      <c r="D28" s="89">
        <f>B28*C28*1.05</f>
        <v>20790</v>
      </c>
      <c r="E28" s="57"/>
    </row>
    <row r="29" spans="1:8" s="55" customFormat="1" ht="26.25" customHeight="1" x14ac:dyDescent="0.25">
      <c r="A29" s="70" t="s">
        <v>312</v>
      </c>
      <c r="B29" s="67">
        <v>1</v>
      </c>
      <c r="C29" s="181"/>
      <c r="D29" s="89">
        <f t="shared" ref="D29" si="2">B29*C29*1.1</f>
        <v>0</v>
      </c>
      <c r="E29" s="57"/>
    </row>
    <row r="30" spans="1:8" s="55" customFormat="1" ht="26.25" customHeight="1" x14ac:dyDescent="0.25">
      <c r="A30" s="70" t="s">
        <v>257</v>
      </c>
      <c r="B30" s="67">
        <v>1</v>
      </c>
      <c r="C30" s="181">
        <v>590</v>
      </c>
      <c r="D30" s="89">
        <f>B30*C30</f>
        <v>590</v>
      </c>
      <c r="E30" s="57" t="s">
        <v>489</v>
      </c>
    </row>
    <row r="31" spans="1:8" s="55" customFormat="1" ht="26.25" customHeight="1" x14ac:dyDescent="0.25">
      <c r="A31" s="70" t="s">
        <v>336</v>
      </c>
      <c r="B31" s="67">
        <v>1</v>
      </c>
      <c r="C31" s="181">
        <v>27500</v>
      </c>
      <c r="D31" s="89">
        <f>B31*C31*1.1</f>
        <v>30250.000000000004</v>
      </c>
      <c r="E31" s="57"/>
    </row>
    <row r="32" spans="1:8" s="55" customFormat="1" ht="26.25" customHeight="1" x14ac:dyDescent="0.25">
      <c r="A32" s="70" t="s">
        <v>432</v>
      </c>
      <c r="B32" s="67">
        <v>1</v>
      </c>
      <c r="C32" s="181">
        <v>7980</v>
      </c>
      <c r="D32" s="89"/>
      <c r="E32" s="57"/>
    </row>
    <row r="33" spans="1:9" s="55" customFormat="1" ht="26.25" customHeight="1" x14ac:dyDescent="0.25">
      <c r="A33" s="70" t="s">
        <v>433</v>
      </c>
      <c r="B33" s="67">
        <v>2</v>
      </c>
      <c r="C33" s="181">
        <f>19700/2</f>
        <v>9850</v>
      </c>
      <c r="D33" s="89"/>
      <c r="E33" s="57"/>
    </row>
    <row r="34" spans="1:9" s="55" customFormat="1" ht="26.25" customHeight="1" x14ac:dyDescent="0.25">
      <c r="A34" s="70" t="s">
        <v>364</v>
      </c>
      <c r="B34" s="67"/>
      <c r="C34" s="236">
        <v>1150</v>
      </c>
      <c r="D34" s="89">
        <f>B34*C34*1.1</f>
        <v>0</v>
      </c>
      <c r="E34" s="57"/>
    </row>
    <row r="35" spans="1:9" s="55" customFormat="1" ht="21.75" x14ac:dyDescent="0.25">
      <c r="A35" s="286" t="s">
        <v>17</v>
      </c>
      <c r="B35" s="286"/>
      <c r="C35" s="286"/>
      <c r="D35" s="90">
        <f>SUM(D26:D34)</f>
        <v>637380</v>
      </c>
      <c r="E35" s="60"/>
    </row>
    <row r="36" spans="1:9" x14ac:dyDescent="0.25">
      <c r="I36" s="47"/>
    </row>
    <row r="37" spans="1:9" s="55" customFormat="1" ht="21.75" x14ac:dyDescent="0.25">
      <c r="A37" s="52" t="s">
        <v>256</v>
      </c>
      <c r="B37" s="53"/>
      <c r="C37" s="53"/>
      <c r="D37" s="53"/>
      <c r="E37" s="53"/>
    </row>
    <row r="38" spans="1:9" s="55" customFormat="1" ht="21.75" x14ac:dyDescent="0.25">
      <c r="A38" s="56"/>
      <c r="B38" s="57"/>
      <c r="C38" s="57"/>
      <c r="D38" s="59"/>
      <c r="E38" s="59"/>
    </row>
    <row r="39" spans="1:9" s="55" customFormat="1" ht="40.5" customHeight="1" x14ac:dyDescent="0.25">
      <c r="A39" s="63" t="s">
        <v>14</v>
      </c>
      <c r="B39" s="291" t="s">
        <v>5</v>
      </c>
      <c r="C39" s="292"/>
      <c r="D39" s="71" t="s">
        <v>16</v>
      </c>
      <c r="E39" s="59"/>
    </row>
    <row r="40" spans="1:9" s="55" customFormat="1" ht="26.25" customHeight="1" x14ac:dyDescent="0.25">
      <c r="A40" s="70" t="s">
        <v>255</v>
      </c>
      <c r="B40" s="62">
        <v>15</v>
      </c>
      <c r="C40" s="62" t="s">
        <v>6</v>
      </c>
      <c r="D40" s="89">
        <f>B40*DADOS_INICIAIS!E9</f>
        <v>83642.55</v>
      </c>
      <c r="E40" s="102"/>
    </row>
    <row r="41" spans="1:9" s="55" customFormat="1" ht="21.75" x14ac:dyDescent="0.25">
      <c r="A41" s="286" t="s">
        <v>17</v>
      </c>
      <c r="B41" s="286"/>
      <c r="C41" s="286"/>
      <c r="D41" s="90">
        <f>SUM(D40:D40)</f>
        <v>83642.55</v>
      </c>
      <c r="E41" s="103"/>
    </row>
    <row r="42" spans="1:9" x14ac:dyDescent="0.25">
      <c r="D42" s="107"/>
      <c r="E42" s="107"/>
      <c r="I42" s="47"/>
    </row>
    <row r="43" spans="1:9" ht="23.25" customHeight="1" x14ac:dyDescent="0.25">
      <c r="A43" s="283" t="s">
        <v>254</v>
      </c>
      <c r="B43" s="284"/>
      <c r="C43" s="285"/>
      <c r="D43" s="108">
        <f>D12+D21+D35+D41</f>
        <v>1161762.2920000001</v>
      </c>
      <c r="E43" s="108">
        <f>D43/DADOS_INICIAIS!E9</f>
        <v>208.3441308281491</v>
      </c>
    </row>
  </sheetData>
  <mergeCells count="10">
    <mergeCell ref="A35:C35"/>
    <mergeCell ref="A43:C43"/>
    <mergeCell ref="B39:C39"/>
    <mergeCell ref="A41:C41"/>
    <mergeCell ref="A2:E2"/>
    <mergeCell ref="A12:C12"/>
    <mergeCell ref="A13:C13"/>
    <mergeCell ref="B16:C16"/>
    <mergeCell ref="A21:C21"/>
    <mergeCell ref="A22:C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dimension ref="A1:L43"/>
  <sheetViews>
    <sheetView showGridLines="0" topLeftCell="A7" zoomScale="80" zoomScaleNormal="80" zoomScaleSheetLayoutView="95" workbookViewId="0">
      <selection activeCell="F18" sqref="F18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4.28515625" style="55" bestFit="1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87" t="s">
        <v>225</v>
      </c>
      <c r="B3" s="295"/>
      <c r="C3" s="295"/>
      <c r="D3" s="288"/>
      <c r="E3" s="288"/>
      <c r="F3" s="288"/>
      <c r="G3" s="288"/>
      <c r="H3" s="289"/>
      <c r="J3" s="79"/>
    </row>
    <row r="4" spans="1:10" ht="19.5" x14ac:dyDescent="0.25">
      <c r="A4" s="182" t="s">
        <v>185</v>
      </c>
      <c r="B4" s="188">
        <v>45471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292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225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91" t="s">
        <v>5</v>
      </c>
      <c r="C9" s="292"/>
      <c r="D9" s="291" t="s">
        <v>18</v>
      </c>
      <c r="E9" s="292"/>
      <c r="F9" s="65" t="s">
        <v>118</v>
      </c>
      <c r="G9" s="71" t="s">
        <v>16</v>
      </c>
      <c r="H9" s="90" t="s">
        <v>294</v>
      </c>
    </row>
    <row r="10" spans="1:10" ht="21.75" x14ac:dyDescent="0.25">
      <c r="A10" s="66" t="s">
        <v>224</v>
      </c>
      <c r="B10" s="62">
        <v>25</v>
      </c>
      <c r="C10" s="62" t="s">
        <v>170</v>
      </c>
      <c r="D10" s="67">
        <f>D15+D16+D17</f>
        <v>1999.1981999999998</v>
      </c>
      <c r="E10" s="67" t="s">
        <v>2</v>
      </c>
      <c r="F10" s="88">
        <f>5+20</f>
        <v>25</v>
      </c>
      <c r="G10" s="89">
        <f t="shared" ref="G10:G18" si="0">F10*D10*1.1</f>
        <v>54977.950499999999</v>
      </c>
      <c r="H10" s="67"/>
    </row>
    <row r="11" spans="1:10" ht="21.75" x14ac:dyDescent="0.25">
      <c r="A11" s="66" t="s">
        <v>217</v>
      </c>
      <c r="B11" s="62">
        <v>28</v>
      </c>
      <c r="C11" s="62" t="s">
        <v>170</v>
      </c>
      <c r="D11" s="67">
        <f>D17+D16</f>
        <v>326.34719999999999</v>
      </c>
      <c r="E11" s="67" t="s">
        <v>2</v>
      </c>
      <c r="F11" s="88">
        <v>28</v>
      </c>
      <c r="G11" s="89">
        <f t="shared" ref="G11" si="1">F11*D11*1.1</f>
        <v>10051.493759999999</v>
      </c>
      <c r="H11" s="67"/>
      <c r="J11" s="191"/>
    </row>
    <row r="12" spans="1:10" ht="21.75" x14ac:dyDescent="0.25">
      <c r="A12" s="78" t="s">
        <v>223</v>
      </c>
      <c r="B12" s="62">
        <v>45</v>
      </c>
      <c r="C12" s="62" t="s">
        <v>170</v>
      </c>
      <c r="D12" s="67">
        <f>(1.8*1.8*2)+(1.8*4)*1.8*2</f>
        <v>32.400000000000006</v>
      </c>
      <c r="E12" s="67" t="s">
        <v>2</v>
      </c>
      <c r="F12" s="88">
        <v>41</v>
      </c>
      <c r="G12" s="89">
        <f t="shared" si="0"/>
        <v>1461.2400000000005</v>
      </c>
      <c r="H12" s="67"/>
    </row>
    <row r="13" spans="1:10" ht="21.75" x14ac:dyDescent="0.25">
      <c r="A13" s="78" t="s">
        <v>222</v>
      </c>
      <c r="B13" s="62">
        <v>30</v>
      </c>
      <c r="C13" s="62" t="s">
        <v>170</v>
      </c>
      <c r="D13" s="67">
        <f>INFRAESTRUTURA!D28</f>
        <v>526.95580000000007</v>
      </c>
      <c r="E13" s="67" t="s">
        <v>2</v>
      </c>
      <c r="F13" s="88">
        <v>45</v>
      </c>
      <c r="G13" s="89">
        <f t="shared" si="0"/>
        <v>26084.312100000003</v>
      </c>
      <c r="H13" s="67"/>
    </row>
    <row r="14" spans="1:10" ht="21.75" x14ac:dyDescent="0.25">
      <c r="A14" s="66" t="s">
        <v>221</v>
      </c>
      <c r="B14" s="62">
        <v>2</v>
      </c>
      <c r="C14" s="62" t="s">
        <v>6</v>
      </c>
      <c r="D14" s="67">
        <v>1</v>
      </c>
      <c r="E14" s="67" t="s">
        <v>27</v>
      </c>
      <c r="F14" s="88">
        <f>B14*DADOS_INICIAIS!$E$9</f>
        <v>11152.34</v>
      </c>
      <c r="G14" s="89">
        <f t="shared" si="0"/>
        <v>12267.574000000001</v>
      </c>
      <c r="H14" s="67" t="e">
        <f>G14/I14</f>
        <v>#DIV/0!</v>
      </c>
    </row>
    <row r="15" spans="1:10" ht="21.75" x14ac:dyDescent="0.25">
      <c r="A15" s="66" t="s">
        <v>220</v>
      </c>
      <c r="B15" s="62">
        <v>0.3</v>
      </c>
      <c r="C15" s="62" t="s">
        <v>37</v>
      </c>
      <c r="D15" s="67">
        <f>B15*DADOS_INICIAIS!E9</f>
        <v>1672.8509999999999</v>
      </c>
      <c r="E15" s="67" t="s">
        <v>2</v>
      </c>
      <c r="F15" s="88">
        <f>40+30</f>
        <v>70</v>
      </c>
      <c r="G15" s="89">
        <f t="shared" si="0"/>
        <v>128809.527</v>
      </c>
      <c r="H15" s="67"/>
      <c r="J15" s="191"/>
    </row>
    <row r="16" spans="1:10" ht="21.75" x14ac:dyDescent="0.25">
      <c r="A16" s="66" t="s">
        <v>219</v>
      </c>
      <c r="B16" s="62">
        <f>D16/DADOS_INICIAIS!E9</f>
        <v>4.955860384457432E-2</v>
      </c>
      <c r="C16" s="62" t="s">
        <v>37</v>
      </c>
      <c r="D16" s="67">
        <f>'PISO E TETO'!I64+'PISO E TETO'!I38+'PISO E TETO'!I41+'PISO E TETO'!I42+'PISO E TETO'!I43</f>
        <v>276.34719999999999</v>
      </c>
      <c r="E16" s="67" t="s">
        <v>2</v>
      </c>
      <c r="F16" s="88">
        <v>150</v>
      </c>
      <c r="G16" s="89">
        <f t="shared" si="0"/>
        <v>45597.288</v>
      </c>
      <c r="H16" s="67" t="s">
        <v>443</v>
      </c>
      <c r="J16" s="191"/>
    </row>
    <row r="17" spans="1:12" ht="43.5" x14ac:dyDescent="0.25">
      <c r="A17" s="66" t="s">
        <v>389</v>
      </c>
      <c r="B17" s="62"/>
      <c r="C17" s="62" t="s">
        <v>37</v>
      </c>
      <c r="D17" s="67">
        <v>50</v>
      </c>
      <c r="E17" s="67" t="s">
        <v>2</v>
      </c>
      <c r="F17" s="88">
        <v>150</v>
      </c>
      <c r="G17" s="89">
        <f t="shared" ref="G17" si="2">F17*D17*1.1</f>
        <v>8250</v>
      </c>
      <c r="H17" s="67"/>
      <c r="J17" s="191"/>
    </row>
    <row r="18" spans="1:12" ht="21.75" x14ac:dyDescent="0.25">
      <c r="A18" s="66" t="s">
        <v>218</v>
      </c>
      <c r="B18" s="62">
        <v>1.3</v>
      </c>
      <c r="C18" s="62" t="s">
        <v>6</v>
      </c>
      <c r="D18" s="67">
        <v>1</v>
      </c>
      <c r="E18" s="67" t="s">
        <v>27</v>
      </c>
      <c r="F18" s="88">
        <f>B18*DADOS_INICIAIS!$E$9</f>
        <v>7249.0210000000006</v>
      </c>
      <c r="G18" s="89">
        <f t="shared" si="0"/>
        <v>7973.9231000000018</v>
      </c>
      <c r="H18" s="67" t="e">
        <f>G18/I18</f>
        <v>#DIV/0!</v>
      </c>
    </row>
    <row r="19" spans="1:12" ht="21.75" x14ac:dyDescent="0.25">
      <c r="A19" s="286" t="s">
        <v>17</v>
      </c>
      <c r="B19" s="286"/>
      <c r="C19" s="286"/>
      <c r="D19" s="286"/>
      <c r="E19" s="286"/>
      <c r="F19" s="286"/>
      <c r="G19" s="90">
        <f>SUM(G10:G18)</f>
        <v>295473.30845999997</v>
      </c>
      <c r="H19" s="90"/>
      <c r="K19" s="55">
        <f>4160+1440+1120+2880+4800+91680+4000</f>
        <v>110080</v>
      </c>
      <c r="L19" s="55">
        <f>K19/21</f>
        <v>5241.9047619047615</v>
      </c>
    </row>
    <row r="21" spans="1:12" ht="21.75" x14ac:dyDescent="0.25">
      <c r="A21" s="296" t="s">
        <v>216</v>
      </c>
      <c r="B21" s="297"/>
      <c r="C21" s="297"/>
      <c r="D21" s="297"/>
      <c r="E21" s="297"/>
      <c r="F21" s="298"/>
      <c r="G21" s="91">
        <f>G19</f>
        <v>295473.30845999997</v>
      </c>
      <c r="H21" s="91">
        <f>G21/DADOS_INICIAIS!E9</f>
        <v>52.988576112277777</v>
      </c>
    </row>
    <row r="24" spans="1:12" x14ac:dyDescent="0.25">
      <c r="H24" s="191">
        <f>H21/1.1</f>
        <v>48.171432829343431</v>
      </c>
    </row>
    <row r="25" spans="1:12" x14ac:dyDescent="0.25">
      <c r="C25" s="55">
        <f>3.36*(141*2+10)</f>
        <v>981.12</v>
      </c>
      <c r="E25" s="277">
        <f>((3.03+4.23+2.8)*2+(3.15+3.06+3.75)*2)*8+(4.1+1.05+2+4.4+17.13+22.88+3.25+4.25+4.1)+(3.42+3.84+3.25)*2</f>
        <v>404.5</v>
      </c>
    </row>
    <row r="26" spans="1:12" x14ac:dyDescent="0.25">
      <c r="C26" s="55">
        <f>1.5*2.1*(141*2+10)</f>
        <v>919.80000000000007</v>
      </c>
      <c r="E26" s="277">
        <f>E25*1.3</f>
        <v>525.85</v>
      </c>
    </row>
    <row r="27" spans="1:12" x14ac:dyDescent="0.25">
      <c r="C27" s="55">
        <f>C25+C26</f>
        <v>1900.92</v>
      </c>
      <c r="D27" s="81" t="s">
        <v>374</v>
      </c>
    </row>
    <row r="28" spans="1:12" x14ac:dyDescent="0.25">
      <c r="C28" s="55">
        <f>4*1.5*56</f>
        <v>336</v>
      </c>
      <c r="D28" s="81" t="s">
        <v>375</v>
      </c>
    </row>
    <row r="31" spans="1:12" ht="21.75" x14ac:dyDescent="0.25">
      <c r="A31" s="52" t="s">
        <v>225</v>
      </c>
      <c r="B31" s="52"/>
      <c r="C31" s="52"/>
      <c r="D31" s="53"/>
      <c r="E31" s="53"/>
      <c r="F31" s="54"/>
      <c r="G31" s="53"/>
      <c r="H31" s="53"/>
    </row>
    <row r="32" spans="1:12" ht="21.75" x14ac:dyDescent="0.25">
      <c r="A32" s="56"/>
      <c r="B32" s="56"/>
      <c r="C32" s="56"/>
      <c r="D32" s="57"/>
      <c r="E32" s="57"/>
      <c r="F32" s="58"/>
      <c r="G32" s="59"/>
      <c r="H32" s="59"/>
    </row>
    <row r="33" spans="1:12" ht="42" customHeight="1" x14ac:dyDescent="0.25">
      <c r="A33" s="63" t="s">
        <v>14</v>
      </c>
      <c r="B33" s="291" t="s">
        <v>5</v>
      </c>
      <c r="C33" s="292"/>
      <c r="D33" s="291" t="s">
        <v>18</v>
      </c>
      <c r="E33" s="292"/>
      <c r="F33" s="65" t="s">
        <v>118</v>
      </c>
      <c r="G33" s="71" t="s">
        <v>16</v>
      </c>
      <c r="H33" s="90" t="s">
        <v>294</v>
      </c>
    </row>
    <row r="34" spans="1:12" ht="21.75" x14ac:dyDescent="0.25">
      <c r="A34" s="66" t="s">
        <v>224</v>
      </c>
      <c r="B34" s="62">
        <v>25</v>
      </c>
      <c r="C34" s="62" t="s">
        <v>170</v>
      </c>
      <c r="D34" s="67">
        <v>6235.3760000000002</v>
      </c>
      <c r="E34" s="67" t="s">
        <v>2</v>
      </c>
      <c r="F34" s="88">
        <f>5+20</f>
        <v>25</v>
      </c>
      <c r="G34" s="89">
        <f t="shared" ref="G34:G42" si="3">F34*D34*1.1</f>
        <v>171472.84</v>
      </c>
      <c r="H34" s="67"/>
    </row>
    <row r="35" spans="1:12" ht="21.75" x14ac:dyDescent="0.25">
      <c r="A35" s="78" t="s">
        <v>223</v>
      </c>
      <c r="B35" s="62">
        <v>45</v>
      </c>
      <c r="C35" s="62" t="s">
        <v>170</v>
      </c>
      <c r="D35" s="67">
        <v>37.805999999999997</v>
      </c>
      <c r="E35" s="67" t="s">
        <v>2</v>
      </c>
      <c r="F35" s="88">
        <f>41</f>
        <v>41</v>
      </c>
      <c r="G35" s="89">
        <f t="shared" si="3"/>
        <v>1705.0506</v>
      </c>
      <c r="H35" s="67"/>
    </row>
    <row r="36" spans="1:12" ht="21.75" x14ac:dyDescent="0.25">
      <c r="A36" s="78" t="s">
        <v>222</v>
      </c>
      <c r="B36" s="62">
        <v>30</v>
      </c>
      <c r="C36" s="62" t="s">
        <v>170</v>
      </c>
      <c r="D36" s="67">
        <v>1131.0624</v>
      </c>
      <c r="E36" s="67" t="s">
        <v>2</v>
      </c>
      <c r="F36" s="88">
        <f>15+38</f>
        <v>53</v>
      </c>
      <c r="G36" s="89">
        <f t="shared" si="3"/>
        <v>65940.937920000011</v>
      </c>
      <c r="H36" s="67"/>
    </row>
    <row r="37" spans="1:12" ht="21.75" x14ac:dyDescent="0.25">
      <c r="A37" s="66" t="s">
        <v>221</v>
      </c>
      <c r="B37" s="62">
        <v>1</v>
      </c>
      <c r="C37" s="62" t="s">
        <v>6</v>
      </c>
      <c r="D37" s="67">
        <v>1</v>
      </c>
      <c r="E37" s="67" t="s">
        <v>27</v>
      </c>
      <c r="F37" s="88">
        <f>B37*DADOS_INICIAIS!$E$9</f>
        <v>5576.17</v>
      </c>
      <c r="G37" s="89">
        <f t="shared" si="3"/>
        <v>6133.7870000000003</v>
      </c>
      <c r="H37" s="67" t="e">
        <f>G37/I37</f>
        <v>#DIV/0!</v>
      </c>
    </row>
    <row r="38" spans="1:12" ht="21.75" x14ac:dyDescent="0.25">
      <c r="A38" s="66" t="s">
        <v>220</v>
      </c>
      <c r="B38" s="62">
        <v>0.3</v>
      </c>
      <c r="C38" s="62" t="s">
        <v>37</v>
      </c>
      <c r="D38" s="67">
        <v>3944.3339999999998</v>
      </c>
      <c r="E38" s="67" t="s">
        <v>2</v>
      </c>
      <c r="F38" s="88">
        <f>40+30</f>
        <v>70</v>
      </c>
      <c r="G38" s="89">
        <f t="shared" si="3"/>
        <v>303713.71800000005</v>
      </c>
      <c r="H38" s="67"/>
      <c r="J38" s="191"/>
    </row>
    <row r="39" spans="1:12" ht="21.75" x14ac:dyDescent="0.25">
      <c r="A39" s="66" t="s">
        <v>219</v>
      </c>
      <c r="B39" s="62">
        <f>D39/DADOS_INICIAIS!E33</f>
        <v>2.967335252806957</v>
      </c>
      <c r="C39" s="62" t="s">
        <v>37</v>
      </c>
      <c r="D39" s="67">
        <v>2291.0420000000004</v>
      </c>
      <c r="E39" s="67" t="s">
        <v>2</v>
      </c>
      <c r="F39" s="88">
        <f>50+48</f>
        <v>98</v>
      </c>
      <c r="G39" s="89">
        <f t="shared" si="3"/>
        <v>246974.32760000005</v>
      </c>
      <c r="H39" s="67"/>
      <c r="J39" s="191"/>
    </row>
    <row r="40" spans="1:12" ht="43.5" x14ac:dyDescent="0.25">
      <c r="A40" s="66" t="s">
        <v>389</v>
      </c>
      <c r="B40" s="62"/>
      <c r="C40" s="62" t="s">
        <v>37</v>
      </c>
      <c r="D40" s="67"/>
      <c r="E40" s="67" t="s">
        <v>2</v>
      </c>
      <c r="F40" s="88">
        <f>50+48</f>
        <v>98</v>
      </c>
      <c r="G40" s="89">
        <f t="shared" si="3"/>
        <v>0</v>
      </c>
      <c r="H40" s="67"/>
      <c r="J40" s="191"/>
    </row>
    <row r="41" spans="1:12" ht="21.75" x14ac:dyDescent="0.25">
      <c r="A41" s="66" t="s">
        <v>218</v>
      </c>
      <c r="B41" s="62">
        <v>1.2</v>
      </c>
      <c r="C41" s="62" t="s">
        <v>6</v>
      </c>
      <c r="D41" s="67">
        <v>1</v>
      </c>
      <c r="E41" s="67" t="s">
        <v>27</v>
      </c>
      <c r="F41" s="88">
        <f>B41*DADOS_INICIAIS!$E$9</f>
        <v>6691.4039999999995</v>
      </c>
      <c r="G41" s="89">
        <f t="shared" si="3"/>
        <v>7360.5443999999998</v>
      </c>
      <c r="H41" s="67" t="e">
        <f>G41/I41</f>
        <v>#DIV/0!</v>
      </c>
    </row>
    <row r="42" spans="1:12" ht="21.75" x14ac:dyDescent="0.25">
      <c r="A42" s="66" t="s">
        <v>217</v>
      </c>
      <c r="B42" s="62">
        <v>28</v>
      </c>
      <c r="C42" s="62" t="s">
        <v>170</v>
      </c>
      <c r="D42" s="67">
        <v>2291.0420000000004</v>
      </c>
      <c r="E42" s="67" t="s">
        <v>2</v>
      </c>
      <c r="F42" s="88">
        <f>35+22</f>
        <v>57</v>
      </c>
      <c r="G42" s="89">
        <f t="shared" si="3"/>
        <v>143648.33340000003</v>
      </c>
      <c r="H42" s="67"/>
      <c r="J42" s="191"/>
    </row>
    <row r="43" spans="1:12" ht="21.75" x14ac:dyDescent="0.25">
      <c r="A43" s="286" t="s">
        <v>17</v>
      </c>
      <c r="B43" s="286"/>
      <c r="C43" s="286"/>
      <c r="D43" s="286"/>
      <c r="E43" s="286"/>
      <c r="F43" s="286"/>
      <c r="G43" s="90">
        <f>SUM(G34:G42)</f>
        <v>946949.5389200002</v>
      </c>
      <c r="H43" s="90"/>
      <c r="K43" s="55">
        <f>4160+1440+1120+2880+4800+91680+4000</f>
        <v>110080</v>
      </c>
      <c r="L43" s="55">
        <f>K43/21</f>
        <v>5241.9047619047615</v>
      </c>
    </row>
  </sheetData>
  <mergeCells count="8">
    <mergeCell ref="B33:C33"/>
    <mergeCell ref="D33:E33"/>
    <mergeCell ref="A43:F43"/>
    <mergeCell ref="A21:F21"/>
    <mergeCell ref="A3:H3"/>
    <mergeCell ref="B9:C9"/>
    <mergeCell ref="D9:E9"/>
    <mergeCell ref="A19:F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F055-F5DB-4C7C-8016-472086DE0C1F}">
  <sheetPr>
    <tabColor rgb="FF003C66"/>
  </sheetPr>
  <dimension ref="A1:Y880"/>
  <sheetViews>
    <sheetView topLeftCell="A21" zoomScaleNormal="100" workbookViewId="0">
      <selection activeCell="E35" sqref="E35"/>
    </sheetView>
  </sheetViews>
  <sheetFormatPr defaultColWidth="14.42578125" defaultRowHeight="15" customHeight="1" x14ac:dyDescent="0.25"/>
  <cols>
    <col min="1" max="1" width="12.28515625" style="202" customWidth="1"/>
    <col min="2" max="2" width="20" style="202" customWidth="1"/>
    <col min="3" max="3" width="31" style="202" customWidth="1"/>
    <col min="4" max="4" width="13.42578125" style="202" customWidth="1"/>
    <col min="5" max="5" width="31.140625" style="202" customWidth="1"/>
    <col min="6" max="7" width="21.140625" style="202" customWidth="1"/>
    <col min="8" max="9" width="8.7109375" style="202" customWidth="1"/>
    <col min="10" max="10" width="8.85546875" style="202" customWidth="1"/>
    <col min="11" max="11" width="32.5703125" style="202" customWidth="1"/>
    <col min="12" max="13" width="20.7109375" style="202" customWidth="1"/>
    <col min="14" max="14" width="16.42578125" style="202" customWidth="1"/>
    <col min="15" max="15" width="8.85546875" style="202" customWidth="1"/>
    <col min="16" max="25" width="8.7109375" style="202" customWidth="1"/>
    <col min="26" max="16384" width="14.42578125" style="202"/>
  </cols>
  <sheetData>
    <row r="1" spans="1:25" ht="15" customHeight="1" x14ac:dyDescent="0.25">
      <c r="A1" s="232" t="s">
        <v>0</v>
      </c>
      <c r="B1" s="231" t="str">
        <f>DADOS_INICIAIS!B1</f>
        <v>Viva Perequê Residencial</v>
      </c>
      <c r="C1" s="230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03"/>
      <c r="O1" s="228"/>
    </row>
    <row r="2" spans="1:25" ht="15" customHeight="1" x14ac:dyDescent="0.25">
      <c r="A2" s="227" t="s">
        <v>117</v>
      </c>
      <c r="B2" s="231" t="str">
        <f>DADOS_INICIAIS!B2</f>
        <v>Ferazzo e Correa Incorporadora</v>
      </c>
      <c r="C2" s="223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03"/>
      <c r="O2" s="204"/>
    </row>
    <row r="3" spans="1:25" ht="15" customHeight="1" x14ac:dyDescent="0.25">
      <c r="A3" s="227" t="s">
        <v>1</v>
      </c>
      <c r="B3" s="226" t="s">
        <v>184</v>
      </c>
      <c r="C3" s="223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03"/>
      <c r="O3" s="204"/>
    </row>
    <row r="4" spans="1:25" ht="15" customHeight="1" x14ac:dyDescent="0.25">
      <c r="A4" s="224" t="s">
        <v>185</v>
      </c>
      <c r="B4" s="248">
        <v>45825</v>
      </c>
      <c r="C4" s="223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03"/>
      <c r="O4" s="204"/>
    </row>
    <row r="5" spans="1:25" ht="26.25" customHeight="1" x14ac:dyDescent="0.25">
      <c r="A5" s="299" t="s">
        <v>359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1"/>
    </row>
    <row r="6" spans="1:25" ht="14.25" customHeight="1" x14ac:dyDescent="0.25">
      <c r="A6" s="210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4"/>
    </row>
    <row r="7" spans="1:25" ht="26.25" customHeight="1" x14ac:dyDescent="0.25">
      <c r="A7" s="302" t="s">
        <v>370</v>
      </c>
      <c r="B7" s="300"/>
      <c r="C7" s="300"/>
      <c r="D7" s="300"/>
      <c r="E7" s="300"/>
      <c r="F7" s="300"/>
      <c r="G7" s="300"/>
      <c r="H7" s="300"/>
      <c r="I7" s="300"/>
      <c r="J7" s="300"/>
      <c r="K7" s="300"/>
      <c r="L7" s="300"/>
      <c r="M7" s="300"/>
      <c r="N7" s="300"/>
      <c r="O7" s="301"/>
    </row>
    <row r="8" spans="1:25" ht="14.25" customHeight="1" thickBot="1" x14ac:dyDescent="0.3">
      <c r="A8" s="210"/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4"/>
      <c r="P8" s="203"/>
      <c r="Q8" s="203"/>
      <c r="R8" s="203"/>
      <c r="S8" s="203"/>
      <c r="T8" s="203"/>
      <c r="U8" s="203"/>
      <c r="V8" s="203"/>
      <c r="W8" s="203"/>
      <c r="X8" s="203"/>
      <c r="Y8" s="203"/>
    </row>
    <row r="9" spans="1:25" ht="14.25" customHeight="1" thickBot="1" x14ac:dyDescent="0.3">
      <c r="A9" s="210"/>
      <c r="B9" s="303" t="s">
        <v>358</v>
      </c>
      <c r="C9" s="304"/>
      <c r="D9" s="304"/>
      <c r="E9" s="304"/>
      <c r="F9" s="304"/>
      <c r="G9" s="304"/>
      <c r="H9" s="304"/>
      <c r="I9" s="305"/>
      <c r="J9" s="203"/>
      <c r="K9" s="203"/>
      <c r="L9" s="303" t="s">
        <v>357</v>
      </c>
      <c r="M9" s="305"/>
      <c r="N9" s="203"/>
      <c r="O9" s="204"/>
    </row>
    <row r="10" spans="1:25" ht="14.25" customHeight="1" x14ac:dyDescent="0.45">
      <c r="A10" s="210"/>
      <c r="B10" s="215" t="s">
        <v>356</v>
      </c>
      <c r="C10" s="220" t="s">
        <v>355</v>
      </c>
      <c r="D10" s="220" t="s">
        <v>354</v>
      </c>
      <c r="E10" s="220" t="s">
        <v>348</v>
      </c>
      <c r="F10" s="221" t="s">
        <v>353</v>
      </c>
      <c r="G10" s="221" t="s">
        <v>368</v>
      </c>
      <c r="H10" s="220" t="s">
        <v>352</v>
      </c>
      <c r="I10" s="214" t="s">
        <v>351</v>
      </c>
      <c r="J10" s="203"/>
      <c r="K10" s="203"/>
      <c r="L10" s="215" t="s">
        <v>350</v>
      </c>
      <c r="M10" s="214" t="s">
        <v>347</v>
      </c>
      <c r="N10" s="203"/>
      <c r="O10" s="204"/>
    </row>
    <row r="11" spans="1:25" ht="14.25" customHeight="1" x14ac:dyDescent="0.25">
      <c r="A11" s="210"/>
      <c r="B11" s="219" t="s">
        <v>199</v>
      </c>
      <c r="C11" s="218" t="s">
        <v>401</v>
      </c>
      <c r="D11" s="218">
        <v>197.13</v>
      </c>
      <c r="E11" s="208" t="s">
        <v>410</v>
      </c>
      <c r="F11" s="208" t="s">
        <v>342</v>
      </c>
      <c r="G11" s="208" t="s">
        <v>369</v>
      </c>
      <c r="H11" s="217">
        <v>1</v>
      </c>
      <c r="I11" s="216">
        <f>H11*Table_2[[#This Row],[Área (m²)]]</f>
        <v>197.13</v>
      </c>
      <c r="J11" s="203"/>
      <c r="K11" s="203"/>
      <c r="L11" s="213" t="s">
        <v>193</v>
      </c>
      <c r="M11" s="212">
        <f>SUMIF(F:F,"Sim",I:I)</f>
        <v>3430.9879999999994</v>
      </c>
      <c r="N11" s="203"/>
      <c r="O11" s="204"/>
    </row>
    <row r="12" spans="1:25" ht="14.25" customHeight="1" thickBot="1" x14ac:dyDescent="0.3">
      <c r="A12" s="210"/>
      <c r="B12" s="209" t="s">
        <v>199</v>
      </c>
      <c r="C12" s="208" t="s">
        <v>402</v>
      </c>
      <c r="D12" s="208">
        <v>102.85</v>
      </c>
      <c r="E12" s="208" t="s">
        <v>410</v>
      </c>
      <c r="F12" s="208" t="s">
        <v>342</v>
      </c>
      <c r="G12" s="208" t="s">
        <v>369</v>
      </c>
      <c r="H12" s="207">
        <v>1</v>
      </c>
      <c r="I12" s="211">
        <f>H12*Table_2[[#This Row],[Área (m²)]]</f>
        <v>102.85</v>
      </c>
      <c r="J12" s="203"/>
      <c r="K12" s="203"/>
      <c r="L12" s="206" t="s">
        <v>192</v>
      </c>
      <c r="M12" s="211">
        <f>SUMIF(F31:F57,"Sim",I31:I57)</f>
        <v>3071.6379999999999</v>
      </c>
      <c r="N12" s="203"/>
      <c r="O12" s="204"/>
    </row>
    <row r="13" spans="1:25" ht="14.25" customHeight="1" thickBot="1" x14ac:dyDescent="0.3">
      <c r="A13" s="210"/>
      <c r="B13" s="209" t="s">
        <v>199</v>
      </c>
      <c r="C13" s="208" t="s">
        <v>403</v>
      </c>
      <c r="D13" s="208">
        <f>3.36+3.36+2.34+2.34</f>
        <v>11.399999999999999</v>
      </c>
      <c r="E13" s="208" t="s">
        <v>410</v>
      </c>
      <c r="F13" s="208" t="s">
        <v>342</v>
      </c>
      <c r="G13" s="208" t="s">
        <v>369</v>
      </c>
      <c r="H13" s="207">
        <v>1</v>
      </c>
      <c r="I13" s="211">
        <f>H13*Table_2[[#This Row],[Área (m²)]]</f>
        <v>11.399999999999999</v>
      </c>
      <c r="J13" s="203"/>
      <c r="K13" s="203"/>
      <c r="L13" s="303" t="s">
        <v>371</v>
      </c>
      <c r="M13" s="305"/>
      <c r="N13" s="203"/>
      <c r="O13" s="204"/>
    </row>
    <row r="14" spans="1:25" ht="14.25" customHeight="1" x14ac:dyDescent="0.25">
      <c r="A14" s="210"/>
      <c r="B14" s="209" t="s">
        <v>199</v>
      </c>
      <c r="C14" s="208" t="s">
        <v>407</v>
      </c>
      <c r="D14" s="208">
        <v>4.07</v>
      </c>
      <c r="E14" s="208" t="s">
        <v>410</v>
      </c>
      <c r="F14" s="208" t="s">
        <v>342</v>
      </c>
      <c r="G14" s="208" t="s">
        <v>196</v>
      </c>
      <c r="H14" s="207">
        <v>1</v>
      </c>
      <c r="I14" s="211">
        <f>H14*Table_2[[#This Row],[Área (m²)]]</f>
        <v>4.07</v>
      </c>
      <c r="J14" s="203"/>
      <c r="K14" s="203"/>
      <c r="L14" s="215" t="s">
        <v>350</v>
      </c>
      <c r="M14" s="214" t="s">
        <v>347</v>
      </c>
      <c r="N14" s="203"/>
      <c r="O14" s="204"/>
    </row>
    <row r="15" spans="1:25" ht="14.25" customHeight="1" x14ac:dyDescent="0.25">
      <c r="A15" s="210"/>
      <c r="B15" s="209" t="s">
        <v>199</v>
      </c>
      <c r="C15" s="208" t="s">
        <v>408</v>
      </c>
      <c r="D15" s="208">
        <v>3.74</v>
      </c>
      <c r="E15" s="208" t="s">
        <v>335</v>
      </c>
      <c r="F15" s="208" t="s">
        <v>341</v>
      </c>
      <c r="G15" s="208" t="s">
        <v>196</v>
      </c>
      <c r="H15" s="207">
        <v>1</v>
      </c>
      <c r="I15" s="211">
        <f>H15*Table_2[[#This Row],[Área (m²)]]</f>
        <v>3.74</v>
      </c>
      <c r="J15" s="203"/>
      <c r="K15" s="203"/>
      <c r="L15" s="213" t="s">
        <v>196</v>
      </c>
      <c r="M15" s="212">
        <f>SUMIF(G:G,L15,I:I)</f>
        <v>2546.7505191000009</v>
      </c>
      <c r="N15" s="203"/>
      <c r="O15" s="204"/>
    </row>
    <row r="16" spans="1:25" ht="14.25" customHeight="1" x14ac:dyDescent="0.25">
      <c r="A16" s="210"/>
      <c r="B16" s="209" t="s">
        <v>199</v>
      </c>
      <c r="C16" s="208" t="s">
        <v>409</v>
      </c>
      <c r="D16" s="208">
        <v>38.28</v>
      </c>
      <c r="E16" s="208" t="s">
        <v>410</v>
      </c>
      <c r="F16" s="208" t="s">
        <v>342</v>
      </c>
      <c r="G16" s="208" t="s">
        <v>369</v>
      </c>
      <c r="H16" s="207">
        <v>1</v>
      </c>
      <c r="I16" s="211">
        <f>H16*Table_2[[#This Row],[Área (m²)]]</f>
        <v>38.28</v>
      </c>
      <c r="J16" s="203"/>
      <c r="K16" s="203"/>
      <c r="L16" s="206" t="s">
        <v>369</v>
      </c>
      <c r="M16" s="212">
        <f>SUMIF(G:G,L16,I:I)</f>
        <v>3155.42</v>
      </c>
      <c r="N16" s="203"/>
      <c r="O16" s="204"/>
    </row>
    <row r="17" spans="1:15" ht="14.25" customHeight="1" x14ac:dyDescent="0.25">
      <c r="A17" s="210"/>
      <c r="B17" s="209" t="s">
        <v>199</v>
      </c>
      <c r="C17" s="208" t="s">
        <v>457</v>
      </c>
      <c r="D17" s="208">
        <v>4.32</v>
      </c>
      <c r="E17" s="208" t="s">
        <v>335</v>
      </c>
      <c r="F17" s="208" t="s">
        <v>341</v>
      </c>
      <c r="G17" s="208" t="s">
        <v>196</v>
      </c>
      <c r="H17" s="207">
        <v>1</v>
      </c>
      <c r="I17" s="211">
        <f>H17*Table_2[[#This Row],[Área (m²)]]</f>
        <v>4.32</v>
      </c>
      <c r="J17" s="203"/>
      <c r="K17" s="203"/>
      <c r="L17" s="206" t="s">
        <v>210</v>
      </c>
      <c r="M17" s="212">
        <f>SUMIF(G:G,L17,I:I)</f>
        <v>650.85519999999997</v>
      </c>
      <c r="N17" s="203"/>
      <c r="O17" s="204"/>
    </row>
    <row r="18" spans="1:15" ht="14.25" customHeight="1" x14ac:dyDescent="0.25">
      <c r="A18" s="210"/>
      <c r="B18" s="209" t="s">
        <v>199</v>
      </c>
      <c r="C18" s="208" t="s">
        <v>460</v>
      </c>
      <c r="D18" s="208">
        <v>3.54</v>
      </c>
      <c r="E18" s="208" t="s">
        <v>335</v>
      </c>
      <c r="F18" s="208" t="s">
        <v>341</v>
      </c>
      <c r="G18" s="208" t="s">
        <v>196</v>
      </c>
      <c r="H18" s="207">
        <v>1</v>
      </c>
      <c r="I18" s="211">
        <f>H18*Table_2[[#This Row],[Área (m²)]]</f>
        <v>3.54</v>
      </c>
      <c r="J18" s="203"/>
      <c r="K18" s="203"/>
      <c r="L18" s="206"/>
      <c r="M18" s="212"/>
      <c r="N18" s="203"/>
      <c r="O18" s="204"/>
    </row>
    <row r="19" spans="1:15" ht="14.25" customHeight="1" x14ac:dyDescent="0.25">
      <c r="A19" s="210"/>
      <c r="B19" s="209" t="s">
        <v>199</v>
      </c>
      <c r="C19" s="208" t="s">
        <v>458</v>
      </c>
      <c r="D19" s="249">
        <f>15.95+1.35*22*0.18</f>
        <v>21.295999999999999</v>
      </c>
      <c r="E19" s="208" t="s">
        <v>335</v>
      </c>
      <c r="F19" s="208" t="s">
        <v>341</v>
      </c>
      <c r="G19" s="208" t="s">
        <v>196</v>
      </c>
      <c r="H19" s="207">
        <v>1</v>
      </c>
      <c r="I19" s="211">
        <f>H19*Table_2[[#This Row],[Área (m²)]]</f>
        <v>21.295999999999999</v>
      </c>
      <c r="J19" s="203"/>
      <c r="K19" s="203"/>
      <c r="L19" s="206"/>
      <c r="M19" s="212"/>
      <c r="N19" s="203"/>
      <c r="O19" s="204"/>
    </row>
    <row r="20" spans="1:15" ht="14.25" customHeight="1" thickBot="1" x14ac:dyDescent="0.3">
      <c r="A20" s="210"/>
      <c r="B20" s="209" t="s">
        <v>199</v>
      </c>
      <c r="C20" s="208" t="s">
        <v>459</v>
      </c>
      <c r="D20" s="249">
        <f>102.62*1.2+3.8*4*1.0315+6*4*1.1783</f>
        <v>167.102</v>
      </c>
      <c r="E20" s="208" t="s">
        <v>462</v>
      </c>
      <c r="F20" s="208" t="s">
        <v>341</v>
      </c>
      <c r="G20" s="208" t="s">
        <v>196</v>
      </c>
      <c r="H20" s="207">
        <v>1</v>
      </c>
      <c r="I20" s="211">
        <f>H20*Table_2[[#This Row],[Área (m²)]]</f>
        <v>167.102</v>
      </c>
      <c r="J20" s="203"/>
      <c r="K20" s="203"/>
      <c r="L20" s="241"/>
      <c r="M20" s="242"/>
      <c r="N20" s="203"/>
      <c r="O20" s="204"/>
    </row>
    <row r="21" spans="1:15" ht="14.25" customHeight="1" thickBot="1" x14ac:dyDescent="0.3">
      <c r="A21" s="210"/>
      <c r="B21" s="209" t="s">
        <v>199</v>
      </c>
      <c r="C21" s="208" t="s">
        <v>405</v>
      </c>
      <c r="D21" s="208">
        <f>24*1.5</f>
        <v>36</v>
      </c>
      <c r="E21" s="208" t="s">
        <v>404</v>
      </c>
      <c r="F21" s="208" t="s">
        <v>341</v>
      </c>
      <c r="G21" s="208" t="s">
        <v>369</v>
      </c>
      <c r="H21" s="207">
        <v>1</v>
      </c>
      <c r="I21" s="211">
        <f>H21*Table_2[[#This Row],[Área (m²)]]</f>
        <v>36</v>
      </c>
      <c r="J21" s="203"/>
      <c r="K21" s="203"/>
      <c r="L21" s="303" t="s">
        <v>349</v>
      </c>
      <c r="M21" s="305"/>
      <c r="N21" s="203"/>
      <c r="O21" s="204"/>
    </row>
    <row r="22" spans="1:15" ht="14.25" customHeight="1" x14ac:dyDescent="0.25">
      <c r="A22" s="210"/>
      <c r="B22" s="209" t="s">
        <v>199</v>
      </c>
      <c r="C22" s="208" t="s">
        <v>406</v>
      </c>
      <c r="D22" s="208">
        <f>24*(4-1.5)</f>
        <v>60</v>
      </c>
      <c r="E22" s="208" t="s">
        <v>404</v>
      </c>
      <c r="F22" s="208" t="s">
        <v>341</v>
      </c>
      <c r="G22" s="208" t="s">
        <v>210</v>
      </c>
      <c r="H22" s="207">
        <v>1</v>
      </c>
      <c r="I22" s="211">
        <f>H22*Table_2[[#This Row],[Área (m²)]]</f>
        <v>60</v>
      </c>
      <c r="J22" s="203"/>
      <c r="K22" s="203"/>
      <c r="L22" s="215" t="s">
        <v>348</v>
      </c>
      <c r="M22" s="214" t="s">
        <v>347</v>
      </c>
      <c r="N22" s="203"/>
      <c r="O22" s="204"/>
    </row>
    <row r="23" spans="1:15" ht="14.25" customHeight="1" x14ac:dyDescent="0.25">
      <c r="A23" s="210"/>
      <c r="B23" s="209" t="s">
        <v>463</v>
      </c>
      <c r="C23" s="208" t="s">
        <v>464</v>
      </c>
      <c r="D23" s="208">
        <f>346.34+12.5*10</f>
        <v>471.34</v>
      </c>
      <c r="E23" s="208" t="s">
        <v>461</v>
      </c>
      <c r="F23" s="208" t="s">
        <v>341</v>
      </c>
      <c r="G23" s="208" t="s">
        <v>196</v>
      </c>
      <c r="H23" s="207">
        <v>2</v>
      </c>
      <c r="I23" s="211">
        <f>H23*Table_2[[#This Row],[Área (m²)]]</f>
        <v>942.68</v>
      </c>
      <c r="J23" s="203"/>
      <c r="K23" s="203"/>
      <c r="L23" s="213" t="s">
        <v>410</v>
      </c>
      <c r="M23" s="237">
        <f t="shared" ref="M23:M30" si="0">SUMIF(E:E,L23,I:I)</f>
        <v>2367.21</v>
      </c>
      <c r="N23" s="203"/>
      <c r="O23" s="204"/>
    </row>
    <row r="24" spans="1:15" ht="14.25" customHeight="1" x14ac:dyDescent="0.25">
      <c r="A24" s="210"/>
      <c r="B24" s="209" t="s">
        <v>463</v>
      </c>
      <c r="C24" s="208" t="s">
        <v>460</v>
      </c>
      <c r="D24" s="208">
        <v>4.6100000000000003</v>
      </c>
      <c r="E24" s="208" t="s">
        <v>335</v>
      </c>
      <c r="F24" s="208" t="s">
        <v>341</v>
      </c>
      <c r="G24" s="208" t="s">
        <v>196</v>
      </c>
      <c r="H24" s="207">
        <v>2</v>
      </c>
      <c r="I24" s="211">
        <f>H24*Table_2[[#This Row],[Área (m²)]]</f>
        <v>9.2200000000000006</v>
      </c>
      <c r="J24" s="203"/>
      <c r="K24" s="203"/>
      <c r="L24" s="206" t="s">
        <v>335</v>
      </c>
      <c r="M24" s="237">
        <f t="shared" si="0"/>
        <v>598.19600000000003</v>
      </c>
      <c r="N24" s="203"/>
      <c r="O24" s="204"/>
    </row>
    <row r="25" spans="1:15" ht="14.25" customHeight="1" x14ac:dyDescent="0.25">
      <c r="A25" s="210"/>
      <c r="B25" s="209" t="s">
        <v>463</v>
      </c>
      <c r="C25" s="208" t="s">
        <v>458</v>
      </c>
      <c r="D25" s="249">
        <f>15.95+1.35*22*0.18</f>
        <v>21.295999999999999</v>
      </c>
      <c r="E25" s="208" t="s">
        <v>335</v>
      </c>
      <c r="F25" s="208" t="s">
        <v>341</v>
      </c>
      <c r="G25" s="208" t="s">
        <v>196</v>
      </c>
      <c r="H25" s="207">
        <v>2</v>
      </c>
      <c r="I25" s="211">
        <f>H25*Table_2[[#This Row],[Área (m²)]]</f>
        <v>42.591999999999999</v>
      </c>
      <c r="J25" s="203"/>
      <c r="K25" s="203"/>
      <c r="L25" s="206" t="s">
        <v>462</v>
      </c>
      <c r="M25" s="237">
        <f t="shared" si="0"/>
        <v>676.56451909999987</v>
      </c>
      <c r="N25" s="203"/>
      <c r="O25" s="204"/>
    </row>
    <row r="26" spans="1:15" ht="14.25" customHeight="1" x14ac:dyDescent="0.25">
      <c r="A26" s="210"/>
      <c r="B26" s="209" t="s">
        <v>463</v>
      </c>
      <c r="C26" s="208" t="s">
        <v>459</v>
      </c>
      <c r="D26" s="249">
        <f>3.69*4.1*1.0813+(12.2+15.7)*4.1*1.2+3.8*4.1*1.0394</f>
        <v>169.82083969999996</v>
      </c>
      <c r="E26" s="208" t="s">
        <v>462</v>
      </c>
      <c r="F26" s="208" t="s">
        <v>341</v>
      </c>
      <c r="G26" s="208" t="s">
        <v>196</v>
      </c>
      <c r="H26" s="207">
        <v>2</v>
      </c>
      <c r="I26" s="211">
        <f>H26*Table_2[[#This Row],[Área (m²)]]</f>
        <v>339.64167939999993</v>
      </c>
      <c r="J26" s="203"/>
      <c r="K26" s="203"/>
      <c r="L26" s="206" t="s">
        <v>404</v>
      </c>
      <c r="M26" s="237">
        <f t="shared" si="0"/>
        <v>96</v>
      </c>
      <c r="N26" s="203"/>
      <c r="O26" s="204"/>
    </row>
    <row r="27" spans="1:15" ht="14.25" customHeight="1" x14ac:dyDescent="0.25">
      <c r="A27" s="210"/>
      <c r="B27" s="209" t="s">
        <v>414</v>
      </c>
      <c r="C27" s="208" t="s">
        <v>464</v>
      </c>
      <c r="D27" s="208">
        <f>346.34+12.5+12*12+21.6</f>
        <v>524.43999999999994</v>
      </c>
      <c r="E27" s="208" t="s">
        <v>461</v>
      </c>
      <c r="F27" s="208" t="s">
        <v>341</v>
      </c>
      <c r="G27" s="208" t="s">
        <v>196</v>
      </c>
      <c r="H27" s="207">
        <v>1</v>
      </c>
      <c r="I27" s="211">
        <f>H27*Table_2[[#This Row],[Área (m²)]]</f>
        <v>524.43999999999994</v>
      </c>
      <c r="J27" s="203"/>
      <c r="K27" s="203"/>
      <c r="L27" s="275" t="s">
        <v>461</v>
      </c>
      <c r="M27" s="276">
        <f t="shared" si="0"/>
        <v>1467.12</v>
      </c>
      <c r="N27" s="203"/>
      <c r="O27" s="204"/>
    </row>
    <row r="28" spans="1:15" ht="14.25" customHeight="1" x14ac:dyDescent="0.25">
      <c r="A28" s="210"/>
      <c r="B28" s="209" t="s">
        <v>414</v>
      </c>
      <c r="C28" s="208" t="s">
        <v>460</v>
      </c>
      <c r="D28" s="208">
        <v>4.6100000000000003</v>
      </c>
      <c r="E28" s="208" t="s">
        <v>335</v>
      </c>
      <c r="F28" s="208" t="s">
        <v>341</v>
      </c>
      <c r="G28" s="208" t="s">
        <v>196</v>
      </c>
      <c r="H28" s="207">
        <v>1</v>
      </c>
      <c r="I28" s="211">
        <f>H28*Table_2[[#This Row],[Área (m²)]]</f>
        <v>4.6100000000000003</v>
      </c>
      <c r="J28" s="203"/>
      <c r="K28" s="203"/>
      <c r="L28" s="275" t="s">
        <v>366</v>
      </c>
      <c r="M28" s="276">
        <f t="shared" si="0"/>
        <v>914.94</v>
      </c>
      <c r="N28" s="203"/>
      <c r="O28" s="204"/>
    </row>
    <row r="29" spans="1:15" ht="14.25" customHeight="1" x14ac:dyDescent="0.25">
      <c r="A29" s="210"/>
      <c r="B29" s="209" t="s">
        <v>414</v>
      </c>
      <c r="C29" s="208" t="s">
        <v>458</v>
      </c>
      <c r="D29" s="249">
        <f>17.02+1.35*16*0.18</f>
        <v>20.908000000000001</v>
      </c>
      <c r="E29" s="208" t="s">
        <v>335</v>
      </c>
      <c r="F29" s="208" t="s">
        <v>341</v>
      </c>
      <c r="G29" s="208" t="s">
        <v>196</v>
      </c>
      <c r="H29" s="207">
        <v>1</v>
      </c>
      <c r="I29" s="211">
        <f>H29*Table_2[[#This Row],[Área (m²)]]</f>
        <v>20.908000000000001</v>
      </c>
      <c r="J29" s="203"/>
      <c r="K29" s="203"/>
      <c r="L29" s="275" t="s">
        <v>470</v>
      </c>
      <c r="M29" s="276">
        <f t="shared" si="0"/>
        <v>72.12</v>
      </c>
      <c r="N29" s="203"/>
      <c r="O29" s="204"/>
    </row>
    <row r="30" spans="1:15" ht="14.25" customHeight="1" x14ac:dyDescent="0.25">
      <c r="A30" s="210"/>
      <c r="B30" s="209" t="s">
        <v>414</v>
      </c>
      <c r="C30" s="208" t="s">
        <v>459</v>
      </c>
      <c r="D30" s="249">
        <f>3.69*4.1*1.0813+(12.2+15.7)*4.1*1.2+3.8*4.1*1.0394</f>
        <v>169.82083969999996</v>
      </c>
      <c r="E30" s="208" t="s">
        <v>462</v>
      </c>
      <c r="F30" s="208" t="s">
        <v>341</v>
      </c>
      <c r="G30" s="208" t="s">
        <v>196</v>
      </c>
      <c r="H30" s="207">
        <v>1</v>
      </c>
      <c r="I30" s="211">
        <f>H30*Table_2[[#This Row],[Área (m²)]]</f>
        <v>169.82083969999996</v>
      </c>
      <c r="J30" s="203"/>
      <c r="K30" s="203"/>
      <c r="L30" s="275" t="s">
        <v>210</v>
      </c>
      <c r="M30" s="276">
        <f t="shared" si="0"/>
        <v>84.157200000000003</v>
      </c>
      <c r="N30" s="203"/>
      <c r="O30" s="204"/>
    </row>
    <row r="31" spans="1:15" ht="14.25" customHeight="1" x14ac:dyDescent="0.25">
      <c r="A31" s="210"/>
      <c r="B31" s="209" t="s">
        <v>465</v>
      </c>
      <c r="C31" s="208" t="s">
        <v>460</v>
      </c>
      <c r="D31" s="208">
        <v>4.6100000000000003</v>
      </c>
      <c r="E31" s="208" t="s">
        <v>335</v>
      </c>
      <c r="F31" s="208" t="s">
        <v>341</v>
      </c>
      <c r="G31" s="208" t="s">
        <v>196</v>
      </c>
      <c r="H31" s="207">
        <v>1</v>
      </c>
      <c r="I31" s="211">
        <f>H31*Table_2[[#This Row],[Área (m²)]]</f>
        <v>4.6100000000000003</v>
      </c>
      <c r="J31" s="203"/>
      <c r="K31" s="203"/>
      <c r="L31" s="206" t="s">
        <v>517</v>
      </c>
      <c r="M31" s="276">
        <f t="shared" ref="M31:M32" si="1">SUMIF(E:E,L31,I:I)</f>
        <v>30</v>
      </c>
      <c r="N31" s="203"/>
      <c r="O31" s="204"/>
    </row>
    <row r="32" spans="1:15" ht="14.25" customHeight="1" x14ac:dyDescent="0.25">
      <c r="A32" s="210"/>
      <c r="B32" s="209" t="s">
        <v>465</v>
      </c>
      <c r="C32" s="208" t="s">
        <v>458</v>
      </c>
      <c r="D32" s="249">
        <f>15.9+1.35*20*0.18</f>
        <v>20.759999999999998</v>
      </c>
      <c r="E32" s="208" t="s">
        <v>335</v>
      </c>
      <c r="F32" s="208" t="s">
        <v>341</v>
      </c>
      <c r="G32" s="208" t="s">
        <v>196</v>
      </c>
      <c r="H32" s="207">
        <v>1</v>
      </c>
      <c r="I32" s="211">
        <f>H32*Table_2[[#This Row],[Área (m²)]]</f>
        <v>20.759999999999998</v>
      </c>
      <c r="J32" s="203"/>
      <c r="K32" s="203"/>
      <c r="L32" s="206" t="s">
        <v>518</v>
      </c>
      <c r="M32" s="276">
        <f t="shared" si="1"/>
        <v>46.717999999999996</v>
      </c>
      <c r="N32" s="203"/>
      <c r="O32" s="204"/>
    </row>
    <row r="33" spans="1:15" ht="14.25" customHeight="1" x14ac:dyDescent="0.25">
      <c r="A33" s="210"/>
      <c r="B33" s="209" t="s">
        <v>465</v>
      </c>
      <c r="C33" s="208" t="s">
        <v>343</v>
      </c>
      <c r="D33" s="208">
        <v>22.05</v>
      </c>
      <c r="E33" s="208" t="s">
        <v>410</v>
      </c>
      <c r="F33" s="208" t="s">
        <v>342</v>
      </c>
      <c r="G33" s="208" t="s">
        <v>369</v>
      </c>
      <c r="H33" s="207">
        <v>1</v>
      </c>
      <c r="I33" s="211">
        <f>H33*Table_2[[#This Row],[Área (m²)]]</f>
        <v>22.05</v>
      </c>
      <c r="J33" s="203"/>
      <c r="K33" s="203"/>
      <c r="L33" s="273"/>
      <c r="M33" s="276"/>
      <c r="N33" s="203"/>
      <c r="O33" s="204"/>
    </row>
    <row r="34" spans="1:15" ht="14.25" customHeight="1" x14ac:dyDescent="0.25">
      <c r="A34" s="210"/>
      <c r="B34" s="209" t="s">
        <v>465</v>
      </c>
      <c r="C34" s="208" t="s">
        <v>466</v>
      </c>
      <c r="D34" s="249">
        <v>53.87</v>
      </c>
      <c r="E34" s="208" t="s">
        <v>410</v>
      </c>
      <c r="F34" s="208" t="s">
        <v>342</v>
      </c>
      <c r="G34" s="208" t="s">
        <v>369</v>
      </c>
      <c r="H34" s="207">
        <v>1</v>
      </c>
      <c r="I34" s="211">
        <f>H34*Table_2[[#This Row],[Área (m²)]]</f>
        <v>53.87</v>
      </c>
      <c r="J34" s="203"/>
      <c r="K34" s="203"/>
      <c r="L34" s="206"/>
      <c r="M34" s="237"/>
      <c r="N34" s="203"/>
      <c r="O34" s="204"/>
    </row>
    <row r="35" spans="1:15" ht="14.25" customHeight="1" x14ac:dyDescent="0.25">
      <c r="A35" s="210"/>
      <c r="B35" s="209" t="s">
        <v>465</v>
      </c>
      <c r="C35" s="208" t="s">
        <v>467</v>
      </c>
      <c r="D35" s="208">
        <v>22.91</v>
      </c>
      <c r="E35" s="208" t="s">
        <v>366</v>
      </c>
      <c r="F35" s="208" t="s">
        <v>342</v>
      </c>
      <c r="G35" s="208" t="s">
        <v>369</v>
      </c>
      <c r="H35" s="207">
        <v>1</v>
      </c>
      <c r="I35" s="211">
        <f>H35*Table_2[[#This Row],[Área (m²)]]</f>
        <v>22.91</v>
      </c>
      <c r="J35" s="203"/>
      <c r="K35" s="203"/>
      <c r="L35" s="206"/>
      <c r="M35" s="237"/>
      <c r="N35" s="203"/>
      <c r="O35" s="204"/>
    </row>
    <row r="36" spans="1:15" ht="14.25" customHeight="1" x14ac:dyDescent="0.25">
      <c r="A36" s="210"/>
      <c r="B36" s="209" t="s">
        <v>465</v>
      </c>
      <c r="C36" s="208" t="s">
        <v>345</v>
      </c>
      <c r="D36" s="208">
        <v>16.52</v>
      </c>
      <c r="E36" s="208" t="s">
        <v>366</v>
      </c>
      <c r="F36" s="208" t="s">
        <v>342</v>
      </c>
      <c r="G36" s="208" t="s">
        <v>369</v>
      </c>
      <c r="H36" s="207">
        <v>1</v>
      </c>
      <c r="I36" s="211">
        <f>H36*Table_2[[#This Row],[Área (m²)]]</f>
        <v>16.52</v>
      </c>
      <c r="J36" s="203"/>
      <c r="K36" s="203"/>
      <c r="L36" s="206"/>
      <c r="M36" s="237"/>
      <c r="N36" s="203"/>
      <c r="O36" s="204"/>
    </row>
    <row r="37" spans="1:15" ht="14.25" customHeight="1" x14ac:dyDescent="0.25">
      <c r="A37" s="210"/>
      <c r="B37" s="209" t="s">
        <v>465</v>
      </c>
      <c r="C37" s="208" t="s">
        <v>413</v>
      </c>
      <c r="D37" s="208">
        <f>2.4+3.82</f>
        <v>6.22</v>
      </c>
      <c r="E37" s="208" t="s">
        <v>410</v>
      </c>
      <c r="F37" s="208" t="s">
        <v>342</v>
      </c>
      <c r="G37" s="208" t="s">
        <v>369</v>
      </c>
      <c r="H37" s="207">
        <v>1</v>
      </c>
      <c r="I37" s="211">
        <f>H37*Table_2[[#This Row],[Área (m²)]]</f>
        <v>6.22</v>
      </c>
      <c r="J37" s="203"/>
      <c r="K37" s="203"/>
      <c r="L37" s="206"/>
      <c r="M37" s="237"/>
      <c r="N37" s="203"/>
      <c r="O37" s="204"/>
    </row>
    <row r="38" spans="1:15" ht="14.25" customHeight="1" x14ac:dyDescent="0.25">
      <c r="A38" s="210"/>
      <c r="B38" s="209" t="s">
        <v>465</v>
      </c>
      <c r="C38" s="208" t="s">
        <v>468</v>
      </c>
      <c r="D38" s="208">
        <v>103.6</v>
      </c>
      <c r="E38" s="208" t="s">
        <v>410</v>
      </c>
      <c r="F38" s="208" t="s">
        <v>342</v>
      </c>
      <c r="G38" s="208" t="s">
        <v>210</v>
      </c>
      <c r="H38" s="207">
        <v>1</v>
      </c>
      <c r="I38" s="211">
        <f>H38*Table_2[[#This Row],[Área (m²)]]</f>
        <v>103.6</v>
      </c>
      <c r="J38" s="203"/>
      <c r="K38" s="203"/>
      <c r="L38" s="206"/>
      <c r="M38" s="237"/>
      <c r="N38" s="203"/>
      <c r="O38" s="204"/>
    </row>
    <row r="39" spans="1:15" ht="14.25" customHeight="1" x14ac:dyDescent="0.25">
      <c r="A39" s="210"/>
      <c r="B39" s="209" t="s">
        <v>465</v>
      </c>
      <c r="C39" s="208" t="s">
        <v>516</v>
      </c>
      <c r="D39" s="208">
        <f>30</f>
        <v>30</v>
      </c>
      <c r="E39" s="208" t="s">
        <v>517</v>
      </c>
      <c r="F39" s="208" t="s">
        <v>342</v>
      </c>
      <c r="G39" s="208" t="s">
        <v>210</v>
      </c>
      <c r="H39" s="207">
        <v>1</v>
      </c>
      <c r="I39" s="211">
        <f>H39*Table_2[[#This Row],[Área (m²)]]</f>
        <v>30</v>
      </c>
      <c r="J39" s="203"/>
      <c r="K39" s="203"/>
      <c r="L39" s="206"/>
      <c r="M39" s="237"/>
      <c r="N39" s="203"/>
      <c r="O39" s="204"/>
    </row>
    <row r="40" spans="1:15" ht="14.25" customHeight="1" x14ac:dyDescent="0.25">
      <c r="A40" s="210"/>
      <c r="B40" s="209" t="s">
        <v>465</v>
      </c>
      <c r="C40" s="208" t="s">
        <v>518</v>
      </c>
      <c r="D40" s="208">
        <f>(24-10.84)*3.55</f>
        <v>46.717999999999996</v>
      </c>
      <c r="E40" s="208" t="s">
        <v>518</v>
      </c>
      <c r="F40" s="208" t="s">
        <v>342</v>
      </c>
      <c r="G40" s="208" t="s">
        <v>210</v>
      </c>
      <c r="H40" s="207">
        <v>1</v>
      </c>
      <c r="I40" s="211">
        <f>H40*Table_2[[#This Row],[Área (m²)]]</f>
        <v>46.717999999999996</v>
      </c>
      <c r="J40" s="203"/>
      <c r="K40" s="203"/>
      <c r="L40" s="206"/>
      <c r="M40" s="237"/>
      <c r="N40" s="203"/>
      <c r="O40" s="204"/>
    </row>
    <row r="41" spans="1:15" ht="14.25" customHeight="1" x14ac:dyDescent="0.25">
      <c r="A41" s="210"/>
      <c r="B41" s="209" t="s">
        <v>465</v>
      </c>
      <c r="C41" s="208" t="s">
        <v>469</v>
      </c>
      <c r="D41" s="249">
        <f>10.8</f>
        <v>10.8</v>
      </c>
      <c r="E41" s="208" t="s">
        <v>470</v>
      </c>
      <c r="F41" s="208" t="s">
        <v>342</v>
      </c>
      <c r="G41" s="208" t="s">
        <v>210</v>
      </c>
      <c r="H41" s="207">
        <v>1</v>
      </c>
      <c r="I41" s="211">
        <f>H41*Table_2[[#This Row],[Área (m²)]]</f>
        <v>10.8</v>
      </c>
      <c r="J41" s="203"/>
      <c r="K41" s="203"/>
      <c r="L41" s="206"/>
      <c r="M41" s="237"/>
      <c r="N41" s="203"/>
      <c r="O41" s="204"/>
    </row>
    <row r="42" spans="1:15" ht="14.25" customHeight="1" x14ac:dyDescent="0.25">
      <c r="A42" s="210"/>
      <c r="B42" s="209" t="s">
        <v>465</v>
      </c>
      <c r="C42" s="208" t="s">
        <v>344</v>
      </c>
      <c r="D42" s="208">
        <f>11.21+16.54+(3.55*2+4.79*2+2.85*2)*1.5</f>
        <v>61.32</v>
      </c>
      <c r="E42" s="208" t="s">
        <v>470</v>
      </c>
      <c r="F42" s="208" t="s">
        <v>342</v>
      </c>
      <c r="G42" s="208" t="s">
        <v>210</v>
      </c>
      <c r="H42" s="207">
        <v>1</v>
      </c>
      <c r="I42" s="211">
        <f>H42*Table_2[[#This Row],[Área (m²)]]</f>
        <v>61.32</v>
      </c>
      <c r="J42" s="203"/>
      <c r="K42" s="203"/>
      <c r="L42" s="206"/>
      <c r="M42" s="205"/>
      <c r="N42" s="203"/>
      <c r="O42" s="204"/>
    </row>
    <row r="43" spans="1:15" ht="14.25" customHeight="1" x14ac:dyDescent="0.25">
      <c r="A43" s="210"/>
      <c r="B43" s="209" t="s">
        <v>465</v>
      </c>
      <c r="C43" s="208" t="s">
        <v>471</v>
      </c>
      <c r="D43" s="208">
        <v>27.53</v>
      </c>
      <c r="E43" s="208" t="s">
        <v>410</v>
      </c>
      <c r="F43" s="208" t="s">
        <v>342</v>
      </c>
      <c r="G43" s="208" t="s">
        <v>210</v>
      </c>
      <c r="H43" s="207">
        <v>2</v>
      </c>
      <c r="I43" s="211">
        <f>H43*Table_2[[#This Row],[Área (m²)]]</f>
        <v>55.06</v>
      </c>
      <c r="J43" s="203"/>
      <c r="K43" s="203"/>
      <c r="L43" s="206"/>
      <c r="M43" s="205"/>
      <c r="N43" s="203"/>
      <c r="O43" s="204"/>
    </row>
    <row r="44" spans="1:15" ht="14.25" customHeight="1" x14ac:dyDescent="0.25">
      <c r="A44" s="210"/>
      <c r="B44" s="209" t="s">
        <v>465</v>
      </c>
      <c r="C44" s="208" t="s">
        <v>472</v>
      </c>
      <c r="D44" s="208">
        <f>14.44+12.6</f>
        <v>27.04</v>
      </c>
      <c r="E44" s="208" t="s">
        <v>366</v>
      </c>
      <c r="F44" s="208" t="s">
        <v>342</v>
      </c>
      <c r="G44" s="208" t="s">
        <v>369</v>
      </c>
      <c r="H44" s="207">
        <v>2</v>
      </c>
      <c r="I44" s="211">
        <f>H44*Table_2[[#This Row],[Área (m²)]]</f>
        <v>54.08</v>
      </c>
      <c r="J44" s="203"/>
      <c r="K44" s="203"/>
      <c r="L44" s="206"/>
      <c r="M44" s="205"/>
      <c r="N44" s="203"/>
      <c r="O44" s="204"/>
    </row>
    <row r="45" spans="1:15" ht="14.25" customHeight="1" x14ac:dyDescent="0.25">
      <c r="A45" s="210"/>
      <c r="B45" s="209" t="s">
        <v>465</v>
      </c>
      <c r="C45" s="208" t="s">
        <v>473</v>
      </c>
      <c r="D45" s="208">
        <f>107.3-D44-D43</f>
        <v>52.72999999999999</v>
      </c>
      <c r="E45" s="208" t="s">
        <v>410</v>
      </c>
      <c r="F45" s="208" t="s">
        <v>342</v>
      </c>
      <c r="G45" s="208" t="s">
        <v>369</v>
      </c>
      <c r="H45" s="207">
        <v>2</v>
      </c>
      <c r="I45" s="211">
        <f>H45*Table_2[[#This Row],[Área (m²)]]</f>
        <v>105.45999999999998</v>
      </c>
      <c r="J45" s="203"/>
      <c r="K45" s="203"/>
      <c r="L45" s="206"/>
      <c r="M45" s="205"/>
      <c r="N45" s="203"/>
      <c r="O45" s="204"/>
    </row>
    <row r="46" spans="1:15" ht="14.25" customHeight="1" x14ac:dyDescent="0.25">
      <c r="A46" s="210"/>
      <c r="B46" s="209" t="s">
        <v>474</v>
      </c>
      <c r="C46" s="208" t="s">
        <v>460</v>
      </c>
      <c r="D46" s="208">
        <v>3.8</v>
      </c>
      <c r="E46" s="208" t="s">
        <v>335</v>
      </c>
      <c r="F46" s="208" t="s">
        <v>341</v>
      </c>
      <c r="G46" s="208" t="s">
        <v>196</v>
      </c>
      <c r="H46" s="207">
        <v>8</v>
      </c>
      <c r="I46" s="211">
        <f>H46*Table_2[[#This Row],[Área (m²)]]</f>
        <v>30.4</v>
      </c>
      <c r="J46" s="203"/>
      <c r="K46" s="203">
        <f>SUMIF(J11:J65,"LAZER",I11:I65)</f>
        <v>0</v>
      </c>
      <c r="L46" s="206"/>
      <c r="M46" s="205"/>
      <c r="N46" s="203"/>
      <c r="O46" s="204"/>
    </row>
    <row r="47" spans="1:15" ht="14.25" customHeight="1" x14ac:dyDescent="0.25">
      <c r="A47" s="210"/>
      <c r="B47" s="209" t="s">
        <v>474</v>
      </c>
      <c r="C47" s="208" t="s">
        <v>458</v>
      </c>
      <c r="D47" s="249">
        <f>15.95+1.35*18*0.18</f>
        <v>20.323999999999998</v>
      </c>
      <c r="E47" s="208" t="s">
        <v>335</v>
      </c>
      <c r="F47" s="208" t="s">
        <v>341</v>
      </c>
      <c r="G47" s="208" t="s">
        <v>196</v>
      </c>
      <c r="H47" s="207">
        <v>8</v>
      </c>
      <c r="I47" s="211">
        <f>H47*Table_2[[#This Row],[Área (m²)]]</f>
        <v>162.59199999999998</v>
      </c>
      <c r="J47" s="203"/>
      <c r="K47" s="203"/>
      <c r="L47" s="206"/>
      <c r="M47" s="205"/>
      <c r="N47" s="203"/>
      <c r="O47" s="204"/>
    </row>
    <row r="48" spans="1:15" ht="14.25" customHeight="1" x14ac:dyDescent="0.25">
      <c r="A48" s="210"/>
      <c r="B48" s="209" t="s">
        <v>474</v>
      </c>
      <c r="C48" s="208" t="s">
        <v>343</v>
      </c>
      <c r="D48" s="208">
        <v>9.4600000000000009</v>
      </c>
      <c r="E48" s="208" t="s">
        <v>410</v>
      </c>
      <c r="F48" s="208" t="s">
        <v>342</v>
      </c>
      <c r="G48" s="208" t="s">
        <v>369</v>
      </c>
      <c r="H48" s="207">
        <v>8</v>
      </c>
      <c r="I48" s="211">
        <f>H48*Table_2[[#This Row],[Área (m²)]]</f>
        <v>75.680000000000007</v>
      </c>
      <c r="J48" s="203"/>
      <c r="K48" s="203"/>
      <c r="L48" s="206"/>
      <c r="M48" s="205"/>
      <c r="N48" s="203"/>
      <c r="O48" s="204"/>
    </row>
    <row r="49" spans="1:15" ht="14.25" customHeight="1" x14ac:dyDescent="0.25">
      <c r="A49" s="210"/>
      <c r="B49" s="209" t="s">
        <v>474</v>
      </c>
      <c r="C49" s="208" t="s">
        <v>475</v>
      </c>
      <c r="D49" s="208">
        <f>13.48+11.57</f>
        <v>25.05</v>
      </c>
      <c r="E49" s="208" t="s">
        <v>366</v>
      </c>
      <c r="F49" s="208" t="s">
        <v>342</v>
      </c>
      <c r="G49" s="208" t="s">
        <v>369</v>
      </c>
      <c r="H49" s="207">
        <v>16</v>
      </c>
      <c r="I49" s="211">
        <f>H49*Table_2[[#This Row],[Área (m²)]]</f>
        <v>400.8</v>
      </c>
      <c r="J49" s="203"/>
      <c r="K49" s="203"/>
      <c r="L49" s="206"/>
      <c r="M49" s="205"/>
      <c r="N49" s="203"/>
      <c r="O49" s="204"/>
    </row>
    <row r="50" spans="1:15" ht="14.25" customHeight="1" x14ac:dyDescent="0.25">
      <c r="A50" s="210"/>
      <c r="B50" s="209" t="s">
        <v>474</v>
      </c>
      <c r="C50" s="208" t="s">
        <v>476</v>
      </c>
      <c r="D50" s="208">
        <f>70.87-D49</f>
        <v>45.820000000000007</v>
      </c>
      <c r="E50" s="208" t="s">
        <v>410</v>
      </c>
      <c r="F50" s="208" t="s">
        <v>342</v>
      </c>
      <c r="G50" s="208" t="s">
        <v>369</v>
      </c>
      <c r="H50" s="207">
        <v>16</v>
      </c>
      <c r="I50" s="211">
        <f>H50*Table_2[[#This Row],[Área (m²)]]</f>
        <v>733.12000000000012</v>
      </c>
      <c r="J50" s="203"/>
      <c r="K50" s="203"/>
      <c r="L50" s="206"/>
      <c r="M50" s="205"/>
      <c r="N50" s="203"/>
      <c r="O50" s="204"/>
    </row>
    <row r="51" spans="1:15" ht="14.25" customHeight="1" x14ac:dyDescent="0.25">
      <c r="A51" s="210"/>
      <c r="B51" s="209" t="s">
        <v>474</v>
      </c>
      <c r="C51" s="208" t="s">
        <v>477</v>
      </c>
      <c r="D51" s="208">
        <f>12.18+9.3</f>
        <v>21.48</v>
      </c>
      <c r="E51" s="208" t="s">
        <v>366</v>
      </c>
      <c r="F51" s="208" t="s">
        <v>342</v>
      </c>
      <c r="G51" s="208" t="s">
        <v>369</v>
      </c>
      <c r="H51" s="207">
        <v>16</v>
      </c>
      <c r="I51" s="211">
        <f>H51*Table_2[[#This Row],[Área (m²)]]</f>
        <v>343.68</v>
      </c>
      <c r="J51" s="203"/>
      <c r="K51" s="203"/>
      <c r="L51" s="206"/>
      <c r="M51" s="205"/>
      <c r="N51" s="203"/>
      <c r="O51" s="204"/>
    </row>
    <row r="52" spans="1:15" ht="14.25" customHeight="1" x14ac:dyDescent="0.25">
      <c r="A52" s="210"/>
      <c r="B52" s="209" t="s">
        <v>474</v>
      </c>
      <c r="C52" s="208" t="s">
        <v>478</v>
      </c>
      <c r="D52" s="208">
        <f>62.28-D51</f>
        <v>40.799999999999997</v>
      </c>
      <c r="E52" s="208" t="s">
        <v>410</v>
      </c>
      <c r="F52" s="208" t="s">
        <v>342</v>
      </c>
      <c r="G52" s="208" t="s">
        <v>369</v>
      </c>
      <c r="H52" s="207">
        <v>16</v>
      </c>
      <c r="I52" s="211">
        <f>H52*Table_2[[#This Row],[Área (m²)]]</f>
        <v>652.79999999999995</v>
      </c>
      <c r="J52" s="203"/>
      <c r="K52" s="203"/>
      <c r="L52" s="206"/>
      <c r="M52" s="205"/>
      <c r="N52" s="203"/>
      <c r="O52" s="204"/>
    </row>
    <row r="53" spans="1:15" ht="14.25" customHeight="1" x14ac:dyDescent="0.25">
      <c r="A53" s="210"/>
      <c r="B53" s="209" t="s">
        <v>479</v>
      </c>
      <c r="C53" s="208" t="s">
        <v>460</v>
      </c>
      <c r="D53" s="208">
        <v>3.8</v>
      </c>
      <c r="E53" s="208" t="s">
        <v>335</v>
      </c>
      <c r="F53" s="208" t="s">
        <v>341</v>
      </c>
      <c r="G53" s="208" t="s">
        <v>196</v>
      </c>
      <c r="H53" s="207">
        <v>1</v>
      </c>
      <c r="I53" s="211">
        <f>H53*Table_2[[#This Row],[Área (m²)]]</f>
        <v>3.8</v>
      </c>
      <c r="J53" s="203"/>
      <c r="K53" s="203"/>
      <c r="L53" s="206"/>
      <c r="M53" s="205"/>
      <c r="N53" s="203"/>
      <c r="O53" s="204"/>
    </row>
    <row r="54" spans="1:15" ht="14.25" customHeight="1" x14ac:dyDescent="0.25">
      <c r="A54" s="210"/>
      <c r="B54" s="209" t="s">
        <v>479</v>
      </c>
      <c r="C54" s="208" t="s">
        <v>458</v>
      </c>
      <c r="D54" s="249">
        <f>15.95+1.35*18*0.18</f>
        <v>20.323999999999998</v>
      </c>
      <c r="E54" s="208" t="s">
        <v>335</v>
      </c>
      <c r="F54" s="208" t="s">
        <v>341</v>
      </c>
      <c r="G54" s="208" t="s">
        <v>196</v>
      </c>
      <c r="H54" s="207">
        <v>1</v>
      </c>
      <c r="I54" s="211">
        <f>H54*Table_2[[#This Row],[Área (m²)]]</f>
        <v>20.323999999999998</v>
      </c>
      <c r="J54" s="203"/>
      <c r="K54" s="203"/>
      <c r="L54" s="206"/>
      <c r="M54" s="205"/>
      <c r="N54" s="203"/>
      <c r="O54" s="204"/>
    </row>
    <row r="55" spans="1:15" ht="14.25" customHeight="1" x14ac:dyDescent="0.25">
      <c r="A55" s="210"/>
      <c r="B55" s="209" t="s">
        <v>479</v>
      </c>
      <c r="C55" s="208" t="s">
        <v>343</v>
      </c>
      <c r="D55" s="208">
        <v>5.62</v>
      </c>
      <c r="E55" s="208" t="s">
        <v>410</v>
      </c>
      <c r="F55" s="208" t="s">
        <v>342</v>
      </c>
      <c r="G55" s="208" t="s">
        <v>369</v>
      </c>
      <c r="H55" s="207">
        <v>1</v>
      </c>
      <c r="I55" s="211">
        <f>H55*Table_2[[#This Row],[Área (m²)]]</f>
        <v>5.62</v>
      </c>
      <c r="J55" s="203"/>
      <c r="K55" s="203"/>
      <c r="L55" s="206"/>
      <c r="M55" s="205"/>
      <c r="N55" s="203"/>
      <c r="O55" s="204"/>
    </row>
    <row r="56" spans="1:15" ht="14.25" customHeight="1" x14ac:dyDescent="0.25">
      <c r="A56" s="210"/>
      <c r="B56" s="209" t="s">
        <v>479</v>
      </c>
      <c r="C56" s="208" t="s">
        <v>472</v>
      </c>
      <c r="D56" s="249">
        <f>19.3+13.92+19.3+13.92+10.51</f>
        <v>76.95</v>
      </c>
      <c r="E56" s="208" t="s">
        <v>366</v>
      </c>
      <c r="F56" s="208" t="s">
        <v>342</v>
      </c>
      <c r="G56" s="208" t="s">
        <v>369</v>
      </c>
      <c r="H56" s="207">
        <v>1</v>
      </c>
      <c r="I56" s="211">
        <f>H56*Table_2[[#This Row],[Área (m²)]]</f>
        <v>76.95</v>
      </c>
      <c r="J56" s="203"/>
      <c r="K56" s="203"/>
      <c r="L56" s="206"/>
      <c r="M56" s="205"/>
      <c r="N56" s="203"/>
      <c r="O56" s="204"/>
    </row>
    <row r="57" spans="1:15" ht="14.25" customHeight="1" x14ac:dyDescent="0.25">
      <c r="A57" s="210"/>
      <c r="B57" s="209" t="s">
        <v>479</v>
      </c>
      <c r="C57" s="208" t="s">
        <v>480</v>
      </c>
      <c r="D57" s="249">
        <f>123.51+147.82-D56</f>
        <v>194.38</v>
      </c>
      <c r="E57" s="208" t="s">
        <v>410</v>
      </c>
      <c r="F57" s="208" t="s">
        <v>342</v>
      </c>
      <c r="G57" s="208" t="s">
        <v>369</v>
      </c>
      <c r="H57" s="207">
        <v>1</v>
      </c>
      <c r="I57" s="211">
        <f>H57*Table_2[[#This Row],[Área (m²)]]</f>
        <v>194.38</v>
      </c>
      <c r="J57" s="203"/>
      <c r="K57" s="203"/>
      <c r="L57" s="206"/>
      <c r="M57" s="205"/>
      <c r="N57" s="203"/>
      <c r="O57" s="204"/>
    </row>
    <row r="58" spans="1:15" ht="14.25" customHeight="1" x14ac:dyDescent="0.25">
      <c r="A58" s="210"/>
      <c r="B58" s="209" t="s">
        <v>198</v>
      </c>
      <c r="C58" s="208" t="s">
        <v>460</v>
      </c>
      <c r="D58" s="208">
        <v>3.8</v>
      </c>
      <c r="E58" s="208" t="s">
        <v>335</v>
      </c>
      <c r="F58" s="208" t="s">
        <v>341</v>
      </c>
      <c r="G58" s="208" t="s">
        <v>196</v>
      </c>
      <c r="H58" s="207">
        <v>1</v>
      </c>
      <c r="I58" s="211">
        <f>H58*Table_2[[#This Row],[Área (m²)]]</f>
        <v>3.8</v>
      </c>
      <c r="J58" s="203"/>
      <c r="K58" s="203"/>
      <c r="L58" s="206"/>
      <c r="M58" s="205"/>
      <c r="N58" s="203"/>
      <c r="O58" s="204"/>
    </row>
    <row r="59" spans="1:15" ht="14.25" customHeight="1" x14ac:dyDescent="0.25">
      <c r="A59" s="210"/>
      <c r="B59" s="209" t="s">
        <v>198</v>
      </c>
      <c r="C59" s="208" t="s">
        <v>458</v>
      </c>
      <c r="D59" s="249">
        <f>15.95+1.35*18*0.18</f>
        <v>20.323999999999998</v>
      </c>
      <c r="E59" s="208" t="s">
        <v>335</v>
      </c>
      <c r="F59" s="208" t="s">
        <v>341</v>
      </c>
      <c r="G59" s="208" t="s">
        <v>196</v>
      </c>
      <c r="H59" s="207">
        <v>1</v>
      </c>
      <c r="I59" s="211">
        <f>H59*Table_2[[#This Row],[Área (m²)]]</f>
        <v>20.323999999999998</v>
      </c>
      <c r="J59" s="203"/>
      <c r="K59" s="203"/>
      <c r="L59" s="206"/>
      <c r="M59" s="205"/>
      <c r="N59" s="203"/>
      <c r="O59" s="204"/>
    </row>
    <row r="60" spans="1:15" ht="14.25" customHeight="1" x14ac:dyDescent="0.25">
      <c r="A60" s="210"/>
      <c r="B60" s="209" t="s">
        <v>198</v>
      </c>
      <c r="C60" s="208" t="s">
        <v>343</v>
      </c>
      <c r="D60" s="208">
        <v>5.62</v>
      </c>
      <c r="E60" s="208" t="s">
        <v>410</v>
      </c>
      <c r="F60" s="208" t="s">
        <v>342</v>
      </c>
      <c r="G60" s="208" t="s">
        <v>369</v>
      </c>
      <c r="H60" s="207">
        <v>1</v>
      </c>
      <c r="I60" s="211">
        <f>H60*Table_2[[#This Row],[Área (m²)]]</f>
        <v>5.62</v>
      </c>
      <c r="J60" s="203"/>
      <c r="K60" s="203"/>
      <c r="L60" s="206"/>
      <c r="M60" s="205"/>
      <c r="N60" s="203"/>
      <c r="O60" s="204"/>
    </row>
    <row r="61" spans="1:15" ht="14.25" customHeight="1" x14ac:dyDescent="0.25">
      <c r="A61" s="210"/>
      <c r="B61" s="209" t="s">
        <v>198</v>
      </c>
      <c r="C61" s="208" t="s">
        <v>481</v>
      </c>
      <c r="D61" s="208">
        <f>4.18+5.05+12.93</f>
        <v>22.16</v>
      </c>
      <c r="E61" s="208" t="s">
        <v>335</v>
      </c>
      <c r="F61" s="208" t="s">
        <v>341</v>
      </c>
      <c r="G61" s="208" t="s">
        <v>196</v>
      </c>
      <c r="H61" s="207">
        <v>1</v>
      </c>
      <c r="I61" s="211">
        <f>H61*Table_2[[#This Row],[Área (m²)]]</f>
        <v>22.16</v>
      </c>
      <c r="J61" s="203"/>
      <c r="K61" s="203"/>
      <c r="L61" s="206"/>
      <c r="M61" s="205"/>
      <c r="N61" s="203"/>
      <c r="O61" s="204"/>
    </row>
    <row r="62" spans="1:15" ht="14.25" customHeight="1" x14ac:dyDescent="0.25">
      <c r="A62" s="210"/>
      <c r="B62" s="209" t="s">
        <v>198</v>
      </c>
      <c r="C62" s="208" t="s">
        <v>482</v>
      </c>
      <c r="D62" s="208">
        <f>261.5-62.3</f>
        <v>199.2</v>
      </c>
      <c r="E62" s="208" t="s">
        <v>335</v>
      </c>
      <c r="F62" s="208" t="s">
        <v>341</v>
      </c>
      <c r="G62" s="208" t="s">
        <v>210</v>
      </c>
      <c r="H62" s="207">
        <v>1</v>
      </c>
      <c r="I62" s="211">
        <f>H62*Table_2[[#This Row],[Área (m²)]]</f>
        <v>199.2</v>
      </c>
      <c r="J62" s="203"/>
      <c r="K62" s="203"/>
      <c r="L62" s="206"/>
      <c r="M62" s="205"/>
      <c r="N62" s="203"/>
      <c r="O62" s="204"/>
    </row>
    <row r="63" spans="1:15" ht="14.25" customHeight="1" x14ac:dyDescent="0.25">
      <c r="A63" s="210"/>
      <c r="B63" s="209" t="s">
        <v>417</v>
      </c>
      <c r="C63" s="208" t="s">
        <v>346</v>
      </c>
      <c r="D63" s="208">
        <v>38.590000000000003</v>
      </c>
      <c r="E63" s="208" t="s">
        <v>210</v>
      </c>
      <c r="F63" s="208" t="s">
        <v>341</v>
      </c>
      <c r="G63" s="208" t="s">
        <v>210</v>
      </c>
      <c r="H63" s="207">
        <v>1</v>
      </c>
      <c r="I63" s="211">
        <f>H63*Table_2[[#This Row],[Área (m²)]]</f>
        <v>38.590000000000003</v>
      </c>
      <c r="J63" s="203"/>
      <c r="K63" s="203"/>
      <c r="L63" s="206"/>
      <c r="M63" s="205"/>
      <c r="N63" s="203"/>
      <c r="O63" s="204"/>
    </row>
    <row r="64" spans="1:15" ht="14.25" customHeight="1" x14ac:dyDescent="0.25">
      <c r="A64" s="210"/>
      <c r="B64" s="209" t="s">
        <v>346</v>
      </c>
      <c r="C64" s="208" t="s">
        <v>483</v>
      </c>
      <c r="D64" s="208">
        <f>4.12*11.06</f>
        <v>45.5672</v>
      </c>
      <c r="E64" s="208" t="s">
        <v>210</v>
      </c>
      <c r="F64" s="208" t="s">
        <v>341</v>
      </c>
      <c r="G64" s="208" t="s">
        <v>210</v>
      </c>
      <c r="H64" s="207">
        <v>1</v>
      </c>
      <c r="I64" s="211">
        <f>H64*Table_2[[#This Row],[Área (m²)]]</f>
        <v>45.5672</v>
      </c>
      <c r="J64" s="203"/>
      <c r="K64" s="203"/>
      <c r="L64" s="206"/>
      <c r="M64" s="205"/>
      <c r="N64" s="203"/>
      <c r="O64" s="204"/>
    </row>
    <row r="65" spans="1:15" ht="14.25" customHeight="1" x14ac:dyDescent="0.25">
      <c r="A65" s="210"/>
      <c r="B65" s="209"/>
      <c r="C65" s="208"/>
      <c r="D65" s="208"/>
      <c r="E65" s="208"/>
      <c r="F65" s="208"/>
      <c r="G65" s="208"/>
      <c r="H65" s="207">
        <v>1</v>
      </c>
      <c r="I65" s="211">
        <f>H65*Table_2[[#This Row],[Área (m²)]]</f>
        <v>0</v>
      </c>
      <c r="J65" s="203"/>
      <c r="K65" s="203"/>
      <c r="L65" s="206"/>
      <c r="M65" s="205"/>
      <c r="N65" s="203"/>
      <c r="O65" s="204"/>
    </row>
    <row r="66" spans="1:15" ht="14.25" customHeight="1" x14ac:dyDescent="0.25">
      <c r="A66" s="210"/>
      <c r="B66" s="209"/>
      <c r="C66" s="208"/>
      <c r="D66" s="208"/>
      <c r="E66" s="208"/>
      <c r="F66" s="208"/>
      <c r="G66" s="208"/>
      <c r="H66" s="207"/>
      <c r="I66" s="211"/>
      <c r="J66" s="203"/>
      <c r="K66" s="203"/>
      <c r="L66" s="206"/>
      <c r="M66" s="205"/>
      <c r="N66" s="203"/>
      <c r="O66" s="204"/>
    </row>
    <row r="67" spans="1:15" ht="14.25" customHeight="1" x14ac:dyDescent="0.25">
      <c r="A67" s="210"/>
      <c r="B67" s="209"/>
      <c r="C67" s="208"/>
      <c r="D67" s="208"/>
      <c r="E67" s="208"/>
      <c r="F67" s="208"/>
      <c r="G67" s="208"/>
      <c r="H67" s="207"/>
      <c r="I67" s="211"/>
      <c r="J67" s="203"/>
      <c r="K67" s="203"/>
      <c r="L67" s="206"/>
      <c r="M67" s="205"/>
      <c r="N67" s="203"/>
      <c r="O67" s="204"/>
    </row>
    <row r="68" spans="1:15" ht="14.25" customHeight="1" x14ac:dyDescent="0.25">
      <c r="A68" s="210"/>
      <c r="B68" s="209"/>
      <c r="C68" s="208"/>
      <c r="D68" s="208"/>
      <c r="E68" s="208"/>
      <c r="F68" s="208"/>
      <c r="G68" s="208"/>
      <c r="H68" s="207"/>
      <c r="I68" s="211"/>
      <c r="J68" s="203"/>
      <c r="K68" s="203"/>
      <c r="L68" s="206"/>
      <c r="M68" s="205"/>
      <c r="N68" s="203"/>
      <c r="O68" s="204"/>
    </row>
    <row r="69" spans="1:15" ht="14.25" customHeight="1" x14ac:dyDescent="0.25">
      <c r="A69" s="210"/>
      <c r="B69" s="209"/>
      <c r="C69" s="208"/>
      <c r="D69" s="208"/>
      <c r="E69" s="208"/>
      <c r="F69" s="208"/>
      <c r="G69" s="208"/>
      <c r="H69" s="207"/>
      <c r="I69" s="211"/>
      <c r="J69" s="203"/>
      <c r="K69" s="203"/>
      <c r="L69" s="206"/>
      <c r="M69" s="205"/>
      <c r="N69" s="203"/>
      <c r="O69" s="204"/>
    </row>
    <row r="70" spans="1:15" ht="14.25" customHeight="1" x14ac:dyDescent="0.25">
      <c r="A70" s="210"/>
      <c r="B70" s="209"/>
      <c r="C70" s="208"/>
      <c r="D70" s="208"/>
      <c r="E70" s="208"/>
      <c r="F70" s="208"/>
      <c r="G70" s="208"/>
      <c r="H70" s="207"/>
      <c r="I70" s="211"/>
      <c r="J70" s="203"/>
      <c r="K70" s="203"/>
      <c r="L70" s="206"/>
      <c r="M70" s="205"/>
      <c r="N70" s="203"/>
      <c r="O70" s="204"/>
    </row>
    <row r="71" spans="1:15" ht="14.25" customHeight="1" x14ac:dyDescent="0.25">
      <c r="A71" s="210"/>
      <c r="B71" s="209"/>
      <c r="C71" s="208"/>
      <c r="D71" s="208"/>
      <c r="E71" s="208"/>
      <c r="F71" s="208"/>
      <c r="G71" s="208"/>
      <c r="H71" s="207"/>
      <c r="I71" s="211"/>
      <c r="J71" s="203"/>
      <c r="K71" s="203"/>
      <c r="L71" s="206"/>
      <c r="M71" s="205"/>
      <c r="N71" s="203"/>
      <c r="O71" s="204"/>
    </row>
    <row r="72" spans="1:15" ht="14.25" customHeight="1" x14ac:dyDescent="0.25">
      <c r="A72" s="210"/>
      <c r="B72" s="209"/>
      <c r="C72" s="208"/>
      <c r="D72" s="208"/>
      <c r="E72" s="208"/>
      <c r="F72" s="208"/>
      <c r="G72" s="208"/>
      <c r="H72" s="207"/>
      <c r="I72" s="211"/>
      <c r="J72" s="203"/>
      <c r="K72" s="203"/>
      <c r="L72" s="206"/>
      <c r="M72" s="205"/>
      <c r="N72" s="203"/>
      <c r="O72" s="204"/>
    </row>
    <row r="73" spans="1:15" ht="14.25" customHeight="1" x14ac:dyDescent="0.25">
      <c r="A73" s="210"/>
      <c r="B73" s="209"/>
      <c r="C73" s="208"/>
      <c r="D73" s="208"/>
      <c r="E73" s="208"/>
      <c r="F73" s="208"/>
      <c r="G73" s="208"/>
      <c r="H73" s="207"/>
      <c r="I73" s="211"/>
      <c r="J73" s="203"/>
      <c r="K73" s="203"/>
      <c r="L73" s="206"/>
      <c r="M73" s="205"/>
      <c r="N73" s="203"/>
      <c r="O73" s="204"/>
    </row>
    <row r="74" spans="1:15" ht="14.25" customHeight="1" x14ac:dyDescent="0.25">
      <c r="A74" s="210"/>
      <c r="B74" s="209"/>
      <c r="C74" s="208"/>
      <c r="D74" s="208"/>
      <c r="E74" s="208"/>
      <c r="F74" s="208"/>
      <c r="G74" s="208"/>
      <c r="H74" s="207"/>
      <c r="I74" s="211"/>
      <c r="J74" s="203"/>
      <c r="K74" s="203"/>
      <c r="L74" s="206"/>
      <c r="M74" s="205"/>
      <c r="N74" s="203"/>
      <c r="O74" s="204"/>
    </row>
    <row r="75" spans="1:15" ht="14.25" customHeight="1" x14ac:dyDescent="0.25">
      <c r="A75" s="210"/>
      <c r="B75" s="209"/>
      <c r="C75" s="208"/>
      <c r="D75" s="208"/>
      <c r="E75" s="208"/>
      <c r="F75" s="208"/>
      <c r="G75" s="208"/>
      <c r="H75" s="207"/>
      <c r="I75" s="211"/>
      <c r="J75" s="203"/>
      <c r="K75" s="203"/>
      <c r="L75" s="206"/>
      <c r="M75" s="205"/>
      <c r="N75" s="203"/>
      <c r="O75" s="204"/>
    </row>
    <row r="76" spans="1:15" ht="14.25" customHeight="1" x14ac:dyDescent="0.25">
      <c r="A76" s="210"/>
      <c r="B76" s="209"/>
      <c r="C76" s="208"/>
      <c r="D76" s="208"/>
      <c r="E76" s="208"/>
      <c r="F76" s="208"/>
      <c r="G76" s="208"/>
      <c r="H76" s="207"/>
      <c r="I76" s="211"/>
      <c r="J76" s="203"/>
      <c r="K76" s="203"/>
      <c r="L76" s="206"/>
      <c r="M76" s="205"/>
      <c r="N76" s="203"/>
      <c r="O76" s="204"/>
    </row>
    <row r="77" spans="1:15" ht="14.25" customHeight="1" x14ac:dyDescent="0.25">
      <c r="A77" s="210"/>
      <c r="B77" s="209"/>
      <c r="C77" s="208"/>
      <c r="D77" s="208"/>
      <c r="E77" s="208"/>
      <c r="F77" s="208"/>
      <c r="G77" s="208"/>
      <c r="H77" s="207"/>
      <c r="I77" s="211"/>
      <c r="J77" s="203"/>
      <c r="K77" s="203"/>
      <c r="L77" s="206"/>
      <c r="M77" s="205"/>
      <c r="N77" s="203"/>
      <c r="O77" s="204"/>
    </row>
    <row r="78" spans="1:15" ht="14.25" customHeight="1" x14ac:dyDescent="0.25">
      <c r="A78" s="210"/>
      <c r="B78" s="209"/>
      <c r="C78" s="208"/>
      <c r="D78" s="208"/>
      <c r="E78" s="208"/>
      <c r="F78" s="208"/>
      <c r="G78" s="208"/>
      <c r="H78" s="207"/>
      <c r="I78" s="211"/>
      <c r="J78" s="203"/>
      <c r="K78" s="203"/>
      <c r="L78" s="206"/>
      <c r="M78" s="205"/>
      <c r="N78" s="203"/>
      <c r="O78" s="204"/>
    </row>
    <row r="79" spans="1:15" ht="14.25" customHeight="1" x14ac:dyDescent="0.25">
      <c r="A79" s="210"/>
      <c r="B79" s="209"/>
      <c r="C79" s="208"/>
      <c r="D79" s="208"/>
      <c r="E79" s="208"/>
      <c r="F79" s="208"/>
      <c r="G79" s="208"/>
      <c r="H79" s="207"/>
      <c r="I79" s="211"/>
      <c r="J79" s="203"/>
      <c r="K79" s="203"/>
      <c r="L79" s="206"/>
      <c r="M79" s="205"/>
      <c r="N79" s="203"/>
      <c r="O79" s="204"/>
    </row>
    <row r="80" spans="1:15" ht="14.25" customHeight="1" x14ac:dyDescent="0.25">
      <c r="A80" s="210"/>
      <c r="B80" s="209"/>
      <c r="C80" s="208"/>
      <c r="D80" s="208"/>
      <c r="E80" s="208"/>
      <c r="F80" s="208"/>
      <c r="G80" s="208"/>
      <c r="H80" s="207"/>
      <c r="I80" s="211"/>
      <c r="J80" s="203"/>
      <c r="K80" s="203"/>
      <c r="L80" s="206"/>
      <c r="M80" s="205"/>
      <c r="N80" s="203"/>
      <c r="O80" s="204"/>
    </row>
    <row r="81" spans="1:15" ht="14.25" customHeight="1" x14ac:dyDescent="0.25">
      <c r="A81" s="210"/>
      <c r="B81" s="209"/>
      <c r="C81" s="208"/>
      <c r="D81" s="208"/>
      <c r="E81" s="208"/>
      <c r="F81" s="208"/>
      <c r="G81" s="208"/>
      <c r="H81" s="207"/>
      <c r="I81" s="211"/>
      <c r="J81" s="203"/>
      <c r="K81" s="203"/>
      <c r="L81" s="206"/>
      <c r="M81" s="205"/>
      <c r="N81" s="203"/>
      <c r="O81" s="204"/>
    </row>
    <row r="82" spans="1:15" ht="14.25" customHeight="1" x14ac:dyDescent="0.25">
      <c r="A82" s="210"/>
      <c r="B82" s="209"/>
      <c r="C82" s="208"/>
      <c r="D82" s="208"/>
      <c r="E82" s="208"/>
      <c r="F82" s="208"/>
      <c r="G82" s="208"/>
      <c r="H82" s="207"/>
      <c r="I82" s="211"/>
      <c r="J82" s="203"/>
      <c r="K82" s="203"/>
      <c r="L82" s="206"/>
      <c r="M82" s="205"/>
      <c r="N82" s="203"/>
      <c r="O82" s="204"/>
    </row>
    <row r="83" spans="1:15" ht="14.25" customHeight="1" x14ac:dyDescent="0.25">
      <c r="A83" s="210"/>
      <c r="B83" s="209"/>
      <c r="C83" s="208"/>
      <c r="D83" s="208"/>
      <c r="E83" s="208"/>
      <c r="F83" s="208"/>
      <c r="G83" s="208"/>
      <c r="H83" s="207"/>
      <c r="I83" s="211"/>
      <c r="J83" s="203"/>
      <c r="K83" s="203"/>
      <c r="L83" s="206"/>
      <c r="M83" s="205"/>
      <c r="N83" s="203"/>
      <c r="O83" s="204"/>
    </row>
    <row r="84" spans="1:15" ht="14.25" customHeight="1" x14ac:dyDescent="0.25">
      <c r="A84" s="210"/>
      <c r="B84" s="209"/>
      <c r="C84" s="208"/>
      <c r="D84" s="208"/>
      <c r="E84" s="208"/>
      <c r="F84" s="208"/>
      <c r="G84" s="208"/>
      <c r="H84" s="207"/>
      <c r="I84" s="211"/>
      <c r="J84" s="203"/>
      <c r="K84" s="203"/>
      <c r="L84" s="206"/>
      <c r="M84" s="205"/>
      <c r="N84" s="203"/>
      <c r="O84" s="204"/>
    </row>
    <row r="85" spans="1:15" ht="14.25" customHeight="1" x14ac:dyDescent="0.25">
      <c r="A85" s="210"/>
      <c r="B85" s="209"/>
      <c r="C85" s="208"/>
      <c r="D85" s="208"/>
      <c r="E85" s="208"/>
      <c r="F85" s="208"/>
      <c r="G85" s="208"/>
      <c r="H85" s="207"/>
      <c r="I85" s="211"/>
      <c r="J85" s="203"/>
      <c r="K85" s="203"/>
      <c r="L85" s="206"/>
      <c r="M85" s="205"/>
      <c r="N85" s="203"/>
      <c r="O85" s="204"/>
    </row>
    <row r="86" spans="1:15" ht="14.25" customHeight="1" x14ac:dyDescent="0.25">
      <c r="A86" s="210"/>
      <c r="B86" s="209"/>
      <c r="C86" s="208"/>
      <c r="D86" s="208"/>
      <c r="E86" s="208"/>
      <c r="F86" s="208"/>
      <c r="G86" s="208"/>
      <c r="H86" s="207"/>
      <c r="I86" s="211"/>
      <c r="J86" s="203"/>
      <c r="K86" s="203"/>
      <c r="L86" s="206"/>
      <c r="M86" s="205"/>
      <c r="N86" s="203"/>
      <c r="O86" s="204"/>
    </row>
    <row r="87" spans="1:15" ht="14.25" customHeight="1" x14ac:dyDescent="0.25">
      <c r="A87" s="210"/>
      <c r="B87" s="209"/>
      <c r="C87" s="208"/>
      <c r="D87" s="208"/>
      <c r="E87" s="208"/>
      <c r="F87" s="208"/>
      <c r="G87" s="208"/>
      <c r="H87" s="207"/>
      <c r="I87" s="211"/>
      <c r="J87" s="203"/>
      <c r="K87" s="203"/>
      <c r="L87" s="206"/>
      <c r="M87" s="205"/>
      <c r="N87" s="203"/>
      <c r="O87" s="204"/>
    </row>
    <row r="88" spans="1:15" ht="14.25" customHeight="1" x14ac:dyDescent="0.25">
      <c r="A88" s="210"/>
      <c r="B88" s="209"/>
      <c r="C88" s="208"/>
      <c r="D88" s="208"/>
      <c r="E88" s="208"/>
      <c r="F88" s="208"/>
      <c r="G88" s="208"/>
      <c r="H88" s="207"/>
      <c r="I88" s="211"/>
      <c r="J88" s="203"/>
      <c r="K88" s="203"/>
      <c r="L88" s="206"/>
      <c r="M88" s="205"/>
      <c r="N88" s="203"/>
      <c r="O88" s="204"/>
    </row>
    <row r="89" spans="1:15" ht="14.25" customHeight="1" x14ac:dyDescent="0.25">
      <c r="A89" s="210"/>
      <c r="B89" s="209"/>
      <c r="C89" s="208"/>
      <c r="D89" s="208"/>
      <c r="E89" s="208"/>
      <c r="F89" s="208"/>
      <c r="G89" s="208"/>
      <c r="H89" s="207"/>
      <c r="I89" s="211"/>
      <c r="J89" s="203"/>
      <c r="K89" s="203"/>
      <c r="L89" s="206"/>
      <c r="M89" s="205"/>
      <c r="N89" s="203"/>
      <c r="O89" s="204"/>
    </row>
    <row r="90" spans="1:15" ht="14.25" customHeight="1" x14ac:dyDescent="0.25">
      <c r="A90" s="210"/>
      <c r="B90" s="209"/>
      <c r="C90" s="208"/>
      <c r="D90" s="208"/>
      <c r="E90" s="208"/>
      <c r="F90" s="208"/>
      <c r="G90" s="208"/>
      <c r="H90" s="207"/>
      <c r="I90" s="211"/>
      <c r="J90" s="203"/>
      <c r="K90" s="203"/>
      <c r="L90" s="206"/>
      <c r="M90" s="205"/>
      <c r="N90" s="203"/>
      <c r="O90" s="204"/>
    </row>
    <row r="91" spans="1:15" ht="14.25" customHeight="1" x14ac:dyDescent="0.25">
      <c r="A91" s="210"/>
      <c r="B91" s="209"/>
      <c r="C91" s="208"/>
      <c r="D91" s="208"/>
      <c r="E91" s="208"/>
      <c r="F91" s="208"/>
      <c r="G91" s="208"/>
      <c r="H91" s="207"/>
      <c r="I91" s="211"/>
      <c r="J91" s="203"/>
      <c r="K91" s="203"/>
      <c r="L91" s="206"/>
      <c r="M91" s="205"/>
      <c r="N91" s="203"/>
      <c r="O91" s="204"/>
    </row>
    <row r="92" spans="1:15" ht="14.25" customHeight="1" x14ac:dyDescent="0.25">
      <c r="A92" s="210"/>
      <c r="B92" s="209"/>
      <c r="C92" s="208"/>
      <c r="D92" s="208"/>
      <c r="E92" s="208"/>
      <c r="F92" s="208"/>
      <c r="G92" s="208"/>
      <c r="H92" s="207"/>
      <c r="I92" s="211"/>
      <c r="J92" s="203"/>
      <c r="K92" s="203"/>
      <c r="L92" s="206"/>
      <c r="M92" s="205"/>
      <c r="N92" s="203"/>
      <c r="O92" s="204"/>
    </row>
    <row r="93" spans="1:15" ht="14.25" customHeight="1" x14ac:dyDescent="0.25">
      <c r="A93" s="210"/>
      <c r="B93" s="209"/>
      <c r="C93" s="208"/>
      <c r="D93" s="208"/>
      <c r="E93" s="208"/>
      <c r="F93" s="208"/>
      <c r="G93" s="208"/>
      <c r="H93" s="207"/>
      <c r="I93" s="211"/>
      <c r="J93" s="203"/>
      <c r="K93" s="203"/>
      <c r="L93" s="206"/>
      <c r="M93" s="205"/>
      <c r="N93" s="203"/>
      <c r="O93" s="204"/>
    </row>
    <row r="94" spans="1:15" ht="14.25" customHeight="1" x14ac:dyDescent="0.25">
      <c r="A94" s="210"/>
      <c r="B94" s="209"/>
      <c r="C94" s="208"/>
      <c r="D94" s="208"/>
      <c r="E94" s="208"/>
      <c r="F94" s="208"/>
      <c r="G94" s="208"/>
      <c r="H94" s="207"/>
      <c r="I94" s="211"/>
      <c r="J94" s="203"/>
      <c r="K94" s="203"/>
      <c r="L94" s="206"/>
      <c r="M94" s="205"/>
      <c r="N94" s="203"/>
      <c r="O94" s="204"/>
    </row>
    <row r="95" spans="1:15" ht="14.25" customHeight="1" x14ac:dyDescent="0.25">
      <c r="A95" s="210"/>
      <c r="B95" s="209"/>
      <c r="C95" s="208"/>
      <c r="D95" s="208"/>
      <c r="E95" s="208"/>
      <c r="F95" s="208"/>
      <c r="G95" s="208"/>
      <c r="H95" s="207"/>
      <c r="I95" s="211"/>
      <c r="J95" s="203"/>
      <c r="K95" s="203"/>
      <c r="L95" s="206"/>
      <c r="M95" s="205"/>
      <c r="N95" s="203"/>
      <c r="O95" s="204"/>
    </row>
    <row r="96" spans="1:15" ht="14.25" customHeight="1" x14ac:dyDescent="0.25">
      <c r="A96" s="210"/>
      <c r="B96" s="209"/>
      <c r="C96" s="208"/>
      <c r="D96" s="208"/>
      <c r="E96" s="208"/>
      <c r="F96" s="208"/>
      <c r="G96" s="208"/>
      <c r="H96" s="207"/>
      <c r="I96" s="205"/>
      <c r="J96" s="203"/>
      <c r="K96" s="203"/>
      <c r="L96" s="206"/>
      <c r="M96" s="205"/>
      <c r="N96" s="203"/>
      <c r="O96" s="204"/>
    </row>
    <row r="97" spans="1:15" ht="14.25" customHeight="1" x14ac:dyDescent="0.25">
      <c r="A97" s="210"/>
      <c r="B97" s="209"/>
      <c r="C97" s="208"/>
      <c r="D97" s="208"/>
      <c r="E97" s="208"/>
      <c r="F97" s="208"/>
      <c r="G97" s="208"/>
      <c r="H97" s="207"/>
      <c r="I97" s="205"/>
      <c r="J97" s="203"/>
      <c r="K97" s="203"/>
      <c r="L97" s="206"/>
      <c r="M97" s="205"/>
      <c r="N97" s="203"/>
      <c r="O97" s="204"/>
    </row>
    <row r="98" spans="1:15" ht="14.25" customHeight="1" x14ac:dyDescent="0.25">
      <c r="A98" s="210"/>
      <c r="B98" s="209"/>
      <c r="C98" s="208"/>
      <c r="D98" s="208"/>
      <c r="E98" s="208"/>
      <c r="F98" s="208"/>
      <c r="G98" s="208"/>
      <c r="H98" s="207"/>
      <c r="I98" s="205"/>
      <c r="J98" s="203"/>
      <c r="K98" s="203"/>
      <c r="L98" s="206"/>
      <c r="M98" s="205"/>
      <c r="N98" s="203"/>
      <c r="O98" s="204"/>
    </row>
    <row r="99" spans="1:15" ht="14.25" customHeight="1" x14ac:dyDescent="0.25">
      <c r="A99" s="210"/>
      <c r="B99" s="209"/>
      <c r="C99" s="208"/>
      <c r="D99" s="208"/>
      <c r="E99" s="208"/>
      <c r="F99" s="208"/>
      <c r="G99" s="208"/>
      <c r="H99" s="207"/>
      <c r="I99" s="205"/>
      <c r="J99" s="203"/>
      <c r="K99" s="203"/>
      <c r="L99" s="206"/>
      <c r="M99" s="205"/>
      <c r="N99" s="203"/>
      <c r="O99" s="204"/>
    </row>
    <row r="100" spans="1:15" ht="14.25" customHeight="1" x14ac:dyDescent="0.25">
      <c r="A100" s="210"/>
      <c r="B100" s="209"/>
      <c r="C100" s="208"/>
      <c r="D100" s="208"/>
      <c r="E100" s="208"/>
      <c r="F100" s="208"/>
      <c r="G100" s="208"/>
      <c r="H100" s="207"/>
      <c r="I100" s="205"/>
      <c r="J100" s="203"/>
      <c r="K100" s="203"/>
      <c r="L100" s="206"/>
      <c r="M100" s="205"/>
      <c r="N100" s="203"/>
      <c r="O100" s="204"/>
    </row>
    <row r="101" spans="1:15" ht="14.25" customHeight="1" x14ac:dyDescent="0.25">
      <c r="A101" s="203"/>
      <c r="J101" s="203"/>
      <c r="K101" s="203"/>
      <c r="N101" s="203"/>
      <c r="O101" s="203"/>
    </row>
    <row r="102" spans="1:15" ht="14.25" customHeight="1" x14ac:dyDescent="0.25">
      <c r="A102" s="203"/>
      <c r="J102" s="203"/>
      <c r="K102" s="203"/>
      <c r="N102" s="203"/>
      <c r="O102" s="203"/>
    </row>
    <row r="103" spans="1:15" ht="14.25" customHeight="1" x14ac:dyDescent="0.25">
      <c r="A103" s="203"/>
      <c r="J103" s="203"/>
      <c r="K103" s="203"/>
      <c r="N103" s="203"/>
      <c r="O103" s="203"/>
    </row>
    <row r="104" spans="1:15" ht="14.25" customHeight="1" x14ac:dyDescent="0.25">
      <c r="A104" s="203"/>
      <c r="J104" s="203"/>
      <c r="K104" s="203"/>
      <c r="N104" s="203"/>
      <c r="O104" s="203"/>
    </row>
    <row r="105" spans="1:15" ht="14.25" customHeight="1" x14ac:dyDescent="0.25">
      <c r="A105" s="203"/>
      <c r="J105" s="203"/>
      <c r="K105" s="203"/>
      <c r="N105" s="203"/>
      <c r="O105" s="203"/>
    </row>
    <row r="106" spans="1:15" ht="14.25" customHeight="1" x14ac:dyDescent="0.25">
      <c r="A106" s="203"/>
      <c r="J106" s="203"/>
      <c r="K106" s="203"/>
      <c r="N106" s="203"/>
      <c r="O106" s="203"/>
    </row>
    <row r="107" spans="1:15" ht="14.25" customHeight="1" x14ac:dyDescent="0.25">
      <c r="A107" s="203"/>
      <c r="J107" s="203"/>
      <c r="K107" s="203"/>
      <c r="N107" s="203"/>
      <c r="O107" s="203"/>
    </row>
    <row r="108" spans="1:15" ht="14.25" customHeight="1" x14ac:dyDescent="0.25">
      <c r="A108" s="203"/>
      <c r="J108" s="203"/>
      <c r="K108" s="203"/>
      <c r="N108" s="203"/>
      <c r="O108" s="203"/>
    </row>
    <row r="109" spans="1:15" ht="14.25" customHeight="1" x14ac:dyDescent="0.25">
      <c r="A109" s="203"/>
      <c r="J109" s="203"/>
      <c r="K109" s="203"/>
      <c r="N109" s="203"/>
      <c r="O109" s="203"/>
    </row>
    <row r="110" spans="1:15" ht="14.25" customHeight="1" x14ac:dyDescent="0.25">
      <c r="A110" s="203"/>
      <c r="J110" s="203"/>
      <c r="K110" s="203"/>
      <c r="N110" s="203"/>
      <c r="O110" s="203"/>
    </row>
    <row r="111" spans="1:15" ht="14.25" customHeight="1" x14ac:dyDescent="0.25">
      <c r="A111" s="203"/>
      <c r="J111" s="203"/>
      <c r="K111" s="203"/>
      <c r="N111" s="203"/>
      <c r="O111" s="203"/>
    </row>
    <row r="112" spans="1:15" ht="14.25" customHeight="1" x14ac:dyDescent="0.25">
      <c r="A112" s="203"/>
      <c r="J112" s="203"/>
      <c r="K112" s="203"/>
      <c r="N112" s="203"/>
      <c r="O112" s="203"/>
    </row>
    <row r="113" spans="1:15" ht="14.25" customHeight="1" x14ac:dyDescent="0.25">
      <c r="A113" s="203"/>
      <c r="J113" s="203"/>
      <c r="K113" s="203"/>
      <c r="N113" s="203"/>
      <c r="O113" s="203"/>
    </row>
    <row r="114" spans="1:15" ht="14.25" customHeight="1" x14ac:dyDescent="0.25">
      <c r="A114" s="203"/>
      <c r="J114" s="203"/>
      <c r="K114" s="203"/>
      <c r="N114" s="203"/>
      <c r="O114" s="203"/>
    </row>
    <row r="115" spans="1:15" ht="14.25" customHeight="1" x14ac:dyDescent="0.25">
      <c r="A115" s="203"/>
      <c r="J115" s="203"/>
      <c r="K115" s="203"/>
      <c r="N115" s="203"/>
      <c r="O115" s="203"/>
    </row>
    <row r="116" spans="1:15" ht="14.25" customHeight="1" x14ac:dyDescent="0.25">
      <c r="A116" s="203"/>
      <c r="J116" s="203"/>
      <c r="K116" s="203"/>
      <c r="N116" s="203"/>
      <c r="O116" s="203"/>
    </row>
    <row r="117" spans="1:15" ht="14.25" customHeight="1" x14ac:dyDescent="0.25">
      <c r="A117" s="203"/>
      <c r="J117" s="203"/>
      <c r="K117" s="203"/>
      <c r="N117" s="203"/>
      <c r="O117" s="203"/>
    </row>
    <row r="118" spans="1:15" ht="14.25" customHeight="1" x14ac:dyDescent="0.25">
      <c r="A118" s="203"/>
      <c r="J118" s="203"/>
      <c r="K118" s="203"/>
      <c r="N118" s="203"/>
      <c r="O118" s="203"/>
    </row>
    <row r="119" spans="1:15" ht="14.25" customHeight="1" x14ac:dyDescent="0.25">
      <c r="A119" s="203"/>
      <c r="J119" s="203"/>
      <c r="K119" s="203"/>
      <c r="N119" s="203"/>
      <c r="O119" s="203"/>
    </row>
    <row r="120" spans="1:15" ht="14.25" customHeight="1" x14ac:dyDescent="0.25">
      <c r="A120" s="203"/>
      <c r="J120" s="203"/>
      <c r="K120" s="203"/>
      <c r="N120" s="203"/>
      <c r="O120" s="203"/>
    </row>
    <row r="121" spans="1:15" ht="14.25" customHeight="1" x14ac:dyDescent="0.25">
      <c r="A121" s="203"/>
      <c r="J121" s="203"/>
      <c r="K121" s="203"/>
      <c r="N121" s="203"/>
      <c r="O121" s="203"/>
    </row>
    <row r="122" spans="1:15" ht="14.25" customHeight="1" x14ac:dyDescent="0.25">
      <c r="A122" s="203"/>
      <c r="J122" s="203"/>
      <c r="K122" s="203"/>
      <c r="N122" s="203"/>
      <c r="O122" s="203"/>
    </row>
    <row r="123" spans="1:15" ht="14.25" customHeight="1" x14ac:dyDescent="0.25">
      <c r="A123" s="203"/>
      <c r="J123" s="203"/>
      <c r="K123" s="203"/>
      <c r="N123" s="203"/>
      <c r="O123" s="203"/>
    </row>
    <row r="124" spans="1:15" ht="14.25" customHeight="1" x14ac:dyDescent="0.25">
      <c r="A124" s="203"/>
      <c r="J124" s="203"/>
      <c r="K124" s="203"/>
      <c r="N124" s="203"/>
      <c r="O124" s="203"/>
    </row>
    <row r="125" spans="1:15" ht="14.25" customHeight="1" x14ac:dyDescent="0.25">
      <c r="A125" s="203"/>
      <c r="J125" s="203"/>
      <c r="K125" s="203"/>
      <c r="N125" s="203"/>
      <c r="O125" s="203"/>
    </row>
    <row r="126" spans="1:15" ht="14.25" customHeight="1" x14ac:dyDescent="0.25">
      <c r="A126" s="203"/>
      <c r="J126" s="203"/>
      <c r="K126" s="203"/>
      <c r="N126" s="203"/>
      <c r="O126" s="203"/>
    </row>
    <row r="127" spans="1:15" ht="14.25" customHeight="1" x14ac:dyDescent="0.25">
      <c r="A127" s="203"/>
      <c r="J127" s="203"/>
      <c r="K127" s="203"/>
      <c r="N127" s="203"/>
      <c r="O127" s="203"/>
    </row>
    <row r="128" spans="1:15" ht="14.25" customHeight="1" x14ac:dyDescent="0.25">
      <c r="A128" s="203"/>
      <c r="J128" s="203"/>
      <c r="K128" s="203"/>
      <c r="N128" s="203"/>
      <c r="O128" s="203"/>
    </row>
    <row r="129" spans="1:15" ht="14.25" customHeight="1" x14ac:dyDescent="0.25">
      <c r="A129" s="203"/>
      <c r="J129" s="203"/>
      <c r="K129" s="203"/>
      <c r="N129" s="203"/>
      <c r="O129" s="203"/>
    </row>
    <row r="130" spans="1:15" ht="14.25" customHeight="1" x14ac:dyDescent="0.25">
      <c r="A130" s="203"/>
      <c r="J130" s="203"/>
      <c r="K130" s="203"/>
      <c r="N130" s="203"/>
      <c r="O130" s="203"/>
    </row>
    <row r="131" spans="1:15" ht="14.25" customHeight="1" x14ac:dyDescent="0.25">
      <c r="A131" s="203"/>
      <c r="J131" s="203"/>
      <c r="K131" s="203"/>
      <c r="N131" s="203"/>
      <c r="O131" s="203"/>
    </row>
    <row r="132" spans="1:15" ht="14.25" customHeight="1" x14ac:dyDescent="0.25">
      <c r="A132" s="203"/>
      <c r="J132" s="203"/>
      <c r="K132" s="203"/>
      <c r="N132" s="203"/>
      <c r="O132" s="203"/>
    </row>
    <row r="133" spans="1:15" ht="14.25" customHeight="1" x14ac:dyDescent="0.25">
      <c r="A133" s="203"/>
      <c r="J133" s="203"/>
      <c r="K133" s="203"/>
      <c r="N133" s="203"/>
      <c r="O133" s="203"/>
    </row>
    <row r="134" spans="1:15" ht="14.25" customHeight="1" x14ac:dyDescent="0.25">
      <c r="A134" s="203"/>
      <c r="J134" s="203"/>
      <c r="K134" s="203"/>
      <c r="N134" s="203"/>
      <c r="O134" s="203"/>
    </row>
    <row r="135" spans="1:15" ht="14.25" customHeight="1" x14ac:dyDescent="0.25">
      <c r="A135" s="203"/>
      <c r="J135" s="203"/>
      <c r="K135" s="203"/>
      <c r="N135" s="203"/>
      <c r="O135" s="203"/>
    </row>
    <row r="136" spans="1:15" ht="14.25" customHeight="1" x14ac:dyDescent="0.25">
      <c r="A136" s="203"/>
      <c r="J136" s="203"/>
      <c r="K136" s="203"/>
      <c r="N136" s="203"/>
      <c r="O136" s="203"/>
    </row>
    <row r="137" spans="1:15" ht="14.25" customHeight="1" x14ac:dyDescent="0.25">
      <c r="A137" s="203"/>
      <c r="J137" s="203"/>
      <c r="K137" s="203"/>
      <c r="N137" s="203"/>
      <c r="O137" s="203"/>
    </row>
    <row r="138" spans="1:15" ht="14.25" customHeight="1" x14ac:dyDescent="0.25">
      <c r="A138" s="203"/>
      <c r="J138" s="203"/>
      <c r="K138" s="203"/>
      <c r="N138" s="203"/>
      <c r="O138" s="203"/>
    </row>
    <row r="139" spans="1:15" ht="14.25" customHeight="1" x14ac:dyDescent="0.25">
      <c r="A139" s="203"/>
      <c r="J139" s="203"/>
      <c r="K139" s="203"/>
      <c r="N139" s="203"/>
      <c r="O139" s="203"/>
    </row>
    <row r="140" spans="1:15" ht="14.25" customHeight="1" x14ac:dyDescent="0.25">
      <c r="A140" s="203"/>
      <c r="J140" s="203"/>
      <c r="K140" s="203"/>
      <c r="N140" s="203"/>
      <c r="O140" s="203"/>
    </row>
    <row r="141" spans="1:15" ht="14.25" customHeight="1" x14ac:dyDescent="0.25">
      <c r="A141" s="203"/>
      <c r="J141" s="203"/>
      <c r="K141" s="203"/>
      <c r="N141" s="203"/>
      <c r="O141" s="203"/>
    </row>
    <row r="142" spans="1:15" ht="14.25" customHeight="1" x14ac:dyDescent="0.25">
      <c r="A142" s="203"/>
      <c r="J142" s="203"/>
      <c r="K142" s="203"/>
      <c r="N142" s="203"/>
      <c r="O142" s="203"/>
    </row>
    <row r="143" spans="1:15" ht="14.25" customHeight="1" x14ac:dyDescent="0.25">
      <c r="A143" s="203"/>
      <c r="J143" s="203"/>
      <c r="K143" s="203"/>
      <c r="N143" s="203"/>
      <c r="O143" s="203"/>
    </row>
    <row r="144" spans="1:15" ht="14.25" customHeight="1" x14ac:dyDescent="0.25">
      <c r="A144" s="203"/>
      <c r="J144" s="203"/>
      <c r="K144" s="203"/>
      <c r="N144" s="203"/>
      <c r="O144" s="203"/>
    </row>
    <row r="145" spans="1:15" ht="14.25" customHeight="1" x14ac:dyDescent="0.25">
      <c r="A145" s="203"/>
      <c r="J145" s="203"/>
      <c r="K145" s="203"/>
      <c r="N145" s="203"/>
      <c r="O145" s="203"/>
    </row>
    <row r="146" spans="1:15" ht="14.25" customHeight="1" x14ac:dyDescent="0.25">
      <c r="A146" s="203"/>
      <c r="J146" s="203"/>
      <c r="K146" s="203"/>
      <c r="N146" s="203"/>
      <c r="O146" s="203"/>
    </row>
    <row r="147" spans="1:15" ht="14.25" customHeight="1" x14ac:dyDescent="0.25">
      <c r="A147" s="203"/>
      <c r="J147" s="203"/>
      <c r="K147" s="203"/>
      <c r="N147" s="203"/>
      <c r="O147" s="203"/>
    </row>
    <row r="148" spans="1:15" ht="14.25" customHeight="1" x14ac:dyDescent="0.25">
      <c r="A148" s="203"/>
      <c r="J148" s="203"/>
      <c r="K148" s="203"/>
      <c r="N148" s="203"/>
      <c r="O148" s="203"/>
    </row>
    <row r="149" spans="1:15" ht="14.25" customHeight="1" x14ac:dyDescent="0.25">
      <c r="A149" s="203"/>
      <c r="J149" s="203"/>
      <c r="K149" s="203"/>
      <c r="N149" s="203"/>
      <c r="O149" s="203"/>
    </row>
    <row r="150" spans="1:15" ht="14.25" customHeight="1" x14ac:dyDescent="0.25">
      <c r="A150" s="203"/>
      <c r="J150" s="203"/>
      <c r="K150" s="203"/>
      <c r="N150" s="203"/>
      <c r="O150" s="203"/>
    </row>
    <row r="151" spans="1:15" ht="14.25" customHeight="1" x14ac:dyDescent="0.25">
      <c r="A151" s="203"/>
      <c r="J151" s="203"/>
      <c r="K151" s="203"/>
      <c r="N151" s="203"/>
      <c r="O151" s="203"/>
    </row>
    <row r="152" spans="1:15" ht="14.25" customHeight="1" x14ac:dyDescent="0.25">
      <c r="A152" s="203"/>
      <c r="J152" s="203"/>
      <c r="K152" s="203"/>
      <c r="N152" s="203"/>
      <c r="O152" s="203"/>
    </row>
    <row r="153" spans="1:15" ht="14.25" customHeight="1" x14ac:dyDescent="0.25">
      <c r="A153" s="203"/>
      <c r="J153" s="203"/>
      <c r="K153" s="203"/>
      <c r="N153" s="203"/>
      <c r="O153" s="203"/>
    </row>
    <row r="154" spans="1:15" ht="14.25" customHeight="1" x14ac:dyDescent="0.25">
      <c r="A154" s="203"/>
      <c r="J154" s="203"/>
      <c r="K154" s="203"/>
      <c r="N154" s="203"/>
      <c r="O154" s="203"/>
    </row>
    <row r="155" spans="1:15" ht="14.25" customHeight="1" x14ac:dyDescent="0.25">
      <c r="A155" s="203"/>
      <c r="J155" s="203"/>
      <c r="K155" s="203"/>
      <c r="N155" s="203"/>
      <c r="O155" s="203"/>
    </row>
    <row r="156" spans="1:15" ht="14.25" customHeight="1" x14ac:dyDescent="0.25">
      <c r="A156" s="203"/>
      <c r="J156" s="203"/>
      <c r="K156" s="203"/>
      <c r="N156" s="203"/>
      <c r="O156" s="203"/>
    </row>
    <row r="157" spans="1:15" ht="14.25" customHeight="1" x14ac:dyDescent="0.25">
      <c r="A157" s="203"/>
      <c r="J157" s="203"/>
      <c r="K157" s="203"/>
      <c r="N157" s="203"/>
      <c r="O157" s="203"/>
    </row>
    <row r="158" spans="1:15" ht="14.25" customHeight="1" x14ac:dyDescent="0.25">
      <c r="A158" s="203"/>
      <c r="J158" s="203"/>
      <c r="K158" s="203"/>
      <c r="N158" s="203"/>
      <c r="O158" s="203"/>
    </row>
    <row r="159" spans="1:15" ht="14.25" customHeight="1" x14ac:dyDescent="0.25">
      <c r="A159" s="203"/>
      <c r="J159" s="203"/>
      <c r="K159" s="203"/>
      <c r="N159" s="203"/>
      <c r="O159" s="203"/>
    </row>
    <row r="160" spans="1:15" ht="14.25" customHeight="1" x14ac:dyDescent="0.25">
      <c r="A160" s="203"/>
      <c r="J160" s="203"/>
      <c r="K160" s="203"/>
      <c r="N160" s="203"/>
      <c r="O160" s="203"/>
    </row>
    <row r="161" spans="1:15" ht="14.25" customHeight="1" x14ac:dyDescent="0.25">
      <c r="A161" s="203"/>
      <c r="J161" s="203"/>
      <c r="K161" s="203"/>
      <c r="N161" s="203"/>
      <c r="O161" s="203"/>
    </row>
    <row r="162" spans="1:15" ht="14.25" customHeight="1" x14ac:dyDescent="0.25">
      <c r="A162" s="203"/>
      <c r="J162" s="203"/>
      <c r="K162" s="203"/>
      <c r="N162" s="203"/>
      <c r="O162" s="203"/>
    </row>
    <row r="163" spans="1:15" ht="14.25" customHeight="1" x14ac:dyDescent="0.25">
      <c r="A163" s="203"/>
      <c r="J163" s="203"/>
      <c r="K163" s="203"/>
      <c r="N163" s="203"/>
      <c r="O163" s="203"/>
    </row>
    <row r="164" spans="1:15" ht="14.25" customHeight="1" x14ac:dyDescent="0.25">
      <c r="A164" s="203"/>
      <c r="J164" s="203"/>
      <c r="K164" s="203"/>
      <c r="N164" s="203"/>
      <c r="O164" s="203"/>
    </row>
    <row r="165" spans="1:15" ht="14.25" customHeight="1" x14ac:dyDescent="0.25">
      <c r="A165" s="203"/>
      <c r="J165" s="203"/>
      <c r="K165" s="203"/>
      <c r="N165" s="203"/>
      <c r="O165" s="203"/>
    </row>
    <row r="166" spans="1:15" ht="14.25" customHeight="1" x14ac:dyDescent="0.25">
      <c r="A166" s="203"/>
      <c r="J166" s="203"/>
      <c r="K166" s="203"/>
      <c r="N166" s="203"/>
      <c r="O166" s="203"/>
    </row>
    <row r="167" spans="1:15" ht="14.25" customHeight="1" x14ac:dyDescent="0.25">
      <c r="A167" s="203"/>
      <c r="J167" s="203"/>
      <c r="K167" s="203"/>
      <c r="N167" s="203"/>
      <c r="O167" s="203"/>
    </row>
    <row r="168" spans="1:15" ht="14.25" customHeight="1" x14ac:dyDescent="0.25">
      <c r="A168" s="203"/>
      <c r="J168" s="203"/>
      <c r="K168" s="203"/>
      <c r="N168" s="203"/>
      <c r="O168" s="203"/>
    </row>
    <row r="169" spans="1:15" ht="14.25" customHeight="1" x14ac:dyDescent="0.25">
      <c r="A169" s="203"/>
      <c r="J169" s="203"/>
      <c r="K169" s="203"/>
      <c r="N169" s="203"/>
      <c r="O169" s="203"/>
    </row>
    <row r="170" spans="1:15" ht="14.25" customHeight="1" x14ac:dyDescent="0.25">
      <c r="A170" s="203"/>
      <c r="J170" s="203"/>
      <c r="K170" s="203"/>
      <c r="N170" s="203"/>
      <c r="O170" s="203"/>
    </row>
    <row r="171" spans="1:15" ht="14.25" customHeight="1" x14ac:dyDescent="0.25">
      <c r="A171" s="203"/>
      <c r="J171" s="203"/>
      <c r="K171" s="203"/>
      <c r="N171" s="203"/>
      <c r="O171" s="203"/>
    </row>
    <row r="172" spans="1:15" ht="14.25" customHeight="1" x14ac:dyDescent="0.25">
      <c r="A172" s="203"/>
      <c r="J172" s="203"/>
      <c r="K172" s="203"/>
      <c r="N172" s="203"/>
      <c r="O172" s="203"/>
    </row>
    <row r="173" spans="1:15" ht="14.25" customHeight="1" x14ac:dyDescent="0.25">
      <c r="A173" s="203"/>
      <c r="J173" s="203"/>
      <c r="K173" s="203"/>
      <c r="N173" s="203"/>
      <c r="O173" s="203"/>
    </row>
    <row r="174" spans="1:15" ht="14.25" customHeight="1" x14ac:dyDescent="0.25">
      <c r="A174" s="203"/>
      <c r="J174" s="203"/>
      <c r="K174" s="203"/>
      <c r="N174" s="203"/>
      <c r="O174" s="203"/>
    </row>
    <row r="175" spans="1:15" ht="14.25" customHeight="1" x14ac:dyDescent="0.25">
      <c r="A175" s="203"/>
      <c r="J175" s="203"/>
      <c r="K175" s="203"/>
      <c r="N175" s="203"/>
      <c r="O175" s="203"/>
    </row>
    <row r="176" spans="1:15" ht="14.25" customHeight="1" x14ac:dyDescent="0.25">
      <c r="A176" s="203"/>
      <c r="J176" s="203"/>
      <c r="K176" s="203"/>
      <c r="N176" s="203"/>
      <c r="O176" s="203"/>
    </row>
    <row r="177" spans="1:15" ht="14.25" customHeight="1" x14ac:dyDescent="0.25">
      <c r="A177" s="203"/>
      <c r="J177" s="203"/>
      <c r="K177" s="203"/>
      <c r="N177" s="203"/>
      <c r="O177" s="203"/>
    </row>
    <row r="178" spans="1:15" ht="14.25" customHeight="1" x14ac:dyDescent="0.25">
      <c r="A178" s="203"/>
      <c r="J178" s="203"/>
      <c r="K178" s="203"/>
      <c r="N178" s="203"/>
      <c r="O178" s="203"/>
    </row>
    <row r="179" spans="1:15" ht="14.25" customHeight="1" x14ac:dyDescent="0.25">
      <c r="A179" s="203"/>
      <c r="J179" s="203"/>
      <c r="K179" s="203"/>
      <c r="N179" s="203"/>
      <c r="O179" s="203"/>
    </row>
    <row r="180" spans="1:15" ht="14.25" customHeight="1" x14ac:dyDescent="0.25">
      <c r="A180" s="203"/>
      <c r="J180" s="203"/>
      <c r="K180" s="203"/>
      <c r="N180" s="203"/>
      <c r="O180" s="203"/>
    </row>
    <row r="181" spans="1:15" ht="14.25" customHeight="1" x14ac:dyDescent="0.25">
      <c r="A181" s="203"/>
      <c r="J181" s="203"/>
      <c r="K181" s="203"/>
      <c r="N181" s="203"/>
      <c r="O181" s="203"/>
    </row>
    <row r="182" spans="1:15" ht="14.25" customHeight="1" x14ac:dyDescent="0.25">
      <c r="A182" s="203"/>
      <c r="J182" s="203"/>
      <c r="K182" s="203"/>
      <c r="N182" s="203"/>
      <c r="O182" s="203"/>
    </row>
    <row r="183" spans="1:15" ht="14.25" customHeight="1" x14ac:dyDescent="0.25">
      <c r="A183" s="203"/>
      <c r="J183" s="203"/>
      <c r="K183" s="203"/>
      <c r="N183" s="203"/>
      <c r="O183" s="203"/>
    </row>
    <row r="184" spans="1:15" ht="14.25" customHeight="1" x14ac:dyDescent="0.25">
      <c r="A184" s="203"/>
      <c r="J184" s="203"/>
      <c r="K184" s="203"/>
      <c r="N184" s="203"/>
      <c r="O184" s="203"/>
    </row>
    <row r="185" spans="1:15" ht="14.25" customHeight="1" x14ac:dyDescent="0.25">
      <c r="A185" s="203"/>
      <c r="J185" s="203"/>
      <c r="K185" s="203"/>
      <c r="N185" s="203"/>
      <c r="O185" s="203"/>
    </row>
    <row r="186" spans="1:15" ht="14.25" customHeight="1" x14ac:dyDescent="0.25">
      <c r="A186" s="203"/>
      <c r="J186" s="203"/>
      <c r="K186" s="203"/>
      <c r="N186" s="203"/>
      <c r="O186" s="203"/>
    </row>
    <row r="187" spans="1:15" ht="14.25" customHeight="1" x14ac:dyDescent="0.25">
      <c r="A187" s="203"/>
      <c r="J187" s="203"/>
      <c r="K187" s="203"/>
      <c r="N187" s="203"/>
      <c r="O187" s="203"/>
    </row>
    <row r="188" spans="1:15" ht="14.25" customHeight="1" x14ac:dyDescent="0.25">
      <c r="A188" s="203"/>
      <c r="J188" s="203"/>
      <c r="K188" s="203"/>
      <c r="N188" s="203"/>
      <c r="O188" s="203"/>
    </row>
    <row r="189" spans="1:15" ht="14.25" customHeight="1" x14ac:dyDescent="0.25">
      <c r="A189" s="203"/>
      <c r="J189" s="203"/>
      <c r="K189" s="203"/>
      <c r="N189" s="203"/>
      <c r="O189" s="203"/>
    </row>
    <row r="190" spans="1:15" ht="14.25" customHeight="1" x14ac:dyDescent="0.25">
      <c r="A190" s="203"/>
      <c r="J190" s="203"/>
      <c r="K190" s="203"/>
      <c r="N190" s="203"/>
      <c r="O190" s="203"/>
    </row>
    <row r="191" spans="1:15" ht="14.25" customHeight="1" x14ac:dyDescent="0.25">
      <c r="A191" s="203"/>
      <c r="J191" s="203"/>
      <c r="K191" s="203"/>
      <c r="N191" s="203"/>
      <c r="O191" s="203"/>
    </row>
    <row r="192" spans="1:15" ht="14.25" customHeight="1" x14ac:dyDescent="0.25">
      <c r="A192" s="203"/>
      <c r="J192" s="203"/>
      <c r="K192" s="203"/>
      <c r="N192" s="203"/>
      <c r="O192" s="203"/>
    </row>
    <row r="193" spans="1:15" ht="14.25" customHeight="1" x14ac:dyDescent="0.25">
      <c r="A193" s="203"/>
      <c r="J193" s="203"/>
      <c r="K193" s="203"/>
      <c r="N193" s="203"/>
      <c r="O193" s="203"/>
    </row>
    <row r="194" spans="1:15" ht="14.25" customHeight="1" x14ac:dyDescent="0.25">
      <c r="A194" s="203"/>
      <c r="J194" s="203"/>
      <c r="K194" s="203"/>
      <c r="N194" s="203"/>
      <c r="O194" s="203"/>
    </row>
    <row r="195" spans="1:15" ht="14.25" customHeight="1" x14ac:dyDescent="0.25">
      <c r="A195" s="203"/>
      <c r="J195" s="203"/>
      <c r="K195" s="203"/>
      <c r="N195" s="203"/>
      <c r="O195" s="203"/>
    </row>
    <row r="196" spans="1:15" ht="14.25" customHeight="1" x14ac:dyDescent="0.25">
      <c r="A196" s="203"/>
      <c r="J196" s="203"/>
      <c r="K196" s="203"/>
      <c r="N196" s="203"/>
      <c r="O196" s="203"/>
    </row>
    <row r="197" spans="1:15" ht="14.25" customHeight="1" x14ac:dyDescent="0.25">
      <c r="A197" s="203"/>
      <c r="J197" s="203"/>
      <c r="K197" s="203"/>
      <c r="N197" s="203"/>
      <c r="O197" s="203"/>
    </row>
    <row r="198" spans="1:15" ht="14.25" customHeight="1" x14ac:dyDescent="0.25">
      <c r="A198" s="203"/>
      <c r="J198" s="203"/>
      <c r="K198" s="203"/>
      <c r="N198" s="203"/>
      <c r="O198" s="203"/>
    </row>
    <row r="199" spans="1:15" ht="14.25" customHeight="1" x14ac:dyDescent="0.25">
      <c r="A199" s="203"/>
      <c r="J199" s="203"/>
      <c r="K199" s="203"/>
      <c r="N199" s="203"/>
      <c r="O199" s="203"/>
    </row>
    <row r="200" spans="1:15" ht="14.25" customHeight="1" x14ac:dyDescent="0.25">
      <c r="A200" s="203"/>
      <c r="J200" s="203"/>
      <c r="K200" s="203"/>
      <c r="N200" s="203"/>
      <c r="O200" s="203"/>
    </row>
    <row r="201" spans="1:15" ht="14.25" customHeight="1" x14ac:dyDescent="0.25">
      <c r="A201" s="203"/>
      <c r="J201" s="203"/>
      <c r="K201" s="203"/>
      <c r="N201" s="203"/>
      <c r="O201" s="203"/>
    </row>
    <row r="202" spans="1:15" ht="14.25" customHeight="1" x14ac:dyDescent="0.25">
      <c r="A202" s="203"/>
      <c r="J202" s="203"/>
      <c r="K202" s="203"/>
      <c r="N202" s="203"/>
      <c r="O202" s="203"/>
    </row>
    <row r="203" spans="1:15" ht="14.25" customHeight="1" x14ac:dyDescent="0.25">
      <c r="A203" s="203"/>
      <c r="J203" s="203"/>
      <c r="K203" s="203"/>
      <c r="N203" s="203"/>
      <c r="O203" s="203"/>
    </row>
    <row r="204" spans="1:15" ht="14.25" customHeight="1" x14ac:dyDescent="0.25">
      <c r="A204" s="203"/>
      <c r="J204" s="203"/>
      <c r="K204" s="203"/>
      <c r="N204" s="203"/>
      <c r="O204" s="203"/>
    </row>
    <row r="205" spans="1:15" ht="14.25" customHeight="1" x14ac:dyDescent="0.25">
      <c r="A205" s="203"/>
      <c r="J205" s="203"/>
      <c r="K205" s="203"/>
      <c r="N205" s="203"/>
      <c r="O205" s="203"/>
    </row>
    <row r="206" spans="1:15" ht="14.25" customHeight="1" x14ac:dyDescent="0.25">
      <c r="A206" s="203"/>
      <c r="J206" s="203"/>
      <c r="K206" s="203"/>
      <c r="N206" s="203"/>
      <c r="O206" s="203"/>
    </row>
    <row r="207" spans="1:15" ht="14.25" customHeight="1" x14ac:dyDescent="0.25">
      <c r="A207" s="203"/>
      <c r="J207" s="203"/>
      <c r="K207" s="203"/>
      <c r="N207" s="203"/>
      <c r="O207" s="203"/>
    </row>
    <row r="208" spans="1:15" ht="14.25" customHeight="1" x14ac:dyDescent="0.25">
      <c r="A208" s="203"/>
      <c r="J208" s="203"/>
      <c r="K208" s="203"/>
      <c r="N208" s="203"/>
      <c r="O208" s="203"/>
    </row>
    <row r="209" spans="1:15" ht="14.25" customHeight="1" x14ac:dyDescent="0.25">
      <c r="A209" s="203"/>
      <c r="J209" s="203"/>
      <c r="K209" s="203"/>
      <c r="N209" s="203"/>
      <c r="O209" s="203"/>
    </row>
    <row r="210" spans="1:15" ht="14.25" customHeight="1" x14ac:dyDescent="0.25">
      <c r="A210" s="203"/>
      <c r="J210" s="203"/>
      <c r="K210" s="203"/>
      <c r="N210" s="203"/>
      <c r="O210" s="203"/>
    </row>
    <row r="211" spans="1:15" ht="14.25" customHeight="1" x14ac:dyDescent="0.25">
      <c r="A211" s="203"/>
      <c r="J211" s="203"/>
      <c r="K211" s="203"/>
      <c r="N211" s="203"/>
      <c r="O211" s="203"/>
    </row>
    <row r="212" spans="1:15" ht="14.25" customHeight="1" x14ac:dyDescent="0.25">
      <c r="A212" s="203"/>
      <c r="J212" s="203"/>
      <c r="K212" s="203"/>
      <c r="N212" s="203"/>
      <c r="O212" s="203"/>
    </row>
    <row r="213" spans="1:15" ht="14.25" customHeight="1" x14ac:dyDescent="0.25">
      <c r="A213" s="203"/>
      <c r="J213" s="203"/>
      <c r="K213" s="203"/>
      <c r="N213" s="203"/>
      <c r="O213" s="203"/>
    </row>
    <row r="214" spans="1:15" ht="14.25" customHeight="1" x14ac:dyDescent="0.25">
      <c r="A214" s="203"/>
      <c r="J214" s="203"/>
      <c r="K214" s="203"/>
      <c r="N214" s="203"/>
      <c r="O214" s="203"/>
    </row>
    <row r="215" spans="1:15" ht="14.25" customHeight="1" x14ac:dyDescent="0.25">
      <c r="A215" s="203"/>
      <c r="J215" s="203"/>
      <c r="K215" s="203"/>
      <c r="N215" s="203"/>
      <c r="O215" s="203"/>
    </row>
    <row r="216" spans="1:15" ht="14.25" customHeight="1" x14ac:dyDescent="0.25">
      <c r="A216" s="203"/>
      <c r="J216" s="203"/>
      <c r="K216" s="203"/>
      <c r="N216" s="203"/>
      <c r="O216" s="203"/>
    </row>
    <row r="217" spans="1:15" ht="14.25" customHeight="1" x14ac:dyDescent="0.25">
      <c r="A217" s="203"/>
      <c r="J217" s="203"/>
      <c r="K217" s="203"/>
      <c r="N217" s="203"/>
      <c r="O217" s="203"/>
    </row>
    <row r="218" spans="1:15" ht="14.25" customHeight="1" x14ac:dyDescent="0.25">
      <c r="A218" s="203"/>
      <c r="J218" s="203"/>
      <c r="K218" s="203"/>
      <c r="N218" s="203"/>
      <c r="O218" s="203"/>
    </row>
    <row r="219" spans="1:15" ht="14.25" customHeight="1" x14ac:dyDescent="0.25">
      <c r="A219" s="203"/>
      <c r="J219" s="203"/>
      <c r="K219" s="203"/>
      <c r="N219" s="203"/>
      <c r="O219" s="203"/>
    </row>
    <row r="220" spans="1:15" ht="14.25" customHeight="1" x14ac:dyDescent="0.25">
      <c r="A220" s="203"/>
      <c r="J220" s="203"/>
      <c r="K220" s="203"/>
      <c r="N220" s="203"/>
      <c r="O220" s="203"/>
    </row>
    <row r="221" spans="1:15" ht="14.25" customHeight="1" x14ac:dyDescent="0.25">
      <c r="A221" s="203"/>
      <c r="J221" s="203"/>
      <c r="K221" s="203"/>
      <c r="N221" s="203"/>
      <c r="O221" s="203"/>
    </row>
    <row r="222" spans="1:15" ht="14.25" customHeight="1" x14ac:dyDescent="0.25">
      <c r="A222" s="203"/>
      <c r="J222" s="203"/>
      <c r="K222" s="203"/>
      <c r="N222" s="203"/>
      <c r="O222" s="203"/>
    </row>
    <row r="223" spans="1:15" ht="14.25" customHeight="1" x14ac:dyDescent="0.25">
      <c r="A223" s="203"/>
      <c r="J223" s="203"/>
      <c r="K223" s="203"/>
      <c r="N223" s="203"/>
      <c r="O223" s="203"/>
    </row>
    <row r="224" spans="1:15" ht="14.25" customHeight="1" x14ac:dyDescent="0.25">
      <c r="A224" s="203"/>
      <c r="J224" s="203"/>
      <c r="K224" s="203"/>
      <c r="N224" s="203"/>
      <c r="O224" s="203"/>
    </row>
    <row r="225" spans="1:15" ht="14.25" customHeight="1" x14ac:dyDescent="0.25">
      <c r="A225" s="203"/>
      <c r="J225" s="203"/>
      <c r="K225" s="203"/>
      <c r="N225" s="203"/>
      <c r="O225" s="203"/>
    </row>
    <row r="226" spans="1:15" ht="14.25" customHeight="1" x14ac:dyDescent="0.25">
      <c r="A226" s="203"/>
      <c r="J226" s="203"/>
      <c r="K226" s="203"/>
      <c r="N226" s="203"/>
      <c r="O226" s="203"/>
    </row>
    <row r="227" spans="1:15" ht="14.25" customHeight="1" x14ac:dyDescent="0.25">
      <c r="A227" s="203"/>
      <c r="J227" s="203"/>
      <c r="K227" s="203"/>
      <c r="N227" s="203"/>
      <c r="O227" s="203"/>
    </row>
    <row r="228" spans="1:15" ht="14.25" customHeight="1" x14ac:dyDescent="0.25">
      <c r="A228" s="203"/>
      <c r="J228" s="203"/>
      <c r="K228" s="203"/>
      <c r="N228" s="203"/>
      <c r="O228" s="203"/>
    </row>
    <row r="229" spans="1:15" ht="14.25" customHeight="1" x14ac:dyDescent="0.25">
      <c r="A229" s="203"/>
      <c r="J229" s="203"/>
      <c r="K229" s="203"/>
      <c r="N229" s="203"/>
      <c r="O229" s="203"/>
    </row>
    <row r="230" spans="1:15" ht="14.25" customHeight="1" x14ac:dyDescent="0.25">
      <c r="A230" s="203"/>
      <c r="J230" s="203"/>
      <c r="K230" s="203"/>
      <c r="N230" s="203"/>
      <c r="O230" s="203"/>
    </row>
    <row r="231" spans="1:15" ht="14.25" customHeight="1" x14ac:dyDescent="0.25">
      <c r="A231" s="203"/>
      <c r="J231" s="203"/>
      <c r="K231" s="203"/>
      <c r="N231" s="203"/>
      <c r="O231" s="203"/>
    </row>
    <row r="232" spans="1:15" ht="14.25" customHeight="1" x14ac:dyDescent="0.25">
      <c r="A232" s="203"/>
      <c r="J232" s="203"/>
      <c r="K232" s="203"/>
      <c r="N232" s="203"/>
      <c r="O232" s="203"/>
    </row>
    <row r="233" spans="1:15" ht="14.25" customHeight="1" x14ac:dyDescent="0.25">
      <c r="A233" s="203"/>
      <c r="J233" s="203"/>
      <c r="K233" s="203"/>
      <c r="N233" s="203"/>
      <c r="O233" s="203"/>
    </row>
    <row r="234" spans="1:15" ht="14.25" customHeight="1" x14ac:dyDescent="0.25">
      <c r="A234" s="203"/>
      <c r="J234" s="203"/>
      <c r="K234" s="203"/>
      <c r="N234" s="203"/>
      <c r="O234" s="203"/>
    </row>
    <row r="235" spans="1:15" ht="14.25" customHeight="1" x14ac:dyDescent="0.25">
      <c r="A235" s="203"/>
      <c r="J235" s="203"/>
      <c r="K235" s="203"/>
      <c r="N235" s="203"/>
      <c r="O235" s="203"/>
    </row>
    <row r="236" spans="1:15" ht="14.25" customHeight="1" x14ac:dyDescent="0.25">
      <c r="A236" s="203"/>
      <c r="J236" s="203"/>
      <c r="K236" s="203"/>
      <c r="N236" s="203"/>
      <c r="O236" s="203"/>
    </row>
    <row r="237" spans="1:15" ht="14.25" customHeight="1" x14ac:dyDescent="0.25">
      <c r="A237" s="203"/>
      <c r="J237" s="203"/>
      <c r="K237" s="203"/>
      <c r="N237" s="203"/>
      <c r="O237" s="203"/>
    </row>
    <row r="238" spans="1:15" ht="14.25" customHeight="1" x14ac:dyDescent="0.25">
      <c r="A238" s="203"/>
      <c r="J238" s="203"/>
      <c r="K238" s="203"/>
      <c r="N238" s="203"/>
      <c r="O238" s="203"/>
    </row>
    <row r="239" spans="1:15" ht="14.25" customHeight="1" x14ac:dyDescent="0.25">
      <c r="A239" s="203"/>
      <c r="J239" s="203"/>
      <c r="K239" s="203"/>
      <c r="N239" s="203"/>
      <c r="O239" s="203"/>
    </row>
    <row r="240" spans="1:15" ht="14.25" customHeight="1" x14ac:dyDescent="0.25">
      <c r="A240" s="203"/>
      <c r="J240" s="203"/>
      <c r="K240" s="203"/>
      <c r="N240" s="203"/>
      <c r="O240" s="203"/>
    </row>
    <row r="241" spans="1:15" ht="14.25" customHeight="1" x14ac:dyDescent="0.25">
      <c r="A241" s="203"/>
      <c r="J241" s="203"/>
      <c r="K241" s="203"/>
      <c r="N241" s="203"/>
      <c r="O241" s="203"/>
    </row>
    <row r="242" spans="1:15" ht="14.25" customHeight="1" x14ac:dyDescent="0.25">
      <c r="A242" s="203"/>
      <c r="J242" s="203"/>
      <c r="K242" s="203"/>
      <c r="N242" s="203"/>
      <c r="O242" s="203"/>
    </row>
    <row r="243" spans="1:15" ht="14.25" customHeight="1" x14ac:dyDescent="0.25">
      <c r="A243" s="203"/>
      <c r="J243" s="203"/>
      <c r="K243" s="203"/>
      <c r="N243" s="203"/>
      <c r="O243" s="203"/>
    </row>
    <row r="244" spans="1:15" ht="14.25" customHeight="1" x14ac:dyDescent="0.25">
      <c r="A244" s="203"/>
      <c r="J244" s="203"/>
      <c r="K244" s="203"/>
      <c r="N244" s="203"/>
      <c r="O244" s="203"/>
    </row>
    <row r="245" spans="1:15" ht="14.25" customHeight="1" x14ac:dyDescent="0.25">
      <c r="A245" s="203"/>
      <c r="J245" s="203"/>
      <c r="K245" s="203"/>
      <c r="N245" s="203"/>
      <c r="O245" s="203"/>
    </row>
    <row r="246" spans="1:15" ht="14.25" customHeight="1" x14ac:dyDescent="0.25">
      <c r="A246" s="203"/>
      <c r="J246" s="203"/>
      <c r="K246" s="203"/>
      <c r="N246" s="203"/>
      <c r="O246" s="203"/>
    </row>
    <row r="247" spans="1:15" ht="14.25" customHeight="1" x14ac:dyDescent="0.25">
      <c r="A247" s="203"/>
      <c r="J247" s="203"/>
      <c r="K247" s="203"/>
      <c r="N247" s="203"/>
      <c r="O247" s="203"/>
    </row>
    <row r="248" spans="1:15" ht="14.25" customHeight="1" x14ac:dyDescent="0.25">
      <c r="A248" s="203"/>
      <c r="J248" s="203"/>
      <c r="K248" s="203"/>
      <c r="N248" s="203"/>
      <c r="O248" s="203"/>
    </row>
    <row r="249" spans="1:15" ht="14.25" customHeight="1" x14ac:dyDescent="0.25">
      <c r="A249" s="203"/>
      <c r="J249" s="203"/>
      <c r="K249" s="203"/>
      <c r="N249" s="203"/>
      <c r="O249" s="203"/>
    </row>
    <row r="250" spans="1:15" ht="14.25" customHeight="1" x14ac:dyDescent="0.25">
      <c r="A250" s="203"/>
      <c r="J250" s="203"/>
      <c r="K250" s="203"/>
      <c r="N250" s="203"/>
      <c r="O250" s="203"/>
    </row>
    <row r="251" spans="1:15" ht="14.25" customHeight="1" x14ac:dyDescent="0.25">
      <c r="A251" s="203"/>
      <c r="J251" s="203"/>
      <c r="K251" s="203"/>
      <c r="N251" s="203"/>
      <c r="O251" s="203"/>
    </row>
    <row r="252" spans="1:15" ht="14.25" customHeight="1" x14ac:dyDescent="0.25">
      <c r="A252" s="203"/>
      <c r="J252" s="203"/>
      <c r="K252" s="203"/>
      <c r="N252" s="203"/>
      <c r="O252" s="203"/>
    </row>
    <row r="253" spans="1:15" ht="14.25" customHeight="1" x14ac:dyDescent="0.25">
      <c r="A253" s="203"/>
      <c r="J253" s="203"/>
      <c r="K253" s="203"/>
      <c r="N253" s="203"/>
      <c r="O253" s="203"/>
    </row>
    <row r="254" spans="1:15" ht="14.25" customHeight="1" x14ac:dyDescent="0.25">
      <c r="A254" s="203"/>
      <c r="J254" s="203"/>
      <c r="K254" s="203"/>
      <c r="N254" s="203"/>
      <c r="O254" s="203"/>
    </row>
    <row r="255" spans="1:15" ht="14.25" customHeight="1" x14ac:dyDescent="0.25">
      <c r="A255" s="203"/>
      <c r="J255" s="203"/>
      <c r="K255" s="203"/>
      <c r="N255" s="203"/>
      <c r="O255" s="203"/>
    </row>
    <row r="256" spans="1:15" ht="14.25" customHeight="1" x14ac:dyDescent="0.25">
      <c r="A256" s="203"/>
      <c r="J256" s="203"/>
      <c r="K256" s="203"/>
      <c r="N256" s="203"/>
      <c r="O256" s="203"/>
    </row>
    <row r="257" spans="1:15" ht="14.25" customHeight="1" x14ac:dyDescent="0.25">
      <c r="A257" s="203"/>
      <c r="J257" s="203"/>
      <c r="K257" s="203"/>
      <c r="N257" s="203"/>
      <c r="O257" s="203"/>
    </row>
    <row r="258" spans="1:15" ht="14.25" customHeight="1" x14ac:dyDescent="0.25">
      <c r="A258" s="203"/>
      <c r="J258" s="203"/>
      <c r="K258" s="203"/>
      <c r="N258" s="203"/>
      <c r="O258" s="203"/>
    </row>
    <row r="259" spans="1:15" ht="14.25" customHeight="1" x14ac:dyDescent="0.25">
      <c r="A259" s="203"/>
      <c r="J259" s="203"/>
      <c r="K259" s="203"/>
      <c r="N259" s="203"/>
      <c r="O259" s="203"/>
    </row>
    <row r="260" spans="1:15" ht="14.25" customHeight="1" x14ac:dyDescent="0.25">
      <c r="A260" s="203"/>
      <c r="J260" s="203"/>
      <c r="K260" s="203"/>
      <c r="N260" s="203"/>
      <c r="O260" s="203"/>
    </row>
    <row r="261" spans="1:15" ht="14.25" customHeight="1" x14ac:dyDescent="0.25">
      <c r="A261" s="203"/>
      <c r="J261" s="203"/>
      <c r="K261" s="203"/>
      <c r="N261" s="203"/>
      <c r="O261" s="203"/>
    </row>
    <row r="262" spans="1:15" ht="14.25" customHeight="1" x14ac:dyDescent="0.25">
      <c r="A262" s="203"/>
      <c r="J262" s="203"/>
      <c r="K262" s="203"/>
      <c r="N262" s="203"/>
      <c r="O262" s="203"/>
    </row>
    <row r="263" spans="1:15" ht="14.25" customHeight="1" x14ac:dyDescent="0.25">
      <c r="A263" s="203"/>
      <c r="J263" s="203"/>
      <c r="K263" s="203"/>
      <c r="N263" s="203"/>
      <c r="O263" s="203"/>
    </row>
    <row r="264" spans="1:15" ht="14.25" customHeight="1" x14ac:dyDescent="0.25">
      <c r="A264" s="203"/>
      <c r="J264" s="203"/>
      <c r="K264" s="203"/>
      <c r="N264" s="203"/>
      <c r="O264" s="203"/>
    </row>
    <row r="265" spans="1:15" ht="14.25" customHeight="1" x14ac:dyDescent="0.25">
      <c r="A265" s="203"/>
      <c r="J265" s="203"/>
      <c r="K265" s="203"/>
      <c r="N265" s="203"/>
      <c r="O265" s="203"/>
    </row>
    <row r="266" spans="1:15" ht="14.25" customHeight="1" x14ac:dyDescent="0.25">
      <c r="A266" s="203"/>
      <c r="J266" s="203"/>
      <c r="K266" s="203"/>
      <c r="N266" s="203"/>
      <c r="O266" s="203"/>
    </row>
    <row r="267" spans="1:15" ht="14.25" customHeight="1" x14ac:dyDescent="0.25">
      <c r="A267" s="203"/>
      <c r="J267" s="203"/>
      <c r="K267" s="203"/>
      <c r="N267" s="203"/>
      <c r="O267" s="203"/>
    </row>
    <row r="268" spans="1:15" ht="14.25" customHeight="1" x14ac:dyDescent="0.25">
      <c r="A268" s="203"/>
      <c r="J268" s="203"/>
      <c r="K268" s="203"/>
      <c r="N268" s="203"/>
      <c r="O268" s="203"/>
    </row>
    <row r="269" spans="1:15" ht="14.25" customHeight="1" x14ac:dyDescent="0.25">
      <c r="A269" s="203"/>
      <c r="J269" s="203"/>
      <c r="K269" s="203"/>
      <c r="N269" s="203"/>
      <c r="O269" s="203"/>
    </row>
    <row r="270" spans="1:15" ht="14.25" customHeight="1" x14ac:dyDescent="0.25">
      <c r="A270" s="203"/>
      <c r="J270" s="203"/>
      <c r="K270" s="203"/>
      <c r="N270" s="203"/>
      <c r="O270" s="203"/>
    </row>
    <row r="271" spans="1:15" ht="14.25" customHeight="1" x14ac:dyDescent="0.25">
      <c r="A271" s="203"/>
      <c r="J271" s="203"/>
      <c r="K271" s="203"/>
      <c r="N271" s="203"/>
      <c r="O271" s="203"/>
    </row>
    <row r="272" spans="1:15" ht="14.25" customHeight="1" x14ac:dyDescent="0.25">
      <c r="A272" s="203"/>
      <c r="J272" s="203"/>
      <c r="K272" s="203"/>
      <c r="N272" s="203"/>
      <c r="O272" s="203"/>
    </row>
    <row r="273" spans="1:15" ht="14.25" customHeight="1" x14ac:dyDescent="0.25">
      <c r="A273" s="203"/>
      <c r="J273" s="203"/>
      <c r="K273" s="203"/>
      <c r="N273" s="203"/>
      <c r="O273" s="203"/>
    </row>
    <row r="274" spans="1:15" ht="14.25" customHeight="1" x14ac:dyDescent="0.25">
      <c r="A274" s="203"/>
      <c r="J274" s="203"/>
      <c r="K274" s="203"/>
      <c r="N274" s="203"/>
      <c r="O274" s="203"/>
    </row>
    <row r="275" spans="1:15" ht="14.25" customHeight="1" x14ac:dyDescent="0.25">
      <c r="A275" s="203"/>
      <c r="J275" s="203"/>
      <c r="K275" s="203"/>
      <c r="N275" s="203"/>
      <c r="O275" s="203"/>
    </row>
    <row r="276" spans="1:15" ht="14.25" customHeight="1" x14ac:dyDescent="0.25">
      <c r="A276" s="203"/>
      <c r="J276" s="203"/>
      <c r="K276" s="203"/>
      <c r="N276" s="203"/>
      <c r="O276" s="203"/>
    </row>
    <row r="277" spans="1:15" ht="14.25" customHeight="1" x14ac:dyDescent="0.25">
      <c r="A277" s="203"/>
      <c r="J277" s="203"/>
      <c r="K277" s="203"/>
      <c r="N277" s="203"/>
      <c r="O277" s="203"/>
    </row>
    <row r="278" spans="1:15" ht="14.25" customHeight="1" x14ac:dyDescent="0.25">
      <c r="A278" s="203"/>
      <c r="J278" s="203"/>
      <c r="K278" s="203"/>
      <c r="N278" s="203"/>
      <c r="O278" s="203"/>
    </row>
    <row r="279" spans="1:15" ht="14.25" customHeight="1" x14ac:dyDescent="0.25">
      <c r="A279" s="203"/>
      <c r="J279" s="203"/>
      <c r="K279" s="203"/>
      <c r="N279" s="203"/>
      <c r="O279" s="203"/>
    </row>
    <row r="280" spans="1:15" ht="14.25" customHeight="1" x14ac:dyDescent="0.25">
      <c r="A280" s="203"/>
      <c r="J280" s="203"/>
      <c r="K280" s="203"/>
      <c r="N280" s="203"/>
      <c r="O280" s="203"/>
    </row>
    <row r="281" spans="1:15" ht="14.25" customHeight="1" x14ac:dyDescent="0.25">
      <c r="A281" s="203"/>
      <c r="J281" s="203"/>
      <c r="K281" s="203"/>
      <c r="N281" s="203"/>
      <c r="O281" s="203"/>
    </row>
    <row r="282" spans="1:15" ht="14.25" customHeight="1" x14ac:dyDescent="0.25">
      <c r="A282" s="203"/>
      <c r="J282" s="203"/>
      <c r="K282" s="203"/>
      <c r="N282" s="203"/>
      <c r="O282" s="203"/>
    </row>
    <row r="283" spans="1:15" ht="14.25" customHeight="1" x14ac:dyDescent="0.25">
      <c r="A283" s="203"/>
      <c r="J283" s="203"/>
      <c r="K283" s="203"/>
      <c r="N283" s="203"/>
      <c r="O283" s="203"/>
    </row>
    <row r="284" spans="1:15" ht="14.25" customHeight="1" x14ac:dyDescent="0.25">
      <c r="A284" s="203"/>
      <c r="J284" s="203"/>
      <c r="K284" s="203"/>
      <c r="N284" s="203"/>
      <c r="O284" s="203"/>
    </row>
    <row r="285" spans="1:15" ht="14.25" customHeight="1" x14ac:dyDescent="0.25">
      <c r="A285" s="203"/>
      <c r="J285" s="203"/>
      <c r="K285" s="203"/>
      <c r="N285" s="203"/>
      <c r="O285" s="203"/>
    </row>
    <row r="286" spans="1:15" ht="14.25" customHeight="1" x14ac:dyDescent="0.25">
      <c r="A286" s="203"/>
      <c r="J286" s="203"/>
      <c r="K286" s="203"/>
      <c r="N286" s="203"/>
      <c r="O286" s="203"/>
    </row>
    <row r="287" spans="1:15" ht="14.25" customHeight="1" x14ac:dyDescent="0.25">
      <c r="A287" s="203"/>
      <c r="J287" s="203"/>
      <c r="K287" s="203"/>
      <c r="N287" s="203"/>
      <c r="O287" s="203"/>
    </row>
    <row r="288" spans="1:15" ht="14.25" customHeight="1" x14ac:dyDescent="0.25">
      <c r="A288" s="203"/>
      <c r="J288" s="203"/>
      <c r="K288" s="203"/>
      <c r="N288" s="203"/>
      <c r="O288" s="203"/>
    </row>
    <row r="289" spans="1:15" ht="14.25" customHeight="1" x14ac:dyDescent="0.25">
      <c r="A289" s="203"/>
      <c r="J289" s="203"/>
      <c r="K289" s="203"/>
      <c r="N289" s="203"/>
      <c r="O289" s="203"/>
    </row>
    <row r="290" spans="1:15" ht="14.25" customHeight="1" x14ac:dyDescent="0.25">
      <c r="A290" s="203"/>
      <c r="J290" s="203"/>
      <c r="K290" s="203"/>
      <c r="N290" s="203"/>
      <c r="O290" s="203"/>
    </row>
    <row r="291" spans="1:15" ht="14.25" customHeight="1" x14ac:dyDescent="0.25">
      <c r="A291" s="203"/>
      <c r="J291" s="203"/>
      <c r="K291" s="203"/>
      <c r="N291" s="203"/>
      <c r="O291" s="203"/>
    </row>
    <row r="292" spans="1:15" ht="14.25" customHeight="1" x14ac:dyDescent="0.25">
      <c r="A292" s="203"/>
      <c r="J292" s="203"/>
      <c r="K292" s="203"/>
      <c r="N292" s="203"/>
      <c r="O292" s="203"/>
    </row>
    <row r="293" spans="1:15" ht="14.25" customHeight="1" x14ac:dyDescent="0.25">
      <c r="A293" s="203"/>
      <c r="J293" s="203"/>
      <c r="K293" s="203"/>
      <c r="N293" s="203"/>
      <c r="O293" s="203"/>
    </row>
    <row r="294" spans="1:15" ht="14.25" customHeight="1" x14ac:dyDescent="0.25">
      <c r="A294" s="203"/>
      <c r="J294" s="203"/>
      <c r="K294" s="203"/>
      <c r="N294" s="203"/>
      <c r="O294" s="203"/>
    </row>
    <row r="295" spans="1:15" ht="14.25" customHeight="1" x14ac:dyDescent="0.25">
      <c r="A295" s="203"/>
      <c r="J295" s="203"/>
      <c r="K295" s="203"/>
      <c r="N295" s="203"/>
      <c r="O295" s="203"/>
    </row>
    <row r="296" spans="1:15" ht="14.25" customHeight="1" x14ac:dyDescent="0.25">
      <c r="A296" s="203"/>
      <c r="J296" s="203"/>
      <c r="K296" s="203"/>
      <c r="N296" s="203"/>
      <c r="O296" s="203"/>
    </row>
    <row r="297" spans="1:15" ht="14.25" customHeight="1" x14ac:dyDescent="0.25">
      <c r="A297" s="203"/>
      <c r="J297" s="203"/>
      <c r="K297" s="203"/>
      <c r="N297" s="203"/>
      <c r="O297" s="203"/>
    </row>
    <row r="298" spans="1:15" ht="14.25" customHeight="1" x14ac:dyDescent="0.25">
      <c r="A298" s="203"/>
      <c r="J298" s="203"/>
      <c r="K298" s="203"/>
      <c r="N298" s="203"/>
      <c r="O298" s="203"/>
    </row>
    <row r="299" spans="1:15" ht="14.25" customHeight="1" x14ac:dyDescent="0.25">
      <c r="A299" s="203"/>
      <c r="J299" s="203"/>
      <c r="K299" s="203"/>
      <c r="N299" s="203"/>
      <c r="O299" s="203"/>
    </row>
    <row r="300" spans="1:15" ht="14.25" customHeight="1" x14ac:dyDescent="0.25">
      <c r="A300" s="203"/>
      <c r="J300" s="203"/>
      <c r="K300" s="203"/>
      <c r="N300" s="203"/>
      <c r="O300" s="203"/>
    </row>
    <row r="301" spans="1:15" ht="14.25" customHeight="1" x14ac:dyDescent="0.25">
      <c r="A301" s="203"/>
      <c r="J301" s="203"/>
      <c r="K301" s="203"/>
      <c r="N301" s="203"/>
      <c r="O301" s="203"/>
    </row>
    <row r="302" spans="1:15" ht="14.25" customHeight="1" x14ac:dyDescent="0.25">
      <c r="A302" s="203"/>
      <c r="J302" s="203"/>
      <c r="K302" s="203"/>
      <c r="N302" s="203"/>
      <c r="O302" s="203"/>
    </row>
    <row r="303" spans="1:15" ht="14.25" customHeight="1" x14ac:dyDescent="0.25">
      <c r="A303" s="203"/>
      <c r="J303" s="203"/>
      <c r="K303" s="203"/>
      <c r="N303" s="203"/>
      <c r="O303" s="203"/>
    </row>
    <row r="304" spans="1:15" ht="14.25" customHeight="1" x14ac:dyDescent="0.25">
      <c r="A304" s="203"/>
      <c r="J304" s="203"/>
      <c r="K304" s="203"/>
      <c r="N304" s="203"/>
      <c r="O304" s="203"/>
    </row>
    <row r="305" spans="1:15" ht="14.25" customHeight="1" x14ac:dyDescent="0.25">
      <c r="A305" s="203"/>
      <c r="J305" s="203"/>
      <c r="K305" s="203"/>
      <c r="N305" s="203"/>
      <c r="O305" s="203"/>
    </row>
    <row r="306" spans="1:15" ht="14.25" customHeight="1" x14ac:dyDescent="0.25">
      <c r="A306" s="203"/>
      <c r="J306" s="203"/>
      <c r="K306" s="203"/>
      <c r="N306" s="203"/>
      <c r="O306" s="203"/>
    </row>
    <row r="307" spans="1:15" ht="14.25" customHeight="1" x14ac:dyDescent="0.25">
      <c r="A307" s="203"/>
      <c r="J307" s="203"/>
      <c r="K307" s="203"/>
      <c r="N307" s="203"/>
      <c r="O307" s="203"/>
    </row>
    <row r="308" spans="1:15" ht="14.25" customHeight="1" x14ac:dyDescent="0.25">
      <c r="A308" s="203"/>
      <c r="J308" s="203"/>
      <c r="K308" s="203"/>
      <c r="N308" s="203"/>
      <c r="O308" s="203"/>
    </row>
    <row r="309" spans="1:15" ht="14.25" customHeight="1" x14ac:dyDescent="0.25">
      <c r="A309" s="203"/>
      <c r="J309" s="203"/>
      <c r="K309" s="203"/>
      <c r="N309" s="203"/>
      <c r="O309" s="203"/>
    </row>
    <row r="310" spans="1:15" ht="14.25" customHeight="1" x14ac:dyDescent="0.25">
      <c r="A310" s="203"/>
      <c r="J310" s="203"/>
      <c r="K310" s="203"/>
      <c r="N310" s="203"/>
      <c r="O310" s="203"/>
    </row>
    <row r="311" spans="1:15" ht="14.25" customHeight="1" x14ac:dyDescent="0.25">
      <c r="A311" s="203"/>
      <c r="J311" s="203"/>
      <c r="K311" s="203"/>
      <c r="N311" s="203"/>
      <c r="O311" s="203"/>
    </row>
    <row r="312" spans="1:15" ht="14.25" customHeight="1" x14ac:dyDescent="0.25">
      <c r="A312" s="203"/>
      <c r="J312" s="203"/>
      <c r="K312" s="203"/>
      <c r="N312" s="203"/>
      <c r="O312" s="203"/>
    </row>
    <row r="313" spans="1:15" ht="14.25" customHeight="1" x14ac:dyDescent="0.25">
      <c r="A313" s="203"/>
      <c r="J313" s="203"/>
      <c r="K313" s="203"/>
      <c r="N313" s="203"/>
      <c r="O313" s="203"/>
    </row>
    <row r="314" spans="1:15" ht="14.25" customHeight="1" x14ac:dyDescent="0.25">
      <c r="A314" s="203"/>
      <c r="J314" s="203"/>
      <c r="K314" s="203"/>
      <c r="N314" s="203"/>
      <c r="O314" s="203"/>
    </row>
    <row r="315" spans="1:15" ht="14.25" customHeight="1" x14ac:dyDescent="0.25">
      <c r="A315" s="203"/>
      <c r="J315" s="203"/>
      <c r="K315" s="203"/>
      <c r="N315" s="203"/>
      <c r="O315" s="203"/>
    </row>
    <row r="316" spans="1:15" ht="14.25" customHeight="1" x14ac:dyDescent="0.25">
      <c r="A316" s="203"/>
      <c r="J316" s="203"/>
      <c r="K316" s="203"/>
      <c r="N316" s="203"/>
      <c r="O316" s="203"/>
    </row>
    <row r="317" spans="1:15" ht="14.25" customHeight="1" x14ac:dyDescent="0.25">
      <c r="A317" s="203"/>
      <c r="J317" s="203"/>
      <c r="K317" s="203"/>
      <c r="N317" s="203"/>
      <c r="O317" s="203"/>
    </row>
    <row r="318" spans="1:15" ht="14.25" customHeight="1" x14ac:dyDescent="0.25">
      <c r="A318" s="203"/>
      <c r="J318" s="203"/>
      <c r="K318" s="203"/>
      <c r="N318" s="203"/>
      <c r="O318" s="203"/>
    </row>
    <row r="319" spans="1:15" ht="14.25" customHeight="1" x14ac:dyDescent="0.25">
      <c r="A319" s="203"/>
      <c r="J319" s="203"/>
      <c r="K319" s="203"/>
      <c r="N319" s="203"/>
      <c r="O319" s="203"/>
    </row>
    <row r="320" spans="1:15" ht="14.25" customHeight="1" x14ac:dyDescent="0.25">
      <c r="A320" s="203"/>
      <c r="J320" s="203"/>
      <c r="K320" s="203"/>
      <c r="N320" s="203"/>
      <c r="O320" s="203"/>
    </row>
    <row r="321" spans="1:15" ht="14.25" customHeight="1" x14ac:dyDescent="0.25">
      <c r="A321" s="203"/>
      <c r="J321" s="203"/>
      <c r="K321" s="203"/>
      <c r="N321" s="203"/>
      <c r="O321" s="203"/>
    </row>
    <row r="322" spans="1:15" ht="14.25" customHeight="1" x14ac:dyDescent="0.25">
      <c r="A322" s="203"/>
      <c r="J322" s="203"/>
      <c r="K322" s="203"/>
      <c r="N322" s="203"/>
      <c r="O322" s="203"/>
    </row>
    <row r="323" spans="1:15" ht="14.25" customHeight="1" x14ac:dyDescent="0.25">
      <c r="A323" s="203"/>
      <c r="J323" s="203"/>
      <c r="K323" s="203"/>
      <c r="N323" s="203"/>
      <c r="O323" s="203"/>
    </row>
    <row r="324" spans="1:15" ht="14.25" customHeight="1" x14ac:dyDescent="0.25">
      <c r="A324" s="203"/>
      <c r="J324" s="203"/>
      <c r="K324" s="203"/>
      <c r="N324" s="203"/>
      <c r="O324" s="203"/>
    </row>
    <row r="325" spans="1:15" ht="14.25" customHeight="1" x14ac:dyDescent="0.25">
      <c r="A325" s="203"/>
      <c r="J325" s="203"/>
      <c r="K325" s="203"/>
      <c r="N325" s="203"/>
      <c r="O325" s="203"/>
    </row>
    <row r="326" spans="1:15" ht="14.25" customHeight="1" x14ac:dyDescent="0.25">
      <c r="A326" s="203"/>
      <c r="J326" s="203"/>
      <c r="K326" s="203"/>
      <c r="N326" s="203"/>
      <c r="O326" s="203"/>
    </row>
    <row r="327" spans="1:15" ht="14.25" customHeight="1" x14ac:dyDescent="0.25">
      <c r="A327" s="203"/>
      <c r="J327" s="203"/>
      <c r="K327" s="203"/>
      <c r="N327" s="203"/>
      <c r="O327" s="203"/>
    </row>
    <row r="328" spans="1:15" ht="14.25" customHeight="1" x14ac:dyDescent="0.25">
      <c r="A328" s="203"/>
      <c r="J328" s="203"/>
      <c r="K328" s="203"/>
      <c r="N328" s="203"/>
      <c r="O328" s="203"/>
    </row>
    <row r="329" spans="1:15" ht="14.25" customHeight="1" x14ac:dyDescent="0.25">
      <c r="A329" s="203"/>
      <c r="J329" s="203"/>
      <c r="K329" s="203"/>
      <c r="N329" s="203"/>
      <c r="O329" s="203"/>
    </row>
    <row r="330" spans="1:15" ht="14.25" customHeight="1" x14ac:dyDescent="0.25">
      <c r="A330" s="203"/>
      <c r="J330" s="203"/>
      <c r="K330" s="203"/>
      <c r="N330" s="203"/>
      <c r="O330" s="203"/>
    </row>
    <row r="331" spans="1:15" ht="14.25" customHeight="1" x14ac:dyDescent="0.25">
      <c r="A331" s="203"/>
      <c r="J331" s="203"/>
      <c r="K331" s="203"/>
      <c r="N331" s="203"/>
      <c r="O331" s="203"/>
    </row>
    <row r="332" spans="1:15" ht="14.25" customHeight="1" x14ac:dyDescent="0.25">
      <c r="A332" s="203"/>
      <c r="J332" s="203"/>
      <c r="K332" s="203"/>
      <c r="N332" s="203"/>
      <c r="O332" s="203"/>
    </row>
    <row r="333" spans="1:15" ht="14.25" customHeight="1" x14ac:dyDescent="0.25">
      <c r="A333" s="203"/>
      <c r="J333" s="203"/>
      <c r="K333" s="203"/>
      <c r="N333" s="203"/>
      <c r="O333" s="203"/>
    </row>
    <row r="334" spans="1:15" ht="14.25" customHeight="1" x14ac:dyDescent="0.25">
      <c r="A334" s="203"/>
      <c r="J334" s="203"/>
      <c r="K334" s="203"/>
      <c r="N334" s="203"/>
      <c r="O334" s="203"/>
    </row>
    <row r="335" spans="1:15" ht="14.25" customHeight="1" x14ac:dyDescent="0.25">
      <c r="A335" s="203"/>
      <c r="J335" s="203"/>
      <c r="K335" s="203"/>
      <c r="N335" s="203"/>
      <c r="O335" s="203"/>
    </row>
    <row r="336" spans="1:15" ht="14.25" customHeight="1" x14ac:dyDescent="0.25">
      <c r="A336" s="203"/>
      <c r="J336" s="203"/>
      <c r="K336" s="203"/>
      <c r="N336" s="203"/>
      <c r="O336" s="203"/>
    </row>
    <row r="337" spans="1:15" ht="14.25" customHeight="1" x14ac:dyDescent="0.25">
      <c r="A337" s="203"/>
      <c r="J337" s="203"/>
      <c r="K337" s="203"/>
      <c r="N337" s="203"/>
      <c r="O337" s="203"/>
    </row>
    <row r="338" spans="1:15" ht="14.25" customHeight="1" x14ac:dyDescent="0.25">
      <c r="A338" s="203"/>
      <c r="J338" s="203"/>
      <c r="K338" s="203"/>
      <c r="N338" s="203"/>
      <c r="O338" s="203"/>
    </row>
    <row r="339" spans="1:15" ht="14.25" customHeight="1" x14ac:dyDescent="0.25">
      <c r="A339" s="203"/>
      <c r="J339" s="203"/>
      <c r="K339" s="203"/>
      <c r="N339" s="203"/>
      <c r="O339" s="203"/>
    </row>
    <row r="340" spans="1:15" ht="14.25" customHeight="1" x14ac:dyDescent="0.25">
      <c r="A340" s="203"/>
      <c r="J340" s="203"/>
      <c r="K340" s="203"/>
      <c r="N340" s="203"/>
      <c r="O340" s="203"/>
    </row>
    <row r="341" spans="1:15" ht="14.25" customHeight="1" x14ac:dyDescent="0.25">
      <c r="A341" s="203"/>
      <c r="J341" s="203"/>
      <c r="K341" s="203"/>
      <c r="N341" s="203"/>
      <c r="O341" s="203"/>
    </row>
    <row r="342" spans="1:15" ht="14.25" customHeight="1" x14ac:dyDescent="0.25">
      <c r="A342" s="203"/>
      <c r="J342" s="203"/>
      <c r="K342" s="203"/>
      <c r="N342" s="203"/>
      <c r="O342" s="203"/>
    </row>
    <row r="343" spans="1:15" ht="14.25" customHeight="1" x14ac:dyDescent="0.25">
      <c r="A343" s="203"/>
      <c r="J343" s="203"/>
      <c r="K343" s="203"/>
      <c r="N343" s="203"/>
      <c r="O343" s="203"/>
    </row>
    <row r="344" spans="1:15" ht="14.25" customHeight="1" x14ac:dyDescent="0.25">
      <c r="A344" s="203"/>
      <c r="J344" s="203"/>
      <c r="K344" s="203"/>
      <c r="N344" s="203"/>
      <c r="O344" s="203"/>
    </row>
    <row r="345" spans="1:15" ht="14.25" customHeight="1" x14ac:dyDescent="0.25">
      <c r="A345" s="203"/>
      <c r="J345" s="203"/>
      <c r="K345" s="203"/>
      <c r="N345" s="203"/>
      <c r="O345" s="203"/>
    </row>
    <row r="346" spans="1:15" ht="14.25" customHeight="1" x14ac:dyDescent="0.25">
      <c r="A346" s="203"/>
      <c r="J346" s="203"/>
      <c r="K346" s="203"/>
      <c r="N346" s="203"/>
      <c r="O346" s="203"/>
    </row>
    <row r="347" spans="1:15" ht="14.25" customHeight="1" x14ac:dyDescent="0.25">
      <c r="A347" s="203"/>
      <c r="J347" s="203"/>
      <c r="K347" s="203"/>
      <c r="N347" s="203"/>
      <c r="O347" s="203"/>
    </row>
    <row r="348" spans="1:15" ht="14.25" customHeight="1" x14ac:dyDescent="0.25">
      <c r="A348" s="203"/>
      <c r="J348" s="203"/>
      <c r="K348" s="203"/>
      <c r="N348" s="203"/>
      <c r="O348" s="203"/>
    </row>
    <row r="349" spans="1:15" ht="14.25" customHeight="1" x14ac:dyDescent="0.25">
      <c r="A349" s="203"/>
      <c r="J349" s="203"/>
      <c r="K349" s="203"/>
      <c r="N349" s="203"/>
      <c r="O349" s="203"/>
    </row>
    <row r="350" spans="1:15" ht="14.25" customHeight="1" x14ac:dyDescent="0.25">
      <c r="A350" s="203"/>
      <c r="J350" s="203"/>
      <c r="K350" s="203"/>
      <c r="N350" s="203"/>
      <c r="O350" s="203"/>
    </row>
    <row r="351" spans="1:15" ht="14.25" customHeight="1" x14ac:dyDescent="0.25">
      <c r="A351" s="203"/>
      <c r="J351" s="203"/>
      <c r="K351" s="203"/>
      <c r="N351" s="203"/>
      <c r="O351" s="203"/>
    </row>
    <row r="352" spans="1:15" ht="14.25" customHeight="1" x14ac:dyDescent="0.25">
      <c r="A352" s="203"/>
      <c r="J352" s="203"/>
      <c r="K352" s="203"/>
      <c r="N352" s="203"/>
      <c r="O352" s="203"/>
    </row>
    <row r="353" spans="1:15" ht="14.25" customHeight="1" x14ac:dyDescent="0.25">
      <c r="A353" s="203"/>
      <c r="J353" s="203"/>
      <c r="K353" s="203"/>
      <c r="N353" s="203"/>
      <c r="O353" s="203"/>
    </row>
    <row r="354" spans="1:15" ht="14.25" customHeight="1" x14ac:dyDescent="0.25">
      <c r="A354" s="203"/>
      <c r="J354" s="203"/>
      <c r="K354" s="203"/>
      <c r="N354" s="203"/>
      <c r="O354" s="203"/>
    </row>
    <row r="355" spans="1:15" ht="14.25" customHeight="1" x14ac:dyDescent="0.25">
      <c r="A355" s="203"/>
      <c r="J355" s="203"/>
      <c r="K355" s="203"/>
      <c r="N355" s="203"/>
      <c r="O355" s="203"/>
    </row>
    <row r="356" spans="1:15" ht="14.25" customHeight="1" x14ac:dyDescent="0.25">
      <c r="A356" s="203"/>
      <c r="J356" s="203"/>
      <c r="K356" s="203"/>
      <c r="N356" s="203"/>
      <c r="O356" s="203"/>
    </row>
    <row r="357" spans="1:15" ht="14.25" customHeight="1" x14ac:dyDescent="0.25">
      <c r="A357" s="203"/>
      <c r="J357" s="203"/>
      <c r="K357" s="203"/>
      <c r="N357" s="203"/>
      <c r="O357" s="203"/>
    </row>
    <row r="358" spans="1:15" ht="14.25" customHeight="1" x14ac:dyDescent="0.25">
      <c r="A358" s="203"/>
      <c r="J358" s="203"/>
      <c r="K358" s="203"/>
      <c r="N358" s="203"/>
      <c r="O358" s="203"/>
    </row>
    <row r="359" spans="1:15" ht="14.25" customHeight="1" x14ac:dyDescent="0.25">
      <c r="A359" s="203"/>
      <c r="J359" s="203"/>
      <c r="K359" s="203"/>
      <c r="N359" s="203"/>
      <c r="O359" s="203"/>
    </row>
    <row r="360" spans="1:15" ht="14.25" customHeight="1" x14ac:dyDescent="0.25">
      <c r="A360" s="203"/>
      <c r="J360" s="203"/>
      <c r="K360" s="203"/>
      <c r="N360" s="203"/>
      <c r="O360" s="203"/>
    </row>
    <row r="361" spans="1:15" ht="14.25" customHeight="1" x14ac:dyDescent="0.25">
      <c r="A361" s="203"/>
      <c r="J361" s="203"/>
      <c r="K361" s="203"/>
      <c r="N361" s="203"/>
      <c r="O361" s="203"/>
    </row>
    <row r="362" spans="1:15" ht="14.25" customHeight="1" x14ac:dyDescent="0.25">
      <c r="A362" s="203"/>
      <c r="J362" s="203"/>
      <c r="K362" s="203"/>
      <c r="N362" s="203"/>
      <c r="O362" s="203"/>
    </row>
    <row r="363" spans="1:15" ht="14.25" customHeight="1" x14ac:dyDescent="0.25">
      <c r="A363" s="203"/>
      <c r="J363" s="203"/>
      <c r="K363" s="203"/>
      <c r="N363" s="203"/>
      <c r="O363" s="203"/>
    </row>
    <row r="364" spans="1:15" ht="14.25" customHeight="1" x14ac:dyDescent="0.25">
      <c r="A364" s="203"/>
      <c r="J364" s="203"/>
      <c r="K364" s="203"/>
      <c r="N364" s="203"/>
      <c r="O364" s="203"/>
    </row>
    <row r="365" spans="1:15" ht="14.25" customHeight="1" x14ac:dyDescent="0.25">
      <c r="A365" s="203"/>
      <c r="J365" s="203"/>
      <c r="K365" s="203"/>
      <c r="N365" s="203"/>
      <c r="O365" s="203"/>
    </row>
    <row r="366" spans="1:15" ht="14.25" customHeight="1" x14ac:dyDescent="0.25">
      <c r="A366" s="203"/>
      <c r="J366" s="203"/>
      <c r="K366" s="203"/>
      <c r="N366" s="203"/>
      <c r="O366" s="203"/>
    </row>
    <row r="367" spans="1:15" ht="14.25" customHeight="1" x14ac:dyDescent="0.25">
      <c r="A367" s="203"/>
      <c r="J367" s="203"/>
      <c r="K367" s="203"/>
      <c r="N367" s="203"/>
      <c r="O367" s="203"/>
    </row>
    <row r="368" spans="1:15" ht="14.25" customHeight="1" x14ac:dyDescent="0.25">
      <c r="A368" s="203"/>
      <c r="J368" s="203"/>
      <c r="K368" s="203"/>
      <c r="N368" s="203"/>
      <c r="O368" s="203"/>
    </row>
    <row r="369" spans="1:15" ht="14.25" customHeight="1" x14ac:dyDescent="0.25">
      <c r="A369" s="203"/>
      <c r="J369" s="203"/>
      <c r="K369" s="203"/>
      <c r="N369" s="203"/>
      <c r="O369" s="203"/>
    </row>
    <row r="370" spans="1:15" ht="14.25" customHeight="1" x14ac:dyDescent="0.25">
      <c r="A370" s="203"/>
      <c r="J370" s="203"/>
      <c r="K370" s="203"/>
      <c r="N370" s="203"/>
      <c r="O370" s="203"/>
    </row>
    <row r="371" spans="1:15" ht="14.25" customHeight="1" x14ac:dyDescent="0.25">
      <c r="A371" s="203"/>
      <c r="J371" s="203"/>
      <c r="K371" s="203"/>
      <c r="N371" s="203"/>
      <c r="O371" s="203"/>
    </row>
    <row r="372" spans="1:15" ht="14.25" customHeight="1" x14ac:dyDescent="0.25">
      <c r="A372" s="203"/>
      <c r="J372" s="203"/>
      <c r="K372" s="203"/>
      <c r="N372" s="203"/>
      <c r="O372" s="203"/>
    </row>
    <row r="373" spans="1:15" ht="14.25" customHeight="1" x14ac:dyDescent="0.25">
      <c r="A373" s="203"/>
      <c r="J373" s="203"/>
      <c r="K373" s="203"/>
      <c r="N373" s="203"/>
      <c r="O373" s="203"/>
    </row>
    <row r="374" spans="1:15" ht="14.25" customHeight="1" x14ac:dyDescent="0.25">
      <c r="A374" s="203"/>
      <c r="J374" s="203"/>
      <c r="K374" s="203"/>
      <c r="N374" s="203"/>
      <c r="O374" s="203"/>
    </row>
    <row r="375" spans="1:15" ht="14.25" customHeight="1" x14ac:dyDescent="0.25">
      <c r="A375" s="203"/>
      <c r="J375" s="203"/>
      <c r="K375" s="203"/>
      <c r="N375" s="203"/>
      <c r="O375" s="203"/>
    </row>
    <row r="376" spans="1:15" ht="14.25" customHeight="1" x14ac:dyDescent="0.25">
      <c r="A376" s="203"/>
      <c r="J376" s="203"/>
      <c r="K376" s="203"/>
      <c r="N376" s="203"/>
      <c r="O376" s="203"/>
    </row>
    <row r="377" spans="1:15" ht="14.25" customHeight="1" x14ac:dyDescent="0.25">
      <c r="A377" s="203"/>
      <c r="J377" s="203"/>
      <c r="K377" s="203"/>
      <c r="N377" s="203"/>
      <c r="O377" s="203"/>
    </row>
    <row r="378" spans="1:15" ht="14.25" customHeight="1" x14ac:dyDescent="0.25">
      <c r="A378" s="203"/>
      <c r="J378" s="203"/>
      <c r="K378" s="203"/>
      <c r="N378" s="203"/>
      <c r="O378" s="203"/>
    </row>
    <row r="379" spans="1:15" ht="14.25" customHeight="1" x14ac:dyDescent="0.25">
      <c r="A379" s="203"/>
      <c r="J379" s="203"/>
      <c r="K379" s="203"/>
      <c r="N379" s="203"/>
      <c r="O379" s="203"/>
    </row>
    <row r="380" spans="1:15" ht="14.25" customHeight="1" x14ac:dyDescent="0.25">
      <c r="A380" s="203"/>
      <c r="J380" s="203"/>
      <c r="K380" s="203"/>
      <c r="N380" s="203"/>
      <c r="O380" s="203"/>
    </row>
    <row r="381" spans="1:15" ht="14.25" customHeight="1" x14ac:dyDescent="0.25">
      <c r="A381" s="203"/>
      <c r="J381" s="203"/>
      <c r="K381" s="203"/>
      <c r="N381" s="203"/>
      <c r="O381" s="203"/>
    </row>
    <row r="382" spans="1:15" ht="14.25" customHeight="1" x14ac:dyDescent="0.25">
      <c r="A382" s="203"/>
      <c r="J382" s="203"/>
      <c r="K382" s="203"/>
      <c r="N382" s="203"/>
      <c r="O382" s="203"/>
    </row>
    <row r="383" spans="1:15" ht="14.25" customHeight="1" x14ac:dyDescent="0.25">
      <c r="A383" s="203"/>
      <c r="J383" s="203"/>
      <c r="K383" s="203"/>
      <c r="N383" s="203"/>
      <c r="O383" s="203"/>
    </row>
    <row r="384" spans="1:15" ht="14.25" customHeight="1" x14ac:dyDescent="0.25">
      <c r="A384" s="203"/>
      <c r="J384" s="203"/>
      <c r="K384" s="203"/>
      <c r="N384" s="203"/>
      <c r="O384" s="203"/>
    </row>
    <row r="385" spans="1:15" ht="14.25" customHeight="1" x14ac:dyDescent="0.25">
      <c r="A385" s="203"/>
      <c r="J385" s="203"/>
      <c r="K385" s="203"/>
      <c r="N385" s="203"/>
      <c r="O385" s="203"/>
    </row>
    <row r="386" spans="1:15" ht="14.25" customHeight="1" x14ac:dyDescent="0.25">
      <c r="A386" s="203"/>
      <c r="J386" s="203"/>
      <c r="K386" s="203"/>
      <c r="N386" s="203"/>
      <c r="O386" s="203"/>
    </row>
    <row r="387" spans="1:15" ht="14.25" customHeight="1" x14ac:dyDescent="0.25">
      <c r="A387" s="203"/>
      <c r="J387" s="203"/>
      <c r="K387" s="203"/>
      <c r="N387" s="203"/>
      <c r="O387" s="203"/>
    </row>
    <row r="388" spans="1:15" ht="14.25" customHeight="1" x14ac:dyDescent="0.25">
      <c r="A388" s="203"/>
      <c r="J388" s="203"/>
      <c r="K388" s="203"/>
      <c r="N388" s="203"/>
      <c r="O388" s="203"/>
    </row>
    <row r="389" spans="1:15" ht="14.25" customHeight="1" x14ac:dyDescent="0.25">
      <c r="A389" s="203"/>
      <c r="J389" s="203"/>
      <c r="K389" s="203"/>
      <c r="N389" s="203"/>
      <c r="O389" s="203"/>
    </row>
    <row r="390" spans="1:15" ht="14.25" customHeight="1" x14ac:dyDescent="0.25">
      <c r="A390" s="203"/>
      <c r="J390" s="203"/>
      <c r="K390" s="203"/>
      <c r="N390" s="203"/>
      <c r="O390" s="203"/>
    </row>
    <row r="391" spans="1:15" ht="14.25" customHeight="1" x14ac:dyDescent="0.25">
      <c r="A391" s="203"/>
      <c r="J391" s="203"/>
      <c r="K391" s="203"/>
      <c r="N391" s="203"/>
      <c r="O391" s="203"/>
    </row>
    <row r="392" spans="1:15" ht="14.25" customHeight="1" x14ac:dyDescent="0.25">
      <c r="A392" s="203"/>
      <c r="J392" s="203"/>
      <c r="K392" s="203"/>
      <c r="N392" s="203"/>
      <c r="O392" s="203"/>
    </row>
    <row r="393" spans="1:15" ht="14.25" customHeight="1" x14ac:dyDescent="0.25">
      <c r="A393" s="203"/>
      <c r="J393" s="203"/>
      <c r="K393" s="203"/>
      <c r="N393" s="203"/>
      <c r="O393" s="203"/>
    </row>
    <row r="394" spans="1:15" ht="14.25" customHeight="1" x14ac:dyDescent="0.25">
      <c r="A394" s="203"/>
      <c r="J394" s="203"/>
      <c r="K394" s="203"/>
      <c r="N394" s="203"/>
      <c r="O394" s="203"/>
    </row>
    <row r="395" spans="1:15" ht="14.25" customHeight="1" x14ac:dyDescent="0.25">
      <c r="A395" s="203"/>
      <c r="J395" s="203"/>
      <c r="K395" s="203"/>
      <c r="N395" s="203"/>
      <c r="O395" s="203"/>
    </row>
    <row r="396" spans="1:15" ht="14.25" customHeight="1" x14ac:dyDescent="0.25">
      <c r="A396" s="203"/>
      <c r="J396" s="203"/>
      <c r="K396" s="203"/>
      <c r="N396" s="203"/>
      <c r="O396" s="203"/>
    </row>
    <row r="397" spans="1:15" ht="14.25" customHeight="1" x14ac:dyDescent="0.25">
      <c r="A397" s="203"/>
      <c r="J397" s="203"/>
      <c r="K397" s="203"/>
      <c r="N397" s="203"/>
      <c r="O397" s="203"/>
    </row>
    <row r="398" spans="1:15" ht="14.25" customHeight="1" x14ac:dyDescent="0.25">
      <c r="A398" s="203"/>
      <c r="J398" s="203"/>
      <c r="K398" s="203"/>
      <c r="N398" s="203"/>
      <c r="O398" s="203"/>
    </row>
    <row r="399" spans="1:15" ht="14.25" customHeight="1" x14ac:dyDescent="0.25">
      <c r="A399" s="203"/>
      <c r="J399" s="203"/>
      <c r="K399" s="203"/>
      <c r="N399" s="203"/>
      <c r="O399" s="203"/>
    </row>
    <row r="400" spans="1:15" ht="14.25" customHeight="1" x14ac:dyDescent="0.25">
      <c r="A400" s="203"/>
      <c r="J400" s="203"/>
      <c r="K400" s="203"/>
      <c r="N400" s="203"/>
      <c r="O400" s="203"/>
    </row>
    <row r="401" spans="1:15" ht="14.25" customHeight="1" x14ac:dyDescent="0.25">
      <c r="A401" s="203"/>
      <c r="J401" s="203"/>
      <c r="K401" s="203"/>
      <c r="N401" s="203"/>
      <c r="O401" s="203"/>
    </row>
    <row r="402" spans="1:15" ht="14.25" customHeight="1" x14ac:dyDescent="0.25">
      <c r="A402" s="203"/>
      <c r="J402" s="203"/>
      <c r="K402" s="203"/>
      <c r="N402" s="203"/>
      <c r="O402" s="203"/>
    </row>
    <row r="403" spans="1:15" ht="14.25" customHeight="1" x14ac:dyDescent="0.25">
      <c r="A403" s="203"/>
      <c r="J403" s="203"/>
      <c r="K403" s="203"/>
      <c r="N403" s="203"/>
      <c r="O403" s="203"/>
    </row>
    <row r="404" spans="1:15" ht="14.25" customHeight="1" x14ac:dyDescent="0.25">
      <c r="A404" s="203"/>
      <c r="J404" s="203"/>
      <c r="K404" s="203"/>
      <c r="N404" s="203"/>
      <c r="O404" s="203"/>
    </row>
    <row r="405" spans="1:15" ht="14.25" customHeight="1" x14ac:dyDescent="0.25">
      <c r="A405" s="203"/>
      <c r="J405" s="203"/>
      <c r="K405" s="203"/>
      <c r="N405" s="203"/>
      <c r="O405" s="203"/>
    </row>
    <row r="406" spans="1:15" ht="14.25" customHeight="1" x14ac:dyDescent="0.25">
      <c r="A406" s="203"/>
      <c r="J406" s="203"/>
      <c r="K406" s="203"/>
      <c r="N406" s="203"/>
      <c r="O406" s="203"/>
    </row>
    <row r="407" spans="1:15" ht="14.25" customHeight="1" x14ac:dyDescent="0.25">
      <c r="A407" s="203"/>
      <c r="J407" s="203"/>
      <c r="K407" s="203"/>
      <c r="N407" s="203"/>
      <c r="O407" s="203"/>
    </row>
    <row r="408" spans="1:15" ht="14.25" customHeight="1" x14ac:dyDescent="0.25">
      <c r="A408" s="203"/>
      <c r="J408" s="203"/>
      <c r="K408" s="203"/>
      <c r="N408" s="203"/>
      <c r="O408" s="203"/>
    </row>
    <row r="409" spans="1:15" ht="14.25" customHeight="1" x14ac:dyDescent="0.25">
      <c r="A409" s="203"/>
      <c r="J409" s="203"/>
      <c r="K409" s="203"/>
      <c r="N409" s="203"/>
      <c r="O409" s="203"/>
    </row>
    <row r="410" spans="1:15" ht="14.25" customHeight="1" x14ac:dyDescent="0.25">
      <c r="A410" s="203"/>
      <c r="J410" s="203"/>
      <c r="K410" s="203"/>
      <c r="N410" s="203"/>
      <c r="O410" s="203"/>
    </row>
    <row r="411" spans="1:15" ht="14.25" customHeight="1" x14ac:dyDescent="0.25">
      <c r="A411" s="203"/>
      <c r="J411" s="203"/>
      <c r="K411" s="203"/>
      <c r="N411" s="203"/>
      <c r="O411" s="203"/>
    </row>
    <row r="412" spans="1:15" ht="14.25" customHeight="1" x14ac:dyDescent="0.25">
      <c r="A412" s="203"/>
      <c r="J412" s="203"/>
      <c r="K412" s="203"/>
      <c r="N412" s="203"/>
      <c r="O412" s="203"/>
    </row>
    <row r="413" spans="1:15" ht="14.25" customHeight="1" x14ac:dyDescent="0.25">
      <c r="A413" s="203"/>
      <c r="J413" s="203"/>
      <c r="K413" s="203"/>
      <c r="N413" s="203"/>
      <c r="O413" s="203"/>
    </row>
    <row r="414" spans="1:15" ht="14.25" customHeight="1" x14ac:dyDescent="0.25">
      <c r="A414" s="203"/>
      <c r="J414" s="203"/>
      <c r="K414" s="203"/>
      <c r="N414" s="203"/>
      <c r="O414" s="203"/>
    </row>
    <row r="415" spans="1:15" ht="14.25" customHeight="1" x14ac:dyDescent="0.25">
      <c r="A415" s="203"/>
      <c r="J415" s="203"/>
      <c r="K415" s="203"/>
      <c r="N415" s="203"/>
      <c r="O415" s="203"/>
    </row>
    <row r="416" spans="1:15" ht="14.25" customHeight="1" x14ac:dyDescent="0.25">
      <c r="A416" s="203"/>
      <c r="J416" s="203"/>
      <c r="K416" s="203"/>
      <c r="N416" s="203"/>
      <c r="O416" s="203"/>
    </row>
    <row r="417" spans="1:15" ht="14.25" customHeight="1" x14ac:dyDescent="0.25">
      <c r="A417" s="203"/>
      <c r="J417" s="203"/>
      <c r="K417" s="203"/>
      <c r="N417" s="203"/>
      <c r="O417" s="203"/>
    </row>
    <row r="418" spans="1:15" ht="14.25" customHeight="1" x14ac:dyDescent="0.25">
      <c r="A418" s="203"/>
      <c r="J418" s="203"/>
      <c r="K418" s="203"/>
      <c r="N418" s="203"/>
      <c r="O418" s="203"/>
    </row>
    <row r="419" spans="1:15" ht="14.25" customHeight="1" x14ac:dyDescent="0.25">
      <c r="A419" s="203"/>
      <c r="J419" s="203"/>
      <c r="K419" s="203"/>
      <c r="N419" s="203"/>
      <c r="O419" s="203"/>
    </row>
    <row r="420" spans="1:15" ht="14.25" customHeight="1" x14ac:dyDescent="0.25">
      <c r="A420" s="203"/>
      <c r="J420" s="203"/>
      <c r="K420" s="203"/>
      <c r="N420" s="203"/>
      <c r="O420" s="203"/>
    </row>
    <row r="421" spans="1:15" ht="14.25" customHeight="1" x14ac:dyDescent="0.25">
      <c r="A421" s="203"/>
      <c r="J421" s="203"/>
      <c r="K421" s="203"/>
      <c r="N421" s="203"/>
      <c r="O421" s="203"/>
    </row>
    <row r="422" spans="1:15" ht="14.25" customHeight="1" x14ac:dyDescent="0.25">
      <c r="A422" s="203"/>
      <c r="J422" s="203"/>
      <c r="K422" s="203"/>
      <c r="N422" s="203"/>
      <c r="O422" s="203"/>
    </row>
    <row r="423" spans="1:15" ht="14.25" customHeight="1" x14ac:dyDescent="0.25">
      <c r="A423" s="203"/>
      <c r="J423" s="203"/>
      <c r="K423" s="203"/>
      <c r="N423" s="203"/>
      <c r="O423" s="203"/>
    </row>
    <row r="424" spans="1:15" ht="14.25" customHeight="1" x14ac:dyDescent="0.25">
      <c r="A424" s="203"/>
      <c r="J424" s="203"/>
      <c r="K424" s="203"/>
      <c r="N424" s="203"/>
      <c r="O424" s="203"/>
    </row>
    <row r="425" spans="1:15" ht="14.25" customHeight="1" x14ac:dyDescent="0.25">
      <c r="A425" s="203"/>
      <c r="J425" s="203"/>
      <c r="K425" s="203"/>
      <c r="N425" s="203"/>
      <c r="O425" s="203"/>
    </row>
    <row r="426" spans="1:15" ht="14.25" customHeight="1" x14ac:dyDescent="0.25">
      <c r="A426" s="203"/>
      <c r="J426" s="203"/>
      <c r="K426" s="203"/>
      <c r="N426" s="203"/>
      <c r="O426" s="203"/>
    </row>
    <row r="427" spans="1:15" ht="14.25" customHeight="1" x14ac:dyDescent="0.25">
      <c r="A427" s="203"/>
      <c r="J427" s="203"/>
      <c r="K427" s="203"/>
      <c r="N427" s="203"/>
      <c r="O427" s="203"/>
    </row>
    <row r="428" spans="1:15" ht="14.25" customHeight="1" x14ac:dyDescent="0.25">
      <c r="A428" s="203"/>
      <c r="J428" s="203"/>
      <c r="K428" s="203"/>
      <c r="N428" s="203"/>
      <c r="O428" s="203"/>
    </row>
    <row r="429" spans="1:15" ht="14.25" customHeight="1" x14ac:dyDescent="0.25">
      <c r="A429" s="203"/>
      <c r="J429" s="203"/>
      <c r="K429" s="203"/>
      <c r="N429" s="203"/>
      <c r="O429" s="203"/>
    </row>
    <row r="430" spans="1:15" ht="14.25" customHeight="1" x14ac:dyDescent="0.25">
      <c r="A430" s="203"/>
      <c r="J430" s="203"/>
      <c r="K430" s="203"/>
      <c r="N430" s="203"/>
      <c r="O430" s="203"/>
    </row>
    <row r="431" spans="1:15" ht="14.25" customHeight="1" x14ac:dyDescent="0.25">
      <c r="A431" s="203"/>
      <c r="J431" s="203"/>
      <c r="K431" s="203"/>
      <c r="N431" s="203"/>
      <c r="O431" s="203"/>
    </row>
    <row r="432" spans="1:15" ht="14.25" customHeight="1" x14ac:dyDescent="0.25">
      <c r="A432" s="203"/>
      <c r="J432" s="203"/>
      <c r="K432" s="203"/>
      <c r="N432" s="203"/>
      <c r="O432" s="203"/>
    </row>
    <row r="433" spans="1:15" ht="14.25" customHeight="1" x14ac:dyDescent="0.25">
      <c r="A433" s="203"/>
      <c r="J433" s="203"/>
      <c r="K433" s="203"/>
      <c r="N433" s="203"/>
      <c r="O433" s="203"/>
    </row>
    <row r="434" spans="1:15" ht="14.25" customHeight="1" x14ac:dyDescent="0.25">
      <c r="A434" s="203"/>
      <c r="J434" s="203"/>
      <c r="K434" s="203"/>
      <c r="N434" s="203"/>
      <c r="O434" s="203"/>
    </row>
    <row r="435" spans="1:15" ht="14.25" customHeight="1" x14ac:dyDescent="0.25">
      <c r="A435" s="203"/>
      <c r="J435" s="203"/>
      <c r="K435" s="203"/>
      <c r="N435" s="203"/>
      <c r="O435" s="203"/>
    </row>
    <row r="436" spans="1:15" ht="14.25" customHeight="1" x14ac:dyDescent="0.25">
      <c r="A436" s="203"/>
      <c r="J436" s="203"/>
      <c r="K436" s="203"/>
      <c r="N436" s="203"/>
      <c r="O436" s="203"/>
    </row>
    <row r="437" spans="1:15" ht="14.25" customHeight="1" x14ac:dyDescent="0.25">
      <c r="A437" s="203"/>
      <c r="J437" s="203"/>
      <c r="K437" s="203"/>
      <c r="N437" s="203"/>
      <c r="O437" s="203"/>
    </row>
    <row r="438" spans="1:15" ht="14.25" customHeight="1" x14ac:dyDescent="0.25">
      <c r="A438" s="203"/>
      <c r="J438" s="203"/>
      <c r="K438" s="203"/>
      <c r="N438" s="203"/>
      <c r="O438" s="203"/>
    </row>
    <row r="439" spans="1:15" ht="14.25" customHeight="1" x14ac:dyDescent="0.25">
      <c r="A439" s="203"/>
      <c r="J439" s="203"/>
      <c r="K439" s="203"/>
      <c r="N439" s="203"/>
      <c r="O439" s="203"/>
    </row>
    <row r="440" spans="1:15" ht="14.25" customHeight="1" x14ac:dyDescent="0.25">
      <c r="A440" s="203"/>
      <c r="J440" s="203"/>
      <c r="K440" s="203"/>
      <c r="N440" s="203"/>
      <c r="O440" s="203"/>
    </row>
    <row r="441" spans="1:15" ht="14.25" customHeight="1" x14ac:dyDescent="0.25">
      <c r="A441" s="203"/>
      <c r="J441" s="203"/>
      <c r="K441" s="203"/>
      <c r="N441" s="203"/>
      <c r="O441" s="203"/>
    </row>
    <row r="442" spans="1:15" ht="14.25" customHeight="1" x14ac:dyDescent="0.25">
      <c r="A442" s="203"/>
      <c r="J442" s="203"/>
      <c r="K442" s="203"/>
      <c r="N442" s="203"/>
      <c r="O442" s="203"/>
    </row>
    <row r="443" spans="1:15" ht="14.25" customHeight="1" x14ac:dyDescent="0.25">
      <c r="A443" s="203"/>
      <c r="J443" s="203"/>
      <c r="K443" s="203"/>
      <c r="N443" s="203"/>
      <c r="O443" s="203"/>
    </row>
    <row r="444" spans="1:15" ht="14.25" customHeight="1" x14ac:dyDescent="0.25">
      <c r="A444" s="203"/>
      <c r="J444" s="203"/>
      <c r="K444" s="203"/>
      <c r="N444" s="203"/>
      <c r="O444" s="203"/>
    </row>
    <row r="445" spans="1:15" ht="14.25" customHeight="1" x14ac:dyDescent="0.25">
      <c r="A445" s="203"/>
      <c r="J445" s="203"/>
      <c r="K445" s="203"/>
      <c r="N445" s="203"/>
      <c r="O445" s="203"/>
    </row>
    <row r="446" spans="1:15" ht="14.25" customHeight="1" x14ac:dyDescent="0.25">
      <c r="A446" s="203"/>
      <c r="J446" s="203"/>
      <c r="K446" s="203"/>
      <c r="N446" s="203"/>
      <c r="O446" s="203"/>
    </row>
    <row r="447" spans="1:15" ht="14.25" customHeight="1" x14ac:dyDescent="0.25">
      <c r="A447" s="203"/>
      <c r="J447" s="203"/>
      <c r="K447" s="203"/>
      <c r="N447" s="203"/>
      <c r="O447" s="203"/>
    </row>
    <row r="448" spans="1:15" ht="14.25" customHeight="1" x14ac:dyDescent="0.25">
      <c r="A448" s="203"/>
      <c r="J448" s="203"/>
      <c r="K448" s="203"/>
      <c r="N448" s="203"/>
      <c r="O448" s="203"/>
    </row>
    <row r="449" spans="1:15" ht="14.25" customHeight="1" x14ac:dyDescent="0.25">
      <c r="A449" s="203"/>
      <c r="J449" s="203"/>
      <c r="K449" s="203"/>
      <c r="N449" s="203"/>
      <c r="O449" s="203"/>
    </row>
    <row r="450" spans="1:15" ht="14.25" customHeight="1" x14ac:dyDescent="0.25">
      <c r="A450" s="203"/>
      <c r="J450" s="203"/>
      <c r="K450" s="203"/>
      <c r="N450" s="203"/>
      <c r="O450" s="203"/>
    </row>
    <row r="451" spans="1:15" ht="14.25" customHeight="1" x14ac:dyDescent="0.25">
      <c r="A451" s="203"/>
      <c r="J451" s="203"/>
      <c r="K451" s="203"/>
      <c r="N451" s="203"/>
      <c r="O451" s="203"/>
    </row>
    <row r="452" spans="1:15" ht="14.25" customHeight="1" x14ac:dyDescent="0.25">
      <c r="A452" s="203"/>
      <c r="J452" s="203"/>
      <c r="K452" s="203"/>
      <c r="N452" s="203"/>
      <c r="O452" s="203"/>
    </row>
    <row r="453" spans="1:15" ht="14.25" customHeight="1" x14ac:dyDescent="0.25">
      <c r="A453" s="203"/>
      <c r="J453" s="203"/>
      <c r="K453" s="203"/>
      <c r="N453" s="203"/>
      <c r="O453" s="203"/>
    </row>
    <row r="454" spans="1:15" ht="14.25" customHeight="1" x14ac:dyDescent="0.25">
      <c r="A454" s="203"/>
      <c r="J454" s="203"/>
      <c r="K454" s="203"/>
      <c r="N454" s="203"/>
      <c r="O454" s="203"/>
    </row>
    <row r="455" spans="1:15" ht="14.25" customHeight="1" x14ac:dyDescent="0.25">
      <c r="A455" s="203"/>
      <c r="J455" s="203"/>
      <c r="K455" s="203"/>
      <c r="N455" s="203"/>
      <c r="O455" s="203"/>
    </row>
    <row r="456" spans="1:15" ht="14.25" customHeight="1" x14ac:dyDescent="0.25">
      <c r="A456" s="203"/>
      <c r="J456" s="203"/>
      <c r="K456" s="203"/>
      <c r="N456" s="203"/>
      <c r="O456" s="203"/>
    </row>
    <row r="457" spans="1:15" ht="14.25" customHeight="1" x14ac:dyDescent="0.25">
      <c r="A457" s="203"/>
      <c r="J457" s="203"/>
      <c r="K457" s="203"/>
      <c r="N457" s="203"/>
      <c r="O457" s="203"/>
    </row>
    <row r="458" spans="1:15" ht="14.25" customHeight="1" x14ac:dyDescent="0.25">
      <c r="A458" s="203"/>
      <c r="J458" s="203"/>
      <c r="K458" s="203"/>
      <c r="N458" s="203"/>
      <c r="O458" s="203"/>
    </row>
    <row r="459" spans="1:15" ht="14.25" customHeight="1" x14ac:dyDescent="0.25">
      <c r="A459" s="203"/>
      <c r="J459" s="203"/>
      <c r="K459" s="203"/>
      <c r="N459" s="203"/>
      <c r="O459" s="203"/>
    </row>
    <row r="460" spans="1:15" ht="14.25" customHeight="1" x14ac:dyDescent="0.25">
      <c r="A460" s="203"/>
      <c r="J460" s="203"/>
      <c r="K460" s="203"/>
      <c r="N460" s="203"/>
      <c r="O460" s="203"/>
    </row>
    <row r="461" spans="1:15" ht="14.25" customHeight="1" x14ac:dyDescent="0.25">
      <c r="A461" s="203"/>
      <c r="J461" s="203"/>
      <c r="K461" s="203"/>
      <c r="N461" s="203"/>
      <c r="O461" s="203"/>
    </row>
    <row r="462" spans="1:15" ht="14.25" customHeight="1" x14ac:dyDescent="0.25">
      <c r="A462" s="203"/>
      <c r="J462" s="203"/>
      <c r="K462" s="203"/>
      <c r="N462" s="203"/>
      <c r="O462" s="203"/>
    </row>
    <row r="463" spans="1:15" ht="14.25" customHeight="1" x14ac:dyDescent="0.25">
      <c r="A463" s="203"/>
      <c r="J463" s="203"/>
      <c r="K463" s="203"/>
      <c r="N463" s="203"/>
      <c r="O463" s="203"/>
    </row>
    <row r="464" spans="1:15" ht="14.25" customHeight="1" x14ac:dyDescent="0.25">
      <c r="A464" s="203"/>
      <c r="J464" s="203"/>
      <c r="K464" s="203"/>
      <c r="N464" s="203"/>
      <c r="O464" s="203"/>
    </row>
    <row r="465" spans="1:15" ht="14.25" customHeight="1" x14ac:dyDescent="0.25">
      <c r="A465" s="203"/>
      <c r="J465" s="203"/>
      <c r="K465" s="203"/>
      <c r="N465" s="203"/>
      <c r="O465" s="203"/>
    </row>
    <row r="466" spans="1:15" ht="14.25" customHeight="1" x14ac:dyDescent="0.25">
      <c r="A466" s="203"/>
      <c r="J466" s="203"/>
      <c r="K466" s="203"/>
      <c r="N466" s="203"/>
      <c r="O466" s="203"/>
    </row>
    <row r="467" spans="1:15" ht="14.25" customHeight="1" x14ac:dyDescent="0.25">
      <c r="A467" s="203"/>
      <c r="J467" s="203"/>
      <c r="K467" s="203"/>
      <c r="N467" s="203"/>
      <c r="O467" s="203"/>
    </row>
    <row r="468" spans="1:15" ht="14.25" customHeight="1" x14ac:dyDescent="0.25">
      <c r="A468" s="203"/>
      <c r="J468" s="203"/>
      <c r="K468" s="203"/>
      <c r="N468" s="203"/>
      <c r="O468" s="203"/>
    </row>
    <row r="469" spans="1:15" ht="14.25" customHeight="1" x14ac:dyDescent="0.25">
      <c r="A469" s="203"/>
      <c r="J469" s="203"/>
      <c r="K469" s="203"/>
      <c r="N469" s="203"/>
      <c r="O469" s="203"/>
    </row>
    <row r="470" spans="1:15" ht="14.25" customHeight="1" x14ac:dyDescent="0.25">
      <c r="A470" s="203"/>
      <c r="J470" s="203"/>
      <c r="K470" s="203"/>
      <c r="N470" s="203"/>
      <c r="O470" s="203"/>
    </row>
    <row r="471" spans="1:15" ht="14.25" customHeight="1" x14ac:dyDescent="0.25">
      <c r="A471" s="203"/>
      <c r="J471" s="203"/>
      <c r="K471" s="203"/>
      <c r="N471" s="203"/>
      <c r="O471" s="203"/>
    </row>
    <row r="472" spans="1:15" ht="14.25" customHeight="1" x14ac:dyDescent="0.25">
      <c r="A472" s="203"/>
      <c r="J472" s="203"/>
      <c r="K472" s="203"/>
      <c r="N472" s="203"/>
      <c r="O472" s="203"/>
    </row>
    <row r="473" spans="1:15" ht="14.25" customHeight="1" x14ac:dyDescent="0.25">
      <c r="A473" s="203"/>
      <c r="J473" s="203"/>
      <c r="K473" s="203"/>
      <c r="N473" s="203"/>
      <c r="O473" s="203"/>
    </row>
    <row r="474" spans="1:15" ht="14.25" customHeight="1" x14ac:dyDescent="0.25">
      <c r="A474" s="203"/>
      <c r="J474" s="203"/>
      <c r="K474" s="203"/>
      <c r="N474" s="203"/>
      <c r="O474" s="203"/>
    </row>
    <row r="475" spans="1:15" ht="14.25" customHeight="1" x14ac:dyDescent="0.25">
      <c r="A475" s="203"/>
      <c r="J475" s="203"/>
      <c r="K475" s="203"/>
      <c r="N475" s="203"/>
      <c r="O475" s="203"/>
    </row>
    <row r="476" spans="1:15" ht="14.25" customHeight="1" x14ac:dyDescent="0.25">
      <c r="A476" s="203"/>
      <c r="J476" s="203"/>
      <c r="K476" s="203"/>
      <c r="N476" s="203"/>
      <c r="O476" s="203"/>
    </row>
    <row r="477" spans="1:15" ht="14.25" customHeight="1" x14ac:dyDescent="0.25">
      <c r="A477" s="203"/>
      <c r="J477" s="203"/>
      <c r="K477" s="203"/>
      <c r="N477" s="203"/>
      <c r="O477" s="203"/>
    </row>
    <row r="478" spans="1:15" ht="14.25" customHeight="1" x14ac:dyDescent="0.25">
      <c r="A478" s="203"/>
      <c r="J478" s="203"/>
      <c r="K478" s="203"/>
      <c r="N478" s="203"/>
      <c r="O478" s="203"/>
    </row>
    <row r="479" spans="1:15" ht="14.25" customHeight="1" x14ac:dyDescent="0.25">
      <c r="A479" s="203"/>
      <c r="J479" s="203"/>
      <c r="K479" s="203"/>
      <c r="N479" s="203"/>
      <c r="O479" s="203"/>
    </row>
    <row r="480" spans="1:15" ht="14.25" customHeight="1" x14ac:dyDescent="0.25">
      <c r="A480" s="203"/>
      <c r="J480" s="203"/>
      <c r="K480" s="203"/>
      <c r="N480" s="203"/>
      <c r="O480" s="203"/>
    </row>
    <row r="481" spans="1:15" ht="14.25" customHeight="1" x14ac:dyDescent="0.25">
      <c r="A481" s="203"/>
      <c r="J481" s="203"/>
      <c r="K481" s="203"/>
      <c r="N481" s="203"/>
      <c r="O481" s="203"/>
    </row>
    <row r="482" spans="1:15" ht="14.25" customHeight="1" x14ac:dyDescent="0.25">
      <c r="A482" s="203"/>
      <c r="J482" s="203"/>
      <c r="K482" s="203"/>
      <c r="N482" s="203"/>
      <c r="O482" s="203"/>
    </row>
    <row r="483" spans="1:15" ht="14.25" customHeight="1" x14ac:dyDescent="0.25">
      <c r="A483" s="203"/>
      <c r="J483" s="203"/>
      <c r="K483" s="203"/>
      <c r="N483" s="203"/>
      <c r="O483" s="203"/>
    </row>
    <row r="484" spans="1:15" ht="14.25" customHeight="1" x14ac:dyDescent="0.25">
      <c r="A484" s="203"/>
      <c r="J484" s="203"/>
      <c r="K484" s="203"/>
      <c r="N484" s="203"/>
      <c r="O484" s="203"/>
    </row>
    <row r="485" spans="1:15" ht="14.25" customHeight="1" x14ac:dyDescent="0.25">
      <c r="A485" s="203"/>
      <c r="J485" s="203"/>
      <c r="K485" s="203"/>
      <c r="N485" s="203"/>
      <c r="O485" s="203"/>
    </row>
    <row r="486" spans="1:15" ht="14.25" customHeight="1" x14ac:dyDescent="0.25">
      <c r="A486" s="203"/>
      <c r="J486" s="203"/>
      <c r="K486" s="203"/>
      <c r="N486" s="203"/>
      <c r="O486" s="203"/>
    </row>
    <row r="487" spans="1:15" ht="14.25" customHeight="1" x14ac:dyDescent="0.25">
      <c r="A487" s="203"/>
      <c r="J487" s="203"/>
      <c r="K487" s="203"/>
      <c r="N487" s="203"/>
      <c r="O487" s="203"/>
    </row>
    <row r="488" spans="1:15" ht="14.25" customHeight="1" x14ac:dyDescent="0.25">
      <c r="A488" s="203"/>
      <c r="J488" s="203"/>
      <c r="K488" s="203"/>
      <c r="N488" s="203"/>
      <c r="O488" s="203"/>
    </row>
    <row r="489" spans="1:15" ht="14.25" customHeight="1" x14ac:dyDescent="0.25">
      <c r="A489" s="203"/>
      <c r="J489" s="203"/>
      <c r="K489" s="203"/>
      <c r="N489" s="203"/>
      <c r="O489" s="203"/>
    </row>
    <row r="490" spans="1:15" ht="14.25" customHeight="1" x14ac:dyDescent="0.25">
      <c r="A490" s="203"/>
      <c r="J490" s="203"/>
      <c r="K490" s="203"/>
      <c r="N490" s="203"/>
      <c r="O490" s="203"/>
    </row>
    <row r="491" spans="1:15" ht="14.25" customHeight="1" x14ac:dyDescent="0.25">
      <c r="A491" s="203"/>
      <c r="J491" s="203"/>
      <c r="K491" s="203"/>
      <c r="N491" s="203"/>
      <c r="O491" s="203"/>
    </row>
    <row r="492" spans="1:15" ht="14.25" customHeight="1" x14ac:dyDescent="0.25">
      <c r="A492" s="203"/>
      <c r="J492" s="203"/>
      <c r="K492" s="203"/>
      <c r="N492" s="203"/>
      <c r="O492" s="203"/>
    </row>
    <row r="493" spans="1:15" ht="14.25" customHeight="1" x14ac:dyDescent="0.25">
      <c r="A493" s="203"/>
      <c r="J493" s="203"/>
      <c r="K493" s="203"/>
      <c r="N493" s="203"/>
      <c r="O493" s="203"/>
    </row>
    <row r="494" spans="1:15" ht="14.25" customHeight="1" x14ac:dyDescent="0.25">
      <c r="A494" s="203"/>
      <c r="J494" s="203"/>
      <c r="K494" s="203"/>
      <c r="N494" s="203"/>
      <c r="O494" s="203"/>
    </row>
    <row r="495" spans="1:15" ht="14.25" customHeight="1" x14ac:dyDescent="0.25">
      <c r="A495" s="203"/>
      <c r="J495" s="203"/>
      <c r="K495" s="203"/>
      <c r="N495" s="203"/>
      <c r="O495" s="203"/>
    </row>
    <row r="496" spans="1:15" ht="14.25" customHeight="1" x14ac:dyDescent="0.25">
      <c r="A496" s="203"/>
      <c r="J496" s="203"/>
      <c r="K496" s="203"/>
      <c r="N496" s="203"/>
      <c r="O496" s="203"/>
    </row>
    <row r="497" spans="1:15" ht="14.25" customHeight="1" x14ac:dyDescent="0.25">
      <c r="A497" s="203"/>
      <c r="J497" s="203"/>
      <c r="K497" s="203"/>
      <c r="N497" s="203"/>
      <c r="O497" s="203"/>
    </row>
    <row r="498" spans="1:15" ht="14.25" customHeight="1" x14ac:dyDescent="0.25">
      <c r="A498" s="203"/>
      <c r="J498" s="203"/>
      <c r="K498" s="203"/>
      <c r="N498" s="203"/>
      <c r="O498" s="203"/>
    </row>
    <row r="499" spans="1:15" ht="14.25" customHeight="1" x14ac:dyDescent="0.25">
      <c r="A499" s="203"/>
      <c r="J499" s="203"/>
      <c r="K499" s="203"/>
      <c r="N499" s="203"/>
      <c r="O499" s="203"/>
    </row>
    <row r="500" spans="1:15" ht="14.25" customHeight="1" x14ac:dyDescent="0.25">
      <c r="A500" s="203"/>
      <c r="J500" s="203"/>
      <c r="K500" s="203"/>
      <c r="N500" s="203"/>
      <c r="O500" s="203"/>
    </row>
    <row r="501" spans="1:15" ht="14.25" customHeight="1" x14ac:dyDescent="0.25">
      <c r="A501" s="203"/>
      <c r="J501" s="203"/>
      <c r="K501" s="203"/>
      <c r="N501" s="203"/>
      <c r="O501" s="203"/>
    </row>
    <row r="502" spans="1:15" ht="14.25" customHeight="1" x14ac:dyDescent="0.25">
      <c r="A502" s="203"/>
      <c r="J502" s="203"/>
      <c r="K502" s="203"/>
      <c r="N502" s="203"/>
      <c r="O502" s="203"/>
    </row>
    <row r="503" spans="1:15" ht="14.25" customHeight="1" x14ac:dyDescent="0.25">
      <c r="A503" s="203"/>
      <c r="J503" s="203"/>
      <c r="K503" s="203"/>
      <c r="N503" s="203"/>
      <c r="O503" s="203"/>
    </row>
    <row r="504" spans="1:15" ht="14.25" customHeight="1" x14ac:dyDescent="0.25">
      <c r="A504" s="203"/>
      <c r="J504" s="203"/>
      <c r="K504" s="203"/>
      <c r="N504" s="203"/>
      <c r="O504" s="203"/>
    </row>
    <row r="505" spans="1:15" ht="14.25" customHeight="1" x14ac:dyDescent="0.25">
      <c r="A505" s="203"/>
      <c r="J505" s="203"/>
      <c r="K505" s="203"/>
      <c r="N505" s="203"/>
      <c r="O505" s="203"/>
    </row>
    <row r="506" spans="1:15" ht="14.25" customHeight="1" x14ac:dyDescent="0.25">
      <c r="A506" s="203"/>
      <c r="J506" s="203"/>
      <c r="K506" s="203"/>
      <c r="N506" s="203"/>
      <c r="O506" s="203"/>
    </row>
    <row r="507" spans="1:15" ht="14.25" customHeight="1" x14ac:dyDescent="0.25">
      <c r="A507" s="203"/>
      <c r="J507" s="203"/>
      <c r="K507" s="203"/>
      <c r="N507" s="203"/>
      <c r="O507" s="203"/>
    </row>
    <row r="508" spans="1:15" ht="14.25" customHeight="1" x14ac:dyDescent="0.25">
      <c r="A508" s="203"/>
      <c r="J508" s="203"/>
      <c r="K508" s="203"/>
      <c r="N508" s="203"/>
      <c r="O508" s="203"/>
    </row>
    <row r="509" spans="1:15" ht="14.25" customHeight="1" x14ac:dyDescent="0.25">
      <c r="A509" s="203"/>
      <c r="J509" s="203"/>
      <c r="K509" s="203"/>
      <c r="N509" s="203"/>
      <c r="O509" s="203"/>
    </row>
    <row r="510" spans="1:15" ht="14.25" customHeight="1" x14ac:dyDescent="0.25">
      <c r="A510" s="203"/>
      <c r="J510" s="203"/>
      <c r="K510" s="203"/>
      <c r="N510" s="203"/>
      <c r="O510" s="203"/>
    </row>
    <row r="511" spans="1:15" ht="14.25" customHeight="1" x14ac:dyDescent="0.25">
      <c r="A511" s="203"/>
      <c r="J511" s="203"/>
      <c r="K511" s="203"/>
      <c r="N511" s="203"/>
      <c r="O511" s="203"/>
    </row>
    <row r="512" spans="1:15" ht="14.25" customHeight="1" x14ac:dyDescent="0.25">
      <c r="A512" s="203"/>
      <c r="J512" s="203"/>
      <c r="K512" s="203"/>
      <c r="N512" s="203"/>
      <c r="O512" s="203"/>
    </row>
    <row r="513" spans="1:15" ht="14.25" customHeight="1" x14ac:dyDescent="0.25">
      <c r="A513" s="203"/>
      <c r="J513" s="203"/>
      <c r="K513" s="203"/>
      <c r="N513" s="203"/>
      <c r="O513" s="203"/>
    </row>
    <row r="514" spans="1:15" ht="14.25" customHeight="1" x14ac:dyDescent="0.25">
      <c r="A514" s="203"/>
      <c r="J514" s="203"/>
      <c r="K514" s="203"/>
      <c r="N514" s="203"/>
      <c r="O514" s="203"/>
    </row>
    <row r="515" spans="1:15" ht="14.25" customHeight="1" x14ac:dyDescent="0.25">
      <c r="A515" s="203"/>
      <c r="J515" s="203"/>
      <c r="K515" s="203"/>
      <c r="N515" s="203"/>
      <c r="O515" s="203"/>
    </row>
    <row r="516" spans="1:15" ht="14.25" customHeight="1" x14ac:dyDescent="0.25">
      <c r="A516" s="203"/>
      <c r="J516" s="203"/>
      <c r="K516" s="203"/>
      <c r="N516" s="203"/>
      <c r="O516" s="203"/>
    </row>
    <row r="517" spans="1:15" ht="14.25" customHeight="1" x14ac:dyDescent="0.25">
      <c r="A517" s="203"/>
      <c r="J517" s="203"/>
      <c r="K517" s="203"/>
      <c r="N517" s="203"/>
      <c r="O517" s="203"/>
    </row>
    <row r="518" spans="1:15" ht="14.25" customHeight="1" x14ac:dyDescent="0.25">
      <c r="A518" s="203"/>
      <c r="J518" s="203"/>
      <c r="K518" s="203"/>
      <c r="N518" s="203"/>
      <c r="O518" s="203"/>
    </row>
    <row r="519" spans="1:15" ht="14.25" customHeight="1" x14ac:dyDescent="0.25">
      <c r="A519" s="203"/>
      <c r="J519" s="203"/>
      <c r="K519" s="203"/>
      <c r="N519" s="203"/>
      <c r="O519" s="203"/>
    </row>
    <row r="520" spans="1:15" ht="14.25" customHeight="1" x14ac:dyDescent="0.25">
      <c r="A520" s="203"/>
      <c r="J520" s="203"/>
      <c r="K520" s="203"/>
      <c r="N520" s="203"/>
      <c r="O520" s="203"/>
    </row>
    <row r="521" spans="1:15" ht="14.25" customHeight="1" x14ac:dyDescent="0.25">
      <c r="A521" s="203"/>
      <c r="J521" s="203"/>
      <c r="K521" s="203"/>
      <c r="N521" s="203"/>
      <c r="O521" s="203"/>
    </row>
    <row r="522" spans="1:15" ht="14.25" customHeight="1" x14ac:dyDescent="0.25">
      <c r="A522" s="203"/>
      <c r="J522" s="203"/>
      <c r="K522" s="203"/>
      <c r="N522" s="203"/>
      <c r="O522" s="203"/>
    </row>
    <row r="523" spans="1:15" ht="14.25" customHeight="1" x14ac:dyDescent="0.25">
      <c r="A523" s="203"/>
      <c r="J523" s="203"/>
      <c r="K523" s="203"/>
      <c r="N523" s="203"/>
      <c r="O523" s="203"/>
    </row>
    <row r="524" spans="1:15" ht="14.25" customHeight="1" x14ac:dyDescent="0.25">
      <c r="A524" s="203"/>
      <c r="J524" s="203"/>
      <c r="K524" s="203"/>
      <c r="N524" s="203"/>
      <c r="O524" s="203"/>
    </row>
    <row r="525" spans="1:15" ht="14.25" customHeight="1" x14ac:dyDescent="0.25">
      <c r="A525" s="203"/>
      <c r="J525" s="203"/>
      <c r="K525" s="203"/>
      <c r="N525" s="203"/>
      <c r="O525" s="203"/>
    </row>
    <row r="526" spans="1:15" ht="14.25" customHeight="1" x14ac:dyDescent="0.25">
      <c r="A526" s="203"/>
      <c r="J526" s="203"/>
      <c r="K526" s="203"/>
      <c r="N526" s="203"/>
      <c r="O526" s="203"/>
    </row>
    <row r="527" spans="1:15" ht="14.25" customHeight="1" x14ac:dyDescent="0.25">
      <c r="A527" s="203"/>
      <c r="J527" s="203"/>
      <c r="K527" s="203"/>
      <c r="N527" s="203"/>
      <c r="O527" s="203"/>
    </row>
    <row r="528" spans="1:15" ht="14.25" customHeight="1" x14ac:dyDescent="0.25">
      <c r="A528" s="203"/>
      <c r="J528" s="203"/>
      <c r="K528" s="203"/>
      <c r="N528" s="203"/>
      <c r="O528" s="203"/>
    </row>
    <row r="529" spans="1:15" ht="14.25" customHeight="1" x14ac:dyDescent="0.25">
      <c r="A529" s="203"/>
      <c r="J529" s="203"/>
      <c r="K529" s="203"/>
      <c r="N529" s="203"/>
      <c r="O529" s="203"/>
    </row>
    <row r="530" spans="1:15" ht="14.25" customHeight="1" x14ac:dyDescent="0.25">
      <c r="A530" s="203"/>
      <c r="J530" s="203"/>
      <c r="K530" s="203"/>
      <c r="N530" s="203"/>
      <c r="O530" s="203"/>
    </row>
    <row r="531" spans="1:15" ht="14.25" customHeight="1" x14ac:dyDescent="0.25">
      <c r="A531" s="203"/>
      <c r="J531" s="203"/>
      <c r="K531" s="203"/>
      <c r="N531" s="203"/>
      <c r="O531" s="203"/>
    </row>
    <row r="532" spans="1:15" ht="14.25" customHeight="1" x14ac:dyDescent="0.25">
      <c r="A532" s="203"/>
      <c r="J532" s="203"/>
      <c r="K532" s="203"/>
      <c r="N532" s="203"/>
      <c r="O532" s="203"/>
    </row>
    <row r="533" spans="1:15" ht="14.25" customHeight="1" x14ac:dyDescent="0.25">
      <c r="A533" s="203"/>
      <c r="J533" s="203"/>
      <c r="K533" s="203"/>
      <c r="N533" s="203"/>
      <c r="O533" s="203"/>
    </row>
    <row r="534" spans="1:15" ht="14.25" customHeight="1" x14ac:dyDescent="0.25">
      <c r="A534" s="203"/>
      <c r="J534" s="203"/>
      <c r="K534" s="203"/>
      <c r="N534" s="203"/>
      <c r="O534" s="203"/>
    </row>
    <row r="535" spans="1:15" ht="14.25" customHeight="1" x14ac:dyDescent="0.25">
      <c r="A535" s="203"/>
      <c r="J535" s="203"/>
      <c r="K535" s="203"/>
      <c r="N535" s="203"/>
      <c r="O535" s="203"/>
    </row>
    <row r="536" spans="1:15" ht="14.25" customHeight="1" x14ac:dyDescent="0.25">
      <c r="A536" s="203"/>
      <c r="J536" s="203"/>
      <c r="K536" s="203"/>
      <c r="N536" s="203"/>
      <c r="O536" s="203"/>
    </row>
    <row r="537" spans="1:15" ht="14.25" customHeight="1" x14ac:dyDescent="0.25">
      <c r="A537" s="203"/>
      <c r="J537" s="203"/>
      <c r="K537" s="203"/>
      <c r="N537" s="203"/>
      <c r="O537" s="203"/>
    </row>
    <row r="538" spans="1:15" ht="14.25" customHeight="1" x14ac:dyDescent="0.25">
      <c r="A538" s="203"/>
      <c r="J538" s="203"/>
      <c r="K538" s="203"/>
      <c r="N538" s="203"/>
      <c r="O538" s="203"/>
    </row>
    <row r="539" spans="1:15" ht="14.25" customHeight="1" x14ac:dyDescent="0.25">
      <c r="A539" s="203"/>
      <c r="J539" s="203"/>
      <c r="K539" s="203"/>
      <c r="N539" s="203"/>
      <c r="O539" s="203"/>
    </row>
    <row r="540" spans="1:15" ht="14.25" customHeight="1" x14ac:dyDescent="0.25">
      <c r="A540" s="203"/>
      <c r="J540" s="203"/>
      <c r="K540" s="203"/>
      <c r="N540" s="203"/>
      <c r="O540" s="203"/>
    </row>
    <row r="541" spans="1:15" ht="14.25" customHeight="1" x14ac:dyDescent="0.25">
      <c r="A541" s="203"/>
      <c r="J541" s="203"/>
      <c r="K541" s="203"/>
      <c r="N541" s="203"/>
      <c r="O541" s="203"/>
    </row>
    <row r="542" spans="1:15" ht="14.25" customHeight="1" x14ac:dyDescent="0.25">
      <c r="A542" s="203"/>
      <c r="J542" s="203"/>
      <c r="K542" s="203"/>
      <c r="N542" s="203"/>
      <c r="O542" s="203"/>
    </row>
    <row r="543" spans="1:15" ht="14.25" customHeight="1" x14ac:dyDescent="0.25">
      <c r="A543" s="203"/>
      <c r="J543" s="203"/>
      <c r="K543" s="203"/>
      <c r="N543" s="203"/>
      <c r="O543" s="203"/>
    </row>
    <row r="544" spans="1:15" ht="14.25" customHeight="1" x14ac:dyDescent="0.25">
      <c r="A544" s="203"/>
      <c r="J544" s="203"/>
      <c r="K544" s="203"/>
      <c r="N544" s="203"/>
      <c r="O544" s="203"/>
    </row>
    <row r="545" spans="1:15" ht="14.25" customHeight="1" x14ac:dyDescent="0.25">
      <c r="A545" s="203"/>
      <c r="J545" s="203"/>
      <c r="K545" s="203"/>
      <c r="N545" s="203"/>
      <c r="O545" s="203"/>
    </row>
    <row r="546" spans="1:15" ht="14.25" customHeight="1" x14ac:dyDescent="0.25">
      <c r="A546" s="203"/>
      <c r="J546" s="203"/>
      <c r="K546" s="203"/>
      <c r="N546" s="203"/>
      <c r="O546" s="203"/>
    </row>
    <row r="547" spans="1:15" ht="14.25" customHeight="1" x14ac:dyDescent="0.25">
      <c r="A547" s="203"/>
      <c r="J547" s="203"/>
      <c r="K547" s="203"/>
      <c r="N547" s="203"/>
      <c r="O547" s="203"/>
    </row>
    <row r="548" spans="1:15" ht="14.25" customHeight="1" x14ac:dyDescent="0.25">
      <c r="A548" s="203"/>
      <c r="J548" s="203"/>
      <c r="K548" s="203"/>
      <c r="N548" s="203"/>
      <c r="O548" s="203"/>
    </row>
    <row r="549" spans="1:15" ht="14.25" customHeight="1" x14ac:dyDescent="0.25">
      <c r="A549" s="203"/>
      <c r="J549" s="203"/>
      <c r="K549" s="203"/>
      <c r="N549" s="203"/>
      <c r="O549" s="203"/>
    </row>
    <row r="550" spans="1:15" ht="14.25" customHeight="1" x14ac:dyDescent="0.25">
      <c r="A550" s="203"/>
      <c r="J550" s="203"/>
      <c r="K550" s="203"/>
      <c r="N550" s="203"/>
      <c r="O550" s="203"/>
    </row>
    <row r="551" spans="1:15" ht="14.25" customHeight="1" x14ac:dyDescent="0.25">
      <c r="A551" s="203"/>
      <c r="J551" s="203"/>
      <c r="K551" s="203"/>
      <c r="N551" s="203"/>
      <c r="O551" s="203"/>
    </row>
    <row r="552" spans="1:15" ht="14.25" customHeight="1" x14ac:dyDescent="0.25">
      <c r="A552" s="203"/>
      <c r="J552" s="203"/>
      <c r="K552" s="203"/>
      <c r="N552" s="203"/>
      <c r="O552" s="203"/>
    </row>
    <row r="553" spans="1:15" ht="14.25" customHeight="1" x14ac:dyDescent="0.25">
      <c r="A553" s="203"/>
      <c r="J553" s="203"/>
      <c r="K553" s="203"/>
      <c r="N553" s="203"/>
      <c r="O553" s="203"/>
    </row>
    <row r="554" spans="1:15" ht="14.25" customHeight="1" x14ac:dyDescent="0.25">
      <c r="A554" s="203"/>
      <c r="J554" s="203"/>
      <c r="K554" s="203"/>
      <c r="N554" s="203"/>
      <c r="O554" s="203"/>
    </row>
    <row r="555" spans="1:15" ht="14.25" customHeight="1" x14ac:dyDescent="0.25">
      <c r="A555" s="203"/>
      <c r="J555" s="203"/>
      <c r="K555" s="203"/>
      <c r="N555" s="203"/>
      <c r="O555" s="203"/>
    </row>
    <row r="556" spans="1:15" ht="14.25" customHeight="1" x14ac:dyDescent="0.25">
      <c r="A556" s="203"/>
      <c r="J556" s="203"/>
      <c r="K556" s="203"/>
      <c r="N556" s="203"/>
      <c r="O556" s="203"/>
    </row>
    <row r="557" spans="1:15" ht="14.25" customHeight="1" x14ac:dyDescent="0.25">
      <c r="A557" s="203"/>
      <c r="J557" s="203"/>
      <c r="K557" s="203"/>
      <c r="N557" s="203"/>
      <c r="O557" s="203"/>
    </row>
    <row r="558" spans="1:15" ht="14.25" customHeight="1" x14ac:dyDescent="0.25">
      <c r="A558" s="203"/>
      <c r="J558" s="203"/>
      <c r="K558" s="203"/>
      <c r="N558" s="203"/>
      <c r="O558" s="203"/>
    </row>
    <row r="559" spans="1:15" ht="14.25" customHeight="1" x14ac:dyDescent="0.25">
      <c r="A559" s="203"/>
      <c r="J559" s="203"/>
      <c r="K559" s="203"/>
      <c r="N559" s="203"/>
      <c r="O559" s="203"/>
    </row>
    <row r="560" spans="1:15" ht="14.25" customHeight="1" x14ac:dyDescent="0.25">
      <c r="A560" s="203"/>
      <c r="J560" s="203"/>
      <c r="K560" s="203"/>
      <c r="N560" s="203"/>
      <c r="O560" s="203"/>
    </row>
    <row r="561" spans="1:15" ht="14.25" customHeight="1" x14ac:dyDescent="0.25">
      <c r="A561" s="203"/>
      <c r="J561" s="203"/>
      <c r="K561" s="203"/>
      <c r="N561" s="203"/>
      <c r="O561" s="203"/>
    </row>
    <row r="562" spans="1:15" ht="14.25" customHeight="1" x14ac:dyDescent="0.25">
      <c r="A562" s="203"/>
      <c r="J562" s="203"/>
      <c r="K562" s="203"/>
      <c r="N562" s="203"/>
      <c r="O562" s="203"/>
    </row>
    <row r="563" spans="1:15" ht="14.25" customHeight="1" x14ac:dyDescent="0.25">
      <c r="A563" s="203"/>
      <c r="J563" s="203"/>
      <c r="K563" s="203"/>
      <c r="N563" s="203"/>
      <c r="O563" s="203"/>
    </row>
    <row r="564" spans="1:15" ht="14.25" customHeight="1" x14ac:dyDescent="0.25">
      <c r="A564" s="203"/>
      <c r="J564" s="203"/>
      <c r="K564" s="203"/>
      <c r="N564" s="203"/>
      <c r="O564" s="203"/>
    </row>
    <row r="565" spans="1:15" ht="14.25" customHeight="1" x14ac:dyDescent="0.25">
      <c r="A565" s="203"/>
      <c r="J565" s="203"/>
      <c r="K565" s="203"/>
      <c r="N565" s="203"/>
      <c r="O565" s="203"/>
    </row>
    <row r="566" spans="1:15" ht="14.25" customHeight="1" x14ac:dyDescent="0.25">
      <c r="A566" s="203"/>
      <c r="J566" s="203"/>
      <c r="K566" s="203"/>
      <c r="N566" s="203"/>
      <c r="O566" s="203"/>
    </row>
    <row r="567" spans="1:15" ht="14.25" customHeight="1" x14ac:dyDescent="0.25">
      <c r="A567" s="203"/>
      <c r="J567" s="203"/>
      <c r="K567" s="203"/>
      <c r="N567" s="203"/>
      <c r="O567" s="203"/>
    </row>
    <row r="568" spans="1:15" ht="14.25" customHeight="1" x14ac:dyDescent="0.25">
      <c r="A568" s="203"/>
      <c r="J568" s="203"/>
      <c r="K568" s="203"/>
      <c r="N568" s="203"/>
      <c r="O568" s="203"/>
    </row>
    <row r="569" spans="1:15" ht="14.25" customHeight="1" x14ac:dyDescent="0.25">
      <c r="A569" s="203"/>
      <c r="J569" s="203"/>
      <c r="K569" s="203"/>
      <c r="N569" s="203"/>
      <c r="O569" s="203"/>
    </row>
    <row r="570" spans="1:15" ht="14.25" customHeight="1" x14ac:dyDescent="0.25">
      <c r="A570" s="203"/>
      <c r="J570" s="203"/>
      <c r="K570" s="203"/>
      <c r="N570" s="203"/>
      <c r="O570" s="203"/>
    </row>
    <row r="571" spans="1:15" ht="14.25" customHeight="1" x14ac:dyDescent="0.25">
      <c r="A571" s="203"/>
      <c r="J571" s="203"/>
      <c r="K571" s="203"/>
      <c r="N571" s="203"/>
      <c r="O571" s="203"/>
    </row>
    <row r="572" spans="1:15" ht="14.25" customHeight="1" x14ac:dyDescent="0.25">
      <c r="A572" s="203"/>
      <c r="J572" s="203"/>
      <c r="K572" s="203"/>
      <c r="N572" s="203"/>
      <c r="O572" s="203"/>
    </row>
    <row r="573" spans="1:15" ht="14.25" customHeight="1" x14ac:dyDescent="0.25">
      <c r="A573" s="203"/>
      <c r="J573" s="203"/>
      <c r="K573" s="203"/>
      <c r="N573" s="203"/>
      <c r="O573" s="203"/>
    </row>
    <row r="574" spans="1:15" ht="14.25" customHeight="1" x14ac:dyDescent="0.25">
      <c r="A574" s="203"/>
      <c r="J574" s="203"/>
      <c r="K574" s="203"/>
      <c r="N574" s="203"/>
      <c r="O574" s="203"/>
    </row>
    <row r="575" spans="1:15" ht="14.25" customHeight="1" x14ac:dyDescent="0.25">
      <c r="A575" s="203"/>
      <c r="J575" s="203"/>
      <c r="K575" s="203"/>
      <c r="N575" s="203"/>
      <c r="O575" s="203"/>
    </row>
    <row r="576" spans="1:15" ht="14.25" customHeight="1" x14ac:dyDescent="0.25">
      <c r="A576" s="203"/>
      <c r="J576" s="203"/>
      <c r="K576" s="203"/>
      <c r="N576" s="203"/>
      <c r="O576" s="203"/>
    </row>
    <row r="577" spans="1:15" ht="14.25" customHeight="1" x14ac:dyDescent="0.25">
      <c r="A577" s="203"/>
      <c r="J577" s="203"/>
      <c r="K577" s="203"/>
      <c r="N577" s="203"/>
      <c r="O577" s="203"/>
    </row>
    <row r="578" spans="1:15" ht="14.25" customHeight="1" x14ac:dyDescent="0.25">
      <c r="A578" s="203"/>
      <c r="J578" s="203"/>
      <c r="K578" s="203"/>
      <c r="N578" s="203"/>
      <c r="O578" s="203"/>
    </row>
    <row r="579" spans="1:15" ht="14.25" customHeight="1" x14ac:dyDescent="0.25">
      <c r="A579" s="203"/>
      <c r="J579" s="203"/>
      <c r="K579" s="203"/>
      <c r="N579" s="203"/>
      <c r="O579" s="203"/>
    </row>
    <row r="580" spans="1:15" ht="14.25" customHeight="1" x14ac:dyDescent="0.25">
      <c r="A580" s="203"/>
      <c r="J580" s="203"/>
      <c r="K580" s="203"/>
      <c r="N580" s="203"/>
      <c r="O580" s="203"/>
    </row>
    <row r="581" spans="1:15" ht="14.25" customHeight="1" x14ac:dyDescent="0.25">
      <c r="A581" s="203"/>
      <c r="J581" s="203"/>
      <c r="K581" s="203"/>
      <c r="N581" s="203"/>
      <c r="O581" s="203"/>
    </row>
    <row r="582" spans="1:15" ht="14.25" customHeight="1" x14ac:dyDescent="0.25">
      <c r="A582" s="203"/>
      <c r="J582" s="203"/>
      <c r="K582" s="203"/>
      <c r="N582" s="203"/>
      <c r="O582" s="203"/>
    </row>
    <row r="583" spans="1:15" ht="14.25" customHeight="1" x14ac:dyDescent="0.25">
      <c r="A583" s="203"/>
      <c r="J583" s="203"/>
      <c r="K583" s="203"/>
      <c r="N583" s="203"/>
      <c r="O583" s="203"/>
    </row>
    <row r="584" spans="1:15" ht="14.25" customHeight="1" x14ac:dyDescent="0.25">
      <c r="A584" s="203"/>
      <c r="J584" s="203"/>
      <c r="K584" s="203"/>
      <c r="N584" s="203"/>
      <c r="O584" s="203"/>
    </row>
    <row r="585" spans="1:15" ht="14.25" customHeight="1" x14ac:dyDescent="0.25">
      <c r="A585" s="203"/>
      <c r="J585" s="203"/>
      <c r="K585" s="203"/>
      <c r="N585" s="203"/>
      <c r="O585" s="203"/>
    </row>
    <row r="586" spans="1:15" ht="14.25" customHeight="1" x14ac:dyDescent="0.25">
      <c r="A586" s="203"/>
      <c r="J586" s="203"/>
      <c r="K586" s="203"/>
      <c r="N586" s="203"/>
      <c r="O586" s="203"/>
    </row>
    <row r="587" spans="1:15" ht="14.25" customHeight="1" x14ac:dyDescent="0.25">
      <c r="A587" s="203"/>
      <c r="J587" s="203"/>
      <c r="K587" s="203"/>
      <c r="N587" s="203"/>
      <c r="O587" s="203"/>
    </row>
    <row r="588" spans="1:15" ht="14.25" customHeight="1" x14ac:dyDescent="0.25">
      <c r="A588" s="203"/>
      <c r="J588" s="203"/>
      <c r="K588" s="203"/>
      <c r="N588" s="203"/>
      <c r="O588" s="203"/>
    </row>
    <row r="589" spans="1:15" ht="14.25" customHeight="1" x14ac:dyDescent="0.25">
      <c r="A589" s="203"/>
      <c r="J589" s="203"/>
      <c r="K589" s="203"/>
      <c r="N589" s="203"/>
      <c r="O589" s="203"/>
    </row>
    <row r="590" spans="1:15" ht="14.25" customHeight="1" x14ac:dyDescent="0.25">
      <c r="A590" s="203"/>
      <c r="J590" s="203"/>
      <c r="K590" s="203"/>
      <c r="N590" s="203"/>
      <c r="O590" s="203"/>
    </row>
    <row r="591" spans="1:15" ht="14.25" customHeight="1" x14ac:dyDescent="0.25">
      <c r="A591" s="203"/>
      <c r="J591" s="203"/>
      <c r="K591" s="203"/>
      <c r="N591" s="203"/>
      <c r="O591" s="203"/>
    </row>
    <row r="592" spans="1:15" ht="14.25" customHeight="1" x14ac:dyDescent="0.25">
      <c r="A592" s="203"/>
      <c r="J592" s="203"/>
      <c r="K592" s="203"/>
      <c r="N592" s="203"/>
      <c r="O592" s="203"/>
    </row>
    <row r="593" spans="1:15" ht="14.25" customHeight="1" x14ac:dyDescent="0.25">
      <c r="A593" s="203"/>
      <c r="J593" s="203"/>
      <c r="K593" s="203"/>
      <c r="N593" s="203"/>
      <c r="O593" s="203"/>
    </row>
    <row r="594" spans="1:15" ht="14.25" customHeight="1" x14ac:dyDescent="0.25">
      <c r="A594" s="203"/>
      <c r="J594" s="203"/>
      <c r="K594" s="203"/>
      <c r="N594" s="203"/>
      <c r="O594" s="203"/>
    </row>
    <row r="595" spans="1:15" ht="14.25" customHeight="1" x14ac:dyDescent="0.25">
      <c r="A595" s="203"/>
      <c r="J595" s="203"/>
      <c r="K595" s="203"/>
      <c r="N595" s="203"/>
      <c r="O595" s="203"/>
    </row>
    <row r="596" spans="1:15" ht="14.25" customHeight="1" x14ac:dyDescent="0.25">
      <c r="A596" s="203"/>
      <c r="J596" s="203"/>
      <c r="K596" s="203"/>
      <c r="N596" s="203"/>
      <c r="O596" s="203"/>
    </row>
    <row r="597" spans="1:15" ht="14.25" customHeight="1" x14ac:dyDescent="0.25">
      <c r="A597" s="203"/>
      <c r="J597" s="203"/>
      <c r="K597" s="203"/>
      <c r="N597" s="203"/>
      <c r="O597" s="203"/>
    </row>
    <row r="598" spans="1:15" ht="14.25" customHeight="1" x14ac:dyDescent="0.25">
      <c r="A598" s="203"/>
      <c r="J598" s="203"/>
      <c r="K598" s="203"/>
      <c r="N598" s="203"/>
      <c r="O598" s="203"/>
    </row>
    <row r="599" spans="1:15" ht="14.25" customHeight="1" x14ac:dyDescent="0.25">
      <c r="A599" s="203"/>
      <c r="J599" s="203"/>
      <c r="K599" s="203"/>
      <c r="N599" s="203"/>
      <c r="O599" s="203"/>
    </row>
    <row r="600" spans="1:15" ht="14.25" customHeight="1" x14ac:dyDescent="0.25">
      <c r="A600" s="203"/>
      <c r="J600" s="203"/>
      <c r="K600" s="203"/>
      <c r="N600" s="203"/>
      <c r="O600" s="203"/>
    </row>
    <row r="601" spans="1:15" ht="14.25" customHeight="1" x14ac:dyDescent="0.25">
      <c r="A601" s="203"/>
      <c r="J601" s="203"/>
      <c r="K601" s="203"/>
      <c r="N601" s="203"/>
      <c r="O601" s="203"/>
    </row>
    <row r="602" spans="1:15" ht="14.25" customHeight="1" x14ac:dyDescent="0.25">
      <c r="A602" s="203"/>
      <c r="J602" s="203"/>
      <c r="K602" s="203"/>
      <c r="N602" s="203"/>
      <c r="O602" s="203"/>
    </row>
    <row r="603" spans="1:15" ht="14.25" customHeight="1" x14ac:dyDescent="0.25">
      <c r="A603" s="203"/>
      <c r="J603" s="203"/>
      <c r="K603" s="203"/>
      <c r="N603" s="203"/>
      <c r="O603" s="203"/>
    </row>
    <row r="604" spans="1:15" ht="14.25" customHeight="1" x14ac:dyDescent="0.25">
      <c r="A604" s="203"/>
      <c r="J604" s="203"/>
      <c r="K604" s="203"/>
      <c r="N604" s="203"/>
      <c r="O604" s="203"/>
    </row>
    <row r="605" spans="1:15" ht="14.25" customHeight="1" x14ac:dyDescent="0.25">
      <c r="A605" s="203"/>
      <c r="J605" s="203"/>
      <c r="K605" s="203"/>
      <c r="N605" s="203"/>
      <c r="O605" s="203"/>
    </row>
    <row r="606" spans="1:15" ht="14.25" customHeight="1" x14ac:dyDescent="0.25">
      <c r="A606" s="203"/>
      <c r="J606" s="203"/>
      <c r="K606" s="203"/>
      <c r="N606" s="203"/>
      <c r="O606" s="203"/>
    </row>
    <row r="607" spans="1:15" ht="14.25" customHeight="1" x14ac:dyDescent="0.25">
      <c r="A607" s="203"/>
      <c r="J607" s="203"/>
      <c r="K607" s="203"/>
      <c r="N607" s="203"/>
      <c r="O607" s="203"/>
    </row>
    <row r="608" spans="1:15" ht="14.25" customHeight="1" x14ac:dyDescent="0.25">
      <c r="A608" s="203"/>
      <c r="J608" s="203"/>
      <c r="K608" s="203"/>
      <c r="N608" s="203"/>
      <c r="O608" s="203"/>
    </row>
    <row r="609" spans="1:15" ht="14.25" customHeight="1" x14ac:dyDescent="0.25">
      <c r="A609" s="203"/>
      <c r="J609" s="203"/>
      <c r="K609" s="203"/>
      <c r="N609" s="203"/>
      <c r="O609" s="203"/>
    </row>
    <row r="610" spans="1:15" ht="14.25" customHeight="1" x14ac:dyDescent="0.25">
      <c r="A610" s="203"/>
      <c r="J610" s="203"/>
      <c r="K610" s="203"/>
      <c r="N610" s="203"/>
      <c r="O610" s="203"/>
    </row>
    <row r="611" spans="1:15" ht="14.25" customHeight="1" x14ac:dyDescent="0.25">
      <c r="A611" s="203"/>
      <c r="J611" s="203"/>
      <c r="K611" s="203"/>
      <c r="N611" s="203"/>
      <c r="O611" s="203"/>
    </row>
    <row r="612" spans="1:15" ht="14.25" customHeight="1" x14ac:dyDescent="0.25">
      <c r="A612" s="203"/>
      <c r="J612" s="203"/>
      <c r="K612" s="203"/>
      <c r="N612" s="203"/>
      <c r="O612" s="203"/>
    </row>
    <row r="613" spans="1:15" ht="14.25" customHeight="1" x14ac:dyDescent="0.25">
      <c r="A613" s="203"/>
      <c r="J613" s="203"/>
      <c r="K613" s="203"/>
      <c r="N613" s="203"/>
      <c r="O613" s="203"/>
    </row>
    <row r="614" spans="1:15" ht="14.25" customHeight="1" x14ac:dyDescent="0.25">
      <c r="A614" s="203"/>
      <c r="J614" s="203"/>
      <c r="K614" s="203"/>
      <c r="N614" s="203"/>
      <c r="O614" s="203"/>
    </row>
    <row r="615" spans="1:15" ht="14.25" customHeight="1" x14ac:dyDescent="0.25">
      <c r="A615" s="203"/>
      <c r="J615" s="203"/>
      <c r="K615" s="203"/>
      <c r="N615" s="203"/>
      <c r="O615" s="203"/>
    </row>
    <row r="616" spans="1:15" ht="14.25" customHeight="1" x14ac:dyDescent="0.25">
      <c r="A616" s="203"/>
      <c r="J616" s="203"/>
      <c r="K616" s="203"/>
      <c r="N616" s="203"/>
      <c r="O616" s="203"/>
    </row>
    <row r="617" spans="1:15" ht="14.25" customHeight="1" x14ac:dyDescent="0.25">
      <c r="A617" s="203"/>
      <c r="J617" s="203"/>
      <c r="K617" s="203"/>
      <c r="N617" s="203"/>
      <c r="O617" s="203"/>
    </row>
    <row r="618" spans="1:15" ht="14.25" customHeight="1" x14ac:dyDescent="0.25">
      <c r="A618" s="203"/>
      <c r="J618" s="203"/>
      <c r="K618" s="203"/>
      <c r="N618" s="203"/>
      <c r="O618" s="203"/>
    </row>
    <row r="619" spans="1:15" ht="14.25" customHeight="1" x14ac:dyDescent="0.25">
      <c r="A619" s="203"/>
      <c r="J619" s="203"/>
      <c r="K619" s="203"/>
      <c r="N619" s="203"/>
      <c r="O619" s="203"/>
    </row>
    <row r="620" spans="1:15" ht="14.25" customHeight="1" x14ac:dyDescent="0.25">
      <c r="A620" s="203"/>
      <c r="J620" s="203"/>
      <c r="K620" s="203"/>
      <c r="N620" s="203"/>
      <c r="O620" s="203"/>
    </row>
    <row r="621" spans="1:15" ht="14.25" customHeight="1" x14ac:dyDescent="0.25">
      <c r="A621" s="203"/>
      <c r="J621" s="203"/>
      <c r="K621" s="203"/>
      <c r="N621" s="203"/>
      <c r="O621" s="203"/>
    </row>
    <row r="622" spans="1:15" ht="14.25" customHeight="1" x14ac:dyDescent="0.25">
      <c r="A622" s="203"/>
      <c r="J622" s="203"/>
      <c r="K622" s="203"/>
      <c r="N622" s="203"/>
      <c r="O622" s="203"/>
    </row>
    <row r="623" spans="1:15" ht="14.25" customHeight="1" x14ac:dyDescent="0.25">
      <c r="A623" s="203"/>
      <c r="J623" s="203"/>
      <c r="K623" s="203"/>
      <c r="N623" s="203"/>
      <c r="O623" s="203"/>
    </row>
    <row r="624" spans="1:15" ht="14.25" customHeight="1" x14ac:dyDescent="0.25">
      <c r="A624" s="203"/>
      <c r="J624" s="203"/>
      <c r="K624" s="203"/>
      <c r="N624" s="203"/>
      <c r="O624" s="203"/>
    </row>
    <row r="625" spans="1:15" ht="14.25" customHeight="1" x14ac:dyDescent="0.25">
      <c r="A625" s="203"/>
      <c r="J625" s="203"/>
      <c r="K625" s="203"/>
      <c r="N625" s="203"/>
      <c r="O625" s="203"/>
    </row>
    <row r="626" spans="1:15" ht="14.25" customHeight="1" x14ac:dyDescent="0.25">
      <c r="A626" s="203"/>
      <c r="J626" s="203"/>
      <c r="K626" s="203"/>
      <c r="N626" s="203"/>
      <c r="O626" s="203"/>
    </row>
    <row r="627" spans="1:15" ht="14.25" customHeight="1" x14ac:dyDescent="0.25">
      <c r="A627" s="203"/>
      <c r="J627" s="203"/>
      <c r="K627" s="203"/>
      <c r="N627" s="203"/>
      <c r="O627" s="203"/>
    </row>
    <row r="628" spans="1:15" ht="14.25" customHeight="1" x14ac:dyDescent="0.25">
      <c r="A628" s="203"/>
      <c r="J628" s="203"/>
      <c r="K628" s="203"/>
      <c r="N628" s="203"/>
      <c r="O628" s="203"/>
    </row>
    <row r="629" spans="1:15" ht="14.25" customHeight="1" x14ac:dyDescent="0.25">
      <c r="A629" s="203"/>
      <c r="J629" s="203"/>
      <c r="K629" s="203"/>
      <c r="N629" s="203"/>
      <c r="O629" s="203"/>
    </row>
    <row r="630" spans="1:15" ht="14.25" customHeight="1" x14ac:dyDescent="0.25">
      <c r="A630" s="203"/>
      <c r="J630" s="203"/>
      <c r="K630" s="203"/>
      <c r="N630" s="203"/>
      <c r="O630" s="203"/>
    </row>
    <row r="631" spans="1:15" ht="14.25" customHeight="1" x14ac:dyDescent="0.25">
      <c r="A631" s="203"/>
      <c r="J631" s="203"/>
      <c r="K631" s="203"/>
      <c r="N631" s="203"/>
      <c r="O631" s="203"/>
    </row>
    <row r="632" spans="1:15" ht="14.25" customHeight="1" x14ac:dyDescent="0.25">
      <c r="A632" s="203"/>
      <c r="J632" s="203"/>
      <c r="K632" s="203"/>
      <c r="N632" s="203"/>
      <c r="O632" s="203"/>
    </row>
    <row r="633" spans="1:15" ht="14.25" customHeight="1" x14ac:dyDescent="0.25">
      <c r="A633" s="203"/>
      <c r="J633" s="203"/>
      <c r="K633" s="203"/>
      <c r="N633" s="203"/>
      <c r="O633" s="203"/>
    </row>
    <row r="634" spans="1:15" ht="14.25" customHeight="1" x14ac:dyDescent="0.25">
      <c r="A634" s="203"/>
      <c r="J634" s="203"/>
      <c r="K634" s="203"/>
      <c r="N634" s="203"/>
      <c r="O634" s="203"/>
    </row>
    <row r="635" spans="1:15" ht="14.25" customHeight="1" x14ac:dyDescent="0.25">
      <c r="A635" s="203"/>
      <c r="J635" s="203"/>
      <c r="K635" s="203"/>
      <c r="N635" s="203"/>
      <c r="O635" s="203"/>
    </row>
    <row r="636" spans="1:15" ht="14.25" customHeight="1" x14ac:dyDescent="0.25">
      <c r="A636" s="203"/>
      <c r="J636" s="203"/>
      <c r="K636" s="203"/>
      <c r="N636" s="203"/>
      <c r="O636" s="203"/>
    </row>
    <row r="637" spans="1:15" ht="14.25" customHeight="1" x14ac:dyDescent="0.25">
      <c r="A637" s="203"/>
      <c r="J637" s="203"/>
      <c r="K637" s="203"/>
      <c r="N637" s="203"/>
      <c r="O637" s="203"/>
    </row>
    <row r="638" spans="1:15" ht="14.25" customHeight="1" x14ac:dyDescent="0.25">
      <c r="A638" s="203"/>
      <c r="J638" s="203"/>
      <c r="K638" s="203"/>
      <c r="N638" s="203"/>
      <c r="O638" s="203"/>
    </row>
    <row r="639" spans="1:15" ht="14.25" customHeight="1" x14ac:dyDescent="0.25">
      <c r="A639" s="203"/>
      <c r="J639" s="203"/>
      <c r="K639" s="203"/>
      <c r="N639" s="203"/>
      <c r="O639" s="203"/>
    </row>
    <row r="640" spans="1:15" ht="14.25" customHeight="1" x14ac:dyDescent="0.25">
      <c r="A640" s="203"/>
      <c r="J640" s="203"/>
      <c r="K640" s="203"/>
      <c r="N640" s="203"/>
      <c r="O640" s="203"/>
    </row>
    <row r="641" spans="1:15" ht="14.25" customHeight="1" x14ac:dyDescent="0.25">
      <c r="A641" s="203"/>
      <c r="J641" s="203"/>
      <c r="K641" s="203"/>
      <c r="N641" s="203"/>
      <c r="O641" s="203"/>
    </row>
    <row r="642" spans="1:15" ht="14.25" customHeight="1" x14ac:dyDescent="0.25">
      <c r="A642" s="203"/>
      <c r="J642" s="203"/>
      <c r="K642" s="203"/>
      <c r="N642" s="203"/>
      <c r="O642" s="203"/>
    </row>
    <row r="643" spans="1:15" ht="14.25" customHeight="1" x14ac:dyDescent="0.25">
      <c r="A643" s="203"/>
      <c r="J643" s="203"/>
      <c r="K643" s="203"/>
      <c r="N643" s="203"/>
      <c r="O643" s="203"/>
    </row>
    <row r="644" spans="1:15" ht="14.25" customHeight="1" x14ac:dyDescent="0.25">
      <c r="A644" s="203"/>
      <c r="J644" s="203"/>
      <c r="K644" s="203"/>
      <c r="N644" s="203"/>
      <c r="O644" s="203"/>
    </row>
    <row r="645" spans="1:15" ht="14.25" customHeight="1" x14ac:dyDescent="0.25">
      <c r="A645" s="203"/>
      <c r="J645" s="203"/>
      <c r="K645" s="203"/>
      <c r="N645" s="203"/>
      <c r="O645" s="203"/>
    </row>
    <row r="646" spans="1:15" ht="14.25" customHeight="1" x14ac:dyDescent="0.25">
      <c r="A646" s="203"/>
      <c r="J646" s="203"/>
      <c r="K646" s="203"/>
      <c r="N646" s="203"/>
      <c r="O646" s="203"/>
    </row>
    <row r="647" spans="1:15" ht="14.25" customHeight="1" x14ac:dyDescent="0.25">
      <c r="A647" s="203"/>
      <c r="J647" s="203"/>
      <c r="K647" s="203"/>
      <c r="N647" s="203"/>
      <c r="O647" s="203"/>
    </row>
    <row r="648" spans="1:15" ht="14.25" customHeight="1" x14ac:dyDescent="0.25">
      <c r="A648" s="203"/>
      <c r="J648" s="203"/>
      <c r="K648" s="203"/>
      <c r="N648" s="203"/>
      <c r="O648" s="203"/>
    </row>
    <row r="649" spans="1:15" ht="14.25" customHeight="1" x14ac:dyDescent="0.25">
      <c r="A649" s="203"/>
      <c r="J649" s="203"/>
      <c r="K649" s="203"/>
      <c r="N649" s="203"/>
      <c r="O649" s="203"/>
    </row>
    <row r="650" spans="1:15" ht="14.25" customHeight="1" x14ac:dyDescent="0.25">
      <c r="A650" s="203"/>
      <c r="J650" s="203"/>
      <c r="K650" s="203"/>
      <c r="N650" s="203"/>
      <c r="O650" s="203"/>
    </row>
    <row r="651" spans="1:15" ht="14.25" customHeight="1" x14ac:dyDescent="0.25">
      <c r="A651" s="203"/>
      <c r="J651" s="203"/>
      <c r="K651" s="203"/>
      <c r="N651" s="203"/>
      <c r="O651" s="203"/>
    </row>
    <row r="652" spans="1:15" ht="14.25" customHeight="1" x14ac:dyDescent="0.25">
      <c r="A652" s="203"/>
      <c r="J652" s="203"/>
      <c r="K652" s="203"/>
      <c r="N652" s="203"/>
      <c r="O652" s="203"/>
    </row>
    <row r="653" spans="1:15" ht="14.25" customHeight="1" x14ac:dyDescent="0.25">
      <c r="A653" s="203"/>
      <c r="J653" s="203"/>
      <c r="K653" s="203"/>
      <c r="N653" s="203"/>
      <c r="O653" s="203"/>
    </row>
    <row r="654" spans="1:15" ht="14.25" customHeight="1" x14ac:dyDescent="0.25">
      <c r="A654" s="203"/>
      <c r="J654" s="203"/>
      <c r="K654" s="203"/>
      <c r="N654" s="203"/>
      <c r="O654" s="203"/>
    </row>
    <row r="655" spans="1:15" ht="14.25" customHeight="1" x14ac:dyDescent="0.25">
      <c r="A655" s="203"/>
      <c r="J655" s="203"/>
      <c r="K655" s="203"/>
      <c r="N655" s="203"/>
      <c r="O655" s="203"/>
    </row>
    <row r="656" spans="1:15" ht="14.25" customHeight="1" x14ac:dyDescent="0.25">
      <c r="A656" s="203"/>
      <c r="J656" s="203"/>
      <c r="K656" s="203"/>
      <c r="N656" s="203"/>
      <c r="O656" s="203"/>
    </row>
    <row r="657" spans="1:15" ht="14.25" customHeight="1" x14ac:dyDescent="0.25">
      <c r="A657" s="203"/>
      <c r="J657" s="203"/>
      <c r="K657" s="203"/>
      <c r="N657" s="203"/>
      <c r="O657" s="203"/>
    </row>
    <row r="658" spans="1:15" ht="14.25" customHeight="1" x14ac:dyDescent="0.25">
      <c r="A658" s="203"/>
      <c r="J658" s="203"/>
      <c r="K658" s="203"/>
      <c r="N658" s="203"/>
      <c r="O658" s="203"/>
    </row>
    <row r="659" spans="1:15" ht="14.25" customHeight="1" x14ac:dyDescent="0.25">
      <c r="A659" s="203"/>
      <c r="J659" s="203"/>
      <c r="K659" s="203"/>
      <c r="N659" s="203"/>
      <c r="O659" s="203"/>
    </row>
    <row r="660" spans="1:15" ht="14.25" customHeight="1" x14ac:dyDescent="0.25">
      <c r="A660" s="203"/>
      <c r="J660" s="203"/>
      <c r="K660" s="203"/>
      <c r="N660" s="203"/>
      <c r="O660" s="203"/>
    </row>
    <row r="661" spans="1:15" ht="14.25" customHeight="1" x14ac:dyDescent="0.25">
      <c r="A661" s="203"/>
      <c r="J661" s="203"/>
      <c r="K661" s="203"/>
      <c r="N661" s="203"/>
      <c r="O661" s="203"/>
    </row>
    <row r="662" spans="1:15" ht="14.25" customHeight="1" x14ac:dyDescent="0.25">
      <c r="A662" s="203"/>
      <c r="J662" s="203"/>
      <c r="K662" s="203"/>
      <c r="N662" s="203"/>
      <c r="O662" s="203"/>
    </row>
    <row r="663" spans="1:15" ht="14.25" customHeight="1" x14ac:dyDescent="0.25">
      <c r="A663" s="203"/>
      <c r="J663" s="203"/>
      <c r="K663" s="203"/>
      <c r="N663" s="203"/>
      <c r="O663" s="203"/>
    </row>
    <row r="664" spans="1:15" ht="14.25" customHeight="1" x14ac:dyDescent="0.25">
      <c r="A664" s="203"/>
      <c r="J664" s="203"/>
      <c r="K664" s="203"/>
      <c r="N664" s="203"/>
      <c r="O664" s="203"/>
    </row>
    <row r="665" spans="1:15" ht="14.25" customHeight="1" x14ac:dyDescent="0.25">
      <c r="A665" s="203"/>
      <c r="J665" s="203"/>
      <c r="K665" s="203"/>
      <c r="N665" s="203"/>
      <c r="O665" s="203"/>
    </row>
    <row r="666" spans="1:15" ht="14.25" customHeight="1" x14ac:dyDescent="0.25">
      <c r="A666" s="203"/>
      <c r="J666" s="203"/>
      <c r="K666" s="203"/>
      <c r="N666" s="203"/>
      <c r="O666" s="203"/>
    </row>
    <row r="667" spans="1:15" ht="14.25" customHeight="1" x14ac:dyDescent="0.25">
      <c r="A667" s="203"/>
      <c r="J667" s="203"/>
      <c r="K667" s="203"/>
      <c r="N667" s="203"/>
      <c r="O667" s="203"/>
    </row>
    <row r="668" spans="1:15" ht="14.25" customHeight="1" x14ac:dyDescent="0.25">
      <c r="A668" s="203"/>
      <c r="J668" s="203"/>
      <c r="K668" s="203"/>
      <c r="N668" s="203"/>
      <c r="O668" s="203"/>
    </row>
    <row r="669" spans="1:15" ht="14.25" customHeight="1" x14ac:dyDescent="0.25">
      <c r="A669" s="203"/>
      <c r="J669" s="203"/>
      <c r="K669" s="203"/>
      <c r="N669" s="203"/>
      <c r="O669" s="203"/>
    </row>
    <row r="670" spans="1:15" ht="14.25" customHeight="1" x14ac:dyDescent="0.25">
      <c r="A670" s="203"/>
      <c r="J670" s="203"/>
      <c r="K670" s="203"/>
      <c r="N670" s="203"/>
      <c r="O670" s="203"/>
    </row>
    <row r="671" spans="1:15" ht="14.25" customHeight="1" x14ac:dyDescent="0.25">
      <c r="A671" s="203"/>
      <c r="J671" s="203"/>
      <c r="K671" s="203"/>
      <c r="N671" s="203"/>
      <c r="O671" s="203"/>
    </row>
    <row r="672" spans="1:15" ht="14.25" customHeight="1" x14ac:dyDescent="0.25">
      <c r="A672" s="203"/>
      <c r="J672" s="203"/>
      <c r="K672" s="203"/>
      <c r="N672" s="203"/>
      <c r="O672" s="203"/>
    </row>
    <row r="673" spans="1:15" ht="14.25" customHeight="1" x14ac:dyDescent="0.25">
      <c r="A673" s="203"/>
      <c r="J673" s="203"/>
      <c r="K673" s="203"/>
      <c r="N673" s="203"/>
      <c r="O673" s="203"/>
    </row>
    <row r="674" spans="1:15" ht="14.25" customHeight="1" x14ac:dyDescent="0.25">
      <c r="A674" s="203"/>
      <c r="J674" s="203"/>
      <c r="K674" s="203"/>
      <c r="N674" s="203"/>
      <c r="O674" s="203"/>
    </row>
    <row r="675" spans="1:15" ht="14.25" customHeight="1" x14ac:dyDescent="0.25">
      <c r="A675" s="203"/>
      <c r="J675" s="203"/>
      <c r="K675" s="203"/>
      <c r="N675" s="203"/>
      <c r="O675" s="203"/>
    </row>
    <row r="676" spans="1:15" ht="14.25" customHeight="1" x14ac:dyDescent="0.25">
      <c r="A676" s="203"/>
      <c r="J676" s="203"/>
      <c r="K676" s="203"/>
      <c r="N676" s="203"/>
      <c r="O676" s="203"/>
    </row>
    <row r="677" spans="1:15" ht="14.25" customHeight="1" x14ac:dyDescent="0.25">
      <c r="A677" s="203"/>
      <c r="J677" s="203"/>
      <c r="K677" s="203"/>
      <c r="N677" s="203"/>
      <c r="O677" s="203"/>
    </row>
    <row r="678" spans="1:15" ht="14.25" customHeight="1" x14ac:dyDescent="0.25">
      <c r="A678" s="203"/>
      <c r="J678" s="203"/>
      <c r="K678" s="203"/>
      <c r="N678" s="203"/>
      <c r="O678" s="203"/>
    </row>
    <row r="679" spans="1:15" ht="14.25" customHeight="1" x14ac:dyDescent="0.25">
      <c r="A679" s="203"/>
      <c r="J679" s="203"/>
      <c r="K679" s="203"/>
      <c r="N679" s="203"/>
      <c r="O679" s="203"/>
    </row>
    <row r="680" spans="1:15" ht="14.25" customHeight="1" x14ac:dyDescent="0.25">
      <c r="A680" s="203"/>
      <c r="J680" s="203"/>
      <c r="K680" s="203"/>
      <c r="N680" s="203"/>
      <c r="O680" s="203"/>
    </row>
    <row r="681" spans="1:15" ht="14.25" customHeight="1" x14ac:dyDescent="0.25">
      <c r="A681" s="203"/>
      <c r="J681" s="203"/>
      <c r="K681" s="203"/>
      <c r="N681" s="203"/>
      <c r="O681" s="203"/>
    </row>
    <row r="682" spans="1:15" ht="14.25" customHeight="1" x14ac:dyDescent="0.25">
      <c r="A682" s="203"/>
      <c r="J682" s="203"/>
      <c r="K682" s="203"/>
      <c r="N682" s="203"/>
      <c r="O682" s="203"/>
    </row>
    <row r="683" spans="1:15" ht="14.25" customHeight="1" x14ac:dyDescent="0.25">
      <c r="A683" s="203"/>
      <c r="J683" s="203"/>
      <c r="K683" s="203"/>
      <c r="N683" s="203"/>
      <c r="O683" s="203"/>
    </row>
    <row r="684" spans="1:15" ht="14.25" customHeight="1" x14ac:dyDescent="0.25">
      <c r="A684" s="203"/>
      <c r="J684" s="203"/>
      <c r="K684" s="203"/>
      <c r="N684" s="203"/>
      <c r="O684" s="203"/>
    </row>
    <row r="685" spans="1:15" ht="14.25" customHeight="1" x14ac:dyDescent="0.25">
      <c r="A685" s="203"/>
      <c r="J685" s="203"/>
      <c r="K685" s="203"/>
      <c r="N685" s="203"/>
      <c r="O685" s="203"/>
    </row>
    <row r="686" spans="1:15" ht="14.25" customHeight="1" x14ac:dyDescent="0.25">
      <c r="A686" s="203"/>
      <c r="J686" s="203"/>
      <c r="K686" s="203"/>
      <c r="N686" s="203"/>
      <c r="O686" s="203"/>
    </row>
    <row r="687" spans="1:15" ht="14.25" customHeight="1" x14ac:dyDescent="0.25">
      <c r="A687" s="203"/>
      <c r="J687" s="203"/>
      <c r="K687" s="203"/>
      <c r="N687" s="203"/>
      <c r="O687" s="203"/>
    </row>
    <row r="688" spans="1:15" ht="14.25" customHeight="1" x14ac:dyDescent="0.25">
      <c r="A688" s="203"/>
      <c r="J688" s="203"/>
      <c r="K688" s="203"/>
      <c r="N688" s="203"/>
      <c r="O688" s="203"/>
    </row>
    <row r="689" spans="1:15" ht="14.25" customHeight="1" x14ac:dyDescent="0.25">
      <c r="A689" s="203"/>
      <c r="J689" s="203"/>
      <c r="K689" s="203"/>
      <c r="N689" s="203"/>
      <c r="O689" s="203"/>
    </row>
    <row r="690" spans="1:15" ht="14.25" customHeight="1" x14ac:dyDescent="0.25">
      <c r="A690" s="203"/>
      <c r="J690" s="203"/>
      <c r="K690" s="203"/>
      <c r="N690" s="203"/>
      <c r="O690" s="203"/>
    </row>
    <row r="691" spans="1:15" ht="14.25" customHeight="1" x14ac:dyDescent="0.25">
      <c r="A691" s="203"/>
      <c r="J691" s="203"/>
      <c r="K691" s="203"/>
      <c r="N691" s="203"/>
      <c r="O691" s="203"/>
    </row>
    <row r="692" spans="1:15" ht="14.25" customHeight="1" x14ac:dyDescent="0.25">
      <c r="A692" s="203"/>
      <c r="J692" s="203"/>
      <c r="K692" s="203"/>
      <c r="N692" s="203"/>
      <c r="O692" s="203"/>
    </row>
    <row r="693" spans="1:15" ht="14.25" customHeight="1" x14ac:dyDescent="0.25">
      <c r="A693" s="203"/>
      <c r="J693" s="203"/>
      <c r="K693" s="203"/>
      <c r="N693" s="203"/>
      <c r="O693" s="203"/>
    </row>
    <row r="694" spans="1:15" ht="14.25" customHeight="1" x14ac:dyDescent="0.25">
      <c r="A694" s="203"/>
      <c r="J694" s="203"/>
      <c r="K694" s="203"/>
      <c r="N694" s="203"/>
      <c r="O694" s="203"/>
    </row>
    <row r="695" spans="1:15" ht="14.25" customHeight="1" x14ac:dyDescent="0.25">
      <c r="A695" s="203"/>
      <c r="J695" s="203"/>
      <c r="K695" s="203"/>
      <c r="N695" s="203"/>
      <c r="O695" s="203"/>
    </row>
    <row r="696" spans="1:15" ht="14.25" customHeight="1" x14ac:dyDescent="0.25">
      <c r="A696" s="203"/>
      <c r="J696" s="203"/>
      <c r="K696" s="203"/>
      <c r="N696" s="203"/>
      <c r="O696" s="203"/>
    </row>
    <row r="697" spans="1:15" ht="14.25" customHeight="1" x14ac:dyDescent="0.25">
      <c r="A697" s="203"/>
      <c r="J697" s="203"/>
      <c r="K697" s="203"/>
      <c r="N697" s="203"/>
      <c r="O697" s="203"/>
    </row>
    <row r="698" spans="1:15" ht="14.25" customHeight="1" x14ac:dyDescent="0.25">
      <c r="A698" s="203"/>
      <c r="J698" s="203"/>
      <c r="K698" s="203"/>
      <c r="N698" s="203"/>
      <c r="O698" s="203"/>
    </row>
    <row r="699" spans="1:15" ht="14.25" customHeight="1" x14ac:dyDescent="0.25">
      <c r="A699" s="203"/>
      <c r="J699" s="203"/>
      <c r="K699" s="203"/>
      <c r="N699" s="203"/>
      <c r="O699" s="203"/>
    </row>
    <row r="700" spans="1:15" ht="14.25" customHeight="1" x14ac:dyDescent="0.25">
      <c r="A700" s="203"/>
      <c r="J700" s="203"/>
      <c r="K700" s="203"/>
      <c r="N700" s="203"/>
      <c r="O700" s="203"/>
    </row>
    <row r="701" spans="1:15" ht="14.25" customHeight="1" x14ac:dyDescent="0.25">
      <c r="A701" s="203"/>
      <c r="J701" s="203"/>
      <c r="K701" s="203"/>
      <c r="N701" s="203"/>
      <c r="O701" s="203"/>
    </row>
    <row r="702" spans="1:15" ht="14.25" customHeight="1" x14ac:dyDescent="0.25">
      <c r="A702" s="203"/>
      <c r="J702" s="203"/>
      <c r="K702" s="203"/>
      <c r="N702" s="203"/>
      <c r="O702" s="203"/>
    </row>
    <row r="703" spans="1:15" ht="14.25" customHeight="1" x14ac:dyDescent="0.25">
      <c r="A703" s="203"/>
      <c r="J703" s="203"/>
      <c r="K703" s="203"/>
      <c r="N703" s="203"/>
      <c r="O703" s="203"/>
    </row>
    <row r="704" spans="1:15" ht="14.25" customHeight="1" x14ac:dyDescent="0.25">
      <c r="A704" s="203"/>
      <c r="J704" s="203"/>
      <c r="K704" s="203"/>
      <c r="N704" s="203"/>
      <c r="O704" s="203"/>
    </row>
    <row r="705" spans="1:15" ht="14.25" customHeight="1" x14ac:dyDescent="0.25">
      <c r="A705" s="203"/>
      <c r="J705" s="203"/>
      <c r="K705" s="203"/>
      <c r="N705" s="203"/>
      <c r="O705" s="203"/>
    </row>
    <row r="706" spans="1:15" ht="14.25" customHeight="1" x14ac:dyDescent="0.25">
      <c r="A706" s="203"/>
      <c r="J706" s="203"/>
      <c r="K706" s="203"/>
      <c r="N706" s="203"/>
      <c r="O706" s="203"/>
    </row>
    <row r="707" spans="1:15" ht="14.25" customHeight="1" x14ac:dyDescent="0.25">
      <c r="A707" s="203"/>
      <c r="J707" s="203"/>
      <c r="K707" s="203"/>
      <c r="N707" s="203"/>
      <c r="O707" s="203"/>
    </row>
    <row r="708" spans="1:15" ht="14.25" customHeight="1" x14ac:dyDescent="0.25">
      <c r="A708" s="203"/>
      <c r="J708" s="203"/>
      <c r="K708" s="203"/>
      <c r="N708" s="203"/>
      <c r="O708" s="203"/>
    </row>
    <row r="709" spans="1:15" ht="14.25" customHeight="1" x14ac:dyDescent="0.25">
      <c r="A709" s="203"/>
      <c r="J709" s="203"/>
      <c r="K709" s="203"/>
      <c r="N709" s="203"/>
      <c r="O709" s="203"/>
    </row>
    <row r="710" spans="1:15" ht="14.25" customHeight="1" x14ac:dyDescent="0.25">
      <c r="A710" s="203"/>
      <c r="J710" s="203"/>
      <c r="K710" s="203"/>
      <c r="N710" s="203"/>
      <c r="O710" s="203"/>
    </row>
    <row r="711" spans="1:15" ht="14.25" customHeight="1" x14ac:dyDescent="0.25">
      <c r="A711" s="203"/>
      <c r="J711" s="203"/>
      <c r="K711" s="203"/>
      <c r="N711" s="203"/>
      <c r="O711" s="203"/>
    </row>
    <row r="712" spans="1:15" ht="14.25" customHeight="1" x14ac:dyDescent="0.25">
      <c r="A712" s="203"/>
      <c r="J712" s="203"/>
      <c r="K712" s="203"/>
      <c r="N712" s="203"/>
      <c r="O712" s="203"/>
    </row>
    <row r="713" spans="1:15" ht="14.25" customHeight="1" x14ac:dyDescent="0.25">
      <c r="A713" s="203"/>
      <c r="J713" s="203"/>
      <c r="K713" s="203"/>
      <c r="N713" s="203"/>
      <c r="O713" s="203"/>
    </row>
    <row r="714" spans="1:15" ht="14.25" customHeight="1" x14ac:dyDescent="0.25">
      <c r="A714" s="203"/>
      <c r="J714" s="203"/>
      <c r="K714" s="203"/>
      <c r="N714" s="203"/>
      <c r="O714" s="203"/>
    </row>
    <row r="715" spans="1:15" ht="14.25" customHeight="1" x14ac:dyDescent="0.25">
      <c r="A715" s="203"/>
      <c r="J715" s="203"/>
      <c r="K715" s="203"/>
      <c r="N715" s="203"/>
      <c r="O715" s="203"/>
    </row>
    <row r="716" spans="1:15" ht="14.25" customHeight="1" x14ac:dyDescent="0.25">
      <c r="A716" s="203"/>
      <c r="J716" s="203"/>
      <c r="K716" s="203"/>
      <c r="N716" s="203"/>
      <c r="O716" s="203"/>
    </row>
    <row r="717" spans="1:15" ht="14.25" customHeight="1" x14ac:dyDescent="0.25">
      <c r="A717" s="203"/>
      <c r="J717" s="203"/>
      <c r="K717" s="203"/>
      <c r="N717" s="203"/>
      <c r="O717" s="203"/>
    </row>
    <row r="718" spans="1:15" ht="14.25" customHeight="1" x14ac:dyDescent="0.25">
      <c r="A718" s="203"/>
      <c r="J718" s="203"/>
      <c r="K718" s="203"/>
      <c r="N718" s="203"/>
      <c r="O718" s="203"/>
    </row>
    <row r="719" spans="1:15" ht="14.25" customHeight="1" x14ac:dyDescent="0.25">
      <c r="A719" s="203"/>
      <c r="J719" s="203"/>
      <c r="K719" s="203"/>
      <c r="N719" s="203"/>
      <c r="O719" s="203"/>
    </row>
    <row r="720" spans="1:15" ht="14.25" customHeight="1" x14ac:dyDescent="0.25">
      <c r="A720" s="203"/>
      <c r="J720" s="203"/>
      <c r="K720" s="203"/>
      <c r="N720" s="203"/>
      <c r="O720" s="203"/>
    </row>
    <row r="721" spans="1:15" ht="14.25" customHeight="1" x14ac:dyDescent="0.25">
      <c r="A721" s="203"/>
      <c r="J721" s="203"/>
      <c r="K721" s="203"/>
      <c r="N721" s="203"/>
      <c r="O721" s="203"/>
    </row>
    <row r="722" spans="1:15" ht="14.25" customHeight="1" x14ac:dyDescent="0.25">
      <c r="A722" s="203"/>
      <c r="J722" s="203"/>
      <c r="K722" s="203"/>
      <c r="N722" s="203"/>
      <c r="O722" s="203"/>
    </row>
    <row r="723" spans="1:15" ht="14.25" customHeight="1" x14ac:dyDescent="0.25">
      <c r="A723" s="203"/>
      <c r="J723" s="203"/>
      <c r="K723" s="203"/>
      <c r="N723" s="203"/>
      <c r="O723" s="203"/>
    </row>
    <row r="724" spans="1:15" ht="14.25" customHeight="1" x14ac:dyDescent="0.25">
      <c r="A724" s="203"/>
      <c r="J724" s="203"/>
      <c r="K724" s="203"/>
      <c r="N724" s="203"/>
      <c r="O724" s="203"/>
    </row>
    <row r="725" spans="1:15" ht="14.25" customHeight="1" x14ac:dyDescent="0.25">
      <c r="A725" s="203"/>
      <c r="J725" s="203"/>
      <c r="K725" s="203"/>
      <c r="N725" s="203"/>
      <c r="O725" s="203"/>
    </row>
    <row r="726" spans="1:15" ht="14.25" customHeight="1" x14ac:dyDescent="0.25">
      <c r="A726" s="203"/>
      <c r="J726" s="203"/>
      <c r="K726" s="203"/>
      <c r="N726" s="203"/>
      <c r="O726" s="203"/>
    </row>
    <row r="727" spans="1:15" ht="14.25" customHeight="1" x14ac:dyDescent="0.25">
      <c r="A727" s="203"/>
      <c r="J727" s="203"/>
      <c r="K727" s="203"/>
      <c r="N727" s="203"/>
      <c r="O727" s="203"/>
    </row>
    <row r="728" spans="1:15" ht="14.25" customHeight="1" x14ac:dyDescent="0.25">
      <c r="A728" s="203"/>
      <c r="J728" s="203"/>
      <c r="K728" s="203"/>
      <c r="N728" s="203"/>
      <c r="O728" s="203"/>
    </row>
    <row r="729" spans="1:15" ht="14.25" customHeight="1" x14ac:dyDescent="0.25">
      <c r="A729" s="203"/>
      <c r="J729" s="203"/>
      <c r="K729" s="203"/>
      <c r="N729" s="203"/>
      <c r="O729" s="203"/>
    </row>
    <row r="730" spans="1:15" ht="14.25" customHeight="1" x14ac:dyDescent="0.25">
      <c r="A730" s="203"/>
      <c r="J730" s="203"/>
      <c r="K730" s="203"/>
      <c r="N730" s="203"/>
      <c r="O730" s="203"/>
    </row>
    <row r="731" spans="1:15" ht="14.25" customHeight="1" x14ac:dyDescent="0.25">
      <c r="A731" s="203"/>
      <c r="J731" s="203"/>
      <c r="K731" s="203"/>
      <c r="N731" s="203"/>
      <c r="O731" s="203"/>
    </row>
    <row r="732" spans="1:15" ht="14.25" customHeight="1" x14ac:dyDescent="0.25">
      <c r="A732" s="203"/>
      <c r="J732" s="203"/>
      <c r="K732" s="203"/>
      <c r="N732" s="203"/>
      <c r="O732" s="203"/>
    </row>
    <row r="733" spans="1:15" ht="14.25" customHeight="1" x14ac:dyDescent="0.25">
      <c r="A733" s="203"/>
      <c r="J733" s="203"/>
      <c r="K733" s="203"/>
      <c r="N733" s="203"/>
      <c r="O733" s="203"/>
    </row>
    <row r="734" spans="1:15" ht="14.25" customHeight="1" x14ac:dyDescent="0.25">
      <c r="A734" s="203"/>
      <c r="J734" s="203"/>
      <c r="K734" s="203"/>
      <c r="N734" s="203"/>
      <c r="O734" s="203"/>
    </row>
    <row r="735" spans="1:15" ht="14.25" customHeight="1" x14ac:dyDescent="0.25">
      <c r="A735" s="203"/>
      <c r="J735" s="203"/>
      <c r="K735" s="203"/>
      <c r="N735" s="203"/>
      <c r="O735" s="203"/>
    </row>
    <row r="736" spans="1:15" ht="14.25" customHeight="1" x14ac:dyDescent="0.25">
      <c r="A736" s="203"/>
      <c r="J736" s="203"/>
      <c r="K736" s="203"/>
      <c r="N736" s="203"/>
      <c r="O736" s="203"/>
    </row>
    <row r="737" spans="1:15" ht="14.25" customHeight="1" x14ac:dyDescent="0.25">
      <c r="A737" s="203"/>
      <c r="J737" s="203"/>
      <c r="K737" s="203"/>
      <c r="N737" s="203"/>
      <c r="O737" s="203"/>
    </row>
    <row r="738" spans="1:15" ht="14.25" customHeight="1" x14ac:dyDescent="0.25">
      <c r="A738" s="203"/>
      <c r="J738" s="203"/>
      <c r="K738" s="203"/>
      <c r="N738" s="203"/>
      <c r="O738" s="203"/>
    </row>
    <row r="739" spans="1:15" ht="14.25" customHeight="1" x14ac:dyDescent="0.25">
      <c r="A739" s="203"/>
      <c r="J739" s="203"/>
      <c r="K739" s="203"/>
      <c r="N739" s="203"/>
      <c r="O739" s="203"/>
    </row>
    <row r="740" spans="1:15" ht="14.25" customHeight="1" x14ac:dyDescent="0.25">
      <c r="A740" s="203"/>
      <c r="J740" s="203"/>
      <c r="K740" s="203"/>
      <c r="N740" s="203"/>
      <c r="O740" s="203"/>
    </row>
    <row r="741" spans="1:15" ht="14.25" customHeight="1" x14ac:dyDescent="0.25">
      <c r="A741" s="203"/>
      <c r="J741" s="203"/>
      <c r="K741" s="203"/>
      <c r="N741" s="203"/>
      <c r="O741" s="203"/>
    </row>
    <row r="742" spans="1:15" ht="14.25" customHeight="1" x14ac:dyDescent="0.25">
      <c r="A742" s="203"/>
      <c r="J742" s="203"/>
      <c r="K742" s="203"/>
      <c r="N742" s="203"/>
      <c r="O742" s="203"/>
    </row>
    <row r="743" spans="1:15" ht="14.25" customHeight="1" x14ac:dyDescent="0.25">
      <c r="A743" s="203"/>
      <c r="J743" s="203"/>
      <c r="K743" s="203"/>
      <c r="N743" s="203"/>
      <c r="O743" s="203"/>
    </row>
    <row r="744" spans="1:15" ht="14.25" customHeight="1" x14ac:dyDescent="0.25">
      <c r="A744" s="203"/>
      <c r="J744" s="203"/>
      <c r="K744" s="203"/>
      <c r="N744" s="203"/>
      <c r="O744" s="203"/>
    </row>
    <row r="745" spans="1:15" ht="14.25" customHeight="1" x14ac:dyDescent="0.25">
      <c r="A745" s="203"/>
      <c r="J745" s="203"/>
      <c r="K745" s="203"/>
      <c r="N745" s="203"/>
      <c r="O745" s="203"/>
    </row>
    <row r="746" spans="1:15" ht="14.25" customHeight="1" x14ac:dyDescent="0.25">
      <c r="A746" s="203"/>
      <c r="J746" s="203"/>
      <c r="K746" s="203"/>
      <c r="N746" s="203"/>
      <c r="O746" s="203"/>
    </row>
    <row r="747" spans="1:15" ht="14.25" customHeight="1" x14ac:dyDescent="0.25">
      <c r="A747" s="203"/>
      <c r="J747" s="203"/>
      <c r="K747" s="203"/>
      <c r="N747" s="203"/>
      <c r="O747" s="203"/>
    </row>
    <row r="748" spans="1:15" ht="14.25" customHeight="1" x14ac:dyDescent="0.25">
      <c r="A748" s="203"/>
      <c r="J748" s="203"/>
      <c r="K748" s="203"/>
      <c r="N748" s="203"/>
      <c r="O748" s="203"/>
    </row>
    <row r="749" spans="1:15" ht="14.25" customHeight="1" x14ac:dyDescent="0.25">
      <c r="A749" s="203"/>
      <c r="J749" s="203"/>
      <c r="K749" s="203"/>
      <c r="N749" s="203"/>
      <c r="O749" s="203"/>
    </row>
    <row r="750" spans="1:15" ht="14.25" customHeight="1" x14ac:dyDescent="0.25">
      <c r="A750" s="203"/>
      <c r="J750" s="203"/>
      <c r="K750" s="203"/>
      <c r="N750" s="203"/>
      <c r="O750" s="203"/>
    </row>
    <row r="751" spans="1:15" ht="14.25" customHeight="1" x14ac:dyDescent="0.25">
      <c r="A751" s="203"/>
      <c r="J751" s="203"/>
      <c r="K751" s="203"/>
      <c r="N751" s="203"/>
      <c r="O751" s="203"/>
    </row>
    <row r="752" spans="1:15" ht="14.25" customHeight="1" x14ac:dyDescent="0.25">
      <c r="A752" s="203"/>
      <c r="J752" s="203"/>
      <c r="K752" s="203"/>
      <c r="N752" s="203"/>
      <c r="O752" s="203"/>
    </row>
    <row r="753" spans="1:15" ht="14.25" customHeight="1" x14ac:dyDescent="0.25">
      <c r="A753" s="203"/>
      <c r="J753" s="203"/>
      <c r="K753" s="203"/>
      <c r="N753" s="203"/>
      <c r="O753" s="203"/>
    </row>
    <row r="754" spans="1:15" ht="14.25" customHeight="1" x14ac:dyDescent="0.25">
      <c r="A754" s="203"/>
      <c r="J754" s="203"/>
      <c r="K754" s="203"/>
      <c r="N754" s="203"/>
      <c r="O754" s="203"/>
    </row>
    <row r="755" spans="1:15" ht="14.25" customHeight="1" x14ac:dyDescent="0.25">
      <c r="A755" s="203"/>
      <c r="J755" s="203"/>
      <c r="K755" s="203"/>
      <c r="N755" s="203"/>
      <c r="O755" s="203"/>
    </row>
    <row r="756" spans="1:15" ht="14.25" customHeight="1" x14ac:dyDescent="0.25">
      <c r="A756" s="203"/>
      <c r="J756" s="203"/>
      <c r="K756" s="203"/>
      <c r="N756" s="203"/>
      <c r="O756" s="203"/>
    </row>
    <row r="757" spans="1:15" ht="14.25" customHeight="1" x14ac:dyDescent="0.25">
      <c r="A757" s="203"/>
      <c r="J757" s="203"/>
      <c r="K757" s="203"/>
      <c r="N757" s="203"/>
      <c r="O757" s="203"/>
    </row>
    <row r="758" spans="1:15" ht="14.25" customHeight="1" x14ac:dyDescent="0.25">
      <c r="A758" s="203"/>
      <c r="J758" s="203"/>
      <c r="K758" s="203"/>
      <c r="N758" s="203"/>
      <c r="O758" s="203"/>
    </row>
    <row r="759" spans="1:15" ht="14.25" customHeight="1" x14ac:dyDescent="0.25">
      <c r="A759" s="203"/>
      <c r="J759" s="203"/>
      <c r="K759" s="203"/>
      <c r="N759" s="203"/>
      <c r="O759" s="203"/>
    </row>
    <row r="760" spans="1:15" ht="14.25" customHeight="1" x14ac:dyDescent="0.25">
      <c r="A760" s="203"/>
      <c r="J760" s="203"/>
      <c r="K760" s="203"/>
      <c r="N760" s="203"/>
      <c r="O760" s="203"/>
    </row>
    <row r="761" spans="1:15" ht="14.25" customHeight="1" x14ac:dyDescent="0.25">
      <c r="A761" s="203"/>
      <c r="J761" s="203"/>
      <c r="K761" s="203"/>
      <c r="N761" s="203"/>
      <c r="O761" s="203"/>
    </row>
    <row r="762" spans="1:15" ht="14.25" customHeight="1" x14ac:dyDescent="0.25">
      <c r="A762" s="203"/>
      <c r="J762" s="203"/>
      <c r="K762" s="203"/>
      <c r="N762" s="203"/>
      <c r="O762" s="203"/>
    </row>
    <row r="763" spans="1:15" ht="14.25" customHeight="1" x14ac:dyDescent="0.25">
      <c r="A763" s="203"/>
      <c r="J763" s="203"/>
      <c r="K763" s="203"/>
      <c r="N763" s="203"/>
      <c r="O763" s="203"/>
    </row>
    <row r="764" spans="1:15" ht="14.25" customHeight="1" x14ac:dyDescent="0.25">
      <c r="A764" s="203"/>
      <c r="J764" s="203"/>
      <c r="K764" s="203"/>
      <c r="N764" s="203"/>
      <c r="O764" s="203"/>
    </row>
    <row r="765" spans="1:15" ht="14.25" customHeight="1" x14ac:dyDescent="0.25">
      <c r="A765" s="203"/>
      <c r="J765" s="203"/>
      <c r="K765" s="203"/>
      <c r="N765" s="203"/>
      <c r="O765" s="203"/>
    </row>
    <row r="766" spans="1:15" ht="14.25" customHeight="1" x14ac:dyDescent="0.25">
      <c r="A766" s="203"/>
      <c r="J766" s="203"/>
      <c r="K766" s="203"/>
      <c r="N766" s="203"/>
      <c r="O766" s="203"/>
    </row>
    <row r="767" spans="1:15" ht="14.25" customHeight="1" x14ac:dyDescent="0.25">
      <c r="A767" s="203"/>
      <c r="J767" s="203"/>
      <c r="K767" s="203"/>
      <c r="N767" s="203"/>
      <c r="O767" s="203"/>
    </row>
    <row r="768" spans="1:15" ht="14.25" customHeight="1" x14ac:dyDescent="0.25">
      <c r="A768" s="203"/>
      <c r="J768" s="203"/>
      <c r="K768" s="203"/>
      <c r="N768" s="203"/>
      <c r="O768" s="203"/>
    </row>
    <row r="769" spans="1:15" ht="14.25" customHeight="1" x14ac:dyDescent="0.25">
      <c r="A769" s="203"/>
      <c r="J769" s="203"/>
      <c r="K769" s="203"/>
      <c r="N769" s="203"/>
      <c r="O769" s="203"/>
    </row>
    <row r="770" spans="1:15" ht="14.25" customHeight="1" x14ac:dyDescent="0.25">
      <c r="A770" s="203"/>
      <c r="J770" s="203"/>
      <c r="K770" s="203"/>
      <c r="N770" s="203"/>
      <c r="O770" s="203"/>
    </row>
    <row r="771" spans="1:15" ht="14.25" customHeight="1" x14ac:dyDescent="0.25">
      <c r="A771" s="203"/>
      <c r="J771" s="203"/>
      <c r="K771" s="203"/>
      <c r="N771" s="203"/>
      <c r="O771" s="203"/>
    </row>
    <row r="772" spans="1:15" ht="14.25" customHeight="1" x14ac:dyDescent="0.25">
      <c r="A772" s="203"/>
      <c r="J772" s="203"/>
      <c r="K772" s="203"/>
      <c r="N772" s="203"/>
      <c r="O772" s="203"/>
    </row>
    <row r="773" spans="1:15" ht="14.25" customHeight="1" x14ac:dyDescent="0.25">
      <c r="A773" s="203"/>
      <c r="J773" s="203"/>
      <c r="K773" s="203"/>
      <c r="N773" s="203"/>
      <c r="O773" s="203"/>
    </row>
    <row r="774" spans="1:15" ht="14.25" customHeight="1" x14ac:dyDescent="0.25">
      <c r="A774" s="203"/>
      <c r="J774" s="203"/>
      <c r="K774" s="203"/>
      <c r="N774" s="203"/>
      <c r="O774" s="203"/>
    </row>
    <row r="775" spans="1:15" ht="14.25" customHeight="1" x14ac:dyDescent="0.25">
      <c r="A775" s="203"/>
      <c r="J775" s="203"/>
      <c r="K775" s="203"/>
      <c r="N775" s="203"/>
      <c r="O775" s="203"/>
    </row>
    <row r="776" spans="1:15" ht="14.25" customHeight="1" x14ac:dyDescent="0.25">
      <c r="A776" s="203"/>
      <c r="J776" s="203"/>
      <c r="K776" s="203"/>
      <c r="N776" s="203"/>
      <c r="O776" s="203"/>
    </row>
    <row r="777" spans="1:15" ht="14.25" customHeight="1" x14ac:dyDescent="0.25">
      <c r="A777" s="203"/>
      <c r="J777" s="203"/>
      <c r="K777" s="203"/>
      <c r="N777" s="203"/>
      <c r="O777" s="203"/>
    </row>
    <row r="778" spans="1:15" ht="14.25" customHeight="1" x14ac:dyDescent="0.25">
      <c r="A778" s="203"/>
      <c r="J778" s="203"/>
      <c r="K778" s="203"/>
      <c r="N778" s="203"/>
      <c r="O778" s="203"/>
    </row>
    <row r="779" spans="1:15" ht="14.25" customHeight="1" x14ac:dyDescent="0.25">
      <c r="A779" s="203"/>
      <c r="J779" s="203"/>
      <c r="K779" s="203"/>
      <c r="N779" s="203"/>
      <c r="O779" s="203"/>
    </row>
    <row r="780" spans="1:15" ht="14.25" customHeight="1" x14ac:dyDescent="0.25">
      <c r="A780" s="203"/>
      <c r="J780" s="203"/>
      <c r="K780" s="203"/>
      <c r="N780" s="203"/>
      <c r="O780" s="203"/>
    </row>
    <row r="781" spans="1:15" ht="14.25" customHeight="1" x14ac:dyDescent="0.25">
      <c r="A781" s="203"/>
      <c r="J781" s="203"/>
      <c r="K781" s="203"/>
      <c r="N781" s="203"/>
      <c r="O781" s="203"/>
    </row>
    <row r="782" spans="1:15" ht="14.25" customHeight="1" x14ac:dyDescent="0.25">
      <c r="A782" s="203"/>
      <c r="J782" s="203"/>
      <c r="K782" s="203"/>
      <c r="N782" s="203"/>
      <c r="O782" s="203"/>
    </row>
    <row r="783" spans="1:15" ht="14.25" customHeight="1" x14ac:dyDescent="0.25">
      <c r="A783" s="203"/>
      <c r="J783" s="203"/>
      <c r="K783" s="203"/>
      <c r="N783" s="203"/>
      <c r="O783" s="203"/>
    </row>
    <row r="784" spans="1:15" ht="14.25" customHeight="1" x14ac:dyDescent="0.25">
      <c r="A784" s="203"/>
      <c r="J784" s="203"/>
      <c r="K784" s="203"/>
      <c r="N784" s="203"/>
      <c r="O784" s="203"/>
    </row>
    <row r="785" spans="1:15" ht="14.25" customHeight="1" x14ac:dyDescent="0.25">
      <c r="A785" s="203"/>
      <c r="J785" s="203"/>
      <c r="K785" s="203"/>
      <c r="N785" s="203"/>
      <c r="O785" s="203"/>
    </row>
    <row r="786" spans="1:15" ht="14.25" customHeight="1" x14ac:dyDescent="0.25">
      <c r="A786" s="203"/>
      <c r="J786" s="203"/>
      <c r="K786" s="203"/>
      <c r="N786" s="203"/>
      <c r="O786" s="203"/>
    </row>
    <row r="787" spans="1:15" ht="14.25" customHeight="1" x14ac:dyDescent="0.25">
      <c r="A787" s="203"/>
      <c r="J787" s="203"/>
      <c r="K787" s="203"/>
      <c r="N787" s="203"/>
      <c r="O787" s="203"/>
    </row>
    <row r="788" spans="1:15" ht="14.25" customHeight="1" x14ac:dyDescent="0.25">
      <c r="A788" s="203"/>
      <c r="J788" s="203"/>
      <c r="K788" s="203"/>
      <c r="N788" s="203"/>
      <c r="O788" s="203"/>
    </row>
    <row r="789" spans="1:15" ht="14.25" customHeight="1" x14ac:dyDescent="0.25">
      <c r="A789" s="203"/>
      <c r="J789" s="203"/>
      <c r="K789" s="203"/>
      <c r="N789" s="203"/>
      <c r="O789" s="203"/>
    </row>
    <row r="790" spans="1:15" ht="14.25" customHeight="1" x14ac:dyDescent="0.25">
      <c r="A790" s="203"/>
      <c r="J790" s="203"/>
      <c r="K790" s="203"/>
      <c r="N790" s="203"/>
      <c r="O790" s="203"/>
    </row>
    <row r="791" spans="1:15" ht="14.25" customHeight="1" x14ac:dyDescent="0.25">
      <c r="A791" s="203"/>
      <c r="J791" s="203"/>
      <c r="K791" s="203"/>
      <c r="N791" s="203"/>
      <c r="O791" s="203"/>
    </row>
    <row r="792" spans="1:15" ht="14.25" customHeight="1" x14ac:dyDescent="0.25">
      <c r="A792" s="203"/>
      <c r="J792" s="203"/>
      <c r="K792" s="203"/>
      <c r="N792" s="203"/>
      <c r="O792" s="203"/>
    </row>
    <row r="793" spans="1:15" ht="14.25" customHeight="1" x14ac:dyDescent="0.25">
      <c r="A793" s="203"/>
      <c r="J793" s="203"/>
      <c r="K793" s="203"/>
      <c r="N793" s="203"/>
      <c r="O793" s="203"/>
    </row>
    <row r="794" spans="1:15" ht="14.25" customHeight="1" x14ac:dyDescent="0.25">
      <c r="A794" s="203"/>
      <c r="J794" s="203"/>
      <c r="K794" s="203"/>
      <c r="N794" s="203"/>
      <c r="O794" s="203"/>
    </row>
    <row r="795" spans="1:15" ht="14.25" customHeight="1" x14ac:dyDescent="0.25">
      <c r="A795" s="203"/>
      <c r="J795" s="203"/>
      <c r="K795" s="203"/>
      <c r="N795" s="203"/>
      <c r="O795" s="203"/>
    </row>
    <row r="796" spans="1:15" ht="14.25" customHeight="1" x14ac:dyDescent="0.25">
      <c r="A796" s="203"/>
      <c r="J796" s="203"/>
      <c r="K796" s="203"/>
      <c r="N796" s="203"/>
      <c r="O796" s="203"/>
    </row>
    <row r="797" spans="1:15" ht="14.25" customHeight="1" x14ac:dyDescent="0.25">
      <c r="A797" s="203"/>
      <c r="J797" s="203"/>
      <c r="K797" s="203"/>
      <c r="N797" s="203"/>
      <c r="O797" s="203"/>
    </row>
    <row r="798" spans="1:15" ht="14.25" customHeight="1" x14ac:dyDescent="0.25">
      <c r="A798" s="203"/>
      <c r="J798" s="203"/>
      <c r="K798" s="203"/>
      <c r="N798" s="203"/>
      <c r="O798" s="203"/>
    </row>
    <row r="799" spans="1:15" ht="14.25" customHeight="1" x14ac:dyDescent="0.25">
      <c r="A799" s="203"/>
      <c r="J799" s="203"/>
      <c r="K799" s="203"/>
      <c r="N799" s="203"/>
      <c r="O799" s="203"/>
    </row>
    <row r="800" spans="1:15" ht="14.25" customHeight="1" x14ac:dyDescent="0.25">
      <c r="A800" s="203"/>
      <c r="J800" s="203"/>
      <c r="K800" s="203"/>
      <c r="N800" s="203"/>
      <c r="O800" s="203"/>
    </row>
    <row r="801" spans="1:15" ht="14.25" customHeight="1" x14ac:dyDescent="0.25">
      <c r="A801" s="203"/>
      <c r="J801" s="203"/>
      <c r="K801" s="203"/>
      <c r="N801" s="203"/>
      <c r="O801" s="203"/>
    </row>
    <row r="802" spans="1:15" ht="14.25" customHeight="1" x14ac:dyDescent="0.25">
      <c r="A802" s="203"/>
      <c r="J802" s="203"/>
      <c r="K802" s="203"/>
      <c r="N802" s="203"/>
      <c r="O802" s="203"/>
    </row>
    <row r="803" spans="1:15" ht="14.25" customHeight="1" x14ac:dyDescent="0.25">
      <c r="A803" s="203"/>
      <c r="J803" s="203"/>
      <c r="K803" s="203"/>
      <c r="N803" s="203"/>
      <c r="O803" s="203"/>
    </row>
    <row r="804" spans="1:15" ht="14.25" customHeight="1" x14ac:dyDescent="0.25">
      <c r="A804" s="203"/>
      <c r="J804" s="203"/>
      <c r="K804" s="203"/>
      <c r="N804" s="203"/>
      <c r="O804" s="203"/>
    </row>
    <row r="805" spans="1:15" ht="14.25" customHeight="1" x14ac:dyDescent="0.25">
      <c r="A805" s="203"/>
      <c r="J805" s="203"/>
      <c r="K805" s="203"/>
      <c r="N805" s="203"/>
      <c r="O805" s="203"/>
    </row>
    <row r="806" spans="1:15" ht="14.25" customHeight="1" x14ac:dyDescent="0.25">
      <c r="A806" s="203"/>
      <c r="J806" s="203"/>
      <c r="K806" s="203"/>
      <c r="N806" s="203"/>
      <c r="O806" s="203"/>
    </row>
    <row r="807" spans="1:15" ht="14.25" customHeight="1" x14ac:dyDescent="0.25">
      <c r="A807" s="203"/>
      <c r="J807" s="203"/>
      <c r="K807" s="203"/>
      <c r="N807" s="203"/>
      <c r="O807" s="203"/>
    </row>
    <row r="808" spans="1:15" ht="14.25" customHeight="1" x14ac:dyDescent="0.25">
      <c r="A808" s="203"/>
      <c r="J808" s="203"/>
      <c r="K808" s="203"/>
      <c r="N808" s="203"/>
      <c r="O808" s="203"/>
    </row>
    <row r="809" spans="1:15" ht="14.25" customHeight="1" x14ac:dyDescent="0.25">
      <c r="A809" s="203"/>
      <c r="J809" s="203"/>
      <c r="K809" s="203"/>
      <c r="N809" s="203"/>
      <c r="O809" s="203"/>
    </row>
    <row r="810" spans="1:15" ht="14.25" customHeight="1" x14ac:dyDescent="0.25">
      <c r="A810" s="203"/>
      <c r="J810" s="203"/>
      <c r="K810" s="203"/>
      <c r="N810" s="203"/>
      <c r="O810" s="203"/>
    </row>
    <row r="811" spans="1:15" ht="14.25" customHeight="1" x14ac:dyDescent="0.25">
      <c r="A811" s="203"/>
      <c r="J811" s="203"/>
      <c r="K811" s="203"/>
      <c r="N811" s="203"/>
      <c r="O811" s="203"/>
    </row>
    <row r="812" spans="1:15" ht="14.25" customHeight="1" x14ac:dyDescent="0.25">
      <c r="A812" s="203"/>
      <c r="J812" s="203"/>
      <c r="K812" s="203"/>
      <c r="N812" s="203"/>
      <c r="O812" s="203"/>
    </row>
    <row r="813" spans="1:15" ht="14.25" customHeight="1" x14ac:dyDescent="0.25">
      <c r="A813" s="203"/>
      <c r="J813" s="203"/>
      <c r="K813" s="203"/>
      <c r="N813" s="203"/>
      <c r="O813" s="203"/>
    </row>
    <row r="814" spans="1:15" ht="14.25" customHeight="1" x14ac:dyDescent="0.25">
      <c r="A814" s="203"/>
      <c r="J814" s="203"/>
      <c r="K814" s="203"/>
      <c r="N814" s="203"/>
      <c r="O814" s="203"/>
    </row>
    <row r="815" spans="1:15" ht="14.25" customHeight="1" x14ac:dyDescent="0.25">
      <c r="A815" s="203"/>
      <c r="J815" s="203"/>
      <c r="K815" s="203"/>
      <c r="N815" s="203"/>
      <c r="O815" s="203"/>
    </row>
    <row r="816" spans="1:15" ht="14.25" customHeight="1" x14ac:dyDescent="0.25">
      <c r="A816" s="203"/>
      <c r="J816" s="203"/>
      <c r="K816" s="203"/>
      <c r="N816" s="203"/>
      <c r="O816" s="203"/>
    </row>
    <row r="817" spans="1:15" ht="14.25" customHeight="1" x14ac:dyDescent="0.25">
      <c r="A817" s="203"/>
      <c r="J817" s="203"/>
      <c r="K817" s="203"/>
      <c r="N817" s="203"/>
      <c r="O817" s="203"/>
    </row>
    <row r="818" spans="1:15" ht="14.25" customHeight="1" x14ac:dyDescent="0.25">
      <c r="A818" s="203"/>
      <c r="J818" s="203"/>
      <c r="K818" s="203"/>
      <c r="N818" s="203"/>
      <c r="O818" s="203"/>
    </row>
    <row r="819" spans="1:15" ht="14.25" customHeight="1" x14ac:dyDescent="0.25">
      <c r="A819" s="203"/>
      <c r="J819" s="203"/>
      <c r="K819" s="203"/>
      <c r="N819" s="203"/>
      <c r="O819" s="203"/>
    </row>
    <row r="820" spans="1:15" ht="14.25" customHeight="1" x14ac:dyDescent="0.25">
      <c r="A820" s="203"/>
      <c r="J820" s="203"/>
      <c r="K820" s="203"/>
      <c r="N820" s="203"/>
      <c r="O820" s="203"/>
    </row>
    <row r="821" spans="1:15" ht="14.25" customHeight="1" x14ac:dyDescent="0.25">
      <c r="A821" s="203"/>
      <c r="J821" s="203"/>
      <c r="K821" s="203"/>
      <c r="N821" s="203"/>
      <c r="O821" s="203"/>
    </row>
    <row r="822" spans="1:15" ht="14.25" customHeight="1" x14ac:dyDescent="0.25">
      <c r="A822" s="203"/>
      <c r="J822" s="203"/>
      <c r="K822" s="203"/>
      <c r="N822" s="203"/>
      <c r="O822" s="203"/>
    </row>
    <row r="823" spans="1:15" ht="14.25" customHeight="1" x14ac:dyDescent="0.25">
      <c r="A823" s="203"/>
      <c r="J823" s="203"/>
      <c r="K823" s="203"/>
      <c r="N823" s="203"/>
      <c r="O823" s="203"/>
    </row>
    <row r="824" spans="1:15" ht="14.25" customHeight="1" x14ac:dyDescent="0.25">
      <c r="A824" s="203"/>
      <c r="J824" s="203"/>
      <c r="K824" s="203"/>
      <c r="N824" s="203"/>
      <c r="O824" s="203"/>
    </row>
    <row r="825" spans="1:15" ht="14.25" customHeight="1" x14ac:dyDescent="0.25">
      <c r="A825" s="203"/>
      <c r="J825" s="203"/>
      <c r="K825" s="203"/>
      <c r="N825" s="203"/>
      <c r="O825" s="203"/>
    </row>
    <row r="826" spans="1:15" ht="14.25" customHeight="1" x14ac:dyDescent="0.25">
      <c r="A826" s="203"/>
      <c r="J826" s="203"/>
      <c r="K826" s="203"/>
      <c r="N826" s="203"/>
      <c r="O826" s="203"/>
    </row>
    <row r="827" spans="1:15" ht="14.25" customHeight="1" x14ac:dyDescent="0.25">
      <c r="A827" s="203"/>
      <c r="J827" s="203"/>
      <c r="K827" s="203"/>
      <c r="N827" s="203"/>
      <c r="O827" s="203"/>
    </row>
    <row r="828" spans="1:15" ht="14.25" customHeight="1" x14ac:dyDescent="0.25">
      <c r="A828" s="203"/>
      <c r="J828" s="203"/>
      <c r="K828" s="203"/>
      <c r="N828" s="203"/>
      <c r="O828" s="203"/>
    </row>
    <row r="829" spans="1:15" ht="14.25" customHeight="1" x14ac:dyDescent="0.25">
      <c r="A829" s="203"/>
      <c r="J829" s="203"/>
      <c r="K829" s="203"/>
      <c r="N829" s="203"/>
      <c r="O829" s="203"/>
    </row>
    <row r="830" spans="1:15" ht="14.25" customHeight="1" x14ac:dyDescent="0.25">
      <c r="A830" s="203"/>
      <c r="J830" s="203"/>
      <c r="K830" s="203"/>
      <c r="N830" s="203"/>
      <c r="O830" s="203"/>
    </row>
    <row r="831" spans="1:15" ht="14.25" customHeight="1" x14ac:dyDescent="0.25">
      <c r="A831" s="203"/>
      <c r="J831" s="203"/>
      <c r="K831" s="203"/>
      <c r="N831" s="203"/>
      <c r="O831" s="203"/>
    </row>
    <row r="832" spans="1:15" ht="14.25" customHeight="1" x14ac:dyDescent="0.25">
      <c r="A832" s="203"/>
      <c r="J832" s="203"/>
      <c r="K832" s="203"/>
      <c r="N832" s="203"/>
      <c r="O832" s="203"/>
    </row>
    <row r="833" spans="1:15" ht="14.25" customHeight="1" x14ac:dyDescent="0.25">
      <c r="A833" s="203"/>
      <c r="J833" s="203"/>
      <c r="K833" s="203"/>
      <c r="N833" s="203"/>
      <c r="O833" s="203"/>
    </row>
    <row r="834" spans="1:15" ht="14.25" customHeight="1" x14ac:dyDescent="0.25">
      <c r="A834" s="203"/>
      <c r="J834" s="203"/>
      <c r="K834" s="203"/>
      <c r="N834" s="203"/>
      <c r="O834" s="203"/>
    </row>
    <row r="835" spans="1:15" ht="14.25" customHeight="1" x14ac:dyDescent="0.25">
      <c r="A835" s="203"/>
      <c r="J835" s="203"/>
      <c r="K835" s="203"/>
      <c r="N835" s="203"/>
      <c r="O835" s="203"/>
    </row>
    <row r="836" spans="1:15" ht="14.25" customHeight="1" x14ac:dyDescent="0.25">
      <c r="A836" s="203"/>
      <c r="J836" s="203"/>
      <c r="K836" s="203"/>
      <c r="N836" s="203"/>
      <c r="O836" s="203"/>
    </row>
    <row r="837" spans="1:15" ht="14.25" customHeight="1" x14ac:dyDescent="0.25">
      <c r="A837" s="203"/>
      <c r="J837" s="203"/>
      <c r="K837" s="203"/>
      <c r="N837" s="203"/>
      <c r="O837" s="203"/>
    </row>
    <row r="838" spans="1:15" ht="14.25" customHeight="1" x14ac:dyDescent="0.25">
      <c r="A838" s="203"/>
      <c r="J838" s="203"/>
      <c r="K838" s="203"/>
      <c r="N838" s="203"/>
      <c r="O838" s="203"/>
    </row>
    <row r="839" spans="1:15" ht="14.25" customHeight="1" x14ac:dyDescent="0.25">
      <c r="A839" s="203"/>
      <c r="J839" s="203"/>
      <c r="K839" s="203"/>
      <c r="N839" s="203"/>
      <c r="O839" s="203"/>
    </row>
    <row r="840" spans="1:15" ht="14.25" customHeight="1" x14ac:dyDescent="0.25">
      <c r="A840" s="203"/>
      <c r="J840" s="203"/>
      <c r="K840" s="203"/>
      <c r="N840" s="203"/>
      <c r="O840" s="203"/>
    </row>
    <row r="841" spans="1:15" ht="14.25" customHeight="1" x14ac:dyDescent="0.25">
      <c r="A841" s="203"/>
      <c r="J841" s="203"/>
      <c r="K841" s="203"/>
      <c r="N841" s="203"/>
      <c r="O841" s="203"/>
    </row>
    <row r="842" spans="1:15" ht="14.25" customHeight="1" x14ac:dyDescent="0.25">
      <c r="A842" s="203"/>
      <c r="J842" s="203"/>
      <c r="K842" s="203"/>
      <c r="N842" s="203"/>
      <c r="O842" s="203"/>
    </row>
    <row r="843" spans="1:15" ht="14.25" customHeight="1" x14ac:dyDescent="0.25">
      <c r="A843" s="203"/>
      <c r="J843" s="203"/>
      <c r="K843" s="203"/>
      <c r="N843" s="203"/>
      <c r="O843" s="203"/>
    </row>
    <row r="844" spans="1:15" ht="14.25" customHeight="1" x14ac:dyDescent="0.25">
      <c r="A844" s="203"/>
      <c r="J844" s="203"/>
      <c r="K844" s="203"/>
      <c r="N844" s="203"/>
      <c r="O844" s="203"/>
    </row>
    <row r="845" spans="1:15" ht="14.25" customHeight="1" x14ac:dyDescent="0.25">
      <c r="A845" s="203"/>
      <c r="J845" s="203"/>
      <c r="K845" s="203"/>
      <c r="N845" s="203"/>
      <c r="O845" s="203"/>
    </row>
    <row r="846" spans="1:15" ht="14.25" customHeight="1" x14ac:dyDescent="0.25">
      <c r="A846" s="203"/>
      <c r="J846" s="203"/>
      <c r="K846" s="203"/>
      <c r="N846" s="203"/>
      <c r="O846" s="203"/>
    </row>
    <row r="847" spans="1:15" ht="14.25" customHeight="1" x14ac:dyDescent="0.25">
      <c r="A847" s="203"/>
      <c r="J847" s="203"/>
      <c r="K847" s="203"/>
      <c r="N847" s="203"/>
      <c r="O847" s="203"/>
    </row>
    <row r="848" spans="1:15" ht="14.25" customHeight="1" x14ac:dyDescent="0.25">
      <c r="A848" s="203"/>
      <c r="J848" s="203"/>
      <c r="K848" s="203"/>
      <c r="N848" s="203"/>
      <c r="O848" s="203"/>
    </row>
    <row r="849" spans="1:15" ht="14.25" customHeight="1" x14ac:dyDescent="0.25">
      <c r="A849" s="203"/>
      <c r="J849" s="203"/>
      <c r="K849" s="203"/>
      <c r="N849" s="203"/>
      <c r="O849" s="203"/>
    </row>
    <row r="850" spans="1:15" ht="14.25" customHeight="1" x14ac:dyDescent="0.25">
      <c r="A850" s="203"/>
      <c r="J850" s="203"/>
      <c r="K850" s="203"/>
      <c r="N850" s="203"/>
      <c r="O850" s="203"/>
    </row>
    <row r="851" spans="1:15" ht="14.25" customHeight="1" x14ac:dyDescent="0.25">
      <c r="A851" s="203"/>
      <c r="J851" s="203"/>
      <c r="K851" s="203"/>
      <c r="N851" s="203"/>
      <c r="O851" s="203"/>
    </row>
    <row r="852" spans="1:15" ht="14.25" customHeight="1" x14ac:dyDescent="0.25">
      <c r="A852" s="203"/>
      <c r="J852" s="203"/>
      <c r="K852" s="203"/>
      <c r="N852" s="203"/>
      <c r="O852" s="203"/>
    </row>
    <row r="853" spans="1:15" ht="14.25" customHeight="1" x14ac:dyDescent="0.25">
      <c r="A853" s="203"/>
      <c r="J853" s="203"/>
      <c r="K853" s="203"/>
      <c r="N853" s="203"/>
      <c r="O853" s="203"/>
    </row>
    <row r="854" spans="1:15" ht="14.25" customHeight="1" x14ac:dyDescent="0.25">
      <c r="A854" s="203"/>
      <c r="J854" s="203"/>
      <c r="K854" s="203"/>
      <c r="N854" s="203"/>
      <c r="O854" s="203"/>
    </row>
    <row r="855" spans="1:15" ht="14.25" customHeight="1" x14ac:dyDescent="0.25">
      <c r="A855" s="203"/>
      <c r="J855" s="203"/>
      <c r="K855" s="203"/>
      <c r="N855" s="203"/>
      <c r="O855" s="203"/>
    </row>
    <row r="856" spans="1:15" ht="14.25" customHeight="1" x14ac:dyDescent="0.25">
      <c r="A856" s="203"/>
      <c r="J856" s="203"/>
      <c r="K856" s="203"/>
      <c r="N856" s="203"/>
      <c r="O856" s="203"/>
    </row>
    <row r="857" spans="1:15" ht="14.25" customHeight="1" x14ac:dyDescent="0.25">
      <c r="A857" s="203"/>
      <c r="J857" s="203"/>
      <c r="K857" s="203"/>
      <c r="N857" s="203"/>
      <c r="O857" s="203"/>
    </row>
    <row r="858" spans="1:15" ht="14.25" customHeight="1" x14ac:dyDescent="0.25">
      <c r="A858" s="203"/>
      <c r="J858" s="203"/>
      <c r="K858" s="203"/>
      <c r="N858" s="203"/>
      <c r="O858" s="203"/>
    </row>
    <row r="859" spans="1:15" ht="14.25" customHeight="1" x14ac:dyDescent="0.25">
      <c r="A859" s="203"/>
      <c r="J859" s="203"/>
      <c r="K859" s="203"/>
      <c r="N859" s="203"/>
      <c r="O859" s="203"/>
    </row>
    <row r="860" spans="1:15" ht="14.25" customHeight="1" x14ac:dyDescent="0.25">
      <c r="A860" s="203"/>
      <c r="J860" s="203"/>
      <c r="K860" s="203"/>
      <c r="N860" s="203"/>
      <c r="O860" s="203"/>
    </row>
    <row r="861" spans="1:15" ht="14.25" customHeight="1" x14ac:dyDescent="0.25">
      <c r="A861" s="203"/>
      <c r="J861" s="203"/>
      <c r="K861" s="203"/>
      <c r="N861" s="203"/>
      <c r="O861" s="203"/>
    </row>
    <row r="862" spans="1:15" ht="14.25" customHeight="1" x14ac:dyDescent="0.25">
      <c r="A862" s="203"/>
      <c r="J862" s="203"/>
      <c r="K862" s="203"/>
      <c r="N862" s="203"/>
      <c r="O862" s="203"/>
    </row>
    <row r="863" spans="1:15" ht="14.25" customHeight="1" x14ac:dyDescent="0.25">
      <c r="A863" s="203"/>
      <c r="J863" s="203"/>
      <c r="K863" s="203"/>
      <c r="N863" s="203"/>
      <c r="O863" s="203"/>
    </row>
    <row r="864" spans="1:15" ht="14.25" customHeight="1" x14ac:dyDescent="0.25">
      <c r="A864" s="203"/>
      <c r="J864" s="203"/>
      <c r="K864" s="203"/>
      <c r="N864" s="203"/>
      <c r="O864" s="203"/>
    </row>
    <row r="865" spans="1:15" ht="14.25" customHeight="1" x14ac:dyDescent="0.25">
      <c r="A865" s="203"/>
      <c r="J865" s="203"/>
      <c r="K865" s="203"/>
      <c r="N865" s="203"/>
      <c r="O865" s="203"/>
    </row>
    <row r="866" spans="1:15" ht="14.25" customHeight="1" x14ac:dyDescent="0.25">
      <c r="A866" s="203"/>
      <c r="J866" s="203"/>
      <c r="K866" s="203"/>
      <c r="N866" s="203"/>
      <c r="O866" s="203"/>
    </row>
    <row r="867" spans="1:15" ht="14.25" customHeight="1" x14ac:dyDescent="0.25">
      <c r="A867" s="203"/>
      <c r="J867" s="203"/>
      <c r="K867" s="203"/>
      <c r="N867" s="203"/>
      <c r="O867" s="203"/>
    </row>
    <row r="868" spans="1:15" ht="14.25" customHeight="1" x14ac:dyDescent="0.25">
      <c r="A868" s="203"/>
      <c r="J868" s="203"/>
      <c r="K868" s="203"/>
      <c r="N868" s="203"/>
      <c r="O868" s="203"/>
    </row>
    <row r="869" spans="1:15" ht="14.25" customHeight="1" x14ac:dyDescent="0.25">
      <c r="A869" s="203"/>
      <c r="J869" s="203"/>
      <c r="K869" s="203"/>
      <c r="N869" s="203"/>
      <c r="O869" s="203"/>
    </row>
    <row r="870" spans="1:15" ht="14.25" customHeight="1" x14ac:dyDescent="0.25">
      <c r="A870" s="203"/>
      <c r="J870" s="203"/>
      <c r="K870" s="203"/>
      <c r="N870" s="203"/>
      <c r="O870" s="203"/>
    </row>
    <row r="871" spans="1:15" ht="14.25" customHeight="1" x14ac:dyDescent="0.25">
      <c r="A871" s="203"/>
      <c r="J871" s="203"/>
      <c r="K871" s="203"/>
      <c r="N871" s="203"/>
      <c r="O871" s="203"/>
    </row>
    <row r="872" spans="1:15" ht="14.25" customHeight="1" x14ac:dyDescent="0.25">
      <c r="A872" s="203"/>
      <c r="J872" s="203"/>
      <c r="K872" s="203"/>
      <c r="N872" s="203"/>
      <c r="O872" s="203"/>
    </row>
    <row r="873" spans="1:15" ht="14.25" customHeight="1" x14ac:dyDescent="0.25">
      <c r="A873" s="203"/>
      <c r="J873" s="203"/>
      <c r="K873" s="203"/>
      <c r="N873" s="203"/>
      <c r="O873" s="203"/>
    </row>
    <row r="874" spans="1:15" ht="14.25" customHeight="1" x14ac:dyDescent="0.25">
      <c r="A874" s="203"/>
      <c r="J874" s="203"/>
      <c r="K874" s="203"/>
      <c r="N874" s="203"/>
      <c r="O874" s="203"/>
    </row>
    <row r="875" spans="1:15" ht="14.25" customHeight="1" x14ac:dyDescent="0.25">
      <c r="A875" s="203"/>
      <c r="J875" s="203"/>
      <c r="K875" s="203"/>
      <c r="N875" s="203"/>
      <c r="O875" s="203"/>
    </row>
    <row r="876" spans="1:15" ht="14.25" customHeight="1" x14ac:dyDescent="0.25">
      <c r="A876" s="203"/>
      <c r="J876" s="203"/>
      <c r="K876" s="203"/>
      <c r="N876" s="203"/>
      <c r="O876" s="203"/>
    </row>
    <row r="877" spans="1:15" ht="14.25" customHeight="1" x14ac:dyDescent="0.25">
      <c r="A877" s="203"/>
      <c r="J877" s="203"/>
      <c r="K877" s="203"/>
      <c r="N877" s="203"/>
      <c r="O877" s="203"/>
    </row>
    <row r="878" spans="1:15" ht="14.25" customHeight="1" x14ac:dyDescent="0.25">
      <c r="A878" s="203"/>
      <c r="J878" s="203"/>
      <c r="K878" s="203"/>
      <c r="N878" s="203"/>
      <c r="O878" s="203"/>
    </row>
    <row r="879" spans="1:15" ht="14.25" customHeight="1" x14ac:dyDescent="0.25">
      <c r="A879" s="203"/>
      <c r="J879" s="203"/>
      <c r="K879" s="203"/>
      <c r="N879" s="203"/>
      <c r="O879" s="203"/>
    </row>
    <row r="880" spans="1:15" ht="14.25" customHeight="1" x14ac:dyDescent="0.25">
      <c r="A880" s="203"/>
      <c r="J880" s="203"/>
      <c r="K880" s="203"/>
      <c r="N880" s="203"/>
      <c r="O880" s="203"/>
    </row>
  </sheetData>
  <mergeCells count="6">
    <mergeCell ref="A5:O5"/>
    <mergeCell ref="A7:O7"/>
    <mergeCell ref="B9:I9"/>
    <mergeCell ref="L9:M9"/>
    <mergeCell ref="L21:M21"/>
    <mergeCell ref="L13:M13"/>
  </mergeCells>
  <phoneticPr fontId="43" type="noConversion"/>
  <pageMargins left="0.511811024" right="0.511811024" top="0.78740157499999996" bottom="0.78740157499999996" header="0" footer="0"/>
  <pageSetup paperSize="9" orientation="portrait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K28"/>
  <sheetViews>
    <sheetView showGridLines="0" topLeftCell="A10" zoomScale="87" zoomScaleNormal="87" zoomScaleSheetLayoutView="95" workbookViewId="0">
      <selection activeCell="F30" sqref="F30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12.140625" style="1" bestFit="1" customWidth="1"/>
    <col min="10" max="10" width="12.85546875" style="1" bestFit="1" customWidth="1"/>
    <col min="11" max="11" width="12" style="1" bestFit="1" customWidth="1"/>
    <col min="12" max="16384" width="9.140625" style="1"/>
  </cols>
  <sheetData>
    <row r="1" spans="1:10" x14ac:dyDescent="0.25">
      <c r="B1" s="2"/>
      <c r="C1" s="1"/>
      <c r="D1" s="1"/>
      <c r="G1" s="159"/>
      <c r="H1" s="159"/>
      <c r="I1" s="2"/>
    </row>
    <row r="2" spans="1:10" ht="12.75" customHeight="1" x14ac:dyDescent="0.25">
      <c r="A2" s="306" t="s">
        <v>187</v>
      </c>
      <c r="B2" s="2"/>
      <c r="C2" s="1"/>
      <c r="D2" s="1"/>
      <c r="G2" s="164"/>
      <c r="H2" s="164"/>
      <c r="I2" s="2"/>
    </row>
    <row r="3" spans="1:10" ht="12.75" customHeight="1" x14ac:dyDescent="0.25">
      <c r="A3" s="307"/>
      <c r="B3" s="2"/>
      <c r="C3" s="1"/>
      <c r="D3" s="1"/>
      <c r="G3" s="164"/>
      <c r="H3" s="164"/>
      <c r="I3" s="2"/>
    </row>
    <row r="4" spans="1:10" ht="12.75" customHeight="1" x14ac:dyDescent="0.25">
      <c r="A4" s="307"/>
      <c r="B4" s="2"/>
      <c r="C4" s="1"/>
      <c r="D4" s="1"/>
      <c r="G4" s="164"/>
      <c r="H4" s="164"/>
      <c r="I4" s="2"/>
    </row>
    <row r="5" spans="1:10" ht="13.5" thickBot="1" x14ac:dyDescent="0.3">
      <c r="A5" s="163"/>
      <c r="B5" s="162"/>
      <c r="C5" s="162"/>
      <c r="D5" s="162"/>
      <c r="E5" s="162"/>
      <c r="F5" s="162"/>
      <c r="G5" s="161"/>
      <c r="H5" s="161"/>
      <c r="I5" s="2"/>
    </row>
    <row r="6" spans="1:10" x14ac:dyDescent="0.25">
      <c r="A6" s="160"/>
      <c r="B6" s="2"/>
      <c r="C6" s="1"/>
      <c r="D6" s="1"/>
      <c r="G6" s="159"/>
      <c r="H6" s="159"/>
      <c r="I6" s="2"/>
    </row>
    <row r="7" spans="1:10" x14ac:dyDescent="0.25">
      <c r="A7" s="158" t="s">
        <v>186</v>
      </c>
      <c r="B7" s="157"/>
      <c r="C7" s="156"/>
      <c r="D7" s="156"/>
      <c r="E7" s="156"/>
      <c r="F7" s="156"/>
      <c r="G7" s="156"/>
      <c r="H7" s="155"/>
      <c r="I7" s="2"/>
    </row>
    <row r="8" spans="1:10" x14ac:dyDescent="0.25">
      <c r="A8" s="154" t="s">
        <v>0</v>
      </c>
      <c r="B8" s="153"/>
      <c r="C8" s="152"/>
      <c r="D8" s="152"/>
      <c r="E8" s="152"/>
      <c r="F8" s="152"/>
      <c r="G8" s="152"/>
      <c r="H8" s="151"/>
      <c r="I8" s="2"/>
    </row>
    <row r="9" spans="1:10" ht="15" customHeight="1" x14ac:dyDescent="0.25">
      <c r="A9" s="150" t="s">
        <v>185</v>
      </c>
      <c r="B9" s="149">
        <v>45471</v>
      </c>
      <c r="C9" s="148"/>
      <c r="D9" s="148"/>
      <c r="E9" s="148"/>
      <c r="F9" s="148"/>
      <c r="G9" s="148"/>
      <c r="H9" s="147"/>
    </row>
    <row r="10" spans="1:10" x14ac:dyDescent="0.25">
      <c r="A10" s="146" t="s">
        <v>1</v>
      </c>
      <c r="B10" s="145" t="s">
        <v>184</v>
      </c>
      <c r="C10" s="144"/>
      <c r="D10" s="144"/>
      <c r="E10" s="144"/>
      <c r="F10" s="144"/>
      <c r="G10" s="144"/>
      <c r="H10" s="143"/>
    </row>
    <row r="12" spans="1:10" x14ac:dyDescent="0.25">
      <c r="A12" s="142" t="s">
        <v>194</v>
      </c>
      <c r="B12" s="141"/>
      <c r="C12" s="140"/>
      <c r="D12" s="139"/>
      <c r="E12" s="138"/>
      <c r="F12" s="138"/>
      <c r="G12" s="138"/>
      <c r="H12" s="137"/>
    </row>
    <row r="13" spans="1:10" ht="15.95" customHeight="1" x14ac:dyDescent="0.25">
      <c r="A13" s="136"/>
      <c r="B13" s="135"/>
      <c r="C13" s="134"/>
      <c r="D13" s="133"/>
      <c r="E13" s="133"/>
      <c r="F13" s="133"/>
      <c r="H13" s="129"/>
      <c r="J13" s="115"/>
    </row>
    <row r="14" spans="1:10" ht="15.95" customHeight="1" x14ac:dyDescent="0.25">
      <c r="A14" s="132" t="s">
        <v>14</v>
      </c>
      <c r="B14" s="313" t="s">
        <v>18</v>
      </c>
      <c r="C14" s="314"/>
      <c r="D14" s="315" t="s">
        <v>5</v>
      </c>
      <c r="E14" s="316"/>
      <c r="F14" s="131" t="s">
        <v>182</v>
      </c>
      <c r="G14" s="130" t="s">
        <v>16</v>
      </c>
      <c r="H14" s="129"/>
      <c r="J14" s="115"/>
    </row>
    <row r="15" spans="1:10" ht="15.95" customHeight="1" x14ac:dyDescent="0.25">
      <c r="A15" s="170" t="s">
        <v>382</v>
      </c>
      <c r="B15" s="122">
        <f>'PISO E TETO'!M27</f>
        <v>1467.12</v>
      </c>
      <c r="C15" s="127" t="s">
        <v>2</v>
      </c>
      <c r="D15" s="126">
        <v>50</v>
      </c>
      <c r="E15" s="128" t="s">
        <v>170</v>
      </c>
      <c r="F15" s="124" t="s">
        <v>169</v>
      </c>
      <c r="G15" s="123">
        <f>D15*B15*1.1</f>
        <v>80691.600000000006</v>
      </c>
      <c r="H15" s="129">
        <f>G15/B15</f>
        <v>55.000000000000007</v>
      </c>
      <c r="I15" s="115">
        <f>172.7*B15</f>
        <v>253371.62399999995</v>
      </c>
    </row>
    <row r="16" spans="1:10" ht="15.95" customHeight="1" x14ac:dyDescent="0.25">
      <c r="A16" s="170" t="s">
        <v>320</v>
      </c>
      <c r="B16" s="122">
        <f>'PISO E TETO'!M24</f>
        <v>598.19600000000003</v>
      </c>
      <c r="C16" s="127" t="s">
        <v>2</v>
      </c>
      <c r="D16" s="126">
        <v>25</v>
      </c>
      <c r="E16" s="128" t="s">
        <v>170</v>
      </c>
      <c r="F16" s="124" t="s">
        <v>169</v>
      </c>
      <c r="G16" s="123">
        <f>D16*B16*1.1</f>
        <v>16450.390000000003</v>
      </c>
      <c r="H16" s="129"/>
    </row>
    <row r="17" spans="1:11" ht="15.95" customHeight="1" x14ac:dyDescent="0.25">
      <c r="A17" s="170" t="s">
        <v>339</v>
      </c>
      <c r="B17" s="122"/>
      <c r="C17" s="127" t="s">
        <v>2</v>
      </c>
      <c r="D17" s="126">
        <f>28</f>
        <v>28</v>
      </c>
      <c r="E17" s="128" t="s">
        <v>170</v>
      </c>
      <c r="F17" s="124" t="s">
        <v>169</v>
      </c>
      <c r="G17" s="123">
        <f>D17*B17*1.1</f>
        <v>0</v>
      </c>
      <c r="H17" s="129"/>
    </row>
    <row r="18" spans="1:11" ht="15.95" customHeight="1" x14ac:dyDescent="0.25">
      <c r="A18" s="168" t="s">
        <v>193</v>
      </c>
      <c r="B18" s="122">
        <f>'PISO E TETO'!M11</f>
        <v>3430.9879999999994</v>
      </c>
      <c r="C18" s="127" t="s">
        <v>2</v>
      </c>
      <c r="D18" s="126">
        <v>32</v>
      </c>
      <c r="E18" s="128" t="s">
        <v>189</v>
      </c>
      <c r="F18" s="124" t="s">
        <v>169</v>
      </c>
      <c r="G18" s="123">
        <f>B18*D18*1.1</f>
        <v>120770.77759999999</v>
      </c>
      <c r="H18" s="129"/>
    </row>
    <row r="19" spans="1:11" ht="15.95" customHeight="1" x14ac:dyDescent="0.25">
      <c r="A19" s="168" t="s">
        <v>192</v>
      </c>
      <c r="B19" s="122">
        <f>'PISO E TETO'!M12</f>
        <v>3071.6379999999999</v>
      </c>
      <c r="C19" s="127" t="s">
        <v>2</v>
      </c>
      <c r="D19" s="126">
        <v>26</v>
      </c>
      <c r="E19" s="128" t="s">
        <v>189</v>
      </c>
      <c r="F19" s="124" t="s">
        <v>169</v>
      </c>
      <c r="G19" s="123">
        <f>B19*D19*1.1</f>
        <v>87848.846800000014</v>
      </c>
      <c r="H19" s="129"/>
      <c r="J19" s="1">
        <f>G19/B19</f>
        <v>28.600000000000005</v>
      </c>
      <c r="K19" s="1">
        <f>G19/DADOS_INICIAIS!E9</f>
        <v>15.754334390809465</v>
      </c>
    </row>
    <row r="20" spans="1:11" ht="27" customHeight="1" x14ac:dyDescent="0.25">
      <c r="A20" s="168" t="s">
        <v>484</v>
      </c>
      <c r="B20" s="238">
        <f>B18</f>
        <v>3430.9879999999994</v>
      </c>
      <c r="C20" s="127" t="s">
        <v>2</v>
      </c>
      <c r="D20" s="173">
        <v>35</v>
      </c>
      <c r="E20" s="128" t="s">
        <v>170</v>
      </c>
      <c r="F20" s="124" t="s">
        <v>169</v>
      </c>
      <c r="G20" s="123">
        <f>B20*D20*1.1</f>
        <v>132093.03799999997</v>
      </c>
      <c r="H20" s="121"/>
    </row>
    <row r="21" spans="1:11" ht="27" customHeight="1" x14ac:dyDescent="0.25">
      <c r="A21" s="169" t="s">
        <v>191</v>
      </c>
      <c r="B21" s="238">
        <f>ALVENARIA!D13*2-'Rev. Fachada'!B15</f>
        <v>9367.2753599999996</v>
      </c>
      <c r="C21" s="167" t="s">
        <v>2</v>
      </c>
      <c r="D21" s="173">
        <v>2.9</v>
      </c>
      <c r="E21" s="128" t="s">
        <v>170</v>
      </c>
      <c r="F21" s="166" t="s">
        <v>169</v>
      </c>
      <c r="G21" s="123">
        <f t="shared" ref="G21:G22" si="0">B21*D21*1.1</f>
        <v>29881.6083984</v>
      </c>
      <c r="H21" s="121"/>
    </row>
    <row r="22" spans="1:11" ht="27" customHeight="1" x14ac:dyDescent="0.25">
      <c r="A22" s="168" t="s">
        <v>190</v>
      </c>
      <c r="B22" s="238">
        <f>B21</f>
        <v>9367.2753599999996</v>
      </c>
      <c r="C22" s="167" t="s">
        <v>2</v>
      </c>
      <c r="D22" s="173">
        <v>16</v>
      </c>
      <c r="E22" s="128" t="s">
        <v>170</v>
      </c>
      <c r="F22" s="166" t="s">
        <v>169</v>
      </c>
      <c r="G22" s="123">
        <f t="shared" si="0"/>
        <v>164864.046336</v>
      </c>
      <c r="H22" s="121"/>
    </row>
    <row r="23" spans="1:11" ht="27" customHeight="1" x14ac:dyDescent="0.25">
      <c r="A23" s="168" t="s">
        <v>196</v>
      </c>
      <c r="B23" s="238">
        <f>0.15*DADOS_INICIAIS!E9</f>
        <v>836.42549999999994</v>
      </c>
      <c r="C23" s="167" t="s">
        <v>2</v>
      </c>
      <c r="D23" s="173">
        <f>4.3+22</f>
        <v>26.3</v>
      </c>
      <c r="E23" s="128" t="s">
        <v>170</v>
      </c>
      <c r="F23" s="166" t="s">
        <v>169</v>
      </c>
      <c r="G23" s="123">
        <f>B23*D23*1.1</f>
        <v>24197.789715000003</v>
      </c>
      <c r="H23" s="121"/>
    </row>
    <row r="24" spans="1:11" ht="27" customHeight="1" x14ac:dyDescent="0.25">
      <c r="A24" s="168" t="s">
        <v>438</v>
      </c>
      <c r="B24" s="238">
        <f>B22</f>
        <v>9367.2753599999996</v>
      </c>
      <c r="C24" s="167"/>
      <c r="D24" s="173">
        <v>34</v>
      </c>
      <c r="E24" s="128" t="s">
        <v>170</v>
      </c>
      <c r="F24" s="166" t="s">
        <v>169</v>
      </c>
      <c r="G24" s="123">
        <f>B24*D24*1.1</f>
        <v>350336.09846400004</v>
      </c>
      <c r="H24" s="121"/>
    </row>
    <row r="25" spans="1:11" ht="15.95" customHeight="1" x14ac:dyDescent="0.25">
      <c r="A25" s="311" t="s">
        <v>17</v>
      </c>
      <c r="B25" s="312"/>
      <c r="C25" s="312"/>
      <c r="D25" s="312"/>
      <c r="E25" s="312"/>
      <c r="F25" s="312"/>
      <c r="G25" s="120">
        <f>SUM(G15:G24)</f>
        <v>1007134.1953134</v>
      </c>
      <c r="H25" s="119"/>
    </row>
    <row r="26" spans="1:11" ht="15.95" customHeight="1" x14ac:dyDescent="0.25">
      <c r="A26" s="309"/>
      <c r="B26" s="310"/>
      <c r="C26" s="310"/>
      <c r="D26" s="310"/>
      <c r="E26" s="310"/>
      <c r="F26" s="310"/>
      <c r="G26" s="165"/>
      <c r="H26" s="118"/>
    </row>
    <row r="28" spans="1:11" x14ac:dyDescent="0.25">
      <c r="A28" s="308" t="s">
        <v>188</v>
      </c>
      <c r="B28" s="308"/>
      <c r="C28" s="308"/>
      <c r="D28" s="308"/>
      <c r="E28" s="308"/>
      <c r="F28" s="308"/>
      <c r="G28" s="117">
        <f>G25</f>
        <v>1007134.1953134</v>
      </c>
      <c r="H28" s="116">
        <f>G28/DADOS_INICIAIS!E9</f>
        <v>180.61396896317723</v>
      </c>
    </row>
  </sheetData>
  <mergeCells count="6">
    <mergeCell ref="A2:A4"/>
    <mergeCell ref="A28:F28"/>
    <mergeCell ref="A26:F26"/>
    <mergeCell ref="A25:F25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19"/>
  <sheetViews>
    <sheetView showGridLines="0" topLeftCell="A3" zoomScale="80" zoomScaleNormal="80" zoomScaleSheetLayoutView="95" workbookViewId="0">
      <selection activeCell="G15" sqref="G15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87" t="s">
        <v>315</v>
      </c>
      <c r="B3" s="295"/>
      <c r="C3" s="295"/>
      <c r="D3" s="288"/>
      <c r="E3" s="288"/>
      <c r="F3" s="288"/>
      <c r="G3" s="288"/>
      <c r="H3" s="289"/>
      <c r="J3" s="79"/>
    </row>
    <row r="4" spans="1:12" ht="19.5" x14ac:dyDescent="0.25">
      <c r="A4" s="182" t="s">
        <v>185</v>
      </c>
      <c r="B4" s="188">
        <v>45471</v>
      </c>
      <c r="C4" s="186"/>
      <c r="D4" s="186"/>
      <c r="E4" s="186"/>
      <c r="F4" s="186"/>
      <c r="G4" s="186"/>
      <c r="H4" s="187"/>
      <c r="J4" s="79"/>
    </row>
    <row r="5" spans="1:12" ht="19.5" x14ac:dyDescent="0.25">
      <c r="A5" s="182" t="s">
        <v>292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396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91" t="s">
        <v>5</v>
      </c>
      <c r="C9" s="292"/>
      <c r="D9" s="291" t="s">
        <v>18</v>
      </c>
      <c r="E9" s="292"/>
      <c r="F9" s="65" t="s">
        <v>118</v>
      </c>
      <c r="G9" s="71" t="s">
        <v>16</v>
      </c>
      <c r="H9" s="90" t="s">
        <v>294</v>
      </c>
    </row>
    <row r="10" spans="1:12" ht="21.75" x14ac:dyDescent="0.25">
      <c r="A10" s="66" t="s">
        <v>440</v>
      </c>
      <c r="B10" s="62">
        <f>D10/DADOS_INICIAIS!E9</f>
        <v>0.56587586103006182</v>
      </c>
      <c r="C10" s="62" t="s">
        <v>37</v>
      </c>
      <c r="D10" s="67">
        <f>'PISO E TETO'!M16</f>
        <v>3155.42</v>
      </c>
      <c r="E10" s="67" t="s">
        <v>2</v>
      </c>
      <c r="F10" s="88">
        <v>65</v>
      </c>
      <c r="G10" s="89">
        <f>F10*D10*1.1</f>
        <v>225612.53000000003</v>
      </c>
      <c r="H10" s="67"/>
    </row>
    <row r="11" spans="1:12" ht="21.75" x14ac:dyDescent="0.25">
      <c r="A11" s="78" t="s">
        <v>197</v>
      </c>
      <c r="B11" s="62">
        <v>1.2</v>
      </c>
      <c r="C11" s="62" t="s">
        <v>313</v>
      </c>
      <c r="D11" s="67">
        <f>(D10)*B11</f>
        <v>3786.5039999999999</v>
      </c>
      <c r="E11" s="67" t="s">
        <v>4</v>
      </c>
      <c r="F11" s="88">
        <v>25</v>
      </c>
      <c r="G11" s="89">
        <f>F11*D11*1.1</f>
        <v>104128.86</v>
      </c>
      <c r="H11" s="67"/>
    </row>
    <row r="12" spans="1:12" ht="21.75" x14ac:dyDescent="0.25">
      <c r="A12" s="78" t="s">
        <v>196</v>
      </c>
      <c r="B12" s="62">
        <f>D12/DADOS_INICIAIS!E9</f>
        <v>0.45672038677084825</v>
      </c>
      <c r="C12" s="62" t="s">
        <v>37</v>
      </c>
      <c r="D12" s="67">
        <f>'PISO E TETO'!M15</f>
        <v>2546.7505191000009</v>
      </c>
      <c r="E12" s="67" t="s">
        <v>2</v>
      </c>
      <c r="F12" s="88">
        <v>7.5</v>
      </c>
      <c r="G12" s="89">
        <f>F12*D12*1.1</f>
        <v>21010.69178257501</v>
      </c>
      <c r="H12" s="67"/>
    </row>
    <row r="13" spans="1:12" ht="21.75" x14ac:dyDescent="0.25">
      <c r="A13" s="78" t="s">
        <v>439</v>
      </c>
      <c r="B13" s="62"/>
      <c r="C13" s="62"/>
      <c r="D13" s="67">
        <f>D12</f>
        <v>2546.7505191000009</v>
      </c>
      <c r="E13" s="67"/>
      <c r="F13" s="88">
        <v>22</v>
      </c>
      <c r="G13" s="89">
        <f>F13*D13*1.1</f>
        <v>61631.362562220027</v>
      </c>
      <c r="H13" s="67"/>
    </row>
    <row r="14" spans="1:12" ht="21.75" x14ac:dyDescent="0.25">
      <c r="A14" s="286" t="s">
        <v>17</v>
      </c>
      <c r="B14" s="286"/>
      <c r="C14" s="286"/>
      <c r="D14" s="286"/>
      <c r="E14" s="286"/>
      <c r="F14" s="286"/>
      <c r="G14" s="90">
        <f>SUM(G10:G13)</f>
        <v>412383.44434479502</v>
      </c>
      <c r="H14" s="90">
        <f>G14/DADOS_INICIAIS!$E$9</f>
        <v>73.95460402835549</v>
      </c>
      <c r="K14" s="55">
        <f>4160+1440+1120+2880+4800+91680+4000</f>
        <v>110080</v>
      </c>
      <c r="L14" s="55">
        <f>K14/21</f>
        <v>5241.9047619047615</v>
      </c>
    </row>
    <row r="16" spans="1:12" ht="21.75" x14ac:dyDescent="0.25">
      <c r="A16" s="296" t="s">
        <v>337</v>
      </c>
      <c r="B16" s="297"/>
      <c r="C16" s="297"/>
      <c r="D16" s="297"/>
      <c r="E16" s="297"/>
      <c r="F16" s="298"/>
      <c r="G16" s="91">
        <f>G14</f>
        <v>412383.44434479502</v>
      </c>
      <c r="H16" s="91">
        <f>G16/DADOS_INICIAIS!E9</f>
        <v>73.95460402835549</v>
      </c>
    </row>
    <row r="18" spans="7:8" x14ac:dyDescent="0.25">
      <c r="G18" s="55" t="e">
        <f>#REF!/DADOS_INICIAIS!E9</f>
        <v>#REF!</v>
      </c>
    </row>
    <row r="19" spans="7:8" x14ac:dyDescent="0.25">
      <c r="H19" s="191">
        <f>H16/1.1</f>
        <v>67.231458207595892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K51"/>
  <sheetViews>
    <sheetView showGridLines="0" topLeftCell="A14" zoomScaleNormal="100" zoomScaleSheetLayoutView="95" workbookViewId="0">
      <selection activeCell="G31" sqref="G31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2.140625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59"/>
      <c r="H1" s="159"/>
      <c r="I1" s="2"/>
    </row>
    <row r="2" spans="1:11" ht="12.75" customHeight="1" x14ac:dyDescent="0.25">
      <c r="A2" s="306" t="s">
        <v>187</v>
      </c>
      <c r="B2" s="2"/>
      <c r="C2" s="1"/>
      <c r="D2" s="1"/>
      <c r="G2" s="164"/>
      <c r="H2" s="164"/>
      <c r="I2" s="2"/>
    </row>
    <row r="3" spans="1:11" ht="12.75" customHeight="1" x14ac:dyDescent="0.25">
      <c r="A3" s="307"/>
      <c r="B3" s="2"/>
      <c r="C3" s="1"/>
      <c r="D3" s="1"/>
      <c r="G3" s="164"/>
      <c r="H3" s="164"/>
      <c r="I3" s="2"/>
    </row>
    <row r="4" spans="1:11" ht="12.75" customHeight="1" x14ac:dyDescent="0.25">
      <c r="A4" s="307"/>
      <c r="B4" s="2"/>
      <c r="C4" s="1"/>
      <c r="D4" s="1"/>
      <c r="G4" s="164"/>
      <c r="H4" s="164"/>
      <c r="I4" s="2"/>
    </row>
    <row r="5" spans="1:11" ht="13.5" thickBot="1" x14ac:dyDescent="0.3">
      <c r="A5" s="163"/>
      <c r="B5" s="162"/>
      <c r="C5" s="162"/>
      <c r="D5" s="162"/>
      <c r="E5" s="162"/>
      <c r="F5" s="162"/>
      <c r="G5" s="161"/>
      <c r="H5" s="161"/>
      <c r="I5" s="2"/>
    </row>
    <row r="6" spans="1:11" x14ac:dyDescent="0.25">
      <c r="A6" s="160"/>
      <c r="B6" s="2"/>
      <c r="C6" s="1"/>
      <c r="D6" s="1"/>
      <c r="G6" s="159"/>
      <c r="H6" s="159"/>
      <c r="I6" s="2"/>
    </row>
    <row r="7" spans="1:11" x14ac:dyDescent="0.25">
      <c r="A7" s="158" t="s">
        <v>186</v>
      </c>
      <c r="B7" s="157"/>
      <c r="C7" s="156"/>
      <c r="D7" s="156"/>
      <c r="E7" s="156"/>
      <c r="F7" s="156"/>
      <c r="G7" s="156"/>
      <c r="H7" s="155"/>
      <c r="I7" s="2"/>
    </row>
    <row r="8" spans="1:11" x14ac:dyDescent="0.25">
      <c r="A8" s="154" t="s">
        <v>0</v>
      </c>
      <c r="B8" s="153"/>
      <c r="C8" s="152"/>
      <c r="D8" s="152"/>
      <c r="E8" s="152"/>
      <c r="F8" s="152"/>
      <c r="G8" s="152"/>
      <c r="H8" s="151"/>
      <c r="I8" s="2"/>
    </row>
    <row r="9" spans="1:11" ht="15" customHeight="1" x14ac:dyDescent="0.25">
      <c r="A9" s="150" t="s">
        <v>185</v>
      </c>
      <c r="B9" s="149">
        <v>45471</v>
      </c>
      <c r="C9" s="148"/>
      <c r="D9" s="148"/>
      <c r="E9" s="148"/>
      <c r="F9" s="148"/>
      <c r="G9" s="148"/>
      <c r="H9" s="147"/>
    </row>
    <row r="10" spans="1:11" x14ac:dyDescent="0.25">
      <c r="A10" s="146" t="s">
        <v>1</v>
      </c>
      <c r="B10" s="145" t="s">
        <v>184</v>
      </c>
      <c r="C10" s="144"/>
      <c r="D10" s="144"/>
      <c r="E10" s="144"/>
      <c r="F10" s="144"/>
      <c r="G10" s="144"/>
      <c r="H10" s="143"/>
    </row>
    <row r="12" spans="1:11" x14ac:dyDescent="0.25">
      <c r="A12" s="142" t="s">
        <v>441</v>
      </c>
      <c r="B12" s="141"/>
      <c r="C12" s="140"/>
      <c r="D12" s="139"/>
      <c r="E12" s="138"/>
      <c r="F12" s="138"/>
      <c r="G12" s="138"/>
      <c r="H12" s="137"/>
    </row>
    <row r="13" spans="1:11" ht="15.95" customHeight="1" x14ac:dyDescent="0.25">
      <c r="A13" s="136"/>
      <c r="B13" s="135"/>
      <c r="C13" s="134"/>
      <c r="D13" s="133"/>
      <c r="E13" s="133"/>
      <c r="F13" s="133"/>
      <c r="H13" s="129"/>
    </row>
    <row r="14" spans="1:11" ht="15.95" customHeight="1" x14ac:dyDescent="0.25">
      <c r="A14" s="132" t="s">
        <v>14</v>
      </c>
      <c r="B14" s="313" t="s">
        <v>18</v>
      </c>
      <c r="C14" s="314"/>
      <c r="D14" s="315" t="s">
        <v>5</v>
      </c>
      <c r="E14" s="316"/>
      <c r="F14" s="131" t="s">
        <v>182</v>
      </c>
      <c r="G14" s="130" t="s">
        <v>16</v>
      </c>
      <c r="H14" s="201"/>
      <c r="I14" s="2"/>
    </row>
    <row r="15" spans="1:11" ht="15.95" customHeight="1" x14ac:dyDescent="0.25">
      <c r="A15" s="168" t="s">
        <v>204</v>
      </c>
      <c r="B15" s="175">
        <f>'PISO E TETO'!M23</f>
        <v>2367.21</v>
      </c>
      <c r="C15" s="167" t="s">
        <v>202</v>
      </c>
      <c r="D15" s="173">
        <v>170</v>
      </c>
      <c r="E15" s="125" t="s">
        <v>170</v>
      </c>
      <c r="F15" s="166" t="s">
        <v>169</v>
      </c>
      <c r="G15" s="123">
        <f>+D15*B15*1.1</f>
        <v>442668.27000000008</v>
      </c>
      <c r="H15" s="129"/>
      <c r="J15" s="115"/>
      <c r="K15" s="115"/>
    </row>
    <row r="16" spans="1:11" ht="15.95" customHeight="1" x14ac:dyDescent="0.25">
      <c r="A16" s="168" t="s">
        <v>444</v>
      </c>
      <c r="B16" s="175"/>
      <c r="C16" s="167" t="s">
        <v>202</v>
      </c>
      <c r="D16" s="173">
        <v>150</v>
      </c>
      <c r="E16" s="125" t="s">
        <v>170</v>
      </c>
      <c r="F16" s="166" t="s">
        <v>169</v>
      </c>
      <c r="G16" s="123">
        <f>+D16*B16*1.1</f>
        <v>0</v>
      </c>
      <c r="H16" s="129"/>
      <c r="J16" s="115"/>
      <c r="K16" s="115"/>
    </row>
    <row r="17" spans="1:11" ht="15.95" customHeight="1" x14ac:dyDescent="0.25">
      <c r="A17" s="168" t="s">
        <v>445</v>
      </c>
      <c r="B17" s="175"/>
      <c r="C17" s="167" t="s">
        <v>202</v>
      </c>
      <c r="D17" s="173">
        <v>85</v>
      </c>
      <c r="E17" s="125" t="s">
        <v>170</v>
      </c>
      <c r="F17" s="166" t="s">
        <v>169</v>
      </c>
      <c r="G17" s="123">
        <f>+D17*B17*1.1</f>
        <v>0</v>
      </c>
      <c r="H17" s="129"/>
      <c r="J17" s="115"/>
      <c r="K17" s="115"/>
    </row>
    <row r="18" spans="1:11" ht="15.95" customHeight="1" x14ac:dyDescent="0.25">
      <c r="A18" s="168" t="s">
        <v>383</v>
      </c>
      <c r="B18" s="175"/>
      <c r="C18" s="167" t="s">
        <v>202</v>
      </c>
      <c r="D18" s="173">
        <v>60</v>
      </c>
      <c r="E18" s="125" t="s">
        <v>170</v>
      </c>
      <c r="F18" s="166" t="s">
        <v>169</v>
      </c>
      <c r="G18" s="123">
        <f>+D18*B18*1.1</f>
        <v>0</v>
      </c>
      <c r="H18" s="129"/>
      <c r="J18" s="115"/>
      <c r="K18" s="115"/>
    </row>
    <row r="19" spans="1:11" ht="15.95" customHeight="1" x14ac:dyDescent="0.25">
      <c r="A19" s="177" t="s">
        <v>203</v>
      </c>
      <c r="B19" s="175">
        <f>'PISO E TETO'!M29</f>
        <v>72.12</v>
      </c>
      <c r="C19" s="167" t="s">
        <v>202</v>
      </c>
      <c r="D19" s="173">
        <f>290+50</f>
        <v>340</v>
      </c>
      <c r="E19" s="125" t="s">
        <v>170</v>
      </c>
      <c r="F19" s="166" t="s">
        <v>169</v>
      </c>
      <c r="G19" s="123">
        <f t="shared" ref="G19:G22" si="0">+D19*B19*1.1</f>
        <v>26972.880000000005</v>
      </c>
      <c r="H19" s="129"/>
      <c r="J19" s="115"/>
    </row>
    <row r="20" spans="1:11" ht="15.95" customHeight="1" x14ac:dyDescent="0.25">
      <c r="A20" s="168" t="s">
        <v>404</v>
      </c>
      <c r="B20" s="175">
        <f>'PISO E TETO'!M26</f>
        <v>96</v>
      </c>
      <c r="C20" s="167" t="s">
        <v>202</v>
      </c>
      <c r="D20" s="173">
        <v>150</v>
      </c>
      <c r="E20" s="125" t="s">
        <v>170</v>
      </c>
      <c r="F20" s="166" t="s">
        <v>169</v>
      </c>
      <c r="G20" s="123">
        <f t="shared" si="0"/>
        <v>15840.000000000002</v>
      </c>
      <c r="H20" s="129"/>
    </row>
    <row r="21" spans="1:11" ht="15.95" customHeight="1" x14ac:dyDescent="0.25">
      <c r="A21" s="168" t="s">
        <v>367</v>
      </c>
      <c r="B21" s="175">
        <f>'PISO E TETO'!M28</f>
        <v>914.94</v>
      </c>
      <c r="C21" s="167" t="s">
        <v>202</v>
      </c>
      <c r="D21" s="173">
        <v>210</v>
      </c>
      <c r="E21" s="125" t="s">
        <v>170</v>
      </c>
      <c r="F21" s="166" t="s">
        <v>169</v>
      </c>
      <c r="G21" s="123">
        <f t="shared" si="0"/>
        <v>211351.14000000004</v>
      </c>
      <c r="H21" s="129"/>
    </row>
    <row r="22" spans="1:11" ht="15.95" customHeight="1" x14ac:dyDescent="0.25">
      <c r="A22" s="168" t="s">
        <v>485</v>
      </c>
      <c r="B22" s="175">
        <f>'PISO E TETO'!M25</f>
        <v>676.56451909999987</v>
      </c>
      <c r="C22" s="167" t="s">
        <v>202</v>
      </c>
      <c r="D22" s="173">
        <v>81</v>
      </c>
      <c r="E22" s="125" t="s">
        <v>170</v>
      </c>
      <c r="F22" s="166" t="s">
        <v>169</v>
      </c>
      <c r="G22" s="123">
        <f t="shared" si="0"/>
        <v>60281.898651809992</v>
      </c>
      <c r="H22" s="129"/>
    </row>
    <row r="23" spans="1:11" ht="15.95" customHeight="1" x14ac:dyDescent="0.25">
      <c r="A23" s="168" t="s">
        <v>384</v>
      </c>
      <c r="B23" s="175">
        <f>'PISO E TETO'!M32</f>
        <v>46.717999999999996</v>
      </c>
      <c r="C23" s="167" t="s">
        <v>202</v>
      </c>
      <c r="D23" s="173">
        <f>768+40</f>
        <v>808</v>
      </c>
      <c r="E23" s="125" t="s">
        <v>170</v>
      </c>
      <c r="F23" s="166" t="s">
        <v>169</v>
      </c>
      <c r="G23" s="123">
        <f t="shared" ref="G23:G25" si="1">+D23*B23*1.1</f>
        <v>41522.958400000003</v>
      </c>
      <c r="H23" s="129"/>
      <c r="I23" s="115"/>
    </row>
    <row r="24" spans="1:11" ht="15.95" customHeight="1" x14ac:dyDescent="0.25">
      <c r="A24" s="168" t="s">
        <v>519</v>
      </c>
      <c r="B24" s="175">
        <f>'PISO E TETO'!M31</f>
        <v>30</v>
      </c>
      <c r="C24" s="167" t="s">
        <v>202</v>
      </c>
      <c r="D24" s="173">
        <v>210</v>
      </c>
      <c r="E24" s="125" t="s">
        <v>170</v>
      </c>
      <c r="F24" s="166" t="s">
        <v>169</v>
      </c>
      <c r="G24" s="123">
        <f t="shared" ref="G24" si="2">+D24*B24*1.1</f>
        <v>6930.0000000000009</v>
      </c>
      <c r="H24" s="129"/>
      <c r="I24" s="115"/>
    </row>
    <row r="25" spans="1:11" ht="15.95" customHeight="1" x14ac:dyDescent="0.25">
      <c r="A25" s="168" t="s">
        <v>385</v>
      </c>
      <c r="B25" s="175"/>
      <c r="C25" s="167" t="s">
        <v>202</v>
      </c>
      <c r="D25" s="173">
        <f>985.2</f>
        <v>985.2</v>
      </c>
      <c r="E25" s="125" t="s">
        <v>170</v>
      </c>
      <c r="F25" s="166" t="s">
        <v>169</v>
      </c>
      <c r="G25" s="123">
        <f t="shared" si="1"/>
        <v>0</v>
      </c>
      <c r="H25" s="129"/>
    </row>
    <row r="26" spans="1:11" ht="15.95" customHeight="1" x14ac:dyDescent="0.25">
      <c r="A26" s="177" t="s">
        <v>201</v>
      </c>
      <c r="B26" s="239">
        <v>1</v>
      </c>
      <c r="C26" s="167" t="s">
        <v>27</v>
      </c>
      <c r="D26" s="173">
        <v>18</v>
      </c>
      <c r="E26" s="125" t="s">
        <v>6</v>
      </c>
      <c r="F26" s="166" t="s">
        <v>169</v>
      </c>
      <c r="G26" s="123">
        <f>D26*DADOS_INICIAIS!$E$9*1.1</f>
        <v>110408.16600000001</v>
      </c>
      <c r="H26" s="201"/>
    </row>
    <row r="27" spans="1:11" ht="15.95" customHeight="1" x14ac:dyDescent="0.25">
      <c r="A27" s="176" t="s">
        <v>446</v>
      </c>
      <c r="B27" s="239">
        <v>1</v>
      </c>
      <c r="C27" s="167" t="s">
        <v>27</v>
      </c>
      <c r="D27" s="173">
        <v>5</v>
      </c>
      <c r="E27" s="125" t="s">
        <v>6</v>
      </c>
      <c r="F27" s="166" t="s">
        <v>169</v>
      </c>
      <c r="G27" s="123">
        <f>D27*DADOS_INICIAIS!$E$9*1.1</f>
        <v>30668.935000000001</v>
      </c>
      <c r="H27" s="129"/>
      <c r="J27" s="115"/>
    </row>
    <row r="28" spans="1:11" ht="15.95" customHeight="1" x14ac:dyDescent="0.25">
      <c r="A28" s="176" t="s">
        <v>447</v>
      </c>
      <c r="B28" s="239">
        <v>1</v>
      </c>
      <c r="C28" s="167" t="s">
        <v>27</v>
      </c>
      <c r="D28" s="173">
        <v>12</v>
      </c>
      <c r="E28" s="125" t="s">
        <v>6</v>
      </c>
      <c r="F28" s="166" t="s">
        <v>169</v>
      </c>
      <c r="G28" s="123">
        <f>D28*DADOS_INICIAIS!$E$9*1.1</f>
        <v>73605.444000000018</v>
      </c>
      <c r="H28" s="129"/>
      <c r="J28" s="115"/>
    </row>
    <row r="29" spans="1:11" ht="15.95" customHeight="1" x14ac:dyDescent="0.25">
      <c r="A29" s="174" t="s">
        <v>200</v>
      </c>
      <c r="B29" s="238">
        <f>0.24*DADOS_INICIAIS!E9</f>
        <v>1338.2808</v>
      </c>
      <c r="C29" s="167" t="s">
        <v>202</v>
      </c>
      <c r="D29" s="173">
        <v>170</v>
      </c>
      <c r="E29" s="125" t="s">
        <v>6</v>
      </c>
      <c r="F29" s="166" t="s">
        <v>169</v>
      </c>
      <c r="G29" s="123">
        <f>D29*B29*1.1</f>
        <v>250258.50960000002</v>
      </c>
      <c r="H29" s="121" t="s">
        <v>498</v>
      </c>
      <c r="J29" s="115"/>
    </row>
    <row r="30" spans="1:11" ht="15.95" customHeight="1" x14ac:dyDescent="0.25">
      <c r="A30" s="174" t="s">
        <v>442</v>
      </c>
      <c r="B30" s="238"/>
      <c r="C30" s="167"/>
      <c r="D30" s="173"/>
      <c r="E30" s="125"/>
      <c r="F30" s="166"/>
      <c r="G30" s="123"/>
      <c r="H30" s="121"/>
      <c r="J30" s="115"/>
    </row>
    <row r="31" spans="1:11" ht="15.95" customHeight="1" x14ac:dyDescent="0.25">
      <c r="A31" s="319"/>
      <c r="B31" s="308"/>
      <c r="C31" s="308"/>
      <c r="D31" s="308"/>
      <c r="E31" s="308"/>
      <c r="F31" s="308"/>
      <c r="G31" s="172">
        <f>SUM(G15:G30)</f>
        <v>1270508.2016518102</v>
      </c>
      <c r="H31" s="119"/>
      <c r="I31" s="1">
        <f>G31/DADOS_INICIAIS!E9</f>
        <v>227.84603081538228</v>
      </c>
    </row>
    <row r="32" spans="1:11" ht="15.95" customHeight="1" x14ac:dyDescent="0.25">
      <c r="A32" s="317"/>
      <c r="B32" s="318"/>
      <c r="C32" s="318"/>
      <c r="D32" s="318"/>
      <c r="E32" s="318"/>
      <c r="F32" s="318"/>
      <c r="G32" s="165"/>
      <c r="H32" s="118"/>
    </row>
    <row r="33" spans="2:8" ht="15" x14ac:dyDescent="0.25">
      <c r="C33"/>
      <c r="D33"/>
      <c r="E33"/>
      <c r="F33"/>
      <c r="G33"/>
      <c r="H33"/>
    </row>
    <row r="34" spans="2:8" ht="15" x14ac:dyDescent="0.25">
      <c r="B34"/>
      <c r="C34"/>
      <c r="D34"/>
      <c r="E34"/>
      <c r="F34"/>
      <c r="G34"/>
      <c r="H34"/>
    </row>
    <row r="35" spans="2:8" ht="15" x14ac:dyDescent="0.25">
      <c r="C35"/>
      <c r="D35"/>
      <c r="E35"/>
      <c r="F35"/>
      <c r="G35"/>
      <c r="H35"/>
    </row>
    <row r="36" spans="2:8" ht="15" x14ac:dyDescent="0.25">
      <c r="B36"/>
      <c r="C36"/>
      <c r="D36"/>
      <c r="E36"/>
      <c r="F36"/>
      <c r="G36"/>
      <c r="H36"/>
    </row>
    <row r="37" spans="2:8" ht="15" x14ac:dyDescent="0.25">
      <c r="C37"/>
      <c r="D37"/>
      <c r="E37"/>
      <c r="F37"/>
      <c r="G37"/>
      <c r="H37"/>
    </row>
    <row r="38" spans="2:8" ht="15" x14ac:dyDescent="0.25">
      <c r="C38"/>
      <c r="D38"/>
      <c r="E38"/>
      <c r="F38"/>
      <c r="G38"/>
      <c r="H38"/>
    </row>
    <row r="39" spans="2:8" ht="15" x14ac:dyDescent="0.25">
      <c r="C39"/>
      <c r="D39"/>
      <c r="E39"/>
      <c r="F39"/>
      <c r="G39"/>
      <c r="H39"/>
    </row>
    <row r="40" spans="2:8" ht="15" x14ac:dyDescent="0.25">
      <c r="C40"/>
      <c r="D40"/>
      <c r="E40"/>
      <c r="F40"/>
      <c r="G40"/>
      <c r="H40"/>
    </row>
    <row r="41" spans="2:8" ht="15" x14ac:dyDescent="0.25">
      <c r="B41"/>
      <c r="C41"/>
      <c r="D41"/>
      <c r="E41"/>
      <c r="F41"/>
      <c r="G41"/>
      <c r="H41"/>
    </row>
    <row r="42" spans="2:8" ht="15" x14ac:dyDescent="0.25">
      <c r="C42"/>
      <c r="D42"/>
      <c r="E42"/>
      <c r="F42"/>
      <c r="G42"/>
      <c r="H42"/>
    </row>
    <row r="43" spans="2:8" ht="15" x14ac:dyDescent="0.25">
      <c r="C43"/>
      <c r="D43"/>
      <c r="E43"/>
      <c r="F43"/>
      <c r="G43"/>
      <c r="H43"/>
    </row>
    <row r="44" spans="2:8" ht="15" x14ac:dyDescent="0.25">
      <c r="C44"/>
      <c r="D44"/>
      <c r="E44"/>
      <c r="F44"/>
      <c r="G44"/>
      <c r="H44"/>
    </row>
    <row r="45" spans="2:8" ht="15" x14ac:dyDescent="0.25">
      <c r="C45"/>
      <c r="D45"/>
      <c r="E45"/>
      <c r="F45"/>
      <c r="G45"/>
      <c r="H45"/>
    </row>
    <row r="46" spans="2:8" ht="15" x14ac:dyDescent="0.25">
      <c r="B46"/>
      <c r="C46"/>
      <c r="D46"/>
      <c r="E46"/>
      <c r="F46"/>
      <c r="G46"/>
      <c r="H46"/>
    </row>
    <row r="47" spans="2:8" ht="15" x14ac:dyDescent="0.25">
      <c r="C47"/>
      <c r="D47"/>
      <c r="E47"/>
      <c r="F47"/>
      <c r="G47"/>
      <c r="H47"/>
    </row>
    <row r="48" spans="2:8" ht="15" x14ac:dyDescent="0.25">
      <c r="C48"/>
      <c r="D48"/>
      <c r="E48"/>
      <c r="F48"/>
      <c r="G48"/>
      <c r="H48"/>
    </row>
    <row r="49" spans="3:8" ht="15" x14ac:dyDescent="0.25">
      <c r="C49"/>
      <c r="D49"/>
      <c r="E49"/>
      <c r="F49"/>
      <c r="G49"/>
      <c r="H49"/>
    </row>
    <row r="50" spans="3:8" ht="15" x14ac:dyDescent="0.25">
      <c r="C50"/>
      <c r="D50"/>
      <c r="E50"/>
      <c r="F50"/>
      <c r="G50"/>
      <c r="H50"/>
    </row>
    <row r="51" spans="3:8" ht="15" x14ac:dyDescent="0.25">
      <c r="C51"/>
      <c r="D51"/>
      <c r="E51"/>
      <c r="F51"/>
      <c r="G51"/>
      <c r="H51"/>
    </row>
  </sheetData>
  <mergeCells count="5">
    <mergeCell ref="A32:F32"/>
    <mergeCell ref="A31:F31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21"/>
  <sheetViews>
    <sheetView showGridLines="0" topLeftCell="A4" zoomScale="80" zoomScaleNormal="80" zoomScaleSheetLayoutView="95" workbookViewId="0">
      <selection activeCell="G17" sqref="G17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18" style="55" customWidth="1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87" t="s">
        <v>314</v>
      </c>
      <c r="B3" s="295"/>
      <c r="C3" s="295"/>
      <c r="D3" s="288"/>
      <c r="E3" s="288"/>
      <c r="F3" s="288"/>
      <c r="G3" s="288"/>
      <c r="H3" s="289"/>
      <c r="J3" s="79"/>
    </row>
    <row r="4" spans="1:10" ht="19.5" x14ac:dyDescent="0.25">
      <c r="A4" s="182" t="s">
        <v>185</v>
      </c>
      <c r="B4" s="188">
        <v>45457</v>
      </c>
      <c r="C4" s="186"/>
      <c r="D4" s="186"/>
      <c r="E4" s="186"/>
      <c r="F4" s="186"/>
      <c r="G4" s="186"/>
      <c r="H4" s="187"/>
      <c r="J4" s="79"/>
    </row>
    <row r="5" spans="1:10" ht="19.5" x14ac:dyDescent="0.25">
      <c r="A5" s="182" t="s">
        <v>292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314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91" t="s">
        <v>5</v>
      </c>
      <c r="C9" s="292"/>
      <c r="D9" s="291" t="s">
        <v>18</v>
      </c>
      <c r="E9" s="292"/>
      <c r="F9" s="65" t="s">
        <v>118</v>
      </c>
      <c r="G9" s="71" t="s">
        <v>16</v>
      </c>
      <c r="H9" s="90" t="s">
        <v>294</v>
      </c>
    </row>
    <row r="10" spans="1:10" ht="21.75" x14ac:dyDescent="0.25">
      <c r="A10" s="66" t="s">
        <v>208</v>
      </c>
      <c r="B10" s="62">
        <v>110</v>
      </c>
      <c r="C10" s="62" t="s">
        <v>170</v>
      </c>
      <c r="D10" s="67">
        <f>'Rev. Internos Piso e Parede'!B15</f>
        <v>1467.12</v>
      </c>
      <c r="E10" s="67" t="s">
        <v>2</v>
      </c>
      <c r="F10" s="88">
        <f>80+30</f>
        <v>110</v>
      </c>
      <c r="G10" s="89">
        <f t="shared" ref="G10:G16" si="0">F10*D10*1.1</f>
        <v>177521.52</v>
      </c>
      <c r="H10" s="67" t="s">
        <v>449</v>
      </c>
    </row>
    <row r="11" spans="1:10" ht="21.75" x14ac:dyDescent="0.25">
      <c r="A11" s="66" t="s">
        <v>448</v>
      </c>
      <c r="B11" s="62">
        <v>110</v>
      </c>
      <c r="C11" s="62" t="s">
        <v>170</v>
      </c>
      <c r="D11" s="67"/>
      <c r="E11" s="67" t="s">
        <v>2</v>
      </c>
      <c r="F11" s="88">
        <v>30</v>
      </c>
      <c r="G11" s="89">
        <f t="shared" ref="G11" si="1">F11*D11*1.1</f>
        <v>0</v>
      </c>
      <c r="H11" s="67"/>
    </row>
    <row r="12" spans="1:10" ht="21.75" x14ac:dyDescent="0.25">
      <c r="A12" s="78" t="s">
        <v>207</v>
      </c>
      <c r="B12" s="62">
        <v>65</v>
      </c>
      <c r="C12" s="62" t="s">
        <v>170</v>
      </c>
      <c r="D12" s="67">
        <f>'Rev. Internos Piso e Parede'!B16</f>
        <v>598.19600000000003</v>
      </c>
      <c r="E12" s="67" t="s">
        <v>2</v>
      </c>
      <c r="F12" s="88"/>
      <c r="G12" s="89">
        <f t="shared" si="0"/>
        <v>0</v>
      </c>
      <c r="H12" s="67"/>
    </row>
    <row r="13" spans="1:10" ht="21.75" x14ac:dyDescent="0.25">
      <c r="A13" s="78" t="s">
        <v>206</v>
      </c>
      <c r="B13" s="62">
        <v>25</v>
      </c>
      <c r="C13" s="62" t="s">
        <v>6</v>
      </c>
      <c r="D13" s="67">
        <f>'Rev. Internos Piso e Parede'!B23</f>
        <v>836.42549999999994</v>
      </c>
      <c r="E13" s="67" t="s">
        <v>2</v>
      </c>
      <c r="F13" s="88">
        <f>6+28</f>
        <v>34</v>
      </c>
      <c r="G13" s="89">
        <f t="shared" si="0"/>
        <v>31282.313699999999</v>
      </c>
      <c r="H13" s="67" t="e">
        <f>H10*0.2+TETO!D12</f>
        <v>#VALUE!</v>
      </c>
      <c r="J13" s="191"/>
    </row>
    <row r="14" spans="1:10" ht="21.75" x14ac:dyDescent="0.25">
      <c r="A14" s="78" t="s">
        <v>398</v>
      </c>
      <c r="B14" s="62">
        <v>25</v>
      </c>
      <c r="C14" s="62" t="s">
        <v>6</v>
      </c>
      <c r="D14" s="67">
        <f>TETO!D12</f>
        <v>2546.7505191000009</v>
      </c>
      <c r="E14" s="67" t="s">
        <v>2</v>
      </c>
      <c r="F14" s="88">
        <f>F13</f>
        <v>34</v>
      </c>
      <c r="G14" s="89">
        <f t="shared" ref="G14" si="2">F14*D14*1.1</f>
        <v>95248.469414340041</v>
      </c>
      <c r="H14" s="67">
        <f>H12*0.2+TETO!D14</f>
        <v>0</v>
      </c>
      <c r="J14" s="191"/>
    </row>
    <row r="15" spans="1:10" ht="21.75" x14ac:dyDescent="0.25">
      <c r="A15" s="66" t="s">
        <v>397</v>
      </c>
      <c r="B15" s="62">
        <f>90*0.9</f>
        <v>81</v>
      </c>
      <c r="C15" s="62" t="s">
        <v>6</v>
      </c>
      <c r="D15" s="67">
        <f>TETO!D10</f>
        <v>3155.42</v>
      </c>
      <c r="E15" s="67" t="s">
        <v>2</v>
      </c>
      <c r="F15" s="88">
        <f>21+28</f>
        <v>49</v>
      </c>
      <c r="G15" s="89">
        <f t="shared" ref="G15" si="3">F15*D15*1.1</f>
        <v>170077.13800000004</v>
      </c>
      <c r="H15" s="67"/>
      <c r="J15" s="191"/>
    </row>
    <row r="16" spans="1:10" ht="21.75" x14ac:dyDescent="0.25">
      <c r="A16" s="66" t="s">
        <v>205</v>
      </c>
      <c r="B16" s="62">
        <f>90*0.9</f>
        <v>81</v>
      </c>
      <c r="C16" s="62" t="s">
        <v>6</v>
      </c>
      <c r="D16" s="67">
        <f>'Rev. Internos Piso e Parede'!B22-'Acabamentos de Piso e Parede'!B29</f>
        <v>8028.9945599999992</v>
      </c>
      <c r="E16" s="67" t="s">
        <v>2</v>
      </c>
      <c r="F16" s="88">
        <f>F15</f>
        <v>49</v>
      </c>
      <c r="G16" s="89">
        <f t="shared" si="0"/>
        <v>432762.80678400001</v>
      </c>
      <c r="H16" s="67"/>
      <c r="J16" s="191"/>
    </row>
    <row r="17" spans="1:12" ht="21.75" x14ac:dyDescent="0.25">
      <c r="A17" s="286" t="s">
        <v>17</v>
      </c>
      <c r="B17" s="286"/>
      <c r="C17" s="286"/>
      <c r="D17" s="286"/>
      <c r="E17" s="286"/>
      <c r="F17" s="286"/>
      <c r="G17" s="90">
        <f>SUM(G10:G16)</f>
        <v>906892.24789834011</v>
      </c>
      <c r="H17" s="90"/>
      <c r="J17" s="191"/>
      <c r="K17" s="55">
        <f>4160+1440+1120+2880+4800+91680+4000</f>
        <v>110080</v>
      </c>
      <c r="L17" s="55">
        <f>K17/21</f>
        <v>5241.9047619047615</v>
      </c>
    </row>
    <row r="19" spans="1:12" ht="21.75" x14ac:dyDescent="0.25">
      <c r="A19" s="296" t="s">
        <v>314</v>
      </c>
      <c r="B19" s="297"/>
      <c r="C19" s="297"/>
      <c r="D19" s="297"/>
      <c r="E19" s="297"/>
      <c r="F19" s="298"/>
      <c r="G19" s="91">
        <f>G17</f>
        <v>906892.24789834011</v>
      </c>
      <c r="H19" s="91">
        <f>G19/DADOS_INICIAIS!E9</f>
        <v>162.63712331193994</v>
      </c>
    </row>
    <row r="21" spans="1:12" x14ac:dyDescent="0.25">
      <c r="H21" s="191">
        <f>H19/1.1</f>
        <v>147.85193028358177</v>
      </c>
    </row>
  </sheetData>
  <mergeCells count="5">
    <mergeCell ref="A3:H3"/>
    <mergeCell ref="B9:C9"/>
    <mergeCell ref="D9:E9"/>
    <mergeCell ref="A17:F17"/>
    <mergeCell ref="A19:F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N31"/>
  <sheetViews>
    <sheetView showGridLines="0" topLeftCell="A7" zoomScale="80" zoomScaleNormal="80" zoomScaleSheetLayoutView="95" workbookViewId="0">
      <selection activeCell="F15" sqref="F15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4" x14ac:dyDescent="0.25">
      <c r="D1" s="79"/>
      <c r="E1" s="55"/>
      <c r="H1" s="80"/>
      <c r="I1" s="80"/>
      <c r="J1" s="79"/>
    </row>
    <row r="3" spans="1:14" ht="28.5" x14ac:dyDescent="0.25">
      <c r="A3" s="287" t="s">
        <v>232</v>
      </c>
      <c r="B3" s="295"/>
      <c r="C3" s="295"/>
      <c r="D3" s="288"/>
      <c r="E3" s="288"/>
      <c r="F3" s="288"/>
      <c r="G3" s="288"/>
      <c r="H3" s="289"/>
      <c r="J3" s="79"/>
    </row>
    <row r="4" spans="1:14" ht="19.5" x14ac:dyDescent="0.25">
      <c r="A4" s="182" t="s">
        <v>185</v>
      </c>
      <c r="B4" s="188">
        <v>45460</v>
      </c>
      <c r="C4" s="186"/>
      <c r="D4" s="186"/>
      <c r="E4" s="186"/>
      <c r="F4" s="186"/>
      <c r="G4" s="186"/>
      <c r="H4" s="187"/>
      <c r="J4" s="79"/>
    </row>
    <row r="5" spans="1:14" ht="19.5" x14ac:dyDescent="0.25">
      <c r="A5" s="182" t="s">
        <v>292</v>
      </c>
      <c r="B5" s="189" t="s">
        <v>210</v>
      </c>
      <c r="C5" s="184"/>
      <c r="D5" s="184"/>
      <c r="E5" s="184"/>
      <c r="F5" s="184"/>
      <c r="G5" s="184"/>
      <c r="H5" s="185"/>
      <c r="J5" s="79"/>
    </row>
    <row r="6" spans="1:14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4" ht="21.75" x14ac:dyDescent="0.25">
      <c r="A7" s="52" t="s">
        <v>232</v>
      </c>
      <c r="B7" s="52"/>
      <c r="C7" s="52"/>
      <c r="D7" s="53"/>
      <c r="E7" s="53"/>
      <c r="F7" s="54"/>
      <c r="G7" s="53"/>
      <c r="H7" s="53"/>
    </row>
    <row r="8" spans="1:14" ht="21.75" x14ac:dyDescent="0.25">
      <c r="A8" s="56"/>
      <c r="B8" s="56"/>
      <c r="C8" s="56"/>
      <c r="D8" s="57"/>
      <c r="E8" s="57"/>
      <c r="F8" s="58"/>
      <c r="G8" s="59"/>
      <c r="H8" s="59"/>
    </row>
    <row r="9" spans="1:14" ht="42" customHeight="1" x14ac:dyDescent="0.25">
      <c r="A9" s="63" t="s">
        <v>14</v>
      </c>
      <c r="B9" s="291" t="s">
        <v>5</v>
      </c>
      <c r="C9" s="292"/>
      <c r="D9" s="291" t="s">
        <v>18</v>
      </c>
      <c r="E9" s="292"/>
      <c r="F9" s="65"/>
      <c r="G9" s="71" t="s">
        <v>16</v>
      </c>
      <c r="H9" s="90" t="s">
        <v>294</v>
      </c>
    </row>
    <row r="10" spans="1:14" ht="21.75" x14ac:dyDescent="0.25">
      <c r="A10" s="66" t="s">
        <v>505</v>
      </c>
      <c r="B10" s="62">
        <v>0.14000000000000001</v>
      </c>
      <c r="C10" s="62" t="s">
        <v>316</v>
      </c>
      <c r="D10" s="193">
        <f>B10*DADOS_INICIAIS!E9</f>
        <v>780.66380000000004</v>
      </c>
      <c r="E10" s="67" t="s">
        <v>2</v>
      </c>
      <c r="F10" s="198">
        <v>1650</v>
      </c>
      <c r="G10" s="89">
        <f>F10*D10*1.1</f>
        <v>1416904.797</v>
      </c>
      <c r="H10" s="67"/>
      <c r="I10" s="55">
        <f>G10/D10</f>
        <v>1815</v>
      </c>
      <c r="K10" s="55" t="s">
        <v>490</v>
      </c>
      <c r="L10" s="55">
        <f>64+3</f>
        <v>67</v>
      </c>
      <c r="M10" s="55">
        <f>1.6*1.2</f>
        <v>1.92</v>
      </c>
      <c r="N10" s="55">
        <f>L10*M10</f>
        <v>128.63999999999999</v>
      </c>
    </row>
    <row r="11" spans="1:14" ht="21.75" x14ac:dyDescent="0.25">
      <c r="A11" s="194" t="s">
        <v>340</v>
      </c>
      <c r="B11" s="62">
        <v>0.08</v>
      </c>
      <c r="C11" s="62" t="s">
        <v>316</v>
      </c>
      <c r="D11" s="193">
        <f>4.24*2.6+3*2.6+2.95*2.6*2</f>
        <v>34.164000000000001</v>
      </c>
      <c r="E11" s="67" t="s">
        <v>2</v>
      </c>
      <c r="F11" s="88">
        <v>1100</v>
      </c>
      <c r="G11" s="89">
        <f>F11*D11*1.1</f>
        <v>41338.44</v>
      </c>
      <c r="H11" s="67"/>
      <c r="K11" s="55" t="s">
        <v>491</v>
      </c>
      <c r="L11" s="55">
        <f>48+5</f>
        <v>53</v>
      </c>
      <c r="M11" s="55">
        <f>0.8*0.8</f>
        <v>0.64000000000000012</v>
      </c>
      <c r="N11" s="55">
        <f>L11*M11</f>
        <v>33.920000000000009</v>
      </c>
    </row>
    <row r="12" spans="1:14" ht="21.75" x14ac:dyDescent="0.25">
      <c r="A12" s="194" t="s">
        <v>504</v>
      </c>
      <c r="B12" s="62"/>
      <c r="C12" s="62"/>
      <c r="D12" s="197">
        <f>8.2*(13.5-4.14)+7.36*(13.5-4.14)+3*(52.12-45.9)+24*2.6</f>
        <v>226.70159999999998</v>
      </c>
      <c r="E12" s="67" t="s">
        <v>2</v>
      </c>
      <c r="F12" s="278">
        <v>3252.9159347159602</v>
      </c>
      <c r="G12" s="89">
        <f t="shared" ref="G12:G13" si="0">F12*D12*1.1</f>
        <v>811185.37177216413</v>
      </c>
      <c r="H12" s="67"/>
      <c r="K12" s="55" t="s">
        <v>492</v>
      </c>
      <c r="L12" s="55">
        <v>2</v>
      </c>
      <c r="M12" s="55">
        <f>1.5*1.2</f>
        <v>1.7999999999999998</v>
      </c>
      <c r="N12" s="55">
        <f t="shared" ref="N12:N17" si="1">L12*M12</f>
        <v>3.5999999999999996</v>
      </c>
    </row>
    <row r="13" spans="1:14" ht="21.75" x14ac:dyDescent="0.25">
      <c r="A13" s="78" t="s">
        <v>227</v>
      </c>
      <c r="B13" s="62"/>
      <c r="C13" s="62"/>
      <c r="D13" s="197">
        <v>1</v>
      </c>
      <c r="E13" s="67" t="s">
        <v>3</v>
      </c>
      <c r="F13" s="88">
        <v>16000</v>
      </c>
      <c r="G13" s="89">
        <f t="shared" si="0"/>
        <v>17600</v>
      </c>
      <c r="H13" s="67"/>
      <c r="K13" s="55" t="s">
        <v>493</v>
      </c>
      <c r="L13" s="55">
        <f>2+1</f>
        <v>3</v>
      </c>
      <c r="M13" s="55">
        <f>1.2*1.2</f>
        <v>1.44</v>
      </c>
      <c r="N13" s="55">
        <f t="shared" si="1"/>
        <v>4.32</v>
      </c>
    </row>
    <row r="14" spans="1:14" ht="21.75" x14ac:dyDescent="0.25">
      <c r="A14" s="78" t="s">
        <v>229</v>
      </c>
      <c r="B14" s="62"/>
      <c r="C14" s="62"/>
      <c r="D14" s="197">
        <f>((6.28+1.45)+(7.5+1.46))*1.1+(22.5-6.3-3-0.3)*1.1</f>
        <v>32.548999999999999</v>
      </c>
      <c r="E14" s="67" t="s">
        <v>2</v>
      </c>
      <c r="F14" s="88">
        <f>F16</f>
        <v>2442.6666666666638</v>
      </c>
      <c r="G14" s="89">
        <f t="shared" ref="G14" si="2">F14*D14*1.1</f>
        <v>87456.99306666656</v>
      </c>
      <c r="H14" s="67"/>
      <c r="K14" s="55" t="s">
        <v>494</v>
      </c>
      <c r="L14" s="55">
        <v>5</v>
      </c>
      <c r="M14" s="55">
        <f>0.7*0.5</f>
        <v>0.35</v>
      </c>
      <c r="N14" s="55">
        <f t="shared" si="1"/>
        <v>1.75</v>
      </c>
    </row>
    <row r="15" spans="1:14" ht="21.75" x14ac:dyDescent="0.25">
      <c r="A15" s="78" t="s">
        <v>387</v>
      </c>
      <c r="B15" s="62"/>
      <c r="C15" s="62"/>
      <c r="D15" s="197">
        <f>(2.1+0.6*2)*4*8+(3.6+0.6*2)*2</f>
        <v>115.19999999999999</v>
      </c>
      <c r="E15" s="67" t="s">
        <v>2</v>
      </c>
      <c r="F15" s="88">
        <f>890/1.1</f>
        <v>809.09090909090901</v>
      </c>
      <c r="G15" s="89">
        <f>F15*D15*1.1</f>
        <v>102527.99999999999</v>
      </c>
      <c r="H15" s="67"/>
      <c r="N15" s="55">
        <f>SUM(N10:N14)</f>
        <v>172.23</v>
      </c>
    </row>
    <row r="16" spans="1:14" ht="21.75" x14ac:dyDescent="0.25">
      <c r="A16" s="78" t="s">
        <v>506</v>
      </c>
      <c r="B16" s="62"/>
      <c r="C16" s="62"/>
      <c r="D16" s="197">
        <f>8.2+7.36+(2.3+3+3.05*2)*8+5.5+3.2+3.9</f>
        <v>119.36</v>
      </c>
      <c r="E16" s="67" t="s">
        <v>4</v>
      </c>
      <c r="F16" s="279">
        <f>3053.33333333333*0.8</f>
        <v>2442.6666666666638</v>
      </c>
      <c r="G16" s="89">
        <f>F16*D16*1.1</f>
        <v>320712.36266666633</v>
      </c>
      <c r="H16" s="67"/>
      <c r="N16" s="55">
        <f>SUM(N11:N15)</f>
        <v>215.82</v>
      </c>
    </row>
    <row r="17" spans="1:14" ht="21.75" x14ac:dyDescent="0.25">
      <c r="A17" s="78" t="s">
        <v>230</v>
      </c>
      <c r="B17" s="62">
        <v>2</v>
      </c>
      <c r="C17" s="62" t="s">
        <v>6</v>
      </c>
      <c r="D17" s="197">
        <v>1</v>
      </c>
      <c r="E17" s="67" t="s">
        <v>27</v>
      </c>
      <c r="F17" s="88">
        <f>B17*DADOS_INICIAIS!$E$9</f>
        <v>11152.34</v>
      </c>
      <c r="G17" s="89">
        <f t="shared" ref="G17:G22" si="3">F17*D17*1.1</f>
        <v>12267.574000000001</v>
      </c>
      <c r="H17" s="67"/>
      <c r="K17" s="55" t="s">
        <v>495</v>
      </c>
      <c r="L17" s="55">
        <f>5+1+2</f>
        <v>8</v>
      </c>
      <c r="M17" s="55">
        <f>1*2.1</f>
        <v>2.1</v>
      </c>
      <c r="N17" s="55">
        <f t="shared" si="1"/>
        <v>16.8</v>
      </c>
    </row>
    <row r="18" spans="1:14" ht="28.5" customHeight="1" x14ac:dyDescent="0.25">
      <c r="A18" s="78" t="s">
        <v>231</v>
      </c>
      <c r="B18" s="62"/>
      <c r="C18" s="62"/>
      <c r="D18" s="193">
        <f>2*DADOS_INICIAIS!E15</f>
        <v>30</v>
      </c>
      <c r="E18" s="67" t="s">
        <v>3</v>
      </c>
      <c r="F18" s="88">
        <v>1750</v>
      </c>
      <c r="G18" s="89">
        <f t="shared" si="3"/>
        <v>57750.000000000007</v>
      </c>
      <c r="H18" s="67"/>
      <c r="N18" s="55">
        <f>(2.6*2.3+2.6*3+2.6*3.05*2)*8+5.5*2.6+3.2*2.6+3.9*2.6</f>
        <v>269.88</v>
      </c>
    </row>
    <row r="19" spans="1:14" ht="21.75" x14ac:dyDescent="0.25">
      <c r="A19" s="78" t="s">
        <v>228</v>
      </c>
      <c r="B19" s="62"/>
      <c r="C19" s="62"/>
      <c r="D19" s="193">
        <f>(4.12*2+4.75*2)*1.2*DADOS_INICIAIS!E15</f>
        <v>319.32</v>
      </c>
      <c r="E19" s="67" t="s">
        <v>4</v>
      </c>
      <c r="F19" s="88">
        <v>85</v>
      </c>
      <c r="G19" s="89">
        <f t="shared" si="3"/>
        <v>29856.420000000002</v>
      </c>
      <c r="H19" s="67"/>
    </row>
    <row r="20" spans="1:14" ht="21.75" x14ac:dyDescent="0.25">
      <c r="A20" s="78" t="s">
        <v>388</v>
      </c>
      <c r="B20" s="62"/>
      <c r="C20" s="62"/>
      <c r="D20" s="193"/>
      <c r="E20" s="67" t="s">
        <v>4</v>
      </c>
      <c r="F20" s="88">
        <v>650</v>
      </c>
      <c r="G20" s="89">
        <f t="shared" ref="G20" si="4">F20*D20*1.1</f>
        <v>0</v>
      </c>
      <c r="H20" s="67"/>
    </row>
    <row r="21" spans="1:14" ht="21.75" x14ac:dyDescent="0.25">
      <c r="A21" s="78" t="s">
        <v>338</v>
      </c>
      <c r="B21" s="62"/>
      <c r="C21" s="62"/>
      <c r="D21" s="193">
        <f>DADOS_INICIAIS!E10</f>
        <v>36</v>
      </c>
      <c r="E21" s="67" t="s">
        <v>3</v>
      </c>
      <c r="F21" s="88">
        <v>1250</v>
      </c>
      <c r="G21" s="89">
        <f t="shared" si="3"/>
        <v>49500.000000000007</v>
      </c>
      <c r="H21" s="67"/>
    </row>
    <row r="22" spans="1:14" ht="21.75" x14ac:dyDescent="0.25">
      <c r="A22" s="66" t="s">
        <v>226</v>
      </c>
      <c r="B22" s="62"/>
      <c r="C22" s="62"/>
      <c r="D22" s="197">
        <f>5+1+6+7+4+32+64+80+2+7+3+3+2</f>
        <v>216</v>
      </c>
      <c r="E22" s="67" t="s">
        <v>3</v>
      </c>
      <c r="F22" s="88">
        <v>1350</v>
      </c>
      <c r="G22" s="89">
        <f t="shared" si="3"/>
        <v>320760</v>
      </c>
      <c r="H22" s="67"/>
    </row>
    <row r="23" spans="1:14" ht="21.75" x14ac:dyDescent="0.25">
      <c r="A23" s="286" t="s">
        <v>17</v>
      </c>
      <c r="B23" s="286"/>
      <c r="C23" s="286"/>
      <c r="D23" s="286"/>
      <c r="E23" s="286"/>
      <c r="F23" s="286"/>
      <c r="G23" s="90">
        <f>SUM(G10:G22)</f>
        <v>3267859.9585054973</v>
      </c>
      <c r="H23" s="90"/>
      <c r="K23" s="55">
        <f>4160+1440+1120+2880+4800+91680+4000</f>
        <v>110080</v>
      </c>
      <c r="L23" s="55">
        <f>K23/21</f>
        <v>5241.9047619047615</v>
      </c>
    </row>
    <row r="25" spans="1:14" ht="21.75" x14ac:dyDescent="0.25">
      <c r="A25" s="296" t="s">
        <v>321</v>
      </c>
      <c r="B25" s="297"/>
      <c r="C25" s="297"/>
      <c r="D25" s="297"/>
      <c r="E25" s="297"/>
      <c r="F25" s="298"/>
      <c r="G25" s="91">
        <f>G23</f>
        <v>3267859.9585054973</v>
      </c>
      <c r="H25" s="91">
        <f>G25/DADOS_INICIAIS!E9</f>
        <v>586.04023164743853</v>
      </c>
    </row>
    <row r="29" spans="1:14" x14ac:dyDescent="0.25">
      <c r="B29" s="55" t="s">
        <v>411</v>
      </c>
      <c r="C29" s="55" t="s">
        <v>412</v>
      </c>
      <c r="D29" s="55" t="s">
        <v>414</v>
      </c>
      <c r="E29" s="247" t="s">
        <v>431</v>
      </c>
      <c r="F29" s="82" t="s">
        <v>415</v>
      </c>
      <c r="G29" s="55" t="s">
        <v>416</v>
      </c>
    </row>
    <row r="30" spans="1:14" x14ac:dyDescent="0.25">
      <c r="A30" s="55" t="s">
        <v>450</v>
      </c>
      <c r="D30" s="55"/>
      <c r="E30" s="246">
        <f>2.5+(2.5+0.65)</f>
        <v>5.65</v>
      </c>
      <c r="F30" s="82"/>
      <c r="G30" s="55">
        <f>22.16+1.25+1.35</f>
        <v>24.76</v>
      </c>
      <c r="H30" s="55">
        <f>SUM(B30:G30)</f>
        <v>30.410000000000004</v>
      </c>
    </row>
    <row r="31" spans="1:14" x14ac:dyDescent="0.25">
      <c r="A31" s="55" t="s">
        <v>386</v>
      </c>
      <c r="B31" s="55">
        <v>12.52</v>
      </c>
      <c r="C31" s="55">
        <v>12.52</v>
      </c>
      <c r="D31" s="55">
        <f>10.19</f>
        <v>10.19</v>
      </c>
      <c r="E31" s="246">
        <f>7.33+6.24</f>
        <v>13.57</v>
      </c>
      <c r="F31" s="82">
        <f>E31*21</f>
        <v>284.97000000000003</v>
      </c>
      <c r="G31" s="245">
        <f>E31</f>
        <v>13.57</v>
      </c>
      <c r="H31" s="55">
        <f>SUM(B31:G31)</f>
        <v>347.34000000000003</v>
      </c>
    </row>
  </sheetData>
  <mergeCells count="5">
    <mergeCell ref="A3:H3"/>
    <mergeCell ref="B9:C9"/>
    <mergeCell ref="D9:E9"/>
    <mergeCell ref="A23:F23"/>
    <mergeCell ref="A25:F2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92D050"/>
  </sheetPr>
  <dimension ref="A1:J16"/>
  <sheetViews>
    <sheetView showGridLines="0" zoomScale="85" zoomScaleNormal="85" zoomScaleSheetLayoutView="95" workbookViewId="0">
      <selection activeCell="D14" sqref="D14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287" t="s">
        <v>198</v>
      </c>
      <c r="B2" s="288"/>
      <c r="C2" s="288"/>
      <c r="D2" s="288"/>
      <c r="E2" s="288"/>
      <c r="F2" s="288"/>
      <c r="G2" s="288"/>
      <c r="H2" s="289"/>
      <c r="J2" s="2"/>
    </row>
    <row r="3" spans="1:10" s="55" customFormat="1" x14ac:dyDescent="0.25">
      <c r="A3" s="182" t="s">
        <v>185</v>
      </c>
      <c r="B3" s="188">
        <v>45543</v>
      </c>
      <c r="C3" s="186"/>
      <c r="D3" s="186"/>
      <c r="E3" s="186"/>
      <c r="F3" s="186"/>
      <c r="G3" s="186"/>
      <c r="H3" s="187"/>
      <c r="J3" s="79"/>
    </row>
    <row r="4" spans="1:10" s="55" customFormat="1" x14ac:dyDescent="0.25">
      <c r="A4" s="182" t="s">
        <v>292</v>
      </c>
      <c r="B4" s="189" t="s">
        <v>210</v>
      </c>
      <c r="C4" s="184"/>
      <c r="D4" s="184"/>
      <c r="E4" s="184"/>
      <c r="F4" s="184"/>
      <c r="G4" s="184"/>
      <c r="H4" s="185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319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291" t="s">
        <v>5</v>
      </c>
      <c r="C8" s="292"/>
      <c r="D8" s="291" t="s">
        <v>18</v>
      </c>
      <c r="E8" s="292"/>
      <c r="F8" s="65" t="s">
        <v>118</v>
      </c>
      <c r="G8" s="71" t="s">
        <v>16</v>
      </c>
      <c r="H8" s="90" t="s">
        <v>294</v>
      </c>
    </row>
    <row r="9" spans="1:10" s="55" customFormat="1" ht="21.75" x14ac:dyDescent="0.25">
      <c r="A9" s="66" t="s">
        <v>317</v>
      </c>
      <c r="B9" s="62"/>
      <c r="C9" s="62"/>
      <c r="D9" s="67">
        <f>'PISO E TETO'!D62</f>
        <v>199.2</v>
      </c>
      <c r="E9" s="67" t="s">
        <v>2</v>
      </c>
      <c r="F9" s="88">
        <v>131.04</v>
      </c>
      <c r="G9" s="89">
        <f>F9*D9*1.1</f>
        <v>28713.484799999998</v>
      </c>
      <c r="H9" s="67"/>
    </row>
    <row r="10" spans="1:10" s="55" customFormat="1" ht="21.75" x14ac:dyDescent="0.25">
      <c r="A10" s="66" t="s">
        <v>496</v>
      </c>
      <c r="B10" s="62"/>
      <c r="C10" s="62"/>
      <c r="D10" s="67">
        <f>D9*(1+3.35)</f>
        <v>866.51999999999987</v>
      </c>
      <c r="E10" s="67" t="s">
        <v>2</v>
      </c>
      <c r="F10" s="88">
        <v>197.99</v>
      </c>
      <c r="G10" s="89">
        <f t="shared" ref="G10:G11" si="0">F10*D10*1.1</f>
        <v>188718.52427999998</v>
      </c>
      <c r="H10" s="67"/>
    </row>
    <row r="11" spans="1:10" s="55" customFormat="1" ht="21.75" x14ac:dyDescent="0.25">
      <c r="A11" s="66" t="s">
        <v>171</v>
      </c>
      <c r="B11" s="62"/>
      <c r="C11" s="62"/>
      <c r="D11" s="67">
        <f>D9</f>
        <v>199.2</v>
      </c>
      <c r="E11" s="67" t="s">
        <v>2</v>
      </c>
      <c r="F11" s="88">
        <v>90</v>
      </c>
      <c r="G11" s="89">
        <f t="shared" si="0"/>
        <v>19720.800000000003</v>
      </c>
      <c r="H11" s="67"/>
    </row>
    <row r="12" spans="1:10" s="55" customFormat="1" ht="21.75" x14ac:dyDescent="0.25">
      <c r="A12" s="66" t="s">
        <v>497</v>
      </c>
      <c r="B12" s="62"/>
      <c r="C12" s="62"/>
      <c r="D12" s="67">
        <f>D9</f>
        <v>199.2</v>
      </c>
      <c r="E12" s="67" t="s">
        <v>2</v>
      </c>
      <c r="F12" s="88">
        <v>643.85099999999989</v>
      </c>
      <c r="G12" s="89">
        <f>F12*D12</f>
        <v>128255.11919999997</v>
      </c>
      <c r="H12" s="67"/>
    </row>
    <row r="13" spans="1:10" s="55" customFormat="1" ht="21.75" x14ac:dyDescent="0.25">
      <c r="A13" s="66" t="s">
        <v>318</v>
      </c>
      <c r="B13" s="62"/>
      <c r="C13" s="62"/>
      <c r="D13" s="67">
        <f>(10.26-1.85)*2.7+3.55*3.1</f>
        <v>33.712000000000003</v>
      </c>
      <c r="E13" s="67" t="s">
        <v>2</v>
      </c>
      <c r="F13" s="181">
        <v>450</v>
      </c>
      <c r="G13" s="89">
        <f>F13*D13*1.1</f>
        <v>16687.440000000002</v>
      </c>
      <c r="H13" s="67"/>
    </row>
    <row r="14" spans="1:10" s="55" customFormat="1" ht="21.75" x14ac:dyDescent="0.25">
      <c r="A14" s="286" t="s">
        <v>17</v>
      </c>
      <c r="B14" s="286"/>
      <c r="C14" s="286"/>
      <c r="D14" s="110"/>
      <c r="E14" s="110"/>
      <c r="F14" s="110"/>
      <c r="G14" s="90">
        <f>SUM(G9:G13)</f>
        <v>382095.36827999994</v>
      </c>
      <c r="H14" s="90"/>
    </row>
    <row r="15" spans="1:10" s="55" customFormat="1" ht="21.75" x14ac:dyDescent="0.25">
      <c r="A15" s="290"/>
      <c r="B15" s="290"/>
      <c r="C15" s="290"/>
      <c r="D15" s="111"/>
      <c r="E15" s="111"/>
      <c r="F15" s="111"/>
      <c r="G15" s="59"/>
      <c r="H15" s="59"/>
    </row>
    <row r="16" spans="1:10" ht="23.25" customHeight="1" x14ac:dyDescent="0.25">
      <c r="A16" s="283" t="s">
        <v>273</v>
      </c>
      <c r="B16" s="284"/>
      <c r="C16" s="285"/>
      <c r="D16" s="109"/>
      <c r="E16" s="109"/>
      <c r="F16" s="109"/>
      <c r="G16" s="108">
        <f>G14</f>
        <v>382095.36827999994</v>
      </c>
      <c r="H16" s="108">
        <f>G16/DADOS_INICIAIS!$E$9</f>
        <v>68.522905198370907</v>
      </c>
    </row>
  </sheetData>
  <mergeCells count="6">
    <mergeCell ref="A16:C16"/>
    <mergeCell ref="A2:H2"/>
    <mergeCell ref="B8:C8"/>
    <mergeCell ref="D8:E8"/>
    <mergeCell ref="A14:C14"/>
    <mergeCell ref="A15:C1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O49"/>
  <sheetViews>
    <sheetView showGridLines="0" topLeftCell="A18" zoomScale="92" zoomScaleNormal="92" zoomScaleSheetLayoutView="95" workbookViewId="0">
      <selection activeCell="G18" activeCellId="1" sqref="G27:G28 G18:G19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12.1406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0" width="12" style="1" bestFit="1" customWidth="1"/>
    <col min="11" max="11" width="9.140625" style="1"/>
    <col min="12" max="12" width="12" style="1" bestFit="1" customWidth="1"/>
    <col min="13" max="16384" width="9.140625" style="1"/>
  </cols>
  <sheetData>
    <row r="1" spans="1:12" x14ac:dyDescent="0.25">
      <c r="B1" s="2"/>
      <c r="C1" s="1"/>
      <c r="D1" s="1"/>
      <c r="G1" s="159"/>
      <c r="H1" s="159"/>
      <c r="I1" s="2"/>
    </row>
    <row r="2" spans="1:12" ht="12.75" customHeight="1" x14ac:dyDescent="0.25">
      <c r="A2" s="306" t="s">
        <v>187</v>
      </c>
      <c r="B2" s="2"/>
      <c r="C2" s="1"/>
      <c r="D2" s="1"/>
      <c r="G2" s="164"/>
      <c r="H2" s="164"/>
      <c r="I2" s="2"/>
    </row>
    <row r="3" spans="1:12" ht="12.75" customHeight="1" x14ac:dyDescent="0.25">
      <c r="A3" s="307"/>
      <c r="B3" s="2"/>
      <c r="C3" s="1"/>
      <c r="D3" s="1"/>
      <c r="G3" s="164"/>
      <c r="H3" s="164"/>
      <c r="I3" s="2"/>
    </row>
    <row r="4" spans="1:12" ht="12.75" customHeight="1" x14ac:dyDescent="0.25">
      <c r="A4" s="307"/>
      <c r="B4" s="2"/>
      <c r="C4" s="1"/>
      <c r="D4" s="1"/>
      <c r="G4" s="164"/>
      <c r="H4" s="164"/>
      <c r="I4" s="2"/>
    </row>
    <row r="5" spans="1:12" ht="13.5" thickBot="1" x14ac:dyDescent="0.3">
      <c r="A5" s="163"/>
      <c r="B5" s="162"/>
      <c r="C5" s="162"/>
      <c r="D5" s="162"/>
      <c r="E5" s="162"/>
      <c r="F5" s="162"/>
      <c r="G5" s="161"/>
      <c r="H5" s="161"/>
      <c r="I5" s="2"/>
    </row>
    <row r="6" spans="1:12" x14ac:dyDescent="0.25">
      <c r="A6" s="160"/>
      <c r="B6" s="2"/>
      <c r="C6" s="1"/>
      <c r="D6" s="1"/>
      <c r="G6" s="159"/>
      <c r="H6" s="159"/>
      <c r="I6" s="2"/>
    </row>
    <row r="7" spans="1:12" x14ac:dyDescent="0.25">
      <c r="A7" s="158" t="s">
        <v>186</v>
      </c>
      <c r="B7" s="157"/>
      <c r="C7" s="156"/>
      <c r="D7" s="156"/>
      <c r="E7" s="156"/>
      <c r="F7" s="156"/>
      <c r="G7" s="156"/>
      <c r="H7" s="155"/>
      <c r="I7" s="2"/>
    </row>
    <row r="8" spans="1:12" x14ac:dyDescent="0.25">
      <c r="A8" s="154" t="s">
        <v>0</v>
      </c>
      <c r="B8" s="153"/>
      <c r="C8" s="152"/>
      <c r="D8" s="152"/>
      <c r="E8" s="152"/>
      <c r="F8" s="152"/>
      <c r="G8" s="152"/>
      <c r="H8" s="151"/>
      <c r="I8" s="2"/>
    </row>
    <row r="9" spans="1:12" ht="15" customHeight="1" x14ac:dyDescent="0.25">
      <c r="A9" s="150" t="s">
        <v>185</v>
      </c>
      <c r="B9" s="149">
        <v>45543</v>
      </c>
      <c r="C9" s="148"/>
      <c r="D9" s="148"/>
      <c r="E9" s="148"/>
      <c r="F9" s="148"/>
      <c r="G9" s="148"/>
      <c r="H9" s="147"/>
    </row>
    <row r="10" spans="1:12" x14ac:dyDescent="0.25">
      <c r="A10" s="146" t="s">
        <v>1</v>
      </c>
      <c r="B10" s="145" t="s">
        <v>184</v>
      </c>
      <c r="C10" s="144"/>
      <c r="D10" s="144"/>
      <c r="E10" s="144"/>
      <c r="F10" s="144"/>
      <c r="G10" s="144"/>
      <c r="H10" s="143"/>
    </row>
    <row r="12" spans="1:12" ht="15.75" customHeight="1" x14ac:dyDescent="0.25">
      <c r="A12" s="142" t="s">
        <v>215</v>
      </c>
      <c r="B12" s="141"/>
      <c r="C12" s="140"/>
      <c r="D12" s="139"/>
      <c r="E12" s="138"/>
      <c r="F12" s="138"/>
      <c r="G12" s="138"/>
      <c r="H12" s="137"/>
    </row>
    <row r="13" spans="1:12" ht="15.75" customHeight="1" x14ac:dyDescent="0.25">
      <c r="A13" s="136"/>
      <c r="B13" s="135"/>
      <c r="C13" s="134"/>
      <c r="D13" s="133"/>
      <c r="E13" s="133"/>
      <c r="F13" s="133"/>
      <c r="H13" s="129"/>
      <c r="I13" s="115"/>
    </row>
    <row r="14" spans="1:12" ht="15.75" customHeight="1" x14ac:dyDescent="0.25">
      <c r="A14" s="132" t="s">
        <v>14</v>
      </c>
      <c r="B14" s="313" t="s">
        <v>18</v>
      </c>
      <c r="C14" s="314"/>
      <c r="D14" s="315" t="s">
        <v>5</v>
      </c>
      <c r="E14" s="316"/>
      <c r="F14" s="131" t="s">
        <v>182</v>
      </c>
      <c r="G14" s="130" t="s">
        <v>16</v>
      </c>
      <c r="H14" s="129"/>
      <c r="J14" s="115"/>
      <c r="L14" s="115"/>
    </row>
    <row r="15" spans="1:12" x14ac:dyDescent="0.25">
      <c r="A15" s="168" t="s">
        <v>195</v>
      </c>
      <c r="B15" s="171">
        <f>L31</f>
        <v>4015.5326399999999</v>
      </c>
      <c r="C15" s="127" t="s">
        <v>2</v>
      </c>
      <c r="D15" s="122">
        <v>25</v>
      </c>
      <c r="E15" s="128" t="s">
        <v>170</v>
      </c>
      <c r="F15" s="124" t="s">
        <v>210</v>
      </c>
      <c r="G15" s="123">
        <f>B15*D15*1.1</f>
        <v>110427.1476</v>
      </c>
      <c r="H15" s="129"/>
      <c r="I15" s="115"/>
      <c r="K15" s="180"/>
      <c r="L15" s="115"/>
    </row>
    <row r="16" spans="1:12" x14ac:dyDescent="0.25">
      <c r="A16" s="168" t="s">
        <v>435</v>
      </c>
      <c r="B16" s="171">
        <f>K24*(DADOS_INICIAIS!E15-DADOS_INICIAIS!E27)+K22*DADOS_INICIAIS!E27</f>
        <v>1178.43</v>
      </c>
      <c r="C16" s="127" t="s">
        <v>4</v>
      </c>
      <c r="D16" s="122">
        <v>5</v>
      </c>
      <c r="E16" s="128" t="s">
        <v>170</v>
      </c>
      <c r="F16" s="124" t="s">
        <v>210</v>
      </c>
      <c r="G16" s="123">
        <f>B16*D16*1.1</f>
        <v>6481.3650000000007</v>
      </c>
      <c r="H16" s="129"/>
      <c r="I16" s="115"/>
      <c r="K16" s="180"/>
      <c r="L16" s="115"/>
    </row>
    <row r="17" spans="1:15" x14ac:dyDescent="0.25">
      <c r="A17" s="199" t="s">
        <v>25</v>
      </c>
      <c r="B17" s="200">
        <f>B15</f>
        <v>4015.5326399999999</v>
      </c>
      <c r="C17" s="127" t="s">
        <v>2</v>
      </c>
      <c r="D17" s="244">
        <v>65</v>
      </c>
      <c r="E17" s="128" t="s">
        <v>170</v>
      </c>
      <c r="F17" s="124" t="s">
        <v>210</v>
      </c>
      <c r="G17" s="123">
        <f>B17*D17*1.1</f>
        <v>287110.58376000001</v>
      </c>
      <c r="H17" s="129"/>
      <c r="I17" s="115"/>
      <c r="K17" s="179"/>
      <c r="L17" s="115"/>
    </row>
    <row r="18" spans="1:15" ht="15.75" customHeight="1" x14ac:dyDescent="0.25">
      <c r="A18" s="168" t="s">
        <v>514</v>
      </c>
      <c r="B18" s="171">
        <f>M24</f>
        <v>2461.0781999999999</v>
      </c>
      <c r="C18" s="127" t="s">
        <v>2</v>
      </c>
      <c r="D18" s="122">
        <f>D15*1.4</f>
        <v>35</v>
      </c>
      <c r="E18" s="128" t="s">
        <v>170</v>
      </c>
      <c r="F18" s="124" t="s">
        <v>210</v>
      </c>
      <c r="G18" s="123">
        <f>B18*D18*1.1</f>
        <v>94751.510699999999</v>
      </c>
      <c r="H18" s="129"/>
    </row>
    <row r="19" spans="1:15" ht="15.75" customHeight="1" x14ac:dyDescent="0.25">
      <c r="A19" s="168" t="s">
        <v>515</v>
      </c>
      <c r="B19" s="171">
        <f>B18</f>
        <v>2461.0781999999999</v>
      </c>
      <c r="C19" s="127" t="s">
        <v>2</v>
      </c>
      <c r="D19" s="122">
        <f>D17*2</f>
        <v>130</v>
      </c>
      <c r="E19" s="128" t="s">
        <v>170</v>
      </c>
      <c r="F19" s="124" t="s">
        <v>210</v>
      </c>
      <c r="G19" s="123">
        <f>B19*D19*1.1</f>
        <v>351934.1826</v>
      </c>
      <c r="H19" s="129"/>
    </row>
    <row r="20" spans="1:15" x14ac:dyDescent="0.25">
      <c r="A20" s="311" t="s">
        <v>17</v>
      </c>
      <c r="B20" s="312"/>
      <c r="C20" s="312"/>
      <c r="D20" s="312"/>
      <c r="E20" s="312"/>
      <c r="F20" s="312"/>
      <c r="G20" s="120">
        <f>SUM(G15:G19)</f>
        <v>850704.78966000001</v>
      </c>
      <c r="H20" s="119"/>
      <c r="K20" s="179"/>
    </row>
    <row r="21" spans="1:15" ht="15.75" customHeight="1" x14ac:dyDescent="0.25">
      <c r="A21" s="309"/>
      <c r="B21" s="310"/>
      <c r="C21" s="310"/>
      <c r="D21" s="310"/>
      <c r="E21" s="310"/>
      <c r="F21" s="310"/>
      <c r="G21" s="165"/>
      <c r="H21" s="118"/>
    </row>
    <row r="22" spans="1:15" ht="15.75" customHeight="1" x14ac:dyDescent="0.25">
      <c r="A22" s="142" t="s">
        <v>214</v>
      </c>
      <c r="B22" s="141"/>
      <c r="C22" s="140"/>
      <c r="D22" s="139"/>
      <c r="E22" s="138"/>
      <c r="F22" s="138"/>
      <c r="G22" s="138"/>
      <c r="H22" s="137"/>
      <c r="J22" s="1" t="s">
        <v>213</v>
      </c>
      <c r="K22" s="115">
        <f>DADOS_INICIAIS!E26</f>
        <v>93.06</v>
      </c>
      <c r="L22" s="1">
        <v>15.13</v>
      </c>
      <c r="M22" s="115"/>
      <c r="O22" s="115"/>
    </row>
    <row r="23" spans="1:15" ht="15.75" customHeight="1" x14ac:dyDescent="0.25">
      <c r="A23" s="136"/>
      <c r="B23" s="178"/>
      <c r="C23" s="134"/>
      <c r="D23" s="133"/>
      <c r="E23" s="133"/>
      <c r="F23" s="133"/>
      <c r="H23" s="129"/>
      <c r="O23" s="115"/>
    </row>
    <row r="24" spans="1:15" ht="15.75" customHeight="1" x14ac:dyDescent="0.25">
      <c r="A24" s="132" t="s">
        <v>14</v>
      </c>
      <c r="B24" s="313" t="s">
        <v>18</v>
      </c>
      <c r="C24" s="314"/>
      <c r="D24" s="315" t="s">
        <v>5</v>
      </c>
      <c r="E24" s="316"/>
      <c r="F24" s="131" t="s">
        <v>182</v>
      </c>
      <c r="G24" s="130" t="s">
        <v>16</v>
      </c>
      <c r="H24" s="129"/>
      <c r="J24" s="1" t="s">
        <v>455</v>
      </c>
      <c r="K24" s="115">
        <f>DADOS_INICIAIS!E20</f>
        <v>73.290000000000006</v>
      </c>
      <c r="L24" s="1">
        <v>33.58</v>
      </c>
      <c r="M24" s="115">
        <f>L24*K24</f>
        <v>2461.0781999999999</v>
      </c>
      <c r="O24" s="115"/>
    </row>
    <row r="25" spans="1:15" ht="15.75" customHeight="1" x14ac:dyDescent="0.25">
      <c r="A25" s="168" t="s">
        <v>437</v>
      </c>
      <c r="B25" s="171">
        <f>B15-B27</f>
        <v>1554.45444</v>
      </c>
      <c r="C25" s="127" t="s">
        <v>2</v>
      </c>
      <c r="D25" s="122">
        <v>28</v>
      </c>
      <c r="E25" s="128" t="s">
        <v>170</v>
      </c>
      <c r="F25" s="124" t="s">
        <v>210</v>
      </c>
      <c r="G25" s="123">
        <f t="shared" ref="G25:G30" si="0">B25*D25*1.1</f>
        <v>47877.196752000003</v>
      </c>
      <c r="H25" s="201">
        <f t="shared" ref="H25:H30" si="1">G25/B25</f>
        <v>30.800000000000004</v>
      </c>
      <c r="I25" s="115"/>
      <c r="J25" s="1" t="s">
        <v>212</v>
      </c>
      <c r="K25" s="1">
        <f>4.12*2+11.06*2</f>
        <v>30.36</v>
      </c>
      <c r="L25" s="1">
        <v>6.03</v>
      </c>
      <c r="M25" s="115"/>
      <c r="O25" s="115"/>
    </row>
    <row r="26" spans="1:15" ht="15.75" customHeight="1" x14ac:dyDescent="0.25">
      <c r="A26" s="168" t="s">
        <v>436</v>
      </c>
      <c r="B26" s="171">
        <f>B25</f>
        <v>1554.45444</v>
      </c>
      <c r="C26" s="127" t="s">
        <v>2</v>
      </c>
      <c r="D26" s="122">
        <v>52</v>
      </c>
      <c r="E26" s="128" t="s">
        <v>170</v>
      </c>
      <c r="F26" s="124" t="s">
        <v>210</v>
      </c>
      <c r="G26" s="123">
        <f t="shared" si="0"/>
        <v>88914.793967999998</v>
      </c>
      <c r="H26" s="201">
        <f t="shared" si="1"/>
        <v>57.2</v>
      </c>
      <c r="I26" s="115"/>
      <c r="M26" s="115"/>
      <c r="O26" s="115"/>
    </row>
    <row r="27" spans="1:15" ht="15.75" customHeight="1" x14ac:dyDescent="0.25">
      <c r="A27" s="168" t="s">
        <v>512</v>
      </c>
      <c r="B27" s="171">
        <f>M24</f>
        <v>2461.0781999999999</v>
      </c>
      <c r="C27" s="127" t="s">
        <v>2</v>
      </c>
      <c r="D27" s="122">
        <v>9.6</v>
      </c>
      <c r="E27" s="128" t="s">
        <v>170</v>
      </c>
      <c r="F27" s="124" t="s">
        <v>210</v>
      </c>
      <c r="G27" s="123">
        <f t="shared" si="0"/>
        <v>25988.985791999999</v>
      </c>
      <c r="H27" s="201">
        <f t="shared" si="1"/>
        <v>10.56</v>
      </c>
      <c r="I27" s="115"/>
      <c r="M27" s="115"/>
      <c r="O27" s="115"/>
    </row>
    <row r="28" spans="1:15" ht="15.75" customHeight="1" x14ac:dyDescent="0.25">
      <c r="A28" s="168" t="s">
        <v>513</v>
      </c>
      <c r="B28" s="171">
        <f>B27</f>
        <v>2461.0781999999999</v>
      </c>
      <c r="C28" s="127" t="s">
        <v>2</v>
      </c>
      <c r="D28" s="122">
        <v>80</v>
      </c>
      <c r="E28" s="128" t="s">
        <v>170</v>
      </c>
      <c r="F28" s="124" t="s">
        <v>210</v>
      </c>
      <c r="G28" s="123">
        <f t="shared" si="0"/>
        <v>216574.88160000002</v>
      </c>
      <c r="H28" s="201">
        <f t="shared" si="1"/>
        <v>88.000000000000014</v>
      </c>
      <c r="I28" s="115"/>
      <c r="M28" s="115"/>
      <c r="O28" s="115"/>
    </row>
    <row r="29" spans="1:15" ht="15.75" customHeight="1" x14ac:dyDescent="0.25">
      <c r="A29" s="168" t="s">
        <v>507</v>
      </c>
      <c r="B29" s="171">
        <f>B36*0.4*3*1.5</f>
        <v>837.75600000000009</v>
      </c>
      <c r="C29" s="127" t="s">
        <v>2</v>
      </c>
      <c r="D29" s="122">
        <v>12</v>
      </c>
      <c r="E29" s="128" t="s">
        <v>170</v>
      </c>
      <c r="F29" s="124" t="s">
        <v>210</v>
      </c>
      <c r="G29" s="123">
        <f t="shared" si="0"/>
        <v>11058.379200000001</v>
      </c>
      <c r="H29" s="201">
        <f t="shared" si="1"/>
        <v>13.2</v>
      </c>
      <c r="I29" s="115"/>
      <c r="M29" s="115"/>
      <c r="O29" s="115"/>
    </row>
    <row r="30" spans="1:15" ht="15.75" customHeight="1" x14ac:dyDescent="0.25">
      <c r="A30" s="168" t="s">
        <v>508</v>
      </c>
      <c r="B30" s="171">
        <f>B29</f>
        <v>837.75600000000009</v>
      </c>
      <c r="C30" s="127" t="s">
        <v>2</v>
      </c>
      <c r="D30" s="122">
        <v>200</v>
      </c>
      <c r="E30" s="128" t="s">
        <v>170</v>
      </c>
      <c r="F30" s="124" t="s">
        <v>210</v>
      </c>
      <c r="G30" s="123">
        <f t="shared" si="0"/>
        <v>184306.32000000004</v>
      </c>
      <c r="H30" s="201">
        <f t="shared" si="1"/>
        <v>220.00000000000003</v>
      </c>
      <c r="I30" s="115"/>
      <c r="M30" s="115"/>
      <c r="O30" s="115"/>
    </row>
    <row r="31" spans="1:15" x14ac:dyDescent="0.25">
      <c r="A31" s="311" t="s">
        <v>17</v>
      </c>
      <c r="B31" s="312"/>
      <c r="C31" s="312"/>
      <c r="D31" s="312"/>
      <c r="E31" s="312"/>
      <c r="F31" s="312"/>
      <c r="G31" s="120">
        <f>SUM(G25:G30)</f>
        <v>574720.55731200008</v>
      </c>
      <c r="H31" s="119"/>
      <c r="L31" s="115">
        <f>K22*L22+K24*L24+K25*L25*0.8+K23*L23</f>
        <v>4015.5326399999999</v>
      </c>
      <c r="O31" s="115"/>
    </row>
    <row r="32" spans="1:15" x14ac:dyDescent="0.25">
      <c r="A32" s="320"/>
      <c r="B32" s="321"/>
      <c r="C32" s="321"/>
      <c r="D32" s="321"/>
      <c r="E32" s="321"/>
      <c r="F32" s="321"/>
      <c r="G32" s="165"/>
      <c r="H32" s="118"/>
      <c r="L32" s="115"/>
    </row>
    <row r="33" spans="1:15" ht="15.75" customHeight="1" x14ac:dyDescent="0.25">
      <c r="A33" s="142" t="s">
        <v>211</v>
      </c>
      <c r="B33" s="141"/>
      <c r="C33" s="140"/>
      <c r="D33" s="139"/>
      <c r="E33" s="138"/>
      <c r="F33" s="138"/>
      <c r="G33" s="138"/>
      <c r="H33" s="137"/>
      <c r="L33" s="115"/>
      <c r="O33" s="115"/>
    </row>
    <row r="34" spans="1:15" ht="15.75" customHeight="1" x14ac:dyDescent="0.25">
      <c r="A34" s="136"/>
      <c r="B34" s="135"/>
      <c r="C34" s="134"/>
      <c r="D34" s="133"/>
      <c r="E34" s="133"/>
      <c r="F34" s="133"/>
      <c r="H34" s="129"/>
    </row>
    <row r="35" spans="1:15" ht="15.75" customHeight="1" x14ac:dyDescent="0.25">
      <c r="A35" s="132" t="s">
        <v>14</v>
      </c>
      <c r="B35" s="313" t="s">
        <v>18</v>
      </c>
      <c r="C35" s="314"/>
      <c r="D35" s="315" t="s">
        <v>5</v>
      </c>
      <c r="E35" s="316"/>
      <c r="F35" s="131" t="s">
        <v>182</v>
      </c>
      <c r="G35" s="130" t="s">
        <v>16</v>
      </c>
      <c r="H35" s="129"/>
    </row>
    <row r="36" spans="1:15" ht="15.75" customHeight="1" x14ac:dyDescent="0.25">
      <c r="A36" s="168" t="s">
        <v>499</v>
      </c>
      <c r="B36" s="171">
        <f>SUM(A44:A48)</f>
        <v>465.41999999999996</v>
      </c>
      <c r="C36" s="127" t="s">
        <v>4</v>
      </c>
      <c r="D36" s="122">
        <v>250</v>
      </c>
      <c r="E36" s="128" t="s">
        <v>500</v>
      </c>
      <c r="F36" s="124" t="s">
        <v>210</v>
      </c>
      <c r="G36" s="123">
        <f>B36*D36*1.1</f>
        <v>127990.5</v>
      </c>
      <c r="H36" s="129"/>
    </row>
    <row r="37" spans="1:15" ht="15.75" customHeight="1" x14ac:dyDescent="0.25">
      <c r="A37" s="168" t="s">
        <v>509</v>
      </c>
      <c r="B37" s="171">
        <v>2</v>
      </c>
      <c r="C37" s="127" t="s">
        <v>510</v>
      </c>
      <c r="D37" s="122">
        <v>2160</v>
      </c>
      <c r="E37" s="128" t="s">
        <v>511</v>
      </c>
      <c r="F37" s="124" t="s">
        <v>210</v>
      </c>
      <c r="G37" s="123">
        <f>B37*D37*1.1</f>
        <v>4752</v>
      </c>
      <c r="H37" s="201">
        <f>G37/B37</f>
        <v>2376</v>
      </c>
      <c r="I37" s="115"/>
      <c r="M37" s="115"/>
      <c r="O37" s="115"/>
    </row>
    <row r="38" spans="1:15" ht="15.75" customHeight="1" x14ac:dyDescent="0.25">
      <c r="A38" s="311"/>
      <c r="B38" s="312"/>
      <c r="C38" s="312"/>
      <c r="D38" s="312"/>
      <c r="E38" s="312"/>
      <c r="F38" s="312"/>
      <c r="G38" s="120">
        <f>SUM(G36:G37)</f>
        <v>132742.5</v>
      </c>
      <c r="H38" s="119"/>
    </row>
    <row r="39" spans="1:15" x14ac:dyDescent="0.25">
      <c r="A39" s="309"/>
      <c r="B39" s="310"/>
      <c r="C39" s="310"/>
      <c r="D39" s="310"/>
      <c r="E39" s="310"/>
      <c r="F39" s="310"/>
      <c r="G39" s="165"/>
      <c r="H39" s="118"/>
      <c r="J39" s="1">
        <f>25.78*2</f>
        <v>51.56</v>
      </c>
    </row>
    <row r="40" spans="1:15" ht="15.75" customHeight="1" x14ac:dyDescent="0.25">
      <c r="G40" s="115"/>
    </row>
    <row r="41" spans="1:15" ht="15.75" customHeight="1" x14ac:dyDescent="0.25">
      <c r="A41" s="308" t="s">
        <v>209</v>
      </c>
      <c r="B41" s="308"/>
      <c r="C41" s="308"/>
      <c r="D41" s="308"/>
      <c r="E41" s="308"/>
      <c r="F41" s="308"/>
      <c r="G41" s="117">
        <f>G31+G20+G38</f>
        <v>1558167.8469720001</v>
      </c>
      <c r="H41" s="116">
        <f>G41/DADOS_INICIAIS!E9</f>
        <v>279.43334707729502</v>
      </c>
    </row>
    <row r="42" spans="1:15" ht="15.75" customHeight="1" x14ac:dyDescent="0.25">
      <c r="B42" s="114">
        <f>0.07*DADOS_INICIAIS!$E$9</f>
        <v>390.33190000000002</v>
      </c>
      <c r="H42" s="115">
        <f>H41/1.1</f>
        <v>254.03031552481363</v>
      </c>
    </row>
    <row r="43" spans="1:15" ht="15.75" customHeight="1" x14ac:dyDescent="0.25"/>
    <row r="44" spans="1:15" ht="15.75" customHeight="1" x14ac:dyDescent="0.25">
      <c r="A44" s="115">
        <f>3*K24</f>
        <v>219.87</v>
      </c>
    </row>
    <row r="45" spans="1:15" ht="15.75" customHeight="1" x14ac:dyDescent="0.25">
      <c r="A45" s="1">
        <f>3*L24</f>
        <v>100.74</v>
      </c>
    </row>
    <row r="46" spans="1:15" ht="15.75" customHeight="1" x14ac:dyDescent="0.25">
      <c r="A46" s="1">
        <f>6*L22</f>
        <v>90.78</v>
      </c>
      <c r="C46" s="113">
        <f>B16*4</f>
        <v>4713.72</v>
      </c>
      <c r="D46" s="112">
        <v>45</v>
      </c>
      <c r="E46" s="115">
        <f>D46*C46</f>
        <v>212117.40000000002</v>
      </c>
    </row>
    <row r="47" spans="1:15" ht="15.75" customHeight="1" x14ac:dyDescent="0.25">
      <c r="A47" s="1">
        <f>24*2</f>
        <v>48</v>
      </c>
      <c r="E47" s="115">
        <f>E46*0.4</f>
        <v>84846.960000000021</v>
      </c>
      <c r="H47" s="1" t="s">
        <v>501</v>
      </c>
      <c r="I47" s="1">
        <v>0.25</v>
      </c>
      <c r="J47" s="1" t="s">
        <v>502</v>
      </c>
    </row>
    <row r="48" spans="1:15" ht="15.75" customHeight="1" x14ac:dyDescent="0.25">
      <c r="A48" s="1">
        <f>L25</f>
        <v>6.03</v>
      </c>
      <c r="C48"/>
      <c r="E48" s="115">
        <f>E46+E47</f>
        <v>296964.36000000004</v>
      </c>
      <c r="H48" s="1" t="s">
        <v>501</v>
      </c>
      <c r="I48" s="1">
        <v>0.1</v>
      </c>
      <c r="J48" s="1" t="s">
        <v>503</v>
      </c>
    </row>
    <row r="49" spans="3:5" ht="15.75" customHeight="1" x14ac:dyDescent="0.25">
      <c r="C49" s="113">
        <f>0.25*DADOS_INICIAIS!E9</f>
        <v>1394.0425</v>
      </c>
      <c r="D49" s="112">
        <v>245</v>
      </c>
      <c r="E49" s="115">
        <f>D49*C49</f>
        <v>341540.41249999998</v>
      </c>
    </row>
  </sheetData>
  <mergeCells count="14">
    <mergeCell ref="B24:C24"/>
    <mergeCell ref="D24:E24"/>
    <mergeCell ref="A41:F41"/>
    <mergeCell ref="A31:F31"/>
    <mergeCell ref="A32:F32"/>
    <mergeCell ref="A39:F39"/>
    <mergeCell ref="B35:C35"/>
    <mergeCell ref="D35:E35"/>
    <mergeCell ref="A38:F38"/>
    <mergeCell ref="B14:C14"/>
    <mergeCell ref="D14:E14"/>
    <mergeCell ref="A2:A4"/>
    <mergeCell ref="A20:F20"/>
    <mergeCell ref="A21:F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17"/>
  <sheetViews>
    <sheetView showGridLines="0" topLeftCell="A3" zoomScale="85" zoomScaleNormal="85" zoomScaleSheetLayoutView="95" workbookViewId="0">
      <selection activeCell="B10" sqref="B10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287" t="s">
        <v>282</v>
      </c>
      <c r="B2" s="288"/>
      <c r="C2" s="288"/>
      <c r="D2" s="288"/>
      <c r="E2" s="288"/>
      <c r="F2" s="288"/>
      <c r="G2" s="289"/>
      <c r="I2" s="2"/>
    </row>
    <row r="3" spans="1:10" s="55" customFormat="1" x14ac:dyDescent="0.25">
      <c r="A3" s="182" t="s">
        <v>185</v>
      </c>
      <c r="B3" s="188">
        <v>45460</v>
      </c>
      <c r="C3" s="186"/>
      <c r="D3" s="186"/>
      <c r="E3" s="186"/>
      <c r="F3" s="186"/>
      <c r="G3" s="186"/>
      <c r="H3" s="187"/>
      <c r="J3" s="79"/>
    </row>
    <row r="4" spans="1:10" s="55" customFormat="1" x14ac:dyDescent="0.25">
      <c r="A4" s="182" t="s">
        <v>292</v>
      </c>
      <c r="B4" s="189" t="s">
        <v>210</v>
      </c>
      <c r="C4" s="184"/>
      <c r="D4" s="184"/>
      <c r="E4" s="184"/>
      <c r="F4" s="184"/>
      <c r="G4" s="184"/>
      <c r="H4" s="185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281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291" t="s">
        <v>5</v>
      </c>
      <c r="C8" s="292"/>
      <c r="D8" s="291" t="s">
        <v>18</v>
      </c>
      <c r="E8" s="292"/>
      <c r="F8" s="71" t="s">
        <v>16</v>
      </c>
      <c r="G8" s="59"/>
    </row>
    <row r="9" spans="1:10" s="55" customFormat="1" ht="21.75" x14ac:dyDescent="0.25">
      <c r="A9" s="66" t="s">
        <v>280</v>
      </c>
      <c r="B9" s="62">
        <v>2100</v>
      </c>
      <c r="C9" s="62" t="s">
        <v>279</v>
      </c>
      <c r="D9" s="67">
        <f>DADOS_INICIAIS!E21</f>
        <v>323.11</v>
      </c>
      <c r="E9" s="67" t="s">
        <v>2</v>
      </c>
      <c r="F9" s="89">
        <f>D9*B9*1.1</f>
        <v>746384.10000000009</v>
      </c>
      <c r="G9" s="57"/>
    </row>
    <row r="10" spans="1:10" s="55" customFormat="1" ht="21.75" x14ac:dyDescent="0.25">
      <c r="A10" s="66" t="s">
        <v>278</v>
      </c>
      <c r="B10" s="62">
        <v>10</v>
      </c>
      <c r="C10" s="62" t="s">
        <v>6</v>
      </c>
      <c r="D10" s="67">
        <f>B10*DADOS_INICIAIS!$E$9</f>
        <v>55761.7</v>
      </c>
      <c r="E10" s="67" t="s">
        <v>27</v>
      </c>
      <c r="F10" s="89">
        <f>D10*1.1</f>
        <v>61337.87</v>
      </c>
      <c r="G10" s="57"/>
    </row>
    <row r="11" spans="1:10" s="55" customFormat="1" ht="21.75" x14ac:dyDescent="0.25">
      <c r="A11" s="66" t="s">
        <v>277</v>
      </c>
      <c r="B11" s="62">
        <v>25</v>
      </c>
      <c r="C11" s="62" t="s">
        <v>6</v>
      </c>
      <c r="D11" s="67">
        <f>B11*DADOS_INICIAIS!$E$9</f>
        <v>139404.25</v>
      </c>
      <c r="E11" s="67" t="s">
        <v>27</v>
      </c>
      <c r="F11" s="89">
        <f>D11*1.1</f>
        <v>153344.67500000002</v>
      </c>
      <c r="G11" s="57"/>
    </row>
    <row r="12" spans="1:10" s="55" customFormat="1" ht="21.75" x14ac:dyDescent="0.25">
      <c r="A12" s="66" t="s">
        <v>276</v>
      </c>
      <c r="B12" s="62">
        <v>4</v>
      </c>
      <c r="C12" s="62" t="s">
        <v>6</v>
      </c>
      <c r="D12" s="67">
        <f>B12*DADOS_INICIAIS!$E$9</f>
        <v>22304.68</v>
      </c>
      <c r="E12" s="67" t="s">
        <v>27</v>
      </c>
      <c r="F12" s="89">
        <f t="shared" ref="F12" si="0">D12*1.1</f>
        <v>24535.148000000001</v>
      </c>
      <c r="G12" s="57"/>
    </row>
    <row r="13" spans="1:10" s="55" customFormat="1" ht="21.75" x14ac:dyDescent="0.25">
      <c r="A13" s="66" t="s">
        <v>275</v>
      </c>
      <c r="B13" s="62">
        <v>3.5</v>
      </c>
      <c r="C13" s="62" t="s">
        <v>6</v>
      </c>
      <c r="D13" s="67">
        <f>B13*DADOS_INICIAIS!$E$9</f>
        <v>19516.595000000001</v>
      </c>
      <c r="E13" s="67" t="s">
        <v>27</v>
      </c>
      <c r="F13" s="89">
        <f>D13</f>
        <v>19516.595000000001</v>
      </c>
      <c r="G13" s="57"/>
    </row>
    <row r="14" spans="1:10" s="55" customFormat="1" ht="21.75" x14ac:dyDescent="0.25">
      <c r="A14" s="66" t="s">
        <v>274</v>
      </c>
      <c r="B14" s="62">
        <v>20</v>
      </c>
      <c r="C14" s="62" t="s">
        <v>6</v>
      </c>
      <c r="D14" s="67">
        <f>B14*DADOS_INICIAIS!$E$9</f>
        <v>111523.4</v>
      </c>
      <c r="E14" s="67" t="s">
        <v>27</v>
      </c>
      <c r="F14" s="89">
        <f>D14*1.1</f>
        <v>122675.74</v>
      </c>
      <c r="G14" s="57"/>
    </row>
    <row r="15" spans="1:10" s="55" customFormat="1" ht="21.75" x14ac:dyDescent="0.25">
      <c r="A15" s="286" t="s">
        <v>17</v>
      </c>
      <c r="B15" s="286"/>
      <c r="C15" s="286"/>
      <c r="D15" s="110"/>
      <c r="E15" s="110"/>
      <c r="F15" s="90">
        <f>SUM(F9:F14)</f>
        <v>1127794.1280000003</v>
      </c>
      <c r="G15" s="60"/>
    </row>
    <row r="16" spans="1:10" s="55" customFormat="1" ht="21.75" x14ac:dyDescent="0.25">
      <c r="A16" s="290"/>
      <c r="B16" s="290"/>
      <c r="C16" s="290"/>
      <c r="D16" s="111"/>
      <c r="E16" s="111"/>
      <c r="F16" s="59"/>
      <c r="G16" s="59"/>
    </row>
    <row r="17" spans="1:7" ht="23.25" customHeight="1" x14ac:dyDescent="0.25">
      <c r="A17" s="283" t="s">
        <v>273</v>
      </c>
      <c r="B17" s="284"/>
      <c r="C17" s="285"/>
      <c r="D17" s="109"/>
      <c r="E17" s="109"/>
      <c r="F17" s="108">
        <f>F15</f>
        <v>1127794.1280000003</v>
      </c>
      <c r="G17" s="108">
        <f>F17/DADOS_INICIAIS!$E$9</f>
        <v>202.25246504321072</v>
      </c>
    </row>
  </sheetData>
  <mergeCells count="6">
    <mergeCell ref="A17:C17"/>
    <mergeCell ref="B8:C8"/>
    <mergeCell ref="D8:E8"/>
    <mergeCell ref="A2:G2"/>
    <mergeCell ref="A15:C15"/>
    <mergeCell ref="A16:C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31</vt:i4>
      </vt:variant>
    </vt:vector>
  </HeadingPairs>
  <TitlesOfParts>
    <vt:vector size="51" baseType="lpstr">
      <vt:lpstr>DADOS_INICIAIS</vt:lpstr>
      <vt:lpstr>MOVIMENTAÇÃO_DE_TERRA</vt:lpstr>
      <vt:lpstr>CONTENÇÕES</vt:lpstr>
      <vt:lpstr>INFRAESTRUTURA</vt:lpstr>
      <vt:lpstr>CONTENÇÃO</vt:lpstr>
      <vt:lpstr>SUPRAESTRUTURA</vt:lpstr>
      <vt:lpstr>ALVENARIA</vt:lpstr>
      <vt:lpstr>INSTALAÇÕES</vt:lpstr>
      <vt:lpstr>SISTEMAS ESPECIAIS</vt:lpstr>
      <vt:lpstr>IMPERMEABILIZAÇÃO</vt:lpstr>
      <vt:lpstr>PISO E TETO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CONTENÇÃO!Area_de_impressao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CONTENÇÃO!Titulos_de_impressao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2025-07-18T10:46:41Z</dcterms:modified>
</cp:coreProperties>
</file>