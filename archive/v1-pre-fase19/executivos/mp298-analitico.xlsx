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Meia Praia Empreendimentos Imobiliários\2024\298\04. Custo\03.0 Custo - Orçamento Paramétrico\"/>
    </mc:Choice>
  </mc:AlternateContent>
  <xr:revisionPtr revIDLastSave="0" documentId="13_ncr:1_{DA75BF35-4409-49DB-866B-7C95F42418F0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OBRA" sheetId="1" r:id="rId1"/>
    <sheet name="CANTEIRO" sheetId="3" r:id="rId2"/>
    <sheet name="EPCs" sheetId="2" r:id="rId3"/>
    <sheet name="CUSTOS_INDIRETOS" sheetId="6" r:id="rId4"/>
    <sheet name="Gerenciamento Executivo" sheetId="7" r:id="rId5"/>
  </sheets>
  <externalReferences>
    <externalReference r:id="rId6"/>
    <externalReference r:id="rId7"/>
    <externalReference r:id="rId8"/>
  </externalReferences>
  <definedNames>
    <definedName name="aa" localSheetId="1">#REF!</definedName>
    <definedName name="aa" localSheetId="3">#REF!</definedName>
    <definedName name="aa" localSheetId="2">#REF!</definedName>
    <definedName name="aa" localSheetId="0">#REF!</definedName>
    <definedName name="aa">#REF!</definedName>
    <definedName name="aaaa" localSheetId="1">'[1]M.O.'!#REF!</definedName>
    <definedName name="aaaa" localSheetId="2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0">[2]Geral!#REF!</definedName>
    <definedName name="angelo">[2]Geral!#REF!</definedName>
    <definedName name="aux" localSheetId="3">#REF!</definedName>
    <definedName name="aux" localSheetId="2">#REF!</definedName>
    <definedName name="aux" localSheetId="0">#REF!</definedName>
    <definedName name="aux">#REF!</definedName>
    <definedName name="BDA" localSheetId="3">#REF!</definedName>
    <definedName name="BDA" localSheetId="2">#REF!</definedName>
    <definedName name="BDA" localSheetId="0">#REF!</definedName>
    <definedName name="BDA">#REF!</definedName>
    <definedName name="BDI" localSheetId="3">#REF!</definedName>
    <definedName name="BDI" localSheetId="2">#REF!</definedName>
    <definedName name="BDI" localSheetId="0">#REF!</definedName>
    <definedName name="BDI">#REF!</definedName>
    <definedName name="ca" localSheetId="3">#REF!</definedName>
    <definedName name="ca" localSheetId="2">#REF!</definedName>
    <definedName name="ca" localSheetId="0">#REF!</definedName>
    <definedName name="ca">#REF!</definedName>
    <definedName name="Capa" localSheetId="3">#REF!</definedName>
    <definedName name="Capa" localSheetId="2">#REF!</definedName>
    <definedName name="Capa" localSheetId="0">#REF!</definedName>
    <definedName name="Capa">#REF!</definedName>
    <definedName name="cronograma" localSheetId="3">#REF!</definedName>
    <definedName name="cronograma" localSheetId="2">#REF!</definedName>
    <definedName name="cronograma" localSheetId="0">#REF!</definedName>
    <definedName name="cronograma">#REF!</definedName>
    <definedName name="D" localSheetId="3">#REF!</definedName>
    <definedName name="D" localSheetId="2">#REF!</definedName>
    <definedName name="D" localSheetId="0">#REF!</definedName>
    <definedName name="D">#REF!</definedName>
    <definedName name="direto" localSheetId="3">#REF!</definedName>
    <definedName name="direto" localSheetId="2">#REF!</definedName>
    <definedName name="direto" localSheetId="0">#REF!</definedName>
    <definedName name="direto">#REF!</definedName>
    <definedName name="DRE" localSheetId="3">#REF!</definedName>
    <definedName name="DRE" localSheetId="2">#REF!</definedName>
    <definedName name="DRE" localSheetId="0">#REF!</definedName>
    <definedName name="DRE">#REF!</definedName>
    <definedName name="ea" localSheetId="3">#REF!</definedName>
    <definedName name="ea" localSheetId="2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1">#REF!</definedName>
    <definedName name="FFFFFFF">#REF!</definedName>
    <definedName name="item_1" localSheetId="3">#REF!</definedName>
    <definedName name="item_1" localSheetId="2">#REF!</definedName>
    <definedName name="item_1" localSheetId="0">#REF!</definedName>
    <definedName name="item_1">#REF!</definedName>
    <definedName name="LS" localSheetId="2">'[1]M.O.'!#REF!</definedName>
    <definedName name="LS" localSheetId="0">'[1]M.O.'!#REF!</definedName>
    <definedName name="LS">'[1]M.O.'!#REF!</definedName>
    <definedName name="MENU" localSheetId="1">#REF!</definedName>
    <definedName name="MENU" localSheetId="3">#REF!</definedName>
    <definedName name="MENU" localSheetId="2">#REF!</definedName>
    <definedName name="MENU" localSheetId="0">#REF!</definedName>
    <definedName name="MENU">#REF!</definedName>
    <definedName name="MENU1" localSheetId="3">#REF!</definedName>
    <definedName name="MENU1" localSheetId="2">#REF!</definedName>
    <definedName name="MENU1" localSheetId="0">#REF!</definedName>
    <definedName name="MENU1">#REF!</definedName>
    <definedName name="MENU2" localSheetId="3">#REF!</definedName>
    <definedName name="MENU2" localSheetId="2">#REF!</definedName>
    <definedName name="MENU2" localSheetId="0">#REF!</definedName>
    <definedName name="MENU2">#REF!</definedName>
    <definedName name="MENU3" localSheetId="3">#REF!</definedName>
    <definedName name="MENU3" localSheetId="2">#REF!</definedName>
    <definedName name="MENU3" localSheetId="0">#REF!</definedName>
    <definedName name="MENU3">#REF!</definedName>
    <definedName name="MENU4" localSheetId="3">#REF!</definedName>
    <definedName name="MENU4" localSheetId="2">#REF!</definedName>
    <definedName name="MENU4" localSheetId="0">#REF!</definedName>
    <definedName name="MENU4">#REF!</definedName>
    <definedName name="MENU5" localSheetId="3">#REF!</definedName>
    <definedName name="MENU5" localSheetId="2">#REF!</definedName>
    <definedName name="MENU5" localSheetId="0">#REF!</definedName>
    <definedName name="MENU5">#REF!</definedName>
    <definedName name="MENU6" localSheetId="3">#REF!</definedName>
    <definedName name="MENU6" localSheetId="2">#REF!</definedName>
    <definedName name="MENU6" localSheetId="0">#REF!</definedName>
    <definedName name="MENU6">#REF!</definedName>
    <definedName name="mo" localSheetId="3">#REF!</definedName>
    <definedName name="mo" localSheetId="2">#REF!</definedName>
    <definedName name="mo" localSheetId="0">#REF!</definedName>
    <definedName name="mo">#REF!</definedName>
    <definedName name="OAE" localSheetId="3">#REF!</definedName>
    <definedName name="OAE" localSheetId="2">#REF!</definedName>
    <definedName name="OAE" localSheetId="0">#REF!</definedName>
    <definedName name="OAE">#REF!</definedName>
    <definedName name="PAV" localSheetId="3">#REF!</definedName>
    <definedName name="PAV" localSheetId="2">#REF!</definedName>
    <definedName name="PAV" localSheetId="0">#REF!</definedName>
    <definedName name="PAV">#REF!</definedName>
    <definedName name="pr" localSheetId="3">#REF!</definedName>
    <definedName name="pr" localSheetId="2">#REF!</definedName>
    <definedName name="pr" localSheetId="0">#REF!</definedName>
    <definedName name="pr">#REF!</definedName>
    <definedName name="PRE" localSheetId="3">#REF!</definedName>
    <definedName name="PRE" localSheetId="2">#REF!</definedName>
    <definedName name="PRE" localSheetId="0">#REF!</definedName>
    <definedName name="PRE">#REF!</definedName>
    <definedName name="Print_Area_MI" localSheetId="3">#REF!</definedName>
    <definedName name="Print_Area_MI" localSheetId="2">#REF!</definedName>
    <definedName name="Print_Area_MI" localSheetId="0">#REF!</definedName>
    <definedName name="Print_Area_MI">#REF!</definedName>
    <definedName name="qe" localSheetId="3">#REF!</definedName>
    <definedName name="qe" localSheetId="2">#REF!</definedName>
    <definedName name="qe" localSheetId="0">#REF!</definedName>
    <definedName name="qe">#REF!</definedName>
    <definedName name="qee" localSheetId="3">#REF!</definedName>
    <definedName name="qee" localSheetId="2">#REF!</definedName>
    <definedName name="qee" localSheetId="0">#REF!</definedName>
    <definedName name="qee">#REF!</definedName>
    <definedName name="reforsu" localSheetId="3">#REF!</definedName>
    <definedName name="reforsu" localSheetId="2">#REF!</definedName>
    <definedName name="reforsu" localSheetId="0">#REF!</definedName>
    <definedName name="reforsu">#REF!</definedName>
    <definedName name="ren" localSheetId="3">#REF!</definedName>
    <definedName name="ren" localSheetId="2">#REF!</definedName>
    <definedName name="ren" localSheetId="0">#REF!</definedName>
    <definedName name="ren">#REF!</definedName>
    <definedName name="REV" localSheetId="3">#REF!</definedName>
    <definedName name="REV" localSheetId="2">#REF!</definedName>
    <definedName name="REV" localSheetId="0">#REF!</definedName>
    <definedName name="REV">#REF!</definedName>
    <definedName name="sa" localSheetId="3">#REF!</definedName>
    <definedName name="sa" localSheetId="2">#REF!</definedName>
    <definedName name="sa" localSheetId="0">#REF!</definedName>
    <definedName name="sa">#REF!</definedName>
    <definedName name="SEG" localSheetId="3">#REF!</definedName>
    <definedName name="SEG" localSheetId="2">#REF!</definedName>
    <definedName name="SEG" localSheetId="0">#REF!</definedName>
    <definedName name="SEG">#REF!</definedName>
    <definedName name="SIH" localSheetId="3">#REF!</definedName>
    <definedName name="SIH" localSheetId="2">#REF!</definedName>
    <definedName name="SIH" localSheetId="0">#REF!</definedName>
    <definedName name="SIH">#REF!</definedName>
    <definedName name="SIV" localSheetId="3">#REF!</definedName>
    <definedName name="SIV" localSheetId="2">#REF!</definedName>
    <definedName name="SIV" localSheetId="0">#REF!</definedName>
    <definedName name="SIV">#REF!</definedName>
    <definedName name="ss" localSheetId="3">#REF!</definedName>
    <definedName name="ss" localSheetId="2">#REF!</definedName>
    <definedName name="ss" localSheetId="0">#REF!</definedName>
    <definedName name="ss">#REF!</definedName>
    <definedName name="susref" localSheetId="3">#REF!</definedName>
    <definedName name="susref" localSheetId="2">#REF!</definedName>
    <definedName name="susref" localSheetId="0">#REF!</definedName>
    <definedName name="susref">#REF!</definedName>
    <definedName name="tania" localSheetId="3">#REF!</definedName>
    <definedName name="tania" localSheetId="2">#REF!</definedName>
    <definedName name="tania" localSheetId="0">#REF!</definedName>
    <definedName name="tania">#REF!</definedName>
    <definedName name="tc" localSheetId="3">#REF!</definedName>
    <definedName name="tc" localSheetId="2">#REF!</definedName>
    <definedName name="tc" localSheetId="0">#REF!</definedName>
    <definedName name="tc">#REF!</definedName>
    <definedName name="TOT" localSheetId="3">#REF!</definedName>
    <definedName name="TOT" localSheetId="2">#REF!</definedName>
    <definedName name="TOT" localSheetId="0">#REF!</definedName>
    <definedName name="TOT">#REF!</definedName>
    <definedName name="Total" localSheetId="3">#REF!</definedName>
    <definedName name="Total" localSheetId="2">#REF!</definedName>
    <definedName name="Total" localSheetId="0">#REF!</definedName>
    <definedName name="Total">#REF!</definedName>
    <definedName name="TRP" localSheetId="3">#REF!</definedName>
    <definedName name="TRP" localSheetId="2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1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C197" i="7" l="1"/>
  <c r="E197" i="7" s="1"/>
  <c r="C196" i="7"/>
  <c r="E196" i="7" s="1"/>
  <c r="F188" i="7"/>
  <c r="E194" i="7"/>
  <c r="E192" i="7"/>
  <c r="E190" i="7"/>
  <c r="F195" i="7"/>
  <c r="E181" i="7"/>
  <c r="E180" i="7"/>
  <c r="E179" i="7"/>
  <c r="E177" i="7"/>
  <c r="E176" i="7"/>
  <c r="E174" i="7"/>
  <c r="E173" i="7"/>
  <c r="E172" i="7"/>
  <c r="E171" i="7"/>
  <c r="E170" i="7"/>
  <c r="E183" i="7"/>
  <c r="D183" i="7"/>
  <c r="C183" i="7"/>
  <c r="F182" i="7"/>
  <c r="E162" i="7"/>
  <c r="E161" i="7"/>
  <c r="E160" i="7"/>
  <c r="E159" i="7"/>
  <c r="C167" i="7"/>
  <c r="E167" i="7" s="1"/>
  <c r="C166" i="7"/>
  <c r="E166" i="7" s="1"/>
  <c r="C165" i="7"/>
  <c r="E165" i="7" s="1"/>
  <c r="C164" i="7"/>
  <c r="E164" i="7"/>
  <c r="F163" i="7"/>
  <c r="E141" i="7"/>
  <c r="E140" i="7"/>
  <c r="E139" i="7"/>
  <c r="E138" i="7"/>
  <c r="E137" i="7"/>
  <c r="E136" i="7"/>
  <c r="E143" i="7"/>
  <c r="F144" i="7"/>
  <c r="C150" i="7"/>
  <c r="E150" i="7" s="1"/>
  <c r="C149" i="7"/>
  <c r="E149" i="7" s="1"/>
  <c r="C148" i="7"/>
  <c r="E148" i="7" s="1"/>
  <c r="C147" i="7"/>
  <c r="E147" i="7" s="1"/>
  <c r="C146" i="7"/>
  <c r="C145" i="7"/>
  <c r="E146" i="7"/>
  <c r="E145" i="7"/>
  <c r="C156" i="7"/>
  <c r="F152" i="7"/>
  <c r="F121" i="7"/>
  <c r="F130" i="7"/>
  <c r="E132" i="7"/>
  <c r="E131" i="7"/>
  <c r="E126" i="7"/>
  <c r="E125" i="7"/>
  <c r="E124" i="7"/>
  <c r="E123" i="7"/>
  <c r="E122" i="7"/>
  <c r="C129" i="7"/>
  <c r="E129" i="7" s="1"/>
  <c r="C128" i="7"/>
  <c r="E128" i="7" s="1"/>
  <c r="C127" i="7"/>
  <c r="E127" i="7" s="1"/>
  <c r="C133" i="7"/>
  <c r="E133" i="7" s="1"/>
  <c r="F112" i="7"/>
  <c r="F103" i="7"/>
  <c r="F102" i="7" s="1"/>
  <c r="E111" i="7"/>
  <c r="E110" i="7"/>
  <c r="E109" i="7"/>
  <c r="E108" i="7"/>
  <c r="E107" i="7"/>
  <c r="E106" i="7"/>
  <c r="E105" i="7"/>
  <c r="E104" i="7"/>
  <c r="C118" i="7"/>
  <c r="E118" i="7" s="1"/>
  <c r="C115" i="7"/>
  <c r="E115" i="7" s="1"/>
  <c r="C119" i="7"/>
  <c r="E119" i="7" s="1"/>
  <c r="C117" i="7"/>
  <c r="E117" i="7" s="1"/>
  <c r="C116" i="7"/>
  <c r="E116" i="7" s="1"/>
  <c r="C114" i="7"/>
  <c r="E114" i="7" s="1"/>
  <c r="C113" i="7"/>
  <c r="E113" i="7" s="1"/>
  <c r="E101" i="7"/>
  <c r="E100" i="7"/>
  <c r="E99" i="7"/>
  <c r="E98" i="7"/>
  <c r="E97" i="7"/>
  <c r="E96" i="7"/>
  <c r="E95" i="7"/>
  <c r="E93" i="7"/>
  <c r="E91" i="7"/>
  <c r="E90" i="7"/>
  <c r="E89" i="7"/>
  <c r="E88" i="7"/>
  <c r="E86" i="7"/>
  <c r="E85" i="7"/>
  <c r="E84" i="7"/>
  <c r="E83" i="7"/>
  <c r="F45" i="7"/>
  <c r="F120" i="7" l="1"/>
  <c r="E80" i="7" l="1"/>
  <c r="E79" i="7"/>
  <c r="E78" i="7"/>
  <c r="E75" i="7"/>
  <c r="E74" i="7"/>
  <c r="E73" i="7"/>
  <c r="E72" i="7"/>
  <c r="E71" i="7"/>
  <c r="E69" i="7"/>
  <c r="E68" i="7"/>
  <c r="E67" i="7"/>
  <c r="E66" i="7"/>
  <c r="E65" i="7"/>
  <c r="E64" i="7"/>
  <c r="E63" i="7"/>
  <c r="E60" i="7"/>
  <c r="E59" i="7"/>
  <c r="E58" i="7"/>
  <c r="E57" i="7"/>
  <c r="E56" i="7"/>
  <c r="E55" i="7"/>
  <c r="E54" i="7"/>
  <c r="E53" i="7"/>
  <c r="E50" i="7"/>
  <c r="E48" i="7"/>
  <c r="E47" i="7"/>
  <c r="E46" i="7"/>
  <c r="E44" i="7"/>
  <c r="E42" i="7"/>
  <c r="E40" i="7"/>
  <c r="E39" i="7"/>
  <c r="C76" i="7"/>
  <c r="E76" i="7" s="1"/>
  <c r="C69" i="7"/>
  <c r="E36" i="7"/>
  <c r="E35" i="7"/>
  <c r="E34" i="7"/>
  <c r="E33" i="7"/>
  <c r="E32" i="7"/>
  <c r="E30" i="7"/>
  <c r="E29" i="7"/>
  <c r="E28" i="7"/>
  <c r="E27" i="7"/>
  <c r="E26" i="7"/>
  <c r="E25" i="7"/>
  <c r="E22" i="7"/>
  <c r="E21" i="7"/>
  <c r="E20" i="7"/>
  <c r="E19" i="7"/>
  <c r="E18" i="7"/>
  <c r="B3" i="3" l="1"/>
  <c r="D17" i="3"/>
  <c r="E75" i="6" s="1"/>
  <c r="F108" i="6"/>
  <c r="F107" i="6"/>
  <c r="F106" i="6"/>
  <c r="F105" i="6"/>
  <c r="F104" i="6"/>
  <c r="F103" i="6"/>
  <c r="F102" i="6"/>
  <c r="F101" i="6"/>
  <c r="F112" i="6"/>
  <c r="F111" i="6"/>
  <c r="F110" i="6"/>
  <c r="F109" i="6" s="1"/>
  <c r="D47" i="2"/>
  <c r="D41" i="2"/>
  <c r="D27" i="2"/>
  <c r="F193" i="7" l="1"/>
  <c r="F185" i="7" l="1"/>
  <c r="F184" i="7" s="1"/>
  <c r="F178" i="7"/>
  <c r="F41" i="7"/>
  <c r="F17" i="7"/>
  <c r="F16" i="7" s="1"/>
  <c r="D97" i="6" l="1"/>
  <c r="D91" i="6"/>
  <c r="D89" i="6"/>
  <c r="D81" i="6"/>
  <c r="D82" i="6"/>
  <c r="D83" i="6"/>
  <c r="D84" i="6"/>
  <c r="D85" i="6"/>
  <c r="D86" i="6"/>
  <c r="D87" i="6"/>
  <c r="D80" i="6"/>
  <c r="E76" i="6"/>
  <c r="E70" i="6"/>
  <c r="D69" i="6"/>
  <c r="D68" i="6"/>
  <c r="E66" i="6"/>
  <c r="D66" i="6"/>
  <c r="D49" i="2"/>
  <c r="D39" i="2"/>
  <c r="D26" i="2"/>
  <c r="D19" i="2"/>
  <c r="D33" i="2" s="1"/>
  <c r="D34" i="2" s="1"/>
  <c r="D76" i="6" s="1"/>
  <c r="B3" i="2"/>
  <c r="D14" i="2"/>
  <c r="D13" i="2"/>
  <c r="D26" i="3"/>
  <c r="D30" i="3"/>
  <c r="D23" i="3"/>
  <c r="F23" i="3" s="1"/>
  <c r="D24" i="3"/>
  <c r="D27" i="3"/>
  <c r="F32" i="3"/>
  <c r="F31" i="3"/>
  <c r="F30" i="3"/>
  <c r="F27" i="3"/>
  <c r="F26" i="3"/>
  <c r="F25" i="3"/>
  <c r="F24" i="3"/>
  <c r="D28" i="2" l="1"/>
  <c r="D73" i="6" s="1"/>
  <c r="F28" i="3"/>
  <c r="F142" i="7" l="1"/>
  <c r="F135" i="7"/>
  <c r="F134" i="7" s="1"/>
  <c r="F31" i="7"/>
  <c r="F76" i="6" l="1"/>
  <c r="F207" i="7" l="1"/>
  <c r="F206" i="7" s="1"/>
  <c r="F199" i="7"/>
  <c r="F198" i="7" s="1"/>
  <c r="F191" i="7"/>
  <c r="F189" i="7"/>
  <c r="F175" i="7"/>
  <c r="F169" i="7"/>
  <c r="F168" i="7" s="1"/>
  <c r="F158" i="7"/>
  <c r="F157" i="7" s="1"/>
  <c r="F151" i="7"/>
  <c r="F94" i="7"/>
  <c r="F92" i="7"/>
  <c r="F87" i="7"/>
  <c r="F82" i="7"/>
  <c r="F77" i="7"/>
  <c r="F70" i="7"/>
  <c r="F62" i="7"/>
  <c r="F52" i="7"/>
  <c r="F51" i="7" s="1"/>
  <c r="F49" i="7"/>
  <c r="F43" i="7"/>
  <c r="F38" i="7"/>
  <c r="F24" i="7"/>
  <c r="F23" i="7" s="1"/>
  <c r="F94" i="6"/>
  <c r="F93" i="6"/>
  <c r="F92" i="6"/>
  <c r="F91" i="6"/>
  <c r="F89" i="6"/>
  <c r="F87" i="6"/>
  <c r="F86" i="6"/>
  <c r="F85" i="6"/>
  <c r="F84" i="6"/>
  <c r="F83" i="6"/>
  <c r="F82" i="6"/>
  <c r="F81" i="6"/>
  <c r="F80" i="6"/>
  <c r="F74" i="6"/>
  <c r="F73" i="6"/>
  <c r="F70" i="6"/>
  <c r="F69" i="6"/>
  <c r="F68" i="6"/>
  <c r="F66" i="6"/>
  <c r="F65" i="6" s="1"/>
  <c r="F42" i="6"/>
  <c r="F15" i="6"/>
  <c r="F33" i="3"/>
  <c r="F96" i="6" s="1"/>
  <c r="D18" i="3"/>
  <c r="D16" i="3"/>
  <c r="D15" i="3"/>
  <c r="D11" i="3"/>
  <c r="F97" i="6"/>
  <c r="D21" i="2"/>
  <c r="D70" i="6" s="1"/>
  <c r="D72" i="6" s="1"/>
  <c r="F72" i="6" s="1"/>
  <c r="F37" i="7" l="1"/>
  <c r="F81" i="7"/>
  <c r="F79" i="6"/>
  <c r="F75" i="6"/>
  <c r="D42" i="2"/>
  <c r="D71" i="6" s="1"/>
  <c r="F71" i="6" s="1"/>
  <c r="F88" i="6"/>
  <c r="F14" i="6"/>
  <c r="F61" i="7"/>
  <c r="F95" i="6"/>
  <c r="F100" i="6" l="1"/>
  <c r="F99" i="6" s="1"/>
  <c r="F67" i="6"/>
  <c r="F64" i="6" s="1"/>
  <c r="F90" i="6"/>
  <c r="F78" i="6" s="1"/>
  <c r="F63" i="6" l="1"/>
  <c r="F113" i="6" s="1"/>
  <c r="F15" i="7" s="1"/>
  <c r="F14" i="7" l="1"/>
  <c r="F13" i="7" s="1"/>
  <c r="E15" i="7"/>
  <c r="F209" i="7"/>
</calcChain>
</file>

<file path=xl/sharedStrings.xml><?xml version="1.0" encoding="utf-8"?>
<sst xmlns="http://schemas.openxmlformats.org/spreadsheetml/2006/main" count="1004" uniqueCount="678">
  <si>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</si>
  <si>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</si>
  <si>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</si>
  <si>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</si>
  <si>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</si>
  <si>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</si>
  <si>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</si>
  <si>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</si>
  <si>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</si>
  <si>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</si>
  <si>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</si>
  <si>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</si>
  <si>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</si>
  <si>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</si>
  <si>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</si>
  <si>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</si>
  <si>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</si>
  <si>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Equipamentos de proteção coletiva</t>
  </si>
  <si>
    <t>Bandejas de proteção</t>
  </si>
  <si>
    <t>m</t>
  </si>
  <si>
    <t>un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</si>
  <si>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</si>
  <si>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</si>
  <si>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</si>
  <si>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</si>
  <si>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</si>
  <si>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</si>
  <si>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</si>
  <si>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m²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</si>
  <si>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</si>
  <si>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</si>
  <si>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</si>
  <si>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</si>
  <si>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</si>
  <si>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</si>
  <si>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</si>
  <si>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</si>
  <si>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</si>
  <si>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Pm</t>
  </si>
  <si>
    <t xml:space="preserve">h/m2 </t>
  </si>
  <si>
    <t>Instalações de canteiro</t>
  </si>
  <si>
    <t>Equipe administrativa</t>
  </si>
  <si>
    <t>Produtividade média</t>
  </si>
  <si>
    <t xml:space="preserve"> h/m2</t>
  </si>
  <si>
    <t>Numero de funcionários</t>
  </si>
  <si>
    <t>Pontos de água e esgoto</t>
  </si>
  <si>
    <t>20 funcionários/ponto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</si>
  <si>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</si>
  <si>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</si>
  <si>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</si>
  <si>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</si>
  <si>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</si>
  <si>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</si>
  <si>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</si>
  <si>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</si>
  <si>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</si>
  <si>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</si>
  <si>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</si>
  <si>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</si>
  <si>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</si>
  <si>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</si>
  <si>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</si>
  <si>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TOTAL</t>
  </si>
  <si>
    <t>Computador pessoal</t>
  </si>
  <si>
    <t>Impressora</t>
  </si>
  <si>
    <t>Roteador</t>
  </si>
  <si>
    <t>Equipamentos de Obra</t>
  </si>
  <si>
    <t>INFRAESTRUTURA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</si>
  <si>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</si>
  <si>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</si>
  <si>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</si>
  <si>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</si>
  <si>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</si>
  <si>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</si>
  <si>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</si>
  <si>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</si>
  <si>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</si>
  <si>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</si>
  <si>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</si>
  <si>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</si>
  <si>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</si>
  <si>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</si>
  <si>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</si>
  <si>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</si>
  <si>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</si>
  <si>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</si>
  <si>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</si>
  <si>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</si>
  <si>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</si>
  <si>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</si>
  <si>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</si>
  <si>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</si>
  <si>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</si>
  <si>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</si>
  <si>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</si>
  <si>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</si>
  <si>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</si>
  <si>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</si>
  <si>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</si>
  <si>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</si>
  <si>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</si>
  <si>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</si>
  <si>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</si>
  <si>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</si>
  <si>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</si>
  <si>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</si>
  <si>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</si>
  <si>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</si>
  <si>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</si>
  <si>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</si>
  <si>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</si>
  <si>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</si>
  <si>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</si>
  <si>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</si>
  <si>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</si>
  <si>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</si>
  <si>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</si>
  <si>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</si>
  <si>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</si>
  <si>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</si>
  <si>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</si>
  <si>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</si>
  <si>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</si>
  <si>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</si>
  <si>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</si>
  <si>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</si>
  <si>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</si>
  <si>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</si>
  <si>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</si>
  <si>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</si>
  <si>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</si>
  <si>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</si>
  <si>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02.002.001.004</t>
  </si>
  <si>
    <t>Almoxarife</t>
  </si>
  <si>
    <t>02.002.001.005</t>
  </si>
  <si>
    <t>02.002.001.006</t>
  </si>
  <si>
    <t>02.002.001.007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</si>
  <si>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</si>
  <si>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</si>
  <si>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</si>
  <si>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</si>
  <si>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</si>
  <si>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</si>
  <si>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</si>
  <si>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</si>
  <si>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</si>
  <si>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</si>
  <si>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</si>
  <si>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</si>
  <si>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</si>
  <si>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</si>
  <si>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</si>
  <si>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</si>
  <si>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</si>
  <si>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</si>
  <si>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</si>
  <si>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</si>
  <si>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</si>
  <si>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</si>
  <si>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</si>
  <si>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</si>
  <si>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</si>
  <si>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</si>
  <si>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 xml:space="preserve">02.003.001.001 </t>
  </si>
  <si>
    <t>Ferramentas - aquisição/manutenção</t>
  </si>
  <si>
    <t>02.003.001.002</t>
  </si>
  <si>
    <t>02.003.001.003</t>
  </si>
  <si>
    <t>02.003.001.004</t>
  </si>
  <si>
    <t>02.003.001.005</t>
  </si>
  <si>
    <t>02.003.001.006</t>
  </si>
  <si>
    <t>02.003.001.007</t>
  </si>
  <si>
    <t>02.003.001.008</t>
  </si>
  <si>
    <t>Locação de balancim</t>
  </si>
  <si>
    <t>Montagem e desmontagem de balancim</t>
  </si>
  <si>
    <t>02.003.001</t>
  </si>
  <si>
    <t>Andaimes</t>
  </si>
  <si>
    <t>02.003.001.001</t>
  </si>
  <si>
    <t>Total</t>
  </si>
  <si>
    <t>CÓDIGO</t>
  </si>
  <si>
    <t>ITEM</t>
  </si>
  <si>
    <t>Valor Orçado</t>
  </si>
  <si>
    <t>GERENCIAMENTO TÉCNICO E ADMINISTRATIVO</t>
  </si>
  <si>
    <t>1.1</t>
  </si>
  <si>
    <t>1.1.1</t>
  </si>
  <si>
    <t>Gerenciamento técnico e administrativo</t>
  </si>
  <si>
    <t>MOVIMENTAÇÃO DE TERRA</t>
  </si>
  <si>
    <t>2.1</t>
  </si>
  <si>
    <t>2.1.1</t>
  </si>
  <si>
    <t>m3</t>
  </si>
  <si>
    <t>2.1.2</t>
  </si>
  <si>
    <t>2.1.3</t>
  </si>
  <si>
    <t>2.1.4</t>
  </si>
  <si>
    <t>MOVIMENTAÇÃO DE VALAS</t>
  </si>
  <si>
    <t>Escavação mecanizada para blocos e baldrames</t>
  </si>
  <si>
    <t>Reaterro para blocos e baldrames</t>
  </si>
  <si>
    <t>3.1</t>
  </si>
  <si>
    <t xml:space="preserve">FUNDAÇÃO PROFUNDA </t>
  </si>
  <si>
    <t>3.1.1</t>
  </si>
  <si>
    <t>3.1.2</t>
  </si>
  <si>
    <t>Estaca Hélice Continua Diâmetro 50</t>
  </si>
  <si>
    <t>3.1.3</t>
  </si>
  <si>
    <t>Estaca Hélice Continua Diâmetro 60</t>
  </si>
  <si>
    <t>3.1.4</t>
  </si>
  <si>
    <t xml:space="preserve">Armação </t>
  </si>
  <si>
    <t>kg</t>
  </si>
  <si>
    <t>3.1.5</t>
  </si>
  <si>
    <t>Concreto</t>
  </si>
  <si>
    <t>m³</t>
  </si>
  <si>
    <t>3.1.6</t>
  </si>
  <si>
    <t>Mobilização</t>
  </si>
  <si>
    <t>3.2</t>
  </si>
  <si>
    <t>FUNDAÇÃO RASA</t>
  </si>
  <si>
    <t>3.2.1</t>
  </si>
  <si>
    <t>3.2.3</t>
  </si>
  <si>
    <t>3.2.4</t>
  </si>
  <si>
    <t>3.2.5</t>
  </si>
  <si>
    <t>Armação</t>
  </si>
  <si>
    <t>SUPRAESTRUTURA</t>
  </si>
  <si>
    <t>5.1</t>
  </si>
  <si>
    <t>FORMA</t>
  </si>
  <si>
    <t>5.1.1</t>
  </si>
  <si>
    <t>Fabricação forma</t>
  </si>
  <si>
    <t>5.1.2</t>
  </si>
  <si>
    <t>Montagem de forma</t>
  </si>
  <si>
    <t>5.2</t>
  </si>
  <si>
    <t>5.2.1</t>
  </si>
  <si>
    <t>5.3</t>
  </si>
  <si>
    <t>ARMADURA</t>
  </si>
  <si>
    <t>5.3.1</t>
  </si>
  <si>
    <t>Armadura Convencional para Estrutura</t>
  </si>
  <si>
    <t>5.4</t>
  </si>
  <si>
    <t>CONCRETO</t>
  </si>
  <si>
    <t>5.4.1</t>
  </si>
  <si>
    <t>5.5</t>
  </si>
  <si>
    <t>COMPLEMENTARES</t>
  </si>
  <si>
    <t>5.5.1</t>
  </si>
  <si>
    <t>MÃO DE OBRA</t>
  </si>
  <si>
    <t>Mão de obra supraestrutura</t>
  </si>
  <si>
    <t>ALVENARIA</t>
  </si>
  <si>
    <t>6.1</t>
  </si>
  <si>
    <t>6.1.1</t>
  </si>
  <si>
    <t>Alvenaria embasamento</t>
  </si>
  <si>
    <t>6.1.2</t>
  </si>
  <si>
    <t>Alvenaria lazer</t>
  </si>
  <si>
    <t>6.1.3</t>
  </si>
  <si>
    <t>6.1.4</t>
  </si>
  <si>
    <t>6.1.5</t>
  </si>
  <si>
    <t>6.1.6</t>
  </si>
  <si>
    <t xml:space="preserve">Alvenaria escadas </t>
  </si>
  <si>
    <t>6.1.7</t>
  </si>
  <si>
    <t>Alvenaria cobertura / reservatório</t>
  </si>
  <si>
    <t>6.1.8</t>
  </si>
  <si>
    <t>Alvenaria refratárias</t>
  </si>
  <si>
    <t>Churrasqueiras</t>
  </si>
  <si>
    <t>Serviços complementares</t>
  </si>
  <si>
    <t>Mão de obra</t>
  </si>
  <si>
    <t>INSTALAÇÕES ELÉTRICAS, HIDRÁULICAS E GLP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</si>
  <si>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</si>
  <si>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</si>
  <si>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</si>
  <si>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</si>
  <si>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</si>
  <si>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</si>
  <si>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</si>
  <si>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</si>
  <si>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</si>
  <si>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</si>
  <si>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</si>
  <si>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</si>
  <si>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</si>
  <si>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</si>
  <si>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</si>
  <si>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</si>
  <si>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</si>
  <si>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</si>
  <si>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</si>
  <si>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</si>
  <si>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</si>
  <si>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</si>
  <si>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</si>
  <si>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</si>
  <si>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</si>
  <si>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</si>
  <si>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</si>
  <si>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</si>
  <si>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</si>
  <si>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</si>
  <si>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</si>
  <si>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</si>
  <si>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</si>
  <si>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</si>
  <si>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</si>
  <si>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</si>
  <si>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</si>
  <si>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</si>
  <si>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</si>
  <si>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</si>
  <si>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</si>
  <si>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</si>
  <si>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</si>
  <si>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8.1.2</t>
  </si>
  <si>
    <t>Instalação de Ar Condicionado</t>
  </si>
  <si>
    <t>8.1.3</t>
  </si>
  <si>
    <t>Ventokit</t>
  </si>
  <si>
    <t>8.1.4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</si>
  <si>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</si>
  <si>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</si>
  <si>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</si>
  <si>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</si>
  <si>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</si>
  <si>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</si>
  <si>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</si>
  <si>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</si>
  <si>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</si>
  <si>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Automação, telecomunicação e sistemas de segurança</t>
  </si>
  <si>
    <t>8.3</t>
  </si>
  <si>
    <t>OUTROS SISTEMAS</t>
  </si>
  <si>
    <t>8.3.1</t>
  </si>
  <si>
    <t>Outros sistemas</t>
  </si>
  <si>
    <t>8.4</t>
  </si>
  <si>
    <t>8.4.1</t>
  </si>
  <si>
    <t>Elevadores</t>
  </si>
  <si>
    <t>8.4.2</t>
  </si>
  <si>
    <t>Grupo de geradores</t>
  </si>
  <si>
    <t>8.4.3</t>
  </si>
  <si>
    <t>8.4.4</t>
  </si>
  <si>
    <t>Infra de carro elétrico</t>
  </si>
  <si>
    <t>8.4.5</t>
  </si>
  <si>
    <t>8.4.6</t>
  </si>
  <si>
    <t>8.4.7</t>
  </si>
  <si>
    <t>Sauna</t>
  </si>
  <si>
    <t>IMPERMEABILIZAÇÃO</t>
  </si>
  <si>
    <t>9.1</t>
  </si>
  <si>
    <t>9.1.1</t>
  </si>
  <si>
    <t>Regularização de Superfície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</si>
  <si>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</si>
  <si>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</si>
  <si>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</si>
  <si>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</si>
  <si>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</si>
  <si>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</si>
  <si>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</si>
  <si>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</si>
  <si>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9.1.6</t>
  </si>
  <si>
    <t>Impermeabilizações com manta asfaltica</t>
  </si>
  <si>
    <t>9.1.8</t>
  </si>
  <si>
    <t>Impermeabilização de peitoril</t>
  </si>
  <si>
    <t>9.1.9</t>
  </si>
  <si>
    <t>Proteção Mecânica</t>
  </si>
  <si>
    <t>10.1</t>
  </si>
  <si>
    <t xml:space="preserve">REVESTIMENTOS INTERNOS EM PISO </t>
  </si>
  <si>
    <t>10.1.1</t>
  </si>
  <si>
    <t>10.1.2</t>
  </si>
  <si>
    <t>10.1.3</t>
  </si>
  <si>
    <t>Manta acústica</t>
  </si>
  <si>
    <t>10.2</t>
  </si>
  <si>
    <t>REVESTIMENTOS INTERNOS EM PAREDE</t>
  </si>
  <si>
    <t>10.2.1</t>
  </si>
  <si>
    <t>Chapisco</t>
  </si>
  <si>
    <t>10.2.2</t>
  </si>
  <si>
    <t>Reboco</t>
  </si>
  <si>
    <t>ACABAMENTOS EM PISO E PAREDE</t>
  </si>
  <si>
    <t>11.1</t>
  </si>
  <si>
    <t>ACABAMENTOS EM PISO</t>
  </si>
  <si>
    <t>11.1.1</t>
  </si>
  <si>
    <t xml:space="preserve">m² </t>
  </si>
  <si>
    <t>11.1.2</t>
  </si>
  <si>
    <t>11.1.3</t>
  </si>
  <si>
    <t>11.1.4</t>
  </si>
  <si>
    <t>11.1.5</t>
  </si>
  <si>
    <t>Piscina</t>
  </si>
  <si>
    <t>11.1.6</t>
  </si>
  <si>
    <t>Rodapés</t>
  </si>
  <si>
    <t>Soleiras e peitoris</t>
  </si>
  <si>
    <t>11.2</t>
  </si>
  <si>
    <t>ACABAMENTOS EM PAREDE</t>
  </si>
  <si>
    <t>11.2.1</t>
  </si>
  <si>
    <t>Revestimentos de Parede</t>
  </si>
  <si>
    <t>REVESTIMENTOS E ACABAMENTOS INTERNOS EM TETO</t>
  </si>
  <si>
    <t>12.1</t>
  </si>
  <si>
    <t>REVESTIMENTOS E ACABAMENTOS EM TETO</t>
  </si>
  <si>
    <t>12.1.1</t>
  </si>
  <si>
    <t>12.1.2</t>
  </si>
  <si>
    <t>Negativo</t>
  </si>
  <si>
    <t>12.1.3</t>
  </si>
  <si>
    <t>PINTURA INTERNA</t>
  </si>
  <si>
    <t>13.1</t>
  </si>
  <si>
    <t>13.1.1</t>
  </si>
  <si>
    <t>Pintura piso epoxi</t>
  </si>
  <si>
    <t>13.1.2</t>
  </si>
  <si>
    <t>Pintura acrílica escadaria</t>
  </si>
  <si>
    <t>13.1.3</t>
  </si>
  <si>
    <t>Pintura escadas e garagens</t>
  </si>
  <si>
    <t>13.1.4</t>
  </si>
  <si>
    <t>Pintura Interna</t>
  </si>
  <si>
    <t>ESQUADRIAS</t>
  </si>
  <si>
    <t>14.1</t>
  </si>
  <si>
    <t>ESQUADRIAS DE ALUMÍNIO</t>
  </si>
  <si>
    <t>14.1.1</t>
  </si>
  <si>
    <t>Esquadrias de Alumínio</t>
  </si>
  <si>
    <t>14.1.2</t>
  </si>
  <si>
    <t>Guarda-corpo - vidro</t>
  </si>
  <si>
    <t>14.1.3</t>
  </si>
  <si>
    <t>Portão de alumínio</t>
  </si>
  <si>
    <t>14.2</t>
  </si>
  <si>
    <t>ESQUADRIAS METÁLICAS</t>
  </si>
  <si>
    <t>14.2.1</t>
  </si>
  <si>
    <t>Porta Corta - Fogo</t>
  </si>
  <si>
    <t>14.2.2</t>
  </si>
  <si>
    <t>Serralherias</t>
  </si>
  <si>
    <t>14.3</t>
  </si>
  <si>
    <t>ESQUADRIAS DE MADEIRA</t>
  </si>
  <si>
    <t>14.3.3</t>
  </si>
  <si>
    <t>Esquadrias de Madeira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</si>
  <si>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</si>
  <si>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</si>
  <si>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</si>
  <si>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</si>
  <si>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</si>
  <si>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15.2</t>
  </si>
  <si>
    <t>PINTURA EXTERNA</t>
  </si>
  <si>
    <t>15.2.1</t>
  </si>
  <si>
    <t>SERVIÇOS COMPLEMENTARES</t>
  </si>
  <si>
    <t>16.1</t>
  </si>
  <si>
    <t>16.1.1</t>
  </si>
  <si>
    <t>Móveis e decoração</t>
  </si>
  <si>
    <t>16.1.2</t>
  </si>
  <si>
    <t>Comunicação visual</t>
  </si>
  <si>
    <t>16.1.3</t>
  </si>
  <si>
    <t>Paisagismo</t>
  </si>
  <si>
    <t>16.1.4</t>
  </si>
  <si>
    <t>16.1.5</t>
  </si>
  <si>
    <t>16.1.6</t>
  </si>
  <si>
    <t>Desmobilização</t>
  </si>
  <si>
    <t>Limpeza final de obra</t>
  </si>
  <si>
    <t>IMPREVISTOS</t>
  </si>
  <si>
    <t>17.1</t>
  </si>
  <si>
    <t>17.1.1</t>
  </si>
  <si>
    <t>Imprevistos e contingências</t>
  </si>
  <si>
    <t>02.001.002.009</t>
  </si>
  <si>
    <t>02.001.002.010</t>
  </si>
  <si>
    <t>02.001.002.011</t>
  </si>
  <si>
    <t>3.2.6</t>
  </si>
  <si>
    <t>Meia Praia</t>
  </si>
  <si>
    <t>Perímetro de projeção embasamneto</t>
  </si>
  <si>
    <t>Perímetro de projeção torre</t>
  </si>
  <si>
    <t>Perimetro da torre</t>
  </si>
  <si>
    <t>Altura da torre</t>
  </si>
  <si>
    <t>Tela SLQA</t>
  </si>
  <si>
    <t>Engenheiro Civil</t>
  </si>
  <si>
    <t>Mestre Geral</t>
  </si>
  <si>
    <t>Auxiliar de Engenharia</t>
  </si>
  <si>
    <t>Estagiário de Engenharia</t>
  </si>
  <si>
    <t>Operador de Guincho</t>
  </si>
  <si>
    <t>Equipe de apoio</t>
  </si>
  <si>
    <t>Serviço de vigilância</t>
  </si>
  <si>
    <t>Montagem e desmontagem de elevador cremalheira</t>
  </si>
  <si>
    <t>Mobilização e desmobilização de elevador cremalheira</t>
  </si>
  <si>
    <t>Montagem e Desmontagem de Mini-grua</t>
  </si>
  <si>
    <t>Mobilização e desmobilização de Mini-grua</t>
  </si>
  <si>
    <t>Manutenção incial de elevador cremalheira</t>
  </si>
  <si>
    <t>Menutenção periódica de elevador cremalheira</t>
  </si>
  <si>
    <t>Menutenção periódica de Mini-grua</t>
  </si>
  <si>
    <t>Locação de andaime</t>
  </si>
  <si>
    <t>Levantamento topográfico</t>
  </si>
  <si>
    <t>Estudo geológico</t>
  </si>
  <si>
    <t>Estudo ambiental</t>
  </si>
  <si>
    <t>Sondagem</t>
  </si>
  <si>
    <t>Memorial descritivo</t>
  </si>
  <si>
    <t>Projeto de canteiro</t>
  </si>
  <si>
    <t>02.001.001.002</t>
  </si>
  <si>
    <t>02.001.001.003</t>
  </si>
  <si>
    <t>02.001.001.004</t>
  </si>
  <si>
    <t>02.001.001.005</t>
  </si>
  <si>
    <t>02.001.001.006</t>
  </si>
  <si>
    <t>Projeto arquitetônico</t>
  </si>
  <si>
    <t>Projeto de terraplanagem</t>
  </si>
  <si>
    <t>Projeto de fundações</t>
  </si>
  <si>
    <t>Projeto hidrossanitário</t>
  </si>
  <si>
    <t>Projeto de paisagismo</t>
  </si>
  <si>
    <t>Projeto estrutural</t>
  </si>
  <si>
    <t>Projeto de elétrico</t>
  </si>
  <si>
    <t>Projeto de climatização</t>
  </si>
  <si>
    <t>Projeto de interiores</t>
  </si>
  <si>
    <t>Projeto de impermeabilização</t>
  </si>
  <si>
    <t>Projeto PPCI e GLP</t>
  </si>
  <si>
    <t>Planejamento e orçamento</t>
  </si>
  <si>
    <t xml:space="preserve">02.001.003.001 </t>
  </si>
  <si>
    <t>Controle tecnológico do concreto</t>
  </si>
  <si>
    <t>Ensaio com laudo de desempenho</t>
  </si>
  <si>
    <t>Prova de cargas estáticas</t>
  </si>
  <si>
    <t>Laudo preventivo de danos à vizinhança</t>
  </si>
  <si>
    <t xml:space="preserve">02.001.004.001 </t>
  </si>
  <si>
    <t>02.001.004.002</t>
  </si>
  <si>
    <t>02.001.004.003</t>
  </si>
  <si>
    <t>02.001.004.004</t>
  </si>
  <si>
    <t>Seguro de obra</t>
  </si>
  <si>
    <t>Taxas de alvarás</t>
  </si>
  <si>
    <t>IPTU</t>
  </si>
  <si>
    <t>Aprovação e legalização ambiental</t>
  </si>
  <si>
    <t>Aprovação e legalização de água e esgoto</t>
  </si>
  <si>
    <t>Aprovação e legalização elétrico</t>
  </si>
  <si>
    <t>Aprovação e legalização bombeiros</t>
  </si>
  <si>
    <t>Aprovação e legalização prefeitura</t>
  </si>
  <si>
    <t>Taxas de ART</t>
  </si>
  <si>
    <t>Despesas cartorio, licencas, certidoes e juridicas</t>
  </si>
  <si>
    <t>Incorporação</t>
  </si>
  <si>
    <t>Habite-se</t>
  </si>
  <si>
    <t>Certidão INSS</t>
  </si>
  <si>
    <t>Outorga onerosa</t>
  </si>
  <si>
    <t>02.002.002.003</t>
  </si>
  <si>
    <t>02.002.002.004</t>
  </si>
  <si>
    <t>02.002.002.005</t>
  </si>
  <si>
    <t>02.002.002.006</t>
  </si>
  <si>
    <t>02.002.002.007</t>
  </si>
  <si>
    <t>02.002.002.008</t>
  </si>
  <si>
    <t>02.002.002.009</t>
  </si>
  <si>
    <t>02.002.002.010</t>
  </si>
  <si>
    <t>02.002.002.011</t>
  </si>
  <si>
    <t>02.002.002.012</t>
  </si>
  <si>
    <t>02.002.002.013</t>
  </si>
  <si>
    <t>As built</t>
  </si>
  <si>
    <t>Laudo de entrega</t>
  </si>
  <si>
    <t>Manual de proprietário</t>
  </si>
  <si>
    <t>Movimentação de bota-fora</t>
  </si>
  <si>
    <t>Movimentação de terra das estacas</t>
  </si>
  <si>
    <t>Lastro de concreto magto e=5cm</t>
  </si>
  <si>
    <t>2.1.5</t>
  </si>
  <si>
    <t>Concreto (40 Mpa)</t>
  </si>
  <si>
    <t>Apoio e arrasamento de estacas</t>
  </si>
  <si>
    <t>Fabricação, montagem e desmontagem de forma para blocos e baldrames resinado</t>
  </si>
  <si>
    <t>Piso de concreto armado</t>
  </si>
  <si>
    <t xml:space="preserve">Locação de escoramento </t>
  </si>
  <si>
    <t>Locação de cubetas</t>
  </si>
  <si>
    <t>Perfuração de vigas</t>
  </si>
  <si>
    <t>5.4.2</t>
  </si>
  <si>
    <t>5.4.3</t>
  </si>
  <si>
    <t>Alvenaria tipo</t>
  </si>
  <si>
    <t xml:space="preserve">un </t>
  </si>
  <si>
    <t>Bombas</t>
  </si>
  <si>
    <t>Equipamento de piscina</t>
  </si>
  <si>
    <t>Spa</t>
  </si>
  <si>
    <t>Polimento de concreto</t>
  </si>
  <si>
    <t>Piso alisado</t>
  </si>
  <si>
    <t>Piso ranhurado</t>
  </si>
  <si>
    <t>Contrapiso</t>
  </si>
  <si>
    <t>10.1.4</t>
  </si>
  <si>
    <t>10.1.5</t>
  </si>
  <si>
    <t>Forro gesso mineral</t>
  </si>
  <si>
    <t>Estucamento</t>
  </si>
  <si>
    <t xml:space="preserve">Porcelanato </t>
  </si>
  <si>
    <t>Grama sintetica</t>
  </si>
  <si>
    <t>Paver</t>
  </si>
  <si>
    <t>Pele de vidro</t>
  </si>
  <si>
    <t xml:space="preserve">Gradil </t>
  </si>
  <si>
    <t>14.1.4</t>
  </si>
  <si>
    <t>14.1.5</t>
  </si>
  <si>
    <t>Corrimão madeira</t>
  </si>
  <si>
    <t>Fechadura Biometrica</t>
  </si>
  <si>
    <t>14.3.1</t>
  </si>
  <si>
    <t>14.3.2</t>
  </si>
  <si>
    <t>COBERTURA</t>
  </si>
  <si>
    <t>Estrutura e telhamento</t>
  </si>
  <si>
    <t>15.1.2</t>
  </si>
  <si>
    <t>15.3</t>
  </si>
  <si>
    <t>15.3.1</t>
  </si>
  <si>
    <t>ACABEMNTOS ESPECIAIS</t>
  </si>
  <si>
    <t xml:space="preserve">ORÇAMENTO PARAMÉTRICO </t>
  </si>
  <si>
    <t>Rua 298</t>
  </si>
  <si>
    <t>1 hall de entrada + 5 máquinas no lazer 1 + 3 máquinas no lazer 2</t>
  </si>
  <si>
    <t>Acabamentos especiais</t>
  </si>
  <si>
    <t>R01</t>
  </si>
  <si>
    <t>Observações</t>
  </si>
  <si>
    <t>Custo previsto para toda a movimentação com maquinário e apoio</t>
  </si>
  <si>
    <t>Consideração de 30% como fator de empolamento</t>
  </si>
  <si>
    <t>40,00 R$/m³ de material com empolamento</t>
  </si>
  <si>
    <t>312,00 R$/m³ de concreto magro + R$ 40,00/m³ para bombeamento</t>
  </si>
  <si>
    <t>90,00 R$/m incluindo todo o serviço, maquinário e apoio</t>
  </si>
  <si>
    <t>105,00 R$/m incluindo todo o serviço, maquinário e apoio</t>
  </si>
  <si>
    <t>535,00 R$/m³ de concreto + R$ 45,00/m³ para bombeamento (30% de perda)</t>
  </si>
  <si>
    <t xml:space="preserve">Custo médio para a bitola de 10mm (CA-50) de R$ 7,62/kg, incluíndo 10% de perda para corte e dobra em obra </t>
  </si>
  <si>
    <t>Custo de mobilização e desmobilização de maquinário para estaca hélice contínua</t>
  </si>
  <si>
    <t>Consideração de custo de formas de madeira serrada com utilização única</t>
  </si>
  <si>
    <t>535,00 R$/m³ de concreto + R$ 45,00/m³ para bombeamento (5% de perda)</t>
  </si>
  <si>
    <t>Custo de material para execução de piso sobre solo</t>
  </si>
  <si>
    <t>Mão de obra prevista para formas, armação, concretagem e apoio de todo o sistema de infraestrutura - R$ 396,00/m² de área de projeção do embasamento</t>
  </si>
  <si>
    <t xml:space="preserve">Fabricação de 3 jogos referentes ao pavimento tipo com compensado plastificado </t>
  </si>
  <si>
    <t xml:space="preserve">Montagem contemplando desmoldante e reposição de pregos das formas fabricadas </t>
  </si>
  <si>
    <t>Previsão de custo para manutenção de escoras próprias durante o período estimado de 24 meses</t>
  </si>
  <si>
    <t xml:space="preserve">Locação de cubetas a R$0,46/un.dia pelo período estimado de 24 meses </t>
  </si>
  <si>
    <t>Custo previsto para elementos de espera de furos ou furação posterior para passagem de tubulações</t>
  </si>
  <si>
    <t>Mão de obra prevista para formas, armação, concretagem e apoio de todo o sistema de supraestrutura - R$ 264,00/m² de área construída</t>
  </si>
  <si>
    <t>Incluindo bloco e argamassa para assentamento</t>
  </si>
  <si>
    <t>Incluindo bloco e argamassa para assentamento, aplicado no interior de churrasqueiras</t>
  </si>
  <si>
    <t>Custo previsto para contemplar amarração, encunhamento, vergas e contravergas</t>
  </si>
  <si>
    <t>Mão de obra prevista para assentamento de todos os blocos e serviços complementares R$38,50/m² de parede</t>
  </si>
  <si>
    <t>pavto</t>
  </si>
  <si>
    <t>Custo previsto para execução de infraestrutura de ar condicionado em todo o empreendimento incluindo material e mão de obra</t>
  </si>
  <si>
    <t>Intalação de equipamentos em áreas comuns</t>
  </si>
  <si>
    <t>Previsão de estrutura em banheiros enclasurados</t>
  </si>
  <si>
    <t>Custo para o sistema completo de exaustão levando por unidade de churrasqueira</t>
  </si>
  <si>
    <t>Sistema estimado com base no porte do empreediemento através de índices</t>
  </si>
  <si>
    <t>Verba prevista para equipamentos e instalações especial que podem ser incorporadas com o refinamento do projeto</t>
  </si>
  <si>
    <t>Previsão de bombas de pressurização e recalque, complementar ao sistema previsto no item 7.2</t>
  </si>
  <si>
    <t>Previsão de espera para equipamento de carregamento de carro elétrico em uma vga por apartameto</t>
  </si>
  <si>
    <t>Sistema inclui toda a estrutura de bomba, filtro, skimmer, etc.., incluindo mão de obra</t>
  </si>
  <si>
    <t>Sistema inclui toda estrutura de equipamentos para o funcionamento da sauna</t>
  </si>
  <si>
    <t>Custo do equipamento já instalado</t>
  </si>
  <si>
    <t>9.2</t>
  </si>
  <si>
    <t>9.2.1</t>
  </si>
  <si>
    <t>Mão de obra para regularização</t>
  </si>
  <si>
    <t>9.2.2</t>
  </si>
  <si>
    <t>Mão de obra para impermeabilização de poço e baldrames</t>
  </si>
  <si>
    <t>Mão de obra para tratamento de ralos</t>
  </si>
  <si>
    <t>9.2.3</t>
  </si>
  <si>
    <t>Mão de obra impermeabilizações cimenticias</t>
  </si>
  <si>
    <t>9.2.4</t>
  </si>
  <si>
    <t>Mão de obra impermeabilizações com manta asfáltica</t>
  </si>
  <si>
    <t>9.2.5</t>
  </si>
  <si>
    <t>Mão de obra impermeabilizações de peitoril</t>
  </si>
  <si>
    <t>9.2.6</t>
  </si>
  <si>
    <t>Mão de obra para proteção mecânica</t>
  </si>
  <si>
    <t>9.2.7</t>
  </si>
  <si>
    <t>REVESTIMENTOS INTERNOS EM PISO E PAREDE (argamassados)</t>
  </si>
  <si>
    <t>10.1.6</t>
  </si>
  <si>
    <t>Mão de obra para execução de piso alisado</t>
  </si>
  <si>
    <t>10.1.7</t>
  </si>
  <si>
    <t>Mão de obra para execução de piso ranhurado</t>
  </si>
  <si>
    <t>10.1.8</t>
  </si>
  <si>
    <t>Mão de obra para execução de contrapiso comum e acústico (manta)</t>
  </si>
  <si>
    <t>Custo para execução de todo o serviço de contrapiso, comum e acústico, com custo médio de R$ 27,50/m² de piso</t>
  </si>
  <si>
    <t>Apeas material</t>
  </si>
  <si>
    <t>Custo estimado com índices históricos para prever acabamento nessas regiões</t>
  </si>
  <si>
    <t>10.2.3</t>
  </si>
  <si>
    <t>Mão de obra para execução de chapisco e reboco</t>
  </si>
  <si>
    <t>Custo para execução de todo o serviço de chapisco e reboco, com custo médio de R$ 38,50/m² de piso</t>
  </si>
  <si>
    <t>Mão de obra para estucamento</t>
  </si>
  <si>
    <t>12.1.4</t>
  </si>
  <si>
    <t>Tratamento de estrutura de concreto para fechamento de poros e posterior pintura/textura</t>
  </si>
  <si>
    <t>11.3</t>
  </si>
  <si>
    <t>11.3.1</t>
  </si>
  <si>
    <t>Mão de obra para assentamento de porcelanato</t>
  </si>
  <si>
    <t>11.3.2</t>
  </si>
  <si>
    <t>Mão de obra para assentamento de pastilhas</t>
  </si>
  <si>
    <t>11.3.3</t>
  </si>
  <si>
    <t>Mão de obra para colocação de paver</t>
  </si>
  <si>
    <t>11.3.4</t>
  </si>
  <si>
    <t>Mão de obra para coocação de rodapés</t>
  </si>
  <si>
    <t>11.3.5</t>
  </si>
  <si>
    <t>Mão de obra colocação de soleiras e peitoris</t>
  </si>
  <si>
    <t>11.3.6</t>
  </si>
  <si>
    <t>Mão de obra para assentamento de azulejo em paredes</t>
  </si>
  <si>
    <t>Custo de serviço completo, incluindo material e mão de obra</t>
  </si>
  <si>
    <t>Custo distribuído entre poliestireno e porcelanato através de índices</t>
  </si>
  <si>
    <t>13.2</t>
  </si>
  <si>
    <t>13.2.1</t>
  </si>
  <si>
    <t>Mão de obra de pintura de piso epoxi</t>
  </si>
  <si>
    <t>13.2.2</t>
  </si>
  <si>
    <t>Mão de obra de pintura de piso acrílico</t>
  </si>
  <si>
    <t>13.2.3</t>
  </si>
  <si>
    <t>Mão de obra de pintura parede de escadas e garagens</t>
  </si>
  <si>
    <t>13.2.4</t>
  </si>
  <si>
    <t>Mão de obra de pintura de paredes internas</t>
  </si>
  <si>
    <t>14.4</t>
  </si>
  <si>
    <t>14.4.1</t>
  </si>
  <si>
    <t>Mão de obra para instalação de portas de madeira</t>
  </si>
  <si>
    <t>Previsão de pintura para demarcação de vagas de garagem</t>
  </si>
  <si>
    <t>Parede e teto</t>
  </si>
  <si>
    <t>Custo prevendo material e mão de obra para execução</t>
  </si>
  <si>
    <t>Previsão complementar de possívies itens como bicicletário, alçapões, escadas marinheiro, etc.</t>
  </si>
  <si>
    <t>Contemplação de materiais de calhas, rufos e contra-rufos</t>
  </si>
  <si>
    <t>15.4</t>
  </si>
  <si>
    <t>15.4.1</t>
  </si>
  <si>
    <t>Mão de obra para execução de chapisco e reboco externo</t>
  </si>
  <si>
    <t>15.4.2</t>
  </si>
  <si>
    <t>Mão de obra de textura de parede externa</t>
  </si>
  <si>
    <t>Textura</t>
  </si>
  <si>
    <t>Ligações definitivas + melhoria de rede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</si>
</sst>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_-;\-* #,##0.00_-;_-* &quot;-&quot;??_-;_-@"/>
    <numFmt numFmtId="165" formatCode="dd&quot;/&quot;mm&quot;/&quot;yyyy"/>
  </numFmts>
  <fonts count="36" x14ac:knownFonts="1">
    <font>
      <sz val="10"/>
      <color rgb="FF000000"/>
      <name val="Arial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b/>
      <sz val="8"/>
      <color rgb="FF002060"/>
      <name val="Poppins"/>
    </font>
    <font>
      <sz val="8"/>
      <color theme="1"/>
      <name val="Calibri"/>
      <family val="2"/>
    </font>
    <font>
      <sz val="8"/>
      <color theme="1"/>
      <name val="Poppins"/>
    </font>
    <font>
      <sz val="11"/>
      <color theme="1"/>
      <name val="Arial"/>
      <family val="2"/>
    </font>
    <font>
      <b/>
      <sz val="8"/>
      <color rgb="FF121212"/>
      <name val="Poppins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name val="Poppins"/>
    </font>
    <font>
      <sz val="10"/>
      <name val="Roboto"/>
    </font>
    <font>
      <sz val="10"/>
      <color rgb="FF000000"/>
      <name val="Poppins"/>
    </font>
    <font>
      <b/>
      <sz val="11"/>
      <color theme="0"/>
      <name val="Poppins"/>
    </font>
    <font>
      <sz val="11"/>
      <color rgb="FF010000"/>
      <name val="Poppins"/>
    </font>
    <font>
      <b/>
      <sz val="11"/>
      <color theme="1"/>
      <name val="Poppins"/>
    </font>
    <font>
      <sz val="11"/>
      <color rgb="FF000000"/>
      <name val="Poppins"/>
    </font>
    <font>
      <b/>
      <sz val="11"/>
      <color rgb="FF000000"/>
      <name val="Poppins"/>
    </font>
    <font>
      <sz val="11"/>
      <name val="Poppins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737373"/>
        <bgColor rgb="FF737373"/>
      </patternFill>
    </fill>
  </fills>
  <borders count="11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25" fillId="0" borderId="0" applyFont="0" applyFill="0" applyBorder="0" applyAlignment="0" applyProtection="0"/>
    <xf numFmtId="0" fontId="6" fillId="0" borderId="57"/>
  </cellStyleXfs>
  <cellXfs count="29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/>
    <xf numFmtId="0" fontId="4" fillId="0" borderId="0" xfId="0" applyFont="1"/>
    <xf numFmtId="0" fontId="1" fillId="2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/>
    <xf numFmtId="0" fontId="7" fillId="3" borderId="10" xfId="0" applyFont="1" applyFill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 wrapText="1"/>
    </xf>
    <xf numFmtId="164" fontId="7" fillId="3" borderId="11" xfId="0" applyNumberFormat="1" applyFont="1" applyFill="1" applyBorder="1" applyAlignment="1">
      <alignment horizontal="center" vertical="center" wrapText="1"/>
    </xf>
    <xf numFmtId="0" fontId="3" fillId="3" borderId="12" xfId="0" applyFont="1" applyFill="1" applyBorder="1"/>
    <xf numFmtId="0" fontId="2" fillId="3" borderId="10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left" vertical="center" wrapText="1"/>
    </xf>
    <xf numFmtId="0" fontId="8" fillId="3" borderId="12" xfId="0" applyFont="1" applyFill="1" applyBorder="1"/>
    <xf numFmtId="0" fontId="9" fillId="3" borderId="10" xfId="0" applyFont="1" applyFill="1" applyBorder="1"/>
    <xf numFmtId="0" fontId="10" fillId="6" borderId="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 wrapText="1"/>
    </xf>
    <xf numFmtId="164" fontId="10" fillId="6" borderId="14" xfId="0" applyNumberFormat="1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vertical="center" wrapText="1"/>
    </xf>
    <xf numFmtId="164" fontId="9" fillId="3" borderId="16" xfId="0" applyNumberFormat="1" applyFont="1" applyFill="1" applyBorder="1" applyAlignment="1">
      <alignment horizontal="center" vertical="center" wrapText="1"/>
    </xf>
    <xf numFmtId="164" fontId="9" fillId="3" borderId="17" xfId="0" applyNumberFormat="1" applyFont="1" applyFill="1" applyBorder="1" applyAlignment="1">
      <alignment vertical="center" wrapText="1"/>
    </xf>
    <xf numFmtId="0" fontId="9" fillId="3" borderId="18" xfId="0" applyFont="1" applyFill="1" applyBorder="1" applyAlignment="1">
      <alignment vertical="center" wrapText="1"/>
    </xf>
    <xf numFmtId="164" fontId="9" fillId="3" borderId="19" xfId="0" applyNumberFormat="1" applyFont="1" applyFill="1" applyBorder="1" applyAlignment="1">
      <alignment horizontal="center" vertical="center" wrapText="1"/>
    </xf>
    <xf numFmtId="164" fontId="9" fillId="3" borderId="20" xfId="0" applyNumberFormat="1" applyFont="1" applyFill="1" applyBorder="1" applyAlignment="1">
      <alignment vertical="center" wrapText="1"/>
    </xf>
    <xf numFmtId="0" fontId="9" fillId="3" borderId="21" xfId="0" applyFont="1" applyFill="1" applyBorder="1" applyAlignment="1">
      <alignment vertical="center" wrapText="1"/>
    </xf>
    <xf numFmtId="164" fontId="9" fillId="3" borderId="22" xfId="0" applyNumberFormat="1" applyFont="1" applyFill="1" applyBorder="1" applyAlignment="1">
      <alignment horizontal="center" vertical="center" wrapText="1"/>
    </xf>
    <xf numFmtId="164" fontId="9" fillId="3" borderId="23" xfId="0" applyNumberFormat="1" applyFont="1" applyFill="1" applyBorder="1" applyAlignment="1">
      <alignment vertical="center" wrapText="1"/>
    </xf>
    <xf numFmtId="0" fontId="8" fillId="3" borderId="24" xfId="0" applyFont="1" applyFill="1" applyBorder="1"/>
    <xf numFmtId="0" fontId="8" fillId="3" borderId="25" xfId="0" applyFont="1" applyFill="1" applyBorder="1" applyAlignment="1">
      <alignment horizontal="center"/>
    </xf>
    <xf numFmtId="164" fontId="8" fillId="3" borderId="25" xfId="0" applyNumberFormat="1" applyFont="1" applyFill="1" applyBorder="1" applyAlignment="1">
      <alignment horizontal="center"/>
    </xf>
    <xf numFmtId="0" fontId="8" fillId="3" borderId="26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27" xfId="0" applyFont="1" applyFill="1" applyBorder="1"/>
    <xf numFmtId="0" fontId="8" fillId="3" borderId="28" xfId="0" applyFont="1" applyFill="1" applyBorder="1" applyAlignment="1">
      <alignment horizontal="center"/>
    </xf>
    <xf numFmtId="164" fontId="8" fillId="3" borderId="28" xfId="0" applyNumberFormat="1" applyFont="1" applyFill="1" applyBorder="1" applyAlignment="1">
      <alignment horizontal="center"/>
    </xf>
    <xf numFmtId="0" fontId="9" fillId="3" borderId="28" xfId="0" applyFont="1" applyFill="1" applyBorder="1" applyAlignment="1">
      <alignment horizontal="center"/>
    </xf>
    <xf numFmtId="0" fontId="8" fillId="3" borderId="29" xfId="0" applyFont="1" applyFill="1" applyBorder="1"/>
    <xf numFmtId="0" fontId="8" fillId="3" borderId="11" xfId="0" applyFont="1" applyFill="1" applyBorder="1" applyAlignment="1">
      <alignment horizontal="center"/>
    </xf>
    <xf numFmtId="164" fontId="8" fillId="3" borderId="11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10" fillId="7" borderId="30" xfId="0" applyFont="1" applyFill="1" applyBorder="1" applyAlignment="1">
      <alignment vertical="center" wrapText="1"/>
    </xf>
    <xf numFmtId="164" fontId="10" fillId="7" borderId="31" xfId="0" applyNumberFormat="1" applyFont="1" applyFill="1" applyBorder="1" applyAlignment="1">
      <alignment horizontal="center" vertical="center" wrapText="1"/>
    </xf>
    <xf numFmtId="164" fontId="10" fillId="7" borderId="32" xfId="0" applyNumberFormat="1" applyFont="1" applyFill="1" applyBorder="1" applyAlignment="1">
      <alignment vertical="center" wrapText="1"/>
    </xf>
    <xf numFmtId="0" fontId="8" fillId="3" borderId="10" xfId="0" applyFont="1" applyFill="1" applyBorder="1"/>
    <xf numFmtId="0" fontId="9" fillId="3" borderId="33" xfId="0" applyFont="1" applyFill="1" applyBorder="1" applyAlignment="1">
      <alignment vertical="center" wrapText="1"/>
    </xf>
    <xf numFmtId="164" fontId="9" fillId="3" borderId="34" xfId="0" applyNumberFormat="1" applyFont="1" applyFill="1" applyBorder="1" applyAlignment="1">
      <alignment horizontal="center" vertical="center" wrapText="1"/>
    </xf>
    <xf numFmtId="164" fontId="9" fillId="3" borderId="35" xfId="0" applyNumberFormat="1" applyFont="1" applyFill="1" applyBorder="1" applyAlignment="1">
      <alignment vertical="center" wrapText="1"/>
    </xf>
    <xf numFmtId="0" fontId="10" fillId="7" borderId="4" xfId="0" applyFont="1" applyFill="1" applyBorder="1" applyAlignment="1">
      <alignment vertical="center" wrapText="1"/>
    </xf>
    <xf numFmtId="164" fontId="10" fillId="7" borderId="36" xfId="0" applyNumberFormat="1" applyFont="1" applyFill="1" applyBorder="1" applyAlignment="1">
      <alignment horizontal="center" vertical="center" wrapText="1"/>
    </xf>
    <xf numFmtId="164" fontId="10" fillId="7" borderId="37" xfId="0" applyNumberFormat="1" applyFont="1" applyFill="1" applyBorder="1" applyAlignment="1">
      <alignment vertical="center" wrapText="1"/>
    </xf>
    <xf numFmtId="164" fontId="9" fillId="3" borderId="11" xfId="0" applyNumberFormat="1" applyFont="1" applyFill="1" applyBorder="1" applyAlignment="1">
      <alignment horizontal="center"/>
    </xf>
    <xf numFmtId="0" fontId="9" fillId="3" borderId="12" xfId="0" applyFont="1" applyFill="1" applyBorder="1"/>
    <xf numFmtId="0" fontId="12" fillId="0" borderId="0" xfId="0" applyFont="1"/>
    <xf numFmtId="0" fontId="10" fillId="6" borderId="3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 wrapText="1"/>
    </xf>
    <xf numFmtId="164" fontId="10" fillId="6" borderId="40" xfId="0" applyNumberFormat="1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vertical="center" wrapText="1"/>
    </xf>
    <xf numFmtId="164" fontId="10" fillId="7" borderId="34" xfId="0" applyNumberFormat="1" applyFont="1" applyFill="1" applyBorder="1" applyAlignment="1">
      <alignment horizontal="center" vertical="center" wrapText="1"/>
    </xf>
    <xf numFmtId="164" fontId="10" fillId="7" borderId="35" xfId="0" applyNumberFormat="1" applyFont="1" applyFill="1" applyBorder="1" applyAlignment="1">
      <alignment vertical="center" wrapText="1"/>
    </xf>
    <xf numFmtId="0" fontId="9" fillId="3" borderId="25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164" fontId="3" fillId="3" borderId="11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164" fontId="9" fillId="3" borderId="17" xfId="0" applyNumberFormat="1" applyFont="1" applyFill="1" applyBorder="1" applyAlignment="1">
      <alignment horizontal="center" vertical="center" wrapText="1"/>
    </xf>
    <xf numFmtId="164" fontId="9" fillId="8" borderId="35" xfId="0" applyNumberFormat="1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vertical="center" wrapText="1"/>
    </xf>
    <xf numFmtId="164" fontId="15" fillId="3" borderId="16" xfId="0" applyNumberFormat="1" applyFont="1" applyFill="1" applyBorder="1" applyAlignment="1">
      <alignment horizontal="center" vertical="center" wrapText="1"/>
    </xf>
    <xf numFmtId="164" fontId="15" fillId="3" borderId="17" xfId="0" applyNumberFormat="1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vertical="center" wrapText="1"/>
    </xf>
    <xf numFmtId="164" fontId="15" fillId="3" borderId="34" xfId="0" applyNumberFormat="1" applyFont="1" applyFill="1" applyBorder="1" applyAlignment="1">
      <alignment horizontal="center" vertical="center" wrapText="1"/>
    </xf>
    <xf numFmtId="164" fontId="15" fillId="3" borderId="35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/>
    <xf numFmtId="0" fontId="9" fillId="3" borderId="41" xfId="0" applyFont="1" applyFill="1" applyBorder="1" applyAlignment="1">
      <alignment vertical="center" wrapText="1"/>
    </xf>
    <xf numFmtId="164" fontId="9" fillId="3" borderId="42" xfId="0" applyNumberFormat="1" applyFont="1" applyFill="1" applyBorder="1" applyAlignment="1">
      <alignment horizontal="center" vertical="center" wrapText="1"/>
    </xf>
    <xf numFmtId="164" fontId="9" fillId="3" borderId="43" xfId="0" applyNumberFormat="1" applyFont="1" applyFill="1" applyBorder="1" applyAlignment="1">
      <alignment horizontal="center" vertical="center" wrapText="1"/>
    </xf>
    <xf numFmtId="0" fontId="14" fillId="3" borderId="44" xfId="0" applyFont="1" applyFill="1" applyBorder="1"/>
    <xf numFmtId="0" fontId="9" fillId="3" borderId="4" xfId="0" applyFont="1" applyFill="1" applyBorder="1" applyAlignment="1">
      <alignment vertical="center" wrapText="1"/>
    </xf>
    <xf numFmtId="164" fontId="9" fillId="3" borderId="36" xfId="0" applyNumberFormat="1" applyFont="1" applyFill="1" applyBorder="1" applyAlignment="1">
      <alignment horizontal="center" vertical="center" wrapText="1"/>
    </xf>
    <xf numFmtId="164" fontId="9" fillId="3" borderId="37" xfId="0" applyNumberFormat="1" applyFont="1" applyFill="1" applyBorder="1" applyAlignment="1">
      <alignment horizontal="center" vertical="center" wrapText="1"/>
    </xf>
    <xf numFmtId="0" fontId="9" fillId="3" borderId="45" xfId="0" applyFont="1" applyFill="1" applyBorder="1"/>
    <xf numFmtId="0" fontId="14" fillId="3" borderId="12" xfId="0" applyFont="1" applyFill="1" applyBorder="1"/>
    <xf numFmtId="0" fontId="14" fillId="3" borderId="10" xfId="0" applyFont="1" applyFill="1" applyBorder="1"/>
    <xf numFmtId="0" fontId="9" fillId="3" borderId="46" xfId="0" applyFont="1" applyFill="1" applyBorder="1" applyAlignment="1">
      <alignment vertical="center" wrapText="1"/>
    </xf>
    <xf numFmtId="164" fontId="9" fillId="3" borderId="47" xfId="0" applyNumberFormat="1" applyFont="1" applyFill="1" applyBorder="1" applyAlignment="1">
      <alignment horizontal="center" vertical="center" wrapText="1"/>
    </xf>
    <xf numFmtId="164" fontId="9" fillId="3" borderId="48" xfId="0" applyNumberFormat="1" applyFont="1" applyFill="1" applyBorder="1" applyAlignment="1">
      <alignment horizontal="center" vertical="center" wrapText="1"/>
    </xf>
    <xf numFmtId="0" fontId="14" fillId="3" borderId="11" xfId="0" applyFont="1" applyFill="1" applyBorder="1"/>
    <xf numFmtId="0" fontId="10" fillId="6" borderId="14" xfId="0" applyFont="1" applyFill="1" applyBorder="1" applyAlignment="1">
      <alignment horizontal="center" vertical="center" wrapText="1"/>
    </xf>
    <xf numFmtId="164" fontId="10" fillId="9" borderId="53" xfId="0" applyNumberFormat="1" applyFont="1" applyFill="1" applyBorder="1" applyAlignment="1">
      <alignment horizontal="center" vertical="center" wrapText="1"/>
    </xf>
    <xf numFmtId="0" fontId="9" fillId="3" borderId="54" xfId="0" applyFont="1" applyFill="1" applyBorder="1" applyAlignment="1">
      <alignment vertical="center" wrapText="1"/>
    </xf>
    <xf numFmtId="0" fontId="14" fillId="0" borderId="55" xfId="0" applyFont="1" applyBorder="1"/>
    <xf numFmtId="0" fontId="14" fillId="0" borderId="56" xfId="0" applyFont="1" applyBorder="1"/>
    <xf numFmtId="0" fontId="14" fillId="3" borderId="24" xfId="0" applyFont="1" applyFill="1" applyBorder="1"/>
    <xf numFmtId="0" fontId="14" fillId="3" borderId="25" xfId="0" applyFont="1" applyFill="1" applyBorder="1"/>
    <xf numFmtId="0" fontId="14" fillId="3" borderId="26" xfId="0" applyFont="1" applyFill="1" applyBorder="1"/>
    <xf numFmtId="0" fontId="17" fillId="0" borderId="0" xfId="0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18" fillId="2" borderId="11" xfId="0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vertical="center"/>
    </xf>
    <xf numFmtId="49" fontId="19" fillId="5" borderId="4" xfId="0" applyNumberFormat="1" applyFont="1" applyFill="1" applyBorder="1" applyAlignment="1">
      <alignment vertical="center"/>
    </xf>
    <xf numFmtId="49" fontId="19" fillId="5" borderId="30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9" fillId="5" borderId="49" xfId="0" applyFont="1" applyFill="1" applyBorder="1" applyAlignment="1">
      <alignment horizontal="center" vertical="center" wrapText="1"/>
    </xf>
    <xf numFmtId="164" fontId="19" fillId="5" borderId="49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1" fillId="8" borderId="75" xfId="0" applyFont="1" applyFill="1" applyBorder="1" applyAlignment="1">
      <alignment horizontal="left" vertical="center" wrapText="1"/>
    </xf>
    <xf numFmtId="0" fontId="21" fillId="8" borderId="76" xfId="0" applyFont="1" applyFill="1" applyBorder="1" applyAlignment="1">
      <alignment horizontal="left" vertical="center" wrapText="1"/>
    </xf>
    <xf numFmtId="164" fontId="21" fillId="8" borderId="76" xfId="0" applyNumberFormat="1" applyFont="1" applyFill="1" applyBorder="1" applyAlignment="1">
      <alignment horizontal="right" vertical="center" wrapText="1"/>
    </xf>
    <xf numFmtId="164" fontId="21" fillId="8" borderId="77" xfId="0" applyNumberFormat="1" applyFont="1" applyFill="1" applyBorder="1" applyAlignment="1">
      <alignment horizontal="right" vertical="center" wrapText="1"/>
    </xf>
    <xf numFmtId="3" fontId="21" fillId="11" borderId="78" xfId="0" applyNumberFormat="1" applyFont="1" applyFill="1" applyBorder="1" applyAlignment="1">
      <alignment horizontal="left" vertical="center" wrapText="1"/>
    </xf>
    <xf numFmtId="0" fontId="21" fillId="11" borderId="79" xfId="0" applyFont="1" applyFill="1" applyBorder="1" applyAlignment="1">
      <alignment horizontal="left" vertical="center" wrapText="1"/>
    </xf>
    <xf numFmtId="164" fontId="21" fillId="11" borderId="79" xfId="0" applyNumberFormat="1" applyFont="1" applyFill="1" applyBorder="1" applyAlignment="1">
      <alignment horizontal="right" vertical="center" wrapText="1"/>
    </xf>
    <xf numFmtId="164" fontId="21" fillId="11" borderId="80" xfId="0" applyNumberFormat="1" applyFont="1" applyFill="1" applyBorder="1" applyAlignment="1">
      <alignment horizontal="right" vertical="center" wrapText="1"/>
    </xf>
    <xf numFmtId="0" fontId="21" fillId="12" borderId="78" xfId="0" applyFont="1" applyFill="1" applyBorder="1" applyAlignment="1">
      <alignment horizontal="left" vertical="center" wrapText="1"/>
    </xf>
    <xf numFmtId="0" fontId="21" fillId="12" borderId="79" xfId="0" applyFont="1" applyFill="1" applyBorder="1" applyAlignment="1">
      <alignment horizontal="left" vertical="center" wrapText="1"/>
    </xf>
    <xf numFmtId="164" fontId="21" fillId="12" borderId="79" xfId="0" applyNumberFormat="1" applyFont="1" applyFill="1" applyBorder="1" applyAlignment="1">
      <alignment horizontal="right" vertical="center" wrapText="1"/>
    </xf>
    <xf numFmtId="164" fontId="21" fillId="12" borderId="80" xfId="0" applyNumberFormat="1" applyFont="1" applyFill="1" applyBorder="1" applyAlignment="1">
      <alignment horizontal="right" vertical="center" wrapText="1"/>
    </xf>
    <xf numFmtId="164" fontId="20" fillId="12" borderId="80" xfId="0" applyNumberFormat="1" applyFont="1" applyFill="1" applyBorder="1" applyAlignment="1">
      <alignment horizontal="right" vertical="center" wrapText="1"/>
    </xf>
    <xf numFmtId="49" fontId="21" fillId="12" borderId="78" xfId="0" applyNumberFormat="1" applyFont="1" applyFill="1" applyBorder="1" applyAlignment="1">
      <alignment horizontal="left" vertical="center" wrapText="1"/>
    </xf>
    <xf numFmtId="49" fontId="21" fillId="8" borderId="78" xfId="0" applyNumberFormat="1" applyFont="1" applyFill="1" applyBorder="1" applyAlignment="1">
      <alignment horizontal="left" vertical="center" wrapText="1"/>
    </xf>
    <xf numFmtId="0" fontId="21" fillId="8" borderId="79" xfId="0" applyFont="1" applyFill="1" applyBorder="1" applyAlignment="1">
      <alignment horizontal="left" vertical="center" wrapText="1"/>
    </xf>
    <xf numFmtId="164" fontId="21" fillId="8" borderId="79" xfId="0" applyNumberFormat="1" applyFont="1" applyFill="1" applyBorder="1" applyAlignment="1">
      <alignment horizontal="right" vertical="center" wrapText="1"/>
    </xf>
    <xf numFmtId="164" fontId="21" fillId="8" borderId="80" xfId="0" applyNumberFormat="1" applyFont="1" applyFill="1" applyBorder="1" applyAlignment="1">
      <alignment horizontal="right" vertical="center" wrapText="1"/>
    </xf>
    <xf numFmtId="49" fontId="21" fillId="11" borderId="78" xfId="0" applyNumberFormat="1" applyFont="1" applyFill="1" applyBorder="1" applyAlignment="1">
      <alignment horizontal="left" vertical="center" wrapText="1"/>
    </xf>
    <xf numFmtId="49" fontId="22" fillId="0" borderId="78" xfId="0" applyNumberFormat="1" applyFont="1" applyBorder="1" applyAlignment="1">
      <alignment horizontal="left" vertical="center" wrapText="1"/>
    </xf>
    <xf numFmtId="0" fontId="22" fillId="0" borderId="79" xfId="0" applyFont="1" applyBorder="1" applyAlignment="1">
      <alignment horizontal="left" vertical="center" wrapText="1"/>
    </xf>
    <xf numFmtId="164" fontId="18" fillId="0" borderId="79" xfId="0" applyNumberFormat="1" applyFont="1" applyBorder="1" applyAlignment="1">
      <alignment horizontal="right" vertical="center" wrapText="1"/>
    </xf>
    <xf numFmtId="164" fontId="22" fillId="0" borderId="79" xfId="0" applyNumberFormat="1" applyFont="1" applyBorder="1" applyAlignment="1">
      <alignment horizontal="right" vertical="center" wrapText="1"/>
    </xf>
    <xf numFmtId="164" fontId="18" fillId="0" borderId="80" xfId="0" applyNumberFormat="1" applyFont="1" applyBorder="1" applyAlignment="1">
      <alignment horizontal="right" vertical="center" wrapText="1"/>
    </xf>
    <xf numFmtId="0" fontId="18" fillId="0" borderId="79" xfId="0" applyFont="1" applyBorder="1" applyAlignment="1">
      <alignment horizontal="left" vertical="center" wrapText="1"/>
    </xf>
    <xf numFmtId="164" fontId="22" fillId="0" borderId="80" xfId="0" applyNumberFormat="1" applyFont="1" applyBorder="1" applyAlignment="1">
      <alignment horizontal="right" vertical="center" wrapText="1"/>
    </xf>
    <xf numFmtId="164" fontId="23" fillId="12" borderId="79" xfId="0" applyNumberFormat="1" applyFont="1" applyFill="1" applyBorder="1" applyAlignment="1">
      <alignment horizontal="right" vertical="center" wrapText="1"/>
    </xf>
    <xf numFmtId="164" fontId="21" fillId="11" borderId="84" xfId="0" applyNumberFormat="1" applyFont="1" applyFill="1" applyBorder="1" applyAlignment="1">
      <alignment horizontal="right" vertical="center" wrapText="1"/>
    </xf>
    <xf numFmtId="164" fontId="13" fillId="3" borderId="20" xfId="0" applyNumberFormat="1" applyFont="1" applyFill="1" applyBorder="1" applyAlignment="1">
      <alignment vertical="center" wrapText="1"/>
    </xf>
    <xf numFmtId="0" fontId="2" fillId="3" borderId="68" xfId="0" applyFont="1" applyFill="1" applyBorder="1" applyAlignment="1">
      <alignment horizontal="left" vertical="center" wrapText="1"/>
    </xf>
    <xf numFmtId="0" fontId="2" fillId="3" borderId="59" xfId="0" applyFont="1" applyFill="1" applyBorder="1" applyAlignment="1">
      <alignment horizontal="left" vertical="center" wrapText="1"/>
    </xf>
    <xf numFmtId="164" fontId="9" fillId="3" borderId="88" xfId="0" applyNumberFormat="1" applyFont="1" applyFill="1" applyBorder="1" applyAlignment="1">
      <alignment horizontal="center" vertical="center" wrapText="1"/>
    </xf>
    <xf numFmtId="164" fontId="9" fillId="3" borderId="89" xfId="0" applyNumberFormat="1" applyFont="1" applyFill="1" applyBorder="1" applyAlignment="1">
      <alignment horizontal="center" vertical="center" wrapText="1"/>
    </xf>
    <xf numFmtId="164" fontId="9" fillId="3" borderId="90" xfId="0" applyNumberFormat="1" applyFont="1" applyFill="1" applyBorder="1" applyAlignment="1">
      <alignment horizontal="center" vertical="center" wrapText="1"/>
    </xf>
    <xf numFmtId="164" fontId="9" fillId="3" borderId="91" xfId="0" applyNumberFormat="1" applyFont="1" applyFill="1" applyBorder="1" applyAlignment="1">
      <alignment horizontal="center" vertical="center" wrapText="1"/>
    </xf>
    <xf numFmtId="0" fontId="8" fillId="3" borderId="55" xfId="0" applyFont="1" applyFill="1" applyBorder="1"/>
    <xf numFmtId="0" fontId="9" fillId="3" borderId="57" xfId="0" applyFont="1" applyFill="1" applyBorder="1" applyAlignment="1">
      <alignment horizontal="center"/>
    </xf>
    <xf numFmtId="0" fontId="8" fillId="3" borderId="58" xfId="0" applyFont="1" applyFill="1" applyBorder="1"/>
    <xf numFmtId="0" fontId="8" fillId="3" borderId="57" xfId="0" applyFont="1" applyFill="1" applyBorder="1" applyAlignment="1">
      <alignment horizontal="center"/>
    </xf>
    <xf numFmtId="164" fontId="8" fillId="3" borderId="57" xfId="0" applyNumberFormat="1" applyFont="1" applyFill="1" applyBorder="1" applyAlignment="1">
      <alignment horizontal="center"/>
    </xf>
    <xf numFmtId="0" fontId="22" fillId="0" borderId="92" xfId="0" applyFont="1" applyBorder="1" applyAlignment="1">
      <alignment horizontal="left" vertical="center" wrapText="1"/>
    </xf>
    <xf numFmtId="164" fontId="18" fillId="0" borderId="92" xfId="0" applyNumberFormat="1" applyFont="1" applyBorder="1" applyAlignment="1">
      <alignment horizontal="right" vertical="center" wrapText="1"/>
    </xf>
    <xf numFmtId="49" fontId="22" fillId="0" borderId="93" xfId="2" applyNumberFormat="1" applyFont="1" applyBorder="1" applyAlignment="1">
      <alignment horizontal="left" vertical="center" wrapText="1"/>
    </xf>
    <xf numFmtId="0" fontId="22" fillId="0" borderId="94" xfId="2" applyFont="1" applyBorder="1" applyAlignment="1">
      <alignment horizontal="left" vertical="center" wrapText="1"/>
    </xf>
    <xf numFmtId="43" fontId="27" fillId="0" borderId="94" xfId="1" applyFont="1" applyFill="1" applyBorder="1" applyAlignment="1">
      <alignment horizontal="right" vertical="center" wrapText="1"/>
    </xf>
    <xf numFmtId="43" fontId="27" fillId="0" borderId="94" xfId="1" applyFont="1" applyFill="1" applyBorder="1" applyAlignment="1" applyProtection="1">
      <alignment horizontal="right" vertical="center" wrapText="1"/>
    </xf>
    <xf numFmtId="43" fontId="27" fillId="0" borderId="95" xfId="1" applyFont="1" applyFill="1" applyBorder="1" applyAlignment="1" applyProtection="1">
      <alignment horizontal="right" vertical="center" wrapText="1"/>
    </xf>
    <xf numFmtId="43" fontId="27" fillId="0" borderId="57" xfId="1" applyFont="1" applyFill="1" applyBorder="1" applyAlignment="1" applyProtection="1">
      <alignment horizontal="right" vertical="center" wrapText="1"/>
    </xf>
    <xf numFmtId="0" fontId="28" fillId="0" borderId="57" xfId="2" applyFont="1" applyAlignment="1">
      <alignment vertical="center"/>
    </xf>
    <xf numFmtId="4" fontId="28" fillId="0" borderId="57" xfId="2" applyNumberFormat="1" applyFont="1" applyAlignment="1">
      <alignment vertical="center"/>
    </xf>
    <xf numFmtId="49" fontId="18" fillId="0" borderId="98" xfId="0" applyNumberFormat="1" applyFont="1" applyBorder="1" applyAlignment="1">
      <alignment vertical="center"/>
    </xf>
    <xf numFmtId="0" fontId="18" fillId="2" borderId="57" xfId="0" applyFont="1" applyFill="1" applyBorder="1" applyAlignment="1">
      <alignment vertical="center"/>
    </xf>
    <xf numFmtId="164" fontId="18" fillId="2" borderId="57" xfId="0" applyNumberFormat="1" applyFont="1" applyFill="1" applyBorder="1" applyAlignment="1">
      <alignment vertical="center"/>
    </xf>
    <xf numFmtId="164" fontId="9" fillId="3" borderId="99" xfId="0" applyNumberFormat="1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6" fillId="0" borderId="9" xfId="0" applyFont="1" applyBorder="1"/>
    <xf numFmtId="0" fontId="5" fillId="5" borderId="7" xfId="0" applyFont="1" applyFill="1" applyBorder="1" applyAlignment="1">
      <alignment horizontal="center" vertical="center" wrapText="1"/>
    </xf>
    <xf numFmtId="0" fontId="10" fillId="9" borderId="50" xfId="0" applyFont="1" applyFill="1" applyBorder="1" applyAlignment="1">
      <alignment horizontal="center" vertical="center" wrapText="1"/>
    </xf>
    <xf numFmtId="0" fontId="6" fillId="0" borderId="51" xfId="0" applyFont="1" applyBorder="1"/>
    <xf numFmtId="0" fontId="6" fillId="0" borderId="52" xfId="0" applyFont="1" applyBorder="1"/>
    <xf numFmtId="0" fontId="26" fillId="0" borderId="51" xfId="0" applyFont="1" applyBorder="1"/>
    <xf numFmtId="0" fontId="26" fillId="0" borderId="52" xfId="0" applyFont="1" applyBorder="1"/>
    <xf numFmtId="0" fontId="19" fillId="10" borderId="50" xfId="0" applyFont="1" applyFill="1" applyBorder="1" applyAlignment="1">
      <alignment horizontal="center" vertical="center" wrapText="1"/>
    </xf>
    <xf numFmtId="0" fontId="6" fillId="0" borderId="74" xfId="0" applyFont="1" applyBorder="1"/>
    <xf numFmtId="0" fontId="21" fillId="11" borderId="81" xfId="0" applyFont="1" applyFill="1" applyBorder="1" applyAlignment="1">
      <alignment horizontal="right" vertical="center" wrapText="1"/>
    </xf>
    <xf numFmtId="0" fontId="6" fillId="0" borderId="82" xfId="0" applyFont="1" applyBorder="1"/>
    <xf numFmtId="0" fontId="6" fillId="0" borderId="83" xfId="0" applyFont="1" applyBorder="1"/>
    <xf numFmtId="0" fontId="16" fillId="0" borderId="60" xfId="0" applyFont="1" applyBorder="1" applyAlignment="1">
      <alignment horizontal="left" vertical="center" wrapText="1"/>
    </xf>
    <xf numFmtId="0" fontId="6" fillId="0" borderId="61" xfId="0" applyFont="1" applyBorder="1"/>
    <xf numFmtId="0" fontId="6" fillId="0" borderId="62" xfId="0" applyFont="1" applyBorder="1"/>
    <xf numFmtId="0" fontId="6" fillId="0" borderId="63" xfId="0" applyFont="1" applyBorder="1"/>
    <xf numFmtId="0" fontId="0" fillId="0" borderId="0" xfId="0"/>
    <xf numFmtId="0" fontId="6" fillId="0" borderId="64" xfId="0" applyFont="1" applyBorder="1"/>
    <xf numFmtId="0" fontId="6" fillId="0" borderId="65" xfId="0" applyFont="1" applyBorder="1"/>
    <xf numFmtId="0" fontId="6" fillId="0" borderId="66" xfId="0" applyFont="1" applyBorder="1"/>
    <xf numFmtId="0" fontId="6" fillId="0" borderId="67" xfId="0" applyFont="1" applyBorder="1"/>
    <xf numFmtId="0" fontId="20" fillId="0" borderId="68" xfId="0" applyFont="1" applyBorder="1" applyAlignment="1">
      <alignment horizontal="left" vertical="center"/>
    </xf>
    <xf numFmtId="0" fontId="6" fillId="0" borderId="69" xfId="0" applyFont="1" applyBorder="1"/>
    <xf numFmtId="0" fontId="6" fillId="0" borderId="70" xfId="0" applyFont="1" applyBorder="1"/>
    <xf numFmtId="0" fontId="20" fillId="0" borderId="59" xfId="0" applyFont="1" applyBorder="1" applyAlignment="1">
      <alignment horizontal="left" vertical="center"/>
    </xf>
    <xf numFmtId="165" fontId="20" fillId="0" borderId="59" xfId="0" applyNumberFormat="1" applyFont="1" applyBorder="1" applyAlignment="1">
      <alignment horizontal="left" vertical="center"/>
    </xf>
    <xf numFmtId="0" fontId="20" fillId="0" borderId="71" xfId="0" applyFont="1" applyBorder="1" applyAlignment="1">
      <alignment horizontal="left" vertical="center"/>
    </xf>
    <xf numFmtId="0" fontId="6" fillId="0" borderId="72" xfId="0" applyFont="1" applyBorder="1"/>
    <xf numFmtId="0" fontId="6" fillId="0" borderId="73" xfId="0" applyFont="1" applyBorder="1"/>
    <xf numFmtId="0" fontId="16" fillId="0" borderId="96" xfId="0" applyFont="1" applyBorder="1" applyAlignment="1">
      <alignment horizontal="left" vertical="center" wrapText="1"/>
    </xf>
    <xf numFmtId="0" fontId="16" fillId="0" borderId="97" xfId="0" applyFont="1" applyBorder="1" applyAlignment="1">
      <alignment horizontal="left" vertical="center" wrapText="1"/>
    </xf>
    <xf numFmtId="0" fontId="16" fillId="0" borderId="98" xfId="0" applyFont="1" applyBorder="1" applyAlignment="1">
      <alignment horizontal="left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100" xfId="0" applyFont="1" applyBorder="1" applyAlignment="1">
      <alignment horizontal="left" vertical="center" wrapText="1"/>
    </xf>
    <xf numFmtId="0" fontId="16" fillId="0" borderId="101" xfId="0" applyFont="1" applyBorder="1" applyAlignment="1">
      <alignment horizontal="left" vertical="center" wrapText="1"/>
    </xf>
    <xf numFmtId="0" fontId="29" fillId="0" borderId="0" xfId="0" applyFont="1"/>
    <xf numFmtId="49" fontId="19" fillId="5" borderId="102" xfId="0" applyNumberFormat="1" applyFont="1" applyFill="1" applyBorder="1" applyAlignment="1">
      <alignment vertical="center"/>
    </xf>
    <xf numFmtId="0" fontId="20" fillId="0" borderId="103" xfId="0" applyFont="1" applyBorder="1" applyAlignment="1">
      <alignment horizontal="left" vertical="center"/>
    </xf>
    <xf numFmtId="0" fontId="20" fillId="0" borderId="104" xfId="0" applyFont="1" applyBorder="1" applyAlignment="1">
      <alignment horizontal="left" vertical="center"/>
    </xf>
    <xf numFmtId="49" fontId="19" fillId="5" borderId="105" xfId="0" applyNumberFormat="1" applyFont="1" applyFill="1" applyBorder="1" applyAlignment="1">
      <alignment vertical="center"/>
    </xf>
    <xf numFmtId="0" fontId="20" fillId="0" borderId="106" xfId="0" applyFont="1" applyBorder="1" applyAlignment="1">
      <alignment horizontal="left" vertical="center"/>
    </xf>
    <xf numFmtId="0" fontId="20" fillId="0" borderId="107" xfId="0" applyFont="1" applyBorder="1" applyAlignment="1">
      <alignment horizontal="left" vertical="center"/>
    </xf>
    <xf numFmtId="165" fontId="20" fillId="0" borderId="106" xfId="0" applyNumberFormat="1" applyFont="1" applyBorder="1" applyAlignment="1">
      <alignment horizontal="left" vertical="center"/>
    </xf>
    <xf numFmtId="165" fontId="20" fillId="0" borderId="107" xfId="0" applyNumberFormat="1" applyFont="1" applyBorder="1" applyAlignment="1">
      <alignment horizontal="left" vertical="center"/>
    </xf>
    <xf numFmtId="49" fontId="19" fillId="5" borderId="108" xfId="0" applyNumberFormat="1" applyFont="1" applyFill="1" applyBorder="1" applyAlignment="1">
      <alignment horizontal="left" vertical="center"/>
    </xf>
    <xf numFmtId="0" fontId="20" fillId="0" borderId="109" xfId="0" applyFont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164" fontId="30" fillId="6" borderId="53" xfId="0" applyNumberFormat="1" applyFont="1" applyFill="1" applyBorder="1" applyAlignment="1">
      <alignment horizontal="center" vertical="center" wrapText="1"/>
    </xf>
    <xf numFmtId="164" fontId="31" fillId="3" borderId="20" xfId="0" applyNumberFormat="1" applyFont="1" applyFill="1" applyBorder="1" applyAlignment="1">
      <alignment vertical="center" wrapText="1"/>
    </xf>
    <xf numFmtId="164" fontId="30" fillId="5" borderId="37" xfId="0" applyNumberFormat="1" applyFont="1" applyFill="1" applyBorder="1" applyAlignment="1">
      <alignment vertical="center" wrapText="1"/>
    </xf>
    <xf numFmtId="164" fontId="32" fillId="13" borderId="14" xfId="0" applyNumberFormat="1" applyFont="1" applyFill="1" applyBorder="1" applyAlignment="1">
      <alignment vertical="center" wrapText="1"/>
    </xf>
    <xf numFmtId="0" fontId="30" fillId="6" borderId="85" xfId="0" applyFont="1" applyFill="1" applyBorder="1" applyAlignment="1">
      <alignment horizontal="center" vertical="center" wrapText="1"/>
    </xf>
    <xf numFmtId="0" fontId="30" fillId="6" borderId="8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left" vertical="center" wrapText="1"/>
    </xf>
    <xf numFmtId="164" fontId="30" fillId="5" borderId="14" xfId="0" applyNumberFormat="1" applyFont="1" applyFill="1" applyBorder="1" applyAlignment="1">
      <alignment horizontal="center" vertical="center" wrapText="1"/>
    </xf>
    <xf numFmtId="164" fontId="30" fillId="5" borderId="14" xfId="0" applyNumberFormat="1" applyFont="1" applyFill="1" applyBorder="1" applyAlignment="1">
      <alignment horizontal="right"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32" fillId="13" borderId="13" xfId="0" applyFont="1" applyFill="1" applyBorder="1" applyAlignment="1">
      <alignment horizontal="left" vertical="center" wrapText="1"/>
    </xf>
    <xf numFmtId="164" fontId="32" fillId="13" borderId="14" xfId="0" applyNumberFormat="1" applyFont="1" applyFill="1" applyBorder="1" applyAlignment="1">
      <alignment horizontal="center" vertical="center" wrapText="1"/>
    </xf>
    <xf numFmtId="164" fontId="32" fillId="13" borderId="14" xfId="0" applyNumberFormat="1" applyFont="1" applyFill="1" applyBorder="1" applyAlignment="1">
      <alignment horizontal="right" vertical="center" wrapText="1"/>
    </xf>
    <xf numFmtId="0" fontId="3" fillId="3" borderId="87" xfId="0" applyFont="1" applyFill="1" applyBorder="1" applyAlignment="1">
      <alignment horizontal="center" vertical="center" wrapText="1"/>
    </xf>
    <xf numFmtId="0" fontId="31" fillId="3" borderId="88" xfId="0" applyFont="1" applyFill="1" applyBorder="1" applyAlignment="1">
      <alignment horizontal="left" vertical="center" wrapText="1"/>
    </xf>
    <xf numFmtId="164" fontId="31" fillId="3" borderId="89" xfId="0" applyNumberFormat="1" applyFont="1" applyFill="1" applyBorder="1" applyAlignment="1">
      <alignment horizontal="center" vertical="center" wrapText="1"/>
    </xf>
    <xf numFmtId="164" fontId="31" fillId="3" borderId="89" xfId="0" applyNumberFormat="1" applyFont="1" applyFill="1" applyBorder="1" applyAlignment="1">
      <alignment horizontal="right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0" fillId="5" borderId="36" xfId="0" applyFont="1" applyFill="1" applyBorder="1" applyAlignment="1">
      <alignment horizontal="left" vertical="center" wrapText="1"/>
    </xf>
    <xf numFmtId="164" fontId="30" fillId="5" borderId="37" xfId="0" applyNumberFormat="1" applyFont="1" applyFill="1" applyBorder="1" applyAlignment="1">
      <alignment horizontal="center" vertical="center" wrapText="1"/>
    </xf>
    <xf numFmtId="164" fontId="30" fillId="5" borderId="37" xfId="0" applyNumberFormat="1" applyFont="1" applyFill="1" applyBorder="1" applyAlignment="1">
      <alignment horizontal="right" vertical="center" wrapText="1"/>
    </xf>
    <xf numFmtId="0" fontId="32" fillId="13" borderId="36" xfId="0" applyFont="1" applyFill="1" applyBorder="1" applyAlignment="1">
      <alignment horizontal="left" vertical="center" wrapText="1"/>
    </xf>
    <xf numFmtId="164" fontId="31" fillId="3" borderId="20" xfId="0" applyNumberFormat="1" applyFont="1" applyFill="1" applyBorder="1" applyAlignment="1">
      <alignment horizontal="center" vertical="center" wrapText="1"/>
    </xf>
    <xf numFmtId="164" fontId="31" fillId="3" borderId="20" xfId="0" applyNumberFormat="1" applyFont="1" applyFill="1" applyBorder="1" applyAlignment="1">
      <alignment horizontal="left" vertical="center" wrapText="1"/>
    </xf>
    <xf numFmtId="164" fontId="31" fillId="3" borderId="63" xfId="0" applyNumberFormat="1" applyFont="1" applyFill="1" applyBorder="1" applyAlignment="1">
      <alignment horizontal="left" vertical="center" wrapText="1"/>
    </xf>
    <xf numFmtId="164" fontId="31" fillId="3" borderId="91" xfId="0" applyNumberFormat="1" applyFont="1" applyFill="1" applyBorder="1" applyAlignment="1">
      <alignment horizontal="center" vertical="center" wrapText="1"/>
    </xf>
    <xf numFmtId="164" fontId="31" fillId="3" borderId="91" xfId="0" applyNumberFormat="1" applyFont="1" applyFill="1" applyBorder="1" applyAlignment="1">
      <alignment horizontal="left" vertical="center" wrapText="1"/>
    </xf>
    <xf numFmtId="0" fontId="32" fillId="13" borderId="4" xfId="0" applyFont="1" applyFill="1" applyBorder="1" applyAlignment="1">
      <alignment horizontal="center" vertical="center" wrapText="1"/>
    </xf>
    <xf numFmtId="164" fontId="32" fillId="13" borderId="37" xfId="0" applyNumberFormat="1" applyFont="1" applyFill="1" applyBorder="1" applyAlignment="1">
      <alignment horizontal="center" vertical="center" wrapText="1"/>
    </xf>
    <xf numFmtId="164" fontId="32" fillId="13" borderId="37" xfId="0" applyNumberFormat="1" applyFont="1" applyFill="1" applyBorder="1" applyAlignment="1">
      <alignment horizontal="right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left" vertical="center" wrapText="1"/>
    </xf>
    <xf numFmtId="164" fontId="31" fillId="3" borderId="20" xfId="0" applyNumberFormat="1" applyFont="1" applyFill="1" applyBorder="1" applyAlignment="1">
      <alignment horizontal="right" vertical="center" wrapText="1"/>
    </xf>
    <xf numFmtId="0" fontId="31" fillId="3" borderId="90" xfId="0" applyFont="1" applyFill="1" applyBorder="1" applyAlignment="1">
      <alignment horizontal="left" vertical="center" wrapText="1"/>
    </xf>
    <xf numFmtId="164" fontId="31" fillId="3" borderId="91" xfId="0" applyNumberFormat="1" applyFont="1" applyFill="1" applyBorder="1" applyAlignment="1">
      <alignment horizontal="right" vertical="center" wrapText="1"/>
    </xf>
    <xf numFmtId="0" fontId="31" fillId="3" borderId="18" xfId="0" applyFont="1" applyFill="1" applyBorder="1" applyAlignment="1">
      <alignment horizontal="center" vertical="center" wrapText="1"/>
    </xf>
    <xf numFmtId="164" fontId="3" fillId="3" borderId="20" xfId="0" applyNumberFormat="1" applyFont="1" applyFill="1" applyBorder="1" applyAlignment="1">
      <alignment horizontal="center" vertical="center" wrapText="1"/>
    </xf>
    <xf numFmtId="164" fontId="3" fillId="3" borderId="20" xfId="0" applyNumberFormat="1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horizontal="left" vertical="center" wrapText="1"/>
    </xf>
    <xf numFmtId="164" fontId="33" fillId="3" borderId="20" xfId="0" applyNumberFormat="1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vertical="center" wrapText="1"/>
    </xf>
    <xf numFmtId="0" fontId="33" fillId="3" borderId="19" xfId="0" applyFont="1" applyFill="1" applyBorder="1" applyAlignment="1">
      <alignment vertical="center" wrapText="1"/>
    </xf>
    <xf numFmtId="164" fontId="33" fillId="3" borderId="20" xfId="0" applyNumberFormat="1" applyFont="1" applyFill="1" applyBorder="1" applyAlignment="1">
      <alignment horizontal="center" vertical="center" wrapText="1"/>
    </xf>
    <xf numFmtId="0" fontId="34" fillId="13" borderId="36" xfId="0" applyFont="1" applyFill="1" applyBorder="1" applyAlignment="1">
      <alignment horizontal="left" vertical="center" wrapText="1"/>
    </xf>
    <xf numFmtId="164" fontId="34" fillId="13" borderId="37" xfId="0" applyNumberFormat="1" applyFont="1" applyFill="1" applyBorder="1" applyAlignment="1">
      <alignment horizontal="center" vertical="center" wrapText="1"/>
    </xf>
    <xf numFmtId="164" fontId="34" fillId="13" borderId="37" xfId="0" applyNumberFormat="1" applyFont="1" applyFill="1" applyBorder="1" applyAlignment="1">
      <alignment horizontal="right" vertical="center" wrapText="1"/>
    </xf>
    <xf numFmtId="164" fontId="3" fillId="0" borderId="20" xfId="0" applyNumberFormat="1" applyFont="1" applyBorder="1" applyAlignment="1">
      <alignment horizontal="center" vertical="center" wrapText="1"/>
    </xf>
    <xf numFmtId="164" fontId="3" fillId="0" borderId="20" xfId="0" applyNumberFormat="1" applyFont="1" applyBorder="1" applyAlignment="1">
      <alignment horizontal="right" vertical="center" wrapText="1"/>
    </xf>
    <xf numFmtId="0" fontId="33" fillId="3" borderId="90" xfId="0" applyFont="1" applyFill="1" applyBorder="1" applyAlignment="1">
      <alignment vertical="center" wrapText="1"/>
    </xf>
    <xf numFmtId="164" fontId="33" fillId="3" borderId="91" xfId="0" applyNumberFormat="1" applyFont="1" applyFill="1" applyBorder="1" applyAlignment="1">
      <alignment horizontal="center" vertical="center" wrapText="1"/>
    </xf>
    <xf numFmtId="164" fontId="33" fillId="3" borderId="91" xfId="0" applyNumberFormat="1" applyFont="1" applyFill="1" applyBorder="1" applyAlignment="1">
      <alignment horizontal="right" vertical="center" wrapText="1"/>
    </xf>
    <xf numFmtId="0" fontId="30" fillId="6" borderId="50" xfId="0" applyFont="1" applyFill="1" applyBorder="1" applyAlignment="1">
      <alignment horizontal="right" vertical="center" wrapText="1"/>
    </xf>
    <xf numFmtId="0" fontId="27" fillId="0" borderId="52" xfId="0" applyFont="1" applyBorder="1"/>
    <xf numFmtId="164" fontId="30" fillId="6" borderId="53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right" vertical="center" wrapText="1"/>
    </xf>
    <xf numFmtId="164" fontId="32" fillId="13" borderId="37" xfId="0" applyNumberFormat="1" applyFont="1" applyFill="1" applyBorder="1" applyAlignment="1">
      <alignment vertical="center" wrapText="1"/>
    </xf>
    <xf numFmtId="164" fontId="35" fillId="3" borderId="20" xfId="0" applyNumberFormat="1" applyFont="1" applyFill="1" applyBorder="1" applyAlignment="1">
      <alignment vertical="center" wrapText="1"/>
    </xf>
    <xf numFmtId="164" fontId="31" fillId="3" borderId="91" xfId="0" applyNumberFormat="1" applyFont="1" applyFill="1" applyBorder="1" applyAlignment="1">
      <alignment vertical="center" wrapText="1"/>
    </xf>
    <xf numFmtId="164" fontId="3" fillId="3" borderId="20" xfId="0" applyNumberFormat="1" applyFont="1" applyFill="1" applyBorder="1" applyAlignment="1">
      <alignment vertical="center" wrapText="1"/>
    </xf>
    <xf numFmtId="164" fontId="33" fillId="3" borderId="20" xfId="0" applyNumberFormat="1" applyFont="1" applyFill="1" applyBorder="1" applyAlignment="1">
      <alignment vertical="center" wrapText="1"/>
    </xf>
    <xf numFmtId="164" fontId="3" fillId="3" borderId="91" xfId="0" applyNumberFormat="1" applyFont="1" applyFill="1" applyBorder="1" applyAlignment="1">
      <alignment horizontal="center" vertical="center" wrapText="1"/>
    </xf>
    <xf numFmtId="164" fontId="3" fillId="3" borderId="91" xfId="0" applyNumberFormat="1" applyFont="1" applyFill="1" applyBorder="1" applyAlignment="1">
      <alignment horizontal="right" vertical="center" wrapText="1"/>
    </xf>
    <xf numFmtId="164" fontId="3" fillId="3" borderId="91" xfId="0" applyNumberFormat="1" applyFont="1" applyFill="1" applyBorder="1" applyAlignment="1">
      <alignment vertical="center" wrapText="1"/>
    </xf>
    <xf numFmtId="43" fontId="17" fillId="0" borderId="0" xfId="0" applyNumberFormat="1" applyFont="1" applyAlignment="1">
      <alignment vertical="center"/>
    </xf>
    <xf numFmtId="164" fontId="33" fillId="3" borderId="91" xfId="0" applyNumberFormat="1" applyFont="1" applyFill="1" applyBorder="1" applyAlignment="1">
      <alignment vertical="center" wrapText="1"/>
    </xf>
    <xf numFmtId="164" fontId="34" fillId="13" borderId="37" xfId="0" applyNumberFormat="1" applyFont="1" applyFill="1" applyBorder="1" applyAlignment="1">
      <alignment vertical="center" wrapText="1"/>
    </xf>
    <xf numFmtId="164" fontId="3" fillId="0" borderId="91" xfId="0" applyNumberFormat="1" applyFont="1" applyBorder="1" applyAlignment="1">
      <alignment horizontal="right" vertical="center" wrapText="1"/>
    </xf>
    <xf numFmtId="164" fontId="3" fillId="0" borderId="20" xfId="0" applyNumberFormat="1" applyFont="1" applyBorder="1" applyAlignment="1">
      <alignment vertical="center" wrapText="1"/>
    </xf>
    <xf numFmtId="164" fontId="3" fillId="0" borderId="91" xfId="0" applyNumberFormat="1" applyFont="1" applyBorder="1" applyAlignment="1">
      <alignment vertical="center" wrapText="1"/>
    </xf>
    <xf numFmtId="0" fontId="35" fillId="3" borderId="19" xfId="0" applyFont="1" applyFill="1" applyBorder="1" applyAlignment="1">
      <alignment vertical="center" wrapText="1"/>
    </xf>
  </cellXfs>
  <cellStyles count="3">
    <cellStyle name="Normal" xfId="0" builtinId="0"/>
    <cellStyle name="Normal 4" xfId="2" xr:uid="{54B89350-8089-4847-8F47-E5E3FB055734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573405</xdr:colOff>
      <xdr:row>1</xdr:row>
      <xdr:rowOff>125730</xdr:rowOff>
    </xdr:from>
    <xdr:ext cx="4800600" cy="3886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725025" y="308610"/>
          <a:ext cx="4800600" cy="38862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62150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5431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0</xdr:colOff>
      <xdr:row>63</xdr:row>
      <xdr:rowOff>0</xdr:rowOff>
    </xdr:from>
    <xdr:to>
      <xdr:col>14</xdr:col>
      <xdr:colOff>491490</xdr:colOff>
      <xdr:row>83</xdr:row>
      <xdr:rowOff>121920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02ECB2BA-21B7-00DC-C295-7F43CC195AC7}"/>
            </a:ext>
          </a:extLst>
        </xdr:cNvPr>
        <xdr:cNvSpPr>
          <a:spLocks noChangeAspect="1" noChangeArrowheads="1"/>
        </xdr:cNvSpPr>
      </xdr:nvSpPr>
      <xdr:spPr bwMode="auto">
        <a:xfrm>
          <a:off x="10696575" y="5019675"/>
          <a:ext cx="5353050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94</xdr:row>
      <xdr:rowOff>0</xdr:rowOff>
    </xdr:from>
    <xdr:to>
      <xdr:col>14</xdr:col>
      <xdr:colOff>491490</xdr:colOff>
      <xdr:row>107</xdr:row>
      <xdr:rowOff>72390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3307078F-89D9-DF32-CC34-C5ED99891DB8}"/>
            </a:ext>
          </a:extLst>
        </xdr:cNvPr>
        <xdr:cNvSpPr>
          <a:spLocks noChangeAspect="1" noChangeArrowheads="1"/>
        </xdr:cNvSpPr>
      </xdr:nvSpPr>
      <xdr:spPr bwMode="auto">
        <a:xfrm>
          <a:off x="10696575" y="11953875"/>
          <a:ext cx="5353050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3642360</xdr:colOff>
      <xdr:row>1</xdr:row>
      <xdr:rowOff>120015</xdr:rowOff>
    </xdr:from>
    <xdr:ext cx="2543175" cy="476250"/>
    <xdr:pic>
      <xdr:nvPicPr>
        <xdr:cNvPr id="3" name="image1.png">
          <a:extLst>
            <a:ext uri="{FF2B5EF4-FFF2-40B4-BE49-F238E27FC236}">
              <a16:creationId xmlns:a16="http://schemas.microsoft.com/office/drawing/2014/main" id="{0267631A-758E-4996-A27D-B465917A997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48360" y="280035"/>
          <a:ext cx="2543175" cy="476250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546735</xdr:colOff>
      <xdr:row>8</xdr:row>
      <xdr:rowOff>127139</xdr:rowOff>
    </xdr:from>
    <xdr:to>
      <xdr:col>4</xdr:col>
      <xdr:colOff>956393</xdr:colOff>
      <xdr:row>10</xdr:row>
      <xdr:rowOff>173107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7F6DFB6-D954-4890-83BC-09EB7C9483A4}"/>
            </a:ext>
          </a:extLst>
        </xdr:cNvPr>
        <xdr:cNvCxnSpPr/>
      </xdr:nvCxnSpPr>
      <xdr:spPr>
        <a:xfrm flipH="1">
          <a:off x="8136255" y="1704479"/>
          <a:ext cx="409658" cy="556508"/>
        </a:xfrm>
        <a:prstGeom prst="straightConnector1">
          <a:avLst/>
        </a:prstGeom>
        <a:ln w="57150">
          <a:solidFill>
            <a:srgbClr val="255AE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930881</xdr:colOff>
      <xdr:row>4</xdr:row>
      <xdr:rowOff>112395</xdr:rowOff>
    </xdr:from>
    <xdr:to>
      <xdr:col>6</xdr:col>
      <xdr:colOff>2307535</xdr:colOff>
      <xdr:row>9</xdr:row>
      <xdr:rowOff>133102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32B15A11-6F21-4E5C-9383-21147CDFBD45}"/>
            </a:ext>
          </a:extLst>
        </xdr:cNvPr>
        <xdr:cNvSpPr/>
      </xdr:nvSpPr>
      <xdr:spPr>
        <a:xfrm>
          <a:off x="8520401" y="752475"/>
          <a:ext cx="3693134" cy="1209427"/>
        </a:xfrm>
        <a:prstGeom prst="rect">
          <a:avLst/>
        </a:prstGeom>
        <a:solidFill>
          <a:srgbClr val="255AE5"/>
        </a:solidFill>
        <a:ln>
          <a:solidFill>
            <a:srgbClr val="255AE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latin typeface="Poppins" panose="00000500000000000000" pitchFamily="2" charset="0"/>
              <a:cs typeface="Poppins" panose="00000500000000000000" pitchFamily="2" charset="0"/>
            </a:rPr>
            <a:t>IMPORTANTE:Custos unitários apresentados nessa página possuem majoração ao custo real buscando contemplar aproximações de quantidades, perdas</a:t>
          </a:r>
          <a:r>
            <a:rPr lang="pt-BR" sz="1100" baseline="0">
              <a:latin typeface="Poppins" panose="00000500000000000000" pitchFamily="2" charset="0"/>
              <a:cs typeface="Poppins" panose="00000500000000000000" pitchFamily="2" charset="0"/>
            </a:rPr>
            <a:t> e outras situações previstas através de indices e indexadores no orçamento</a:t>
          </a:r>
          <a:r>
            <a:rPr lang="pt-BR" sz="1100">
              <a:latin typeface="Poppins" panose="00000500000000000000" pitchFamily="2" charset="0"/>
              <a:cs typeface="Poppins" panose="00000500000000000000" pitchFamily="2" charset="0"/>
            </a:rPr>
            <a:t>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Meia%20Praia%20Empreendimentos%20Imobili&#225;rios/2024/Eternity/04.%20Custo/03.0%20Custo%20-%20Or&#231;amento%20Param&#233;trico/2.%20Custos%20Indiretos/CTN-XXX-XXX%20%20-%20Custos_Indiretos_Estimativas_R00.xlsx?8BAC889A" TargetMode="External"/><Relationship Id="rId1" Type="http://schemas.openxmlformats.org/officeDocument/2006/relationships/externalLinkPath" Target="file:///\\8BAC889A\CTN-XXX-XXX%20%20-%20Custos_Indiretos_Estimativas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</sheetNames>
    <sheetDataSet>
      <sheetData sheetId="0" refreshError="1">
        <row r="3">
          <cell r="B3" t="str">
            <v>R00</v>
          </cell>
        </row>
      </sheetData>
      <sheetData sheetId="1" refreshError="1"/>
      <sheetData sheetId="2" refreshError="1">
        <row r="19">
          <cell r="H19">
            <v>2500</v>
          </cell>
        </row>
      </sheetData>
      <sheetData sheetId="3" refreshError="1"/>
      <sheetData sheetId="4">
        <row r="73">
          <cell r="F73">
            <v>4780879.1526048454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A4" sqref="A4:E4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8" customHeight="1" x14ac:dyDescent="0.6">
      <c r="A1" s="1" t="s">
        <v>0</v>
      </c>
      <c r="B1" s="150" t="s">
        <v>568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51" t="s">
        <v>443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51" t="s">
        <v>571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175" t="s">
        <v>3</v>
      </c>
      <c r="B4" s="176"/>
      <c r="C4" s="176"/>
      <c r="D4" s="176"/>
      <c r="E4" s="17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178" t="s">
        <v>4</v>
      </c>
      <c r="B6" s="176"/>
      <c r="C6" s="176"/>
      <c r="D6" s="176"/>
      <c r="E6" s="17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19"/>
      <c r="B8" s="20" t="s">
        <v>5</v>
      </c>
      <c r="C8" s="21" t="s">
        <v>6</v>
      </c>
      <c r="D8" s="22" t="s">
        <v>7</v>
      </c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6">
      <c r="A9" s="19"/>
      <c r="B9" s="23" t="s">
        <v>8</v>
      </c>
      <c r="C9" s="24" t="s">
        <v>9</v>
      </c>
      <c r="D9" s="25">
        <v>820.8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6" t="s">
        <v>10</v>
      </c>
      <c r="C10" s="27" t="s">
        <v>9</v>
      </c>
      <c r="D10" s="28">
        <v>10618.35</v>
      </c>
      <c r="E10" s="1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11</v>
      </c>
      <c r="C11" s="27" t="s">
        <v>12</v>
      </c>
      <c r="D11" s="28">
        <v>36</v>
      </c>
      <c r="E11" s="1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13</v>
      </c>
      <c r="C12" s="27" t="s">
        <v>14</v>
      </c>
      <c r="D12" s="149">
        <v>46</v>
      </c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thickBot="1" x14ac:dyDescent="0.65">
      <c r="A13" s="19"/>
      <c r="B13" s="29" t="s">
        <v>15</v>
      </c>
      <c r="C13" s="30" t="s">
        <v>12</v>
      </c>
      <c r="D13" s="31">
        <v>26</v>
      </c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thickBot="1" x14ac:dyDescent="0.65">
      <c r="A14" s="32"/>
      <c r="B14" s="33"/>
      <c r="C14" s="33"/>
      <c r="D14" s="34"/>
      <c r="E14" s="3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36"/>
      <c r="B15" s="37"/>
      <c r="C15" s="37"/>
      <c r="D15" s="38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36"/>
      <c r="B16" s="37"/>
      <c r="C16" s="37"/>
      <c r="D16" s="38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36"/>
      <c r="B17" s="37"/>
      <c r="C17" s="37"/>
      <c r="D17" s="38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36"/>
      <c r="B18" s="37"/>
      <c r="C18" s="37"/>
      <c r="D18" s="38"/>
      <c r="E18" s="3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36"/>
      <c r="B19" s="37"/>
      <c r="C19" s="37"/>
      <c r="D19" s="38"/>
      <c r="E19" s="3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36"/>
      <c r="B20" s="37"/>
      <c r="C20" s="37"/>
      <c r="D20" s="38"/>
      <c r="E20" s="3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36"/>
      <c r="B21" s="37"/>
      <c r="C21" s="37"/>
      <c r="D21" s="38"/>
      <c r="E21" s="3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36"/>
      <c r="B22" s="37"/>
      <c r="C22" s="37"/>
      <c r="D22" s="38"/>
      <c r="E22" s="3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36"/>
      <c r="B23" s="37"/>
      <c r="C23" s="37"/>
      <c r="D23" s="38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36"/>
      <c r="B24" s="37"/>
      <c r="C24" s="37"/>
      <c r="D24" s="38"/>
      <c r="E24" s="3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36"/>
      <c r="B25" s="37"/>
      <c r="C25" s="37"/>
      <c r="D25" s="38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36"/>
      <c r="B26" s="37"/>
      <c r="C26" s="37"/>
      <c r="D26" s="38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36"/>
      <c r="B27" s="37"/>
      <c r="C27" s="37"/>
      <c r="D27" s="38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36"/>
      <c r="B28" s="37"/>
      <c r="C28" s="37"/>
      <c r="D28" s="38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36"/>
      <c r="B29" s="37"/>
      <c r="C29" s="37"/>
      <c r="D29" s="38"/>
      <c r="E29" s="3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36"/>
      <c r="B30" s="37"/>
      <c r="C30" s="37"/>
      <c r="D30" s="38"/>
      <c r="E30" s="3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36"/>
      <c r="B31" s="37"/>
      <c r="C31" s="37"/>
      <c r="D31" s="38"/>
      <c r="E31" s="3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36"/>
      <c r="B32" s="37"/>
      <c r="C32" s="37"/>
      <c r="D32" s="38"/>
      <c r="E32" s="3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36"/>
      <c r="B33" s="37"/>
      <c r="C33" s="37"/>
      <c r="D33" s="38"/>
      <c r="E33" s="3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36"/>
      <c r="B34" s="37"/>
      <c r="C34" s="37"/>
      <c r="D34" s="38"/>
      <c r="E34" s="3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36"/>
      <c r="B35" s="37"/>
      <c r="C35" s="37"/>
      <c r="D35" s="38"/>
      <c r="E35" s="3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36"/>
      <c r="B36" s="37"/>
      <c r="C36" s="37"/>
      <c r="D36" s="38"/>
      <c r="E36" s="3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36"/>
      <c r="B37" s="37"/>
      <c r="C37" s="37"/>
      <c r="D37" s="38"/>
      <c r="E37" s="3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36"/>
      <c r="B38" s="37"/>
      <c r="C38" s="37"/>
      <c r="D38" s="38"/>
      <c r="E38" s="3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36"/>
      <c r="B39" s="37"/>
      <c r="C39" s="37"/>
      <c r="D39" s="38"/>
      <c r="E39" s="3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36"/>
      <c r="B40" s="37"/>
      <c r="C40" s="37"/>
      <c r="D40" s="38"/>
      <c r="E40" s="3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36"/>
      <c r="B41" s="37"/>
      <c r="C41" s="37"/>
      <c r="D41" s="38"/>
      <c r="E41" s="3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36"/>
      <c r="B42" s="37"/>
      <c r="C42" s="37"/>
      <c r="D42" s="38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36"/>
      <c r="B43" s="37"/>
      <c r="C43" s="37"/>
      <c r="D43" s="38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36"/>
      <c r="B44" s="37"/>
      <c r="C44" s="37"/>
      <c r="D44" s="38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36"/>
      <c r="B45" s="37"/>
      <c r="C45" s="37"/>
      <c r="D45" s="38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36"/>
      <c r="B46" s="37"/>
      <c r="C46" s="37"/>
      <c r="D46" s="38"/>
      <c r="E46" s="3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36"/>
      <c r="B47" s="37"/>
      <c r="C47" s="37"/>
      <c r="D47" s="38"/>
      <c r="E47" s="3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36"/>
      <c r="B48" s="37"/>
      <c r="C48" s="37"/>
      <c r="D48" s="38"/>
      <c r="E48" s="3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36"/>
      <c r="B49" s="37"/>
      <c r="C49" s="37"/>
      <c r="D49" s="38"/>
      <c r="E49" s="3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36"/>
      <c r="B50" s="37"/>
      <c r="C50" s="37"/>
      <c r="D50" s="38"/>
      <c r="E50" s="3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6"/>
      <c r="B51" s="37"/>
      <c r="C51" s="37"/>
      <c r="D51" s="38"/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36"/>
      <c r="B52" s="37"/>
      <c r="C52" s="37"/>
      <c r="D52" s="38"/>
      <c r="E52" s="3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36"/>
      <c r="B53" s="37"/>
      <c r="C53" s="37"/>
      <c r="D53" s="38"/>
      <c r="E53" s="3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3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3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3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3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3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3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3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3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3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3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3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3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3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3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3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3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3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3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3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3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3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3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3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3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3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3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3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3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3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3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3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3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3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3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3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3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3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3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3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3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3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3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3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3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3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3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3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3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3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3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3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3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3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3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3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3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3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3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3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3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3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3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3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3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3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3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3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3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3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3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3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3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3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3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3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3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3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3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3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3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3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3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3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3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3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3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3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3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3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3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3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3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3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3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3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3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3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3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3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3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3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3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3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3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3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3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3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3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3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3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3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3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3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3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3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3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3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3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3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3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3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3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3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3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3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3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3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3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3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3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3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3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3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3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3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3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3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3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3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3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3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3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3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3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3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3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3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3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3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3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3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3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3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3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3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3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3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3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3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3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3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3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3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3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3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3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3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3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3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3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3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3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3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3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3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3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3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3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3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3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3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3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3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3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3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3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3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3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3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3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3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3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3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3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3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3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3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3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3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3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3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3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3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3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3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3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3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3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3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3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3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3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3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3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3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3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3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3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3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3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3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3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3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3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3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3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3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3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3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3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3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3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3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3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3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3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3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3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3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3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3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3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3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3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3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3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3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3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3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3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3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3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3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3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3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3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3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3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3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3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3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3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3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3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3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3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3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3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3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3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3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3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3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3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3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3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3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3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3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3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3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3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3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3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3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3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3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3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3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3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3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3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3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3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3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3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3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3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3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3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3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3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3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3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3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3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3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3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3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3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3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3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3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3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3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3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3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3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3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3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3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3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3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3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3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3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3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3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3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3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3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3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3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3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3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3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3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3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3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3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3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3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3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3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3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3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3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3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3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3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3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3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3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3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3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3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3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3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3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3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3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3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3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3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3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3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3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3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3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3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3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3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3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3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3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3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3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3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3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3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3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3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3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3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3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3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3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3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3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3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3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3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3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3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3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3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3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3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3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3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3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3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3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3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3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3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3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3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3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3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3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3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3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3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3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3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3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3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3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3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3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3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3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3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3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3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3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3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3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3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3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3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3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3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3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3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3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3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3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3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3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3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3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3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3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3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3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3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3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3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3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3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3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3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3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3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3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3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3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3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3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3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3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3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3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3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3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3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3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3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3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3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3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3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3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3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3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3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3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3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3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3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3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3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3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3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3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3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3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3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3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3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3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3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3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3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3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3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3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3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3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3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3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3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3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3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3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3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3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3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3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3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3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3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3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3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3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3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3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3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3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3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3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3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3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3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3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3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3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3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3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3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3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3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3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3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3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3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3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3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3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3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3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3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3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3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3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3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3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3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3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3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3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3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3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3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3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3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3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3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3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3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3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3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3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3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3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3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3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3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3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3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3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3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3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3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3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3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3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3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3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3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3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3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3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3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3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3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3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3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3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3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3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3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3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3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3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3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3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3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3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3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3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3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3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3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3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3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3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3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3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3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3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3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3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3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3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3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3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3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3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3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3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3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3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3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3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3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3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3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3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3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3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3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3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3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3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3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3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3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3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3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3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3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3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3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3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3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3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3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3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3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3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3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3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3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3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3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3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3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3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3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3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3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3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3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3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3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3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3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3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3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3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3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3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3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3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3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3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3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3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3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3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3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3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3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3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3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3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3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3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3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3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3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3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3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3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3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3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3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3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3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3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3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3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3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3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3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3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3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3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3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3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3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3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3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3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3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3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3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3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3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3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3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3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3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3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3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3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3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3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3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3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3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3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3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3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3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3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3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3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3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3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3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3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3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3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3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3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3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3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3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3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3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3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3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3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3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3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3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3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3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3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3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3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3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3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3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3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3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3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3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3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3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3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3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3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3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3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3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3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3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3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3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3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3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3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3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3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3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3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3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3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3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3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3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3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3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3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3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3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3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3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3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3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3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3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3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3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3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3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3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3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3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3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3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3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3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3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3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3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3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3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3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3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3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3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3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3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3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3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3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3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3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3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3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3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3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3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3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3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3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3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3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3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3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3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3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3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3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3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3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3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3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3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3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3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3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3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3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3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3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3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3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3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3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3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3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3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3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3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3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3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3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3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3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3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3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3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3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3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3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3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3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3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3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3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3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3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3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3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3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3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3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3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3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3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3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3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3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3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3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999"/>
  <sheetViews>
    <sheetView workbookViewId="0">
      <selection activeCell="A4" sqref="A4:G4"/>
    </sheetView>
  </sheetViews>
  <sheetFormatPr defaultColWidth="12.5703125" defaultRowHeight="15" customHeight="1" x14ac:dyDescent="0.2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23" width="8.5703125" customWidth="1"/>
  </cols>
  <sheetData>
    <row r="1" spans="1:23" ht="14.25" customHeight="1" x14ac:dyDescent="0.6">
      <c r="A1" s="1" t="s">
        <v>0</v>
      </c>
      <c r="B1" s="150" t="s">
        <v>568</v>
      </c>
      <c r="C1" s="2"/>
      <c r="D1" s="3"/>
      <c r="E1" s="39"/>
      <c r="F1" s="39"/>
      <c r="G1" s="4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23" ht="14.25" customHeight="1" x14ac:dyDescent="0.6">
      <c r="A2" s="6" t="s">
        <v>1</v>
      </c>
      <c r="B2" s="151" t="s">
        <v>443</v>
      </c>
      <c r="C2" s="7"/>
      <c r="D2" s="8"/>
      <c r="E2" s="40"/>
      <c r="F2" s="40"/>
      <c r="G2" s="9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23" ht="14.25" customHeight="1" x14ac:dyDescent="0.6">
      <c r="A3" s="6" t="s">
        <v>2</v>
      </c>
      <c r="B3" s="151" t="str">
        <f>OBRA!B3</f>
        <v>R01</v>
      </c>
      <c r="C3" s="7"/>
      <c r="D3" s="8"/>
      <c r="E3" s="40"/>
      <c r="F3" s="42"/>
      <c r="G3" s="9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</row>
    <row r="4" spans="1:23" ht="14.25" customHeight="1" x14ac:dyDescent="0.2">
      <c r="A4" s="175" t="s">
        <v>16</v>
      </c>
      <c r="B4" s="176"/>
      <c r="C4" s="176"/>
      <c r="D4" s="176"/>
      <c r="E4" s="176"/>
      <c r="F4" s="176"/>
      <c r="G4" s="177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ht="14.25" customHeight="1" x14ac:dyDescent="0.6">
      <c r="A5" s="10"/>
      <c r="B5" s="11"/>
      <c r="C5" s="11"/>
      <c r="D5" s="12"/>
      <c r="E5" s="41"/>
      <c r="F5" s="41"/>
      <c r="G5" s="13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</row>
    <row r="6" spans="1:23" ht="14.25" customHeight="1" x14ac:dyDescent="0.2">
      <c r="A6" s="178" t="s">
        <v>40</v>
      </c>
      <c r="B6" s="176"/>
      <c r="C6" s="176"/>
      <c r="D6" s="176"/>
      <c r="E6" s="176"/>
      <c r="F6" s="176"/>
      <c r="G6" s="177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</row>
    <row r="7" spans="1:23" ht="14.25" customHeight="1" x14ac:dyDescent="0.6">
      <c r="A7" s="14"/>
      <c r="B7" s="15"/>
      <c r="C7" s="16"/>
      <c r="D7" s="17"/>
      <c r="E7" s="42"/>
      <c r="F7" s="42"/>
      <c r="G7" s="18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</row>
    <row r="8" spans="1:23" ht="14.25" customHeight="1" x14ac:dyDescent="0.6">
      <c r="A8" s="43" t="s">
        <v>40</v>
      </c>
      <c r="B8" s="44"/>
      <c r="C8" s="44"/>
      <c r="D8" s="45"/>
      <c r="E8" s="46"/>
      <c r="F8" s="46"/>
      <c r="G8" s="47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</row>
    <row r="9" spans="1:23" ht="14.25" customHeight="1" x14ac:dyDescent="0.6">
      <c r="A9" s="19"/>
      <c r="B9" s="48"/>
      <c r="C9" s="48"/>
      <c r="D9" s="49"/>
      <c r="E9" s="50"/>
      <c r="F9" s="50"/>
      <c r="G9" s="18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</row>
    <row r="10" spans="1:23" ht="14.25" customHeight="1" x14ac:dyDescent="0.6">
      <c r="A10" s="19"/>
      <c r="B10" s="20" t="s">
        <v>5</v>
      </c>
      <c r="C10" s="21" t="s">
        <v>6</v>
      </c>
      <c r="D10" s="22" t="s">
        <v>7</v>
      </c>
      <c r="E10" s="50"/>
      <c r="F10" s="50"/>
      <c r="G10" s="18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</row>
    <row r="11" spans="1:23" ht="14.25" customHeight="1" x14ac:dyDescent="0.6">
      <c r="A11" s="19"/>
      <c r="B11" s="23" t="s">
        <v>42</v>
      </c>
      <c r="C11" s="24" t="s">
        <v>43</v>
      </c>
      <c r="D11" s="77">
        <f>OBRA!D10/OBRA!D12</f>
        <v>230.83369565217393</v>
      </c>
      <c r="E11" s="50"/>
      <c r="F11" s="50"/>
      <c r="G11" s="18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</row>
    <row r="12" spans="1:23" ht="14.25" customHeight="1" x14ac:dyDescent="0.6">
      <c r="A12" s="19"/>
      <c r="B12" s="55" t="s">
        <v>38</v>
      </c>
      <c r="C12" s="56" t="s">
        <v>39</v>
      </c>
      <c r="D12" s="78">
        <v>49</v>
      </c>
      <c r="E12" s="50"/>
      <c r="F12" s="50"/>
      <c r="G12" s="18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</row>
    <row r="13" spans="1:23" ht="14.25" customHeight="1" x14ac:dyDescent="0.6">
      <c r="A13" s="19"/>
      <c r="B13" s="79" t="s">
        <v>44</v>
      </c>
      <c r="C13" s="80" t="s">
        <v>20</v>
      </c>
      <c r="D13" s="81">
        <v>15</v>
      </c>
      <c r="E13" s="50"/>
      <c r="F13" s="50"/>
      <c r="G13" s="18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</row>
    <row r="14" spans="1:23" ht="14.25" customHeight="1" x14ac:dyDescent="0.6">
      <c r="A14" s="19"/>
      <c r="B14" s="82" t="s">
        <v>41</v>
      </c>
      <c r="C14" s="83" t="s">
        <v>20</v>
      </c>
      <c r="D14" s="84">
        <v>5</v>
      </c>
      <c r="E14" s="50"/>
      <c r="F14" s="50"/>
      <c r="G14" s="18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</row>
    <row r="15" spans="1:23" ht="14.25" customHeight="1" x14ac:dyDescent="0.6">
      <c r="A15" s="19"/>
      <c r="B15" s="23" t="s">
        <v>45</v>
      </c>
      <c r="C15" s="24" t="s">
        <v>20</v>
      </c>
      <c r="D15" s="77">
        <f>ROUNDUP($D$13/20,0)</f>
        <v>1</v>
      </c>
      <c r="E15" s="85" t="s">
        <v>46</v>
      </c>
      <c r="F15" s="85"/>
      <c r="G15" s="18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</row>
    <row r="16" spans="1:23" ht="14.25" customHeight="1" x14ac:dyDescent="0.6">
      <c r="A16" s="54"/>
      <c r="B16" s="86" t="s">
        <v>47</v>
      </c>
      <c r="C16" s="87" t="s">
        <v>48</v>
      </c>
      <c r="D16" s="88">
        <f>800*D13</f>
        <v>12000</v>
      </c>
      <c r="E16" s="85" t="s">
        <v>49</v>
      </c>
      <c r="F16" s="85"/>
      <c r="G16" s="18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</row>
    <row r="17" spans="1:23" ht="14.25" customHeight="1" x14ac:dyDescent="0.45">
      <c r="A17" s="89"/>
      <c r="B17" s="90" t="s">
        <v>50</v>
      </c>
      <c r="C17" s="91" t="s">
        <v>48</v>
      </c>
      <c r="D17" s="92">
        <f>500*(D13+D14)</f>
        <v>10000</v>
      </c>
      <c r="E17" s="93" t="s">
        <v>51</v>
      </c>
      <c r="F17" s="85"/>
      <c r="G17" s="94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</row>
    <row r="18" spans="1:23" ht="14.25" customHeight="1" x14ac:dyDescent="0.45">
      <c r="A18" s="95"/>
      <c r="B18" s="96" t="s">
        <v>52</v>
      </c>
      <c r="C18" s="97" t="s">
        <v>20</v>
      </c>
      <c r="D18" s="98">
        <f>ROUNDUP($D$13/20,0)</f>
        <v>1</v>
      </c>
      <c r="E18" s="85" t="s">
        <v>53</v>
      </c>
      <c r="F18" s="85"/>
      <c r="G18" s="94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</row>
    <row r="19" spans="1:23" ht="14.25" customHeight="1" x14ac:dyDescent="0.2">
      <c r="A19" s="95"/>
      <c r="B19" s="99"/>
      <c r="C19" s="99"/>
      <c r="D19" s="99"/>
      <c r="E19" s="99"/>
      <c r="F19" s="99"/>
      <c r="G19" s="94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</row>
    <row r="20" spans="1:23" ht="14.25" customHeight="1" x14ac:dyDescent="0.6">
      <c r="A20" s="43" t="s">
        <v>54</v>
      </c>
      <c r="B20" s="44"/>
      <c r="C20" s="44"/>
      <c r="D20" s="45"/>
      <c r="E20" s="46"/>
      <c r="F20" s="46"/>
      <c r="G20" s="47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</row>
    <row r="21" spans="1:23" ht="14.25" customHeight="1" x14ac:dyDescent="0.6">
      <c r="A21" s="19"/>
      <c r="B21" s="48"/>
      <c r="C21" s="48"/>
      <c r="D21" s="49"/>
      <c r="E21" s="50"/>
      <c r="F21" s="50"/>
      <c r="G21" s="18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</row>
    <row r="22" spans="1:23" ht="14.25" customHeight="1" x14ac:dyDescent="0.6">
      <c r="A22" s="19"/>
      <c r="B22" s="20" t="s">
        <v>5</v>
      </c>
      <c r="C22" s="21" t="s">
        <v>6</v>
      </c>
      <c r="D22" s="21" t="s">
        <v>7</v>
      </c>
      <c r="E22" s="21" t="s">
        <v>55</v>
      </c>
      <c r="F22" s="100" t="s">
        <v>56</v>
      </c>
      <c r="G22" s="18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</row>
    <row r="23" spans="1:23" ht="14.25" customHeight="1" x14ac:dyDescent="0.6">
      <c r="A23" s="19"/>
      <c r="B23" s="23" t="s">
        <v>57</v>
      </c>
      <c r="C23" s="24" t="s">
        <v>20</v>
      </c>
      <c r="D23" s="152">
        <f>ROUNDUP(D14*1.5,0)</f>
        <v>8</v>
      </c>
      <c r="E23" s="152">
        <v>200</v>
      </c>
      <c r="F23" s="153">
        <f>D23*E23</f>
        <v>1600</v>
      </c>
      <c r="G23" s="18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</row>
    <row r="24" spans="1:23" ht="14.25" customHeight="1" x14ac:dyDescent="0.6">
      <c r="A24" s="19"/>
      <c r="B24" s="26" t="s">
        <v>58</v>
      </c>
      <c r="C24" s="152" t="s">
        <v>20</v>
      </c>
      <c r="D24" s="152">
        <f>D14</f>
        <v>5</v>
      </c>
      <c r="E24" s="152">
        <v>1000</v>
      </c>
      <c r="F24" s="153">
        <f t="shared" ref="F24:F27" si="0">E24*D24</f>
        <v>5000</v>
      </c>
      <c r="G24" s="18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</row>
    <row r="25" spans="1:23" ht="14.25" customHeight="1" x14ac:dyDescent="0.2">
      <c r="A25" s="95"/>
      <c r="B25" s="26" t="s">
        <v>59</v>
      </c>
      <c r="C25" s="152" t="s">
        <v>20</v>
      </c>
      <c r="D25" s="152">
        <v>1</v>
      </c>
      <c r="E25" s="152">
        <v>5000</v>
      </c>
      <c r="F25" s="153">
        <f t="shared" si="0"/>
        <v>5000</v>
      </c>
      <c r="G25" s="94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</row>
    <row r="26" spans="1:23" ht="14.25" customHeight="1" x14ac:dyDescent="0.2">
      <c r="A26" s="95"/>
      <c r="B26" s="26" t="s">
        <v>60</v>
      </c>
      <c r="C26" s="152" t="s">
        <v>19</v>
      </c>
      <c r="D26" s="152">
        <f>7</f>
        <v>7</v>
      </c>
      <c r="E26" s="152">
        <v>900</v>
      </c>
      <c r="F26" s="153">
        <f t="shared" si="0"/>
        <v>6300</v>
      </c>
      <c r="G26" s="94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</row>
    <row r="27" spans="1:23" ht="14.25" customHeight="1" x14ac:dyDescent="0.2">
      <c r="A27" s="95"/>
      <c r="B27" s="29" t="s">
        <v>61</v>
      </c>
      <c r="C27" s="97" t="s">
        <v>20</v>
      </c>
      <c r="D27" s="97">
        <f>D14</f>
        <v>5</v>
      </c>
      <c r="E27" s="97">
        <v>800</v>
      </c>
      <c r="F27" s="98">
        <f t="shared" si="0"/>
        <v>4000</v>
      </c>
      <c r="G27" s="94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</row>
    <row r="28" spans="1:23" ht="14.25" customHeight="1" x14ac:dyDescent="0.25">
      <c r="A28" s="95"/>
      <c r="B28" s="179" t="s">
        <v>62</v>
      </c>
      <c r="C28" s="182"/>
      <c r="D28" s="182"/>
      <c r="E28" s="183"/>
      <c r="F28" s="101">
        <f>F25+F26+F27+F24+F23</f>
        <v>21900</v>
      </c>
      <c r="G28" s="94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</row>
    <row r="29" spans="1:23" ht="14.25" customHeight="1" x14ac:dyDescent="0.2">
      <c r="A29" s="95"/>
      <c r="B29" s="20" t="s">
        <v>5</v>
      </c>
      <c r="C29" s="21" t="s">
        <v>6</v>
      </c>
      <c r="D29" s="21" t="s">
        <v>7</v>
      </c>
      <c r="E29" s="21" t="s">
        <v>55</v>
      </c>
      <c r="F29" s="100" t="s">
        <v>56</v>
      </c>
      <c r="G29" s="94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</row>
    <row r="30" spans="1:23" ht="14.25" customHeight="1" x14ac:dyDescent="0.2">
      <c r="A30" s="95"/>
      <c r="B30" s="23" t="s">
        <v>63</v>
      </c>
      <c r="C30" s="24" t="s">
        <v>20</v>
      </c>
      <c r="D30" s="152">
        <f>D14</f>
        <v>5</v>
      </c>
      <c r="E30" s="152">
        <v>6000</v>
      </c>
      <c r="F30" s="153">
        <f>D30*E30</f>
        <v>30000</v>
      </c>
      <c r="G30" s="94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</row>
    <row r="31" spans="1:23" ht="14.25" customHeight="1" x14ac:dyDescent="0.2">
      <c r="A31" s="95"/>
      <c r="B31" s="26" t="s">
        <v>64</v>
      </c>
      <c r="C31" s="152" t="s">
        <v>20</v>
      </c>
      <c r="D31" s="152">
        <v>1</v>
      </c>
      <c r="E31" s="152">
        <v>2000</v>
      </c>
      <c r="F31" s="153">
        <f t="shared" ref="F31:F32" si="1">E31*D31</f>
        <v>2000</v>
      </c>
      <c r="G31" s="94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</row>
    <row r="32" spans="1:23" ht="14.25" customHeight="1" x14ac:dyDescent="0.2">
      <c r="A32" s="95"/>
      <c r="B32" s="102" t="s">
        <v>65</v>
      </c>
      <c r="C32" s="154" t="s">
        <v>20</v>
      </c>
      <c r="D32" s="154">
        <v>2</v>
      </c>
      <c r="E32" s="154">
        <v>500</v>
      </c>
      <c r="F32" s="155">
        <f t="shared" si="1"/>
        <v>1000</v>
      </c>
      <c r="G32" s="94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</row>
    <row r="33" spans="1:23" ht="14.25" customHeight="1" x14ac:dyDescent="0.2">
      <c r="A33" s="103"/>
      <c r="B33" s="179" t="s">
        <v>62</v>
      </c>
      <c r="C33" s="180"/>
      <c r="D33" s="180"/>
      <c r="E33" s="181"/>
      <c r="F33" s="101">
        <f>+F30+F31+F32</f>
        <v>33000</v>
      </c>
      <c r="G33" s="104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</row>
    <row r="34" spans="1:23" ht="14.25" customHeight="1" x14ac:dyDescent="0.2">
      <c r="A34" s="105"/>
      <c r="B34" s="106"/>
      <c r="C34" s="106"/>
      <c r="D34" s="106"/>
      <c r="E34" s="106"/>
      <c r="F34" s="106"/>
      <c r="G34" s="107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</row>
    <row r="35" spans="1:23" ht="14.25" customHeight="1" x14ac:dyDescent="0.2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</row>
    <row r="36" spans="1:23" ht="14.25" customHeight="1" x14ac:dyDescent="0.2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</row>
    <row r="37" spans="1:23" ht="14.25" customHeight="1" x14ac:dyDescent="0.2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</row>
    <row r="38" spans="1:23" ht="14.25" customHeight="1" x14ac:dyDescent="0.2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</row>
    <row r="39" spans="1:23" ht="14.25" customHeight="1" x14ac:dyDescent="0.2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</row>
    <row r="40" spans="1:23" ht="14.25" customHeight="1" x14ac:dyDescent="0.2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</row>
    <row r="41" spans="1:23" ht="14.25" customHeight="1" x14ac:dyDescent="0.2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</row>
    <row r="42" spans="1:23" ht="14.25" customHeight="1" x14ac:dyDescent="0.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</row>
    <row r="43" spans="1:23" ht="14.25" customHeight="1" x14ac:dyDescent="0.2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</row>
    <row r="44" spans="1:23" ht="14.25" customHeight="1" x14ac:dyDescent="0.2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</row>
    <row r="45" spans="1:23" ht="14.25" customHeight="1" x14ac:dyDescent="0.2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</row>
    <row r="46" spans="1:23" ht="14.25" customHeight="1" x14ac:dyDescent="0.2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</row>
    <row r="47" spans="1:23" ht="14.25" customHeight="1" x14ac:dyDescent="0.2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</row>
    <row r="48" spans="1:23" ht="14.25" customHeight="1" x14ac:dyDescent="0.2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</row>
    <row r="49" spans="1:23" ht="14.25" customHeight="1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</row>
    <row r="50" spans="1:23" ht="14.25" customHeight="1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</row>
    <row r="51" spans="1:23" ht="14.25" customHeight="1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</row>
    <row r="52" spans="1:23" ht="14.25" customHeight="1" x14ac:dyDescent="0.2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</row>
    <row r="53" spans="1:23" ht="14.25" customHeight="1" x14ac:dyDescent="0.2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</row>
    <row r="54" spans="1:23" ht="14.25" customHeight="1" x14ac:dyDescent="0.2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</row>
    <row r="55" spans="1:23" ht="14.25" customHeight="1" x14ac:dyDescent="0.2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</row>
    <row r="56" spans="1:23" ht="14.25" customHeight="1" x14ac:dyDescent="0.2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</row>
    <row r="57" spans="1:23" ht="14.25" customHeight="1" x14ac:dyDescent="0.2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</row>
    <row r="58" spans="1:23" ht="14.25" customHeight="1" x14ac:dyDescent="0.2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</row>
    <row r="59" spans="1:23" ht="14.25" customHeight="1" x14ac:dyDescent="0.2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</row>
    <row r="60" spans="1:23" ht="14.25" customHeight="1" x14ac:dyDescent="0.2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</row>
    <row r="61" spans="1:23" ht="14.25" customHeight="1" x14ac:dyDescent="0.2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</row>
    <row r="62" spans="1:23" ht="14.25" customHeight="1" x14ac:dyDescent="0.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</row>
    <row r="63" spans="1:23" ht="14.25" customHeight="1" x14ac:dyDescent="0.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</row>
    <row r="64" spans="1:23" ht="14.25" customHeight="1" x14ac:dyDescent="0.2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</row>
    <row r="65" spans="1:23" ht="14.25" customHeight="1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</row>
    <row r="66" spans="1:23" ht="14.25" customHeight="1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</row>
    <row r="67" spans="1:23" ht="14.25" customHeight="1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</row>
    <row r="68" spans="1:23" ht="14.25" customHeight="1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</row>
    <row r="69" spans="1:23" ht="14.25" customHeight="1" x14ac:dyDescent="0.2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</row>
    <row r="70" spans="1:23" ht="14.25" customHeight="1" x14ac:dyDescent="0.2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</row>
    <row r="71" spans="1:23" ht="14.25" customHeight="1" x14ac:dyDescent="0.2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</row>
    <row r="72" spans="1:23" ht="14.25" customHeight="1" x14ac:dyDescent="0.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</row>
    <row r="73" spans="1:23" ht="14.25" customHeight="1" x14ac:dyDescent="0.2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</row>
    <row r="74" spans="1:23" ht="14.25" customHeight="1" x14ac:dyDescent="0.2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</row>
    <row r="75" spans="1:23" ht="14.25" customHeight="1" x14ac:dyDescent="0.2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</row>
    <row r="76" spans="1:23" ht="14.25" customHeight="1" x14ac:dyDescent="0.2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</row>
    <row r="77" spans="1:23" ht="14.25" customHeight="1" x14ac:dyDescent="0.2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</row>
    <row r="78" spans="1:23" ht="14.25" customHeight="1" x14ac:dyDescent="0.2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</row>
    <row r="79" spans="1:23" ht="14.25" customHeight="1" x14ac:dyDescent="0.2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</row>
    <row r="80" spans="1:23" ht="14.25" customHeight="1" x14ac:dyDescent="0.2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</row>
    <row r="81" spans="1:23" ht="14.25" customHeight="1" x14ac:dyDescent="0.2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</row>
    <row r="82" spans="1:23" ht="14.25" customHeight="1" x14ac:dyDescent="0.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</row>
    <row r="83" spans="1:23" ht="14.25" customHeight="1" x14ac:dyDescent="0.2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</row>
    <row r="84" spans="1:23" ht="14.25" customHeight="1" x14ac:dyDescent="0.2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</row>
    <row r="85" spans="1:23" ht="14.25" customHeight="1" x14ac:dyDescent="0.2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</row>
    <row r="86" spans="1:23" ht="14.25" customHeight="1" x14ac:dyDescent="0.2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</row>
    <row r="87" spans="1:23" ht="14.25" customHeight="1" x14ac:dyDescent="0.2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</row>
    <row r="88" spans="1:23" ht="14.25" customHeight="1" x14ac:dyDescent="0.2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</row>
    <row r="89" spans="1:23" ht="14.25" customHeight="1" x14ac:dyDescent="0.2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</row>
    <row r="90" spans="1:23" ht="14.25" customHeight="1" x14ac:dyDescent="0.2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</row>
    <row r="91" spans="1:23" ht="14.25" customHeight="1" x14ac:dyDescent="0.2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</row>
    <row r="92" spans="1:23" ht="14.25" customHeight="1" x14ac:dyDescent="0.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</row>
    <row r="93" spans="1:23" ht="14.25" customHeight="1" x14ac:dyDescent="0.2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</row>
    <row r="94" spans="1:23" ht="14.25" customHeight="1" x14ac:dyDescent="0.2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</row>
    <row r="95" spans="1:23" ht="14.25" customHeight="1" x14ac:dyDescent="0.2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</row>
    <row r="96" spans="1:23" ht="14.25" customHeight="1" x14ac:dyDescent="0.2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</row>
    <row r="97" spans="1:23" ht="14.25" customHeight="1" x14ac:dyDescent="0.2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</row>
    <row r="98" spans="1:23" ht="14.25" customHeight="1" x14ac:dyDescent="0.2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</row>
    <row r="99" spans="1:23" ht="14.25" customHeight="1" x14ac:dyDescent="0.2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</row>
    <row r="100" spans="1:23" ht="14.25" customHeight="1" x14ac:dyDescent="0.2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</row>
    <row r="101" spans="1:23" ht="14.25" customHeight="1" x14ac:dyDescent="0.2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</row>
    <row r="102" spans="1:23" ht="14.25" customHeight="1" x14ac:dyDescent="0.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</row>
    <row r="103" spans="1:23" ht="14.25" customHeight="1" x14ac:dyDescent="0.2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</row>
    <row r="104" spans="1:23" ht="14.25" customHeight="1" x14ac:dyDescent="0.2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</row>
    <row r="105" spans="1:23" ht="14.25" customHeight="1" x14ac:dyDescent="0.2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</row>
    <row r="106" spans="1:23" ht="14.25" customHeight="1" x14ac:dyDescent="0.2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</row>
    <row r="107" spans="1:23" ht="14.25" customHeight="1" x14ac:dyDescent="0.2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</row>
    <row r="108" spans="1:23" ht="14.25" customHeight="1" x14ac:dyDescent="0.2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</row>
    <row r="109" spans="1:23" ht="14.25" customHeight="1" x14ac:dyDescent="0.2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</row>
    <row r="110" spans="1:23" ht="14.25" customHeight="1" x14ac:dyDescent="0.2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</row>
    <row r="111" spans="1:23" ht="14.25" customHeight="1" x14ac:dyDescent="0.2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</row>
    <row r="112" spans="1:23" ht="14.25" customHeight="1" x14ac:dyDescent="0.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</row>
    <row r="113" spans="1:23" ht="14.25" customHeight="1" x14ac:dyDescent="0.2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</row>
    <row r="114" spans="1:23" ht="14.25" customHeight="1" x14ac:dyDescent="0.2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</row>
    <row r="115" spans="1:23" ht="14.25" customHeight="1" x14ac:dyDescent="0.2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</row>
    <row r="116" spans="1:23" ht="14.25" customHeight="1" x14ac:dyDescent="0.2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</row>
    <row r="117" spans="1:23" ht="14.25" customHeight="1" x14ac:dyDescent="0.2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</row>
    <row r="118" spans="1:23" ht="14.25" customHeight="1" x14ac:dyDescent="0.2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</row>
    <row r="119" spans="1:23" ht="14.25" customHeight="1" x14ac:dyDescent="0.2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</row>
    <row r="120" spans="1:23" ht="14.25" customHeight="1" x14ac:dyDescent="0.2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</row>
    <row r="121" spans="1:23" ht="14.25" customHeight="1" x14ac:dyDescent="0.2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</row>
    <row r="122" spans="1:23" ht="14.25" customHeight="1" x14ac:dyDescent="0.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</row>
    <row r="123" spans="1:23" ht="14.25" customHeight="1" x14ac:dyDescent="0.2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</row>
    <row r="124" spans="1:23" ht="14.25" customHeight="1" x14ac:dyDescent="0.2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</row>
    <row r="125" spans="1:23" ht="14.25" customHeight="1" x14ac:dyDescent="0.2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</row>
    <row r="126" spans="1:23" ht="14.25" customHeight="1" x14ac:dyDescent="0.2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</row>
    <row r="127" spans="1:23" ht="14.25" customHeight="1" x14ac:dyDescent="0.2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</row>
    <row r="128" spans="1:23" ht="14.25" customHeight="1" x14ac:dyDescent="0.2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</row>
    <row r="129" spans="1:23" ht="14.25" customHeight="1" x14ac:dyDescent="0.2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</row>
    <row r="130" spans="1:23" ht="14.25" customHeight="1" x14ac:dyDescent="0.2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</row>
    <row r="131" spans="1:23" ht="14.25" customHeight="1" x14ac:dyDescent="0.2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</row>
    <row r="132" spans="1:23" ht="14.25" customHeight="1" x14ac:dyDescent="0.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</row>
    <row r="133" spans="1:23" ht="14.25" customHeight="1" x14ac:dyDescent="0.2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</row>
    <row r="134" spans="1:23" ht="14.25" customHeight="1" x14ac:dyDescent="0.2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</row>
    <row r="135" spans="1:23" ht="14.25" customHeight="1" x14ac:dyDescent="0.2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</row>
    <row r="136" spans="1:23" ht="14.25" customHeight="1" x14ac:dyDescent="0.2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</row>
    <row r="137" spans="1:23" ht="14.25" customHeight="1" x14ac:dyDescent="0.2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</row>
    <row r="138" spans="1:23" ht="14.25" customHeight="1" x14ac:dyDescent="0.2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</row>
    <row r="139" spans="1:23" ht="14.25" customHeight="1" x14ac:dyDescent="0.2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</row>
    <row r="140" spans="1:23" ht="14.25" customHeight="1" x14ac:dyDescent="0.2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</row>
    <row r="141" spans="1:23" ht="14.25" customHeight="1" x14ac:dyDescent="0.2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</row>
    <row r="142" spans="1:23" ht="14.25" customHeight="1" x14ac:dyDescent="0.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</row>
    <row r="143" spans="1:23" ht="14.25" customHeight="1" x14ac:dyDescent="0.2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</row>
    <row r="144" spans="1:23" ht="14.25" customHeight="1" x14ac:dyDescent="0.2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</row>
    <row r="145" spans="1:23" ht="14.25" customHeight="1" x14ac:dyDescent="0.2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</row>
    <row r="146" spans="1:23" ht="14.25" customHeight="1" x14ac:dyDescent="0.2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</row>
    <row r="147" spans="1:23" ht="14.25" customHeight="1" x14ac:dyDescent="0.2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</row>
    <row r="148" spans="1:23" ht="14.25" customHeight="1" x14ac:dyDescent="0.2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</row>
    <row r="149" spans="1:23" ht="14.25" customHeight="1" x14ac:dyDescent="0.2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</row>
    <row r="150" spans="1:23" ht="14.25" customHeight="1" x14ac:dyDescent="0.2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</row>
    <row r="151" spans="1:23" ht="14.25" customHeight="1" x14ac:dyDescent="0.2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</row>
    <row r="152" spans="1:23" ht="14.25" customHeight="1" x14ac:dyDescent="0.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</row>
    <row r="153" spans="1:23" ht="14.25" customHeight="1" x14ac:dyDescent="0.2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</row>
    <row r="154" spans="1:23" ht="14.25" customHeight="1" x14ac:dyDescent="0.2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</row>
    <row r="155" spans="1:23" ht="14.25" customHeight="1" x14ac:dyDescent="0.2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</row>
    <row r="156" spans="1:23" ht="14.25" customHeight="1" x14ac:dyDescent="0.2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</row>
    <row r="157" spans="1:23" ht="14.25" customHeight="1" x14ac:dyDescent="0.2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</row>
    <row r="158" spans="1:23" ht="14.25" customHeight="1" x14ac:dyDescent="0.2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</row>
    <row r="159" spans="1:23" ht="14.25" customHeight="1" x14ac:dyDescent="0.2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</row>
    <row r="160" spans="1:23" ht="14.25" customHeight="1" x14ac:dyDescent="0.2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</row>
    <row r="161" spans="1:23" ht="14.25" customHeight="1" x14ac:dyDescent="0.2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</row>
    <row r="162" spans="1:23" ht="14.25" customHeight="1" x14ac:dyDescent="0.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</row>
    <row r="163" spans="1:23" ht="14.25" customHeight="1" x14ac:dyDescent="0.2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</row>
    <row r="164" spans="1:23" ht="14.25" customHeight="1" x14ac:dyDescent="0.2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</row>
    <row r="165" spans="1:23" ht="14.25" customHeight="1" x14ac:dyDescent="0.2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</row>
    <row r="166" spans="1:23" ht="14.25" customHeight="1" x14ac:dyDescent="0.2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</row>
    <row r="167" spans="1:23" ht="14.25" customHeight="1" x14ac:dyDescent="0.2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</row>
    <row r="168" spans="1:23" ht="14.25" customHeight="1" x14ac:dyDescent="0.2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</row>
    <row r="169" spans="1:23" ht="14.25" customHeight="1" x14ac:dyDescent="0.2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</row>
    <row r="170" spans="1:23" ht="14.25" customHeight="1" x14ac:dyDescent="0.2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</row>
    <row r="171" spans="1:23" ht="14.25" customHeight="1" x14ac:dyDescent="0.2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</row>
    <row r="172" spans="1:23" ht="14.25" customHeight="1" x14ac:dyDescent="0.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</row>
    <row r="173" spans="1:23" ht="14.25" customHeight="1" x14ac:dyDescent="0.2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</row>
    <row r="174" spans="1:23" ht="14.25" customHeight="1" x14ac:dyDescent="0.2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</row>
    <row r="175" spans="1:23" ht="14.25" customHeight="1" x14ac:dyDescent="0.2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</row>
    <row r="176" spans="1:23" ht="14.25" customHeight="1" x14ac:dyDescent="0.2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</row>
    <row r="177" spans="1:23" ht="14.25" customHeight="1" x14ac:dyDescent="0.2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</row>
    <row r="178" spans="1:23" ht="14.25" customHeight="1" x14ac:dyDescent="0.2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</row>
    <row r="179" spans="1:23" ht="14.25" customHeight="1" x14ac:dyDescent="0.2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</row>
    <row r="180" spans="1:23" ht="14.25" customHeight="1" x14ac:dyDescent="0.2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</row>
    <row r="181" spans="1:23" ht="14.25" customHeight="1" x14ac:dyDescent="0.2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</row>
    <row r="182" spans="1:23" ht="14.25" customHeight="1" x14ac:dyDescent="0.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</row>
    <row r="183" spans="1:23" ht="14.25" customHeight="1" x14ac:dyDescent="0.2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</row>
    <row r="184" spans="1:23" ht="14.25" customHeight="1" x14ac:dyDescent="0.2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</row>
    <row r="185" spans="1:23" ht="14.25" customHeight="1" x14ac:dyDescent="0.2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</row>
    <row r="186" spans="1:23" ht="14.25" customHeight="1" x14ac:dyDescent="0.2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</row>
    <row r="187" spans="1:23" ht="14.25" customHeight="1" x14ac:dyDescent="0.2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</row>
    <row r="188" spans="1:23" ht="14.25" customHeight="1" x14ac:dyDescent="0.2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</row>
    <row r="189" spans="1:23" ht="14.25" customHeight="1" x14ac:dyDescent="0.2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</row>
    <row r="190" spans="1:23" ht="14.25" customHeight="1" x14ac:dyDescent="0.2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</row>
    <row r="191" spans="1:23" ht="14.25" customHeight="1" x14ac:dyDescent="0.2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</row>
    <row r="192" spans="1:23" ht="14.25" customHeight="1" x14ac:dyDescent="0.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</row>
    <row r="193" spans="1:23" ht="14.25" customHeight="1" x14ac:dyDescent="0.2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</row>
    <row r="194" spans="1:23" ht="14.25" customHeight="1" x14ac:dyDescent="0.2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</row>
    <row r="195" spans="1:23" ht="14.25" customHeight="1" x14ac:dyDescent="0.2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</row>
    <row r="196" spans="1:23" ht="14.25" customHeight="1" x14ac:dyDescent="0.2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</row>
    <row r="197" spans="1:23" ht="14.25" customHeight="1" x14ac:dyDescent="0.2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</row>
    <row r="198" spans="1:23" ht="14.25" customHeight="1" x14ac:dyDescent="0.2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</row>
    <row r="199" spans="1:23" ht="14.25" customHeight="1" x14ac:dyDescent="0.2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</row>
    <row r="200" spans="1:23" ht="14.25" customHeight="1" x14ac:dyDescent="0.2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</row>
    <row r="201" spans="1:23" ht="14.25" customHeight="1" x14ac:dyDescent="0.2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</row>
    <row r="202" spans="1:23" ht="14.25" customHeight="1" x14ac:dyDescent="0.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</row>
    <row r="203" spans="1:23" ht="14.25" customHeight="1" x14ac:dyDescent="0.2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</row>
    <row r="204" spans="1:23" ht="14.25" customHeight="1" x14ac:dyDescent="0.2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</row>
    <row r="205" spans="1:23" ht="14.25" customHeight="1" x14ac:dyDescent="0.2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</row>
    <row r="206" spans="1:23" ht="14.25" customHeight="1" x14ac:dyDescent="0.2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</row>
    <row r="207" spans="1:23" ht="14.25" customHeight="1" x14ac:dyDescent="0.2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</row>
    <row r="208" spans="1:23" ht="14.25" customHeight="1" x14ac:dyDescent="0.2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</row>
    <row r="209" spans="1:23" ht="14.25" customHeight="1" x14ac:dyDescent="0.2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</row>
    <row r="210" spans="1:23" ht="14.25" customHeight="1" x14ac:dyDescent="0.2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</row>
    <row r="211" spans="1:23" ht="14.25" customHeight="1" x14ac:dyDescent="0.2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</row>
    <row r="212" spans="1:23" ht="14.25" customHeight="1" x14ac:dyDescent="0.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</row>
    <row r="213" spans="1:23" ht="14.25" customHeight="1" x14ac:dyDescent="0.2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</row>
    <row r="214" spans="1:23" ht="14.25" customHeight="1" x14ac:dyDescent="0.2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</row>
    <row r="215" spans="1:23" ht="14.25" customHeight="1" x14ac:dyDescent="0.2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</row>
    <row r="216" spans="1:23" ht="14.25" customHeight="1" x14ac:dyDescent="0.2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</row>
    <row r="217" spans="1:23" ht="14.25" customHeight="1" x14ac:dyDescent="0.2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</row>
    <row r="218" spans="1:23" ht="14.25" customHeight="1" x14ac:dyDescent="0.2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</row>
    <row r="219" spans="1:23" ht="14.25" customHeight="1" x14ac:dyDescent="0.2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</row>
    <row r="220" spans="1:23" ht="14.25" customHeight="1" x14ac:dyDescent="0.2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</row>
    <row r="221" spans="1:23" ht="14.25" customHeight="1" x14ac:dyDescent="0.2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</row>
    <row r="222" spans="1:23" ht="14.25" customHeight="1" x14ac:dyDescent="0.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</row>
    <row r="223" spans="1:23" ht="14.25" customHeight="1" x14ac:dyDescent="0.2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</row>
    <row r="224" spans="1:23" ht="14.25" customHeight="1" x14ac:dyDescent="0.2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</row>
    <row r="225" spans="1:23" ht="14.25" customHeight="1" x14ac:dyDescent="0.2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</row>
    <row r="226" spans="1:23" ht="14.25" customHeight="1" x14ac:dyDescent="0.2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</row>
    <row r="227" spans="1:23" ht="14.25" customHeight="1" x14ac:dyDescent="0.2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</row>
    <row r="228" spans="1:23" ht="14.25" customHeight="1" x14ac:dyDescent="0.2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</row>
    <row r="229" spans="1:23" ht="14.25" customHeight="1" x14ac:dyDescent="0.2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</row>
    <row r="230" spans="1:23" ht="14.25" customHeight="1" x14ac:dyDescent="0.2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</row>
    <row r="231" spans="1:23" ht="14.25" customHeight="1" x14ac:dyDescent="0.2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</row>
    <row r="232" spans="1:23" ht="14.25" customHeight="1" x14ac:dyDescent="0.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</row>
    <row r="233" spans="1:23" ht="14.25" customHeight="1" x14ac:dyDescent="0.2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</row>
    <row r="234" spans="1:23" ht="14.25" customHeight="1" x14ac:dyDescent="0.2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</row>
    <row r="235" spans="1:23" ht="14.25" customHeight="1" x14ac:dyDescent="0.2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</row>
    <row r="236" spans="1:23" ht="14.25" customHeight="1" x14ac:dyDescent="0.2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</row>
    <row r="237" spans="1:23" ht="14.25" customHeight="1" x14ac:dyDescent="0.2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</row>
    <row r="238" spans="1:23" ht="14.25" customHeight="1" x14ac:dyDescent="0.2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</row>
    <row r="239" spans="1:23" ht="14.25" customHeight="1" x14ac:dyDescent="0.2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</row>
    <row r="240" spans="1:23" ht="14.25" customHeight="1" x14ac:dyDescent="0.2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</row>
    <row r="241" spans="1:23" ht="14.25" customHeight="1" x14ac:dyDescent="0.2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</row>
    <row r="242" spans="1:23" ht="14.25" customHeight="1" x14ac:dyDescent="0.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</row>
    <row r="243" spans="1:23" ht="14.25" customHeight="1" x14ac:dyDescent="0.2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</row>
    <row r="244" spans="1:23" ht="14.25" customHeight="1" x14ac:dyDescent="0.2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</row>
    <row r="245" spans="1:23" ht="14.25" customHeight="1" x14ac:dyDescent="0.2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</row>
    <row r="246" spans="1:23" ht="14.25" customHeight="1" x14ac:dyDescent="0.2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</row>
    <row r="247" spans="1:23" ht="14.25" customHeight="1" x14ac:dyDescent="0.2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</row>
    <row r="248" spans="1:23" ht="14.25" customHeight="1" x14ac:dyDescent="0.2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</row>
    <row r="249" spans="1:23" ht="14.25" customHeight="1" x14ac:dyDescent="0.2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</row>
    <row r="250" spans="1:23" ht="14.25" customHeight="1" x14ac:dyDescent="0.2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</row>
    <row r="251" spans="1:23" ht="14.25" customHeight="1" x14ac:dyDescent="0.2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</row>
    <row r="252" spans="1:23" ht="14.25" customHeight="1" x14ac:dyDescent="0.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</row>
    <row r="253" spans="1:23" ht="14.25" customHeight="1" x14ac:dyDescent="0.2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</row>
    <row r="254" spans="1:23" ht="14.25" customHeight="1" x14ac:dyDescent="0.2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</row>
    <row r="255" spans="1:23" ht="14.25" customHeight="1" x14ac:dyDescent="0.2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</row>
    <row r="256" spans="1:23" ht="14.25" customHeight="1" x14ac:dyDescent="0.2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</row>
    <row r="257" spans="1:23" ht="14.25" customHeight="1" x14ac:dyDescent="0.2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</row>
    <row r="258" spans="1:23" ht="14.25" customHeight="1" x14ac:dyDescent="0.2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</row>
    <row r="259" spans="1:23" ht="14.25" customHeight="1" x14ac:dyDescent="0.2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</row>
    <row r="260" spans="1:23" ht="14.25" customHeight="1" x14ac:dyDescent="0.2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</row>
    <row r="261" spans="1:23" ht="14.25" customHeight="1" x14ac:dyDescent="0.2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</row>
    <row r="262" spans="1:23" ht="14.25" customHeight="1" x14ac:dyDescent="0.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</row>
    <row r="263" spans="1:23" ht="14.25" customHeight="1" x14ac:dyDescent="0.2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</row>
    <row r="264" spans="1:23" ht="14.25" customHeight="1" x14ac:dyDescent="0.2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</row>
    <row r="265" spans="1:23" ht="14.25" customHeight="1" x14ac:dyDescent="0.2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</row>
    <row r="266" spans="1:23" ht="14.25" customHeight="1" x14ac:dyDescent="0.2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</row>
    <row r="267" spans="1:23" ht="14.25" customHeight="1" x14ac:dyDescent="0.2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</row>
    <row r="268" spans="1:23" ht="14.25" customHeight="1" x14ac:dyDescent="0.2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</row>
    <row r="269" spans="1:23" ht="14.25" customHeight="1" x14ac:dyDescent="0.2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</row>
    <row r="270" spans="1:23" ht="14.25" customHeight="1" x14ac:dyDescent="0.2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</row>
    <row r="271" spans="1:23" ht="14.25" customHeight="1" x14ac:dyDescent="0.2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</row>
    <row r="272" spans="1:23" ht="14.25" customHeight="1" x14ac:dyDescent="0.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</row>
    <row r="273" spans="1:23" ht="14.25" customHeight="1" x14ac:dyDescent="0.2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</row>
    <row r="274" spans="1:23" ht="14.25" customHeight="1" x14ac:dyDescent="0.2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</row>
    <row r="275" spans="1:23" ht="14.25" customHeight="1" x14ac:dyDescent="0.2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</row>
    <row r="276" spans="1:23" ht="14.25" customHeight="1" x14ac:dyDescent="0.2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</row>
    <row r="277" spans="1:23" ht="14.25" customHeight="1" x14ac:dyDescent="0.2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</row>
    <row r="278" spans="1:23" ht="14.25" customHeight="1" x14ac:dyDescent="0.2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</row>
    <row r="279" spans="1:23" ht="14.25" customHeight="1" x14ac:dyDescent="0.2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</row>
    <row r="280" spans="1:23" ht="14.25" customHeight="1" x14ac:dyDescent="0.2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</row>
    <row r="281" spans="1:23" ht="14.25" customHeight="1" x14ac:dyDescent="0.2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</row>
    <row r="282" spans="1:23" ht="14.25" customHeight="1" x14ac:dyDescent="0.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</row>
    <row r="283" spans="1:23" ht="14.25" customHeight="1" x14ac:dyDescent="0.2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</row>
    <row r="284" spans="1:23" ht="14.25" customHeight="1" x14ac:dyDescent="0.2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</row>
    <row r="285" spans="1:23" ht="14.25" customHeight="1" x14ac:dyDescent="0.2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</row>
    <row r="286" spans="1:23" ht="14.25" customHeight="1" x14ac:dyDescent="0.2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</row>
    <row r="287" spans="1:23" ht="14.25" customHeight="1" x14ac:dyDescent="0.2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</row>
    <row r="288" spans="1:23" ht="14.25" customHeight="1" x14ac:dyDescent="0.2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</row>
    <row r="289" spans="1:23" ht="14.25" customHeight="1" x14ac:dyDescent="0.2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</row>
    <row r="290" spans="1:23" ht="14.25" customHeight="1" x14ac:dyDescent="0.2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</row>
    <row r="291" spans="1:23" ht="14.25" customHeight="1" x14ac:dyDescent="0.2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</row>
    <row r="292" spans="1:23" ht="14.25" customHeight="1" x14ac:dyDescent="0.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</row>
    <row r="293" spans="1:23" ht="14.25" customHeight="1" x14ac:dyDescent="0.2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</row>
    <row r="294" spans="1:23" ht="14.25" customHeight="1" x14ac:dyDescent="0.2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</row>
    <row r="295" spans="1:23" ht="14.25" customHeight="1" x14ac:dyDescent="0.2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</row>
    <row r="296" spans="1:23" ht="14.25" customHeight="1" x14ac:dyDescent="0.2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</row>
    <row r="297" spans="1:23" ht="14.25" customHeight="1" x14ac:dyDescent="0.2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</row>
    <row r="298" spans="1:23" ht="14.25" customHeight="1" x14ac:dyDescent="0.2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</row>
    <row r="299" spans="1:23" ht="14.25" customHeight="1" x14ac:dyDescent="0.2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</row>
    <row r="300" spans="1:23" ht="14.25" customHeight="1" x14ac:dyDescent="0.2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</row>
    <row r="301" spans="1:23" ht="14.25" customHeight="1" x14ac:dyDescent="0.2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</row>
    <row r="302" spans="1:23" ht="14.25" customHeight="1" x14ac:dyDescent="0.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</row>
    <row r="303" spans="1:23" ht="14.25" customHeight="1" x14ac:dyDescent="0.2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</row>
    <row r="304" spans="1:23" ht="14.25" customHeight="1" x14ac:dyDescent="0.2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</row>
    <row r="305" spans="1:23" ht="14.25" customHeight="1" x14ac:dyDescent="0.2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</row>
    <row r="306" spans="1:23" ht="14.25" customHeight="1" x14ac:dyDescent="0.2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</row>
    <row r="307" spans="1:23" ht="14.25" customHeight="1" x14ac:dyDescent="0.2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</row>
    <row r="308" spans="1:23" ht="14.25" customHeight="1" x14ac:dyDescent="0.2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</row>
    <row r="309" spans="1:23" ht="14.25" customHeight="1" x14ac:dyDescent="0.2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</row>
    <row r="310" spans="1:23" ht="14.25" customHeight="1" x14ac:dyDescent="0.2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</row>
    <row r="311" spans="1:23" ht="14.25" customHeight="1" x14ac:dyDescent="0.2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</row>
    <row r="312" spans="1:23" ht="14.25" customHeight="1" x14ac:dyDescent="0.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</row>
    <row r="313" spans="1:23" ht="14.25" customHeight="1" x14ac:dyDescent="0.2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</row>
    <row r="314" spans="1:23" ht="14.25" customHeight="1" x14ac:dyDescent="0.2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</row>
    <row r="315" spans="1:23" ht="14.25" customHeight="1" x14ac:dyDescent="0.2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</row>
    <row r="316" spans="1:23" ht="14.25" customHeight="1" x14ac:dyDescent="0.2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</row>
    <row r="317" spans="1:23" ht="14.25" customHeight="1" x14ac:dyDescent="0.2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</row>
    <row r="318" spans="1:23" ht="14.25" customHeight="1" x14ac:dyDescent="0.2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</row>
    <row r="319" spans="1:23" ht="14.25" customHeight="1" x14ac:dyDescent="0.2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</row>
    <row r="320" spans="1:23" ht="14.25" customHeight="1" x14ac:dyDescent="0.2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</row>
    <row r="321" spans="1:23" ht="14.25" customHeight="1" x14ac:dyDescent="0.2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</row>
    <row r="322" spans="1:23" ht="14.25" customHeight="1" x14ac:dyDescent="0.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</row>
    <row r="323" spans="1:23" ht="14.25" customHeight="1" x14ac:dyDescent="0.2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</row>
    <row r="324" spans="1:23" ht="14.25" customHeight="1" x14ac:dyDescent="0.2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</row>
    <row r="325" spans="1:23" ht="14.25" customHeight="1" x14ac:dyDescent="0.2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</row>
    <row r="326" spans="1:23" ht="14.25" customHeight="1" x14ac:dyDescent="0.2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</row>
    <row r="327" spans="1:23" ht="14.25" customHeight="1" x14ac:dyDescent="0.2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</row>
    <row r="328" spans="1:23" ht="14.25" customHeight="1" x14ac:dyDescent="0.2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</row>
    <row r="329" spans="1:23" ht="14.25" customHeight="1" x14ac:dyDescent="0.2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</row>
    <row r="330" spans="1:23" ht="14.25" customHeight="1" x14ac:dyDescent="0.2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</row>
    <row r="331" spans="1:23" ht="14.25" customHeight="1" x14ac:dyDescent="0.2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</row>
    <row r="332" spans="1:23" ht="14.25" customHeight="1" x14ac:dyDescent="0.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</row>
    <row r="333" spans="1:23" ht="14.25" customHeight="1" x14ac:dyDescent="0.2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</row>
    <row r="334" spans="1:23" ht="14.25" customHeight="1" x14ac:dyDescent="0.2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</row>
    <row r="335" spans="1:23" ht="14.25" customHeight="1" x14ac:dyDescent="0.2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</row>
    <row r="336" spans="1:23" ht="14.25" customHeight="1" x14ac:dyDescent="0.2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</row>
    <row r="337" spans="1:23" ht="14.25" customHeight="1" x14ac:dyDescent="0.2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</row>
    <row r="338" spans="1:23" ht="14.25" customHeight="1" x14ac:dyDescent="0.2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</row>
    <row r="339" spans="1:23" ht="14.25" customHeight="1" x14ac:dyDescent="0.2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</row>
    <row r="340" spans="1:23" ht="14.25" customHeight="1" x14ac:dyDescent="0.2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</row>
    <row r="341" spans="1:23" ht="14.25" customHeight="1" x14ac:dyDescent="0.2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</row>
    <row r="342" spans="1:23" ht="14.25" customHeight="1" x14ac:dyDescent="0.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</row>
    <row r="343" spans="1:23" ht="14.25" customHeight="1" x14ac:dyDescent="0.2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</row>
    <row r="344" spans="1:23" ht="14.25" customHeight="1" x14ac:dyDescent="0.2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</row>
    <row r="345" spans="1:23" ht="14.25" customHeight="1" x14ac:dyDescent="0.2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</row>
    <row r="346" spans="1:23" ht="14.25" customHeight="1" x14ac:dyDescent="0.2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</row>
    <row r="347" spans="1:23" ht="14.25" customHeight="1" x14ac:dyDescent="0.2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</row>
    <row r="348" spans="1:23" ht="14.25" customHeight="1" x14ac:dyDescent="0.2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</row>
    <row r="349" spans="1:23" ht="14.25" customHeight="1" x14ac:dyDescent="0.2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</row>
    <row r="350" spans="1:23" ht="14.25" customHeight="1" x14ac:dyDescent="0.2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</row>
    <row r="351" spans="1:23" ht="14.25" customHeight="1" x14ac:dyDescent="0.2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</row>
    <row r="352" spans="1:23" ht="14.25" customHeight="1" x14ac:dyDescent="0.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</row>
    <row r="353" spans="1:23" ht="14.25" customHeight="1" x14ac:dyDescent="0.2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</row>
    <row r="354" spans="1:23" ht="14.25" customHeight="1" x14ac:dyDescent="0.2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</row>
    <row r="355" spans="1:23" ht="14.25" customHeight="1" x14ac:dyDescent="0.2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</row>
    <row r="356" spans="1:23" ht="14.25" customHeight="1" x14ac:dyDescent="0.2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</row>
    <row r="357" spans="1:23" ht="14.25" customHeight="1" x14ac:dyDescent="0.2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</row>
    <row r="358" spans="1:23" ht="14.25" customHeight="1" x14ac:dyDescent="0.2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</row>
    <row r="359" spans="1:23" ht="14.25" customHeight="1" x14ac:dyDescent="0.2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</row>
    <row r="360" spans="1:23" ht="14.25" customHeight="1" x14ac:dyDescent="0.2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</row>
    <row r="361" spans="1:23" ht="14.25" customHeight="1" x14ac:dyDescent="0.2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</row>
    <row r="362" spans="1:23" ht="14.25" customHeight="1" x14ac:dyDescent="0.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</row>
    <row r="363" spans="1:23" ht="14.25" customHeight="1" x14ac:dyDescent="0.2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</row>
    <row r="364" spans="1:23" ht="14.25" customHeight="1" x14ac:dyDescent="0.2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</row>
    <row r="365" spans="1:23" ht="14.25" customHeight="1" x14ac:dyDescent="0.2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</row>
    <row r="366" spans="1:23" ht="14.25" customHeight="1" x14ac:dyDescent="0.2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</row>
    <row r="367" spans="1:23" ht="14.25" customHeight="1" x14ac:dyDescent="0.2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</row>
    <row r="368" spans="1:23" ht="14.25" customHeight="1" x14ac:dyDescent="0.2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</row>
    <row r="369" spans="1:23" ht="14.25" customHeight="1" x14ac:dyDescent="0.2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</row>
    <row r="370" spans="1:23" ht="14.25" customHeight="1" x14ac:dyDescent="0.2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</row>
    <row r="371" spans="1:23" ht="14.25" customHeight="1" x14ac:dyDescent="0.2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</row>
    <row r="372" spans="1:23" ht="14.25" customHeight="1" x14ac:dyDescent="0.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</row>
    <row r="373" spans="1:23" ht="14.25" customHeight="1" x14ac:dyDescent="0.2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</row>
    <row r="374" spans="1:23" ht="14.25" customHeight="1" x14ac:dyDescent="0.2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</row>
    <row r="375" spans="1:23" ht="14.25" customHeight="1" x14ac:dyDescent="0.2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</row>
    <row r="376" spans="1:23" ht="14.25" customHeight="1" x14ac:dyDescent="0.2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</row>
    <row r="377" spans="1:23" ht="14.25" customHeight="1" x14ac:dyDescent="0.2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</row>
    <row r="378" spans="1:23" ht="14.25" customHeight="1" x14ac:dyDescent="0.2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</row>
    <row r="379" spans="1:23" ht="14.25" customHeight="1" x14ac:dyDescent="0.2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</row>
    <row r="380" spans="1:23" ht="14.25" customHeight="1" x14ac:dyDescent="0.2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</row>
    <row r="381" spans="1:23" ht="14.25" customHeight="1" x14ac:dyDescent="0.2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</row>
    <row r="382" spans="1:23" ht="14.25" customHeight="1" x14ac:dyDescent="0.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</row>
    <row r="383" spans="1:23" ht="14.25" customHeight="1" x14ac:dyDescent="0.2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</row>
    <row r="384" spans="1:23" ht="14.25" customHeight="1" x14ac:dyDescent="0.2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</row>
    <row r="385" spans="1:23" ht="14.25" customHeight="1" x14ac:dyDescent="0.2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</row>
    <row r="386" spans="1:23" ht="14.25" customHeight="1" x14ac:dyDescent="0.2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</row>
    <row r="387" spans="1:23" ht="14.25" customHeight="1" x14ac:dyDescent="0.2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</row>
    <row r="388" spans="1:23" ht="14.25" customHeight="1" x14ac:dyDescent="0.2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</row>
    <row r="389" spans="1:23" ht="14.25" customHeight="1" x14ac:dyDescent="0.2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</row>
    <row r="390" spans="1:23" ht="14.25" customHeight="1" x14ac:dyDescent="0.2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</row>
    <row r="391" spans="1:23" ht="14.25" customHeight="1" x14ac:dyDescent="0.2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</row>
    <row r="392" spans="1:23" ht="14.25" customHeight="1" x14ac:dyDescent="0.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</row>
    <row r="393" spans="1:23" ht="14.25" customHeight="1" x14ac:dyDescent="0.2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</row>
    <row r="394" spans="1:23" ht="14.25" customHeight="1" x14ac:dyDescent="0.2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</row>
    <row r="395" spans="1:23" ht="14.25" customHeight="1" x14ac:dyDescent="0.2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</row>
    <row r="396" spans="1:23" ht="14.25" customHeight="1" x14ac:dyDescent="0.2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</row>
    <row r="397" spans="1:23" ht="14.25" customHeight="1" x14ac:dyDescent="0.2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</row>
    <row r="398" spans="1:23" ht="14.25" customHeight="1" x14ac:dyDescent="0.2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</row>
    <row r="399" spans="1:23" ht="14.25" customHeight="1" x14ac:dyDescent="0.2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</row>
    <row r="400" spans="1:23" ht="14.25" customHeight="1" x14ac:dyDescent="0.2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</row>
    <row r="401" spans="1:23" ht="14.25" customHeight="1" x14ac:dyDescent="0.2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</row>
    <row r="402" spans="1:23" ht="14.25" customHeight="1" x14ac:dyDescent="0.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</row>
    <row r="403" spans="1:23" ht="14.25" customHeight="1" x14ac:dyDescent="0.2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</row>
    <row r="404" spans="1:23" ht="14.25" customHeight="1" x14ac:dyDescent="0.2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</row>
    <row r="405" spans="1:23" ht="14.25" customHeight="1" x14ac:dyDescent="0.2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</row>
    <row r="406" spans="1:23" ht="14.25" customHeight="1" x14ac:dyDescent="0.2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</row>
    <row r="407" spans="1:23" ht="14.25" customHeight="1" x14ac:dyDescent="0.2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</row>
    <row r="408" spans="1:23" ht="14.25" customHeight="1" x14ac:dyDescent="0.2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</row>
    <row r="409" spans="1:23" ht="14.25" customHeight="1" x14ac:dyDescent="0.2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</row>
    <row r="410" spans="1:23" ht="14.25" customHeight="1" x14ac:dyDescent="0.2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</row>
    <row r="411" spans="1:23" ht="14.25" customHeight="1" x14ac:dyDescent="0.2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</row>
    <row r="412" spans="1:23" ht="14.25" customHeight="1" x14ac:dyDescent="0.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</row>
    <row r="413" spans="1:23" ht="14.25" customHeight="1" x14ac:dyDescent="0.2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</row>
    <row r="414" spans="1:23" ht="14.25" customHeight="1" x14ac:dyDescent="0.2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</row>
    <row r="415" spans="1:23" ht="14.25" customHeight="1" x14ac:dyDescent="0.2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</row>
    <row r="416" spans="1:23" ht="14.25" customHeight="1" x14ac:dyDescent="0.2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</row>
    <row r="417" spans="1:23" ht="14.25" customHeight="1" x14ac:dyDescent="0.2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</row>
    <row r="418" spans="1:23" ht="14.25" customHeight="1" x14ac:dyDescent="0.2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</row>
    <row r="419" spans="1:23" ht="14.25" customHeight="1" x14ac:dyDescent="0.2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</row>
    <row r="420" spans="1:23" ht="14.25" customHeight="1" x14ac:dyDescent="0.2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</row>
    <row r="421" spans="1:23" ht="14.25" customHeight="1" x14ac:dyDescent="0.2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</row>
    <row r="422" spans="1:23" ht="14.25" customHeight="1" x14ac:dyDescent="0.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</row>
    <row r="423" spans="1:23" ht="14.25" customHeight="1" x14ac:dyDescent="0.2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</row>
    <row r="424" spans="1:23" ht="14.25" customHeight="1" x14ac:dyDescent="0.2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</row>
    <row r="425" spans="1:23" ht="14.25" customHeight="1" x14ac:dyDescent="0.2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</row>
    <row r="426" spans="1:23" ht="14.25" customHeight="1" x14ac:dyDescent="0.2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</row>
    <row r="427" spans="1:23" ht="14.25" customHeight="1" x14ac:dyDescent="0.2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</row>
    <row r="428" spans="1:23" ht="14.25" customHeight="1" x14ac:dyDescent="0.2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</row>
    <row r="429" spans="1:23" ht="14.25" customHeight="1" x14ac:dyDescent="0.2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</row>
    <row r="430" spans="1:23" ht="14.25" customHeight="1" x14ac:dyDescent="0.2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</row>
    <row r="431" spans="1:23" ht="14.25" customHeight="1" x14ac:dyDescent="0.2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</row>
    <row r="432" spans="1:23" ht="14.25" customHeight="1" x14ac:dyDescent="0.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</row>
    <row r="433" spans="1:23" ht="14.25" customHeight="1" x14ac:dyDescent="0.2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</row>
    <row r="434" spans="1:23" ht="14.25" customHeight="1" x14ac:dyDescent="0.2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</row>
    <row r="435" spans="1:23" ht="14.25" customHeight="1" x14ac:dyDescent="0.2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</row>
    <row r="436" spans="1:23" ht="14.25" customHeight="1" x14ac:dyDescent="0.2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</row>
    <row r="437" spans="1:23" ht="14.25" customHeight="1" x14ac:dyDescent="0.2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</row>
    <row r="438" spans="1:23" ht="14.25" customHeight="1" x14ac:dyDescent="0.2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</row>
    <row r="439" spans="1:23" ht="14.25" customHeight="1" x14ac:dyDescent="0.2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</row>
    <row r="440" spans="1:23" ht="14.25" customHeight="1" x14ac:dyDescent="0.2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</row>
    <row r="441" spans="1:23" ht="14.25" customHeight="1" x14ac:dyDescent="0.2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</row>
    <row r="442" spans="1:23" ht="14.25" customHeight="1" x14ac:dyDescent="0.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</row>
    <row r="443" spans="1:23" ht="14.25" customHeight="1" x14ac:dyDescent="0.2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</row>
    <row r="444" spans="1:23" ht="14.25" customHeight="1" x14ac:dyDescent="0.2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</row>
    <row r="445" spans="1:23" ht="14.25" customHeight="1" x14ac:dyDescent="0.2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</row>
    <row r="446" spans="1:23" ht="14.25" customHeight="1" x14ac:dyDescent="0.2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</row>
    <row r="447" spans="1:23" ht="14.25" customHeight="1" x14ac:dyDescent="0.2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</row>
    <row r="448" spans="1:23" ht="14.25" customHeight="1" x14ac:dyDescent="0.2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</row>
    <row r="449" spans="1:23" ht="14.25" customHeight="1" x14ac:dyDescent="0.2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</row>
    <row r="450" spans="1:23" ht="14.25" customHeight="1" x14ac:dyDescent="0.2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</row>
    <row r="451" spans="1:23" ht="14.25" customHeight="1" x14ac:dyDescent="0.2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</row>
    <row r="452" spans="1:23" ht="14.25" customHeight="1" x14ac:dyDescent="0.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</row>
    <row r="453" spans="1:23" ht="14.25" customHeight="1" x14ac:dyDescent="0.2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</row>
    <row r="454" spans="1:23" ht="14.25" customHeight="1" x14ac:dyDescent="0.2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</row>
    <row r="455" spans="1:23" ht="14.25" customHeight="1" x14ac:dyDescent="0.2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</row>
    <row r="456" spans="1:23" ht="14.25" customHeight="1" x14ac:dyDescent="0.2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</row>
    <row r="457" spans="1:23" ht="14.25" customHeight="1" x14ac:dyDescent="0.2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</row>
    <row r="458" spans="1:23" ht="14.25" customHeight="1" x14ac:dyDescent="0.2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</row>
    <row r="459" spans="1:23" ht="14.25" customHeight="1" x14ac:dyDescent="0.2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</row>
    <row r="460" spans="1:23" ht="14.25" customHeight="1" x14ac:dyDescent="0.2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</row>
    <row r="461" spans="1:23" ht="14.25" customHeight="1" x14ac:dyDescent="0.2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</row>
    <row r="462" spans="1:23" ht="14.25" customHeight="1" x14ac:dyDescent="0.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</row>
    <row r="463" spans="1:23" ht="14.25" customHeight="1" x14ac:dyDescent="0.2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</row>
    <row r="464" spans="1:23" ht="14.25" customHeight="1" x14ac:dyDescent="0.2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</row>
    <row r="465" spans="1:23" ht="14.25" customHeight="1" x14ac:dyDescent="0.2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</row>
    <row r="466" spans="1:23" ht="14.25" customHeight="1" x14ac:dyDescent="0.2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</row>
    <row r="467" spans="1:23" ht="14.25" customHeight="1" x14ac:dyDescent="0.2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</row>
    <row r="468" spans="1:23" ht="14.25" customHeight="1" x14ac:dyDescent="0.2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</row>
    <row r="469" spans="1:23" ht="14.25" customHeight="1" x14ac:dyDescent="0.2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</row>
    <row r="470" spans="1:23" ht="14.25" customHeight="1" x14ac:dyDescent="0.2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</row>
    <row r="471" spans="1:23" ht="14.25" customHeight="1" x14ac:dyDescent="0.2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</row>
    <row r="472" spans="1:23" ht="14.25" customHeight="1" x14ac:dyDescent="0.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</row>
    <row r="473" spans="1:23" ht="14.25" customHeight="1" x14ac:dyDescent="0.2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</row>
    <row r="474" spans="1:23" ht="14.25" customHeight="1" x14ac:dyDescent="0.2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</row>
    <row r="475" spans="1:23" ht="14.25" customHeight="1" x14ac:dyDescent="0.2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</row>
    <row r="476" spans="1:23" ht="14.25" customHeight="1" x14ac:dyDescent="0.2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</row>
    <row r="477" spans="1:23" ht="14.25" customHeight="1" x14ac:dyDescent="0.2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</row>
    <row r="478" spans="1:23" ht="14.25" customHeight="1" x14ac:dyDescent="0.2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</row>
    <row r="479" spans="1:23" ht="14.25" customHeight="1" x14ac:dyDescent="0.2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</row>
    <row r="480" spans="1:23" ht="14.25" customHeight="1" x14ac:dyDescent="0.2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</row>
    <row r="481" spans="1:23" ht="14.25" customHeight="1" x14ac:dyDescent="0.2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</row>
    <row r="482" spans="1:23" ht="14.25" customHeight="1" x14ac:dyDescent="0.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</row>
    <row r="483" spans="1:23" ht="14.25" customHeight="1" x14ac:dyDescent="0.2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</row>
    <row r="484" spans="1:23" ht="14.25" customHeight="1" x14ac:dyDescent="0.2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</row>
    <row r="485" spans="1:23" ht="14.25" customHeight="1" x14ac:dyDescent="0.2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</row>
    <row r="486" spans="1:23" ht="14.25" customHeight="1" x14ac:dyDescent="0.2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</row>
    <row r="487" spans="1:23" ht="14.25" customHeight="1" x14ac:dyDescent="0.2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</row>
    <row r="488" spans="1:23" ht="14.25" customHeight="1" x14ac:dyDescent="0.2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</row>
    <row r="489" spans="1:23" ht="14.25" customHeight="1" x14ac:dyDescent="0.2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</row>
    <row r="490" spans="1:23" ht="14.25" customHeight="1" x14ac:dyDescent="0.2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</row>
    <row r="491" spans="1:23" ht="14.25" customHeight="1" x14ac:dyDescent="0.2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</row>
    <row r="492" spans="1:23" ht="14.25" customHeight="1" x14ac:dyDescent="0.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</row>
    <row r="493" spans="1:23" ht="14.25" customHeight="1" x14ac:dyDescent="0.2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</row>
    <row r="494" spans="1:23" ht="14.25" customHeight="1" x14ac:dyDescent="0.2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</row>
    <row r="495" spans="1:23" ht="14.25" customHeight="1" x14ac:dyDescent="0.2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</row>
    <row r="496" spans="1:23" ht="14.25" customHeight="1" x14ac:dyDescent="0.2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</row>
    <row r="497" spans="1:23" ht="14.25" customHeight="1" x14ac:dyDescent="0.2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</row>
    <row r="498" spans="1:23" ht="14.25" customHeight="1" x14ac:dyDescent="0.2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</row>
    <row r="499" spans="1:23" ht="14.25" customHeight="1" x14ac:dyDescent="0.2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</row>
    <row r="500" spans="1:23" ht="14.25" customHeight="1" x14ac:dyDescent="0.2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</row>
    <row r="501" spans="1:23" ht="14.25" customHeight="1" x14ac:dyDescent="0.2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</row>
    <row r="502" spans="1:23" ht="14.25" customHeight="1" x14ac:dyDescent="0.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</row>
    <row r="503" spans="1:23" ht="14.25" customHeight="1" x14ac:dyDescent="0.2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</row>
    <row r="504" spans="1:23" ht="14.25" customHeight="1" x14ac:dyDescent="0.2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</row>
    <row r="505" spans="1:23" ht="14.25" customHeight="1" x14ac:dyDescent="0.2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</row>
    <row r="506" spans="1:23" ht="14.25" customHeight="1" x14ac:dyDescent="0.2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</row>
    <row r="507" spans="1:23" ht="14.25" customHeight="1" x14ac:dyDescent="0.2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</row>
    <row r="508" spans="1:23" ht="14.25" customHeight="1" x14ac:dyDescent="0.2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</row>
    <row r="509" spans="1:23" ht="14.25" customHeight="1" x14ac:dyDescent="0.2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</row>
    <row r="510" spans="1:23" ht="14.25" customHeight="1" x14ac:dyDescent="0.2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</row>
    <row r="511" spans="1:23" ht="14.25" customHeight="1" x14ac:dyDescent="0.2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</row>
    <row r="512" spans="1:23" ht="14.25" customHeight="1" x14ac:dyDescent="0.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</row>
    <row r="513" spans="1:23" ht="14.25" customHeight="1" x14ac:dyDescent="0.2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</row>
    <row r="514" spans="1:23" ht="14.25" customHeight="1" x14ac:dyDescent="0.2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</row>
    <row r="515" spans="1:23" ht="14.25" customHeight="1" x14ac:dyDescent="0.2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</row>
    <row r="516" spans="1:23" ht="14.25" customHeight="1" x14ac:dyDescent="0.2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</row>
    <row r="517" spans="1:23" ht="14.25" customHeight="1" x14ac:dyDescent="0.2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</row>
    <row r="518" spans="1:23" ht="14.25" customHeight="1" x14ac:dyDescent="0.2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</row>
    <row r="519" spans="1:23" ht="14.25" customHeight="1" x14ac:dyDescent="0.2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</row>
    <row r="520" spans="1:23" ht="14.25" customHeight="1" x14ac:dyDescent="0.2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</row>
    <row r="521" spans="1:23" ht="14.25" customHeight="1" x14ac:dyDescent="0.2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</row>
    <row r="522" spans="1:23" ht="14.25" customHeight="1" x14ac:dyDescent="0.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</row>
    <row r="523" spans="1:23" ht="14.25" customHeight="1" x14ac:dyDescent="0.2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</row>
    <row r="524" spans="1:23" ht="14.25" customHeight="1" x14ac:dyDescent="0.2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</row>
    <row r="525" spans="1:23" ht="14.25" customHeight="1" x14ac:dyDescent="0.2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</row>
    <row r="526" spans="1:23" ht="14.25" customHeight="1" x14ac:dyDescent="0.2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</row>
    <row r="527" spans="1:23" ht="14.25" customHeight="1" x14ac:dyDescent="0.2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</row>
    <row r="528" spans="1:23" ht="14.25" customHeight="1" x14ac:dyDescent="0.2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</row>
    <row r="529" spans="1:23" ht="14.25" customHeight="1" x14ac:dyDescent="0.2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</row>
    <row r="530" spans="1:23" ht="14.25" customHeight="1" x14ac:dyDescent="0.2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</row>
    <row r="531" spans="1:23" ht="14.25" customHeight="1" x14ac:dyDescent="0.2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</row>
    <row r="532" spans="1:23" ht="14.25" customHeight="1" x14ac:dyDescent="0.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</row>
    <row r="533" spans="1:23" ht="14.25" customHeight="1" x14ac:dyDescent="0.2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</row>
    <row r="534" spans="1:23" ht="14.25" customHeight="1" x14ac:dyDescent="0.2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</row>
    <row r="535" spans="1:23" ht="14.25" customHeight="1" x14ac:dyDescent="0.2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</row>
    <row r="536" spans="1:23" ht="14.25" customHeight="1" x14ac:dyDescent="0.2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</row>
    <row r="537" spans="1:23" ht="14.25" customHeight="1" x14ac:dyDescent="0.2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</row>
    <row r="538" spans="1:23" ht="14.25" customHeight="1" x14ac:dyDescent="0.2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</row>
    <row r="539" spans="1:23" ht="14.25" customHeight="1" x14ac:dyDescent="0.2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</row>
    <row r="540" spans="1:23" ht="14.25" customHeight="1" x14ac:dyDescent="0.2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</row>
    <row r="541" spans="1:23" ht="14.25" customHeight="1" x14ac:dyDescent="0.2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</row>
    <row r="542" spans="1:23" ht="14.25" customHeight="1" x14ac:dyDescent="0.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</row>
    <row r="543" spans="1:23" ht="14.25" customHeight="1" x14ac:dyDescent="0.2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</row>
    <row r="544" spans="1:23" ht="14.25" customHeight="1" x14ac:dyDescent="0.2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</row>
    <row r="545" spans="1:23" ht="14.25" customHeight="1" x14ac:dyDescent="0.2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</row>
    <row r="546" spans="1:23" ht="14.25" customHeight="1" x14ac:dyDescent="0.2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</row>
    <row r="547" spans="1:23" ht="14.25" customHeight="1" x14ac:dyDescent="0.2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</row>
    <row r="548" spans="1:23" ht="14.25" customHeight="1" x14ac:dyDescent="0.2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</row>
    <row r="549" spans="1:23" ht="14.25" customHeight="1" x14ac:dyDescent="0.2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</row>
    <row r="550" spans="1:23" ht="14.25" customHeight="1" x14ac:dyDescent="0.2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</row>
    <row r="551" spans="1:23" ht="14.25" customHeight="1" x14ac:dyDescent="0.2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</row>
    <row r="552" spans="1:23" ht="14.25" customHeight="1" x14ac:dyDescent="0.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</row>
    <row r="553" spans="1:23" ht="14.25" customHeight="1" x14ac:dyDescent="0.2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</row>
    <row r="554" spans="1:23" ht="14.25" customHeight="1" x14ac:dyDescent="0.2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</row>
    <row r="555" spans="1:23" ht="14.25" customHeight="1" x14ac:dyDescent="0.2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</row>
    <row r="556" spans="1:23" ht="14.25" customHeight="1" x14ac:dyDescent="0.2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</row>
    <row r="557" spans="1:23" ht="14.25" customHeight="1" x14ac:dyDescent="0.2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</row>
    <row r="558" spans="1:23" ht="14.25" customHeight="1" x14ac:dyDescent="0.2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</row>
    <row r="559" spans="1:23" ht="14.25" customHeight="1" x14ac:dyDescent="0.2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</row>
    <row r="560" spans="1:23" ht="14.25" customHeight="1" x14ac:dyDescent="0.2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</row>
    <row r="561" spans="1:23" ht="14.25" customHeight="1" x14ac:dyDescent="0.2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</row>
    <row r="562" spans="1:23" ht="14.25" customHeight="1" x14ac:dyDescent="0.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</row>
    <row r="563" spans="1:23" ht="14.25" customHeight="1" x14ac:dyDescent="0.2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</row>
    <row r="564" spans="1:23" ht="14.25" customHeight="1" x14ac:dyDescent="0.2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</row>
    <row r="565" spans="1:23" ht="14.25" customHeight="1" x14ac:dyDescent="0.2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</row>
    <row r="566" spans="1:23" ht="14.25" customHeight="1" x14ac:dyDescent="0.2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</row>
    <row r="567" spans="1:23" ht="14.25" customHeight="1" x14ac:dyDescent="0.2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</row>
    <row r="568" spans="1:23" ht="14.25" customHeight="1" x14ac:dyDescent="0.2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</row>
    <row r="569" spans="1:23" ht="14.25" customHeight="1" x14ac:dyDescent="0.2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</row>
    <row r="570" spans="1:23" ht="14.25" customHeight="1" x14ac:dyDescent="0.2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</row>
    <row r="571" spans="1:23" ht="14.25" customHeight="1" x14ac:dyDescent="0.2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</row>
    <row r="572" spans="1:23" ht="14.25" customHeight="1" x14ac:dyDescent="0.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</row>
    <row r="573" spans="1:23" ht="14.25" customHeight="1" x14ac:dyDescent="0.2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</row>
    <row r="574" spans="1:23" ht="14.25" customHeight="1" x14ac:dyDescent="0.2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</row>
    <row r="575" spans="1:23" ht="14.25" customHeight="1" x14ac:dyDescent="0.2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</row>
    <row r="576" spans="1:23" ht="14.25" customHeight="1" x14ac:dyDescent="0.2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</row>
    <row r="577" spans="1:23" ht="14.25" customHeight="1" x14ac:dyDescent="0.2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</row>
    <row r="578" spans="1:23" ht="14.25" customHeight="1" x14ac:dyDescent="0.2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</row>
    <row r="579" spans="1:23" ht="14.25" customHeight="1" x14ac:dyDescent="0.2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</row>
    <row r="580" spans="1:23" ht="14.25" customHeight="1" x14ac:dyDescent="0.2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</row>
    <row r="581" spans="1:23" ht="14.25" customHeight="1" x14ac:dyDescent="0.2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</row>
    <row r="582" spans="1:23" ht="14.25" customHeight="1" x14ac:dyDescent="0.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</row>
    <row r="583" spans="1:23" ht="14.25" customHeight="1" x14ac:dyDescent="0.2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</row>
    <row r="584" spans="1:23" ht="14.25" customHeight="1" x14ac:dyDescent="0.2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</row>
    <row r="585" spans="1:23" ht="14.25" customHeight="1" x14ac:dyDescent="0.2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</row>
    <row r="586" spans="1:23" ht="14.25" customHeight="1" x14ac:dyDescent="0.2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</row>
    <row r="587" spans="1:23" ht="14.25" customHeight="1" x14ac:dyDescent="0.2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</row>
    <row r="588" spans="1:23" ht="14.25" customHeight="1" x14ac:dyDescent="0.2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</row>
    <row r="589" spans="1:23" ht="14.25" customHeight="1" x14ac:dyDescent="0.2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</row>
    <row r="590" spans="1:23" ht="14.25" customHeight="1" x14ac:dyDescent="0.2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</row>
    <row r="591" spans="1:23" ht="14.25" customHeight="1" x14ac:dyDescent="0.2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</row>
    <row r="592" spans="1:23" ht="14.25" customHeight="1" x14ac:dyDescent="0.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</row>
    <row r="593" spans="1:23" ht="14.25" customHeight="1" x14ac:dyDescent="0.2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</row>
    <row r="594" spans="1:23" ht="14.25" customHeight="1" x14ac:dyDescent="0.2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</row>
    <row r="595" spans="1:23" ht="14.25" customHeight="1" x14ac:dyDescent="0.2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</row>
    <row r="596" spans="1:23" ht="14.25" customHeight="1" x14ac:dyDescent="0.2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</row>
    <row r="597" spans="1:23" ht="14.25" customHeight="1" x14ac:dyDescent="0.2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</row>
    <row r="598" spans="1:23" ht="14.25" customHeight="1" x14ac:dyDescent="0.2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</row>
    <row r="599" spans="1:23" ht="14.25" customHeight="1" x14ac:dyDescent="0.2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</row>
    <row r="600" spans="1:23" ht="14.25" customHeight="1" x14ac:dyDescent="0.2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</row>
    <row r="601" spans="1:23" ht="14.25" customHeight="1" x14ac:dyDescent="0.2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</row>
    <row r="602" spans="1:23" ht="14.25" customHeight="1" x14ac:dyDescent="0.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</row>
    <row r="603" spans="1:23" ht="14.25" customHeight="1" x14ac:dyDescent="0.2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</row>
    <row r="604" spans="1:23" ht="14.25" customHeight="1" x14ac:dyDescent="0.2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</row>
    <row r="605" spans="1:23" ht="14.25" customHeight="1" x14ac:dyDescent="0.2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</row>
    <row r="606" spans="1:23" ht="14.25" customHeight="1" x14ac:dyDescent="0.2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</row>
    <row r="607" spans="1:23" ht="14.25" customHeight="1" x14ac:dyDescent="0.2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</row>
    <row r="608" spans="1:23" ht="14.25" customHeight="1" x14ac:dyDescent="0.2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</row>
    <row r="609" spans="1:23" ht="14.25" customHeight="1" x14ac:dyDescent="0.2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</row>
    <row r="610" spans="1:23" ht="14.25" customHeight="1" x14ac:dyDescent="0.2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</row>
    <row r="611" spans="1:23" ht="14.25" customHeight="1" x14ac:dyDescent="0.2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</row>
    <row r="612" spans="1:23" ht="14.25" customHeight="1" x14ac:dyDescent="0.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</row>
    <row r="613" spans="1:23" ht="14.25" customHeight="1" x14ac:dyDescent="0.2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</row>
    <row r="614" spans="1:23" ht="14.25" customHeight="1" x14ac:dyDescent="0.2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</row>
    <row r="615" spans="1:23" ht="14.25" customHeight="1" x14ac:dyDescent="0.2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</row>
    <row r="616" spans="1:23" ht="14.25" customHeight="1" x14ac:dyDescent="0.2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</row>
    <row r="617" spans="1:23" ht="14.25" customHeight="1" x14ac:dyDescent="0.2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</row>
    <row r="618" spans="1:23" ht="14.25" customHeight="1" x14ac:dyDescent="0.2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</row>
    <row r="619" spans="1:23" ht="14.25" customHeight="1" x14ac:dyDescent="0.2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</row>
    <row r="620" spans="1:23" ht="14.25" customHeight="1" x14ac:dyDescent="0.2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</row>
    <row r="621" spans="1:23" ht="14.25" customHeight="1" x14ac:dyDescent="0.2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</row>
    <row r="622" spans="1:23" ht="14.25" customHeight="1" x14ac:dyDescent="0.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</row>
    <row r="623" spans="1:23" ht="14.25" customHeight="1" x14ac:dyDescent="0.2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</row>
    <row r="624" spans="1:23" ht="14.25" customHeight="1" x14ac:dyDescent="0.2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</row>
    <row r="625" spans="1:23" ht="14.25" customHeight="1" x14ac:dyDescent="0.2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</row>
    <row r="626" spans="1:23" ht="14.25" customHeight="1" x14ac:dyDescent="0.2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</row>
    <row r="627" spans="1:23" ht="14.25" customHeight="1" x14ac:dyDescent="0.2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</row>
    <row r="628" spans="1:23" ht="14.25" customHeight="1" x14ac:dyDescent="0.2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</row>
    <row r="629" spans="1:23" ht="14.25" customHeight="1" x14ac:dyDescent="0.2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</row>
    <row r="630" spans="1:23" ht="14.25" customHeight="1" x14ac:dyDescent="0.2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</row>
    <row r="631" spans="1:23" ht="14.25" customHeight="1" x14ac:dyDescent="0.2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</row>
    <row r="632" spans="1:23" ht="14.25" customHeight="1" x14ac:dyDescent="0.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</row>
    <row r="633" spans="1:23" ht="14.25" customHeight="1" x14ac:dyDescent="0.2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</row>
    <row r="634" spans="1:23" ht="14.25" customHeight="1" x14ac:dyDescent="0.2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</row>
    <row r="635" spans="1:23" ht="14.25" customHeight="1" x14ac:dyDescent="0.2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</row>
    <row r="636" spans="1:23" ht="14.25" customHeight="1" x14ac:dyDescent="0.2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</row>
    <row r="637" spans="1:23" ht="14.25" customHeight="1" x14ac:dyDescent="0.2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</row>
    <row r="638" spans="1:23" ht="14.25" customHeight="1" x14ac:dyDescent="0.2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</row>
    <row r="639" spans="1:23" ht="14.25" customHeight="1" x14ac:dyDescent="0.2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</row>
    <row r="640" spans="1:23" ht="14.25" customHeight="1" x14ac:dyDescent="0.2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</row>
    <row r="641" spans="1:23" ht="14.25" customHeight="1" x14ac:dyDescent="0.2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</row>
    <row r="642" spans="1:23" ht="14.25" customHeight="1" x14ac:dyDescent="0.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</row>
    <row r="643" spans="1:23" ht="14.25" customHeight="1" x14ac:dyDescent="0.2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</row>
    <row r="644" spans="1:23" ht="14.25" customHeight="1" x14ac:dyDescent="0.2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</row>
    <row r="645" spans="1:23" ht="14.25" customHeight="1" x14ac:dyDescent="0.2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</row>
    <row r="646" spans="1:23" ht="14.25" customHeight="1" x14ac:dyDescent="0.2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</row>
    <row r="647" spans="1:23" ht="14.25" customHeight="1" x14ac:dyDescent="0.2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</row>
    <row r="648" spans="1:23" ht="14.25" customHeight="1" x14ac:dyDescent="0.2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</row>
    <row r="649" spans="1:23" ht="14.25" customHeight="1" x14ac:dyDescent="0.2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</row>
    <row r="650" spans="1:23" ht="14.25" customHeight="1" x14ac:dyDescent="0.2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</row>
    <row r="651" spans="1:23" ht="14.25" customHeight="1" x14ac:dyDescent="0.2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</row>
    <row r="652" spans="1:23" ht="14.25" customHeight="1" x14ac:dyDescent="0.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</row>
    <row r="653" spans="1:23" ht="14.25" customHeight="1" x14ac:dyDescent="0.2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</row>
    <row r="654" spans="1:23" ht="14.25" customHeight="1" x14ac:dyDescent="0.2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</row>
    <row r="655" spans="1:23" ht="14.25" customHeight="1" x14ac:dyDescent="0.2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</row>
    <row r="656" spans="1:23" ht="14.25" customHeight="1" x14ac:dyDescent="0.2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</row>
    <row r="657" spans="1:23" ht="14.25" customHeight="1" x14ac:dyDescent="0.2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</row>
    <row r="658" spans="1:23" ht="14.25" customHeight="1" x14ac:dyDescent="0.2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</row>
    <row r="659" spans="1:23" ht="14.25" customHeight="1" x14ac:dyDescent="0.2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</row>
    <row r="660" spans="1:23" ht="14.25" customHeight="1" x14ac:dyDescent="0.2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</row>
    <row r="661" spans="1:23" ht="14.25" customHeight="1" x14ac:dyDescent="0.2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</row>
    <row r="662" spans="1:23" ht="14.25" customHeight="1" x14ac:dyDescent="0.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</row>
    <row r="663" spans="1:23" ht="14.25" customHeight="1" x14ac:dyDescent="0.2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</row>
    <row r="664" spans="1:23" ht="14.25" customHeight="1" x14ac:dyDescent="0.2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</row>
    <row r="665" spans="1:23" ht="14.25" customHeight="1" x14ac:dyDescent="0.2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</row>
    <row r="666" spans="1:23" ht="14.25" customHeight="1" x14ac:dyDescent="0.2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</row>
    <row r="667" spans="1:23" ht="14.25" customHeight="1" x14ac:dyDescent="0.2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</row>
    <row r="668" spans="1:23" ht="14.25" customHeight="1" x14ac:dyDescent="0.2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</row>
    <row r="669" spans="1:23" ht="14.25" customHeight="1" x14ac:dyDescent="0.2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</row>
    <row r="670" spans="1:23" ht="14.25" customHeight="1" x14ac:dyDescent="0.2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</row>
    <row r="671" spans="1:23" ht="14.25" customHeight="1" x14ac:dyDescent="0.2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</row>
    <row r="672" spans="1:23" ht="14.25" customHeight="1" x14ac:dyDescent="0.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</row>
    <row r="673" spans="1:23" ht="14.25" customHeight="1" x14ac:dyDescent="0.2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</row>
    <row r="674" spans="1:23" ht="14.25" customHeight="1" x14ac:dyDescent="0.2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</row>
    <row r="675" spans="1:23" ht="14.25" customHeight="1" x14ac:dyDescent="0.2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</row>
    <row r="676" spans="1:23" ht="14.25" customHeight="1" x14ac:dyDescent="0.2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</row>
    <row r="677" spans="1:23" ht="14.25" customHeight="1" x14ac:dyDescent="0.2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</row>
    <row r="678" spans="1:23" ht="14.25" customHeight="1" x14ac:dyDescent="0.2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</row>
    <row r="679" spans="1:23" ht="14.25" customHeight="1" x14ac:dyDescent="0.2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</row>
    <row r="680" spans="1:23" ht="14.25" customHeight="1" x14ac:dyDescent="0.2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</row>
    <row r="681" spans="1:23" ht="14.25" customHeight="1" x14ac:dyDescent="0.2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</row>
    <row r="682" spans="1:23" ht="14.25" customHeight="1" x14ac:dyDescent="0.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</row>
    <row r="683" spans="1:23" ht="14.25" customHeight="1" x14ac:dyDescent="0.2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</row>
    <row r="684" spans="1:23" ht="14.25" customHeight="1" x14ac:dyDescent="0.2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</row>
    <row r="685" spans="1:23" ht="14.25" customHeight="1" x14ac:dyDescent="0.2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</row>
    <row r="686" spans="1:23" ht="14.25" customHeight="1" x14ac:dyDescent="0.2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</row>
    <row r="687" spans="1:23" ht="14.25" customHeight="1" x14ac:dyDescent="0.2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</row>
    <row r="688" spans="1:23" ht="14.25" customHeight="1" x14ac:dyDescent="0.2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</row>
    <row r="689" spans="1:23" ht="14.25" customHeight="1" x14ac:dyDescent="0.2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</row>
    <row r="690" spans="1:23" ht="14.25" customHeight="1" x14ac:dyDescent="0.2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</row>
    <row r="691" spans="1:23" ht="14.25" customHeight="1" x14ac:dyDescent="0.2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</row>
    <row r="692" spans="1:23" ht="14.25" customHeight="1" x14ac:dyDescent="0.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</row>
    <row r="693" spans="1:23" ht="14.25" customHeight="1" x14ac:dyDescent="0.2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</row>
    <row r="694" spans="1:23" ht="14.25" customHeight="1" x14ac:dyDescent="0.2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</row>
    <row r="695" spans="1:23" ht="14.25" customHeight="1" x14ac:dyDescent="0.2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</row>
    <row r="696" spans="1:23" ht="14.25" customHeight="1" x14ac:dyDescent="0.2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</row>
    <row r="697" spans="1:23" ht="14.25" customHeight="1" x14ac:dyDescent="0.2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</row>
    <row r="698" spans="1:23" ht="14.25" customHeight="1" x14ac:dyDescent="0.2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</row>
    <row r="699" spans="1:23" ht="14.25" customHeight="1" x14ac:dyDescent="0.2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</row>
    <row r="700" spans="1:23" ht="14.25" customHeight="1" x14ac:dyDescent="0.2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</row>
    <row r="701" spans="1:23" ht="14.25" customHeight="1" x14ac:dyDescent="0.2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</row>
    <row r="702" spans="1:23" ht="14.25" customHeight="1" x14ac:dyDescent="0.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</row>
    <row r="703" spans="1:23" ht="14.25" customHeight="1" x14ac:dyDescent="0.2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</row>
    <row r="704" spans="1:23" ht="14.25" customHeight="1" x14ac:dyDescent="0.2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</row>
    <row r="705" spans="1:23" ht="14.25" customHeight="1" x14ac:dyDescent="0.2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</row>
    <row r="706" spans="1:23" ht="14.25" customHeight="1" x14ac:dyDescent="0.2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</row>
    <row r="707" spans="1:23" ht="14.25" customHeight="1" x14ac:dyDescent="0.2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</row>
    <row r="708" spans="1:23" ht="14.25" customHeight="1" x14ac:dyDescent="0.2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</row>
    <row r="709" spans="1:23" ht="14.25" customHeight="1" x14ac:dyDescent="0.2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</row>
    <row r="710" spans="1:23" ht="14.25" customHeight="1" x14ac:dyDescent="0.2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</row>
    <row r="711" spans="1:23" ht="14.25" customHeight="1" x14ac:dyDescent="0.2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</row>
    <row r="712" spans="1:23" ht="14.25" customHeight="1" x14ac:dyDescent="0.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</row>
    <row r="713" spans="1:23" ht="14.25" customHeight="1" x14ac:dyDescent="0.2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</row>
    <row r="714" spans="1:23" ht="14.25" customHeight="1" x14ac:dyDescent="0.2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</row>
    <row r="715" spans="1:23" ht="14.25" customHeight="1" x14ac:dyDescent="0.2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</row>
    <row r="716" spans="1:23" ht="14.25" customHeight="1" x14ac:dyDescent="0.2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</row>
    <row r="717" spans="1:23" ht="14.25" customHeight="1" x14ac:dyDescent="0.2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</row>
    <row r="718" spans="1:23" ht="14.25" customHeight="1" x14ac:dyDescent="0.2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</row>
    <row r="719" spans="1:23" ht="14.25" customHeight="1" x14ac:dyDescent="0.2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</row>
    <row r="720" spans="1:23" ht="14.25" customHeight="1" x14ac:dyDescent="0.2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</row>
    <row r="721" spans="1:23" ht="14.25" customHeight="1" x14ac:dyDescent="0.2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</row>
    <row r="722" spans="1:23" ht="14.25" customHeight="1" x14ac:dyDescent="0.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</row>
    <row r="723" spans="1:23" ht="14.25" customHeight="1" x14ac:dyDescent="0.2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</row>
    <row r="724" spans="1:23" ht="14.25" customHeight="1" x14ac:dyDescent="0.2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</row>
    <row r="725" spans="1:23" ht="14.25" customHeight="1" x14ac:dyDescent="0.2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</row>
    <row r="726" spans="1:23" ht="14.25" customHeight="1" x14ac:dyDescent="0.2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</row>
    <row r="727" spans="1:23" ht="14.25" customHeight="1" x14ac:dyDescent="0.2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</row>
    <row r="728" spans="1:23" ht="14.25" customHeight="1" x14ac:dyDescent="0.2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</row>
    <row r="729" spans="1:23" ht="14.25" customHeight="1" x14ac:dyDescent="0.2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</row>
    <row r="730" spans="1:23" ht="14.25" customHeight="1" x14ac:dyDescent="0.2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</row>
    <row r="731" spans="1:23" ht="14.25" customHeight="1" x14ac:dyDescent="0.2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</row>
    <row r="732" spans="1:23" ht="14.25" customHeight="1" x14ac:dyDescent="0.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</row>
    <row r="733" spans="1:23" ht="14.25" customHeight="1" x14ac:dyDescent="0.2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</row>
    <row r="734" spans="1:23" ht="14.25" customHeight="1" x14ac:dyDescent="0.2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</row>
    <row r="735" spans="1:23" ht="14.25" customHeight="1" x14ac:dyDescent="0.2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</row>
    <row r="736" spans="1:23" ht="14.25" customHeight="1" x14ac:dyDescent="0.2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</row>
    <row r="737" spans="1:23" ht="14.25" customHeight="1" x14ac:dyDescent="0.2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</row>
    <row r="738" spans="1:23" ht="14.25" customHeight="1" x14ac:dyDescent="0.2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</row>
    <row r="739" spans="1:23" ht="14.25" customHeight="1" x14ac:dyDescent="0.2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</row>
    <row r="740" spans="1:23" ht="14.25" customHeight="1" x14ac:dyDescent="0.2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</row>
    <row r="741" spans="1:23" ht="14.25" customHeight="1" x14ac:dyDescent="0.2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</row>
    <row r="742" spans="1:23" ht="14.25" customHeight="1" x14ac:dyDescent="0.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</row>
    <row r="743" spans="1:23" ht="14.25" customHeight="1" x14ac:dyDescent="0.2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</row>
    <row r="744" spans="1:23" ht="14.25" customHeight="1" x14ac:dyDescent="0.2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</row>
    <row r="745" spans="1:23" ht="14.25" customHeight="1" x14ac:dyDescent="0.2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</row>
    <row r="746" spans="1:23" ht="14.25" customHeight="1" x14ac:dyDescent="0.2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</row>
    <row r="747" spans="1:23" ht="14.25" customHeight="1" x14ac:dyDescent="0.2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</row>
    <row r="748" spans="1:23" ht="14.25" customHeight="1" x14ac:dyDescent="0.2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</row>
    <row r="749" spans="1:23" ht="14.25" customHeight="1" x14ac:dyDescent="0.2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</row>
    <row r="750" spans="1:23" ht="14.25" customHeight="1" x14ac:dyDescent="0.2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</row>
    <row r="751" spans="1:23" ht="14.25" customHeight="1" x14ac:dyDescent="0.2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</row>
    <row r="752" spans="1:23" ht="14.25" customHeight="1" x14ac:dyDescent="0.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</row>
    <row r="753" spans="1:23" ht="14.25" customHeight="1" x14ac:dyDescent="0.2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</row>
    <row r="754" spans="1:23" ht="14.25" customHeight="1" x14ac:dyDescent="0.2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</row>
    <row r="755" spans="1:23" ht="14.25" customHeight="1" x14ac:dyDescent="0.2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</row>
    <row r="756" spans="1:23" ht="14.25" customHeight="1" x14ac:dyDescent="0.2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</row>
    <row r="757" spans="1:23" ht="14.25" customHeight="1" x14ac:dyDescent="0.2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</row>
    <row r="758" spans="1:23" ht="14.25" customHeight="1" x14ac:dyDescent="0.2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</row>
    <row r="759" spans="1:23" ht="14.25" customHeight="1" x14ac:dyDescent="0.2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</row>
    <row r="760" spans="1:23" ht="14.25" customHeight="1" x14ac:dyDescent="0.2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</row>
    <row r="761" spans="1:23" ht="14.25" customHeight="1" x14ac:dyDescent="0.2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</row>
    <row r="762" spans="1:23" ht="14.25" customHeight="1" x14ac:dyDescent="0.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</row>
    <row r="763" spans="1:23" ht="14.25" customHeight="1" x14ac:dyDescent="0.2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</row>
    <row r="764" spans="1:23" ht="14.25" customHeight="1" x14ac:dyDescent="0.2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</row>
    <row r="765" spans="1:23" ht="14.25" customHeight="1" x14ac:dyDescent="0.2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</row>
    <row r="766" spans="1:23" ht="14.25" customHeight="1" x14ac:dyDescent="0.2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</row>
    <row r="767" spans="1:23" ht="14.25" customHeight="1" x14ac:dyDescent="0.2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</row>
    <row r="768" spans="1:23" ht="14.25" customHeight="1" x14ac:dyDescent="0.2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</row>
    <row r="769" spans="1:23" ht="14.25" customHeight="1" x14ac:dyDescent="0.2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</row>
    <row r="770" spans="1:23" ht="14.25" customHeight="1" x14ac:dyDescent="0.2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</row>
    <row r="771" spans="1:23" ht="14.25" customHeight="1" x14ac:dyDescent="0.2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</row>
    <row r="772" spans="1:23" ht="14.25" customHeight="1" x14ac:dyDescent="0.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</row>
    <row r="773" spans="1:23" ht="14.25" customHeight="1" x14ac:dyDescent="0.2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</row>
    <row r="774" spans="1:23" ht="14.25" customHeight="1" x14ac:dyDescent="0.2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</row>
    <row r="775" spans="1:23" ht="14.25" customHeight="1" x14ac:dyDescent="0.2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</row>
    <row r="776" spans="1:23" ht="14.25" customHeight="1" x14ac:dyDescent="0.2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</row>
    <row r="777" spans="1:23" ht="14.25" customHeight="1" x14ac:dyDescent="0.2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</row>
    <row r="778" spans="1:23" ht="14.25" customHeight="1" x14ac:dyDescent="0.2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</row>
    <row r="779" spans="1:23" ht="14.25" customHeight="1" x14ac:dyDescent="0.2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</row>
    <row r="780" spans="1:23" ht="14.25" customHeight="1" x14ac:dyDescent="0.2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</row>
    <row r="781" spans="1:23" ht="14.25" customHeight="1" x14ac:dyDescent="0.2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</row>
    <row r="782" spans="1:23" ht="14.25" customHeight="1" x14ac:dyDescent="0.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</row>
    <row r="783" spans="1:23" ht="14.25" customHeight="1" x14ac:dyDescent="0.2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</row>
    <row r="784" spans="1:23" ht="14.25" customHeight="1" x14ac:dyDescent="0.2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</row>
    <row r="785" spans="1:23" ht="14.25" customHeight="1" x14ac:dyDescent="0.2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</row>
    <row r="786" spans="1:23" ht="14.25" customHeight="1" x14ac:dyDescent="0.2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</row>
    <row r="787" spans="1:23" ht="14.25" customHeight="1" x14ac:dyDescent="0.2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</row>
    <row r="788" spans="1:23" ht="14.25" customHeight="1" x14ac:dyDescent="0.2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</row>
    <row r="789" spans="1:23" ht="14.25" customHeight="1" x14ac:dyDescent="0.2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</row>
    <row r="790" spans="1:23" ht="14.25" customHeight="1" x14ac:dyDescent="0.2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</row>
    <row r="791" spans="1:23" ht="14.25" customHeight="1" x14ac:dyDescent="0.2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</row>
    <row r="792" spans="1:23" ht="14.25" customHeight="1" x14ac:dyDescent="0.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</row>
    <row r="793" spans="1:23" ht="14.25" customHeight="1" x14ac:dyDescent="0.2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</row>
    <row r="794" spans="1:23" ht="14.25" customHeight="1" x14ac:dyDescent="0.2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</row>
    <row r="795" spans="1:23" ht="14.25" customHeight="1" x14ac:dyDescent="0.2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</row>
    <row r="796" spans="1:23" ht="14.25" customHeight="1" x14ac:dyDescent="0.2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</row>
    <row r="797" spans="1:23" ht="14.25" customHeight="1" x14ac:dyDescent="0.2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</row>
    <row r="798" spans="1:23" ht="14.25" customHeight="1" x14ac:dyDescent="0.2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</row>
    <row r="799" spans="1:23" ht="14.25" customHeight="1" x14ac:dyDescent="0.2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</row>
    <row r="800" spans="1:23" ht="14.25" customHeight="1" x14ac:dyDescent="0.2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</row>
    <row r="801" spans="1:23" ht="14.25" customHeight="1" x14ac:dyDescent="0.2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</row>
    <row r="802" spans="1:23" ht="14.25" customHeight="1" x14ac:dyDescent="0.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</row>
    <row r="803" spans="1:23" ht="14.25" customHeight="1" x14ac:dyDescent="0.2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</row>
    <row r="804" spans="1:23" ht="14.25" customHeight="1" x14ac:dyDescent="0.2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</row>
    <row r="805" spans="1:23" ht="14.25" customHeight="1" x14ac:dyDescent="0.2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</row>
    <row r="806" spans="1:23" ht="14.25" customHeight="1" x14ac:dyDescent="0.2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</row>
    <row r="807" spans="1:23" ht="14.25" customHeight="1" x14ac:dyDescent="0.2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</row>
    <row r="808" spans="1:23" ht="14.25" customHeight="1" x14ac:dyDescent="0.2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</row>
    <row r="809" spans="1:23" ht="14.25" customHeight="1" x14ac:dyDescent="0.2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</row>
    <row r="810" spans="1:23" ht="14.25" customHeight="1" x14ac:dyDescent="0.2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</row>
    <row r="811" spans="1:23" ht="14.25" customHeight="1" x14ac:dyDescent="0.2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</row>
    <row r="812" spans="1:23" ht="14.25" customHeight="1" x14ac:dyDescent="0.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</row>
    <row r="813" spans="1:23" ht="14.25" customHeight="1" x14ac:dyDescent="0.2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</row>
    <row r="814" spans="1:23" ht="14.25" customHeight="1" x14ac:dyDescent="0.2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</row>
    <row r="815" spans="1:23" ht="14.25" customHeight="1" x14ac:dyDescent="0.2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</row>
    <row r="816" spans="1:23" ht="14.25" customHeight="1" x14ac:dyDescent="0.2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</row>
    <row r="817" spans="1:23" ht="14.25" customHeight="1" x14ac:dyDescent="0.2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</row>
    <row r="818" spans="1:23" ht="14.25" customHeight="1" x14ac:dyDescent="0.2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</row>
    <row r="819" spans="1:23" ht="14.25" customHeight="1" x14ac:dyDescent="0.2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</row>
    <row r="820" spans="1:23" ht="14.25" customHeight="1" x14ac:dyDescent="0.2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</row>
    <row r="821" spans="1:23" ht="14.25" customHeight="1" x14ac:dyDescent="0.2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</row>
    <row r="822" spans="1:23" ht="14.25" customHeight="1" x14ac:dyDescent="0.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</row>
    <row r="823" spans="1:23" ht="14.25" customHeight="1" x14ac:dyDescent="0.2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</row>
    <row r="824" spans="1:23" ht="14.25" customHeight="1" x14ac:dyDescent="0.2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</row>
    <row r="825" spans="1:23" ht="14.25" customHeight="1" x14ac:dyDescent="0.2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</row>
    <row r="826" spans="1:23" ht="14.25" customHeight="1" x14ac:dyDescent="0.2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</row>
    <row r="827" spans="1:23" ht="14.25" customHeight="1" x14ac:dyDescent="0.2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</row>
    <row r="828" spans="1:23" ht="14.25" customHeight="1" x14ac:dyDescent="0.2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</row>
    <row r="829" spans="1:23" ht="14.25" customHeight="1" x14ac:dyDescent="0.2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</row>
    <row r="830" spans="1:23" ht="14.25" customHeight="1" x14ac:dyDescent="0.2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</row>
    <row r="831" spans="1:23" ht="14.25" customHeight="1" x14ac:dyDescent="0.2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</row>
    <row r="832" spans="1:23" ht="14.25" customHeight="1" x14ac:dyDescent="0.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</row>
    <row r="833" spans="1:23" ht="14.25" customHeight="1" x14ac:dyDescent="0.2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</row>
    <row r="834" spans="1:23" ht="14.25" customHeight="1" x14ac:dyDescent="0.2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</row>
    <row r="835" spans="1:23" ht="14.25" customHeight="1" x14ac:dyDescent="0.2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</row>
    <row r="836" spans="1:23" ht="14.25" customHeight="1" x14ac:dyDescent="0.2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</row>
    <row r="837" spans="1:23" ht="14.25" customHeight="1" x14ac:dyDescent="0.2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</row>
    <row r="838" spans="1:23" ht="14.25" customHeight="1" x14ac:dyDescent="0.2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</row>
    <row r="839" spans="1:23" ht="14.25" customHeight="1" x14ac:dyDescent="0.2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</row>
    <row r="840" spans="1:23" ht="14.25" customHeight="1" x14ac:dyDescent="0.2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</row>
    <row r="841" spans="1:23" ht="14.25" customHeight="1" x14ac:dyDescent="0.2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</row>
    <row r="842" spans="1:23" ht="14.25" customHeight="1" x14ac:dyDescent="0.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</row>
    <row r="843" spans="1:23" ht="14.25" customHeight="1" x14ac:dyDescent="0.2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</row>
    <row r="844" spans="1:23" ht="14.25" customHeight="1" x14ac:dyDescent="0.2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</row>
    <row r="845" spans="1:23" ht="14.25" customHeight="1" x14ac:dyDescent="0.2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</row>
    <row r="846" spans="1:23" ht="14.25" customHeight="1" x14ac:dyDescent="0.2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</row>
    <row r="847" spans="1:23" ht="14.25" customHeight="1" x14ac:dyDescent="0.2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</row>
    <row r="848" spans="1:23" ht="14.25" customHeight="1" x14ac:dyDescent="0.2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</row>
    <row r="849" spans="1:23" ht="14.25" customHeight="1" x14ac:dyDescent="0.2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</row>
    <row r="850" spans="1:23" ht="14.25" customHeight="1" x14ac:dyDescent="0.2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</row>
    <row r="851" spans="1:23" ht="14.25" customHeight="1" x14ac:dyDescent="0.2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</row>
    <row r="852" spans="1:23" ht="14.25" customHeight="1" x14ac:dyDescent="0.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</row>
    <row r="853" spans="1:23" ht="14.25" customHeight="1" x14ac:dyDescent="0.2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</row>
    <row r="854" spans="1:23" ht="14.25" customHeight="1" x14ac:dyDescent="0.2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</row>
    <row r="855" spans="1:23" ht="14.25" customHeight="1" x14ac:dyDescent="0.2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</row>
    <row r="856" spans="1:23" ht="14.25" customHeight="1" x14ac:dyDescent="0.2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</row>
    <row r="857" spans="1:23" ht="14.25" customHeight="1" x14ac:dyDescent="0.2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</row>
    <row r="858" spans="1:23" ht="14.25" customHeight="1" x14ac:dyDescent="0.2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</row>
    <row r="859" spans="1:23" ht="14.25" customHeight="1" x14ac:dyDescent="0.2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</row>
    <row r="860" spans="1:23" ht="14.25" customHeight="1" x14ac:dyDescent="0.2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</row>
    <row r="861" spans="1:23" ht="14.25" customHeight="1" x14ac:dyDescent="0.2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</row>
    <row r="862" spans="1:23" ht="14.25" customHeight="1" x14ac:dyDescent="0.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</row>
    <row r="863" spans="1:23" ht="14.25" customHeight="1" x14ac:dyDescent="0.2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</row>
    <row r="864" spans="1:23" ht="14.25" customHeight="1" x14ac:dyDescent="0.2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</row>
    <row r="865" spans="1:23" ht="14.25" customHeight="1" x14ac:dyDescent="0.2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</row>
    <row r="866" spans="1:23" ht="14.25" customHeight="1" x14ac:dyDescent="0.2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</row>
    <row r="867" spans="1:23" ht="14.25" customHeight="1" x14ac:dyDescent="0.2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</row>
    <row r="868" spans="1:23" ht="14.25" customHeight="1" x14ac:dyDescent="0.2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</row>
    <row r="869" spans="1:23" ht="14.25" customHeight="1" x14ac:dyDescent="0.2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</row>
    <row r="870" spans="1:23" ht="14.25" customHeight="1" x14ac:dyDescent="0.2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</row>
    <row r="871" spans="1:23" ht="14.25" customHeight="1" x14ac:dyDescent="0.2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</row>
    <row r="872" spans="1:23" ht="14.25" customHeight="1" x14ac:dyDescent="0.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</row>
    <row r="873" spans="1:23" ht="14.25" customHeight="1" x14ac:dyDescent="0.2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</row>
    <row r="874" spans="1:23" ht="14.25" customHeight="1" x14ac:dyDescent="0.2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</row>
    <row r="875" spans="1:23" ht="14.25" customHeight="1" x14ac:dyDescent="0.2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</row>
    <row r="876" spans="1:23" ht="14.25" customHeight="1" x14ac:dyDescent="0.2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</row>
    <row r="877" spans="1:23" ht="14.25" customHeight="1" x14ac:dyDescent="0.2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</row>
    <row r="878" spans="1:23" ht="14.25" customHeight="1" x14ac:dyDescent="0.2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</row>
    <row r="879" spans="1:23" ht="14.25" customHeight="1" x14ac:dyDescent="0.2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</row>
    <row r="880" spans="1:23" ht="14.25" customHeight="1" x14ac:dyDescent="0.2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</row>
    <row r="881" spans="1:23" ht="14.25" customHeight="1" x14ac:dyDescent="0.2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</row>
    <row r="882" spans="1:23" ht="14.25" customHeight="1" x14ac:dyDescent="0.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</row>
    <row r="883" spans="1:23" ht="14.25" customHeight="1" x14ac:dyDescent="0.2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</row>
    <row r="884" spans="1:23" ht="14.25" customHeight="1" x14ac:dyDescent="0.2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</row>
    <row r="885" spans="1:23" ht="14.25" customHeight="1" x14ac:dyDescent="0.2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</row>
    <row r="886" spans="1:23" ht="14.25" customHeight="1" x14ac:dyDescent="0.2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</row>
    <row r="887" spans="1:23" ht="14.25" customHeight="1" x14ac:dyDescent="0.2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</row>
    <row r="888" spans="1:23" ht="14.25" customHeight="1" x14ac:dyDescent="0.2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</row>
    <row r="889" spans="1:23" ht="14.25" customHeight="1" x14ac:dyDescent="0.2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</row>
    <row r="890" spans="1:23" ht="14.25" customHeight="1" x14ac:dyDescent="0.2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</row>
    <row r="891" spans="1:23" ht="14.25" customHeight="1" x14ac:dyDescent="0.2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</row>
    <row r="892" spans="1:23" ht="14.25" customHeight="1" x14ac:dyDescent="0.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</row>
    <row r="893" spans="1:23" ht="14.25" customHeight="1" x14ac:dyDescent="0.2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</row>
    <row r="894" spans="1:23" ht="14.25" customHeight="1" x14ac:dyDescent="0.2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</row>
    <row r="895" spans="1:23" ht="14.25" customHeight="1" x14ac:dyDescent="0.2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</row>
    <row r="896" spans="1:23" ht="14.25" customHeight="1" x14ac:dyDescent="0.2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</row>
    <row r="897" spans="1:23" ht="14.25" customHeight="1" x14ac:dyDescent="0.2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</row>
    <row r="898" spans="1:23" ht="14.25" customHeight="1" x14ac:dyDescent="0.2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</row>
    <row r="899" spans="1:23" ht="14.25" customHeight="1" x14ac:dyDescent="0.2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</row>
    <row r="900" spans="1:23" ht="14.25" customHeight="1" x14ac:dyDescent="0.2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</row>
    <row r="901" spans="1:23" ht="14.25" customHeight="1" x14ac:dyDescent="0.2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</row>
    <row r="902" spans="1:23" ht="14.25" customHeight="1" x14ac:dyDescent="0.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</row>
    <row r="903" spans="1:23" ht="14.25" customHeight="1" x14ac:dyDescent="0.2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</row>
    <row r="904" spans="1:23" ht="14.25" customHeight="1" x14ac:dyDescent="0.2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</row>
    <row r="905" spans="1:23" ht="14.25" customHeight="1" x14ac:dyDescent="0.2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</row>
    <row r="906" spans="1:23" ht="14.25" customHeight="1" x14ac:dyDescent="0.2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</row>
    <row r="907" spans="1:23" ht="14.25" customHeight="1" x14ac:dyDescent="0.2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</row>
    <row r="908" spans="1:23" ht="14.25" customHeight="1" x14ac:dyDescent="0.2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</row>
    <row r="909" spans="1:23" ht="14.25" customHeight="1" x14ac:dyDescent="0.2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</row>
    <row r="910" spans="1:23" ht="14.25" customHeight="1" x14ac:dyDescent="0.2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</row>
    <row r="911" spans="1:23" ht="14.25" customHeight="1" x14ac:dyDescent="0.2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</row>
    <row r="912" spans="1:23" ht="14.25" customHeight="1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</row>
    <row r="913" spans="1:23" ht="14.25" customHeight="1" x14ac:dyDescent="0.2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</row>
    <row r="914" spans="1:23" ht="14.25" customHeight="1" x14ac:dyDescent="0.2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</row>
    <row r="915" spans="1:23" ht="14.25" customHeight="1" x14ac:dyDescent="0.2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</row>
    <row r="916" spans="1:23" ht="14.25" customHeight="1" x14ac:dyDescent="0.2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</row>
    <row r="917" spans="1:23" ht="14.25" customHeight="1" x14ac:dyDescent="0.2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</row>
    <row r="918" spans="1:23" ht="14.25" customHeight="1" x14ac:dyDescent="0.2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</row>
    <row r="919" spans="1:23" ht="14.25" customHeight="1" x14ac:dyDescent="0.2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</row>
    <row r="920" spans="1:23" ht="14.25" customHeight="1" x14ac:dyDescent="0.2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</row>
    <row r="921" spans="1:23" ht="14.25" customHeight="1" x14ac:dyDescent="0.2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</row>
    <row r="922" spans="1:23" ht="14.25" customHeight="1" x14ac:dyDescent="0.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</row>
    <row r="923" spans="1:23" ht="14.25" customHeight="1" x14ac:dyDescent="0.2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</row>
    <row r="924" spans="1:23" ht="14.25" customHeight="1" x14ac:dyDescent="0.2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</row>
    <row r="925" spans="1:23" ht="14.25" customHeight="1" x14ac:dyDescent="0.2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</row>
    <row r="926" spans="1:23" ht="14.25" customHeight="1" x14ac:dyDescent="0.2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</row>
    <row r="927" spans="1:23" ht="14.25" customHeight="1" x14ac:dyDescent="0.2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</row>
    <row r="928" spans="1:23" ht="14.25" customHeight="1" x14ac:dyDescent="0.2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</row>
    <row r="929" spans="1:23" ht="14.25" customHeight="1" x14ac:dyDescent="0.2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</row>
    <row r="930" spans="1:23" ht="14.25" customHeight="1" x14ac:dyDescent="0.2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</row>
    <row r="931" spans="1:23" ht="14.25" customHeight="1" x14ac:dyDescent="0.2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</row>
    <row r="932" spans="1:23" ht="14.25" customHeight="1" x14ac:dyDescent="0.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</row>
    <row r="933" spans="1:23" ht="14.25" customHeight="1" x14ac:dyDescent="0.2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</row>
    <row r="934" spans="1:23" ht="14.25" customHeight="1" x14ac:dyDescent="0.2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</row>
    <row r="935" spans="1:23" ht="14.25" customHeight="1" x14ac:dyDescent="0.2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</row>
    <row r="936" spans="1:23" ht="14.25" customHeight="1" x14ac:dyDescent="0.2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</row>
    <row r="937" spans="1:23" ht="14.25" customHeight="1" x14ac:dyDescent="0.2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</row>
    <row r="938" spans="1:23" ht="14.25" customHeight="1" x14ac:dyDescent="0.2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</row>
    <row r="939" spans="1:23" ht="14.25" customHeight="1" x14ac:dyDescent="0.2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</row>
    <row r="940" spans="1:23" ht="14.25" customHeight="1" x14ac:dyDescent="0.2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</row>
    <row r="941" spans="1:23" ht="14.25" customHeight="1" x14ac:dyDescent="0.2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</row>
    <row r="942" spans="1:23" ht="14.25" customHeight="1" x14ac:dyDescent="0.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</row>
    <row r="943" spans="1:23" ht="14.25" customHeight="1" x14ac:dyDescent="0.2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</row>
    <row r="944" spans="1:23" ht="14.25" customHeight="1" x14ac:dyDescent="0.2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</row>
    <row r="945" spans="1:23" ht="14.25" customHeight="1" x14ac:dyDescent="0.2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</row>
    <row r="946" spans="1:23" ht="14.25" customHeight="1" x14ac:dyDescent="0.2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</row>
    <row r="947" spans="1:23" ht="14.25" customHeight="1" x14ac:dyDescent="0.2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</row>
    <row r="948" spans="1:23" ht="14.25" customHeight="1" x14ac:dyDescent="0.2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</row>
    <row r="949" spans="1:23" ht="14.25" customHeight="1" x14ac:dyDescent="0.2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</row>
    <row r="950" spans="1:23" ht="14.25" customHeight="1" x14ac:dyDescent="0.2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</row>
    <row r="951" spans="1:23" ht="14.25" customHeight="1" x14ac:dyDescent="0.2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</row>
    <row r="952" spans="1:23" ht="14.25" customHeight="1" x14ac:dyDescent="0.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</row>
    <row r="953" spans="1:23" ht="14.25" customHeight="1" x14ac:dyDescent="0.2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</row>
    <row r="954" spans="1:23" ht="14.25" customHeight="1" x14ac:dyDescent="0.2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</row>
    <row r="955" spans="1:23" ht="14.25" customHeight="1" x14ac:dyDescent="0.2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</row>
    <row r="956" spans="1:23" ht="14.25" customHeight="1" x14ac:dyDescent="0.2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</row>
    <row r="957" spans="1:23" ht="14.25" customHeight="1" x14ac:dyDescent="0.2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</row>
    <row r="958" spans="1:23" ht="14.25" customHeight="1" x14ac:dyDescent="0.2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</row>
    <row r="959" spans="1:23" ht="14.25" customHeight="1" x14ac:dyDescent="0.2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</row>
    <row r="960" spans="1:23" ht="14.25" customHeight="1" x14ac:dyDescent="0.2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</row>
    <row r="961" spans="1:23" ht="14.25" customHeight="1" x14ac:dyDescent="0.2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</row>
    <row r="962" spans="1:23" ht="14.25" customHeight="1" x14ac:dyDescent="0.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</row>
    <row r="963" spans="1:23" ht="14.25" customHeight="1" x14ac:dyDescent="0.2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</row>
    <row r="964" spans="1:23" ht="14.25" customHeight="1" x14ac:dyDescent="0.2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</row>
    <row r="965" spans="1:23" ht="14.25" customHeight="1" x14ac:dyDescent="0.2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</row>
    <row r="966" spans="1:23" ht="14.25" customHeight="1" x14ac:dyDescent="0.2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</row>
    <row r="967" spans="1:23" ht="14.25" customHeight="1" x14ac:dyDescent="0.2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</row>
    <row r="968" spans="1:23" ht="14.25" customHeight="1" x14ac:dyDescent="0.2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</row>
    <row r="969" spans="1:23" ht="14.25" customHeight="1" x14ac:dyDescent="0.2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</row>
    <row r="970" spans="1:23" ht="14.25" customHeight="1" x14ac:dyDescent="0.2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</row>
    <row r="971" spans="1:23" ht="14.25" customHeight="1" x14ac:dyDescent="0.2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</row>
    <row r="972" spans="1:23" ht="14.25" customHeight="1" x14ac:dyDescent="0.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</row>
    <row r="973" spans="1:23" ht="14.25" customHeight="1" x14ac:dyDescent="0.2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</row>
    <row r="974" spans="1:23" ht="14.25" customHeight="1" x14ac:dyDescent="0.2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</row>
    <row r="975" spans="1:23" ht="14.25" customHeight="1" x14ac:dyDescent="0.2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</row>
    <row r="976" spans="1:23" ht="14.25" customHeight="1" x14ac:dyDescent="0.2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</row>
    <row r="977" spans="1:23" ht="14.25" customHeight="1" x14ac:dyDescent="0.2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</row>
    <row r="978" spans="1:23" ht="14.25" customHeight="1" x14ac:dyDescent="0.2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</row>
    <row r="979" spans="1:23" ht="14.25" customHeight="1" x14ac:dyDescent="0.2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</row>
    <row r="980" spans="1:23" ht="14.25" customHeight="1" x14ac:dyDescent="0.2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</row>
    <row r="981" spans="1:23" ht="14.25" customHeight="1" x14ac:dyDescent="0.2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</row>
    <row r="982" spans="1:23" ht="14.25" customHeight="1" x14ac:dyDescent="0.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</row>
    <row r="983" spans="1:23" ht="14.25" customHeight="1" x14ac:dyDescent="0.2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</row>
    <row r="984" spans="1:23" ht="14.25" customHeight="1" x14ac:dyDescent="0.2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</row>
    <row r="985" spans="1:23" ht="14.25" customHeight="1" x14ac:dyDescent="0.2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</row>
    <row r="986" spans="1:23" ht="14.25" customHeight="1" x14ac:dyDescent="0.2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</row>
    <row r="987" spans="1:23" ht="14.25" customHeight="1" x14ac:dyDescent="0.2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</row>
    <row r="988" spans="1:23" ht="14.25" customHeight="1" x14ac:dyDescent="0.2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</row>
    <row r="989" spans="1:23" ht="14.25" customHeight="1" x14ac:dyDescent="0.2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</row>
    <row r="990" spans="1:23" ht="14.25" customHeight="1" x14ac:dyDescent="0.2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</row>
    <row r="991" spans="1:23" ht="14.25" customHeight="1" x14ac:dyDescent="0.2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</row>
    <row r="992" spans="1:23" ht="14.25" customHeight="1" x14ac:dyDescent="0.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</row>
    <row r="993" spans="1:23" ht="14.25" customHeight="1" x14ac:dyDescent="0.2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</row>
    <row r="994" spans="1:23" ht="14.25" customHeight="1" x14ac:dyDescent="0.2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</row>
    <row r="995" spans="1:23" ht="14.25" customHeight="1" x14ac:dyDescent="0.2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</row>
    <row r="996" spans="1:23" ht="14.25" customHeight="1" x14ac:dyDescent="0.2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</row>
    <row r="997" spans="1:23" ht="14.25" customHeight="1" x14ac:dyDescent="0.2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</row>
    <row r="998" spans="1:23" ht="14.25" customHeight="1" x14ac:dyDescent="0.2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</row>
    <row r="999" spans="1:23" ht="14.25" customHeight="1" x14ac:dyDescent="0.2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</row>
  </sheetData>
  <mergeCells count="4">
    <mergeCell ref="B33:E33"/>
    <mergeCell ref="A4:G4"/>
    <mergeCell ref="A6:G6"/>
    <mergeCell ref="B28:E28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3"/>
  <sheetViews>
    <sheetView workbookViewId="0">
      <selection activeCell="F47" sqref="F47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6" width="8.5703125" customWidth="1"/>
  </cols>
  <sheetData>
    <row r="1" spans="1:26" ht="18" customHeight="1" x14ac:dyDescent="0.6">
      <c r="A1" s="1" t="s">
        <v>0</v>
      </c>
      <c r="B1" s="150" t="s">
        <v>568</v>
      </c>
      <c r="C1" s="2"/>
      <c r="D1" s="3"/>
      <c r="E1" s="39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51" t="s">
        <v>443</v>
      </c>
      <c r="C2" s="7"/>
      <c r="D2" s="8"/>
      <c r="E2" s="40"/>
      <c r="F2" s="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51" t="str">
        <f>[3]OBRA!B3</f>
        <v>R00</v>
      </c>
      <c r="C3" s="7"/>
      <c r="D3" s="8"/>
      <c r="E3" s="40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175" t="s">
        <v>16</v>
      </c>
      <c r="B4" s="176"/>
      <c r="C4" s="176"/>
      <c r="D4" s="176"/>
      <c r="E4" s="176"/>
      <c r="F4" s="17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41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178" t="s">
        <v>17</v>
      </c>
      <c r="B6" s="176"/>
      <c r="C6" s="176"/>
      <c r="D6" s="176"/>
      <c r="E6" s="176"/>
      <c r="F6" s="17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42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43" t="s">
        <v>18</v>
      </c>
      <c r="B8" s="44"/>
      <c r="C8" s="44"/>
      <c r="D8" s="45"/>
      <c r="E8" s="46"/>
      <c r="F8" s="4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thickBot="1" x14ac:dyDescent="0.65">
      <c r="A9" s="19"/>
      <c r="B9" s="48"/>
      <c r="C9" s="48"/>
      <c r="D9" s="49"/>
      <c r="E9" s="50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0" t="s">
        <v>5</v>
      </c>
      <c r="C10" s="21" t="s">
        <v>6</v>
      </c>
      <c r="D10" s="22" t="s">
        <v>7</v>
      </c>
      <c r="E10" s="50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444</v>
      </c>
      <c r="C11" s="27" t="s">
        <v>19</v>
      </c>
      <c r="D11" s="28">
        <v>90.93</v>
      </c>
      <c r="E11" s="50"/>
      <c r="F11" s="1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445</v>
      </c>
      <c r="C12" s="27" t="s">
        <v>19</v>
      </c>
      <c r="D12" s="28">
        <v>78.36</v>
      </c>
      <c r="E12" s="50"/>
      <c r="F12" s="18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thickBot="1" x14ac:dyDescent="0.65">
      <c r="A13" s="19"/>
      <c r="B13" s="51" t="s">
        <v>21</v>
      </c>
      <c r="C13" s="52" t="s">
        <v>19</v>
      </c>
      <c r="D13" s="53">
        <f>D11+D12</f>
        <v>169.29000000000002</v>
      </c>
      <c r="E13" s="50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thickBot="1" x14ac:dyDescent="0.65">
      <c r="A14" s="19"/>
      <c r="B14" s="51" t="s">
        <v>22</v>
      </c>
      <c r="C14" s="52" t="s">
        <v>19</v>
      </c>
      <c r="D14" s="53">
        <f>D12</f>
        <v>78.36</v>
      </c>
      <c r="E14" s="50"/>
      <c r="F14" s="1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54"/>
      <c r="B15" s="48"/>
      <c r="C15" s="48"/>
      <c r="D15" s="49"/>
      <c r="E15" s="50"/>
      <c r="F15" s="1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43" t="s">
        <v>23</v>
      </c>
      <c r="B16" s="44"/>
      <c r="C16" s="44"/>
      <c r="D16" s="45"/>
      <c r="E16" s="46"/>
      <c r="F16" s="4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54"/>
      <c r="B17" s="48"/>
      <c r="C17" s="48"/>
      <c r="D17" s="49"/>
      <c r="E17" s="50"/>
      <c r="F17" s="1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54"/>
      <c r="B18" s="20" t="s">
        <v>5</v>
      </c>
      <c r="C18" s="21" t="s">
        <v>6</v>
      </c>
      <c r="D18" s="22" t="s">
        <v>7</v>
      </c>
      <c r="E18" s="50"/>
      <c r="F18" s="18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54"/>
      <c r="B19" s="23" t="s">
        <v>24</v>
      </c>
      <c r="C19" s="24" t="s">
        <v>19</v>
      </c>
      <c r="D19" s="25">
        <f>D12</f>
        <v>78.36</v>
      </c>
      <c r="E19" s="50"/>
      <c r="F19" s="1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54"/>
      <c r="B20" s="55" t="s">
        <v>25</v>
      </c>
      <c r="C20" s="56" t="s">
        <v>20</v>
      </c>
      <c r="D20" s="57">
        <v>4</v>
      </c>
      <c r="E20" s="50"/>
      <c r="F20" s="1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54"/>
      <c r="B21" s="58" t="s">
        <v>26</v>
      </c>
      <c r="C21" s="59" t="s">
        <v>19</v>
      </c>
      <c r="D21" s="60">
        <f>(D19*D20)</f>
        <v>313.44</v>
      </c>
      <c r="E21" s="50"/>
      <c r="F21" s="1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45">
      <c r="A22" s="19"/>
      <c r="B22" s="50"/>
      <c r="C22" s="50"/>
      <c r="D22" s="61"/>
      <c r="E22" s="50"/>
      <c r="F22" s="62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21.75" customHeight="1" x14ac:dyDescent="0.6">
      <c r="A23" s="43" t="s">
        <v>27</v>
      </c>
      <c r="B23" s="44"/>
      <c r="C23" s="44"/>
      <c r="D23" s="45"/>
      <c r="E23" s="46"/>
      <c r="F23" s="4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54"/>
      <c r="B24" s="48"/>
      <c r="C24" s="48"/>
      <c r="D24" s="49"/>
      <c r="E24" s="50"/>
      <c r="F24" s="18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54"/>
      <c r="B25" s="20" t="s">
        <v>5</v>
      </c>
      <c r="C25" s="21" t="s">
        <v>6</v>
      </c>
      <c r="D25" s="22" t="s">
        <v>7</v>
      </c>
      <c r="E25" s="50"/>
      <c r="F25" s="18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54"/>
      <c r="B26" s="23" t="s">
        <v>446</v>
      </c>
      <c r="C26" s="24" t="s">
        <v>19</v>
      </c>
      <c r="D26" s="25">
        <f>D12</f>
        <v>78.36</v>
      </c>
      <c r="E26" s="50"/>
      <c r="F26" s="1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156"/>
      <c r="B27" s="55" t="s">
        <v>447</v>
      </c>
      <c r="C27" s="56" t="s">
        <v>19</v>
      </c>
      <c r="D27" s="174">
        <f>16.92+3.24+3.6*20</f>
        <v>92.16</v>
      </c>
      <c r="E27" s="157"/>
      <c r="F27" s="15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54"/>
      <c r="B28" s="58" t="s">
        <v>27</v>
      </c>
      <c r="C28" s="59" t="s">
        <v>29</v>
      </c>
      <c r="D28" s="60">
        <f>D26*D27</f>
        <v>7221.6575999999995</v>
      </c>
      <c r="E28" s="50"/>
      <c r="F28" s="1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54"/>
      <c r="B29" s="48"/>
      <c r="C29" s="48"/>
      <c r="D29" s="49"/>
      <c r="E29" s="50"/>
      <c r="F29" s="1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43" t="s">
        <v>448</v>
      </c>
      <c r="B30" s="44"/>
      <c r="C30" s="44"/>
      <c r="D30" s="45"/>
      <c r="E30" s="46"/>
      <c r="F30" s="4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thickBot="1" x14ac:dyDescent="0.65">
      <c r="A31" s="54"/>
      <c r="B31" s="48"/>
      <c r="C31" s="48"/>
      <c r="D31" s="49"/>
      <c r="E31" s="50"/>
      <c r="F31" s="1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54"/>
      <c r="B32" s="20" t="s">
        <v>5</v>
      </c>
      <c r="C32" s="21" t="s">
        <v>6</v>
      </c>
      <c r="D32" s="22" t="s">
        <v>7</v>
      </c>
      <c r="E32" s="50"/>
      <c r="F32" s="1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54"/>
      <c r="B33" s="23" t="s">
        <v>446</v>
      </c>
      <c r="C33" s="24" t="s">
        <v>19</v>
      </c>
      <c r="D33" s="25">
        <f>D19</f>
        <v>78.36</v>
      </c>
      <c r="E33" s="50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156"/>
      <c r="B34" s="58" t="s">
        <v>448</v>
      </c>
      <c r="C34" s="59" t="s">
        <v>19</v>
      </c>
      <c r="D34" s="60">
        <f>D33</f>
        <v>78.36</v>
      </c>
      <c r="E34" s="157"/>
      <c r="F34" s="15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156"/>
      <c r="B35" s="159"/>
      <c r="C35" s="159"/>
      <c r="D35" s="160"/>
      <c r="E35" s="157"/>
      <c r="F35" s="15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43" t="s">
        <v>30</v>
      </c>
      <c r="B36" s="44"/>
      <c r="C36" s="44"/>
      <c r="D36" s="45"/>
      <c r="E36" s="46"/>
      <c r="F36" s="4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54"/>
      <c r="B37" s="48"/>
      <c r="C37" s="48"/>
      <c r="D37" s="49"/>
      <c r="E37" s="50"/>
      <c r="F37" s="1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54"/>
      <c r="B38" s="64" t="s">
        <v>5</v>
      </c>
      <c r="C38" s="65" t="s">
        <v>6</v>
      </c>
      <c r="D38" s="66" t="s">
        <v>7</v>
      </c>
      <c r="E38" s="50"/>
      <c r="F38" s="1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54"/>
      <c r="B39" s="26" t="s">
        <v>31</v>
      </c>
      <c r="C39" s="27" t="s">
        <v>29</v>
      </c>
      <c r="D39" s="149">
        <f>0.9*2.4</f>
        <v>2.16</v>
      </c>
      <c r="E39" s="50"/>
      <c r="F39" s="18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54"/>
      <c r="B40" s="26" t="s">
        <v>32</v>
      </c>
      <c r="C40" s="27" t="s">
        <v>20</v>
      </c>
      <c r="D40" s="149">
        <v>2</v>
      </c>
      <c r="E40" s="50"/>
      <c r="F40" s="1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54"/>
      <c r="B41" s="26" t="s">
        <v>33</v>
      </c>
      <c r="C41" s="27" t="s">
        <v>20</v>
      </c>
      <c r="D41" s="149">
        <f>D40*OBRA!D13</f>
        <v>52</v>
      </c>
      <c r="E41" s="50"/>
      <c r="F41" s="1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54"/>
      <c r="B42" s="67" t="s">
        <v>30</v>
      </c>
      <c r="C42" s="68" t="s">
        <v>29</v>
      </c>
      <c r="D42" s="69">
        <f>D39*D41</f>
        <v>112.32000000000001</v>
      </c>
      <c r="E42" s="50"/>
      <c r="F42" s="1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54"/>
      <c r="B43" s="48"/>
      <c r="C43" s="48"/>
      <c r="D43" s="49"/>
      <c r="E43" s="50"/>
      <c r="F43" s="1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43" t="s">
        <v>34</v>
      </c>
      <c r="B44" s="44"/>
      <c r="C44" s="44"/>
      <c r="D44" s="45"/>
      <c r="E44" s="46"/>
      <c r="F44" s="4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54"/>
      <c r="B45" s="48"/>
      <c r="C45" s="48"/>
      <c r="D45" s="49"/>
      <c r="E45" s="50"/>
      <c r="F45" s="1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54"/>
      <c r="B46" s="20" t="s">
        <v>5</v>
      </c>
      <c r="C46" s="21" t="s">
        <v>6</v>
      </c>
      <c r="D46" s="22" t="s">
        <v>7</v>
      </c>
      <c r="E46" s="50"/>
      <c r="F46" s="18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54"/>
      <c r="B47" s="23" t="s">
        <v>35</v>
      </c>
      <c r="C47" s="24" t="s">
        <v>19</v>
      </c>
      <c r="D47" s="25">
        <f>30.3*2+16</f>
        <v>76.599999999999994</v>
      </c>
      <c r="E47" s="50"/>
      <c r="F47" s="18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54"/>
      <c r="B48" s="55" t="s">
        <v>36</v>
      </c>
      <c r="C48" s="56" t="s">
        <v>19</v>
      </c>
      <c r="D48" s="57">
        <v>2.4</v>
      </c>
      <c r="E48" s="50"/>
      <c r="F48" s="18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54"/>
      <c r="B49" s="58" t="s">
        <v>37</v>
      </c>
      <c r="C49" s="59" t="s">
        <v>29</v>
      </c>
      <c r="D49" s="60">
        <f>D48*D47</f>
        <v>183.83999999999997</v>
      </c>
      <c r="E49" s="50"/>
      <c r="F49" s="18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54"/>
      <c r="B50" s="48"/>
      <c r="C50" s="48"/>
      <c r="D50" s="49"/>
      <c r="E50" s="50"/>
      <c r="F50" s="18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2"/>
      <c r="B51" s="33"/>
      <c r="C51" s="33"/>
      <c r="D51" s="34"/>
      <c r="E51" s="70"/>
      <c r="F51" s="3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71"/>
      <c r="B52" s="72"/>
      <c r="C52" s="72"/>
      <c r="D52" s="73"/>
      <c r="E52" s="74"/>
      <c r="F52" s="71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71"/>
      <c r="B53" s="72"/>
      <c r="C53" s="72"/>
      <c r="D53" s="73"/>
      <c r="E53" s="74"/>
      <c r="F53" s="71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75"/>
      <c r="F54" s="3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75"/>
      <c r="F55" s="3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75"/>
      <c r="F56" s="3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75"/>
      <c r="F57" s="3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75"/>
      <c r="F58" s="3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75"/>
      <c r="F59" s="3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75"/>
      <c r="F60" s="3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75"/>
      <c r="F61" s="3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75"/>
      <c r="F62" s="3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75"/>
      <c r="F63" s="3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75"/>
      <c r="F64" s="3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75"/>
      <c r="F65" s="3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75"/>
      <c r="F66" s="3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75"/>
      <c r="F67" s="3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75"/>
      <c r="F68" s="3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75"/>
      <c r="F69" s="3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75"/>
      <c r="F70" s="3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75"/>
      <c r="F71" s="3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75"/>
      <c r="F72" s="3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75"/>
      <c r="F73" s="3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75"/>
      <c r="F74" s="3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75"/>
      <c r="F75" s="3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75"/>
      <c r="F76" s="3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75"/>
      <c r="F77" s="3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75"/>
      <c r="F78" s="3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75"/>
      <c r="F79" s="3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75"/>
      <c r="F80" s="3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75"/>
      <c r="F81" s="3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75"/>
      <c r="F82" s="3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75"/>
      <c r="F83" s="3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75"/>
      <c r="F84" s="3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75"/>
      <c r="F85" s="3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75"/>
      <c r="F86" s="3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75"/>
      <c r="F87" s="3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75"/>
      <c r="F88" s="3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75"/>
      <c r="F89" s="3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75"/>
      <c r="F90" s="3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75"/>
      <c r="F91" s="3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75"/>
      <c r="F92" s="3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75"/>
      <c r="F93" s="3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75"/>
      <c r="F94" s="3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75"/>
      <c r="F95" s="3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75"/>
      <c r="F96" s="3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75"/>
      <c r="F97" s="3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75"/>
      <c r="F98" s="3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75"/>
      <c r="F99" s="3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75"/>
      <c r="F100" s="3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75"/>
      <c r="F101" s="3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75"/>
      <c r="F102" s="3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75"/>
      <c r="F103" s="3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75"/>
      <c r="F104" s="3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75"/>
      <c r="F105" s="3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75"/>
      <c r="F106" s="3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75"/>
      <c r="F107" s="3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75"/>
      <c r="F108" s="3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75"/>
      <c r="F109" s="3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75"/>
      <c r="F110" s="3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75"/>
      <c r="F111" s="3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75"/>
      <c r="F112" s="3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75"/>
      <c r="F113" s="3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75"/>
      <c r="F114" s="3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75"/>
      <c r="F115" s="3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75"/>
      <c r="F116" s="3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75"/>
      <c r="F117" s="3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75"/>
      <c r="F118" s="3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75"/>
      <c r="F119" s="3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75"/>
      <c r="F120" s="3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75"/>
      <c r="F121" s="3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75"/>
      <c r="F122" s="3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75"/>
      <c r="F123" s="3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75"/>
      <c r="F124" s="3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75"/>
      <c r="F125" s="3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75"/>
      <c r="F126" s="3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75"/>
      <c r="F127" s="3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75"/>
      <c r="F128" s="3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75"/>
      <c r="F129" s="3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75"/>
      <c r="F130" s="3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75"/>
      <c r="F131" s="3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75"/>
      <c r="F132" s="3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75"/>
      <c r="F133" s="3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75"/>
      <c r="F134" s="3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75"/>
      <c r="F135" s="3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75"/>
      <c r="F136" s="3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75"/>
      <c r="F137" s="3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75"/>
      <c r="F138" s="3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75"/>
      <c r="F139" s="3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75"/>
      <c r="F140" s="3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75"/>
      <c r="F141" s="3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75"/>
      <c r="F142" s="3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75"/>
      <c r="F143" s="3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75"/>
      <c r="F144" s="3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75"/>
      <c r="F145" s="3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75"/>
      <c r="F146" s="3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75"/>
      <c r="F147" s="3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75"/>
      <c r="F148" s="3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75"/>
      <c r="F149" s="3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75"/>
      <c r="F150" s="3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75"/>
      <c r="F151" s="3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75"/>
      <c r="F152" s="3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75"/>
      <c r="F153" s="3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75"/>
      <c r="F154" s="3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75"/>
      <c r="F155" s="3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75"/>
      <c r="F156" s="3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75"/>
      <c r="F157" s="3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75"/>
      <c r="F158" s="3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75"/>
      <c r="F159" s="3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75"/>
      <c r="F160" s="3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75"/>
      <c r="F161" s="3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75"/>
      <c r="F162" s="3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75"/>
      <c r="F163" s="3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75"/>
      <c r="F164" s="3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75"/>
      <c r="F165" s="3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75"/>
      <c r="F166" s="3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75"/>
      <c r="F167" s="3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75"/>
      <c r="F168" s="3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75"/>
      <c r="F169" s="3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75"/>
      <c r="F170" s="3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75"/>
      <c r="F171" s="3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75"/>
      <c r="F172" s="3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75"/>
      <c r="F173" s="3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75"/>
      <c r="F174" s="3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75"/>
      <c r="F175" s="3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75"/>
      <c r="F176" s="3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75"/>
      <c r="F177" s="3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75"/>
      <c r="F178" s="3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75"/>
      <c r="F179" s="3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75"/>
      <c r="F180" s="3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75"/>
      <c r="F181" s="3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75"/>
      <c r="F182" s="3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75"/>
      <c r="F183" s="3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75"/>
      <c r="F184" s="3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75"/>
      <c r="F185" s="3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75"/>
      <c r="F186" s="3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75"/>
      <c r="F187" s="3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75"/>
      <c r="F188" s="3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75"/>
      <c r="F189" s="3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75"/>
      <c r="F190" s="3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75"/>
      <c r="F191" s="3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75"/>
      <c r="F192" s="3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75"/>
      <c r="F193" s="3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75"/>
      <c r="F194" s="3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75"/>
      <c r="F195" s="3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75"/>
      <c r="F196" s="3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75"/>
      <c r="F197" s="3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75"/>
      <c r="F198" s="3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75"/>
      <c r="F199" s="3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75"/>
      <c r="F200" s="3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75"/>
      <c r="F201" s="3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75"/>
      <c r="F202" s="3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75"/>
      <c r="F203" s="3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75"/>
      <c r="F204" s="3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75"/>
      <c r="F205" s="3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75"/>
      <c r="F206" s="3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75"/>
      <c r="F207" s="3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75"/>
      <c r="F208" s="3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75"/>
      <c r="F209" s="3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75"/>
      <c r="F210" s="3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75"/>
      <c r="F211" s="3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75"/>
      <c r="F212" s="3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75"/>
      <c r="F213" s="3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75"/>
      <c r="F214" s="3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75"/>
      <c r="F215" s="3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75"/>
      <c r="F216" s="3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75"/>
      <c r="F217" s="3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75"/>
      <c r="F218" s="3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75"/>
      <c r="F219" s="3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75"/>
      <c r="F220" s="3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75"/>
      <c r="F221" s="3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75"/>
      <c r="F222" s="3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75"/>
      <c r="F223" s="3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75"/>
      <c r="F224" s="3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75"/>
      <c r="F225" s="3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75"/>
      <c r="F226" s="3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75"/>
      <c r="F227" s="3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75"/>
      <c r="F228" s="3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75"/>
      <c r="F229" s="3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75"/>
      <c r="F230" s="3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75"/>
      <c r="F231" s="3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75"/>
      <c r="F232" s="3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75"/>
      <c r="F233" s="3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75"/>
      <c r="F234" s="3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75"/>
      <c r="F235" s="3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75"/>
      <c r="F236" s="3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75"/>
      <c r="F237" s="3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75"/>
      <c r="F238" s="3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75"/>
      <c r="F239" s="3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75"/>
      <c r="F240" s="3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75"/>
      <c r="F241" s="3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75"/>
      <c r="F242" s="3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75"/>
      <c r="F243" s="3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75"/>
      <c r="F244" s="3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75"/>
      <c r="F245" s="3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75"/>
      <c r="F246" s="3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75"/>
      <c r="F247" s="3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75"/>
      <c r="F248" s="3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75"/>
      <c r="F249" s="3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75"/>
      <c r="F250" s="3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75"/>
      <c r="F251" s="3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75"/>
      <c r="F252" s="3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75"/>
      <c r="F253" s="3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75"/>
      <c r="F254" s="3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75"/>
      <c r="F255" s="3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75"/>
      <c r="F256" s="3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75"/>
      <c r="F257" s="3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75"/>
      <c r="F258" s="3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75"/>
      <c r="F259" s="3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75"/>
      <c r="F260" s="3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75"/>
      <c r="F261" s="3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75"/>
      <c r="F262" s="3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75"/>
      <c r="F263" s="3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75"/>
      <c r="F264" s="3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75"/>
      <c r="F265" s="3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75"/>
      <c r="F266" s="3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75"/>
      <c r="F267" s="3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75"/>
      <c r="F268" s="3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75"/>
      <c r="F269" s="3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75"/>
      <c r="F270" s="3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75"/>
      <c r="F271" s="3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75"/>
      <c r="F272" s="3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75"/>
      <c r="F273" s="3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75"/>
      <c r="F274" s="3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75"/>
      <c r="F275" s="3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75"/>
      <c r="F276" s="3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75"/>
      <c r="F277" s="3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75"/>
      <c r="F278" s="3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75"/>
      <c r="F279" s="3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75"/>
      <c r="F280" s="3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75"/>
      <c r="F281" s="3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75"/>
      <c r="F282" s="3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75"/>
      <c r="F283" s="3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75"/>
      <c r="F284" s="3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75"/>
      <c r="F285" s="3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75"/>
      <c r="F286" s="3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75"/>
      <c r="F287" s="3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75"/>
      <c r="F288" s="3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75"/>
      <c r="F289" s="3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75"/>
      <c r="F290" s="3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75"/>
      <c r="F291" s="3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75"/>
      <c r="F292" s="3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75"/>
      <c r="F293" s="3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75"/>
      <c r="F294" s="3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75"/>
      <c r="F295" s="3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75"/>
      <c r="F296" s="3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75"/>
      <c r="F297" s="3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75"/>
      <c r="F298" s="3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75"/>
      <c r="F299" s="3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75"/>
      <c r="F300" s="3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75"/>
      <c r="F301" s="3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75"/>
      <c r="F302" s="3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75"/>
      <c r="F303" s="3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75"/>
      <c r="F304" s="3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75"/>
      <c r="F305" s="3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75"/>
      <c r="F306" s="3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75"/>
      <c r="F307" s="3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75"/>
      <c r="F308" s="3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75"/>
      <c r="F309" s="3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75"/>
      <c r="F310" s="3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75"/>
      <c r="F311" s="3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75"/>
      <c r="F312" s="3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75"/>
      <c r="F313" s="3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75"/>
      <c r="F314" s="3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75"/>
      <c r="F315" s="3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75"/>
      <c r="F316" s="3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75"/>
      <c r="F317" s="3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75"/>
      <c r="F318" s="3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75"/>
      <c r="F319" s="3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75"/>
      <c r="F320" s="3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75"/>
      <c r="F321" s="3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75"/>
      <c r="F322" s="3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75"/>
      <c r="F323" s="3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75"/>
      <c r="F324" s="3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75"/>
      <c r="F325" s="3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75"/>
      <c r="F326" s="3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75"/>
      <c r="F327" s="3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75"/>
      <c r="F328" s="3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75"/>
      <c r="F329" s="3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75"/>
      <c r="F330" s="3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75"/>
      <c r="F331" s="3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75"/>
      <c r="F332" s="3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75"/>
      <c r="F333" s="3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75"/>
      <c r="F334" s="3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75"/>
      <c r="F335" s="3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75"/>
      <c r="F336" s="3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75"/>
      <c r="F337" s="3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75"/>
      <c r="F338" s="3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75"/>
      <c r="F339" s="3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75"/>
      <c r="F340" s="3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75"/>
      <c r="F341" s="3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75"/>
      <c r="F342" s="3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75"/>
      <c r="F343" s="3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75"/>
      <c r="F344" s="3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75"/>
      <c r="F345" s="3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75"/>
      <c r="F346" s="3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75"/>
      <c r="F347" s="3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75"/>
      <c r="F348" s="3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75"/>
      <c r="F349" s="3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75"/>
      <c r="F350" s="3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75"/>
      <c r="F351" s="3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75"/>
      <c r="F352" s="3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75"/>
      <c r="F353" s="3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75"/>
      <c r="F354" s="3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75"/>
      <c r="F355" s="3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75"/>
      <c r="F356" s="3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75"/>
      <c r="F357" s="3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75"/>
      <c r="F358" s="3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75"/>
      <c r="F359" s="3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75"/>
      <c r="F360" s="3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75"/>
      <c r="F361" s="3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75"/>
      <c r="F362" s="3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75"/>
      <c r="F363" s="3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75"/>
      <c r="F364" s="3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75"/>
      <c r="F365" s="3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75"/>
      <c r="F366" s="3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75"/>
      <c r="F367" s="3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75"/>
      <c r="F368" s="3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75"/>
      <c r="F369" s="3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75"/>
      <c r="F370" s="3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75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75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75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75"/>
      <c r="F374" s="3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75"/>
      <c r="F375" s="3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75"/>
      <c r="F376" s="3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75"/>
      <c r="F377" s="3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75"/>
      <c r="F378" s="3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75"/>
      <c r="F379" s="3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75"/>
      <c r="F380" s="3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75"/>
      <c r="F381" s="3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75"/>
      <c r="F382" s="3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75"/>
      <c r="F383" s="3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75"/>
      <c r="F384" s="3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75"/>
      <c r="F385" s="3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75"/>
      <c r="F386" s="3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75"/>
      <c r="F387" s="3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75"/>
      <c r="F388" s="3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75"/>
      <c r="F389" s="3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75"/>
      <c r="F390" s="3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75"/>
      <c r="F391" s="3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75"/>
      <c r="F392" s="3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75"/>
      <c r="F393" s="3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75"/>
      <c r="F394" s="3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75"/>
      <c r="F395" s="3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75"/>
      <c r="F396" s="3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75"/>
      <c r="F397" s="3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75"/>
      <c r="F398" s="3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75"/>
      <c r="F399" s="3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75"/>
      <c r="F400" s="3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75"/>
      <c r="F401" s="3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75"/>
      <c r="F402" s="3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75"/>
      <c r="F403" s="3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75"/>
      <c r="F404" s="3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75"/>
      <c r="F405" s="3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75"/>
      <c r="F406" s="3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75"/>
      <c r="F407" s="3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75"/>
      <c r="F408" s="3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75"/>
      <c r="F409" s="3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75"/>
      <c r="F410" s="3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75"/>
      <c r="F411" s="3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75"/>
      <c r="F412" s="3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75"/>
      <c r="F413" s="3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75"/>
      <c r="F414" s="3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75"/>
      <c r="F415" s="3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75"/>
      <c r="F416" s="3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75"/>
      <c r="F417" s="3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75"/>
      <c r="F418" s="3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75"/>
      <c r="F419" s="3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75"/>
      <c r="F420" s="3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75"/>
      <c r="F421" s="3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75"/>
      <c r="F422" s="3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75"/>
      <c r="F423" s="3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75"/>
      <c r="F424" s="3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75"/>
      <c r="F425" s="3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75"/>
      <c r="F426" s="3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75"/>
      <c r="F427" s="3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75"/>
      <c r="F428" s="3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75"/>
      <c r="F429" s="3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75"/>
      <c r="F430" s="3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75"/>
      <c r="F431" s="3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75"/>
      <c r="F432" s="3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75"/>
      <c r="F433" s="3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75"/>
      <c r="F434" s="3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75"/>
      <c r="F435" s="3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75"/>
      <c r="F436" s="3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75"/>
      <c r="F437" s="3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75"/>
      <c r="F438" s="3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75"/>
      <c r="F439" s="3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75"/>
      <c r="F440" s="3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75"/>
      <c r="F441" s="3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75"/>
      <c r="F442" s="3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75"/>
      <c r="F443" s="3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75"/>
      <c r="F444" s="3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75"/>
      <c r="F445" s="3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75"/>
      <c r="F446" s="3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75"/>
      <c r="F447" s="3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75"/>
      <c r="F448" s="3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75"/>
      <c r="F449" s="3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75"/>
      <c r="F450" s="3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75"/>
      <c r="F451" s="3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75"/>
      <c r="F452" s="3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75"/>
      <c r="F453" s="3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75"/>
      <c r="F454" s="3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75"/>
      <c r="F455" s="3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75"/>
      <c r="F456" s="3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75"/>
      <c r="F457" s="3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75"/>
      <c r="F458" s="3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75"/>
      <c r="F459" s="3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75"/>
      <c r="F460" s="3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75"/>
      <c r="F461" s="3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75"/>
      <c r="F462" s="3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75"/>
      <c r="F463" s="3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75"/>
      <c r="F464" s="3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75"/>
      <c r="F465" s="3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75"/>
      <c r="F466" s="3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75"/>
      <c r="F467" s="3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75"/>
      <c r="F468" s="3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75"/>
      <c r="F469" s="3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75"/>
      <c r="F470" s="3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75"/>
      <c r="F471" s="3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75"/>
      <c r="F472" s="3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75"/>
      <c r="F473" s="3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75"/>
      <c r="F474" s="3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75"/>
      <c r="F475" s="3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75"/>
      <c r="F476" s="3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75"/>
      <c r="F477" s="3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75"/>
      <c r="F478" s="3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75"/>
      <c r="F479" s="3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75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75"/>
      <c r="F481" s="3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75"/>
      <c r="F482" s="3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75"/>
      <c r="F483" s="3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75"/>
      <c r="F484" s="3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75"/>
      <c r="F485" s="3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75"/>
      <c r="F486" s="3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75"/>
      <c r="F487" s="3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75"/>
      <c r="F488" s="3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75"/>
      <c r="F489" s="3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75"/>
      <c r="F490" s="3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75"/>
      <c r="F491" s="3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75"/>
      <c r="F492" s="3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75"/>
      <c r="F493" s="3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75"/>
      <c r="F494" s="3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75"/>
      <c r="F495" s="3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75"/>
      <c r="F496" s="3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75"/>
      <c r="F497" s="3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75"/>
      <c r="F498" s="3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75"/>
      <c r="F499" s="3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75"/>
      <c r="F500" s="3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75"/>
      <c r="F501" s="3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75"/>
      <c r="F502" s="3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75"/>
      <c r="F503" s="3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75"/>
      <c r="F504" s="3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75"/>
      <c r="F505" s="3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75"/>
      <c r="F506" s="3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75"/>
      <c r="F507" s="3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75"/>
      <c r="F508" s="3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75"/>
      <c r="F509" s="3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75"/>
      <c r="F510" s="3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75"/>
      <c r="F511" s="3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75"/>
      <c r="F512" s="3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75"/>
      <c r="F513" s="3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75"/>
      <c r="F514" s="3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75"/>
      <c r="F515" s="3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75"/>
      <c r="F516" s="3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75"/>
      <c r="F517" s="3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75"/>
      <c r="F518" s="3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75"/>
      <c r="F519" s="3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75"/>
      <c r="F520" s="3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75"/>
      <c r="F521" s="3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75"/>
      <c r="F522" s="3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75"/>
      <c r="F523" s="3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75"/>
      <c r="F524" s="3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75"/>
      <c r="F525" s="3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75"/>
      <c r="F526" s="3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75"/>
      <c r="F527" s="3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75"/>
      <c r="F528" s="3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75"/>
      <c r="F529" s="3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75"/>
      <c r="F530" s="3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75"/>
      <c r="F531" s="3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75"/>
      <c r="F532" s="3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75"/>
      <c r="F533" s="3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75"/>
      <c r="F534" s="3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75"/>
      <c r="F535" s="3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75"/>
      <c r="F536" s="3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75"/>
      <c r="F537" s="3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75"/>
      <c r="F538" s="3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75"/>
      <c r="F539" s="3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75"/>
      <c r="F540" s="3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75"/>
      <c r="F541" s="3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75"/>
      <c r="F542" s="3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75"/>
      <c r="F543" s="3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75"/>
      <c r="F544" s="3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75"/>
      <c r="F545" s="3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75"/>
      <c r="F546" s="3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75"/>
      <c r="F547" s="3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75"/>
      <c r="F548" s="3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75"/>
      <c r="F549" s="3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75"/>
      <c r="F550" s="3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75"/>
      <c r="F551" s="3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75"/>
      <c r="F552" s="3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75"/>
      <c r="F553" s="3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75"/>
      <c r="F554" s="3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75"/>
      <c r="F555" s="3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75"/>
      <c r="F556" s="3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75"/>
      <c r="F557" s="3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75"/>
      <c r="F558" s="3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75"/>
      <c r="F559" s="3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75"/>
      <c r="F560" s="3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75"/>
      <c r="F561" s="3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75"/>
      <c r="F562" s="3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75"/>
      <c r="F563" s="3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75"/>
      <c r="F564" s="3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75"/>
      <c r="F565" s="3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75"/>
      <c r="F566" s="3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75"/>
      <c r="F567" s="3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75"/>
      <c r="F568" s="3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75"/>
      <c r="F569" s="3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75"/>
      <c r="F570" s="3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75"/>
      <c r="F571" s="3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75"/>
      <c r="F572" s="3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75"/>
      <c r="F573" s="3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75"/>
      <c r="F574" s="3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75"/>
      <c r="F575" s="3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75"/>
      <c r="F576" s="3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75"/>
      <c r="F577" s="3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75"/>
      <c r="F578" s="3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75"/>
      <c r="F579" s="3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75"/>
      <c r="F580" s="3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75"/>
      <c r="F581" s="3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75"/>
      <c r="F582" s="3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75"/>
      <c r="F583" s="3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75"/>
      <c r="F584" s="3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75"/>
      <c r="F585" s="3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75"/>
      <c r="F586" s="3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75"/>
      <c r="F587" s="3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75"/>
      <c r="F588" s="3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75"/>
      <c r="F589" s="3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75"/>
      <c r="F590" s="3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75"/>
      <c r="F591" s="3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75"/>
      <c r="F592" s="3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75"/>
      <c r="F593" s="3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75"/>
      <c r="F594" s="3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75"/>
      <c r="F595" s="3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75"/>
      <c r="F596" s="3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75"/>
      <c r="F597" s="3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75"/>
      <c r="F598" s="3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75"/>
      <c r="F599" s="3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75"/>
      <c r="F600" s="3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75"/>
      <c r="F601" s="3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75"/>
      <c r="F602" s="3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75"/>
      <c r="F603" s="3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75"/>
      <c r="F604" s="3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75"/>
      <c r="F605" s="3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75"/>
      <c r="F606" s="3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75"/>
      <c r="F607" s="3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75"/>
      <c r="F608" s="3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75"/>
      <c r="F609" s="3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75"/>
      <c r="F610" s="3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75"/>
      <c r="F611" s="3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75"/>
      <c r="F612" s="3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75"/>
      <c r="F613" s="3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75"/>
      <c r="F614" s="3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75"/>
      <c r="F615" s="3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75"/>
      <c r="F616" s="3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75"/>
      <c r="F617" s="3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75"/>
      <c r="F618" s="3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75"/>
      <c r="F619" s="3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75"/>
      <c r="F620" s="3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75"/>
      <c r="F621" s="3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75"/>
      <c r="F622" s="3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75"/>
      <c r="F623" s="3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75"/>
      <c r="F624" s="3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75"/>
      <c r="F625" s="3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75"/>
      <c r="F626" s="3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75"/>
      <c r="F627" s="3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75"/>
      <c r="F628" s="3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75"/>
      <c r="F629" s="3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75"/>
      <c r="F630" s="3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75"/>
      <c r="F631" s="3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75"/>
      <c r="F632" s="3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75"/>
      <c r="F633" s="3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75"/>
      <c r="F634" s="3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75"/>
      <c r="F635" s="3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75"/>
      <c r="F636" s="3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75"/>
      <c r="F637" s="3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75"/>
      <c r="F638" s="3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75"/>
      <c r="F639" s="3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75"/>
      <c r="F640" s="3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75"/>
      <c r="F641" s="3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75"/>
      <c r="F642" s="3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75"/>
      <c r="F643" s="3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75"/>
      <c r="F644" s="3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75"/>
      <c r="F645" s="3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75"/>
      <c r="F646" s="3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75"/>
      <c r="F647" s="3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75"/>
      <c r="F648" s="3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75"/>
      <c r="F649" s="3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75"/>
      <c r="F650" s="3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75"/>
      <c r="F651" s="3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75"/>
      <c r="F652" s="3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75"/>
      <c r="F653" s="3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75"/>
      <c r="F654" s="3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75"/>
      <c r="F655" s="3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75"/>
      <c r="F656" s="3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75"/>
      <c r="F657" s="3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75"/>
      <c r="F658" s="3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75"/>
      <c r="F659" s="3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75"/>
      <c r="F660" s="3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75"/>
      <c r="F661" s="3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75"/>
      <c r="F662" s="3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75"/>
      <c r="F663" s="3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75"/>
      <c r="F664" s="3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75"/>
      <c r="F665" s="3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75"/>
      <c r="F666" s="3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75"/>
      <c r="F667" s="3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75"/>
      <c r="F668" s="3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75"/>
      <c r="F669" s="3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75"/>
      <c r="F670" s="3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75"/>
      <c r="F671" s="3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75"/>
      <c r="F672" s="3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75"/>
      <c r="F673" s="3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75"/>
      <c r="F674" s="3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75"/>
      <c r="F675" s="3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75"/>
      <c r="F676" s="3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75"/>
      <c r="F677" s="3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75"/>
      <c r="F678" s="3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75"/>
      <c r="F679" s="3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75"/>
      <c r="F680" s="3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75"/>
      <c r="F681" s="3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75"/>
      <c r="F682" s="3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75"/>
      <c r="F683" s="3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75"/>
      <c r="F684" s="3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75"/>
      <c r="F685" s="3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75"/>
      <c r="F686" s="3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75"/>
      <c r="F687" s="3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75"/>
      <c r="F688" s="3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75"/>
      <c r="F689" s="3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75"/>
      <c r="F690" s="3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75"/>
      <c r="F691" s="3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75"/>
      <c r="F692" s="3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75"/>
      <c r="F693" s="3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75"/>
      <c r="F694" s="3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75"/>
      <c r="F695" s="3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75"/>
      <c r="F696" s="3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75"/>
      <c r="F697" s="3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75"/>
      <c r="F698" s="3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75"/>
      <c r="F699" s="3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75"/>
      <c r="F700" s="3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75"/>
      <c r="F701" s="3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75"/>
      <c r="F702" s="3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75"/>
      <c r="F703" s="3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75"/>
      <c r="F704" s="3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75"/>
      <c r="F705" s="3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75"/>
      <c r="F706" s="3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75"/>
      <c r="F707" s="3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75"/>
      <c r="F708" s="3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75"/>
      <c r="F709" s="3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75"/>
      <c r="F710" s="3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75"/>
      <c r="F711" s="3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75"/>
      <c r="F712" s="3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75"/>
      <c r="F713" s="3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75"/>
      <c r="F714" s="3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75"/>
      <c r="F715" s="3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75"/>
      <c r="F716" s="3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75"/>
      <c r="F717" s="3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75"/>
      <c r="F718" s="3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75"/>
      <c r="F719" s="3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75"/>
      <c r="F720" s="3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75"/>
      <c r="F721" s="3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75"/>
      <c r="F722" s="3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75"/>
      <c r="F723" s="3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75"/>
      <c r="F724" s="3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75"/>
      <c r="F725" s="3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75"/>
      <c r="F726" s="3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75"/>
      <c r="F727" s="3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75"/>
      <c r="F728" s="3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75"/>
      <c r="F729" s="3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75"/>
      <c r="F730" s="3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75"/>
      <c r="F731" s="3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75"/>
      <c r="F732" s="3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75"/>
      <c r="F733" s="3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75"/>
      <c r="F734" s="3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75"/>
      <c r="F735" s="3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75"/>
      <c r="F736" s="3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75"/>
      <c r="F737" s="3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75"/>
      <c r="F738" s="3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75"/>
      <c r="F739" s="3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75"/>
      <c r="F740" s="3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75"/>
      <c r="F741" s="3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75"/>
      <c r="F742" s="3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75"/>
      <c r="F743" s="3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75"/>
      <c r="F744" s="3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75"/>
      <c r="F745" s="3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75"/>
      <c r="F746" s="3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75"/>
      <c r="F747" s="3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75"/>
      <c r="F748" s="3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75"/>
      <c r="F749" s="3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75"/>
      <c r="F750" s="3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75"/>
      <c r="F751" s="3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75"/>
      <c r="F752" s="3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75"/>
      <c r="F753" s="3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75"/>
      <c r="F754" s="3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75"/>
      <c r="F755" s="3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75"/>
      <c r="F756" s="3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75"/>
      <c r="F757" s="3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75"/>
      <c r="F758" s="3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75"/>
      <c r="F759" s="3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75"/>
      <c r="F760" s="3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75"/>
      <c r="F761" s="3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75"/>
      <c r="F762" s="3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75"/>
      <c r="F763" s="3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75"/>
      <c r="F764" s="3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75"/>
      <c r="F765" s="3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75"/>
      <c r="F766" s="3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75"/>
      <c r="F767" s="3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75"/>
      <c r="F768" s="3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75"/>
      <c r="F769" s="3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75"/>
      <c r="F770" s="3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75"/>
      <c r="F771" s="3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75"/>
      <c r="F772" s="3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75"/>
      <c r="F773" s="3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75"/>
      <c r="F774" s="3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75"/>
      <c r="F775" s="3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75"/>
      <c r="F776" s="3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75"/>
      <c r="F777" s="3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75"/>
      <c r="F778" s="3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75"/>
      <c r="F779" s="3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75"/>
      <c r="F780" s="3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75"/>
      <c r="F781" s="3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75"/>
      <c r="F782" s="3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75"/>
      <c r="F783" s="3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75"/>
      <c r="F784" s="3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75"/>
      <c r="F785" s="3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75"/>
      <c r="F786" s="3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75"/>
      <c r="F787" s="3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75"/>
      <c r="F788" s="3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75"/>
      <c r="F789" s="3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75"/>
      <c r="F790" s="3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75"/>
      <c r="F791" s="3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75"/>
      <c r="F792" s="3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75"/>
      <c r="F793" s="3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75"/>
      <c r="F794" s="3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75"/>
      <c r="F795" s="3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75"/>
      <c r="F796" s="3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75"/>
      <c r="F797" s="3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75"/>
      <c r="F798" s="3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75"/>
      <c r="F799" s="3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75"/>
      <c r="F800" s="3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75"/>
      <c r="F801" s="3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75"/>
      <c r="F802" s="3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75"/>
      <c r="F803" s="3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75"/>
      <c r="F804" s="3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75"/>
      <c r="F805" s="3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75"/>
      <c r="F806" s="3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75"/>
      <c r="F807" s="3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75"/>
      <c r="F808" s="3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75"/>
      <c r="F809" s="3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75"/>
      <c r="F810" s="3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75"/>
      <c r="F811" s="3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75"/>
      <c r="F812" s="3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75"/>
      <c r="F813" s="3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75"/>
      <c r="F814" s="3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75"/>
      <c r="F815" s="3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75"/>
      <c r="F816" s="3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75"/>
      <c r="F817" s="3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75"/>
      <c r="F818" s="3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75"/>
      <c r="F819" s="3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75"/>
      <c r="F820" s="3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75"/>
      <c r="F821" s="3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75"/>
      <c r="F822" s="3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75"/>
      <c r="F823" s="3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75"/>
      <c r="F824" s="3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75"/>
      <c r="F825" s="3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75"/>
      <c r="F826" s="3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75"/>
      <c r="F827" s="3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75"/>
      <c r="F828" s="3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75"/>
      <c r="F829" s="3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75"/>
      <c r="F830" s="3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75"/>
      <c r="F831" s="3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75"/>
      <c r="F832" s="3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75"/>
      <c r="F833" s="3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75"/>
      <c r="F834" s="3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75"/>
      <c r="F835" s="3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75"/>
      <c r="F836" s="3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75"/>
      <c r="F837" s="3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75"/>
      <c r="F838" s="3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75"/>
      <c r="F839" s="3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75"/>
      <c r="F840" s="3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75"/>
      <c r="F841" s="3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75"/>
      <c r="F842" s="3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75"/>
      <c r="F843" s="3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75"/>
      <c r="F844" s="3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75"/>
      <c r="F845" s="3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75"/>
      <c r="F846" s="3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75"/>
      <c r="F847" s="3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75"/>
      <c r="F848" s="3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75"/>
      <c r="F849" s="3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75"/>
      <c r="F850" s="3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75"/>
      <c r="F851" s="3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75"/>
      <c r="F852" s="3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75"/>
      <c r="F853" s="3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75"/>
      <c r="F854" s="3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75"/>
      <c r="F855" s="3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75"/>
      <c r="F856" s="3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75"/>
      <c r="F857" s="3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75"/>
      <c r="F858" s="3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75"/>
      <c r="F859" s="3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75"/>
      <c r="F860" s="3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75"/>
      <c r="F861" s="3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75"/>
      <c r="F862" s="3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75"/>
      <c r="F863" s="3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75"/>
      <c r="F864" s="3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75"/>
      <c r="F865" s="3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75"/>
      <c r="F866" s="3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75"/>
      <c r="F867" s="3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75"/>
      <c r="F868" s="3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75"/>
      <c r="F869" s="3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75"/>
      <c r="F870" s="3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75"/>
      <c r="F871" s="3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75"/>
      <c r="F872" s="3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75"/>
      <c r="F873" s="3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75"/>
      <c r="F874" s="3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75"/>
      <c r="F875" s="3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75"/>
      <c r="F876" s="3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75"/>
      <c r="F877" s="3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75"/>
      <c r="F878" s="3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75"/>
      <c r="F879" s="3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75"/>
      <c r="F880" s="3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75"/>
      <c r="F881" s="3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75"/>
      <c r="F882" s="3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75"/>
      <c r="F883" s="3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75"/>
      <c r="F884" s="3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75"/>
      <c r="F885" s="3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75"/>
      <c r="F886" s="3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75"/>
      <c r="F887" s="3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75"/>
      <c r="F888" s="3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75"/>
      <c r="F889" s="3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75"/>
      <c r="F890" s="3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75"/>
      <c r="F891" s="3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75"/>
      <c r="F892" s="3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75"/>
      <c r="F893" s="3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75"/>
      <c r="F894" s="3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75"/>
      <c r="F895" s="3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75"/>
      <c r="F896" s="3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75"/>
      <c r="F897" s="3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75"/>
      <c r="F898" s="3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75"/>
      <c r="F899" s="3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75"/>
      <c r="F900" s="3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75"/>
      <c r="F901" s="3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75"/>
      <c r="F902" s="3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75"/>
      <c r="F903" s="3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75"/>
      <c r="F904" s="3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75"/>
      <c r="F905" s="3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75"/>
      <c r="F906" s="3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75"/>
      <c r="F907" s="3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75"/>
      <c r="F908" s="3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75"/>
      <c r="F909" s="3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75"/>
      <c r="F910" s="3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75"/>
      <c r="F911" s="3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75"/>
      <c r="F912" s="3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75"/>
      <c r="F913" s="3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75"/>
      <c r="F914" s="3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75"/>
      <c r="F915" s="3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75"/>
      <c r="F916" s="3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75"/>
      <c r="F917" s="3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75"/>
      <c r="F918" s="3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75"/>
      <c r="F919" s="3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75"/>
      <c r="F920" s="3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75"/>
      <c r="F921" s="3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75"/>
      <c r="F922" s="3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75"/>
      <c r="F923" s="3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75"/>
      <c r="F924" s="3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75"/>
      <c r="F925" s="3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75"/>
      <c r="F926" s="3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75"/>
      <c r="F927" s="3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75"/>
      <c r="F928" s="3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75"/>
      <c r="F929" s="3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75"/>
      <c r="F930" s="3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75"/>
      <c r="F931" s="3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75"/>
      <c r="F932" s="3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75"/>
      <c r="F933" s="3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75"/>
      <c r="F934" s="3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75"/>
      <c r="F935" s="3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75"/>
      <c r="F936" s="3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75"/>
      <c r="F937" s="3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75"/>
      <c r="F938" s="3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75"/>
      <c r="F939" s="3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75"/>
      <c r="F940" s="3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75"/>
      <c r="F941" s="3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75"/>
      <c r="F942" s="3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75"/>
      <c r="F943" s="3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75"/>
      <c r="F944" s="3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75"/>
      <c r="F945" s="3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75"/>
      <c r="F946" s="3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75"/>
      <c r="F947" s="3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75"/>
      <c r="F948" s="3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75"/>
      <c r="F949" s="3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75"/>
      <c r="F950" s="3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75"/>
      <c r="F951" s="3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75"/>
      <c r="F952" s="3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75"/>
      <c r="F953" s="3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75"/>
      <c r="F954" s="3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75"/>
      <c r="F955" s="3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75"/>
      <c r="F956" s="3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75"/>
      <c r="F957" s="3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75"/>
      <c r="F958" s="3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75"/>
      <c r="F959" s="3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75"/>
      <c r="F960" s="3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75"/>
      <c r="F961" s="3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75"/>
      <c r="F962" s="3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75"/>
      <c r="F963" s="3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75"/>
      <c r="F964" s="3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75"/>
      <c r="F965" s="3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75"/>
      <c r="F966" s="3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75"/>
      <c r="F967" s="3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75"/>
      <c r="F968" s="3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75"/>
      <c r="F969" s="3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75"/>
      <c r="F970" s="3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75"/>
      <c r="F971" s="3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75"/>
      <c r="F972" s="3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75"/>
      <c r="F973" s="3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75"/>
      <c r="F974" s="3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75"/>
      <c r="F975" s="3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75"/>
      <c r="F976" s="3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75"/>
      <c r="F977" s="3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75"/>
      <c r="F978" s="3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75"/>
      <c r="F979" s="3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75"/>
      <c r="F980" s="3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75"/>
      <c r="F981" s="3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75"/>
      <c r="F982" s="3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75"/>
      <c r="F983" s="3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75"/>
      <c r="F984" s="3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75"/>
      <c r="F985" s="3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75"/>
      <c r="F986" s="3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75"/>
      <c r="F987" s="3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75"/>
      <c r="F988" s="3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75"/>
      <c r="F989" s="3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75"/>
      <c r="F990" s="3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75"/>
      <c r="F991" s="3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75"/>
      <c r="F992" s="3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75"/>
      <c r="F993" s="3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75"/>
      <c r="F994" s="3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75"/>
      <c r="F995" s="3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75"/>
      <c r="F996" s="3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75"/>
      <c r="F997" s="3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75"/>
      <c r="F998" s="3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75"/>
      <c r="F999" s="3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75"/>
      <c r="F1000" s="3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1.75" customHeight="1" x14ac:dyDescent="0.6">
      <c r="A1001" s="36"/>
      <c r="B1001" s="37"/>
      <c r="C1001" s="37"/>
      <c r="D1001" s="38"/>
      <c r="E1001" s="75"/>
      <c r="F1001" s="36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1.75" customHeight="1" x14ac:dyDescent="0.6">
      <c r="A1002" s="36"/>
      <c r="B1002" s="37"/>
      <c r="C1002" s="37"/>
      <c r="D1002" s="38"/>
      <c r="E1002" s="75"/>
      <c r="F1002" s="36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21.75" customHeight="1" x14ac:dyDescent="0.6">
      <c r="A1003" s="36"/>
      <c r="B1003" s="37"/>
      <c r="C1003" s="37"/>
      <c r="D1003" s="38"/>
      <c r="E1003" s="75"/>
      <c r="F1003" s="36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33"/>
  <sheetViews>
    <sheetView showGridLines="0" workbookViewId="0">
      <selection activeCell="B11" sqref="B11"/>
    </sheetView>
  </sheetViews>
  <sheetFormatPr defaultColWidth="12.5703125" defaultRowHeight="15" customHeight="1" x14ac:dyDescent="0.2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23" width="9.140625" customWidth="1"/>
  </cols>
  <sheetData>
    <row r="1" spans="1:23" ht="12.75" customHeight="1" x14ac:dyDescent="0.2">
      <c r="A1" s="189" t="s">
        <v>68</v>
      </c>
      <c r="B1" s="190"/>
      <c r="C1" s="190"/>
      <c r="D1" s="190"/>
      <c r="E1" s="190"/>
      <c r="F1" s="191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</row>
    <row r="2" spans="1:23" ht="12.75" customHeight="1" x14ac:dyDescent="0.2">
      <c r="A2" s="192"/>
      <c r="B2" s="193"/>
      <c r="C2" s="193"/>
      <c r="D2" s="193"/>
      <c r="E2" s="193"/>
      <c r="F2" s="194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</row>
    <row r="3" spans="1:23" ht="12.75" customHeight="1" x14ac:dyDescent="0.2">
      <c r="A3" s="192"/>
      <c r="B3" s="193"/>
      <c r="C3" s="193"/>
      <c r="D3" s="193"/>
      <c r="E3" s="193"/>
      <c r="F3" s="194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</row>
    <row r="4" spans="1:23" ht="12.75" customHeight="1" x14ac:dyDescent="0.2">
      <c r="A4" s="192"/>
      <c r="B4" s="193"/>
      <c r="C4" s="193"/>
      <c r="D4" s="193"/>
      <c r="E4" s="193"/>
      <c r="F4" s="194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</row>
    <row r="5" spans="1:23" ht="13.5" customHeight="1" x14ac:dyDescent="0.2">
      <c r="A5" s="195"/>
      <c r="B5" s="196"/>
      <c r="C5" s="196"/>
      <c r="D5" s="196"/>
      <c r="E5" s="196"/>
      <c r="F5" s="197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</row>
    <row r="6" spans="1:23" ht="19.5" customHeight="1" thickBot="1" x14ac:dyDescent="0.25">
      <c r="A6" s="109"/>
      <c r="B6" s="110"/>
      <c r="C6" s="110"/>
      <c r="D6" s="111"/>
      <c r="E6" s="111"/>
      <c r="F6" s="112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</row>
    <row r="7" spans="1:23" ht="19.5" customHeight="1" x14ac:dyDescent="0.2">
      <c r="A7" s="113" t="s">
        <v>69</v>
      </c>
      <c r="B7" s="198" t="s">
        <v>443</v>
      </c>
      <c r="C7" s="199"/>
      <c r="D7" s="199"/>
      <c r="E7" s="199"/>
      <c r="F7" s="200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</row>
    <row r="8" spans="1:23" ht="19.5" customHeight="1" x14ac:dyDescent="0.2">
      <c r="A8" s="114" t="s">
        <v>0</v>
      </c>
      <c r="B8" s="201" t="s">
        <v>568</v>
      </c>
      <c r="C8" s="176"/>
      <c r="D8" s="176"/>
      <c r="E8" s="176"/>
      <c r="F8" s="177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</row>
    <row r="9" spans="1:23" ht="19.5" customHeight="1" x14ac:dyDescent="0.2">
      <c r="A9" s="114" t="s">
        <v>70</v>
      </c>
      <c r="B9" s="202">
        <v>45509</v>
      </c>
      <c r="C9" s="176"/>
      <c r="D9" s="176"/>
      <c r="E9" s="176"/>
      <c r="F9" s="177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</row>
    <row r="10" spans="1:23" ht="19.5" customHeight="1" thickBot="1" x14ac:dyDescent="0.25">
      <c r="A10" s="115" t="s">
        <v>71</v>
      </c>
      <c r="B10" s="203" t="s">
        <v>571</v>
      </c>
      <c r="C10" s="204"/>
      <c r="D10" s="204"/>
      <c r="E10" s="204"/>
      <c r="F10" s="205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</row>
    <row r="11" spans="1:23" ht="19.5" customHeight="1" thickBot="1" x14ac:dyDescent="0.25">
      <c r="A11" s="116"/>
      <c r="B11" s="116"/>
      <c r="C11" s="116"/>
      <c r="D11" s="117"/>
      <c r="E11" s="117"/>
      <c r="F11" s="117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</row>
    <row r="12" spans="1:23" ht="21" customHeight="1" thickBot="1" x14ac:dyDescent="0.25">
      <c r="A12" s="184" t="s">
        <v>72</v>
      </c>
      <c r="B12" s="180"/>
      <c r="C12" s="180"/>
      <c r="D12" s="180"/>
      <c r="E12" s="180"/>
      <c r="F12" s="185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</row>
    <row r="13" spans="1:23" ht="19.5" customHeight="1" x14ac:dyDescent="0.2">
      <c r="A13" s="118" t="s">
        <v>73</v>
      </c>
      <c r="B13" s="118" t="s">
        <v>5</v>
      </c>
      <c r="C13" s="118" t="s">
        <v>74</v>
      </c>
      <c r="D13" s="119" t="s">
        <v>75</v>
      </c>
      <c r="E13" s="119" t="s">
        <v>76</v>
      </c>
      <c r="F13" s="119" t="s">
        <v>77</v>
      </c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</row>
    <row r="14" spans="1:23" ht="15.75" customHeight="1" x14ac:dyDescent="0.2">
      <c r="A14" s="121" t="s">
        <v>78</v>
      </c>
      <c r="B14" s="122" t="s">
        <v>72</v>
      </c>
      <c r="C14" s="122"/>
      <c r="D14" s="123"/>
      <c r="E14" s="123"/>
      <c r="F14" s="124">
        <f>F15+F42</f>
        <v>1002197.4306989484</v>
      </c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</row>
    <row r="15" spans="1:23" ht="15.75" customHeight="1" x14ac:dyDescent="0.2">
      <c r="A15" s="125" t="s">
        <v>79</v>
      </c>
      <c r="B15" s="126" t="s">
        <v>80</v>
      </c>
      <c r="C15" s="126"/>
      <c r="D15" s="127"/>
      <c r="E15" s="127"/>
      <c r="F15" s="128">
        <f>SUM(F16:F37)</f>
        <v>801362.74362672132</v>
      </c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</row>
    <row r="16" spans="1:23" ht="15.75" customHeight="1" x14ac:dyDescent="0.2">
      <c r="A16" s="129" t="s">
        <v>81</v>
      </c>
      <c r="B16" s="130" t="s">
        <v>82</v>
      </c>
      <c r="C16" s="130"/>
      <c r="D16" s="131"/>
      <c r="E16" s="131"/>
      <c r="F16" s="132">
        <v>16907.213993213896</v>
      </c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</row>
    <row r="17" spans="1:23" s="169" customFormat="1" ht="15.75" customHeight="1" x14ac:dyDescent="0.2">
      <c r="A17" s="163" t="s">
        <v>103</v>
      </c>
      <c r="B17" s="164" t="s">
        <v>464</v>
      </c>
      <c r="C17" s="164"/>
      <c r="D17" s="165"/>
      <c r="E17" s="166"/>
      <c r="F17" s="167"/>
      <c r="G17" s="168"/>
      <c r="I17" s="170"/>
    </row>
    <row r="18" spans="1:23" s="169" customFormat="1" ht="15.75" customHeight="1" x14ac:dyDescent="0.2">
      <c r="A18" s="163" t="s">
        <v>470</v>
      </c>
      <c r="B18" s="164" t="s">
        <v>465</v>
      </c>
      <c r="C18" s="164"/>
      <c r="D18" s="165"/>
      <c r="E18" s="166"/>
      <c r="F18" s="167"/>
      <c r="G18" s="168"/>
      <c r="I18" s="170"/>
    </row>
    <row r="19" spans="1:23" s="169" customFormat="1" ht="15.75" customHeight="1" x14ac:dyDescent="0.2">
      <c r="A19" s="163" t="s">
        <v>471</v>
      </c>
      <c r="B19" s="164" t="s">
        <v>466</v>
      </c>
      <c r="C19" s="164"/>
      <c r="D19" s="165"/>
      <c r="E19" s="166"/>
      <c r="F19" s="167"/>
      <c r="G19" s="168"/>
      <c r="I19" s="170"/>
    </row>
    <row r="20" spans="1:23" s="169" customFormat="1" ht="15.75" customHeight="1" x14ac:dyDescent="0.2">
      <c r="A20" s="163" t="s">
        <v>472</v>
      </c>
      <c r="B20" s="164" t="s">
        <v>467</v>
      </c>
      <c r="C20" s="164"/>
      <c r="D20" s="165"/>
      <c r="E20" s="166"/>
      <c r="F20" s="167"/>
      <c r="G20" s="168"/>
      <c r="I20" s="170"/>
    </row>
    <row r="21" spans="1:23" s="169" customFormat="1" ht="15.75" customHeight="1" x14ac:dyDescent="0.2">
      <c r="A21" s="163" t="s">
        <v>473</v>
      </c>
      <c r="B21" s="164" t="s">
        <v>468</v>
      </c>
      <c r="C21" s="164"/>
      <c r="D21" s="165"/>
      <c r="E21" s="166"/>
      <c r="F21" s="167"/>
      <c r="G21" s="168"/>
      <c r="I21" s="170"/>
    </row>
    <row r="22" spans="1:23" s="169" customFormat="1" ht="15.75" customHeight="1" x14ac:dyDescent="0.2">
      <c r="A22" s="163" t="s">
        <v>474</v>
      </c>
      <c r="B22" s="164" t="s">
        <v>469</v>
      </c>
      <c r="C22" s="164"/>
      <c r="D22" s="165"/>
      <c r="E22" s="166"/>
      <c r="F22" s="167"/>
      <c r="G22" s="168"/>
      <c r="I22" s="170"/>
    </row>
    <row r="23" spans="1:23" ht="15.75" customHeight="1" x14ac:dyDescent="0.2">
      <c r="A23" s="129" t="s">
        <v>83</v>
      </c>
      <c r="B23" s="130" t="s">
        <v>84</v>
      </c>
      <c r="C23" s="130"/>
      <c r="D23" s="131"/>
      <c r="E23" s="131"/>
      <c r="F23" s="133">
        <v>557227.52498799376</v>
      </c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</row>
    <row r="24" spans="1:23" s="169" customFormat="1" ht="15.75" customHeight="1" x14ac:dyDescent="0.2">
      <c r="A24" s="163" t="s">
        <v>108</v>
      </c>
      <c r="B24" s="164" t="s">
        <v>475</v>
      </c>
      <c r="C24" s="164"/>
      <c r="D24" s="165"/>
      <c r="E24" s="166"/>
      <c r="F24" s="167"/>
      <c r="G24" s="168"/>
      <c r="I24" s="170"/>
    </row>
    <row r="25" spans="1:23" s="169" customFormat="1" ht="15.75" customHeight="1" x14ac:dyDescent="0.2">
      <c r="A25" s="163" t="s">
        <v>109</v>
      </c>
      <c r="B25" s="164" t="s">
        <v>476</v>
      </c>
      <c r="C25" s="164"/>
      <c r="D25" s="165"/>
      <c r="E25" s="166"/>
      <c r="F25" s="167"/>
      <c r="G25" s="168"/>
      <c r="I25" s="170"/>
    </row>
    <row r="26" spans="1:23" s="169" customFormat="1" ht="15.75" customHeight="1" x14ac:dyDescent="0.2">
      <c r="A26" s="163" t="s">
        <v>110</v>
      </c>
      <c r="B26" s="164" t="s">
        <v>477</v>
      </c>
      <c r="C26" s="164"/>
      <c r="D26" s="165"/>
      <c r="E26" s="166"/>
      <c r="F26" s="167"/>
      <c r="G26" s="168"/>
      <c r="I26" s="170"/>
    </row>
    <row r="27" spans="1:23" s="169" customFormat="1" ht="15.75" customHeight="1" x14ac:dyDescent="0.2">
      <c r="A27" s="163" t="s">
        <v>112</v>
      </c>
      <c r="B27" s="164" t="s">
        <v>478</v>
      </c>
      <c r="C27" s="164"/>
      <c r="D27" s="165"/>
      <c r="E27" s="166"/>
      <c r="F27" s="167"/>
      <c r="G27" s="168"/>
      <c r="I27" s="170"/>
    </row>
    <row r="28" spans="1:23" s="169" customFormat="1" ht="15.75" customHeight="1" x14ac:dyDescent="0.2">
      <c r="A28" s="163" t="s">
        <v>114</v>
      </c>
      <c r="B28" s="164" t="s">
        <v>485</v>
      </c>
      <c r="C28" s="164"/>
      <c r="D28" s="165"/>
      <c r="E28" s="166"/>
      <c r="F28" s="167"/>
      <c r="G28" s="168"/>
      <c r="I28" s="170"/>
    </row>
    <row r="29" spans="1:23" s="169" customFormat="1" ht="15.75" customHeight="1" x14ac:dyDescent="0.2">
      <c r="A29" s="163" t="s">
        <v>116</v>
      </c>
      <c r="B29" s="164" t="s">
        <v>479</v>
      </c>
      <c r="C29" s="164"/>
      <c r="D29" s="165"/>
      <c r="E29" s="166"/>
      <c r="F29" s="167"/>
      <c r="G29" s="168"/>
      <c r="I29" s="170"/>
    </row>
    <row r="30" spans="1:23" s="169" customFormat="1" ht="15.75" customHeight="1" x14ac:dyDescent="0.2">
      <c r="A30" s="163" t="s">
        <v>118</v>
      </c>
      <c r="B30" s="164" t="s">
        <v>480</v>
      </c>
      <c r="C30" s="164"/>
      <c r="D30" s="165"/>
      <c r="E30" s="166"/>
      <c r="F30" s="167"/>
      <c r="G30" s="168"/>
      <c r="I30" s="170"/>
    </row>
    <row r="31" spans="1:23" s="169" customFormat="1" ht="15.75" customHeight="1" x14ac:dyDescent="0.2">
      <c r="A31" s="163" t="s">
        <v>121</v>
      </c>
      <c r="B31" s="164" t="s">
        <v>481</v>
      </c>
      <c r="C31" s="164"/>
      <c r="D31" s="165"/>
      <c r="E31" s="166"/>
      <c r="F31" s="167"/>
      <c r="G31" s="168"/>
      <c r="I31" s="170"/>
    </row>
    <row r="32" spans="1:23" s="169" customFormat="1" ht="15.75" customHeight="1" x14ac:dyDescent="0.2">
      <c r="A32" s="163" t="s">
        <v>439</v>
      </c>
      <c r="B32" s="164" t="s">
        <v>482</v>
      </c>
      <c r="C32" s="164"/>
      <c r="D32" s="165"/>
      <c r="E32" s="166"/>
      <c r="F32" s="167"/>
      <c r="G32" s="168"/>
      <c r="I32" s="170"/>
    </row>
    <row r="33" spans="1:23" s="169" customFormat="1" ht="15.75" customHeight="1" x14ac:dyDescent="0.2">
      <c r="A33" s="163" t="s">
        <v>440</v>
      </c>
      <c r="B33" s="164" t="s">
        <v>483</v>
      </c>
      <c r="C33" s="164"/>
      <c r="D33" s="165"/>
      <c r="E33" s="166"/>
      <c r="F33" s="167"/>
      <c r="G33" s="168"/>
      <c r="I33" s="170"/>
    </row>
    <row r="34" spans="1:23" s="169" customFormat="1" ht="15.75" customHeight="1" x14ac:dyDescent="0.2">
      <c r="A34" s="163" t="s">
        <v>441</v>
      </c>
      <c r="B34" s="164" t="s">
        <v>484</v>
      </c>
      <c r="C34" s="164"/>
      <c r="D34" s="165"/>
      <c r="E34" s="166"/>
      <c r="F34" s="167"/>
      <c r="G34" s="168"/>
      <c r="I34" s="170"/>
    </row>
    <row r="35" spans="1:23" ht="15.75" customHeight="1" x14ac:dyDescent="0.2">
      <c r="A35" s="129" t="s">
        <v>85</v>
      </c>
      <c r="B35" s="130" t="s">
        <v>86</v>
      </c>
      <c r="C35" s="130"/>
      <c r="D35" s="131"/>
      <c r="E35" s="131"/>
      <c r="F35" s="132">
        <v>103081.76818825207</v>
      </c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</row>
    <row r="36" spans="1:23" s="169" customFormat="1" ht="15.75" customHeight="1" x14ac:dyDescent="0.2">
      <c r="A36" s="163" t="s">
        <v>487</v>
      </c>
      <c r="B36" s="164" t="s">
        <v>486</v>
      </c>
      <c r="C36" s="164"/>
      <c r="D36" s="165"/>
      <c r="E36" s="166"/>
      <c r="F36" s="167"/>
      <c r="G36" s="168"/>
      <c r="I36" s="170"/>
    </row>
    <row r="37" spans="1:23" ht="15.75" customHeight="1" x14ac:dyDescent="0.2">
      <c r="A37" s="129" t="s">
        <v>87</v>
      </c>
      <c r="B37" s="130" t="s">
        <v>88</v>
      </c>
      <c r="C37" s="130"/>
      <c r="D37" s="131"/>
      <c r="E37" s="131"/>
      <c r="F37" s="132">
        <v>124146.23645726164</v>
      </c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</row>
    <row r="38" spans="1:23" s="169" customFormat="1" ht="15.75" customHeight="1" x14ac:dyDescent="0.2">
      <c r="A38" s="163" t="s">
        <v>492</v>
      </c>
      <c r="B38" s="164" t="s">
        <v>488</v>
      </c>
      <c r="C38" s="164"/>
      <c r="D38" s="165"/>
      <c r="E38" s="166"/>
      <c r="F38" s="167"/>
      <c r="G38" s="168"/>
      <c r="I38" s="170"/>
    </row>
    <row r="39" spans="1:23" s="169" customFormat="1" ht="15.75" customHeight="1" x14ac:dyDescent="0.2">
      <c r="A39" s="163" t="s">
        <v>493</v>
      </c>
      <c r="B39" s="164" t="s">
        <v>489</v>
      </c>
      <c r="C39" s="164"/>
      <c r="D39" s="165"/>
      <c r="E39" s="166"/>
      <c r="F39" s="167"/>
      <c r="G39" s="168"/>
      <c r="I39" s="170"/>
    </row>
    <row r="40" spans="1:23" s="169" customFormat="1" ht="15.75" customHeight="1" x14ac:dyDescent="0.2">
      <c r="A40" s="163" t="s">
        <v>494</v>
      </c>
      <c r="B40" s="164" t="s">
        <v>490</v>
      </c>
      <c r="C40" s="164"/>
      <c r="D40" s="165"/>
      <c r="E40" s="166"/>
      <c r="F40" s="167"/>
      <c r="G40" s="168"/>
      <c r="I40" s="170"/>
    </row>
    <row r="41" spans="1:23" s="169" customFormat="1" ht="15.75" customHeight="1" x14ac:dyDescent="0.2">
      <c r="A41" s="163" t="s">
        <v>495</v>
      </c>
      <c r="B41" s="164" t="s">
        <v>491</v>
      </c>
      <c r="C41" s="164"/>
      <c r="D41" s="165"/>
      <c r="E41" s="166"/>
      <c r="F41" s="167"/>
      <c r="G41" s="168"/>
      <c r="I41" s="170"/>
    </row>
    <row r="42" spans="1:23" ht="15.75" customHeight="1" x14ac:dyDescent="0.2">
      <c r="A42" s="125" t="s">
        <v>89</v>
      </c>
      <c r="B42" s="126" t="s">
        <v>90</v>
      </c>
      <c r="C42" s="126"/>
      <c r="D42" s="127"/>
      <c r="E42" s="127"/>
      <c r="F42" s="128">
        <f>SUM(F43:F59)</f>
        <v>200834.6870722271</v>
      </c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</row>
    <row r="43" spans="1:23" ht="15.75" customHeight="1" x14ac:dyDescent="0.2">
      <c r="A43" s="134" t="s">
        <v>91</v>
      </c>
      <c r="B43" s="130" t="s">
        <v>92</v>
      </c>
      <c r="C43" s="130"/>
      <c r="D43" s="131"/>
      <c r="E43" s="131"/>
      <c r="F43" s="132">
        <v>19919.764527554325</v>
      </c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</row>
    <row r="44" spans="1:23" s="169" customFormat="1" ht="15.75" customHeight="1" x14ac:dyDescent="0.2">
      <c r="A44" s="163" t="s">
        <v>129</v>
      </c>
      <c r="B44" s="164" t="s">
        <v>496</v>
      </c>
      <c r="C44" s="164"/>
      <c r="D44" s="165"/>
      <c r="E44" s="166"/>
      <c r="F44" s="167"/>
      <c r="G44" s="168"/>
      <c r="I44" s="170"/>
    </row>
    <row r="45" spans="1:23" ht="15.75" customHeight="1" x14ac:dyDescent="0.2">
      <c r="A45" s="134" t="s">
        <v>93</v>
      </c>
      <c r="B45" s="130" t="s">
        <v>94</v>
      </c>
      <c r="C45" s="130"/>
      <c r="D45" s="131"/>
      <c r="E45" s="131"/>
      <c r="F45" s="132">
        <v>126569.47236471981</v>
      </c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</row>
    <row r="46" spans="1:23" s="169" customFormat="1" ht="15.75" customHeight="1" x14ac:dyDescent="0.2">
      <c r="A46" s="163" t="s">
        <v>140</v>
      </c>
      <c r="B46" s="164" t="s">
        <v>497</v>
      </c>
      <c r="C46" s="164"/>
      <c r="D46" s="165"/>
      <c r="E46" s="166"/>
      <c r="F46" s="167"/>
      <c r="G46" s="168"/>
      <c r="I46" s="170"/>
    </row>
    <row r="47" spans="1:23" s="169" customFormat="1" ht="15.75" customHeight="1" x14ac:dyDescent="0.2">
      <c r="A47" s="163" t="s">
        <v>142</v>
      </c>
      <c r="B47" s="164" t="s">
        <v>498</v>
      </c>
      <c r="C47" s="164"/>
      <c r="D47" s="165"/>
      <c r="E47" s="166"/>
      <c r="F47" s="167"/>
      <c r="G47" s="168"/>
      <c r="I47" s="170"/>
    </row>
    <row r="48" spans="1:23" s="169" customFormat="1" ht="15.75" customHeight="1" x14ac:dyDescent="0.2">
      <c r="A48" s="163" t="s">
        <v>510</v>
      </c>
      <c r="B48" s="164" t="s">
        <v>499</v>
      </c>
      <c r="C48" s="164"/>
      <c r="D48" s="165"/>
      <c r="E48" s="166"/>
      <c r="F48" s="167"/>
      <c r="G48" s="168"/>
      <c r="I48" s="170"/>
    </row>
    <row r="49" spans="1:23" s="169" customFormat="1" ht="15.75" customHeight="1" x14ac:dyDescent="0.2">
      <c r="A49" s="163" t="s">
        <v>511</v>
      </c>
      <c r="B49" s="164" t="s">
        <v>500</v>
      </c>
      <c r="C49" s="164"/>
      <c r="D49" s="165"/>
      <c r="E49" s="166"/>
      <c r="F49" s="167"/>
      <c r="G49" s="168"/>
      <c r="I49" s="170"/>
    </row>
    <row r="50" spans="1:23" s="169" customFormat="1" ht="15.75" customHeight="1" x14ac:dyDescent="0.2">
      <c r="A50" s="163" t="s">
        <v>512</v>
      </c>
      <c r="B50" s="164" t="s">
        <v>501</v>
      </c>
      <c r="C50" s="164"/>
      <c r="D50" s="165"/>
      <c r="E50" s="166"/>
      <c r="F50" s="167"/>
      <c r="G50" s="168"/>
      <c r="I50" s="170"/>
    </row>
    <row r="51" spans="1:23" s="169" customFormat="1" ht="15.75" customHeight="1" x14ac:dyDescent="0.2">
      <c r="A51" s="163" t="s">
        <v>513</v>
      </c>
      <c r="B51" s="164" t="s">
        <v>502</v>
      </c>
      <c r="C51" s="164"/>
      <c r="D51" s="165"/>
      <c r="E51" s="166"/>
      <c r="F51" s="167"/>
      <c r="G51" s="168"/>
      <c r="I51" s="170"/>
    </row>
    <row r="52" spans="1:23" s="169" customFormat="1" ht="15.75" customHeight="1" x14ac:dyDescent="0.2">
      <c r="A52" s="163" t="s">
        <v>514</v>
      </c>
      <c r="B52" s="164" t="s">
        <v>503</v>
      </c>
      <c r="C52" s="164"/>
      <c r="D52" s="165"/>
      <c r="E52" s="166"/>
      <c r="F52" s="167"/>
      <c r="G52" s="168"/>
      <c r="I52" s="170"/>
    </row>
    <row r="53" spans="1:23" s="169" customFormat="1" ht="15.75" customHeight="1" x14ac:dyDescent="0.2">
      <c r="A53" s="163" t="s">
        <v>515</v>
      </c>
      <c r="B53" s="164" t="s">
        <v>504</v>
      </c>
      <c r="C53" s="164"/>
      <c r="D53" s="165"/>
      <c r="E53" s="166"/>
      <c r="F53" s="167"/>
      <c r="G53" s="168"/>
      <c r="I53" s="170"/>
    </row>
    <row r="54" spans="1:23" s="169" customFormat="1" ht="15.75" customHeight="1" x14ac:dyDescent="0.2">
      <c r="A54" s="163" t="s">
        <v>516</v>
      </c>
      <c r="B54" s="164" t="s">
        <v>505</v>
      </c>
      <c r="C54" s="164"/>
      <c r="D54" s="165"/>
      <c r="E54" s="166"/>
      <c r="F54" s="167"/>
      <c r="G54" s="168"/>
      <c r="I54" s="170"/>
    </row>
    <row r="55" spans="1:23" s="169" customFormat="1" ht="15.75" customHeight="1" x14ac:dyDescent="0.2">
      <c r="A55" s="163" t="s">
        <v>517</v>
      </c>
      <c r="B55" s="164" t="s">
        <v>506</v>
      </c>
      <c r="C55" s="164"/>
      <c r="D55" s="165"/>
      <c r="E55" s="166"/>
      <c r="F55" s="167"/>
      <c r="G55" s="168"/>
      <c r="I55" s="170"/>
    </row>
    <row r="56" spans="1:23" s="169" customFormat="1" ht="15.75" customHeight="1" x14ac:dyDescent="0.2">
      <c r="A56" s="163" t="s">
        <v>518</v>
      </c>
      <c r="B56" s="164" t="s">
        <v>507</v>
      </c>
      <c r="C56" s="164"/>
      <c r="D56" s="165"/>
      <c r="E56" s="166"/>
      <c r="F56" s="167"/>
      <c r="G56" s="168"/>
      <c r="I56" s="170"/>
    </row>
    <row r="57" spans="1:23" s="169" customFormat="1" ht="15.75" customHeight="1" x14ac:dyDescent="0.2">
      <c r="A57" s="163" t="s">
        <v>519</v>
      </c>
      <c r="B57" s="164" t="s">
        <v>508</v>
      </c>
      <c r="C57" s="164"/>
      <c r="D57" s="165"/>
      <c r="E57" s="166"/>
      <c r="F57" s="167"/>
      <c r="G57" s="168"/>
      <c r="I57" s="170"/>
    </row>
    <row r="58" spans="1:23" s="169" customFormat="1" ht="15.75" customHeight="1" x14ac:dyDescent="0.2">
      <c r="A58" s="163" t="s">
        <v>520</v>
      </c>
      <c r="B58" s="164" t="s">
        <v>509</v>
      </c>
      <c r="C58" s="164"/>
      <c r="D58" s="165"/>
      <c r="E58" s="166"/>
      <c r="F58" s="167"/>
      <c r="G58" s="168"/>
      <c r="I58" s="170"/>
    </row>
    <row r="59" spans="1:23" ht="15.75" customHeight="1" x14ac:dyDescent="0.2">
      <c r="A59" s="129" t="s">
        <v>95</v>
      </c>
      <c r="B59" s="130" t="s">
        <v>96</v>
      </c>
      <c r="C59" s="130"/>
      <c r="D59" s="131"/>
      <c r="E59" s="131"/>
      <c r="F59" s="132">
        <v>54345.450179952946</v>
      </c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</row>
    <row r="60" spans="1:23" s="169" customFormat="1" ht="15.75" customHeight="1" x14ac:dyDescent="0.2">
      <c r="A60" s="163" t="s">
        <v>145</v>
      </c>
      <c r="B60" s="164" t="s">
        <v>521</v>
      </c>
      <c r="C60" s="164"/>
      <c r="D60" s="165"/>
      <c r="E60" s="166"/>
      <c r="F60" s="167"/>
      <c r="G60" s="168"/>
      <c r="I60" s="170"/>
    </row>
    <row r="61" spans="1:23" s="169" customFormat="1" ht="15.75" customHeight="1" x14ac:dyDescent="0.2">
      <c r="A61" s="163" t="s">
        <v>147</v>
      </c>
      <c r="B61" s="164" t="s">
        <v>522</v>
      </c>
      <c r="C61" s="164"/>
      <c r="D61" s="165"/>
      <c r="E61" s="166"/>
      <c r="F61" s="167"/>
      <c r="G61" s="168"/>
      <c r="I61" s="170"/>
    </row>
    <row r="62" spans="1:23" s="169" customFormat="1" ht="15.75" customHeight="1" x14ac:dyDescent="0.2">
      <c r="A62" s="163" t="s">
        <v>148</v>
      </c>
      <c r="B62" s="164" t="s">
        <v>523</v>
      </c>
      <c r="C62" s="164"/>
      <c r="D62" s="165"/>
      <c r="E62" s="166"/>
      <c r="F62" s="167"/>
      <c r="G62" s="168"/>
      <c r="I62" s="170"/>
    </row>
    <row r="63" spans="1:23" ht="15.75" customHeight="1" x14ac:dyDescent="0.2">
      <c r="A63" s="135" t="s">
        <v>97</v>
      </c>
      <c r="B63" s="136" t="s">
        <v>98</v>
      </c>
      <c r="C63" s="136"/>
      <c r="D63" s="137"/>
      <c r="E63" s="137"/>
      <c r="F63" s="138">
        <f>F64+F78+F99</f>
        <v>3304033.8509467645</v>
      </c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</row>
    <row r="64" spans="1:23" ht="15.75" customHeight="1" x14ac:dyDescent="0.2">
      <c r="A64" s="139" t="s">
        <v>99</v>
      </c>
      <c r="B64" s="126" t="s">
        <v>100</v>
      </c>
      <c r="C64" s="126"/>
      <c r="D64" s="127"/>
      <c r="E64" s="127"/>
      <c r="F64" s="128">
        <f>F65+F67+F77</f>
        <v>500511.37349643186</v>
      </c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</row>
    <row r="65" spans="1:23" ht="15.75" customHeight="1" x14ac:dyDescent="0.2">
      <c r="A65" s="134" t="s">
        <v>101</v>
      </c>
      <c r="B65" s="130" t="s">
        <v>102</v>
      </c>
      <c r="C65" s="130"/>
      <c r="D65" s="131"/>
      <c r="E65" s="131"/>
      <c r="F65" s="132">
        <f>F66</f>
        <v>115000</v>
      </c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</row>
    <row r="66" spans="1:23" ht="15.75" customHeight="1" x14ac:dyDescent="0.2">
      <c r="A66" s="140" t="s">
        <v>103</v>
      </c>
      <c r="B66" s="141" t="s">
        <v>104</v>
      </c>
      <c r="C66" s="141" t="s">
        <v>105</v>
      </c>
      <c r="D66" s="142">
        <f>OBRA!D12</f>
        <v>46</v>
      </c>
      <c r="E66" s="143">
        <f>[3]BASES!H19</f>
        <v>2500</v>
      </c>
      <c r="F66" s="144">
        <f>E66*D66</f>
        <v>115000</v>
      </c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</row>
    <row r="67" spans="1:23" ht="15.75" customHeight="1" x14ac:dyDescent="0.2">
      <c r="A67" s="134" t="s">
        <v>106</v>
      </c>
      <c r="B67" s="130" t="s">
        <v>107</v>
      </c>
      <c r="C67" s="130"/>
      <c r="D67" s="131"/>
      <c r="E67" s="131"/>
      <c r="F67" s="132">
        <f>SUM(F68:F76)</f>
        <v>351113.7810284273</v>
      </c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</row>
    <row r="68" spans="1:23" ht="15.75" customHeight="1" x14ac:dyDescent="0.2">
      <c r="A68" s="140" t="s">
        <v>108</v>
      </c>
      <c r="B68" s="141" t="s">
        <v>21</v>
      </c>
      <c r="C68" s="141" t="s">
        <v>19</v>
      </c>
      <c r="D68" s="142">
        <f>EPCs!D13</f>
        <v>169.29000000000002</v>
      </c>
      <c r="E68" s="142">
        <v>294.33</v>
      </c>
      <c r="F68" s="144">
        <f t="shared" ref="F68:F76" si="0">E68*D68</f>
        <v>49827.125700000004</v>
      </c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</row>
    <row r="69" spans="1:23" ht="15.75" customHeight="1" x14ac:dyDescent="0.2">
      <c r="A69" s="140" t="s">
        <v>109</v>
      </c>
      <c r="B69" s="141" t="s">
        <v>22</v>
      </c>
      <c r="C69" s="141" t="s">
        <v>19</v>
      </c>
      <c r="D69" s="142">
        <f>EPCs!D14</f>
        <v>78.36</v>
      </c>
      <c r="E69" s="142">
        <v>210.06</v>
      </c>
      <c r="F69" s="144">
        <f t="shared" si="0"/>
        <v>16460.301599999999</v>
      </c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</row>
    <row r="70" spans="1:23" ht="19.5" customHeight="1" x14ac:dyDescent="0.2">
      <c r="A70" s="140" t="s">
        <v>110</v>
      </c>
      <c r="B70" s="141" t="s">
        <v>111</v>
      </c>
      <c r="C70" s="141" t="s">
        <v>19</v>
      </c>
      <c r="D70" s="142">
        <f>EPCs!D21</f>
        <v>313.44</v>
      </c>
      <c r="E70" s="142">
        <f>39.19+7.55+0.63+1.63</f>
        <v>49</v>
      </c>
      <c r="F70" s="144">
        <f t="shared" si="0"/>
        <v>15358.56</v>
      </c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</row>
    <row r="71" spans="1:23" ht="19.5" customHeight="1" x14ac:dyDescent="0.2">
      <c r="A71" s="140" t="s">
        <v>112</v>
      </c>
      <c r="B71" s="141" t="s">
        <v>113</v>
      </c>
      <c r="C71" s="141" t="s">
        <v>29</v>
      </c>
      <c r="D71" s="142">
        <f>EPCs!D42</f>
        <v>112.32000000000001</v>
      </c>
      <c r="E71" s="142">
        <v>19.89</v>
      </c>
      <c r="F71" s="144">
        <f t="shared" si="0"/>
        <v>2234.0448000000001</v>
      </c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</row>
    <row r="72" spans="1:23" ht="17.25" customHeight="1" x14ac:dyDescent="0.2">
      <c r="A72" s="140" t="s">
        <v>114</v>
      </c>
      <c r="B72" s="141" t="s">
        <v>115</v>
      </c>
      <c r="C72" s="141" t="s">
        <v>19</v>
      </c>
      <c r="D72" s="142">
        <f>D70</f>
        <v>313.44</v>
      </c>
      <c r="E72" s="142">
        <v>244</v>
      </c>
      <c r="F72" s="144">
        <f t="shared" si="0"/>
        <v>76479.360000000001</v>
      </c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</row>
    <row r="73" spans="1:23" ht="17.25" customHeight="1" x14ac:dyDescent="0.2">
      <c r="A73" s="140" t="s">
        <v>116</v>
      </c>
      <c r="B73" s="141" t="s">
        <v>117</v>
      </c>
      <c r="C73" s="141" t="s">
        <v>29</v>
      </c>
      <c r="D73" s="142">
        <f>EPCs!D28</f>
        <v>7221.6575999999995</v>
      </c>
      <c r="E73" s="142">
        <v>15</v>
      </c>
      <c r="F73" s="144">
        <f t="shared" si="0"/>
        <v>108324.86399999999</v>
      </c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</row>
    <row r="74" spans="1:23" ht="15.75" customHeight="1" x14ac:dyDescent="0.2">
      <c r="A74" s="140" t="s">
        <v>118</v>
      </c>
      <c r="B74" s="141" t="s">
        <v>119</v>
      </c>
      <c r="C74" s="141" t="s">
        <v>120</v>
      </c>
      <c r="D74" s="142">
        <v>1</v>
      </c>
      <c r="E74" s="142">
        <v>2919.9366912950982</v>
      </c>
      <c r="F74" s="144">
        <f t="shared" si="0"/>
        <v>2919.9366912950982</v>
      </c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</row>
    <row r="75" spans="1:23" ht="15.75" customHeight="1" x14ac:dyDescent="0.2">
      <c r="A75" s="140" t="s">
        <v>121</v>
      </c>
      <c r="B75" s="141" t="s">
        <v>122</v>
      </c>
      <c r="C75" s="141" t="s">
        <v>120</v>
      </c>
      <c r="D75" s="142">
        <v>1</v>
      </c>
      <c r="E75" s="142">
        <f>CANTEIRO!D17*1.1</f>
        <v>11000</v>
      </c>
      <c r="F75" s="144">
        <f t="shared" si="0"/>
        <v>11000</v>
      </c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</row>
    <row r="76" spans="1:23" ht="15.75" customHeight="1" x14ac:dyDescent="0.2">
      <c r="A76" s="140" t="s">
        <v>439</v>
      </c>
      <c r="B76" s="141" t="s">
        <v>448</v>
      </c>
      <c r="C76" s="141" t="s">
        <v>19</v>
      </c>
      <c r="D76" s="142">
        <f>EPCs!D34</f>
        <v>78.36</v>
      </c>
      <c r="E76" s="142">
        <f>100727.28/(460.84/4)</f>
        <v>874.29285652287126</v>
      </c>
      <c r="F76" s="144">
        <f t="shared" si="0"/>
        <v>68509.588237132193</v>
      </c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</row>
    <row r="77" spans="1:23" ht="15.75" customHeight="1" x14ac:dyDescent="0.2">
      <c r="A77" s="134" t="s">
        <v>123</v>
      </c>
      <c r="B77" s="130" t="s">
        <v>124</v>
      </c>
      <c r="C77" s="130"/>
      <c r="D77" s="131"/>
      <c r="E77" s="131"/>
      <c r="F77" s="132">
        <v>34397.592468004557</v>
      </c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</row>
    <row r="78" spans="1:23" ht="15.75" customHeight="1" x14ac:dyDescent="0.2">
      <c r="A78" s="139" t="s">
        <v>125</v>
      </c>
      <c r="B78" s="126" t="s">
        <v>126</v>
      </c>
      <c r="C78" s="126"/>
      <c r="D78" s="127"/>
      <c r="E78" s="127"/>
      <c r="F78" s="128">
        <f>F79+F88+F90+F98</f>
        <v>2436335.8774503325</v>
      </c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</row>
    <row r="79" spans="1:23" ht="15.75" customHeight="1" x14ac:dyDescent="0.2">
      <c r="A79" s="134" t="s">
        <v>127</v>
      </c>
      <c r="B79" s="130" t="s">
        <v>128</v>
      </c>
      <c r="C79" s="130"/>
      <c r="D79" s="131"/>
      <c r="E79" s="131"/>
      <c r="F79" s="132">
        <f>SUM(F80:F87)</f>
        <v>1858400</v>
      </c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</row>
    <row r="80" spans="1:23" ht="15.75" customHeight="1" x14ac:dyDescent="0.2">
      <c r="A80" s="140" t="s">
        <v>129</v>
      </c>
      <c r="B80" s="141" t="s">
        <v>449</v>
      </c>
      <c r="C80" s="141" t="s">
        <v>105</v>
      </c>
      <c r="D80" s="142">
        <f>OBRA!$D$12</f>
        <v>46</v>
      </c>
      <c r="E80" s="143">
        <v>8000</v>
      </c>
      <c r="F80" s="144">
        <f t="shared" ref="F80:F87" si="1">E80*D80</f>
        <v>368000</v>
      </c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</row>
    <row r="81" spans="1:23" ht="15.75" customHeight="1" x14ac:dyDescent="0.2">
      <c r="A81" s="140" t="s">
        <v>130</v>
      </c>
      <c r="B81" s="141" t="s">
        <v>450</v>
      </c>
      <c r="C81" s="141" t="s">
        <v>105</v>
      </c>
      <c r="D81" s="142">
        <f>OBRA!$D$12</f>
        <v>46</v>
      </c>
      <c r="E81" s="143">
        <v>6500</v>
      </c>
      <c r="F81" s="144">
        <f t="shared" si="1"/>
        <v>299000</v>
      </c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</row>
    <row r="82" spans="1:23" ht="15.75" customHeight="1" x14ac:dyDescent="0.2">
      <c r="A82" s="140" t="s">
        <v>131</v>
      </c>
      <c r="B82" s="141" t="s">
        <v>133</v>
      </c>
      <c r="C82" s="141" t="s">
        <v>105</v>
      </c>
      <c r="D82" s="142">
        <f>OBRA!$D$12</f>
        <v>46</v>
      </c>
      <c r="E82" s="143">
        <v>5000</v>
      </c>
      <c r="F82" s="144">
        <f t="shared" si="1"/>
        <v>230000</v>
      </c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</row>
    <row r="83" spans="1:23" ht="15.75" customHeight="1" x14ac:dyDescent="0.2">
      <c r="A83" s="140" t="s">
        <v>132</v>
      </c>
      <c r="B83" s="141" t="s">
        <v>451</v>
      </c>
      <c r="C83" s="141" t="s">
        <v>105</v>
      </c>
      <c r="D83" s="142">
        <f>OBRA!$D$12</f>
        <v>46</v>
      </c>
      <c r="E83" s="143">
        <v>3000</v>
      </c>
      <c r="F83" s="144">
        <f t="shared" si="1"/>
        <v>138000</v>
      </c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</row>
    <row r="84" spans="1:23" ht="15.75" customHeight="1" x14ac:dyDescent="0.2">
      <c r="A84" s="140" t="s">
        <v>134</v>
      </c>
      <c r="B84" s="141" t="s">
        <v>452</v>
      </c>
      <c r="C84" s="141" t="s">
        <v>105</v>
      </c>
      <c r="D84" s="142">
        <f>OBRA!$D$12</f>
        <v>46</v>
      </c>
      <c r="E84" s="143">
        <v>1400</v>
      </c>
      <c r="F84" s="144">
        <f t="shared" si="1"/>
        <v>64400</v>
      </c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</row>
    <row r="85" spans="1:23" ht="15.75" customHeight="1" x14ac:dyDescent="0.2">
      <c r="A85" s="140" t="s">
        <v>135</v>
      </c>
      <c r="B85" s="141" t="s">
        <v>453</v>
      </c>
      <c r="C85" s="141" t="s">
        <v>105</v>
      </c>
      <c r="D85" s="142">
        <f>OBRA!$D$12</f>
        <v>46</v>
      </c>
      <c r="E85" s="143">
        <v>3500</v>
      </c>
      <c r="F85" s="144">
        <f t="shared" si="1"/>
        <v>161000</v>
      </c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</row>
    <row r="86" spans="1:23" ht="15.75" customHeight="1" x14ac:dyDescent="0.2">
      <c r="A86" s="140" t="s">
        <v>136</v>
      </c>
      <c r="B86" s="141" t="s">
        <v>454</v>
      </c>
      <c r="C86" s="141" t="s">
        <v>105</v>
      </c>
      <c r="D86" s="142">
        <f>OBRA!$D$12</f>
        <v>46</v>
      </c>
      <c r="E86" s="143">
        <v>10500</v>
      </c>
      <c r="F86" s="144">
        <f t="shared" si="1"/>
        <v>483000</v>
      </c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</row>
    <row r="87" spans="1:23" ht="15.75" customHeight="1" x14ac:dyDescent="0.2">
      <c r="A87" s="140" t="s">
        <v>137</v>
      </c>
      <c r="B87" s="141" t="s">
        <v>455</v>
      </c>
      <c r="C87" s="141" t="s">
        <v>105</v>
      </c>
      <c r="D87" s="142">
        <f>OBRA!$D$12</f>
        <v>46</v>
      </c>
      <c r="E87" s="143">
        <v>2500</v>
      </c>
      <c r="F87" s="144">
        <f t="shared" si="1"/>
        <v>115000</v>
      </c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</row>
    <row r="88" spans="1:23" ht="15.75" customHeight="1" x14ac:dyDescent="0.2">
      <c r="A88" s="134" t="s">
        <v>138</v>
      </c>
      <c r="B88" s="130" t="s">
        <v>139</v>
      </c>
      <c r="C88" s="130"/>
      <c r="D88" s="131"/>
      <c r="E88" s="131"/>
      <c r="F88" s="132">
        <f>SUM(F89:F89)</f>
        <v>10260</v>
      </c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</row>
    <row r="89" spans="1:23" ht="15.75" customHeight="1" x14ac:dyDescent="0.2">
      <c r="A89" s="140" t="s">
        <v>140</v>
      </c>
      <c r="B89" s="141" t="s">
        <v>141</v>
      </c>
      <c r="C89" s="141" t="s">
        <v>29</v>
      </c>
      <c r="D89" s="142">
        <f>OBRA!D9</f>
        <v>820.8</v>
      </c>
      <c r="E89" s="143">
        <v>12.5</v>
      </c>
      <c r="F89" s="144">
        <f t="shared" ref="F89" si="2">E89*D89</f>
        <v>10260</v>
      </c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</row>
    <row r="90" spans="1:23" ht="15.75" customHeight="1" x14ac:dyDescent="0.2">
      <c r="A90" s="134" t="s">
        <v>143</v>
      </c>
      <c r="B90" s="130" t="s">
        <v>144</v>
      </c>
      <c r="C90" s="130"/>
      <c r="D90" s="131"/>
      <c r="E90" s="131"/>
      <c r="F90" s="132">
        <f>SUM(F91:F97)</f>
        <v>289110.54986378452</v>
      </c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</row>
    <row r="91" spans="1:23" ht="15.75" customHeight="1" x14ac:dyDescent="0.2">
      <c r="A91" s="140" t="s">
        <v>145</v>
      </c>
      <c r="B91" s="141" t="s">
        <v>146</v>
      </c>
      <c r="C91" s="145" t="s">
        <v>105</v>
      </c>
      <c r="D91" s="142">
        <f>OBRA!D12</f>
        <v>46</v>
      </c>
      <c r="E91" s="142">
        <v>2850</v>
      </c>
      <c r="F91" s="144">
        <f t="shared" ref="F91:F97" si="3">E91*D91</f>
        <v>131100</v>
      </c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</row>
    <row r="92" spans="1:23" ht="15.75" customHeight="1" x14ac:dyDescent="0.2">
      <c r="A92" s="140" t="s">
        <v>147</v>
      </c>
      <c r="B92" s="141" t="s">
        <v>40</v>
      </c>
      <c r="C92" s="141" t="s">
        <v>120</v>
      </c>
      <c r="D92" s="143">
        <v>1</v>
      </c>
      <c r="E92" s="143">
        <v>59462.763392725908</v>
      </c>
      <c r="F92" s="146">
        <f t="shared" si="3"/>
        <v>59462.763392725908</v>
      </c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</row>
    <row r="93" spans="1:23" ht="15.75" customHeight="1" x14ac:dyDescent="0.2">
      <c r="A93" s="140" t="s">
        <v>148</v>
      </c>
      <c r="B93" s="141" t="s">
        <v>149</v>
      </c>
      <c r="C93" s="141" t="s">
        <v>120</v>
      </c>
      <c r="D93" s="143">
        <v>1</v>
      </c>
      <c r="E93" s="143">
        <v>12742.561139783178</v>
      </c>
      <c r="F93" s="146">
        <f t="shared" si="3"/>
        <v>12742.561139783178</v>
      </c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</row>
    <row r="94" spans="1:23" ht="15.75" customHeight="1" x14ac:dyDescent="0.2">
      <c r="A94" s="140" t="s">
        <v>150</v>
      </c>
      <c r="B94" s="141" t="s">
        <v>151</v>
      </c>
      <c r="C94" s="141" t="s">
        <v>120</v>
      </c>
      <c r="D94" s="143">
        <v>1</v>
      </c>
      <c r="E94" s="143">
        <v>11152.890931275442</v>
      </c>
      <c r="F94" s="146">
        <f t="shared" si="3"/>
        <v>11152.890931275442</v>
      </c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</row>
    <row r="95" spans="1:23" ht="15.75" customHeight="1" x14ac:dyDescent="0.2">
      <c r="A95" s="140" t="s">
        <v>152</v>
      </c>
      <c r="B95" s="141" t="s">
        <v>153</v>
      </c>
      <c r="C95" s="141" t="s">
        <v>120</v>
      </c>
      <c r="D95" s="143">
        <v>1</v>
      </c>
      <c r="E95" s="143">
        <v>19700</v>
      </c>
      <c r="F95" s="146">
        <f t="shared" si="3"/>
        <v>19700</v>
      </c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</row>
    <row r="96" spans="1:23" ht="15.75" customHeight="1" x14ac:dyDescent="0.2">
      <c r="A96" s="140" t="s">
        <v>154</v>
      </c>
      <c r="B96" s="141" t="s">
        <v>155</v>
      </c>
      <c r="C96" s="145" t="s">
        <v>120</v>
      </c>
      <c r="D96" s="143">
        <v>1</v>
      </c>
      <c r="E96" s="143">
        <v>33000</v>
      </c>
      <c r="F96" s="146">
        <f t="shared" si="3"/>
        <v>33000</v>
      </c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</row>
    <row r="97" spans="1:23" ht="15.75" customHeight="1" x14ac:dyDescent="0.2">
      <c r="A97" s="140" t="s">
        <v>156</v>
      </c>
      <c r="B97" s="141" t="s">
        <v>157</v>
      </c>
      <c r="C97" s="141" t="s">
        <v>29</v>
      </c>
      <c r="D97" s="143">
        <f>EPCs!D49</f>
        <v>183.83999999999997</v>
      </c>
      <c r="E97" s="143">
        <v>119.41</v>
      </c>
      <c r="F97" s="144">
        <f t="shared" si="3"/>
        <v>21952.334399999996</v>
      </c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</row>
    <row r="98" spans="1:23" ht="15.75" customHeight="1" x14ac:dyDescent="0.2">
      <c r="A98" s="134" t="s">
        <v>158</v>
      </c>
      <c r="B98" s="130" t="s">
        <v>159</v>
      </c>
      <c r="C98" s="130"/>
      <c r="D98" s="131"/>
      <c r="E98" s="131"/>
      <c r="F98" s="132">
        <v>278565.32758654811</v>
      </c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</row>
    <row r="99" spans="1:23" ht="15.75" customHeight="1" x14ac:dyDescent="0.2">
      <c r="A99" s="139" t="s">
        <v>160</v>
      </c>
      <c r="B99" s="126" t="s">
        <v>161</v>
      </c>
      <c r="C99" s="126"/>
      <c r="D99" s="127"/>
      <c r="E99" s="127"/>
      <c r="F99" s="128">
        <f>F100+F109</f>
        <v>367186.6</v>
      </c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</row>
    <row r="100" spans="1:23" ht="15.75" customHeight="1" x14ac:dyDescent="0.2">
      <c r="A100" s="134" t="s">
        <v>162</v>
      </c>
      <c r="B100" s="130" t="s">
        <v>66</v>
      </c>
      <c r="C100" s="130"/>
      <c r="D100" s="131"/>
      <c r="E100" s="131"/>
      <c r="F100" s="132">
        <f>SUM(F101:F108)</f>
        <v>263236.59999999998</v>
      </c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</row>
    <row r="101" spans="1:23" ht="15.75" customHeight="1" x14ac:dyDescent="0.2">
      <c r="A101" s="140" t="s">
        <v>163</v>
      </c>
      <c r="B101" s="141" t="s">
        <v>164</v>
      </c>
      <c r="C101" s="141" t="s">
        <v>120</v>
      </c>
      <c r="D101" s="142">
        <v>1</v>
      </c>
      <c r="E101" s="142">
        <v>50400</v>
      </c>
      <c r="F101" s="146">
        <f>E101*D101*1.1</f>
        <v>55440.000000000007</v>
      </c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</row>
    <row r="102" spans="1:23" ht="15.75" customHeight="1" x14ac:dyDescent="0.2">
      <c r="A102" s="140" t="s">
        <v>165</v>
      </c>
      <c r="B102" s="141" t="s">
        <v>460</v>
      </c>
      <c r="C102" s="141" t="s">
        <v>74</v>
      </c>
      <c r="D102" s="142">
        <v>1</v>
      </c>
      <c r="E102" s="142">
        <v>70000</v>
      </c>
      <c r="F102" s="146">
        <f t="shared" ref="F102:F108" si="4">E102*D102*1.1</f>
        <v>77000</v>
      </c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</row>
    <row r="103" spans="1:23" ht="15.75" customHeight="1" x14ac:dyDescent="0.2">
      <c r="A103" s="140" t="s">
        <v>166</v>
      </c>
      <c r="B103" s="141" t="s">
        <v>461</v>
      </c>
      <c r="C103" s="141" t="s">
        <v>105</v>
      </c>
      <c r="D103" s="142">
        <v>26</v>
      </c>
      <c r="E103" s="142">
        <v>2000</v>
      </c>
      <c r="F103" s="146">
        <f t="shared" si="4"/>
        <v>57200.000000000007</v>
      </c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</row>
    <row r="104" spans="1:23" ht="15.75" customHeight="1" x14ac:dyDescent="0.2">
      <c r="A104" s="140" t="s">
        <v>167</v>
      </c>
      <c r="B104" s="141" t="s">
        <v>456</v>
      </c>
      <c r="C104" s="141" t="s">
        <v>74</v>
      </c>
      <c r="D104" s="142">
        <v>1</v>
      </c>
      <c r="E104" s="142">
        <v>17600</v>
      </c>
      <c r="F104" s="146">
        <f t="shared" si="4"/>
        <v>19360</v>
      </c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</row>
    <row r="105" spans="1:23" ht="15.75" customHeight="1" x14ac:dyDescent="0.2">
      <c r="A105" s="140" t="s">
        <v>168</v>
      </c>
      <c r="B105" s="141" t="s">
        <v>457</v>
      </c>
      <c r="C105" s="141" t="s">
        <v>74</v>
      </c>
      <c r="D105" s="142">
        <v>1</v>
      </c>
      <c r="E105" s="142">
        <v>13000</v>
      </c>
      <c r="F105" s="146">
        <f t="shared" si="4"/>
        <v>14300.000000000002</v>
      </c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</row>
    <row r="106" spans="1:23" ht="15.75" customHeight="1" x14ac:dyDescent="0.2">
      <c r="A106" s="140" t="s">
        <v>169</v>
      </c>
      <c r="B106" s="141" t="s">
        <v>462</v>
      </c>
      <c r="C106" s="141" t="s">
        <v>105</v>
      </c>
      <c r="D106" s="142">
        <v>23</v>
      </c>
      <c r="E106" s="142">
        <v>850</v>
      </c>
      <c r="F106" s="146">
        <f t="shared" si="4"/>
        <v>21505</v>
      </c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</row>
    <row r="107" spans="1:23" ht="15.75" customHeight="1" x14ac:dyDescent="0.2">
      <c r="A107" s="140" t="s">
        <v>170</v>
      </c>
      <c r="B107" s="141" t="s">
        <v>458</v>
      </c>
      <c r="C107" s="141" t="s">
        <v>74</v>
      </c>
      <c r="D107" s="142">
        <v>1</v>
      </c>
      <c r="E107" s="142">
        <v>7000</v>
      </c>
      <c r="F107" s="146">
        <f t="shared" si="4"/>
        <v>7700.0000000000009</v>
      </c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</row>
    <row r="108" spans="1:23" ht="15.75" customHeight="1" x14ac:dyDescent="0.2">
      <c r="A108" s="140" t="s">
        <v>171</v>
      </c>
      <c r="B108" s="141" t="s">
        <v>459</v>
      </c>
      <c r="C108" s="141" t="s">
        <v>105</v>
      </c>
      <c r="D108" s="142">
        <v>1</v>
      </c>
      <c r="E108" s="142">
        <v>9756</v>
      </c>
      <c r="F108" s="146">
        <f t="shared" si="4"/>
        <v>10731.6</v>
      </c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</row>
    <row r="109" spans="1:23" ht="15.75" customHeight="1" x14ac:dyDescent="0.2">
      <c r="A109" s="134" t="s">
        <v>174</v>
      </c>
      <c r="B109" s="130" t="s">
        <v>175</v>
      </c>
      <c r="C109" s="130"/>
      <c r="D109" s="147"/>
      <c r="E109" s="147"/>
      <c r="F109" s="132">
        <f>SUM(F110:F112)</f>
        <v>103950</v>
      </c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</row>
    <row r="110" spans="1:23" ht="15.75" customHeight="1" x14ac:dyDescent="0.2">
      <c r="A110" s="140" t="s">
        <v>176</v>
      </c>
      <c r="B110" s="141" t="s">
        <v>172</v>
      </c>
      <c r="C110" s="141" t="s">
        <v>105</v>
      </c>
      <c r="D110" s="142">
        <v>13</v>
      </c>
      <c r="E110" s="142">
        <v>3600</v>
      </c>
      <c r="F110" s="146">
        <f>E110*D110*1.1</f>
        <v>51480.000000000007</v>
      </c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</row>
    <row r="111" spans="1:23" ht="15.75" customHeight="1" x14ac:dyDescent="0.2">
      <c r="A111" s="140" t="s">
        <v>165</v>
      </c>
      <c r="B111" s="141" t="s">
        <v>173</v>
      </c>
      <c r="C111" s="141" t="s">
        <v>74</v>
      </c>
      <c r="D111" s="142">
        <v>86</v>
      </c>
      <c r="E111" s="142">
        <v>450</v>
      </c>
      <c r="F111" s="146">
        <f t="shared" ref="F111:F112" si="5">E111*D111*1.1</f>
        <v>42570</v>
      </c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</row>
    <row r="112" spans="1:23" ht="15.75" customHeight="1" x14ac:dyDescent="0.2">
      <c r="A112" s="140" t="s">
        <v>166</v>
      </c>
      <c r="B112" s="161" t="s">
        <v>463</v>
      </c>
      <c r="C112" s="141" t="s">
        <v>105</v>
      </c>
      <c r="D112" s="162">
        <v>6</v>
      </c>
      <c r="E112" s="162">
        <v>1500</v>
      </c>
      <c r="F112" s="146">
        <f t="shared" si="5"/>
        <v>9900</v>
      </c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</row>
    <row r="113" spans="1:23" ht="19.5" customHeight="1" thickBot="1" x14ac:dyDescent="0.25">
      <c r="A113" s="186" t="s">
        <v>177</v>
      </c>
      <c r="B113" s="187"/>
      <c r="C113" s="187"/>
      <c r="D113" s="187"/>
      <c r="E113" s="188"/>
      <c r="F113" s="148">
        <f>F63+F14</f>
        <v>4306231.2816457134</v>
      </c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</row>
    <row r="114" spans="1:23" ht="19.5" customHeight="1" x14ac:dyDescent="0.2">
      <c r="A114" s="116"/>
      <c r="B114" s="116"/>
      <c r="C114" s="116"/>
      <c r="D114" s="117"/>
      <c r="E114" s="117"/>
      <c r="F114" s="117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</row>
    <row r="115" spans="1:23" ht="19.5" customHeight="1" x14ac:dyDescent="0.2">
      <c r="A115" s="116"/>
      <c r="B115" s="116"/>
      <c r="C115" s="116"/>
      <c r="D115" s="117"/>
      <c r="E115" s="117"/>
      <c r="F115" s="117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</row>
    <row r="116" spans="1:23" ht="19.5" customHeight="1" x14ac:dyDescent="0.2">
      <c r="A116" s="116"/>
      <c r="B116" s="116"/>
      <c r="C116" s="116"/>
      <c r="D116" s="117"/>
      <c r="E116" s="117"/>
      <c r="F116" s="117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</row>
    <row r="117" spans="1:23" ht="19.5" customHeight="1" x14ac:dyDescent="0.2">
      <c r="A117" s="116"/>
      <c r="B117" s="116"/>
      <c r="C117" s="116"/>
      <c r="D117" s="117"/>
      <c r="E117" s="117"/>
      <c r="F117" s="117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</row>
    <row r="118" spans="1:23" ht="19.5" customHeight="1" x14ac:dyDescent="0.2">
      <c r="A118" s="116"/>
      <c r="B118" s="116"/>
      <c r="C118" s="116"/>
      <c r="D118" s="117"/>
      <c r="E118" s="117"/>
      <c r="F118" s="117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</row>
    <row r="119" spans="1:23" ht="19.5" customHeight="1" x14ac:dyDescent="0.2">
      <c r="A119" s="116"/>
      <c r="B119" s="116"/>
      <c r="C119" s="116"/>
      <c r="D119" s="117"/>
      <c r="E119" s="117"/>
      <c r="F119" s="117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</row>
    <row r="120" spans="1:23" ht="19.5" customHeight="1" x14ac:dyDescent="0.2">
      <c r="A120" s="116"/>
      <c r="B120" s="116"/>
      <c r="C120" s="116"/>
      <c r="D120" s="117"/>
      <c r="E120" s="117"/>
      <c r="F120" s="117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</row>
    <row r="121" spans="1:23" ht="19.5" customHeight="1" x14ac:dyDescent="0.2">
      <c r="A121" s="116"/>
      <c r="B121" s="116"/>
      <c r="C121" s="116"/>
      <c r="D121" s="117"/>
      <c r="E121" s="117"/>
      <c r="F121" s="117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</row>
    <row r="122" spans="1:23" ht="19.5" customHeight="1" x14ac:dyDescent="0.2">
      <c r="A122" s="116"/>
      <c r="B122" s="116"/>
      <c r="C122" s="116"/>
      <c r="D122" s="117"/>
      <c r="E122" s="117"/>
      <c r="F122" s="117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</row>
    <row r="123" spans="1:23" ht="19.5" customHeight="1" x14ac:dyDescent="0.2">
      <c r="A123" s="116"/>
      <c r="B123" s="116"/>
      <c r="C123" s="116"/>
      <c r="D123" s="117"/>
      <c r="E123" s="117"/>
      <c r="F123" s="117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</row>
    <row r="124" spans="1:23" ht="19.5" customHeight="1" x14ac:dyDescent="0.2">
      <c r="A124" s="116"/>
      <c r="B124" s="116"/>
      <c r="C124" s="116"/>
      <c r="D124" s="117"/>
      <c r="E124" s="117"/>
      <c r="F124" s="117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</row>
    <row r="125" spans="1:23" ht="19.5" customHeight="1" x14ac:dyDescent="0.2">
      <c r="A125" s="116"/>
      <c r="B125" s="116"/>
      <c r="C125" s="116"/>
      <c r="D125" s="117"/>
      <c r="E125" s="117"/>
      <c r="F125" s="117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</row>
    <row r="126" spans="1:23" ht="19.5" customHeight="1" x14ac:dyDescent="0.2">
      <c r="A126" s="116"/>
      <c r="B126" s="116"/>
      <c r="C126" s="116"/>
      <c r="D126" s="117"/>
      <c r="E126" s="117"/>
      <c r="F126" s="117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</row>
    <row r="127" spans="1:23" ht="19.5" customHeight="1" x14ac:dyDescent="0.2">
      <c r="A127" s="116"/>
      <c r="B127" s="116"/>
      <c r="C127" s="116"/>
      <c r="D127" s="117"/>
      <c r="E127" s="117"/>
      <c r="F127" s="117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</row>
    <row r="128" spans="1:23" ht="19.5" customHeight="1" x14ac:dyDescent="0.2">
      <c r="A128" s="116"/>
      <c r="B128" s="116"/>
      <c r="C128" s="116"/>
      <c r="D128" s="117"/>
      <c r="E128" s="117"/>
      <c r="F128" s="117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</row>
    <row r="129" spans="1:23" ht="19.5" customHeight="1" x14ac:dyDescent="0.2">
      <c r="A129" s="116"/>
      <c r="B129" s="116"/>
      <c r="C129" s="116"/>
      <c r="D129" s="117"/>
      <c r="E129" s="117"/>
      <c r="F129" s="117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</row>
    <row r="130" spans="1:23" ht="19.5" customHeight="1" x14ac:dyDescent="0.2">
      <c r="A130" s="116"/>
      <c r="B130" s="116"/>
      <c r="C130" s="116"/>
      <c r="D130" s="117"/>
      <c r="E130" s="117"/>
      <c r="F130" s="117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</row>
    <row r="131" spans="1:23" ht="19.5" customHeight="1" x14ac:dyDescent="0.2">
      <c r="A131" s="116"/>
      <c r="B131" s="116"/>
      <c r="C131" s="116"/>
      <c r="D131" s="117"/>
      <c r="E131" s="117"/>
      <c r="F131" s="117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</row>
    <row r="132" spans="1:23" ht="19.5" customHeight="1" x14ac:dyDescent="0.2">
      <c r="A132" s="116"/>
      <c r="B132" s="116"/>
      <c r="C132" s="116"/>
      <c r="D132" s="117"/>
      <c r="E132" s="117"/>
      <c r="F132" s="117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</row>
    <row r="133" spans="1:23" ht="19.5" customHeight="1" x14ac:dyDescent="0.2">
      <c r="A133" s="116"/>
      <c r="B133" s="116"/>
      <c r="C133" s="116"/>
      <c r="D133" s="117"/>
      <c r="E133" s="117"/>
      <c r="F133" s="117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</row>
    <row r="134" spans="1:23" ht="19.5" customHeight="1" x14ac:dyDescent="0.2">
      <c r="A134" s="116"/>
      <c r="B134" s="116"/>
      <c r="C134" s="116"/>
      <c r="D134" s="117"/>
      <c r="E134" s="117"/>
      <c r="F134" s="117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</row>
    <row r="135" spans="1:23" ht="19.5" customHeight="1" x14ac:dyDescent="0.2">
      <c r="A135" s="116"/>
      <c r="B135" s="116"/>
      <c r="C135" s="116"/>
      <c r="D135" s="117"/>
      <c r="E135" s="117"/>
      <c r="F135" s="117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</row>
    <row r="136" spans="1:23" ht="19.5" customHeight="1" x14ac:dyDescent="0.2">
      <c r="A136" s="116"/>
      <c r="B136" s="116"/>
      <c r="C136" s="116"/>
      <c r="D136" s="117"/>
      <c r="E136" s="117"/>
      <c r="F136" s="117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</row>
    <row r="137" spans="1:23" ht="19.5" customHeight="1" x14ac:dyDescent="0.2">
      <c r="A137" s="116"/>
      <c r="B137" s="116"/>
      <c r="C137" s="116"/>
      <c r="D137" s="117"/>
      <c r="E137" s="117"/>
      <c r="F137" s="117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</row>
    <row r="138" spans="1:23" ht="19.5" customHeight="1" x14ac:dyDescent="0.2">
      <c r="A138" s="116"/>
      <c r="B138" s="116"/>
      <c r="C138" s="116"/>
      <c r="D138" s="117"/>
      <c r="E138" s="117"/>
      <c r="F138" s="117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</row>
    <row r="139" spans="1:23" ht="19.5" customHeight="1" x14ac:dyDescent="0.2">
      <c r="A139" s="116"/>
      <c r="B139" s="116"/>
      <c r="C139" s="116"/>
      <c r="D139" s="117"/>
      <c r="E139" s="117"/>
      <c r="F139" s="117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</row>
    <row r="140" spans="1:23" ht="19.5" customHeight="1" x14ac:dyDescent="0.2">
      <c r="A140" s="116"/>
      <c r="B140" s="116"/>
      <c r="C140" s="116"/>
      <c r="D140" s="117"/>
      <c r="E140" s="117"/>
      <c r="F140" s="117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</row>
    <row r="141" spans="1:23" ht="19.5" customHeight="1" x14ac:dyDescent="0.2">
      <c r="A141" s="116"/>
      <c r="B141" s="116"/>
      <c r="C141" s="116"/>
      <c r="D141" s="117"/>
      <c r="E141" s="117"/>
      <c r="F141" s="117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</row>
    <row r="142" spans="1:23" ht="19.5" customHeight="1" x14ac:dyDescent="0.2">
      <c r="A142" s="116"/>
      <c r="B142" s="116"/>
      <c r="C142" s="116"/>
      <c r="D142" s="117"/>
      <c r="E142" s="117"/>
      <c r="F142" s="117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</row>
    <row r="143" spans="1:23" ht="19.5" customHeight="1" x14ac:dyDescent="0.2">
      <c r="A143" s="116"/>
      <c r="B143" s="116"/>
      <c r="C143" s="116"/>
      <c r="D143" s="117"/>
      <c r="E143" s="117"/>
      <c r="F143" s="117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</row>
    <row r="144" spans="1:23" ht="19.5" customHeight="1" x14ac:dyDescent="0.2">
      <c r="A144" s="116"/>
      <c r="B144" s="116"/>
      <c r="C144" s="116"/>
      <c r="D144" s="117"/>
      <c r="E144" s="117"/>
      <c r="F144" s="117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</row>
    <row r="145" spans="1:23" ht="19.5" customHeight="1" x14ac:dyDescent="0.2">
      <c r="A145" s="116"/>
      <c r="B145" s="116"/>
      <c r="C145" s="116"/>
      <c r="D145" s="117"/>
      <c r="E145" s="117"/>
      <c r="F145" s="117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</row>
    <row r="146" spans="1:23" ht="19.5" customHeight="1" x14ac:dyDescent="0.2">
      <c r="A146" s="116"/>
      <c r="B146" s="116"/>
      <c r="C146" s="116"/>
      <c r="D146" s="117"/>
      <c r="E146" s="117"/>
      <c r="F146" s="117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</row>
    <row r="147" spans="1:23" ht="19.5" customHeight="1" x14ac:dyDescent="0.2">
      <c r="A147" s="116"/>
      <c r="B147" s="116"/>
      <c r="C147" s="116"/>
      <c r="D147" s="117"/>
      <c r="E147" s="117"/>
      <c r="F147" s="117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</row>
    <row r="148" spans="1:23" ht="19.5" customHeight="1" x14ac:dyDescent="0.2">
      <c r="A148" s="116"/>
      <c r="B148" s="116"/>
      <c r="C148" s="116"/>
      <c r="D148" s="117"/>
      <c r="E148" s="117"/>
      <c r="F148" s="117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</row>
    <row r="149" spans="1:23" ht="19.5" customHeight="1" x14ac:dyDescent="0.2">
      <c r="A149" s="116"/>
      <c r="B149" s="116"/>
      <c r="C149" s="116"/>
      <c r="D149" s="117"/>
      <c r="E149" s="117"/>
      <c r="F149" s="11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</row>
    <row r="150" spans="1:23" ht="19.5" customHeight="1" x14ac:dyDescent="0.2">
      <c r="A150" s="116"/>
      <c r="B150" s="116"/>
      <c r="C150" s="116"/>
      <c r="D150" s="117"/>
      <c r="E150" s="117"/>
      <c r="F150" s="117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</row>
    <row r="151" spans="1:23" ht="19.5" customHeight="1" x14ac:dyDescent="0.2">
      <c r="A151" s="116"/>
      <c r="B151" s="116"/>
      <c r="C151" s="116"/>
      <c r="D151" s="117"/>
      <c r="E151" s="117"/>
      <c r="F151" s="117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</row>
    <row r="152" spans="1:23" ht="19.5" customHeight="1" x14ac:dyDescent="0.2">
      <c r="A152" s="116"/>
      <c r="B152" s="116"/>
      <c r="C152" s="116"/>
      <c r="D152" s="117"/>
      <c r="E152" s="117"/>
      <c r="F152" s="117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</row>
    <row r="153" spans="1:23" ht="19.5" customHeight="1" x14ac:dyDescent="0.2">
      <c r="A153" s="116"/>
      <c r="B153" s="116"/>
      <c r="C153" s="116"/>
      <c r="D153" s="117"/>
      <c r="E153" s="117"/>
      <c r="F153" s="117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</row>
    <row r="154" spans="1:23" ht="19.5" customHeight="1" x14ac:dyDescent="0.2">
      <c r="A154" s="116"/>
      <c r="B154" s="116"/>
      <c r="C154" s="116"/>
      <c r="D154" s="117"/>
      <c r="E154" s="117"/>
      <c r="F154" s="117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</row>
    <row r="155" spans="1:23" ht="19.5" customHeight="1" x14ac:dyDescent="0.2">
      <c r="A155" s="116"/>
      <c r="B155" s="116"/>
      <c r="C155" s="116"/>
      <c r="D155" s="117"/>
      <c r="E155" s="117"/>
      <c r="F155" s="117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</row>
    <row r="156" spans="1:23" ht="19.5" customHeight="1" x14ac:dyDescent="0.2">
      <c r="A156" s="116"/>
      <c r="B156" s="116"/>
      <c r="C156" s="116"/>
      <c r="D156" s="117"/>
      <c r="E156" s="117"/>
      <c r="F156" s="117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</row>
    <row r="157" spans="1:23" ht="19.5" customHeight="1" x14ac:dyDescent="0.2">
      <c r="A157" s="116"/>
      <c r="B157" s="116"/>
      <c r="C157" s="116"/>
      <c r="D157" s="117"/>
      <c r="E157" s="117"/>
      <c r="F157" s="117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</row>
    <row r="158" spans="1:23" ht="19.5" customHeight="1" x14ac:dyDescent="0.2">
      <c r="A158" s="116"/>
      <c r="B158" s="116"/>
      <c r="C158" s="116"/>
      <c r="D158" s="117"/>
      <c r="E158" s="117"/>
      <c r="F158" s="117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</row>
    <row r="159" spans="1:23" ht="19.5" customHeight="1" x14ac:dyDescent="0.2">
      <c r="A159" s="116"/>
      <c r="B159" s="116"/>
      <c r="C159" s="116"/>
      <c r="D159" s="117"/>
      <c r="E159" s="117"/>
      <c r="F159" s="117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</row>
    <row r="160" spans="1:23" ht="19.5" customHeight="1" x14ac:dyDescent="0.2">
      <c r="A160" s="116"/>
      <c r="B160" s="116"/>
      <c r="C160" s="116"/>
      <c r="D160" s="117"/>
      <c r="E160" s="117"/>
      <c r="F160" s="117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</row>
    <row r="161" spans="1:23" ht="19.5" customHeight="1" x14ac:dyDescent="0.2">
      <c r="A161" s="116"/>
      <c r="B161" s="116"/>
      <c r="C161" s="116"/>
      <c r="D161" s="117"/>
      <c r="E161" s="117"/>
      <c r="F161" s="117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</row>
    <row r="162" spans="1:23" ht="19.5" customHeight="1" x14ac:dyDescent="0.2">
      <c r="A162" s="116"/>
      <c r="B162" s="116"/>
      <c r="C162" s="116"/>
      <c r="D162" s="117"/>
      <c r="E162" s="117"/>
      <c r="F162" s="117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</row>
    <row r="163" spans="1:23" ht="19.5" customHeight="1" x14ac:dyDescent="0.2">
      <c r="A163" s="116"/>
      <c r="B163" s="116"/>
      <c r="C163" s="116"/>
      <c r="D163" s="117"/>
      <c r="E163" s="117"/>
      <c r="F163" s="117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</row>
    <row r="164" spans="1:23" ht="19.5" customHeight="1" x14ac:dyDescent="0.2">
      <c r="A164" s="116"/>
      <c r="B164" s="116"/>
      <c r="C164" s="116"/>
      <c r="D164" s="117"/>
      <c r="E164" s="117"/>
      <c r="F164" s="117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</row>
    <row r="165" spans="1:23" ht="19.5" customHeight="1" x14ac:dyDescent="0.2">
      <c r="A165" s="116"/>
      <c r="B165" s="116"/>
      <c r="C165" s="116"/>
      <c r="D165" s="117"/>
      <c r="E165" s="117"/>
      <c r="F165" s="117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</row>
    <row r="166" spans="1:23" ht="19.5" customHeight="1" x14ac:dyDescent="0.2">
      <c r="A166" s="116"/>
      <c r="B166" s="116"/>
      <c r="C166" s="116"/>
      <c r="D166" s="117"/>
      <c r="E166" s="117"/>
      <c r="F166" s="117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</row>
    <row r="167" spans="1:23" ht="19.5" customHeight="1" x14ac:dyDescent="0.2">
      <c r="A167" s="116"/>
      <c r="B167" s="116"/>
      <c r="C167" s="116"/>
      <c r="D167" s="117"/>
      <c r="E167" s="117"/>
      <c r="F167" s="11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</row>
    <row r="168" spans="1:23" ht="19.5" customHeight="1" x14ac:dyDescent="0.2">
      <c r="A168" s="116"/>
      <c r="B168" s="116"/>
      <c r="C168" s="116"/>
      <c r="D168" s="117"/>
      <c r="E168" s="117"/>
      <c r="F168" s="117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</row>
    <row r="169" spans="1:23" ht="19.5" customHeight="1" x14ac:dyDescent="0.2">
      <c r="A169" s="116"/>
      <c r="B169" s="116"/>
      <c r="C169" s="116"/>
      <c r="D169" s="117"/>
      <c r="E169" s="117"/>
      <c r="F169" s="117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</row>
    <row r="170" spans="1:23" ht="19.5" customHeight="1" x14ac:dyDescent="0.2">
      <c r="A170" s="116"/>
      <c r="B170" s="116"/>
      <c r="C170" s="116"/>
      <c r="D170" s="117"/>
      <c r="E170" s="117"/>
      <c r="F170" s="117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</row>
    <row r="171" spans="1:23" ht="19.5" customHeight="1" x14ac:dyDescent="0.2">
      <c r="A171" s="116"/>
      <c r="B171" s="116"/>
      <c r="C171" s="116"/>
      <c r="D171" s="117"/>
      <c r="E171" s="117"/>
      <c r="F171" s="117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</row>
    <row r="172" spans="1:23" ht="19.5" customHeight="1" x14ac:dyDescent="0.2">
      <c r="A172" s="116"/>
      <c r="B172" s="116"/>
      <c r="C172" s="116"/>
      <c r="D172" s="117"/>
      <c r="E172" s="117"/>
      <c r="F172" s="117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</row>
    <row r="173" spans="1:23" ht="19.5" customHeight="1" x14ac:dyDescent="0.2">
      <c r="A173" s="116"/>
      <c r="B173" s="116"/>
      <c r="C173" s="116"/>
      <c r="D173" s="117"/>
      <c r="E173" s="117"/>
      <c r="F173" s="117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</row>
    <row r="174" spans="1:23" ht="19.5" customHeight="1" x14ac:dyDescent="0.2">
      <c r="A174" s="116"/>
      <c r="B174" s="116"/>
      <c r="C174" s="116"/>
      <c r="D174" s="117"/>
      <c r="E174" s="117"/>
      <c r="F174" s="117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</row>
    <row r="175" spans="1:23" ht="19.5" customHeight="1" x14ac:dyDescent="0.2">
      <c r="A175" s="116"/>
      <c r="B175" s="116"/>
      <c r="C175" s="116"/>
      <c r="D175" s="117"/>
      <c r="E175" s="117"/>
      <c r="F175" s="117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</row>
    <row r="176" spans="1:23" ht="19.5" customHeight="1" x14ac:dyDescent="0.2">
      <c r="A176" s="116"/>
      <c r="B176" s="116"/>
      <c r="C176" s="116"/>
      <c r="D176" s="117"/>
      <c r="E176" s="117"/>
      <c r="F176" s="117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</row>
    <row r="177" spans="1:23" ht="19.5" customHeight="1" x14ac:dyDescent="0.2">
      <c r="A177" s="116"/>
      <c r="B177" s="116"/>
      <c r="C177" s="116"/>
      <c r="D177" s="117"/>
      <c r="E177" s="117"/>
      <c r="F177" s="117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</row>
    <row r="178" spans="1:23" ht="19.5" customHeight="1" x14ac:dyDescent="0.2">
      <c r="A178" s="116"/>
      <c r="B178" s="116"/>
      <c r="C178" s="116"/>
      <c r="D178" s="117"/>
      <c r="E178" s="117"/>
      <c r="F178" s="117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</row>
    <row r="179" spans="1:23" ht="19.5" customHeight="1" x14ac:dyDescent="0.2">
      <c r="A179" s="116"/>
      <c r="B179" s="116"/>
      <c r="C179" s="116"/>
      <c r="D179" s="117"/>
      <c r="E179" s="117"/>
      <c r="F179" s="117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</row>
    <row r="180" spans="1:23" ht="19.5" customHeight="1" x14ac:dyDescent="0.2">
      <c r="A180" s="116"/>
      <c r="B180" s="116"/>
      <c r="C180" s="116"/>
      <c r="D180" s="117"/>
      <c r="E180" s="117"/>
      <c r="F180" s="117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</row>
    <row r="181" spans="1:23" ht="19.5" customHeight="1" x14ac:dyDescent="0.2">
      <c r="A181" s="116"/>
      <c r="B181" s="116"/>
      <c r="C181" s="116"/>
      <c r="D181" s="117"/>
      <c r="E181" s="117"/>
      <c r="F181" s="117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</row>
    <row r="182" spans="1:23" ht="19.5" customHeight="1" x14ac:dyDescent="0.2">
      <c r="A182" s="116"/>
      <c r="B182" s="116"/>
      <c r="C182" s="116"/>
      <c r="D182" s="117"/>
      <c r="E182" s="117"/>
      <c r="F182" s="117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</row>
    <row r="183" spans="1:23" ht="19.5" customHeight="1" x14ac:dyDescent="0.2">
      <c r="A183" s="116"/>
      <c r="B183" s="116"/>
      <c r="C183" s="116"/>
      <c r="D183" s="117"/>
      <c r="E183" s="117"/>
      <c r="F183" s="117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</row>
    <row r="184" spans="1:23" ht="19.5" customHeight="1" x14ac:dyDescent="0.2">
      <c r="A184" s="116"/>
      <c r="B184" s="116"/>
      <c r="C184" s="116"/>
      <c r="D184" s="117"/>
      <c r="E184" s="117"/>
      <c r="F184" s="117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</row>
    <row r="185" spans="1:23" ht="19.5" customHeight="1" x14ac:dyDescent="0.2">
      <c r="A185" s="116"/>
      <c r="B185" s="116"/>
      <c r="C185" s="116"/>
      <c r="D185" s="117"/>
      <c r="E185" s="117"/>
      <c r="F185" s="117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</row>
    <row r="186" spans="1:23" ht="19.5" customHeight="1" x14ac:dyDescent="0.2">
      <c r="A186" s="116"/>
      <c r="B186" s="116"/>
      <c r="C186" s="116"/>
      <c r="D186" s="117"/>
      <c r="E186" s="117"/>
      <c r="F186" s="117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</row>
    <row r="187" spans="1:23" ht="19.5" customHeight="1" x14ac:dyDescent="0.2">
      <c r="A187" s="116"/>
      <c r="B187" s="116"/>
      <c r="C187" s="116"/>
      <c r="D187" s="117"/>
      <c r="E187" s="117"/>
      <c r="F187" s="117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</row>
    <row r="188" spans="1:23" ht="19.5" customHeight="1" x14ac:dyDescent="0.2">
      <c r="A188" s="116"/>
      <c r="B188" s="116"/>
      <c r="C188" s="116"/>
      <c r="D188" s="117"/>
      <c r="E188" s="117"/>
      <c r="F188" s="117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</row>
    <row r="189" spans="1:23" ht="19.5" customHeight="1" x14ac:dyDescent="0.2">
      <c r="A189" s="116"/>
      <c r="B189" s="116"/>
      <c r="C189" s="116"/>
      <c r="D189" s="117"/>
      <c r="E189" s="117"/>
      <c r="F189" s="117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</row>
    <row r="190" spans="1:23" ht="19.5" customHeight="1" x14ac:dyDescent="0.2">
      <c r="A190" s="116"/>
      <c r="B190" s="116"/>
      <c r="C190" s="116"/>
      <c r="D190" s="117"/>
      <c r="E190" s="117"/>
      <c r="F190" s="117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</row>
    <row r="191" spans="1:23" ht="19.5" customHeight="1" x14ac:dyDescent="0.2">
      <c r="A191" s="116"/>
      <c r="B191" s="116"/>
      <c r="C191" s="116"/>
      <c r="D191" s="117"/>
      <c r="E191" s="117"/>
      <c r="F191" s="117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</row>
    <row r="192" spans="1:23" ht="19.5" customHeight="1" x14ac:dyDescent="0.2">
      <c r="A192" s="116"/>
      <c r="B192" s="116"/>
      <c r="C192" s="116"/>
      <c r="D192" s="117"/>
      <c r="E192" s="117"/>
      <c r="F192" s="117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</row>
    <row r="193" spans="1:23" ht="19.5" customHeight="1" x14ac:dyDescent="0.2">
      <c r="A193" s="116"/>
      <c r="B193" s="116"/>
      <c r="C193" s="116"/>
      <c r="D193" s="117"/>
      <c r="E193" s="117"/>
      <c r="F193" s="117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</row>
    <row r="194" spans="1:23" ht="19.5" customHeight="1" x14ac:dyDescent="0.2">
      <c r="A194" s="116"/>
      <c r="B194" s="116"/>
      <c r="C194" s="116"/>
      <c r="D194" s="117"/>
      <c r="E194" s="117"/>
      <c r="F194" s="117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</row>
    <row r="195" spans="1:23" ht="19.5" customHeight="1" x14ac:dyDescent="0.2">
      <c r="A195" s="116"/>
      <c r="B195" s="116"/>
      <c r="C195" s="116"/>
      <c r="D195" s="117"/>
      <c r="E195" s="117"/>
      <c r="F195" s="117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</row>
    <row r="196" spans="1:23" ht="19.5" customHeight="1" x14ac:dyDescent="0.2">
      <c r="A196" s="116"/>
      <c r="B196" s="116"/>
      <c r="C196" s="116"/>
      <c r="D196" s="117"/>
      <c r="E196" s="117"/>
      <c r="F196" s="117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</row>
    <row r="197" spans="1:23" ht="19.5" customHeight="1" x14ac:dyDescent="0.2">
      <c r="A197" s="116"/>
      <c r="B197" s="116"/>
      <c r="C197" s="116"/>
      <c r="D197" s="117"/>
      <c r="E197" s="117"/>
      <c r="F197" s="117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</row>
    <row r="198" spans="1:23" ht="19.5" customHeight="1" x14ac:dyDescent="0.2">
      <c r="A198" s="116"/>
      <c r="B198" s="116"/>
      <c r="C198" s="116"/>
      <c r="D198" s="117"/>
      <c r="E198" s="117"/>
      <c r="F198" s="117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</row>
    <row r="199" spans="1:23" ht="19.5" customHeight="1" x14ac:dyDescent="0.2">
      <c r="A199" s="116"/>
      <c r="B199" s="116"/>
      <c r="C199" s="116"/>
      <c r="D199" s="117"/>
      <c r="E199" s="117"/>
      <c r="F199" s="117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</row>
    <row r="200" spans="1:23" ht="19.5" customHeight="1" x14ac:dyDescent="0.2">
      <c r="A200" s="116"/>
      <c r="B200" s="116"/>
      <c r="C200" s="116"/>
      <c r="D200" s="117"/>
      <c r="E200" s="117"/>
      <c r="F200" s="117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</row>
    <row r="201" spans="1:23" ht="19.5" customHeight="1" x14ac:dyDescent="0.2">
      <c r="A201" s="116"/>
      <c r="B201" s="116"/>
      <c r="C201" s="116"/>
      <c r="D201" s="117"/>
      <c r="E201" s="117"/>
      <c r="F201" s="117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</row>
    <row r="202" spans="1:23" ht="19.5" customHeight="1" x14ac:dyDescent="0.2">
      <c r="A202" s="116"/>
      <c r="B202" s="116"/>
      <c r="C202" s="116"/>
      <c r="D202" s="117"/>
      <c r="E202" s="117"/>
      <c r="F202" s="117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</row>
    <row r="203" spans="1:23" ht="19.5" customHeight="1" x14ac:dyDescent="0.2">
      <c r="A203" s="116"/>
      <c r="B203" s="116"/>
      <c r="C203" s="116"/>
      <c r="D203" s="117"/>
      <c r="E203" s="117"/>
      <c r="F203" s="117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</row>
    <row r="204" spans="1:23" ht="19.5" customHeight="1" x14ac:dyDescent="0.2">
      <c r="A204" s="116"/>
      <c r="B204" s="116"/>
      <c r="C204" s="116"/>
      <c r="D204" s="117"/>
      <c r="E204" s="117"/>
      <c r="F204" s="117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</row>
    <row r="205" spans="1:23" ht="19.5" customHeight="1" x14ac:dyDescent="0.2">
      <c r="A205" s="116"/>
      <c r="B205" s="116"/>
      <c r="C205" s="116"/>
      <c r="D205" s="117"/>
      <c r="E205" s="117"/>
      <c r="F205" s="117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</row>
    <row r="206" spans="1:23" ht="19.5" customHeight="1" x14ac:dyDescent="0.2">
      <c r="A206" s="116"/>
      <c r="B206" s="116"/>
      <c r="C206" s="116"/>
      <c r="D206" s="117"/>
      <c r="E206" s="117"/>
      <c r="F206" s="117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</row>
    <row r="207" spans="1:23" ht="19.5" customHeight="1" x14ac:dyDescent="0.2">
      <c r="A207" s="116"/>
      <c r="B207" s="116"/>
      <c r="C207" s="116"/>
      <c r="D207" s="117"/>
      <c r="E207" s="117"/>
      <c r="F207" s="117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</row>
    <row r="208" spans="1:23" ht="19.5" customHeight="1" x14ac:dyDescent="0.2">
      <c r="A208" s="116"/>
      <c r="B208" s="116"/>
      <c r="C208" s="116"/>
      <c r="D208" s="117"/>
      <c r="E208" s="117"/>
      <c r="F208" s="117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</row>
    <row r="209" spans="1:23" ht="19.5" customHeight="1" x14ac:dyDescent="0.2">
      <c r="A209" s="116"/>
      <c r="B209" s="116"/>
      <c r="C209" s="116"/>
      <c r="D209" s="117"/>
      <c r="E209" s="117"/>
      <c r="F209" s="117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</row>
    <row r="210" spans="1:23" ht="19.5" customHeight="1" x14ac:dyDescent="0.2">
      <c r="A210" s="116"/>
      <c r="B210" s="116"/>
      <c r="C210" s="116"/>
      <c r="D210" s="117"/>
      <c r="E210" s="117"/>
      <c r="F210" s="117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</row>
    <row r="211" spans="1:23" ht="19.5" customHeight="1" x14ac:dyDescent="0.2">
      <c r="A211" s="116"/>
      <c r="B211" s="116"/>
      <c r="C211" s="116"/>
      <c r="D211" s="117"/>
      <c r="E211" s="117"/>
      <c r="F211" s="117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</row>
    <row r="212" spans="1:23" ht="19.5" customHeight="1" x14ac:dyDescent="0.2">
      <c r="A212" s="116"/>
      <c r="B212" s="116"/>
      <c r="C212" s="116"/>
      <c r="D212" s="117"/>
      <c r="E212" s="117"/>
      <c r="F212" s="117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</row>
    <row r="213" spans="1:23" ht="19.5" customHeight="1" x14ac:dyDescent="0.2">
      <c r="A213" s="116"/>
      <c r="B213" s="116"/>
      <c r="C213" s="116"/>
      <c r="D213" s="117"/>
      <c r="E213" s="117"/>
      <c r="F213" s="117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</row>
    <row r="214" spans="1:23" ht="19.5" customHeight="1" x14ac:dyDescent="0.2">
      <c r="A214" s="116"/>
      <c r="B214" s="116"/>
      <c r="C214" s="116"/>
      <c r="D214" s="117"/>
      <c r="E214" s="117"/>
      <c r="F214" s="117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</row>
    <row r="215" spans="1:23" ht="19.5" customHeight="1" x14ac:dyDescent="0.2">
      <c r="A215" s="116"/>
      <c r="B215" s="116"/>
      <c r="C215" s="116"/>
      <c r="D215" s="117"/>
      <c r="E215" s="117"/>
      <c r="F215" s="117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</row>
    <row r="216" spans="1:23" ht="19.5" customHeight="1" x14ac:dyDescent="0.2">
      <c r="A216" s="116"/>
      <c r="B216" s="116"/>
      <c r="C216" s="116"/>
      <c r="D216" s="117"/>
      <c r="E216" s="117"/>
      <c r="F216" s="117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</row>
    <row r="217" spans="1:23" ht="19.5" customHeight="1" x14ac:dyDescent="0.2">
      <c r="A217" s="116"/>
      <c r="B217" s="116"/>
      <c r="C217" s="116"/>
      <c r="D217" s="117"/>
      <c r="E217" s="117"/>
      <c r="F217" s="117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</row>
    <row r="218" spans="1:23" ht="19.5" customHeight="1" x14ac:dyDescent="0.2">
      <c r="A218" s="116"/>
      <c r="B218" s="116"/>
      <c r="C218" s="116"/>
      <c r="D218" s="117"/>
      <c r="E218" s="117"/>
      <c r="F218" s="117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</row>
    <row r="219" spans="1:23" ht="19.5" customHeight="1" x14ac:dyDescent="0.2">
      <c r="A219" s="116"/>
      <c r="B219" s="116"/>
      <c r="C219" s="116"/>
      <c r="D219" s="117"/>
      <c r="E219" s="117"/>
      <c r="F219" s="117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</row>
    <row r="220" spans="1:23" ht="19.5" customHeight="1" x14ac:dyDescent="0.2">
      <c r="A220" s="116"/>
      <c r="B220" s="116"/>
      <c r="C220" s="116"/>
      <c r="D220" s="117"/>
      <c r="E220" s="117"/>
      <c r="F220" s="117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</row>
    <row r="221" spans="1:23" ht="19.5" customHeight="1" x14ac:dyDescent="0.2">
      <c r="A221" s="116"/>
      <c r="B221" s="116"/>
      <c r="C221" s="116"/>
      <c r="D221" s="117"/>
      <c r="E221" s="117"/>
      <c r="F221" s="117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</row>
    <row r="222" spans="1:23" ht="19.5" customHeight="1" x14ac:dyDescent="0.2">
      <c r="A222" s="116"/>
      <c r="B222" s="116"/>
      <c r="C222" s="116"/>
      <c r="D222" s="117"/>
      <c r="E222" s="117"/>
      <c r="F222" s="117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</row>
    <row r="223" spans="1:23" ht="19.5" customHeight="1" x14ac:dyDescent="0.2">
      <c r="A223" s="116"/>
      <c r="B223" s="116"/>
      <c r="C223" s="116"/>
      <c r="D223" s="117"/>
      <c r="E223" s="117"/>
      <c r="F223" s="117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</row>
    <row r="224" spans="1:23" ht="19.5" customHeight="1" x14ac:dyDescent="0.2">
      <c r="A224" s="116"/>
      <c r="B224" s="116"/>
      <c r="C224" s="116"/>
      <c r="D224" s="117"/>
      <c r="E224" s="117"/>
      <c r="F224" s="117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</row>
    <row r="225" spans="1:23" ht="19.5" customHeight="1" x14ac:dyDescent="0.2">
      <c r="A225" s="116"/>
      <c r="B225" s="116"/>
      <c r="C225" s="116"/>
      <c r="D225" s="117"/>
      <c r="E225" s="117"/>
      <c r="F225" s="117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</row>
    <row r="226" spans="1:23" ht="19.5" customHeight="1" x14ac:dyDescent="0.2">
      <c r="A226" s="116"/>
      <c r="B226" s="116"/>
      <c r="C226" s="116"/>
      <c r="D226" s="117"/>
      <c r="E226" s="117"/>
      <c r="F226" s="117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</row>
    <row r="227" spans="1:23" ht="19.5" customHeight="1" x14ac:dyDescent="0.2">
      <c r="A227" s="116"/>
      <c r="B227" s="116"/>
      <c r="C227" s="116"/>
      <c r="D227" s="117"/>
      <c r="E227" s="117"/>
      <c r="F227" s="117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</row>
    <row r="228" spans="1:23" ht="19.5" customHeight="1" x14ac:dyDescent="0.2">
      <c r="A228" s="116"/>
      <c r="B228" s="116"/>
      <c r="C228" s="116"/>
      <c r="D228" s="117"/>
      <c r="E228" s="117"/>
      <c r="F228" s="117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</row>
    <row r="229" spans="1:23" ht="19.5" customHeight="1" x14ac:dyDescent="0.2">
      <c r="A229" s="116"/>
      <c r="B229" s="116"/>
      <c r="C229" s="116"/>
      <c r="D229" s="117"/>
      <c r="E229" s="117"/>
      <c r="F229" s="117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</row>
    <row r="230" spans="1:23" ht="19.5" customHeight="1" x14ac:dyDescent="0.2">
      <c r="A230" s="116"/>
      <c r="B230" s="116"/>
      <c r="C230" s="116"/>
      <c r="D230" s="117"/>
      <c r="E230" s="117"/>
      <c r="F230" s="117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</row>
    <row r="231" spans="1:23" ht="19.5" customHeight="1" x14ac:dyDescent="0.2">
      <c r="A231" s="116"/>
      <c r="B231" s="116"/>
      <c r="C231" s="116"/>
      <c r="D231" s="117"/>
      <c r="E231" s="117"/>
      <c r="F231" s="117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</row>
    <row r="232" spans="1:23" ht="19.5" customHeight="1" x14ac:dyDescent="0.2">
      <c r="A232" s="116"/>
      <c r="B232" s="116"/>
      <c r="C232" s="116"/>
      <c r="D232" s="117"/>
      <c r="E232" s="117"/>
      <c r="F232" s="117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</row>
    <row r="233" spans="1:23" ht="19.5" customHeight="1" x14ac:dyDescent="0.2">
      <c r="A233" s="116"/>
      <c r="B233" s="116"/>
      <c r="C233" s="116"/>
      <c r="D233" s="117"/>
      <c r="E233" s="117"/>
      <c r="F233" s="117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</row>
    <row r="234" spans="1:23" ht="19.5" customHeight="1" x14ac:dyDescent="0.2">
      <c r="A234" s="116"/>
      <c r="B234" s="116"/>
      <c r="C234" s="116"/>
      <c r="D234" s="117"/>
      <c r="E234" s="117"/>
      <c r="F234" s="117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</row>
    <row r="235" spans="1:23" ht="19.5" customHeight="1" x14ac:dyDescent="0.2">
      <c r="A235" s="116"/>
      <c r="B235" s="116"/>
      <c r="C235" s="116"/>
      <c r="D235" s="117"/>
      <c r="E235" s="117"/>
      <c r="F235" s="117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</row>
    <row r="236" spans="1:23" ht="19.5" customHeight="1" x14ac:dyDescent="0.2">
      <c r="A236" s="116"/>
      <c r="B236" s="116"/>
      <c r="C236" s="116"/>
      <c r="D236" s="117"/>
      <c r="E236" s="117"/>
      <c r="F236" s="117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</row>
    <row r="237" spans="1:23" ht="19.5" customHeight="1" x14ac:dyDescent="0.2">
      <c r="A237" s="116"/>
      <c r="B237" s="116"/>
      <c r="C237" s="116"/>
      <c r="D237" s="117"/>
      <c r="E237" s="117"/>
      <c r="F237" s="117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</row>
    <row r="238" spans="1:23" ht="19.5" customHeight="1" x14ac:dyDescent="0.2">
      <c r="A238" s="116"/>
      <c r="B238" s="116"/>
      <c r="C238" s="116"/>
      <c r="D238" s="117"/>
      <c r="E238" s="117"/>
      <c r="F238" s="117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</row>
    <row r="239" spans="1:23" ht="19.5" customHeight="1" x14ac:dyDescent="0.2">
      <c r="A239" s="116"/>
      <c r="B239" s="116"/>
      <c r="C239" s="116"/>
      <c r="D239" s="117"/>
      <c r="E239" s="117"/>
      <c r="F239" s="117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</row>
    <row r="240" spans="1:23" ht="19.5" customHeight="1" x14ac:dyDescent="0.2">
      <c r="A240" s="116"/>
      <c r="B240" s="116"/>
      <c r="C240" s="116"/>
      <c r="D240" s="117"/>
      <c r="E240" s="117"/>
      <c r="F240" s="117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</row>
    <row r="241" spans="1:23" ht="19.5" customHeight="1" x14ac:dyDescent="0.2">
      <c r="A241" s="116"/>
      <c r="B241" s="116"/>
      <c r="C241" s="116"/>
      <c r="D241" s="117"/>
      <c r="E241" s="117"/>
      <c r="F241" s="117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</row>
    <row r="242" spans="1:23" ht="19.5" customHeight="1" x14ac:dyDescent="0.2">
      <c r="A242" s="116"/>
      <c r="B242" s="116"/>
      <c r="C242" s="116"/>
      <c r="D242" s="117"/>
      <c r="E242" s="117"/>
      <c r="F242" s="117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</row>
    <row r="243" spans="1:23" ht="19.5" customHeight="1" x14ac:dyDescent="0.2">
      <c r="A243" s="116"/>
      <c r="B243" s="116"/>
      <c r="C243" s="116"/>
      <c r="D243" s="117"/>
      <c r="E243" s="117"/>
      <c r="F243" s="117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</row>
    <row r="244" spans="1:23" ht="19.5" customHeight="1" x14ac:dyDescent="0.2">
      <c r="A244" s="116"/>
      <c r="B244" s="116"/>
      <c r="C244" s="116"/>
      <c r="D244" s="117"/>
      <c r="E244" s="117"/>
      <c r="F244" s="117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</row>
    <row r="245" spans="1:23" ht="19.5" customHeight="1" x14ac:dyDescent="0.2">
      <c r="A245" s="116"/>
      <c r="B245" s="116"/>
      <c r="C245" s="116"/>
      <c r="D245" s="117"/>
      <c r="E245" s="117"/>
      <c r="F245" s="117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</row>
    <row r="246" spans="1:23" ht="19.5" customHeight="1" x14ac:dyDescent="0.2">
      <c r="A246" s="116"/>
      <c r="B246" s="116"/>
      <c r="C246" s="116"/>
      <c r="D246" s="117"/>
      <c r="E246" s="117"/>
      <c r="F246" s="117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</row>
    <row r="247" spans="1:23" ht="19.5" customHeight="1" x14ac:dyDescent="0.2">
      <c r="A247" s="116"/>
      <c r="B247" s="116"/>
      <c r="C247" s="116"/>
      <c r="D247" s="117"/>
      <c r="E247" s="117"/>
      <c r="F247" s="117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</row>
    <row r="248" spans="1:23" ht="19.5" customHeight="1" x14ac:dyDescent="0.2">
      <c r="A248" s="116"/>
      <c r="B248" s="116"/>
      <c r="C248" s="116"/>
      <c r="D248" s="117"/>
      <c r="E248" s="117"/>
      <c r="F248" s="117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</row>
    <row r="249" spans="1:23" ht="19.5" customHeight="1" x14ac:dyDescent="0.2">
      <c r="A249" s="116"/>
      <c r="B249" s="116"/>
      <c r="C249" s="116"/>
      <c r="D249" s="117"/>
      <c r="E249" s="117"/>
      <c r="F249" s="117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</row>
    <row r="250" spans="1:23" ht="19.5" customHeight="1" x14ac:dyDescent="0.2">
      <c r="A250" s="116"/>
      <c r="B250" s="116"/>
      <c r="C250" s="116"/>
      <c r="D250" s="117"/>
      <c r="E250" s="117"/>
      <c r="F250" s="117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</row>
    <row r="251" spans="1:23" ht="19.5" customHeight="1" x14ac:dyDescent="0.2">
      <c r="A251" s="116"/>
      <c r="B251" s="116"/>
      <c r="C251" s="116"/>
      <c r="D251" s="117"/>
      <c r="E251" s="117"/>
      <c r="F251" s="117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</row>
    <row r="252" spans="1:23" ht="19.5" customHeight="1" x14ac:dyDescent="0.2">
      <c r="A252" s="116"/>
      <c r="B252" s="116"/>
      <c r="C252" s="116"/>
      <c r="D252" s="117"/>
      <c r="E252" s="117"/>
      <c r="F252" s="117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</row>
    <row r="253" spans="1:23" ht="19.5" customHeight="1" x14ac:dyDescent="0.2">
      <c r="A253" s="116"/>
      <c r="B253" s="116"/>
      <c r="C253" s="116"/>
      <c r="D253" s="117"/>
      <c r="E253" s="117"/>
      <c r="F253" s="117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</row>
    <row r="254" spans="1:23" ht="19.5" customHeight="1" x14ac:dyDescent="0.2">
      <c r="A254" s="116"/>
      <c r="B254" s="116"/>
      <c r="C254" s="116"/>
      <c r="D254" s="117"/>
      <c r="E254" s="117"/>
      <c r="F254" s="117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</row>
    <row r="255" spans="1:23" ht="19.5" customHeight="1" x14ac:dyDescent="0.2">
      <c r="A255" s="116"/>
      <c r="B255" s="116"/>
      <c r="C255" s="116"/>
      <c r="D255" s="117"/>
      <c r="E255" s="117"/>
      <c r="F255" s="117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</row>
    <row r="256" spans="1:23" ht="19.5" customHeight="1" x14ac:dyDescent="0.2">
      <c r="A256" s="116"/>
      <c r="B256" s="116"/>
      <c r="C256" s="116"/>
      <c r="D256" s="117"/>
      <c r="E256" s="117"/>
      <c r="F256" s="117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</row>
    <row r="257" spans="1:23" ht="19.5" customHeight="1" x14ac:dyDescent="0.2">
      <c r="A257" s="116"/>
      <c r="B257" s="116"/>
      <c r="C257" s="116"/>
      <c r="D257" s="117"/>
      <c r="E257" s="117"/>
      <c r="F257" s="117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</row>
    <row r="258" spans="1:23" ht="19.5" customHeight="1" x14ac:dyDescent="0.2">
      <c r="A258" s="116"/>
      <c r="B258" s="116"/>
      <c r="C258" s="116"/>
      <c r="D258" s="117"/>
      <c r="E258" s="117"/>
      <c r="F258" s="117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</row>
    <row r="259" spans="1:23" ht="19.5" customHeight="1" x14ac:dyDescent="0.2">
      <c r="A259" s="116"/>
      <c r="B259" s="116"/>
      <c r="C259" s="116"/>
      <c r="D259" s="117"/>
      <c r="E259" s="117"/>
      <c r="F259" s="117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</row>
    <row r="260" spans="1:23" ht="19.5" customHeight="1" x14ac:dyDescent="0.2">
      <c r="A260" s="116"/>
      <c r="B260" s="116"/>
      <c r="C260" s="116"/>
      <c r="D260" s="117"/>
      <c r="E260" s="117"/>
      <c r="F260" s="117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</row>
    <row r="261" spans="1:23" ht="19.5" customHeight="1" x14ac:dyDescent="0.2">
      <c r="A261" s="116"/>
      <c r="B261" s="116"/>
      <c r="C261" s="116"/>
      <c r="D261" s="117"/>
      <c r="E261" s="117"/>
      <c r="F261" s="117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</row>
    <row r="262" spans="1:23" ht="19.5" customHeight="1" x14ac:dyDescent="0.2">
      <c r="A262" s="116"/>
      <c r="B262" s="116"/>
      <c r="C262" s="116"/>
      <c r="D262" s="117"/>
      <c r="E262" s="117"/>
      <c r="F262" s="117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</row>
    <row r="263" spans="1:23" ht="19.5" customHeight="1" x14ac:dyDescent="0.2">
      <c r="A263" s="116"/>
      <c r="B263" s="116"/>
      <c r="C263" s="116"/>
      <c r="D263" s="117"/>
      <c r="E263" s="117"/>
      <c r="F263" s="117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</row>
    <row r="264" spans="1:23" ht="19.5" customHeight="1" x14ac:dyDescent="0.2">
      <c r="A264" s="116"/>
      <c r="B264" s="116"/>
      <c r="C264" s="116"/>
      <c r="D264" s="117"/>
      <c r="E264" s="117"/>
      <c r="F264" s="117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</row>
    <row r="265" spans="1:23" ht="19.5" customHeight="1" x14ac:dyDescent="0.2">
      <c r="A265" s="116"/>
      <c r="B265" s="116"/>
      <c r="C265" s="116"/>
      <c r="D265" s="117"/>
      <c r="E265" s="117"/>
      <c r="F265" s="117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</row>
    <row r="266" spans="1:23" ht="19.5" customHeight="1" x14ac:dyDescent="0.2">
      <c r="A266" s="116"/>
      <c r="B266" s="116"/>
      <c r="C266" s="116"/>
      <c r="D266" s="117"/>
      <c r="E266" s="117"/>
      <c r="F266" s="117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</row>
    <row r="267" spans="1:23" ht="19.5" customHeight="1" x14ac:dyDescent="0.2">
      <c r="A267" s="116"/>
      <c r="B267" s="116"/>
      <c r="C267" s="116"/>
      <c r="D267" s="117"/>
      <c r="E267" s="117"/>
      <c r="F267" s="117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</row>
    <row r="268" spans="1:23" ht="19.5" customHeight="1" x14ac:dyDescent="0.2">
      <c r="A268" s="116"/>
      <c r="B268" s="116"/>
      <c r="C268" s="116"/>
      <c r="D268" s="117"/>
      <c r="E268" s="117"/>
      <c r="F268" s="117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</row>
    <row r="269" spans="1:23" ht="19.5" customHeight="1" x14ac:dyDescent="0.2">
      <c r="A269" s="116"/>
      <c r="B269" s="116"/>
      <c r="C269" s="116"/>
      <c r="D269" s="117"/>
      <c r="E269" s="117"/>
      <c r="F269" s="117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</row>
    <row r="270" spans="1:23" ht="19.5" customHeight="1" x14ac:dyDescent="0.2">
      <c r="A270" s="116"/>
      <c r="B270" s="116"/>
      <c r="C270" s="116"/>
      <c r="D270" s="117"/>
      <c r="E270" s="117"/>
      <c r="F270" s="117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</row>
    <row r="271" spans="1:23" ht="19.5" customHeight="1" x14ac:dyDescent="0.2">
      <c r="A271" s="116"/>
      <c r="B271" s="116"/>
      <c r="C271" s="116"/>
      <c r="D271" s="117"/>
      <c r="E271" s="117"/>
      <c r="F271" s="117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</row>
    <row r="272" spans="1:23" ht="19.5" customHeight="1" x14ac:dyDescent="0.2">
      <c r="A272" s="116"/>
      <c r="B272" s="116"/>
      <c r="C272" s="116"/>
      <c r="D272" s="117"/>
      <c r="E272" s="117"/>
      <c r="F272" s="117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</row>
    <row r="273" spans="1:23" ht="19.5" customHeight="1" x14ac:dyDescent="0.2">
      <c r="A273" s="116"/>
      <c r="B273" s="116"/>
      <c r="C273" s="116"/>
      <c r="D273" s="117"/>
      <c r="E273" s="117"/>
      <c r="F273" s="117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</row>
    <row r="274" spans="1:23" ht="19.5" customHeight="1" x14ac:dyDescent="0.2">
      <c r="A274" s="116"/>
      <c r="B274" s="116"/>
      <c r="C274" s="116"/>
      <c r="D274" s="117"/>
      <c r="E274" s="117"/>
      <c r="F274" s="117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</row>
    <row r="275" spans="1:23" ht="19.5" customHeight="1" x14ac:dyDescent="0.2">
      <c r="A275" s="116"/>
      <c r="B275" s="116"/>
      <c r="C275" s="116"/>
      <c r="D275" s="117"/>
      <c r="E275" s="117"/>
      <c r="F275" s="117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</row>
    <row r="276" spans="1:23" ht="19.5" customHeight="1" x14ac:dyDescent="0.2">
      <c r="A276" s="116"/>
      <c r="B276" s="116"/>
      <c r="C276" s="116"/>
      <c r="D276" s="117"/>
      <c r="E276" s="117"/>
      <c r="F276" s="117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</row>
    <row r="277" spans="1:23" ht="19.5" customHeight="1" x14ac:dyDescent="0.2">
      <c r="A277" s="116"/>
      <c r="B277" s="116"/>
      <c r="C277" s="116"/>
      <c r="D277" s="117"/>
      <c r="E277" s="117"/>
      <c r="F277" s="117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</row>
    <row r="278" spans="1:23" ht="19.5" customHeight="1" x14ac:dyDescent="0.2">
      <c r="A278" s="116"/>
      <c r="B278" s="116"/>
      <c r="C278" s="116"/>
      <c r="D278" s="117"/>
      <c r="E278" s="117"/>
      <c r="F278" s="117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</row>
    <row r="279" spans="1:23" ht="19.5" customHeight="1" x14ac:dyDescent="0.2">
      <c r="A279" s="116"/>
      <c r="B279" s="116"/>
      <c r="C279" s="116"/>
      <c r="D279" s="117"/>
      <c r="E279" s="117"/>
      <c r="F279" s="117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</row>
    <row r="280" spans="1:23" ht="19.5" customHeight="1" x14ac:dyDescent="0.2">
      <c r="A280" s="116"/>
      <c r="B280" s="116"/>
      <c r="C280" s="116"/>
      <c r="D280" s="117"/>
      <c r="E280" s="117"/>
      <c r="F280" s="117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</row>
    <row r="281" spans="1:23" ht="19.5" customHeight="1" x14ac:dyDescent="0.2">
      <c r="A281" s="116"/>
      <c r="B281" s="116"/>
      <c r="C281" s="116"/>
      <c r="D281" s="117"/>
      <c r="E281" s="117"/>
      <c r="F281" s="117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</row>
    <row r="282" spans="1:23" ht="19.5" customHeight="1" x14ac:dyDescent="0.2">
      <c r="A282" s="116"/>
      <c r="B282" s="116"/>
      <c r="C282" s="116"/>
      <c r="D282" s="117"/>
      <c r="E282" s="117"/>
      <c r="F282" s="117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</row>
    <row r="283" spans="1:23" ht="19.5" customHeight="1" x14ac:dyDescent="0.2">
      <c r="A283" s="116"/>
      <c r="B283" s="116"/>
      <c r="C283" s="116"/>
      <c r="D283" s="117"/>
      <c r="E283" s="117"/>
      <c r="F283" s="117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</row>
    <row r="284" spans="1:23" ht="19.5" customHeight="1" x14ac:dyDescent="0.2">
      <c r="A284" s="116"/>
      <c r="B284" s="116"/>
      <c r="C284" s="116"/>
      <c r="D284" s="117"/>
      <c r="E284" s="117"/>
      <c r="F284" s="117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</row>
    <row r="285" spans="1:23" ht="19.5" customHeight="1" x14ac:dyDescent="0.2">
      <c r="A285" s="116"/>
      <c r="B285" s="116"/>
      <c r="C285" s="116"/>
      <c r="D285" s="117"/>
      <c r="E285" s="117"/>
      <c r="F285" s="117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</row>
    <row r="286" spans="1:23" ht="19.5" customHeight="1" x14ac:dyDescent="0.2">
      <c r="A286" s="116"/>
      <c r="B286" s="116"/>
      <c r="C286" s="116"/>
      <c r="D286" s="117"/>
      <c r="E286" s="117"/>
      <c r="F286" s="117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</row>
    <row r="287" spans="1:23" ht="19.5" customHeight="1" x14ac:dyDescent="0.2">
      <c r="A287" s="116"/>
      <c r="B287" s="116"/>
      <c r="C287" s="116"/>
      <c r="D287" s="117"/>
      <c r="E287" s="117"/>
      <c r="F287" s="117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</row>
    <row r="288" spans="1:23" ht="19.5" customHeight="1" x14ac:dyDescent="0.2">
      <c r="A288" s="116"/>
      <c r="B288" s="116"/>
      <c r="C288" s="116"/>
      <c r="D288" s="117"/>
      <c r="E288" s="117"/>
      <c r="F288" s="117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</row>
    <row r="289" spans="1:23" ht="19.5" customHeight="1" x14ac:dyDescent="0.2">
      <c r="A289" s="116"/>
      <c r="B289" s="116"/>
      <c r="C289" s="116"/>
      <c r="D289" s="117"/>
      <c r="E289" s="117"/>
      <c r="F289" s="117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</row>
    <row r="290" spans="1:23" ht="19.5" customHeight="1" x14ac:dyDescent="0.2">
      <c r="A290" s="116"/>
      <c r="B290" s="116"/>
      <c r="C290" s="116"/>
      <c r="D290" s="117"/>
      <c r="E290" s="117"/>
      <c r="F290" s="117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</row>
    <row r="291" spans="1:23" ht="19.5" customHeight="1" x14ac:dyDescent="0.2">
      <c r="A291" s="116"/>
      <c r="B291" s="116"/>
      <c r="C291" s="116"/>
      <c r="D291" s="117"/>
      <c r="E291" s="117"/>
      <c r="F291" s="117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</row>
    <row r="292" spans="1:23" ht="19.5" customHeight="1" x14ac:dyDescent="0.2">
      <c r="A292" s="116"/>
      <c r="B292" s="116"/>
      <c r="C292" s="116"/>
      <c r="D292" s="117"/>
      <c r="E292" s="117"/>
      <c r="F292" s="117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</row>
    <row r="293" spans="1:23" ht="19.5" customHeight="1" x14ac:dyDescent="0.2">
      <c r="A293" s="116"/>
      <c r="B293" s="116"/>
      <c r="C293" s="116"/>
      <c r="D293" s="117"/>
      <c r="E293" s="117"/>
      <c r="F293" s="117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</row>
    <row r="294" spans="1:23" ht="19.5" customHeight="1" x14ac:dyDescent="0.2">
      <c r="A294" s="116"/>
      <c r="B294" s="116"/>
      <c r="C294" s="116"/>
      <c r="D294" s="117"/>
      <c r="E294" s="117"/>
      <c r="F294" s="117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</row>
    <row r="295" spans="1:23" ht="19.5" customHeight="1" x14ac:dyDescent="0.2">
      <c r="A295" s="116"/>
      <c r="B295" s="116"/>
      <c r="C295" s="116"/>
      <c r="D295" s="117"/>
      <c r="E295" s="117"/>
      <c r="F295" s="117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</row>
    <row r="296" spans="1:23" ht="19.5" customHeight="1" x14ac:dyDescent="0.2">
      <c r="A296" s="116"/>
      <c r="B296" s="116"/>
      <c r="C296" s="116"/>
      <c r="D296" s="117"/>
      <c r="E296" s="117"/>
      <c r="F296" s="117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</row>
    <row r="297" spans="1:23" ht="19.5" customHeight="1" x14ac:dyDescent="0.2">
      <c r="A297" s="116"/>
      <c r="B297" s="116"/>
      <c r="C297" s="116"/>
      <c r="D297" s="117"/>
      <c r="E297" s="117"/>
      <c r="F297" s="117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</row>
    <row r="298" spans="1:23" ht="19.5" customHeight="1" x14ac:dyDescent="0.2">
      <c r="A298" s="116"/>
      <c r="B298" s="116"/>
      <c r="C298" s="116"/>
      <c r="D298" s="117"/>
      <c r="E298" s="117"/>
      <c r="F298" s="117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</row>
    <row r="299" spans="1:23" ht="19.5" customHeight="1" x14ac:dyDescent="0.2">
      <c r="A299" s="116"/>
      <c r="B299" s="116"/>
      <c r="C299" s="116"/>
      <c r="D299" s="117"/>
      <c r="E299" s="117"/>
      <c r="F299" s="117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</row>
    <row r="300" spans="1:23" ht="19.5" customHeight="1" x14ac:dyDescent="0.2">
      <c r="A300" s="116"/>
      <c r="B300" s="116"/>
      <c r="C300" s="116"/>
      <c r="D300" s="117"/>
      <c r="E300" s="117"/>
      <c r="F300" s="117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</row>
    <row r="301" spans="1:23" ht="19.5" customHeight="1" x14ac:dyDescent="0.2">
      <c r="A301" s="116"/>
      <c r="B301" s="116"/>
      <c r="C301" s="116"/>
      <c r="D301" s="117"/>
      <c r="E301" s="117"/>
      <c r="F301" s="117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</row>
    <row r="302" spans="1:23" ht="19.5" customHeight="1" x14ac:dyDescent="0.2">
      <c r="A302" s="116"/>
      <c r="B302" s="116"/>
      <c r="C302" s="116"/>
      <c r="D302" s="117"/>
      <c r="E302" s="117"/>
      <c r="F302" s="117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</row>
    <row r="303" spans="1:23" ht="19.5" customHeight="1" x14ac:dyDescent="0.2">
      <c r="A303" s="116"/>
      <c r="B303" s="116"/>
      <c r="C303" s="116"/>
      <c r="D303" s="117"/>
      <c r="E303" s="117"/>
      <c r="F303" s="117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</row>
    <row r="304" spans="1:23" ht="19.5" customHeight="1" x14ac:dyDescent="0.2">
      <c r="A304" s="116"/>
      <c r="B304" s="116"/>
      <c r="C304" s="116"/>
      <c r="D304" s="117"/>
      <c r="E304" s="117"/>
      <c r="F304" s="117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</row>
    <row r="305" spans="1:23" ht="19.5" customHeight="1" x14ac:dyDescent="0.2">
      <c r="A305" s="116"/>
      <c r="B305" s="116"/>
      <c r="C305" s="116"/>
      <c r="D305" s="117"/>
      <c r="E305" s="117"/>
      <c r="F305" s="117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</row>
    <row r="306" spans="1:23" ht="19.5" customHeight="1" x14ac:dyDescent="0.2">
      <c r="A306" s="116"/>
      <c r="B306" s="116"/>
      <c r="C306" s="116"/>
      <c r="D306" s="117"/>
      <c r="E306" s="117"/>
      <c r="F306" s="117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</row>
    <row r="307" spans="1:23" ht="19.5" customHeight="1" x14ac:dyDescent="0.2">
      <c r="A307" s="116"/>
      <c r="B307" s="116"/>
      <c r="C307" s="116"/>
      <c r="D307" s="117"/>
      <c r="E307" s="117"/>
      <c r="F307" s="117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</row>
    <row r="308" spans="1:23" ht="19.5" customHeight="1" x14ac:dyDescent="0.2">
      <c r="A308" s="116"/>
      <c r="B308" s="116"/>
      <c r="C308" s="116"/>
      <c r="D308" s="117"/>
      <c r="E308" s="117"/>
      <c r="F308" s="117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</row>
    <row r="309" spans="1:23" ht="19.5" customHeight="1" x14ac:dyDescent="0.2">
      <c r="A309" s="116"/>
      <c r="B309" s="116"/>
      <c r="C309" s="116"/>
      <c r="D309" s="117"/>
      <c r="E309" s="117"/>
      <c r="F309" s="117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</row>
    <row r="310" spans="1:23" ht="19.5" customHeight="1" x14ac:dyDescent="0.2">
      <c r="A310" s="116"/>
      <c r="B310" s="116"/>
      <c r="C310" s="116"/>
      <c r="D310" s="117"/>
      <c r="E310" s="117"/>
      <c r="F310" s="117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</row>
    <row r="311" spans="1:23" ht="19.5" customHeight="1" x14ac:dyDescent="0.2">
      <c r="A311" s="116"/>
      <c r="B311" s="116"/>
      <c r="C311" s="116"/>
      <c r="D311" s="117"/>
      <c r="E311" s="117"/>
      <c r="F311" s="117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</row>
    <row r="312" spans="1:23" ht="19.5" customHeight="1" x14ac:dyDescent="0.2">
      <c r="A312" s="116"/>
      <c r="B312" s="116"/>
      <c r="C312" s="116"/>
      <c r="D312" s="117"/>
      <c r="E312" s="117"/>
      <c r="F312" s="117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</row>
    <row r="313" spans="1:23" ht="19.5" customHeight="1" x14ac:dyDescent="0.2">
      <c r="A313" s="116"/>
      <c r="B313" s="116"/>
      <c r="C313" s="116"/>
      <c r="D313" s="117"/>
      <c r="E313" s="117"/>
      <c r="F313" s="117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</row>
    <row r="314" spans="1:23" ht="19.5" customHeight="1" x14ac:dyDescent="0.2">
      <c r="A314" s="116"/>
      <c r="B314" s="116"/>
      <c r="C314" s="116"/>
      <c r="D314" s="117"/>
      <c r="E314" s="117"/>
      <c r="F314" s="117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</row>
    <row r="315" spans="1:23" ht="19.5" customHeight="1" x14ac:dyDescent="0.2">
      <c r="A315" s="116"/>
      <c r="B315" s="116"/>
      <c r="C315" s="116"/>
      <c r="D315" s="117"/>
      <c r="E315" s="117"/>
      <c r="F315" s="117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</row>
    <row r="316" spans="1:23" ht="19.5" customHeight="1" x14ac:dyDescent="0.2">
      <c r="A316" s="116"/>
      <c r="B316" s="116"/>
      <c r="C316" s="116"/>
      <c r="D316" s="117"/>
      <c r="E316" s="117"/>
      <c r="F316" s="117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</row>
    <row r="317" spans="1:23" ht="19.5" customHeight="1" x14ac:dyDescent="0.2">
      <c r="A317" s="116"/>
      <c r="B317" s="116"/>
      <c r="C317" s="116"/>
      <c r="D317" s="117"/>
      <c r="E317" s="117"/>
      <c r="F317" s="117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</row>
    <row r="318" spans="1:23" ht="19.5" customHeight="1" x14ac:dyDescent="0.2">
      <c r="A318" s="116"/>
      <c r="B318" s="116"/>
      <c r="C318" s="116"/>
      <c r="D318" s="117"/>
      <c r="E318" s="117"/>
      <c r="F318" s="117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</row>
    <row r="319" spans="1:23" ht="19.5" customHeight="1" x14ac:dyDescent="0.2">
      <c r="A319" s="116"/>
      <c r="B319" s="116"/>
      <c r="C319" s="116"/>
      <c r="D319" s="117"/>
      <c r="E319" s="117"/>
      <c r="F319" s="117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</row>
    <row r="320" spans="1:23" ht="19.5" customHeight="1" x14ac:dyDescent="0.2">
      <c r="A320" s="116"/>
      <c r="B320" s="116"/>
      <c r="C320" s="116"/>
      <c r="D320" s="117"/>
      <c r="E320" s="117"/>
      <c r="F320" s="117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</row>
    <row r="321" spans="1:23" ht="19.5" customHeight="1" x14ac:dyDescent="0.2">
      <c r="A321" s="116"/>
      <c r="B321" s="116"/>
      <c r="C321" s="116"/>
      <c r="D321" s="117"/>
      <c r="E321" s="117"/>
      <c r="F321" s="117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</row>
    <row r="322" spans="1:23" ht="19.5" customHeight="1" x14ac:dyDescent="0.2">
      <c r="A322" s="116"/>
      <c r="B322" s="116"/>
      <c r="C322" s="116"/>
      <c r="D322" s="117"/>
      <c r="E322" s="117"/>
      <c r="F322" s="117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</row>
    <row r="323" spans="1:23" ht="19.5" customHeight="1" x14ac:dyDescent="0.2">
      <c r="A323" s="116"/>
      <c r="B323" s="116"/>
      <c r="C323" s="116"/>
      <c r="D323" s="117"/>
      <c r="E323" s="117"/>
      <c r="F323" s="117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</row>
    <row r="324" spans="1:23" ht="19.5" customHeight="1" x14ac:dyDescent="0.2">
      <c r="A324" s="116"/>
      <c r="B324" s="116"/>
      <c r="C324" s="116"/>
      <c r="D324" s="117"/>
      <c r="E324" s="117"/>
      <c r="F324" s="117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</row>
    <row r="325" spans="1:23" ht="19.5" customHeight="1" x14ac:dyDescent="0.2">
      <c r="A325" s="116"/>
      <c r="B325" s="116"/>
      <c r="C325" s="116"/>
      <c r="D325" s="117"/>
      <c r="E325" s="117"/>
      <c r="F325" s="117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</row>
    <row r="326" spans="1:23" ht="19.5" customHeight="1" x14ac:dyDescent="0.2">
      <c r="A326" s="116"/>
      <c r="B326" s="116"/>
      <c r="C326" s="116"/>
      <c r="D326" s="117"/>
      <c r="E326" s="117"/>
      <c r="F326" s="117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</row>
    <row r="327" spans="1:23" ht="19.5" customHeight="1" x14ac:dyDescent="0.2">
      <c r="A327" s="116"/>
      <c r="B327" s="116"/>
      <c r="C327" s="116"/>
      <c r="D327" s="117"/>
      <c r="E327" s="117"/>
      <c r="F327" s="117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</row>
    <row r="328" spans="1:23" ht="19.5" customHeight="1" x14ac:dyDescent="0.2">
      <c r="A328" s="116"/>
      <c r="B328" s="116"/>
      <c r="C328" s="116"/>
      <c r="D328" s="117"/>
      <c r="E328" s="117"/>
      <c r="F328" s="117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</row>
    <row r="329" spans="1:23" ht="19.5" customHeight="1" x14ac:dyDescent="0.2">
      <c r="A329" s="116"/>
      <c r="B329" s="116"/>
      <c r="C329" s="116"/>
      <c r="D329" s="117"/>
      <c r="E329" s="117"/>
      <c r="F329" s="117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</row>
    <row r="330" spans="1:23" ht="19.5" customHeight="1" x14ac:dyDescent="0.2">
      <c r="A330" s="116"/>
      <c r="B330" s="116"/>
      <c r="C330" s="116"/>
      <c r="D330" s="117"/>
      <c r="E330" s="117"/>
      <c r="F330" s="117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</row>
    <row r="331" spans="1:23" ht="19.5" customHeight="1" x14ac:dyDescent="0.2">
      <c r="A331" s="116"/>
      <c r="B331" s="116"/>
      <c r="C331" s="116"/>
      <c r="D331" s="117"/>
      <c r="E331" s="117"/>
      <c r="F331" s="117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</row>
    <row r="332" spans="1:23" ht="19.5" customHeight="1" x14ac:dyDescent="0.2">
      <c r="A332" s="116"/>
      <c r="B332" s="116"/>
      <c r="C332" s="116"/>
      <c r="D332" s="117"/>
      <c r="E332" s="117"/>
      <c r="F332" s="117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</row>
    <row r="333" spans="1:23" ht="19.5" customHeight="1" x14ac:dyDescent="0.2">
      <c r="A333" s="116"/>
      <c r="B333" s="116"/>
      <c r="C333" s="116"/>
      <c r="D333" s="117"/>
      <c r="E333" s="117"/>
      <c r="F333" s="117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</row>
    <row r="334" spans="1:23" ht="19.5" customHeight="1" x14ac:dyDescent="0.2">
      <c r="A334" s="116"/>
      <c r="B334" s="116"/>
      <c r="C334" s="116"/>
      <c r="D334" s="117"/>
      <c r="E334" s="117"/>
      <c r="F334" s="117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</row>
    <row r="335" spans="1:23" ht="19.5" customHeight="1" x14ac:dyDescent="0.2">
      <c r="A335" s="116"/>
      <c r="B335" s="116"/>
      <c r="C335" s="116"/>
      <c r="D335" s="117"/>
      <c r="E335" s="117"/>
      <c r="F335" s="117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</row>
    <row r="336" spans="1:23" ht="19.5" customHeight="1" x14ac:dyDescent="0.2">
      <c r="A336" s="116"/>
      <c r="B336" s="116"/>
      <c r="C336" s="116"/>
      <c r="D336" s="117"/>
      <c r="E336" s="117"/>
      <c r="F336" s="117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</row>
    <row r="337" spans="1:23" ht="19.5" customHeight="1" x14ac:dyDescent="0.2">
      <c r="A337" s="116"/>
      <c r="B337" s="116"/>
      <c r="C337" s="116"/>
      <c r="D337" s="117"/>
      <c r="E337" s="117"/>
      <c r="F337" s="117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</row>
    <row r="338" spans="1:23" ht="19.5" customHeight="1" x14ac:dyDescent="0.2">
      <c r="A338" s="116"/>
      <c r="B338" s="116"/>
      <c r="C338" s="116"/>
      <c r="D338" s="117"/>
      <c r="E338" s="117"/>
      <c r="F338" s="117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</row>
    <row r="339" spans="1:23" ht="19.5" customHeight="1" x14ac:dyDescent="0.2">
      <c r="A339" s="116"/>
      <c r="B339" s="116"/>
      <c r="C339" s="116"/>
      <c r="D339" s="117"/>
      <c r="E339" s="117"/>
      <c r="F339" s="117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</row>
    <row r="340" spans="1:23" ht="19.5" customHeight="1" x14ac:dyDescent="0.2">
      <c r="A340" s="116"/>
      <c r="B340" s="116"/>
      <c r="C340" s="116"/>
      <c r="D340" s="117"/>
      <c r="E340" s="117"/>
      <c r="F340" s="117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</row>
    <row r="341" spans="1:23" ht="19.5" customHeight="1" x14ac:dyDescent="0.2">
      <c r="A341" s="116"/>
      <c r="B341" s="116"/>
      <c r="C341" s="116"/>
      <c r="D341" s="117"/>
      <c r="E341" s="117"/>
      <c r="F341" s="117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</row>
    <row r="342" spans="1:23" ht="19.5" customHeight="1" x14ac:dyDescent="0.2">
      <c r="A342" s="116"/>
      <c r="B342" s="116"/>
      <c r="C342" s="116"/>
      <c r="D342" s="117"/>
      <c r="E342" s="117"/>
      <c r="F342" s="117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</row>
    <row r="343" spans="1:23" ht="19.5" customHeight="1" x14ac:dyDescent="0.2">
      <c r="A343" s="116"/>
      <c r="B343" s="116"/>
      <c r="C343" s="116"/>
      <c r="D343" s="117"/>
      <c r="E343" s="117"/>
      <c r="F343" s="117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</row>
    <row r="344" spans="1:23" ht="19.5" customHeight="1" x14ac:dyDescent="0.2">
      <c r="A344" s="116"/>
      <c r="B344" s="116"/>
      <c r="C344" s="116"/>
      <c r="D344" s="117"/>
      <c r="E344" s="117"/>
      <c r="F344" s="117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</row>
    <row r="345" spans="1:23" ht="19.5" customHeight="1" x14ac:dyDescent="0.2">
      <c r="A345" s="116"/>
      <c r="B345" s="116"/>
      <c r="C345" s="116"/>
      <c r="D345" s="117"/>
      <c r="E345" s="117"/>
      <c r="F345" s="117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</row>
    <row r="346" spans="1:23" ht="19.5" customHeight="1" x14ac:dyDescent="0.2">
      <c r="A346" s="116"/>
      <c r="B346" s="116"/>
      <c r="C346" s="116"/>
      <c r="D346" s="117"/>
      <c r="E346" s="117"/>
      <c r="F346" s="117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</row>
    <row r="347" spans="1:23" ht="19.5" customHeight="1" x14ac:dyDescent="0.2">
      <c r="A347" s="116"/>
      <c r="B347" s="116"/>
      <c r="C347" s="116"/>
      <c r="D347" s="117"/>
      <c r="E347" s="117"/>
      <c r="F347" s="117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</row>
    <row r="348" spans="1:23" ht="19.5" customHeight="1" x14ac:dyDescent="0.2">
      <c r="A348" s="116"/>
      <c r="B348" s="116"/>
      <c r="C348" s="116"/>
      <c r="D348" s="117"/>
      <c r="E348" s="117"/>
      <c r="F348" s="117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</row>
    <row r="349" spans="1:23" ht="19.5" customHeight="1" x14ac:dyDescent="0.2">
      <c r="A349" s="116"/>
      <c r="B349" s="116"/>
      <c r="C349" s="116"/>
      <c r="D349" s="117"/>
      <c r="E349" s="117"/>
      <c r="F349" s="117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</row>
    <row r="350" spans="1:23" ht="19.5" customHeight="1" x14ac:dyDescent="0.2">
      <c r="A350" s="116"/>
      <c r="B350" s="116"/>
      <c r="C350" s="116"/>
      <c r="D350" s="117"/>
      <c r="E350" s="117"/>
      <c r="F350" s="117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</row>
    <row r="351" spans="1:23" ht="19.5" customHeight="1" x14ac:dyDescent="0.2">
      <c r="A351" s="116"/>
      <c r="B351" s="116"/>
      <c r="C351" s="116"/>
      <c r="D351" s="117"/>
      <c r="E351" s="117"/>
      <c r="F351" s="117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</row>
    <row r="352" spans="1:23" ht="19.5" customHeight="1" x14ac:dyDescent="0.2">
      <c r="A352" s="116"/>
      <c r="B352" s="116"/>
      <c r="C352" s="116"/>
      <c r="D352" s="117"/>
      <c r="E352" s="117"/>
      <c r="F352" s="117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</row>
    <row r="353" spans="1:23" ht="19.5" customHeight="1" x14ac:dyDescent="0.2">
      <c r="A353" s="116"/>
      <c r="B353" s="116"/>
      <c r="C353" s="116"/>
      <c r="D353" s="117"/>
      <c r="E353" s="117"/>
      <c r="F353" s="117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</row>
    <row r="354" spans="1:23" ht="19.5" customHeight="1" x14ac:dyDescent="0.2">
      <c r="A354" s="116"/>
      <c r="B354" s="116"/>
      <c r="C354" s="116"/>
      <c r="D354" s="117"/>
      <c r="E354" s="117"/>
      <c r="F354" s="117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</row>
    <row r="355" spans="1:23" ht="19.5" customHeight="1" x14ac:dyDescent="0.2">
      <c r="A355" s="116"/>
      <c r="B355" s="116"/>
      <c r="C355" s="116"/>
      <c r="D355" s="117"/>
      <c r="E355" s="117"/>
      <c r="F355" s="117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</row>
    <row r="356" spans="1:23" ht="19.5" customHeight="1" x14ac:dyDescent="0.2">
      <c r="A356" s="116"/>
      <c r="B356" s="116"/>
      <c r="C356" s="116"/>
      <c r="D356" s="117"/>
      <c r="E356" s="117"/>
      <c r="F356" s="117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</row>
    <row r="357" spans="1:23" ht="19.5" customHeight="1" x14ac:dyDescent="0.2">
      <c r="A357" s="116"/>
      <c r="B357" s="116"/>
      <c r="C357" s="116"/>
      <c r="D357" s="117"/>
      <c r="E357" s="117"/>
      <c r="F357" s="117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</row>
    <row r="358" spans="1:23" ht="19.5" customHeight="1" x14ac:dyDescent="0.2">
      <c r="A358" s="116"/>
      <c r="B358" s="116"/>
      <c r="C358" s="116"/>
      <c r="D358" s="117"/>
      <c r="E358" s="117"/>
      <c r="F358" s="117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</row>
    <row r="359" spans="1:23" ht="19.5" customHeight="1" x14ac:dyDescent="0.2">
      <c r="A359" s="116"/>
      <c r="B359" s="116"/>
      <c r="C359" s="116"/>
      <c r="D359" s="117"/>
      <c r="E359" s="117"/>
      <c r="F359" s="117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</row>
    <row r="360" spans="1:23" ht="19.5" customHeight="1" x14ac:dyDescent="0.2">
      <c r="A360" s="116"/>
      <c r="B360" s="116"/>
      <c r="C360" s="116"/>
      <c r="D360" s="117"/>
      <c r="E360" s="117"/>
      <c r="F360" s="117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</row>
    <row r="361" spans="1:23" ht="19.5" customHeight="1" x14ac:dyDescent="0.2">
      <c r="A361" s="116"/>
      <c r="B361" s="116"/>
      <c r="C361" s="116"/>
      <c r="D361" s="117"/>
      <c r="E361" s="117"/>
      <c r="F361" s="117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</row>
    <row r="362" spans="1:23" ht="19.5" customHeight="1" x14ac:dyDescent="0.2">
      <c r="A362" s="116"/>
      <c r="B362" s="116"/>
      <c r="C362" s="116"/>
      <c r="D362" s="117"/>
      <c r="E362" s="117"/>
      <c r="F362" s="117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</row>
    <row r="363" spans="1:23" ht="19.5" customHeight="1" x14ac:dyDescent="0.2">
      <c r="A363" s="116"/>
      <c r="B363" s="116"/>
      <c r="C363" s="116"/>
      <c r="D363" s="117"/>
      <c r="E363" s="117"/>
      <c r="F363" s="117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</row>
    <row r="364" spans="1:23" ht="19.5" customHeight="1" x14ac:dyDescent="0.2">
      <c r="A364" s="116"/>
      <c r="B364" s="116"/>
      <c r="C364" s="116"/>
      <c r="D364" s="117"/>
      <c r="E364" s="117"/>
      <c r="F364" s="117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</row>
    <row r="365" spans="1:23" ht="19.5" customHeight="1" x14ac:dyDescent="0.2">
      <c r="A365" s="116"/>
      <c r="B365" s="116"/>
      <c r="C365" s="116"/>
      <c r="D365" s="117"/>
      <c r="E365" s="117"/>
      <c r="F365" s="117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</row>
    <row r="366" spans="1:23" ht="19.5" customHeight="1" x14ac:dyDescent="0.2">
      <c r="A366" s="116"/>
      <c r="B366" s="116"/>
      <c r="C366" s="116"/>
      <c r="D366" s="117"/>
      <c r="E366" s="117"/>
      <c r="F366" s="117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</row>
    <row r="367" spans="1:23" ht="19.5" customHeight="1" x14ac:dyDescent="0.2">
      <c r="A367" s="116"/>
      <c r="B367" s="116"/>
      <c r="C367" s="116"/>
      <c r="D367" s="117"/>
      <c r="E367" s="117"/>
      <c r="F367" s="117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</row>
    <row r="368" spans="1:23" ht="19.5" customHeight="1" x14ac:dyDescent="0.2">
      <c r="A368" s="116"/>
      <c r="B368" s="116"/>
      <c r="C368" s="116"/>
      <c r="D368" s="117"/>
      <c r="E368" s="117"/>
      <c r="F368" s="117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</row>
    <row r="369" spans="1:23" ht="19.5" customHeight="1" x14ac:dyDescent="0.2">
      <c r="A369" s="116"/>
      <c r="B369" s="116"/>
      <c r="C369" s="116"/>
      <c r="D369" s="117"/>
      <c r="E369" s="117"/>
      <c r="F369" s="117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</row>
    <row r="370" spans="1:23" ht="19.5" customHeight="1" x14ac:dyDescent="0.2">
      <c r="A370" s="116"/>
      <c r="B370" s="116"/>
      <c r="C370" s="116"/>
      <c r="D370" s="117"/>
      <c r="E370" s="117"/>
      <c r="F370" s="117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</row>
    <row r="371" spans="1:23" ht="19.5" customHeight="1" x14ac:dyDescent="0.2">
      <c r="A371" s="116"/>
      <c r="B371" s="116"/>
      <c r="C371" s="116"/>
      <c r="D371" s="117"/>
      <c r="E371" s="117"/>
      <c r="F371" s="117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</row>
    <row r="372" spans="1:23" ht="19.5" customHeight="1" x14ac:dyDescent="0.2">
      <c r="A372" s="116"/>
      <c r="B372" s="116"/>
      <c r="C372" s="116"/>
      <c r="D372" s="117"/>
      <c r="E372" s="117"/>
      <c r="F372" s="117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</row>
    <row r="373" spans="1:23" ht="19.5" customHeight="1" x14ac:dyDescent="0.2">
      <c r="A373" s="116"/>
      <c r="B373" s="116"/>
      <c r="C373" s="116"/>
      <c r="D373" s="117"/>
      <c r="E373" s="117"/>
      <c r="F373" s="117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</row>
    <row r="374" spans="1:23" ht="19.5" customHeight="1" x14ac:dyDescent="0.2">
      <c r="A374" s="116"/>
      <c r="B374" s="116"/>
      <c r="C374" s="116"/>
      <c r="D374" s="117"/>
      <c r="E374" s="117"/>
      <c r="F374" s="117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</row>
    <row r="375" spans="1:23" ht="19.5" customHeight="1" x14ac:dyDescent="0.2">
      <c r="A375" s="116"/>
      <c r="B375" s="116"/>
      <c r="C375" s="116"/>
      <c r="D375" s="117"/>
      <c r="E375" s="117"/>
      <c r="F375" s="117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</row>
    <row r="376" spans="1:23" ht="19.5" customHeight="1" x14ac:dyDescent="0.2">
      <c r="A376" s="116"/>
      <c r="B376" s="116"/>
      <c r="C376" s="116"/>
      <c r="D376" s="117"/>
      <c r="E376" s="117"/>
      <c r="F376" s="117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</row>
    <row r="377" spans="1:23" ht="19.5" customHeight="1" x14ac:dyDescent="0.2">
      <c r="A377" s="116"/>
      <c r="B377" s="116"/>
      <c r="C377" s="116"/>
      <c r="D377" s="117"/>
      <c r="E377" s="117"/>
      <c r="F377" s="117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</row>
    <row r="378" spans="1:23" ht="19.5" customHeight="1" x14ac:dyDescent="0.2">
      <c r="A378" s="116"/>
      <c r="B378" s="116"/>
      <c r="C378" s="116"/>
      <c r="D378" s="117"/>
      <c r="E378" s="117"/>
      <c r="F378" s="117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</row>
    <row r="379" spans="1:23" ht="19.5" customHeight="1" x14ac:dyDescent="0.2">
      <c r="A379" s="116"/>
      <c r="B379" s="116"/>
      <c r="C379" s="116"/>
      <c r="D379" s="117"/>
      <c r="E379" s="117"/>
      <c r="F379" s="117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</row>
    <row r="380" spans="1:23" ht="19.5" customHeight="1" x14ac:dyDescent="0.2">
      <c r="A380" s="116"/>
      <c r="B380" s="116"/>
      <c r="C380" s="116"/>
      <c r="D380" s="117"/>
      <c r="E380" s="117"/>
      <c r="F380" s="117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</row>
    <row r="381" spans="1:23" ht="19.5" customHeight="1" x14ac:dyDescent="0.2">
      <c r="A381" s="116"/>
      <c r="B381" s="116"/>
      <c r="C381" s="116"/>
      <c r="D381" s="117"/>
      <c r="E381" s="117"/>
      <c r="F381" s="117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</row>
    <row r="382" spans="1:23" ht="19.5" customHeight="1" x14ac:dyDescent="0.2">
      <c r="A382" s="116"/>
      <c r="B382" s="116"/>
      <c r="C382" s="116"/>
      <c r="D382" s="117"/>
      <c r="E382" s="117"/>
      <c r="F382" s="117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</row>
    <row r="383" spans="1:23" ht="19.5" customHeight="1" x14ac:dyDescent="0.2">
      <c r="A383" s="116"/>
      <c r="B383" s="116"/>
      <c r="C383" s="116"/>
      <c r="D383" s="117"/>
      <c r="E383" s="117"/>
      <c r="F383" s="117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</row>
    <row r="384" spans="1:23" ht="19.5" customHeight="1" x14ac:dyDescent="0.2">
      <c r="A384" s="116"/>
      <c r="B384" s="116"/>
      <c r="C384" s="116"/>
      <c r="D384" s="117"/>
      <c r="E384" s="117"/>
      <c r="F384" s="117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</row>
    <row r="385" spans="1:23" ht="19.5" customHeight="1" x14ac:dyDescent="0.2">
      <c r="A385" s="116"/>
      <c r="B385" s="116"/>
      <c r="C385" s="116"/>
      <c r="D385" s="117"/>
      <c r="E385" s="117"/>
      <c r="F385" s="117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</row>
    <row r="386" spans="1:23" ht="19.5" customHeight="1" x14ac:dyDescent="0.2">
      <c r="A386" s="116"/>
      <c r="B386" s="116"/>
      <c r="C386" s="116"/>
      <c r="D386" s="117"/>
      <c r="E386" s="117"/>
      <c r="F386" s="117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</row>
    <row r="387" spans="1:23" ht="19.5" customHeight="1" x14ac:dyDescent="0.2">
      <c r="A387" s="116"/>
      <c r="B387" s="116"/>
      <c r="C387" s="116"/>
      <c r="D387" s="117"/>
      <c r="E387" s="117"/>
      <c r="F387" s="117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</row>
    <row r="388" spans="1:23" ht="19.5" customHeight="1" x14ac:dyDescent="0.2">
      <c r="A388" s="116"/>
      <c r="B388" s="116"/>
      <c r="C388" s="116"/>
      <c r="D388" s="117"/>
      <c r="E388" s="117"/>
      <c r="F388" s="117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</row>
    <row r="389" spans="1:23" ht="19.5" customHeight="1" x14ac:dyDescent="0.2">
      <c r="A389" s="116"/>
      <c r="B389" s="116"/>
      <c r="C389" s="116"/>
      <c r="D389" s="117"/>
      <c r="E389" s="117"/>
      <c r="F389" s="117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</row>
    <row r="390" spans="1:23" ht="19.5" customHeight="1" x14ac:dyDescent="0.2">
      <c r="A390" s="116"/>
      <c r="B390" s="116"/>
      <c r="C390" s="116"/>
      <c r="D390" s="117"/>
      <c r="E390" s="117"/>
      <c r="F390" s="117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</row>
    <row r="391" spans="1:23" ht="19.5" customHeight="1" x14ac:dyDescent="0.2">
      <c r="A391" s="116"/>
      <c r="B391" s="116"/>
      <c r="C391" s="116"/>
      <c r="D391" s="117"/>
      <c r="E391" s="117"/>
      <c r="F391" s="117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</row>
    <row r="392" spans="1:23" ht="19.5" customHeight="1" x14ac:dyDescent="0.2">
      <c r="A392" s="116"/>
      <c r="B392" s="116"/>
      <c r="C392" s="116"/>
      <c r="D392" s="117"/>
      <c r="E392" s="117"/>
      <c r="F392" s="117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</row>
    <row r="393" spans="1:23" ht="19.5" customHeight="1" x14ac:dyDescent="0.2">
      <c r="A393" s="116"/>
      <c r="B393" s="116"/>
      <c r="C393" s="116"/>
      <c r="D393" s="117"/>
      <c r="E393" s="117"/>
      <c r="F393" s="117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</row>
    <row r="394" spans="1:23" ht="19.5" customHeight="1" x14ac:dyDescent="0.2">
      <c r="A394" s="116"/>
      <c r="B394" s="116"/>
      <c r="C394" s="116"/>
      <c r="D394" s="117"/>
      <c r="E394" s="117"/>
      <c r="F394" s="117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</row>
    <row r="395" spans="1:23" ht="19.5" customHeight="1" x14ac:dyDescent="0.2">
      <c r="A395" s="116"/>
      <c r="B395" s="116"/>
      <c r="C395" s="116"/>
      <c r="D395" s="117"/>
      <c r="E395" s="117"/>
      <c r="F395" s="117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</row>
    <row r="396" spans="1:23" ht="19.5" customHeight="1" x14ac:dyDescent="0.2">
      <c r="A396" s="116"/>
      <c r="B396" s="116"/>
      <c r="C396" s="116"/>
      <c r="D396" s="117"/>
      <c r="E396" s="117"/>
      <c r="F396" s="117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</row>
    <row r="397" spans="1:23" ht="19.5" customHeight="1" x14ac:dyDescent="0.2">
      <c r="A397" s="116"/>
      <c r="B397" s="116"/>
      <c r="C397" s="116"/>
      <c r="D397" s="117"/>
      <c r="E397" s="117"/>
      <c r="F397" s="117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</row>
    <row r="398" spans="1:23" ht="19.5" customHeight="1" x14ac:dyDescent="0.2">
      <c r="A398" s="116"/>
      <c r="B398" s="116"/>
      <c r="C398" s="116"/>
      <c r="D398" s="117"/>
      <c r="E398" s="117"/>
      <c r="F398" s="117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</row>
    <row r="399" spans="1:23" ht="19.5" customHeight="1" x14ac:dyDescent="0.2">
      <c r="A399" s="116"/>
      <c r="B399" s="116"/>
      <c r="C399" s="116"/>
      <c r="D399" s="117"/>
      <c r="E399" s="117"/>
      <c r="F399" s="117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</row>
    <row r="400" spans="1:23" ht="19.5" customHeight="1" x14ac:dyDescent="0.2">
      <c r="A400" s="116"/>
      <c r="B400" s="116"/>
      <c r="C400" s="116"/>
      <c r="D400" s="117"/>
      <c r="E400" s="117"/>
      <c r="F400" s="117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</row>
    <row r="401" spans="1:23" ht="19.5" customHeight="1" x14ac:dyDescent="0.2">
      <c r="A401" s="116"/>
      <c r="B401" s="116"/>
      <c r="C401" s="116"/>
      <c r="D401" s="117"/>
      <c r="E401" s="117"/>
      <c r="F401" s="117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</row>
    <row r="402" spans="1:23" ht="19.5" customHeight="1" x14ac:dyDescent="0.2">
      <c r="A402" s="116"/>
      <c r="B402" s="116"/>
      <c r="C402" s="116"/>
      <c r="D402" s="117"/>
      <c r="E402" s="117"/>
      <c r="F402" s="117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</row>
    <row r="403" spans="1:23" ht="19.5" customHeight="1" x14ac:dyDescent="0.2">
      <c r="A403" s="116"/>
      <c r="B403" s="116"/>
      <c r="C403" s="116"/>
      <c r="D403" s="117"/>
      <c r="E403" s="117"/>
      <c r="F403" s="117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</row>
    <row r="404" spans="1:23" ht="19.5" customHeight="1" x14ac:dyDescent="0.2">
      <c r="A404" s="116"/>
      <c r="B404" s="116"/>
      <c r="C404" s="116"/>
      <c r="D404" s="117"/>
      <c r="E404" s="117"/>
      <c r="F404" s="117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</row>
    <row r="405" spans="1:23" ht="19.5" customHeight="1" x14ac:dyDescent="0.2">
      <c r="A405" s="116"/>
      <c r="B405" s="116"/>
      <c r="C405" s="116"/>
      <c r="D405" s="117"/>
      <c r="E405" s="117"/>
      <c r="F405" s="117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</row>
    <row r="406" spans="1:23" ht="19.5" customHeight="1" x14ac:dyDescent="0.2">
      <c r="A406" s="116"/>
      <c r="B406" s="116"/>
      <c r="C406" s="116"/>
      <c r="D406" s="117"/>
      <c r="E406" s="117"/>
      <c r="F406" s="117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</row>
    <row r="407" spans="1:23" ht="19.5" customHeight="1" x14ac:dyDescent="0.2">
      <c r="A407" s="116"/>
      <c r="B407" s="116"/>
      <c r="C407" s="116"/>
      <c r="D407" s="117"/>
      <c r="E407" s="117"/>
      <c r="F407" s="117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</row>
    <row r="408" spans="1:23" ht="19.5" customHeight="1" x14ac:dyDescent="0.2">
      <c r="A408" s="116"/>
      <c r="B408" s="116"/>
      <c r="C408" s="116"/>
      <c r="D408" s="117"/>
      <c r="E408" s="117"/>
      <c r="F408" s="117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</row>
    <row r="409" spans="1:23" ht="19.5" customHeight="1" x14ac:dyDescent="0.2">
      <c r="A409" s="116"/>
      <c r="B409" s="116"/>
      <c r="C409" s="116"/>
      <c r="D409" s="117"/>
      <c r="E409" s="117"/>
      <c r="F409" s="117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</row>
    <row r="410" spans="1:23" ht="19.5" customHeight="1" x14ac:dyDescent="0.2">
      <c r="A410" s="116"/>
      <c r="B410" s="116"/>
      <c r="C410" s="116"/>
      <c r="D410" s="117"/>
      <c r="E410" s="117"/>
      <c r="F410" s="117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</row>
    <row r="411" spans="1:23" ht="19.5" customHeight="1" x14ac:dyDescent="0.2">
      <c r="A411" s="116"/>
      <c r="B411" s="116"/>
      <c r="C411" s="116"/>
      <c r="D411" s="117"/>
      <c r="E411" s="117"/>
      <c r="F411" s="117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</row>
    <row r="412" spans="1:23" ht="19.5" customHeight="1" x14ac:dyDescent="0.2">
      <c r="A412" s="116"/>
      <c r="B412" s="116"/>
      <c r="C412" s="116"/>
      <c r="D412" s="117"/>
      <c r="E412" s="117"/>
      <c r="F412" s="117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</row>
    <row r="413" spans="1:23" ht="19.5" customHeight="1" x14ac:dyDescent="0.2">
      <c r="A413" s="116"/>
      <c r="B413" s="116"/>
      <c r="C413" s="116"/>
      <c r="D413" s="117"/>
      <c r="E413" s="117"/>
      <c r="F413" s="117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</row>
    <row r="414" spans="1:23" ht="19.5" customHeight="1" x14ac:dyDescent="0.2">
      <c r="A414" s="116"/>
      <c r="B414" s="116"/>
      <c r="C414" s="116"/>
      <c r="D414" s="117"/>
      <c r="E414" s="117"/>
      <c r="F414" s="117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</row>
    <row r="415" spans="1:23" ht="19.5" customHeight="1" x14ac:dyDescent="0.2">
      <c r="A415" s="116"/>
      <c r="B415" s="116"/>
      <c r="C415" s="116"/>
      <c r="D415" s="117"/>
      <c r="E415" s="117"/>
      <c r="F415" s="117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</row>
    <row r="416" spans="1:23" ht="19.5" customHeight="1" x14ac:dyDescent="0.2">
      <c r="A416" s="116"/>
      <c r="B416" s="116"/>
      <c r="C416" s="116"/>
      <c r="D416" s="117"/>
      <c r="E416" s="117"/>
      <c r="F416" s="117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</row>
    <row r="417" spans="1:23" ht="19.5" customHeight="1" x14ac:dyDescent="0.2">
      <c r="A417" s="116"/>
      <c r="B417" s="116"/>
      <c r="C417" s="116"/>
      <c r="D417" s="117"/>
      <c r="E417" s="117"/>
      <c r="F417" s="117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</row>
    <row r="418" spans="1:23" ht="19.5" customHeight="1" x14ac:dyDescent="0.2">
      <c r="A418" s="116"/>
      <c r="B418" s="116"/>
      <c r="C418" s="116"/>
      <c r="D418" s="117"/>
      <c r="E418" s="117"/>
      <c r="F418" s="117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</row>
    <row r="419" spans="1:23" ht="19.5" customHeight="1" x14ac:dyDescent="0.2">
      <c r="A419" s="116"/>
      <c r="B419" s="116"/>
      <c r="C419" s="116"/>
      <c r="D419" s="117"/>
      <c r="E419" s="117"/>
      <c r="F419" s="117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</row>
    <row r="420" spans="1:23" ht="19.5" customHeight="1" x14ac:dyDescent="0.2">
      <c r="A420" s="116"/>
      <c r="B420" s="116"/>
      <c r="C420" s="116"/>
      <c r="D420" s="117"/>
      <c r="E420" s="117"/>
      <c r="F420" s="117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</row>
    <row r="421" spans="1:23" ht="19.5" customHeight="1" x14ac:dyDescent="0.2">
      <c r="A421" s="116"/>
      <c r="B421" s="116"/>
      <c r="C421" s="116"/>
      <c r="D421" s="117"/>
      <c r="E421" s="117"/>
      <c r="F421" s="117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</row>
    <row r="422" spans="1:23" ht="19.5" customHeight="1" x14ac:dyDescent="0.2">
      <c r="A422" s="116"/>
      <c r="B422" s="116"/>
      <c r="C422" s="116"/>
      <c r="D422" s="117"/>
      <c r="E422" s="117"/>
      <c r="F422" s="117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</row>
    <row r="423" spans="1:23" ht="19.5" customHeight="1" x14ac:dyDescent="0.2">
      <c r="A423" s="116"/>
      <c r="B423" s="116"/>
      <c r="C423" s="116"/>
      <c r="D423" s="117"/>
      <c r="E423" s="117"/>
      <c r="F423" s="117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</row>
    <row r="424" spans="1:23" ht="19.5" customHeight="1" x14ac:dyDescent="0.2">
      <c r="A424" s="116"/>
      <c r="B424" s="116"/>
      <c r="C424" s="116"/>
      <c r="D424" s="117"/>
      <c r="E424" s="117"/>
      <c r="F424" s="117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</row>
    <row r="425" spans="1:23" ht="19.5" customHeight="1" x14ac:dyDescent="0.2">
      <c r="A425" s="116"/>
      <c r="B425" s="116"/>
      <c r="C425" s="116"/>
      <c r="D425" s="117"/>
      <c r="E425" s="117"/>
      <c r="F425" s="117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</row>
    <row r="426" spans="1:23" ht="19.5" customHeight="1" x14ac:dyDescent="0.2">
      <c r="A426" s="116"/>
      <c r="B426" s="116"/>
      <c r="C426" s="116"/>
      <c r="D426" s="117"/>
      <c r="E426" s="117"/>
      <c r="F426" s="11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</row>
    <row r="427" spans="1:23" ht="19.5" customHeight="1" x14ac:dyDescent="0.2">
      <c r="A427" s="116"/>
      <c r="B427" s="116"/>
      <c r="C427" s="116"/>
      <c r="D427" s="117"/>
      <c r="E427" s="117"/>
      <c r="F427" s="11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</row>
    <row r="428" spans="1:23" ht="19.5" customHeight="1" x14ac:dyDescent="0.2">
      <c r="A428" s="116"/>
      <c r="B428" s="116"/>
      <c r="C428" s="116"/>
      <c r="D428" s="117"/>
      <c r="E428" s="117"/>
      <c r="F428" s="11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</row>
    <row r="429" spans="1:23" ht="19.5" customHeight="1" x14ac:dyDescent="0.2">
      <c r="A429" s="116"/>
      <c r="B429" s="116"/>
      <c r="C429" s="116"/>
      <c r="D429" s="117"/>
      <c r="E429" s="117"/>
      <c r="F429" s="11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</row>
    <row r="430" spans="1:23" ht="19.5" customHeight="1" x14ac:dyDescent="0.2">
      <c r="A430" s="116"/>
      <c r="B430" s="116"/>
      <c r="C430" s="116"/>
      <c r="D430" s="117"/>
      <c r="E430" s="117"/>
      <c r="F430" s="11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</row>
    <row r="431" spans="1:23" ht="19.5" customHeight="1" x14ac:dyDescent="0.2">
      <c r="A431" s="116"/>
      <c r="B431" s="116"/>
      <c r="C431" s="116"/>
      <c r="D431" s="117"/>
      <c r="E431" s="117"/>
      <c r="F431" s="11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</row>
    <row r="432" spans="1:23" ht="19.5" customHeight="1" x14ac:dyDescent="0.2">
      <c r="A432" s="116"/>
      <c r="B432" s="116"/>
      <c r="C432" s="116"/>
      <c r="D432" s="117"/>
      <c r="E432" s="117"/>
      <c r="F432" s="11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</row>
    <row r="433" spans="1:23" ht="19.5" customHeight="1" x14ac:dyDescent="0.2">
      <c r="A433" s="116"/>
      <c r="B433" s="116"/>
      <c r="C433" s="116"/>
      <c r="D433" s="117"/>
      <c r="E433" s="117"/>
      <c r="F433" s="11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</row>
    <row r="434" spans="1:23" ht="19.5" customHeight="1" x14ac:dyDescent="0.2">
      <c r="A434" s="116"/>
      <c r="B434" s="116"/>
      <c r="C434" s="116"/>
      <c r="D434" s="117"/>
      <c r="E434" s="117"/>
      <c r="F434" s="11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</row>
    <row r="435" spans="1:23" ht="19.5" customHeight="1" x14ac:dyDescent="0.2">
      <c r="A435" s="116"/>
      <c r="B435" s="116"/>
      <c r="C435" s="116"/>
      <c r="D435" s="117"/>
      <c r="E435" s="117"/>
      <c r="F435" s="11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</row>
    <row r="436" spans="1:23" ht="19.5" customHeight="1" x14ac:dyDescent="0.2">
      <c r="A436" s="116"/>
      <c r="B436" s="116"/>
      <c r="C436" s="116"/>
      <c r="D436" s="117"/>
      <c r="E436" s="117"/>
      <c r="F436" s="11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</row>
    <row r="437" spans="1:23" ht="19.5" customHeight="1" x14ac:dyDescent="0.2">
      <c r="A437" s="116"/>
      <c r="B437" s="116"/>
      <c r="C437" s="116"/>
      <c r="D437" s="117"/>
      <c r="E437" s="117"/>
      <c r="F437" s="11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</row>
    <row r="438" spans="1:23" ht="19.5" customHeight="1" x14ac:dyDescent="0.2">
      <c r="A438" s="116"/>
      <c r="B438" s="116"/>
      <c r="C438" s="116"/>
      <c r="D438" s="117"/>
      <c r="E438" s="117"/>
      <c r="F438" s="11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</row>
    <row r="439" spans="1:23" ht="19.5" customHeight="1" x14ac:dyDescent="0.2">
      <c r="A439" s="116"/>
      <c r="B439" s="116"/>
      <c r="C439" s="116"/>
      <c r="D439" s="117"/>
      <c r="E439" s="117"/>
      <c r="F439" s="11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</row>
    <row r="440" spans="1:23" ht="19.5" customHeight="1" x14ac:dyDescent="0.2">
      <c r="A440" s="116"/>
      <c r="B440" s="116"/>
      <c r="C440" s="116"/>
      <c r="D440" s="117"/>
      <c r="E440" s="117"/>
      <c r="F440" s="11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</row>
    <row r="441" spans="1:23" ht="19.5" customHeight="1" x14ac:dyDescent="0.2">
      <c r="A441" s="116"/>
      <c r="B441" s="116"/>
      <c r="C441" s="116"/>
      <c r="D441" s="117"/>
      <c r="E441" s="117"/>
      <c r="F441" s="11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</row>
    <row r="442" spans="1:23" ht="19.5" customHeight="1" x14ac:dyDescent="0.2">
      <c r="A442" s="116"/>
      <c r="B442" s="116"/>
      <c r="C442" s="116"/>
      <c r="D442" s="117"/>
      <c r="E442" s="117"/>
      <c r="F442" s="11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</row>
    <row r="443" spans="1:23" ht="19.5" customHeight="1" x14ac:dyDescent="0.2">
      <c r="A443" s="116"/>
      <c r="B443" s="116"/>
      <c r="C443" s="116"/>
      <c r="D443" s="117"/>
      <c r="E443" s="117"/>
      <c r="F443" s="11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</row>
    <row r="444" spans="1:23" ht="19.5" customHeight="1" x14ac:dyDescent="0.2">
      <c r="A444" s="116"/>
      <c r="B444" s="116"/>
      <c r="C444" s="116"/>
      <c r="D444" s="117"/>
      <c r="E444" s="117"/>
      <c r="F444" s="11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</row>
    <row r="445" spans="1:23" ht="19.5" customHeight="1" x14ac:dyDescent="0.2">
      <c r="A445" s="116"/>
      <c r="B445" s="116"/>
      <c r="C445" s="116"/>
      <c r="D445" s="117"/>
      <c r="E445" s="117"/>
      <c r="F445" s="11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</row>
    <row r="446" spans="1:23" ht="19.5" customHeight="1" x14ac:dyDescent="0.2">
      <c r="A446" s="116"/>
      <c r="B446" s="116"/>
      <c r="C446" s="116"/>
      <c r="D446" s="117"/>
      <c r="E446" s="117"/>
      <c r="F446" s="11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</row>
    <row r="447" spans="1:23" ht="19.5" customHeight="1" x14ac:dyDescent="0.2">
      <c r="A447" s="116"/>
      <c r="B447" s="116"/>
      <c r="C447" s="116"/>
      <c r="D447" s="117"/>
      <c r="E447" s="117"/>
      <c r="F447" s="11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</row>
    <row r="448" spans="1:23" ht="19.5" customHeight="1" x14ac:dyDescent="0.2">
      <c r="A448" s="116"/>
      <c r="B448" s="116"/>
      <c r="C448" s="116"/>
      <c r="D448" s="117"/>
      <c r="E448" s="117"/>
      <c r="F448" s="11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</row>
    <row r="449" spans="1:23" ht="19.5" customHeight="1" x14ac:dyDescent="0.2">
      <c r="A449" s="116"/>
      <c r="B449" s="116"/>
      <c r="C449" s="116"/>
      <c r="D449" s="117"/>
      <c r="E449" s="117"/>
      <c r="F449" s="11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</row>
    <row r="450" spans="1:23" ht="19.5" customHeight="1" x14ac:dyDescent="0.2">
      <c r="A450" s="116"/>
      <c r="B450" s="116"/>
      <c r="C450" s="116"/>
      <c r="D450" s="117"/>
      <c r="E450" s="117"/>
      <c r="F450" s="11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</row>
    <row r="451" spans="1:23" ht="19.5" customHeight="1" x14ac:dyDescent="0.2">
      <c r="A451" s="116"/>
      <c r="B451" s="116"/>
      <c r="C451" s="116"/>
      <c r="D451" s="117"/>
      <c r="E451" s="117"/>
      <c r="F451" s="11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</row>
    <row r="452" spans="1:23" ht="19.5" customHeight="1" x14ac:dyDescent="0.2">
      <c r="A452" s="116"/>
      <c r="B452" s="116"/>
      <c r="C452" s="116"/>
      <c r="D452" s="117"/>
      <c r="E452" s="117"/>
      <c r="F452" s="11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</row>
    <row r="453" spans="1:23" ht="19.5" customHeight="1" x14ac:dyDescent="0.2">
      <c r="A453" s="116"/>
      <c r="B453" s="116"/>
      <c r="C453" s="116"/>
      <c r="D453" s="117"/>
      <c r="E453" s="117"/>
      <c r="F453" s="11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</row>
    <row r="454" spans="1:23" ht="19.5" customHeight="1" x14ac:dyDescent="0.2">
      <c r="A454" s="116"/>
      <c r="B454" s="116"/>
      <c r="C454" s="116"/>
      <c r="D454" s="117"/>
      <c r="E454" s="117"/>
      <c r="F454" s="11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</row>
    <row r="455" spans="1:23" ht="19.5" customHeight="1" x14ac:dyDescent="0.2">
      <c r="A455" s="116"/>
      <c r="B455" s="116"/>
      <c r="C455" s="116"/>
      <c r="D455" s="117"/>
      <c r="E455" s="117"/>
      <c r="F455" s="11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</row>
    <row r="456" spans="1:23" ht="19.5" customHeight="1" x14ac:dyDescent="0.2">
      <c r="A456" s="116"/>
      <c r="B456" s="116"/>
      <c r="C456" s="116"/>
      <c r="D456" s="117"/>
      <c r="E456" s="117"/>
      <c r="F456" s="11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</row>
    <row r="457" spans="1:23" ht="19.5" customHeight="1" x14ac:dyDescent="0.2">
      <c r="A457" s="116"/>
      <c r="B457" s="116"/>
      <c r="C457" s="116"/>
      <c r="D457" s="117"/>
      <c r="E457" s="117"/>
      <c r="F457" s="11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</row>
    <row r="458" spans="1:23" ht="19.5" customHeight="1" x14ac:dyDescent="0.2">
      <c r="A458" s="116"/>
      <c r="B458" s="116"/>
      <c r="C458" s="116"/>
      <c r="D458" s="117"/>
      <c r="E458" s="117"/>
      <c r="F458" s="11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</row>
    <row r="459" spans="1:23" ht="19.5" customHeight="1" x14ac:dyDescent="0.2">
      <c r="A459" s="116"/>
      <c r="B459" s="116"/>
      <c r="C459" s="116"/>
      <c r="D459" s="117"/>
      <c r="E459" s="117"/>
      <c r="F459" s="11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</row>
    <row r="460" spans="1:23" ht="19.5" customHeight="1" x14ac:dyDescent="0.2">
      <c r="A460" s="116"/>
      <c r="B460" s="116"/>
      <c r="C460" s="116"/>
      <c r="D460" s="117"/>
      <c r="E460" s="117"/>
      <c r="F460" s="11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</row>
    <row r="461" spans="1:23" ht="19.5" customHeight="1" x14ac:dyDescent="0.2">
      <c r="A461" s="116"/>
      <c r="B461" s="116"/>
      <c r="C461" s="116"/>
      <c r="D461" s="117"/>
      <c r="E461" s="117"/>
      <c r="F461" s="11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</row>
    <row r="462" spans="1:23" ht="19.5" customHeight="1" x14ac:dyDescent="0.2">
      <c r="A462" s="116"/>
      <c r="B462" s="116"/>
      <c r="C462" s="116"/>
      <c r="D462" s="117"/>
      <c r="E462" s="117"/>
      <c r="F462" s="11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</row>
    <row r="463" spans="1:23" ht="19.5" customHeight="1" x14ac:dyDescent="0.2">
      <c r="A463" s="116"/>
      <c r="B463" s="116"/>
      <c r="C463" s="116"/>
      <c r="D463" s="117"/>
      <c r="E463" s="117"/>
      <c r="F463" s="11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</row>
    <row r="464" spans="1:23" ht="19.5" customHeight="1" x14ac:dyDescent="0.2">
      <c r="A464" s="116"/>
      <c r="B464" s="116"/>
      <c r="C464" s="116"/>
      <c r="D464" s="117"/>
      <c r="E464" s="117"/>
      <c r="F464" s="11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</row>
    <row r="465" spans="1:23" ht="19.5" customHeight="1" x14ac:dyDescent="0.2">
      <c r="A465" s="116"/>
      <c r="B465" s="116"/>
      <c r="C465" s="116"/>
      <c r="D465" s="117"/>
      <c r="E465" s="117"/>
      <c r="F465" s="11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</row>
    <row r="466" spans="1:23" ht="19.5" customHeight="1" x14ac:dyDescent="0.2">
      <c r="A466" s="116"/>
      <c r="B466" s="116"/>
      <c r="C466" s="116"/>
      <c r="D466" s="117"/>
      <c r="E466" s="117"/>
      <c r="F466" s="11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</row>
    <row r="467" spans="1:23" ht="19.5" customHeight="1" x14ac:dyDescent="0.2">
      <c r="A467" s="116"/>
      <c r="B467" s="116"/>
      <c r="C467" s="116"/>
      <c r="D467" s="117"/>
      <c r="E467" s="117"/>
      <c r="F467" s="11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</row>
    <row r="468" spans="1:23" ht="19.5" customHeight="1" x14ac:dyDescent="0.2">
      <c r="A468" s="116"/>
      <c r="B468" s="116"/>
      <c r="C468" s="116"/>
      <c r="D468" s="117"/>
      <c r="E468" s="117"/>
      <c r="F468" s="11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</row>
    <row r="469" spans="1:23" ht="19.5" customHeight="1" x14ac:dyDescent="0.2">
      <c r="A469" s="116"/>
      <c r="B469" s="116"/>
      <c r="C469" s="116"/>
      <c r="D469" s="117"/>
      <c r="E469" s="117"/>
      <c r="F469" s="11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</row>
    <row r="470" spans="1:23" ht="19.5" customHeight="1" x14ac:dyDescent="0.2">
      <c r="A470" s="116"/>
      <c r="B470" s="116"/>
      <c r="C470" s="116"/>
      <c r="D470" s="117"/>
      <c r="E470" s="117"/>
      <c r="F470" s="11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</row>
    <row r="471" spans="1:23" ht="19.5" customHeight="1" x14ac:dyDescent="0.2">
      <c r="A471" s="116"/>
      <c r="B471" s="116"/>
      <c r="C471" s="116"/>
      <c r="D471" s="117"/>
      <c r="E471" s="117"/>
      <c r="F471" s="11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</row>
    <row r="472" spans="1:23" ht="19.5" customHeight="1" x14ac:dyDescent="0.2">
      <c r="A472" s="116"/>
      <c r="B472" s="116"/>
      <c r="C472" s="116"/>
      <c r="D472" s="117"/>
      <c r="E472" s="117"/>
      <c r="F472" s="11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</row>
    <row r="473" spans="1:23" ht="19.5" customHeight="1" x14ac:dyDescent="0.2">
      <c r="A473" s="116"/>
      <c r="B473" s="116"/>
      <c r="C473" s="116"/>
      <c r="D473" s="117"/>
      <c r="E473" s="117"/>
      <c r="F473" s="11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</row>
    <row r="474" spans="1:23" ht="19.5" customHeight="1" x14ac:dyDescent="0.2">
      <c r="A474" s="116"/>
      <c r="B474" s="116"/>
      <c r="C474" s="116"/>
      <c r="D474" s="117"/>
      <c r="E474" s="117"/>
      <c r="F474" s="11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</row>
    <row r="475" spans="1:23" ht="19.5" customHeight="1" x14ac:dyDescent="0.2">
      <c r="A475" s="116"/>
      <c r="B475" s="116"/>
      <c r="C475" s="116"/>
      <c r="D475" s="117"/>
      <c r="E475" s="117"/>
      <c r="F475" s="11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</row>
    <row r="476" spans="1:23" ht="19.5" customHeight="1" x14ac:dyDescent="0.2">
      <c r="A476" s="116"/>
      <c r="B476" s="116"/>
      <c r="C476" s="116"/>
      <c r="D476" s="117"/>
      <c r="E476" s="117"/>
      <c r="F476" s="11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</row>
    <row r="477" spans="1:23" ht="19.5" customHeight="1" x14ac:dyDescent="0.2">
      <c r="A477" s="116"/>
      <c r="B477" s="116"/>
      <c r="C477" s="116"/>
      <c r="D477" s="117"/>
      <c r="E477" s="117"/>
      <c r="F477" s="11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</row>
    <row r="478" spans="1:23" ht="19.5" customHeight="1" x14ac:dyDescent="0.2">
      <c r="A478" s="116"/>
      <c r="B478" s="116"/>
      <c r="C478" s="116"/>
      <c r="D478" s="117"/>
      <c r="E478" s="117"/>
      <c r="F478" s="11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</row>
    <row r="479" spans="1:23" ht="19.5" customHeight="1" x14ac:dyDescent="0.2">
      <c r="A479" s="116"/>
      <c r="B479" s="116"/>
      <c r="C479" s="116"/>
      <c r="D479" s="117"/>
      <c r="E479" s="117"/>
      <c r="F479" s="117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</row>
    <row r="480" spans="1:23" ht="19.5" customHeight="1" x14ac:dyDescent="0.2">
      <c r="A480" s="116"/>
      <c r="B480" s="116"/>
      <c r="C480" s="116"/>
      <c r="D480" s="117"/>
      <c r="E480" s="117"/>
      <c r="F480" s="117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</row>
    <row r="481" spans="1:23" ht="19.5" customHeight="1" x14ac:dyDescent="0.2">
      <c r="A481" s="116"/>
      <c r="B481" s="116"/>
      <c r="C481" s="116"/>
      <c r="D481" s="117"/>
      <c r="E481" s="117"/>
      <c r="F481" s="117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</row>
    <row r="482" spans="1:23" ht="19.5" customHeight="1" x14ac:dyDescent="0.2">
      <c r="A482" s="116"/>
      <c r="B482" s="116"/>
      <c r="C482" s="116"/>
      <c r="D482" s="117"/>
      <c r="E482" s="117"/>
      <c r="F482" s="117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</row>
    <row r="483" spans="1:23" ht="19.5" customHeight="1" x14ac:dyDescent="0.2">
      <c r="A483" s="116"/>
      <c r="B483" s="116"/>
      <c r="C483" s="116"/>
      <c r="D483" s="117"/>
      <c r="E483" s="117"/>
      <c r="F483" s="117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</row>
    <row r="484" spans="1:23" ht="19.5" customHeight="1" x14ac:dyDescent="0.2">
      <c r="A484" s="116"/>
      <c r="B484" s="116"/>
      <c r="C484" s="116"/>
      <c r="D484" s="117"/>
      <c r="E484" s="117"/>
      <c r="F484" s="117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</row>
    <row r="485" spans="1:23" ht="19.5" customHeight="1" x14ac:dyDescent="0.2">
      <c r="A485" s="116"/>
      <c r="B485" s="116"/>
      <c r="C485" s="116"/>
      <c r="D485" s="117"/>
      <c r="E485" s="117"/>
      <c r="F485" s="117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</row>
    <row r="486" spans="1:23" ht="19.5" customHeight="1" x14ac:dyDescent="0.2">
      <c r="A486" s="116"/>
      <c r="B486" s="116"/>
      <c r="C486" s="116"/>
      <c r="D486" s="117"/>
      <c r="E486" s="117"/>
      <c r="F486" s="117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</row>
    <row r="487" spans="1:23" ht="19.5" customHeight="1" x14ac:dyDescent="0.2">
      <c r="A487" s="116"/>
      <c r="B487" s="116"/>
      <c r="C487" s="116"/>
      <c r="D487" s="117"/>
      <c r="E487" s="117"/>
      <c r="F487" s="117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</row>
    <row r="488" spans="1:23" ht="19.5" customHeight="1" x14ac:dyDescent="0.2">
      <c r="A488" s="116"/>
      <c r="B488" s="116"/>
      <c r="C488" s="116"/>
      <c r="D488" s="117"/>
      <c r="E488" s="117"/>
      <c r="F488" s="117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</row>
    <row r="489" spans="1:23" ht="19.5" customHeight="1" x14ac:dyDescent="0.2">
      <c r="A489" s="116"/>
      <c r="B489" s="116"/>
      <c r="C489" s="116"/>
      <c r="D489" s="117"/>
      <c r="E489" s="117"/>
      <c r="F489" s="117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</row>
    <row r="490" spans="1:23" ht="19.5" customHeight="1" x14ac:dyDescent="0.2">
      <c r="A490" s="116"/>
      <c r="B490" s="116"/>
      <c r="C490" s="116"/>
      <c r="D490" s="117"/>
      <c r="E490" s="117"/>
      <c r="F490" s="117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</row>
    <row r="491" spans="1:23" ht="19.5" customHeight="1" x14ac:dyDescent="0.2">
      <c r="A491" s="116"/>
      <c r="B491" s="116"/>
      <c r="C491" s="116"/>
      <c r="D491" s="117"/>
      <c r="E491" s="117"/>
      <c r="F491" s="117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</row>
    <row r="492" spans="1:23" ht="19.5" customHeight="1" x14ac:dyDescent="0.2">
      <c r="A492" s="116"/>
      <c r="B492" s="116"/>
      <c r="C492" s="116"/>
      <c r="D492" s="117"/>
      <c r="E492" s="117"/>
      <c r="F492" s="117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</row>
    <row r="493" spans="1:23" ht="19.5" customHeight="1" x14ac:dyDescent="0.2">
      <c r="A493" s="116"/>
      <c r="B493" s="116"/>
      <c r="C493" s="116"/>
      <c r="D493" s="117"/>
      <c r="E493" s="117"/>
      <c r="F493" s="117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</row>
    <row r="494" spans="1:23" ht="19.5" customHeight="1" x14ac:dyDescent="0.2">
      <c r="A494" s="116"/>
      <c r="B494" s="116"/>
      <c r="C494" s="116"/>
      <c r="D494" s="117"/>
      <c r="E494" s="117"/>
      <c r="F494" s="117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</row>
    <row r="495" spans="1:23" ht="19.5" customHeight="1" x14ac:dyDescent="0.2">
      <c r="A495" s="116"/>
      <c r="B495" s="116"/>
      <c r="C495" s="116"/>
      <c r="D495" s="117"/>
      <c r="E495" s="117"/>
      <c r="F495" s="117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</row>
    <row r="496" spans="1:23" ht="19.5" customHeight="1" x14ac:dyDescent="0.2">
      <c r="A496" s="116"/>
      <c r="B496" s="116"/>
      <c r="C496" s="116"/>
      <c r="D496" s="117"/>
      <c r="E496" s="117"/>
      <c r="F496" s="117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</row>
    <row r="497" spans="1:23" ht="19.5" customHeight="1" x14ac:dyDescent="0.2">
      <c r="A497" s="116"/>
      <c r="B497" s="116"/>
      <c r="C497" s="116"/>
      <c r="D497" s="117"/>
      <c r="E497" s="117"/>
      <c r="F497" s="117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</row>
    <row r="498" spans="1:23" ht="19.5" customHeight="1" x14ac:dyDescent="0.2">
      <c r="A498" s="116"/>
      <c r="B498" s="116"/>
      <c r="C498" s="116"/>
      <c r="D498" s="117"/>
      <c r="E498" s="117"/>
      <c r="F498" s="117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</row>
    <row r="499" spans="1:23" ht="19.5" customHeight="1" x14ac:dyDescent="0.2">
      <c r="A499" s="116"/>
      <c r="B499" s="116"/>
      <c r="C499" s="116"/>
      <c r="D499" s="117"/>
      <c r="E499" s="117"/>
      <c r="F499" s="117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</row>
    <row r="500" spans="1:23" ht="19.5" customHeight="1" x14ac:dyDescent="0.2">
      <c r="A500" s="116"/>
      <c r="B500" s="116"/>
      <c r="C500" s="116"/>
      <c r="D500" s="117"/>
      <c r="E500" s="117"/>
      <c r="F500" s="117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</row>
    <row r="501" spans="1:23" ht="19.5" customHeight="1" x14ac:dyDescent="0.2">
      <c r="A501" s="116"/>
      <c r="B501" s="116"/>
      <c r="C501" s="116"/>
      <c r="D501" s="117"/>
      <c r="E501" s="117"/>
      <c r="F501" s="117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</row>
    <row r="502" spans="1:23" ht="19.5" customHeight="1" x14ac:dyDescent="0.2">
      <c r="A502" s="116"/>
      <c r="B502" s="116"/>
      <c r="C502" s="116"/>
      <c r="D502" s="117"/>
      <c r="E502" s="117"/>
      <c r="F502" s="117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</row>
    <row r="503" spans="1:23" ht="19.5" customHeight="1" x14ac:dyDescent="0.2">
      <c r="A503" s="116"/>
      <c r="B503" s="116"/>
      <c r="C503" s="116"/>
      <c r="D503" s="117"/>
      <c r="E503" s="117"/>
      <c r="F503" s="117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</row>
    <row r="504" spans="1:23" ht="19.5" customHeight="1" x14ac:dyDescent="0.2">
      <c r="A504" s="116"/>
      <c r="B504" s="116"/>
      <c r="C504" s="116"/>
      <c r="D504" s="117"/>
      <c r="E504" s="117"/>
      <c r="F504" s="117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</row>
    <row r="505" spans="1:23" ht="19.5" customHeight="1" x14ac:dyDescent="0.2">
      <c r="A505" s="116"/>
      <c r="B505" s="116"/>
      <c r="C505" s="116"/>
      <c r="D505" s="117"/>
      <c r="E505" s="117"/>
      <c r="F505" s="117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</row>
    <row r="506" spans="1:23" ht="19.5" customHeight="1" x14ac:dyDescent="0.2">
      <c r="A506" s="116"/>
      <c r="B506" s="116"/>
      <c r="C506" s="116"/>
      <c r="D506" s="117"/>
      <c r="E506" s="117"/>
      <c r="F506" s="117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</row>
    <row r="507" spans="1:23" ht="19.5" customHeight="1" x14ac:dyDescent="0.2">
      <c r="A507" s="116"/>
      <c r="B507" s="116"/>
      <c r="C507" s="116"/>
      <c r="D507" s="117"/>
      <c r="E507" s="117"/>
      <c r="F507" s="117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</row>
    <row r="508" spans="1:23" ht="19.5" customHeight="1" x14ac:dyDescent="0.2">
      <c r="A508" s="116"/>
      <c r="B508" s="116"/>
      <c r="C508" s="116"/>
      <c r="D508" s="117"/>
      <c r="E508" s="117"/>
      <c r="F508" s="117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</row>
    <row r="509" spans="1:23" ht="19.5" customHeight="1" x14ac:dyDescent="0.2">
      <c r="A509" s="116"/>
      <c r="B509" s="116"/>
      <c r="C509" s="116"/>
      <c r="D509" s="117"/>
      <c r="E509" s="117"/>
      <c r="F509" s="117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</row>
    <row r="510" spans="1:23" ht="19.5" customHeight="1" x14ac:dyDescent="0.2">
      <c r="A510" s="116"/>
      <c r="B510" s="116"/>
      <c r="C510" s="116"/>
      <c r="D510" s="117"/>
      <c r="E510" s="117"/>
      <c r="F510" s="117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</row>
    <row r="511" spans="1:23" ht="19.5" customHeight="1" x14ac:dyDescent="0.2">
      <c r="A511" s="116"/>
      <c r="B511" s="116"/>
      <c r="C511" s="116"/>
      <c r="D511" s="117"/>
      <c r="E511" s="117"/>
      <c r="F511" s="117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</row>
    <row r="512" spans="1:23" ht="19.5" customHeight="1" x14ac:dyDescent="0.2">
      <c r="A512" s="116"/>
      <c r="B512" s="116"/>
      <c r="C512" s="116"/>
      <c r="D512" s="117"/>
      <c r="E512" s="117"/>
      <c r="F512" s="117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</row>
    <row r="513" spans="1:23" ht="19.5" customHeight="1" x14ac:dyDescent="0.2">
      <c r="A513" s="116"/>
      <c r="B513" s="116"/>
      <c r="C513" s="116"/>
      <c r="D513" s="117"/>
      <c r="E513" s="117"/>
      <c r="F513" s="117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</row>
    <row r="514" spans="1:23" ht="19.5" customHeight="1" x14ac:dyDescent="0.2">
      <c r="A514" s="116"/>
      <c r="B514" s="116"/>
      <c r="C514" s="116"/>
      <c r="D514" s="117"/>
      <c r="E514" s="117"/>
      <c r="F514" s="117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</row>
    <row r="515" spans="1:23" ht="19.5" customHeight="1" x14ac:dyDescent="0.2">
      <c r="A515" s="116"/>
      <c r="B515" s="116"/>
      <c r="C515" s="116"/>
      <c r="D515" s="117"/>
      <c r="E515" s="117"/>
      <c r="F515" s="117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</row>
    <row r="516" spans="1:23" ht="19.5" customHeight="1" x14ac:dyDescent="0.2">
      <c r="A516" s="116"/>
      <c r="B516" s="116"/>
      <c r="C516" s="116"/>
      <c r="D516" s="117"/>
      <c r="E516" s="117"/>
      <c r="F516" s="117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</row>
    <row r="517" spans="1:23" ht="19.5" customHeight="1" x14ac:dyDescent="0.2">
      <c r="A517" s="116"/>
      <c r="B517" s="116"/>
      <c r="C517" s="116"/>
      <c r="D517" s="117"/>
      <c r="E517" s="117"/>
      <c r="F517" s="117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</row>
    <row r="518" spans="1:23" ht="19.5" customHeight="1" x14ac:dyDescent="0.2">
      <c r="A518" s="116"/>
      <c r="B518" s="116"/>
      <c r="C518" s="116"/>
      <c r="D518" s="117"/>
      <c r="E518" s="117"/>
      <c r="F518" s="117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</row>
    <row r="519" spans="1:23" ht="19.5" customHeight="1" x14ac:dyDescent="0.2">
      <c r="A519" s="116"/>
      <c r="B519" s="116"/>
      <c r="C519" s="116"/>
      <c r="D519" s="117"/>
      <c r="E519" s="117"/>
      <c r="F519" s="117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</row>
    <row r="520" spans="1:23" ht="19.5" customHeight="1" x14ac:dyDescent="0.2">
      <c r="A520" s="116"/>
      <c r="B520" s="116"/>
      <c r="C520" s="116"/>
      <c r="D520" s="117"/>
      <c r="E520" s="117"/>
      <c r="F520" s="117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</row>
    <row r="521" spans="1:23" ht="19.5" customHeight="1" x14ac:dyDescent="0.2">
      <c r="A521" s="116"/>
      <c r="B521" s="116"/>
      <c r="C521" s="116"/>
      <c r="D521" s="117"/>
      <c r="E521" s="117"/>
      <c r="F521" s="117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</row>
    <row r="522" spans="1:23" ht="19.5" customHeight="1" x14ac:dyDescent="0.2">
      <c r="A522" s="116"/>
      <c r="B522" s="116"/>
      <c r="C522" s="116"/>
      <c r="D522" s="117"/>
      <c r="E522" s="117"/>
      <c r="F522" s="117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</row>
    <row r="523" spans="1:23" ht="19.5" customHeight="1" x14ac:dyDescent="0.2">
      <c r="A523" s="116"/>
      <c r="B523" s="116"/>
      <c r="C523" s="116"/>
      <c r="D523" s="117"/>
      <c r="E523" s="117"/>
      <c r="F523" s="117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</row>
    <row r="524" spans="1:23" ht="19.5" customHeight="1" x14ac:dyDescent="0.2">
      <c r="A524" s="116"/>
      <c r="B524" s="116"/>
      <c r="C524" s="116"/>
      <c r="D524" s="117"/>
      <c r="E524" s="117"/>
      <c r="F524" s="117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</row>
    <row r="525" spans="1:23" ht="19.5" customHeight="1" x14ac:dyDescent="0.2">
      <c r="A525" s="116"/>
      <c r="B525" s="116"/>
      <c r="C525" s="116"/>
      <c r="D525" s="117"/>
      <c r="E525" s="117"/>
      <c r="F525" s="117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</row>
    <row r="526" spans="1:23" ht="19.5" customHeight="1" x14ac:dyDescent="0.2">
      <c r="A526" s="116"/>
      <c r="B526" s="116"/>
      <c r="C526" s="116"/>
      <c r="D526" s="117"/>
      <c r="E526" s="117"/>
      <c r="F526" s="117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</row>
    <row r="527" spans="1:23" ht="19.5" customHeight="1" x14ac:dyDescent="0.2">
      <c r="A527" s="116"/>
      <c r="B527" s="116"/>
      <c r="C527" s="116"/>
      <c r="D527" s="117"/>
      <c r="E527" s="117"/>
      <c r="F527" s="117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</row>
    <row r="528" spans="1:23" ht="19.5" customHeight="1" x14ac:dyDescent="0.2">
      <c r="A528" s="116"/>
      <c r="B528" s="116"/>
      <c r="C528" s="116"/>
      <c r="D528" s="117"/>
      <c r="E528" s="117"/>
      <c r="F528" s="117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</row>
    <row r="529" spans="1:23" ht="19.5" customHeight="1" x14ac:dyDescent="0.2">
      <c r="A529" s="116"/>
      <c r="B529" s="116"/>
      <c r="C529" s="116"/>
      <c r="D529" s="117"/>
      <c r="E529" s="117"/>
      <c r="F529" s="117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</row>
    <row r="530" spans="1:23" ht="19.5" customHeight="1" x14ac:dyDescent="0.2">
      <c r="A530" s="116"/>
      <c r="B530" s="116"/>
      <c r="C530" s="116"/>
      <c r="D530" s="117"/>
      <c r="E530" s="117"/>
      <c r="F530" s="117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</row>
    <row r="531" spans="1:23" ht="19.5" customHeight="1" x14ac:dyDescent="0.2">
      <c r="A531" s="116"/>
      <c r="B531" s="116"/>
      <c r="C531" s="116"/>
      <c r="D531" s="117"/>
      <c r="E531" s="117"/>
      <c r="F531" s="117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</row>
    <row r="532" spans="1:23" ht="19.5" customHeight="1" x14ac:dyDescent="0.2">
      <c r="A532" s="116"/>
      <c r="B532" s="116"/>
      <c r="C532" s="116"/>
      <c r="D532" s="117"/>
      <c r="E532" s="117"/>
      <c r="F532" s="117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</row>
    <row r="533" spans="1:23" ht="19.5" customHeight="1" x14ac:dyDescent="0.2">
      <c r="A533" s="116"/>
      <c r="B533" s="116"/>
      <c r="C533" s="116"/>
      <c r="D533" s="117"/>
      <c r="E533" s="117"/>
      <c r="F533" s="117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</row>
    <row r="534" spans="1:23" ht="19.5" customHeight="1" x14ac:dyDescent="0.2">
      <c r="A534" s="116"/>
      <c r="B534" s="116"/>
      <c r="C534" s="116"/>
      <c r="D534" s="117"/>
      <c r="E534" s="117"/>
      <c r="F534" s="117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</row>
    <row r="535" spans="1:23" ht="19.5" customHeight="1" x14ac:dyDescent="0.2">
      <c r="A535" s="116"/>
      <c r="B535" s="116"/>
      <c r="C535" s="116"/>
      <c r="D535" s="117"/>
      <c r="E535" s="117"/>
      <c r="F535" s="117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</row>
    <row r="536" spans="1:23" ht="19.5" customHeight="1" x14ac:dyDescent="0.2">
      <c r="A536" s="116"/>
      <c r="B536" s="116"/>
      <c r="C536" s="116"/>
      <c r="D536" s="117"/>
      <c r="E536" s="117"/>
      <c r="F536" s="117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</row>
    <row r="537" spans="1:23" ht="19.5" customHeight="1" x14ac:dyDescent="0.2">
      <c r="A537" s="116"/>
      <c r="B537" s="116"/>
      <c r="C537" s="116"/>
      <c r="D537" s="117"/>
      <c r="E537" s="117"/>
      <c r="F537" s="117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</row>
    <row r="538" spans="1:23" ht="19.5" customHeight="1" x14ac:dyDescent="0.2">
      <c r="A538" s="116"/>
      <c r="B538" s="116"/>
      <c r="C538" s="116"/>
      <c r="D538" s="117"/>
      <c r="E538" s="117"/>
      <c r="F538" s="117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</row>
    <row r="539" spans="1:23" ht="19.5" customHeight="1" x14ac:dyDescent="0.2">
      <c r="A539" s="116"/>
      <c r="B539" s="116"/>
      <c r="C539" s="116"/>
      <c r="D539" s="117"/>
      <c r="E539" s="117"/>
      <c r="F539" s="117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</row>
    <row r="540" spans="1:23" ht="19.5" customHeight="1" x14ac:dyDescent="0.2">
      <c r="A540" s="116"/>
      <c r="B540" s="116"/>
      <c r="C540" s="116"/>
      <c r="D540" s="117"/>
      <c r="E540" s="117"/>
      <c r="F540" s="117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</row>
    <row r="541" spans="1:23" ht="19.5" customHeight="1" x14ac:dyDescent="0.2">
      <c r="A541" s="116"/>
      <c r="B541" s="116"/>
      <c r="C541" s="116"/>
      <c r="D541" s="117"/>
      <c r="E541" s="117"/>
      <c r="F541" s="117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</row>
    <row r="542" spans="1:23" ht="19.5" customHeight="1" x14ac:dyDescent="0.2">
      <c r="A542" s="116"/>
      <c r="B542" s="116"/>
      <c r="C542" s="116"/>
      <c r="D542" s="117"/>
      <c r="E542" s="117"/>
      <c r="F542" s="117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</row>
    <row r="543" spans="1:23" ht="19.5" customHeight="1" x14ac:dyDescent="0.2">
      <c r="A543" s="116"/>
      <c r="B543" s="116"/>
      <c r="C543" s="116"/>
      <c r="D543" s="117"/>
      <c r="E543" s="117"/>
      <c r="F543" s="117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</row>
    <row r="544" spans="1:23" ht="19.5" customHeight="1" x14ac:dyDescent="0.2">
      <c r="A544" s="116"/>
      <c r="B544" s="116"/>
      <c r="C544" s="116"/>
      <c r="D544" s="117"/>
      <c r="E544" s="117"/>
      <c r="F544" s="117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</row>
    <row r="545" spans="1:23" ht="19.5" customHeight="1" x14ac:dyDescent="0.2">
      <c r="A545" s="116"/>
      <c r="B545" s="116"/>
      <c r="C545" s="116"/>
      <c r="D545" s="117"/>
      <c r="E545" s="117"/>
      <c r="F545" s="117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</row>
    <row r="546" spans="1:23" ht="19.5" customHeight="1" x14ac:dyDescent="0.2">
      <c r="A546" s="116"/>
      <c r="B546" s="116"/>
      <c r="C546" s="116"/>
      <c r="D546" s="117"/>
      <c r="E546" s="117"/>
      <c r="F546" s="117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</row>
    <row r="547" spans="1:23" ht="19.5" customHeight="1" x14ac:dyDescent="0.2">
      <c r="A547" s="116"/>
      <c r="B547" s="116"/>
      <c r="C547" s="116"/>
      <c r="D547" s="117"/>
      <c r="E547" s="117"/>
      <c r="F547" s="117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</row>
    <row r="548" spans="1:23" ht="19.5" customHeight="1" x14ac:dyDescent="0.2">
      <c r="A548" s="116"/>
      <c r="B548" s="116"/>
      <c r="C548" s="116"/>
      <c r="D548" s="117"/>
      <c r="E548" s="117"/>
      <c r="F548" s="117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</row>
    <row r="549" spans="1:23" ht="19.5" customHeight="1" x14ac:dyDescent="0.2">
      <c r="A549" s="116"/>
      <c r="B549" s="116"/>
      <c r="C549" s="116"/>
      <c r="D549" s="117"/>
      <c r="E549" s="117"/>
      <c r="F549" s="117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</row>
    <row r="550" spans="1:23" ht="19.5" customHeight="1" x14ac:dyDescent="0.2">
      <c r="A550" s="116"/>
      <c r="B550" s="116"/>
      <c r="C550" s="116"/>
      <c r="D550" s="117"/>
      <c r="E550" s="117"/>
      <c r="F550" s="117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</row>
    <row r="551" spans="1:23" ht="19.5" customHeight="1" x14ac:dyDescent="0.2">
      <c r="A551" s="116"/>
      <c r="B551" s="116"/>
      <c r="C551" s="116"/>
      <c r="D551" s="117"/>
      <c r="E551" s="117"/>
      <c r="F551" s="117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</row>
    <row r="552" spans="1:23" ht="19.5" customHeight="1" x14ac:dyDescent="0.2">
      <c r="A552" s="116"/>
      <c r="B552" s="116"/>
      <c r="C552" s="116"/>
      <c r="D552" s="117"/>
      <c r="E552" s="117"/>
      <c r="F552" s="117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</row>
    <row r="553" spans="1:23" ht="19.5" customHeight="1" x14ac:dyDescent="0.2">
      <c r="A553" s="116"/>
      <c r="B553" s="116"/>
      <c r="C553" s="116"/>
      <c r="D553" s="117"/>
      <c r="E553" s="117"/>
      <c r="F553" s="117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</row>
    <row r="554" spans="1:23" ht="19.5" customHeight="1" x14ac:dyDescent="0.2">
      <c r="A554" s="116"/>
      <c r="B554" s="116"/>
      <c r="C554" s="116"/>
      <c r="D554" s="117"/>
      <c r="E554" s="117"/>
      <c r="F554" s="117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</row>
    <row r="555" spans="1:23" ht="19.5" customHeight="1" x14ac:dyDescent="0.2">
      <c r="A555" s="116"/>
      <c r="B555" s="116"/>
      <c r="C555" s="116"/>
      <c r="D555" s="117"/>
      <c r="E555" s="117"/>
      <c r="F555" s="117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</row>
    <row r="556" spans="1:23" ht="19.5" customHeight="1" x14ac:dyDescent="0.2">
      <c r="A556" s="116"/>
      <c r="B556" s="116"/>
      <c r="C556" s="116"/>
      <c r="D556" s="117"/>
      <c r="E556" s="117"/>
      <c r="F556" s="117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</row>
    <row r="557" spans="1:23" ht="19.5" customHeight="1" x14ac:dyDescent="0.2">
      <c r="A557" s="116"/>
      <c r="B557" s="116"/>
      <c r="C557" s="116"/>
      <c r="D557" s="117"/>
      <c r="E557" s="117"/>
      <c r="F557" s="117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</row>
    <row r="558" spans="1:23" ht="19.5" customHeight="1" x14ac:dyDescent="0.2">
      <c r="A558" s="116"/>
      <c r="B558" s="116"/>
      <c r="C558" s="116"/>
      <c r="D558" s="117"/>
      <c r="E558" s="117"/>
      <c r="F558" s="117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</row>
    <row r="559" spans="1:23" ht="19.5" customHeight="1" x14ac:dyDescent="0.2">
      <c r="A559" s="116"/>
      <c r="B559" s="116"/>
      <c r="C559" s="116"/>
      <c r="D559" s="117"/>
      <c r="E559" s="117"/>
      <c r="F559" s="117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</row>
    <row r="560" spans="1:23" ht="19.5" customHeight="1" x14ac:dyDescent="0.2">
      <c r="A560" s="116"/>
      <c r="B560" s="116"/>
      <c r="C560" s="116"/>
      <c r="D560" s="117"/>
      <c r="E560" s="117"/>
      <c r="F560" s="117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</row>
    <row r="561" spans="1:23" ht="19.5" customHeight="1" x14ac:dyDescent="0.2">
      <c r="A561" s="116"/>
      <c r="B561" s="116"/>
      <c r="C561" s="116"/>
      <c r="D561" s="117"/>
      <c r="E561" s="117"/>
      <c r="F561" s="117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</row>
    <row r="562" spans="1:23" ht="19.5" customHeight="1" x14ac:dyDescent="0.2">
      <c r="A562" s="116"/>
      <c r="B562" s="116"/>
      <c r="C562" s="116"/>
      <c r="D562" s="117"/>
      <c r="E562" s="117"/>
      <c r="F562" s="117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</row>
    <row r="563" spans="1:23" ht="19.5" customHeight="1" x14ac:dyDescent="0.2">
      <c r="A563" s="116"/>
      <c r="B563" s="116"/>
      <c r="C563" s="116"/>
      <c r="D563" s="117"/>
      <c r="E563" s="117"/>
      <c r="F563" s="117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</row>
    <row r="564" spans="1:23" ht="19.5" customHeight="1" x14ac:dyDescent="0.2">
      <c r="A564" s="116"/>
      <c r="B564" s="116"/>
      <c r="C564" s="116"/>
      <c r="D564" s="117"/>
      <c r="E564" s="117"/>
      <c r="F564" s="117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</row>
    <row r="565" spans="1:23" ht="19.5" customHeight="1" x14ac:dyDescent="0.2">
      <c r="A565" s="116"/>
      <c r="B565" s="116"/>
      <c r="C565" s="116"/>
      <c r="D565" s="117"/>
      <c r="E565" s="117"/>
      <c r="F565" s="117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</row>
    <row r="566" spans="1:23" ht="19.5" customHeight="1" x14ac:dyDescent="0.2">
      <c r="A566" s="116"/>
      <c r="B566" s="116"/>
      <c r="C566" s="116"/>
      <c r="D566" s="117"/>
      <c r="E566" s="117"/>
      <c r="F566" s="117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</row>
    <row r="567" spans="1:23" ht="19.5" customHeight="1" x14ac:dyDescent="0.2">
      <c r="A567" s="116"/>
      <c r="B567" s="116"/>
      <c r="C567" s="116"/>
      <c r="D567" s="117"/>
      <c r="E567" s="117"/>
      <c r="F567" s="117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</row>
    <row r="568" spans="1:23" ht="19.5" customHeight="1" x14ac:dyDescent="0.2">
      <c r="A568" s="116"/>
      <c r="B568" s="116"/>
      <c r="C568" s="116"/>
      <c r="D568" s="117"/>
      <c r="E568" s="117"/>
      <c r="F568" s="117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</row>
    <row r="569" spans="1:23" ht="19.5" customHeight="1" x14ac:dyDescent="0.2">
      <c r="A569" s="116"/>
      <c r="B569" s="116"/>
      <c r="C569" s="116"/>
      <c r="D569" s="117"/>
      <c r="E569" s="117"/>
      <c r="F569" s="117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</row>
    <row r="570" spans="1:23" ht="19.5" customHeight="1" x14ac:dyDescent="0.2">
      <c r="A570" s="116"/>
      <c r="B570" s="116"/>
      <c r="C570" s="116"/>
      <c r="D570" s="117"/>
      <c r="E570" s="117"/>
      <c r="F570" s="117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</row>
    <row r="571" spans="1:23" ht="19.5" customHeight="1" x14ac:dyDescent="0.2">
      <c r="A571" s="116"/>
      <c r="B571" s="116"/>
      <c r="C571" s="116"/>
      <c r="D571" s="117"/>
      <c r="E571" s="117"/>
      <c r="F571" s="117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</row>
    <row r="572" spans="1:23" ht="19.5" customHeight="1" x14ac:dyDescent="0.2">
      <c r="A572" s="116"/>
      <c r="B572" s="116"/>
      <c r="C572" s="116"/>
      <c r="D572" s="117"/>
      <c r="E572" s="117"/>
      <c r="F572" s="117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</row>
    <row r="573" spans="1:23" ht="19.5" customHeight="1" x14ac:dyDescent="0.2">
      <c r="A573" s="116"/>
      <c r="B573" s="116"/>
      <c r="C573" s="116"/>
      <c r="D573" s="117"/>
      <c r="E573" s="117"/>
      <c r="F573" s="117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</row>
    <row r="574" spans="1:23" ht="19.5" customHeight="1" x14ac:dyDescent="0.2">
      <c r="A574" s="116"/>
      <c r="B574" s="116"/>
      <c r="C574" s="116"/>
      <c r="D574" s="117"/>
      <c r="E574" s="117"/>
      <c r="F574" s="117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</row>
    <row r="575" spans="1:23" ht="19.5" customHeight="1" x14ac:dyDescent="0.2">
      <c r="A575" s="116"/>
      <c r="B575" s="116"/>
      <c r="C575" s="116"/>
      <c r="D575" s="117"/>
      <c r="E575" s="117"/>
      <c r="F575" s="117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</row>
    <row r="576" spans="1:23" ht="19.5" customHeight="1" x14ac:dyDescent="0.2">
      <c r="A576" s="116"/>
      <c r="B576" s="116"/>
      <c r="C576" s="116"/>
      <c r="D576" s="117"/>
      <c r="E576" s="117"/>
      <c r="F576" s="117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</row>
    <row r="577" spans="1:23" ht="19.5" customHeight="1" x14ac:dyDescent="0.2">
      <c r="A577" s="116"/>
      <c r="B577" s="116"/>
      <c r="C577" s="116"/>
      <c r="D577" s="117"/>
      <c r="E577" s="117"/>
      <c r="F577" s="117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</row>
    <row r="578" spans="1:23" ht="19.5" customHeight="1" x14ac:dyDescent="0.2">
      <c r="A578" s="116"/>
      <c r="B578" s="116"/>
      <c r="C578" s="116"/>
      <c r="D578" s="117"/>
      <c r="E578" s="117"/>
      <c r="F578" s="117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</row>
    <row r="579" spans="1:23" ht="19.5" customHeight="1" x14ac:dyDescent="0.2">
      <c r="A579" s="116"/>
      <c r="B579" s="116"/>
      <c r="C579" s="116"/>
      <c r="D579" s="117"/>
      <c r="E579" s="117"/>
      <c r="F579" s="117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</row>
    <row r="580" spans="1:23" ht="19.5" customHeight="1" x14ac:dyDescent="0.2">
      <c r="A580" s="116"/>
      <c r="B580" s="116"/>
      <c r="C580" s="116"/>
      <c r="D580" s="117"/>
      <c r="E580" s="117"/>
      <c r="F580" s="117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</row>
    <row r="581" spans="1:23" ht="19.5" customHeight="1" x14ac:dyDescent="0.2">
      <c r="A581" s="116"/>
      <c r="B581" s="116"/>
      <c r="C581" s="116"/>
      <c r="D581" s="117"/>
      <c r="E581" s="117"/>
      <c r="F581" s="117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</row>
    <row r="582" spans="1:23" ht="19.5" customHeight="1" x14ac:dyDescent="0.2">
      <c r="A582" s="116"/>
      <c r="B582" s="116"/>
      <c r="C582" s="116"/>
      <c r="D582" s="117"/>
      <c r="E582" s="117"/>
      <c r="F582" s="117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</row>
    <row r="583" spans="1:23" ht="19.5" customHeight="1" x14ac:dyDescent="0.2">
      <c r="A583" s="116"/>
      <c r="B583" s="116"/>
      <c r="C583" s="116"/>
      <c r="D583" s="117"/>
      <c r="E583" s="117"/>
      <c r="F583" s="117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</row>
    <row r="584" spans="1:23" ht="19.5" customHeight="1" x14ac:dyDescent="0.2">
      <c r="A584" s="116"/>
      <c r="B584" s="116"/>
      <c r="C584" s="116"/>
      <c r="D584" s="117"/>
      <c r="E584" s="117"/>
      <c r="F584" s="117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</row>
    <row r="585" spans="1:23" ht="19.5" customHeight="1" x14ac:dyDescent="0.2">
      <c r="A585" s="116"/>
      <c r="B585" s="116"/>
      <c r="C585" s="116"/>
      <c r="D585" s="117"/>
      <c r="E585" s="117"/>
      <c r="F585" s="117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</row>
    <row r="586" spans="1:23" ht="19.5" customHeight="1" x14ac:dyDescent="0.2">
      <c r="A586" s="116"/>
      <c r="B586" s="116"/>
      <c r="C586" s="116"/>
      <c r="D586" s="117"/>
      <c r="E586" s="117"/>
      <c r="F586" s="117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</row>
    <row r="587" spans="1:23" ht="19.5" customHeight="1" x14ac:dyDescent="0.2">
      <c r="A587" s="116"/>
      <c r="B587" s="116"/>
      <c r="C587" s="116"/>
      <c r="D587" s="117"/>
      <c r="E587" s="117"/>
      <c r="F587" s="117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</row>
    <row r="588" spans="1:23" ht="19.5" customHeight="1" x14ac:dyDescent="0.2">
      <c r="A588" s="116"/>
      <c r="B588" s="116"/>
      <c r="C588" s="116"/>
      <c r="D588" s="117"/>
      <c r="E588" s="117"/>
      <c r="F588" s="117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</row>
    <row r="589" spans="1:23" ht="19.5" customHeight="1" x14ac:dyDescent="0.2">
      <c r="A589" s="116"/>
      <c r="B589" s="116"/>
      <c r="C589" s="116"/>
      <c r="D589" s="117"/>
      <c r="E589" s="117"/>
      <c r="F589" s="117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</row>
    <row r="590" spans="1:23" ht="19.5" customHeight="1" x14ac:dyDescent="0.2">
      <c r="A590" s="116"/>
      <c r="B590" s="116"/>
      <c r="C590" s="116"/>
      <c r="D590" s="117"/>
      <c r="E590" s="117"/>
      <c r="F590" s="117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</row>
    <row r="591" spans="1:23" ht="19.5" customHeight="1" x14ac:dyDescent="0.2">
      <c r="A591" s="116"/>
      <c r="B591" s="116"/>
      <c r="C591" s="116"/>
      <c r="D591" s="117"/>
      <c r="E591" s="117"/>
      <c r="F591" s="117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</row>
    <row r="592" spans="1:23" ht="19.5" customHeight="1" x14ac:dyDescent="0.2">
      <c r="A592" s="116"/>
      <c r="B592" s="116"/>
      <c r="C592" s="116"/>
      <c r="D592" s="117"/>
      <c r="E592" s="117"/>
      <c r="F592" s="117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</row>
    <row r="593" spans="1:23" ht="19.5" customHeight="1" x14ac:dyDescent="0.2">
      <c r="A593" s="116"/>
      <c r="B593" s="116"/>
      <c r="C593" s="116"/>
      <c r="D593" s="117"/>
      <c r="E593" s="117"/>
      <c r="F593" s="117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</row>
    <row r="594" spans="1:23" ht="19.5" customHeight="1" x14ac:dyDescent="0.2">
      <c r="A594" s="116"/>
      <c r="B594" s="116"/>
      <c r="C594" s="116"/>
      <c r="D594" s="117"/>
      <c r="E594" s="117"/>
      <c r="F594" s="117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</row>
    <row r="595" spans="1:23" ht="19.5" customHeight="1" x14ac:dyDescent="0.2">
      <c r="A595" s="116"/>
      <c r="B595" s="116"/>
      <c r="C595" s="116"/>
      <c r="D595" s="117"/>
      <c r="E595" s="117"/>
      <c r="F595" s="117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</row>
    <row r="596" spans="1:23" ht="19.5" customHeight="1" x14ac:dyDescent="0.2">
      <c r="A596" s="116"/>
      <c r="B596" s="116"/>
      <c r="C596" s="116"/>
      <c r="D596" s="117"/>
      <c r="E596" s="117"/>
      <c r="F596" s="117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</row>
    <row r="597" spans="1:23" ht="19.5" customHeight="1" x14ac:dyDescent="0.2">
      <c r="A597" s="116"/>
      <c r="B597" s="116"/>
      <c r="C597" s="116"/>
      <c r="D597" s="117"/>
      <c r="E597" s="117"/>
      <c r="F597" s="117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</row>
    <row r="598" spans="1:23" ht="19.5" customHeight="1" x14ac:dyDescent="0.2">
      <c r="A598" s="116"/>
      <c r="B598" s="116"/>
      <c r="C598" s="116"/>
      <c r="D598" s="117"/>
      <c r="E598" s="117"/>
      <c r="F598" s="117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</row>
    <row r="599" spans="1:23" ht="19.5" customHeight="1" x14ac:dyDescent="0.2">
      <c r="A599" s="116"/>
      <c r="B599" s="116"/>
      <c r="C599" s="116"/>
      <c r="D599" s="117"/>
      <c r="E599" s="117"/>
      <c r="F599" s="117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</row>
    <row r="600" spans="1:23" ht="19.5" customHeight="1" x14ac:dyDescent="0.2">
      <c r="A600" s="116"/>
      <c r="B600" s="116"/>
      <c r="C600" s="116"/>
      <c r="D600" s="117"/>
      <c r="E600" s="117"/>
      <c r="F600" s="117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</row>
    <row r="601" spans="1:23" ht="19.5" customHeight="1" x14ac:dyDescent="0.2">
      <c r="A601" s="116"/>
      <c r="B601" s="116"/>
      <c r="C601" s="116"/>
      <c r="D601" s="117"/>
      <c r="E601" s="117"/>
      <c r="F601" s="117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</row>
    <row r="602" spans="1:23" ht="19.5" customHeight="1" x14ac:dyDescent="0.2">
      <c r="A602" s="116"/>
      <c r="B602" s="116"/>
      <c r="C602" s="116"/>
      <c r="D602" s="117"/>
      <c r="E602" s="117"/>
      <c r="F602" s="117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</row>
    <row r="603" spans="1:23" ht="19.5" customHeight="1" x14ac:dyDescent="0.2">
      <c r="A603" s="116"/>
      <c r="B603" s="116"/>
      <c r="C603" s="116"/>
      <c r="D603" s="117"/>
      <c r="E603" s="117"/>
      <c r="F603" s="117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</row>
    <row r="604" spans="1:23" ht="19.5" customHeight="1" x14ac:dyDescent="0.2">
      <c r="A604" s="116"/>
      <c r="B604" s="116"/>
      <c r="C604" s="116"/>
      <c r="D604" s="117"/>
      <c r="E604" s="117"/>
      <c r="F604" s="117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</row>
    <row r="605" spans="1:23" ht="19.5" customHeight="1" x14ac:dyDescent="0.2">
      <c r="A605" s="116"/>
      <c r="B605" s="116"/>
      <c r="C605" s="116"/>
      <c r="D605" s="117"/>
      <c r="E605" s="117"/>
      <c r="F605" s="117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</row>
    <row r="606" spans="1:23" ht="19.5" customHeight="1" x14ac:dyDescent="0.2">
      <c r="A606" s="116"/>
      <c r="B606" s="116"/>
      <c r="C606" s="116"/>
      <c r="D606" s="117"/>
      <c r="E606" s="117"/>
      <c r="F606" s="117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</row>
    <row r="607" spans="1:23" ht="19.5" customHeight="1" x14ac:dyDescent="0.2">
      <c r="A607" s="116"/>
      <c r="B607" s="116"/>
      <c r="C607" s="116"/>
      <c r="D607" s="117"/>
      <c r="E607" s="117"/>
      <c r="F607" s="117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</row>
    <row r="608" spans="1:23" ht="19.5" customHeight="1" x14ac:dyDescent="0.2">
      <c r="A608" s="116"/>
      <c r="B608" s="116"/>
      <c r="C608" s="116"/>
      <c r="D608" s="117"/>
      <c r="E608" s="117"/>
      <c r="F608" s="117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</row>
    <row r="609" spans="1:23" ht="19.5" customHeight="1" x14ac:dyDescent="0.2">
      <c r="A609" s="116"/>
      <c r="B609" s="116"/>
      <c r="C609" s="116"/>
      <c r="D609" s="117"/>
      <c r="E609" s="117"/>
      <c r="F609" s="117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</row>
    <row r="610" spans="1:23" ht="19.5" customHeight="1" x14ac:dyDescent="0.2">
      <c r="A610" s="116"/>
      <c r="B610" s="116"/>
      <c r="C610" s="116"/>
      <c r="D610" s="117"/>
      <c r="E610" s="117"/>
      <c r="F610" s="117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</row>
    <row r="611" spans="1:23" ht="19.5" customHeight="1" x14ac:dyDescent="0.2">
      <c r="A611" s="116"/>
      <c r="B611" s="116"/>
      <c r="C611" s="116"/>
      <c r="D611" s="117"/>
      <c r="E611" s="117"/>
      <c r="F611" s="117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</row>
    <row r="612" spans="1:23" ht="19.5" customHeight="1" x14ac:dyDescent="0.2">
      <c r="A612" s="116"/>
      <c r="B612" s="116"/>
      <c r="C612" s="116"/>
      <c r="D612" s="117"/>
      <c r="E612" s="117"/>
      <c r="F612" s="117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</row>
    <row r="613" spans="1:23" ht="19.5" customHeight="1" x14ac:dyDescent="0.2">
      <c r="A613" s="116"/>
      <c r="B613" s="116"/>
      <c r="C613" s="116"/>
      <c r="D613" s="117"/>
      <c r="E613" s="117"/>
      <c r="F613" s="117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</row>
    <row r="614" spans="1:23" ht="19.5" customHeight="1" x14ac:dyDescent="0.2">
      <c r="A614" s="116"/>
      <c r="B614" s="116"/>
      <c r="C614" s="116"/>
      <c r="D614" s="117"/>
      <c r="E614" s="117"/>
      <c r="F614" s="117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</row>
    <row r="615" spans="1:23" ht="19.5" customHeight="1" x14ac:dyDescent="0.2">
      <c r="A615" s="116"/>
      <c r="B615" s="116"/>
      <c r="C615" s="116"/>
      <c r="D615" s="117"/>
      <c r="E615" s="117"/>
      <c r="F615" s="117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</row>
    <row r="616" spans="1:23" ht="19.5" customHeight="1" x14ac:dyDescent="0.2">
      <c r="A616" s="116"/>
      <c r="B616" s="116"/>
      <c r="C616" s="116"/>
      <c r="D616" s="117"/>
      <c r="E616" s="117"/>
      <c r="F616" s="117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</row>
    <row r="617" spans="1:23" ht="19.5" customHeight="1" x14ac:dyDescent="0.2">
      <c r="A617" s="116"/>
      <c r="B617" s="116"/>
      <c r="C617" s="116"/>
      <c r="D617" s="117"/>
      <c r="E617" s="117"/>
      <c r="F617" s="117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</row>
    <row r="618" spans="1:23" ht="19.5" customHeight="1" x14ac:dyDescent="0.2">
      <c r="A618" s="116"/>
      <c r="B618" s="116"/>
      <c r="C618" s="116"/>
      <c r="D618" s="117"/>
      <c r="E618" s="117"/>
      <c r="F618" s="117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</row>
    <row r="619" spans="1:23" ht="19.5" customHeight="1" x14ac:dyDescent="0.2">
      <c r="A619" s="116"/>
      <c r="B619" s="116"/>
      <c r="C619" s="116"/>
      <c r="D619" s="117"/>
      <c r="E619" s="117"/>
      <c r="F619" s="117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</row>
    <row r="620" spans="1:23" ht="19.5" customHeight="1" x14ac:dyDescent="0.2">
      <c r="A620" s="116"/>
      <c r="B620" s="116"/>
      <c r="C620" s="116"/>
      <c r="D620" s="117"/>
      <c r="E620" s="117"/>
      <c r="F620" s="117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</row>
    <row r="621" spans="1:23" ht="19.5" customHeight="1" x14ac:dyDescent="0.2">
      <c r="A621" s="116"/>
      <c r="B621" s="116"/>
      <c r="C621" s="116"/>
      <c r="D621" s="117"/>
      <c r="E621" s="117"/>
      <c r="F621" s="117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</row>
    <row r="622" spans="1:23" ht="19.5" customHeight="1" x14ac:dyDescent="0.2">
      <c r="A622" s="116"/>
      <c r="B622" s="116"/>
      <c r="C622" s="116"/>
      <c r="D622" s="117"/>
      <c r="E622" s="117"/>
      <c r="F622" s="117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</row>
    <row r="623" spans="1:23" ht="19.5" customHeight="1" x14ac:dyDescent="0.2">
      <c r="A623" s="116"/>
      <c r="B623" s="116"/>
      <c r="C623" s="116"/>
      <c r="D623" s="117"/>
      <c r="E623" s="117"/>
      <c r="F623" s="117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</row>
    <row r="624" spans="1:23" ht="19.5" customHeight="1" x14ac:dyDescent="0.2">
      <c r="A624" s="116"/>
      <c r="B624" s="116"/>
      <c r="C624" s="116"/>
      <c r="D624" s="117"/>
      <c r="E624" s="117"/>
      <c r="F624" s="117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</row>
    <row r="625" spans="1:23" ht="19.5" customHeight="1" x14ac:dyDescent="0.2">
      <c r="A625" s="116"/>
      <c r="B625" s="116"/>
      <c r="C625" s="116"/>
      <c r="D625" s="117"/>
      <c r="E625" s="117"/>
      <c r="F625" s="117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</row>
    <row r="626" spans="1:23" ht="19.5" customHeight="1" x14ac:dyDescent="0.2">
      <c r="A626" s="116"/>
      <c r="B626" s="116"/>
      <c r="C626" s="116"/>
      <c r="D626" s="117"/>
      <c r="E626" s="117"/>
      <c r="F626" s="117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</row>
    <row r="627" spans="1:23" ht="19.5" customHeight="1" x14ac:dyDescent="0.2">
      <c r="A627" s="116"/>
      <c r="B627" s="116"/>
      <c r="C627" s="116"/>
      <c r="D627" s="117"/>
      <c r="E627" s="117"/>
      <c r="F627" s="117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</row>
    <row r="628" spans="1:23" ht="19.5" customHeight="1" x14ac:dyDescent="0.2">
      <c r="A628" s="116"/>
      <c r="B628" s="116"/>
      <c r="C628" s="116"/>
      <c r="D628" s="117"/>
      <c r="E628" s="117"/>
      <c r="F628" s="117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</row>
    <row r="629" spans="1:23" ht="19.5" customHeight="1" x14ac:dyDescent="0.2">
      <c r="A629" s="116"/>
      <c r="B629" s="116"/>
      <c r="C629" s="116"/>
      <c r="D629" s="117"/>
      <c r="E629" s="117"/>
      <c r="F629" s="117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</row>
    <row r="630" spans="1:23" ht="19.5" customHeight="1" x14ac:dyDescent="0.2">
      <c r="A630" s="116"/>
      <c r="B630" s="116"/>
      <c r="C630" s="116"/>
      <c r="D630" s="117"/>
      <c r="E630" s="117"/>
      <c r="F630" s="117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</row>
    <row r="631" spans="1:23" ht="19.5" customHeight="1" x14ac:dyDescent="0.2">
      <c r="A631" s="116"/>
      <c r="B631" s="116"/>
      <c r="C631" s="116"/>
      <c r="D631" s="117"/>
      <c r="E631" s="117"/>
      <c r="F631" s="117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</row>
    <row r="632" spans="1:23" ht="19.5" customHeight="1" x14ac:dyDescent="0.2">
      <c r="A632" s="116"/>
      <c r="B632" s="116"/>
      <c r="C632" s="116"/>
      <c r="D632" s="117"/>
      <c r="E632" s="117"/>
      <c r="F632" s="117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</row>
    <row r="633" spans="1:23" ht="19.5" customHeight="1" x14ac:dyDescent="0.2">
      <c r="A633" s="116"/>
      <c r="B633" s="116"/>
      <c r="C633" s="116"/>
      <c r="D633" s="117"/>
      <c r="E633" s="117"/>
      <c r="F633" s="117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</row>
    <row r="634" spans="1:23" ht="19.5" customHeight="1" x14ac:dyDescent="0.2">
      <c r="A634" s="116"/>
      <c r="B634" s="116"/>
      <c r="C634" s="116"/>
      <c r="D634" s="117"/>
      <c r="E634" s="117"/>
      <c r="F634" s="117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</row>
    <row r="635" spans="1:23" ht="19.5" customHeight="1" x14ac:dyDescent="0.2">
      <c r="A635" s="116"/>
      <c r="B635" s="116"/>
      <c r="C635" s="116"/>
      <c r="D635" s="117"/>
      <c r="E635" s="117"/>
      <c r="F635" s="117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</row>
    <row r="636" spans="1:23" ht="19.5" customHeight="1" x14ac:dyDescent="0.2">
      <c r="A636" s="116"/>
      <c r="B636" s="116"/>
      <c r="C636" s="116"/>
      <c r="D636" s="117"/>
      <c r="E636" s="117"/>
      <c r="F636" s="117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</row>
    <row r="637" spans="1:23" ht="19.5" customHeight="1" x14ac:dyDescent="0.2">
      <c r="A637" s="116"/>
      <c r="B637" s="116"/>
      <c r="C637" s="116"/>
      <c r="D637" s="117"/>
      <c r="E637" s="117"/>
      <c r="F637" s="117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</row>
    <row r="638" spans="1:23" ht="19.5" customHeight="1" x14ac:dyDescent="0.2">
      <c r="A638" s="116"/>
      <c r="B638" s="116"/>
      <c r="C638" s="116"/>
      <c r="D638" s="117"/>
      <c r="E638" s="117"/>
      <c r="F638" s="117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</row>
    <row r="639" spans="1:23" ht="19.5" customHeight="1" x14ac:dyDescent="0.2">
      <c r="A639" s="116"/>
      <c r="B639" s="116"/>
      <c r="C639" s="116"/>
      <c r="D639" s="117"/>
      <c r="E639" s="117"/>
      <c r="F639" s="117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</row>
    <row r="640" spans="1:23" ht="19.5" customHeight="1" x14ac:dyDescent="0.2">
      <c r="A640" s="116"/>
      <c r="B640" s="116"/>
      <c r="C640" s="116"/>
      <c r="D640" s="117"/>
      <c r="E640" s="117"/>
      <c r="F640" s="117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</row>
    <row r="641" spans="1:23" ht="19.5" customHeight="1" x14ac:dyDescent="0.2">
      <c r="A641" s="116"/>
      <c r="B641" s="116"/>
      <c r="C641" s="116"/>
      <c r="D641" s="117"/>
      <c r="E641" s="117"/>
      <c r="F641" s="117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</row>
    <row r="642" spans="1:23" ht="19.5" customHeight="1" x14ac:dyDescent="0.2">
      <c r="A642" s="116"/>
      <c r="B642" s="116"/>
      <c r="C642" s="116"/>
      <c r="D642" s="117"/>
      <c r="E642" s="117"/>
      <c r="F642" s="117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</row>
    <row r="643" spans="1:23" ht="19.5" customHeight="1" x14ac:dyDescent="0.2">
      <c r="A643" s="116"/>
      <c r="B643" s="116"/>
      <c r="C643" s="116"/>
      <c r="D643" s="117"/>
      <c r="E643" s="117"/>
      <c r="F643" s="117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</row>
    <row r="644" spans="1:23" ht="19.5" customHeight="1" x14ac:dyDescent="0.2">
      <c r="A644" s="116"/>
      <c r="B644" s="116"/>
      <c r="C644" s="116"/>
      <c r="D644" s="117"/>
      <c r="E644" s="117"/>
      <c r="F644" s="117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</row>
    <row r="645" spans="1:23" ht="19.5" customHeight="1" x14ac:dyDescent="0.2">
      <c r="A645" s="116"/>
      <c r="B645" s="116"/>
      <c r="C645" s="116"/>
      <c r="D645" s="117"/>
      <c r="E645" s="117"/>
      <c r="F645" s="117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</row>
    <row r="646" spans="1:23" ht="19.5" customHeight="1" x14ac:dyDescent="0.2">
      <c r="A646" s="116"/>
      <c r="B646" s="116"/>
      <c r="C646" s="116"/>
      <c r="D646" s="117"/>
      <c r="E646" s="117"/>
      <c r="F646" s="117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</row>
    <row r="647" spans="1:23" ht="19.5" customHeight="1" x14ac:dyDescent="0.2">
      <c r="A647" s="116"/>
      <c r="B647" s="116"/>
      <c r="C647" s="116"/>
      <c r="D647" s="117"/>
      <c r="E647" s="117"/>
      <c r="F647" s="117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</row>
    <row r="648" spans="1:23" ht="19.5" customHeight="1" x14ac:dyDescent="0.2">
      <c r="A648" s="116"/>
      <c r="B648" s="116"/>
      <c r="C648" s="116"/>
      <c r="D648" s="117"/>
      <c r="E648" s="117"/>
      <c r="F648" s="117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</row>
    <row r="649" spans="1:23" ht="19.5" customHeight="1" x14ac:dyDescent="0.2">
      <c r="A649" s="116"/>
      <c r="B649" s="116"/>
      <c r="C649" s="116"/>
      <c r="D649" s="117"/>
      <c r="E649" s="117"/>
      <c r="F649" s="117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</row>
    <row r="650" spans="1:23" ht="19.5" customHeight="1" x14ac:dyDescent="0.2">
      <c r="A650" s="116"/>
      <c r="B650" s="116"/>
      <c r="C650" s="116"/>
      <c r="D650" s="117"/>
      <c r="E650" s="117"/>
      <c r="F650" s="117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</row>
    <row r="651" spans="1:23" ht="19.5" customHeight="1" x14ac:dyDescent="0.2">
      <c r="A651" s="116"/>
      <c r="B651" s="116"/>
      <c r="C651" s="116"/>
      <c r="D651" s="117"/>
      <c r="E651" s="117"/>
      <c r="F651" s="117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</row>
    <row r="652" spans="1:23" ht="19.5" customHeight="1" x14ac:dyDescent="0.2">
      <c r="A652" s="116"/>
      <c r="B652" s="116"/>
      <c r="C652" s="116"/>
      <c r="D652" s="117"/>
      <c r="E652" s="117"/>
      <c r="F652" s="117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</row>
    <row r="653" spans="1:23" ht="19.5" customHeight="1" x14ac:dyDescent="0.2">
      <c r="A653" s="116"/>
      <c r="B653" s="116"/>
      <c r="C653" s="116"/>
      <c r="D653" s="117"/>
      <c r="E653" s="117"/>
      <c r="F653" s="117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</row>
    <row r="654" spans="1:23" ht="19.5" customHeight="1" x14ac:dyDescent="0.2">
      <c r="A654" s="116"/>
      <c r="B654" s="116"/>
      <c r="C654" s="116"/>
      <c r="D654" s="117"/>
      <c r="E654" s="117"/>
      <c r="F654" s="117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</row>
    <row r="655" spans="1:23" ht="19.5" customHeight="1" x14ac:dyDescent="0.2">
      <c r="A655" s="116"/>
      <c r="B655" s="116"/>
      <c r="C655" s="116"/>
      <c r="D655" s="117"/>
      <c r="E655" s="117"/>
      <c r="F655" s="117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</row>
    <row r="656" spans="1:23" ht="19.5" customHeight="1" x14ac:dyDescent="0.2">
      <c r="A656" s="116"/>
      <c r="B656" s="116"/>
      <c r="C656" s="116"/>
      <c r="D656" s="117"/>
      <c r="E656" s="117"/>
      <c r="F656" s="117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</row>
    <row r="657" spans="1:23" ht="19.5" customHeight="1" x14ac:dyDescent="0.2">
      <c r="A657" s="116"/>
      <c r="B657" s="116"/>
      <c r="C657" s="116"/>
      <c r="D657" s="117"/>
      <c r="E657" s="117"/>
      <c r="F657" s="117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</row>
    <row r="658" spans="1:23" ht="19.5" customHeight="1" x14ac:dyDescent="0.2">
      <c r="A658" s="116"/>
      <c r="B658" s="116"/>
      <c r="C658" s="116"/>
      <c r="D658" s="117"/>
      <c r="E658" s="117"/>
      <c r="F658" s="117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</row>
    <row r="659" spans="1:23" ht="19.5" customHeight="1" x14ac:dyDescent="0.2">
      <c r="A659" s="116"/>
      <c r="B659" s="116"/>
      <c r="C659" s="116"/>
      <c r="D659" s="117"/>
      <c r="E659" s="117"/>
      <c r="F659" s="117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</row>
    <row r="660" spans="1:23" ht="19.5" customHeight="1" x14ac:dyDescent="0.2">
      <c r="A660" s="116"/>
      <c r="B660" s="116"/>
      <c r="C660" s="116"/>
      <c r="D660" s="117"/>
      <c r="E660" s="117"/>
      <c r="F660" s="117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</row>
    <row r="661" spans="1:23" ht="19.5" customHeight="1" x14ac:dyDescent="0.2">
      <c r="A661" s="116"/>
      <c r="B661" s="116"/>
      <c r="C661" s="116"/>
      <c r="D661" s="117"/>
      <c r="E661" s="117"/>
      <c r="F661" s="117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</row>
    <row r="662" spans="1:23" ht="19.5" customHeight="1" x14ac:dyDescent="0.2">
      <c r="A662" s="116"/>
      <c r="B662" s="116"/>
      <c r="C662" s="116"/>
      <c r="D662" s="117"/>
      <c r="E662" s="117"/>
      <c r="F662" s="117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</row>
    <row r="663" spans="1:23" ht="19.5" customHeight="1" x14ac:dyDescent="0.2">
      <c r="A663" s="116"/>
      <c r="B663" s="116"/>
      <c r="C663" s="116"/>
      <c r="D663" s="117"/>
      <c r="E663" s="117"/>
      <c r="F663" s="117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</row>
    <row r="664" spans="1:23" ht="19.5" customHeight="1" x14ac:dyDescent="0.2">
      <c r="A664" s="116"/>
      <c r="B664" s="116"/>
      <c r="C664" s="116"/>
      <c r="D664" s="117"/>
      <c r="E664" s="117"/>
      <c r="F664" s="117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</row>
    <row r="665" spans="1:23" ht="19.5" customHeight="1" x14ac:dyDescent="0.2">
      <c r="A665" s="116"/>
      <c r="B665" s="116"/>
      <c r="C665" s="116"/>
      <c r="D665" s="117"/>
      <c r="E665" s="117"/>
      <c r="F665" s="117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</row>
    <row r="666" spans="1:23" ht="19.5" customHeight="1" x14ac:dyDescent="0.2">
      <c r="A666" s="116"/>
      <c r="B666" s="116"/>
      <c r="C666" s="116"/>
      <c r="D666" s="117"/>
      <c r="E666" s="117"/>
      <c r="F666" s="117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</row>
    <row r="667" spans="1:23" ht="19.5" customHeight="1" x14ac:dyDescent="0.2">
      <c r="A667" s="116"/>
      <c r="B667" s="116"/>
      <c r="C667" s="116"/>
      <c r="D667" s="117"/>
      <c r="E667" s="117"/>
      <c r="F667" s="117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</row>
    <row r="668" spans="1:23" ht="19.5" customHeight="1" x14ac:dyDescent="0.2">
      <c r="A668" s="116"/>
      <c r="B668" s="116"/>
      <c r="C668" s="116"/>
      <c r="D668" s="117"/>
      <c r="E668" s="117"/>
      <c r="F668" s="117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</row>
    <row r="669" spans="1:23" ht="19.5" customHeight="1" x14ac:dyDescent="0.2">
      <c r="A669" s="116"/>
      <c r="B669" s="116"/>
      <c r="C669" s="116"/>
      <c r="D669" s="117"/>
      <c r="E669" s="117"/>
      <c r="F669" s="117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</row>
    <row r="670" spans="1:23" ht="19.5" customHeight="1" x14ac:dyDescent="0.2">
      <c r="A670" s="116"/>
      <c r="B670" s="116"/>
      <c r="C670" s="116"/>
      <c r="D670" s="117"/>
      <c r="E670" s="117"/>
      <c r="F670" s="117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</row>
    <row r="671" spans="1:23" ht="19.5" customHeight="1" x14ac:dyDescent="0.2">
      <c r="A671" s="116"/>
      <c r="B671" s="116"/>
      <c r="C671" s="116"/>
      <c r="D671" s="117"/>
      <c r="E671" s="117"/>
      <c r="F671" s="117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</row>
    <row r="672" spans="1:23" ht="19.5" customHeight="1" x14ac:dyDescent="0.2">
      <c r="A672" s="116"/>
      <c r="B672" s="116"/>
      <c r="C672" s="116"/>
      <c r="D672" s="117"/>
      <c r="E672" s="117"/>
      <c r="F672" s="117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</row>
    <row r="673" spans="1:23" ht="19.5" customHeight="1" x14ac:dyDescent="0.2">
      <c r="A673" s="116"/>
      <c r="B673" s="116"/>
      <c r="C673" s="116"/>
      <c r="D673" s="117"/>
      <c r="E673" s="117"/>
      <c r="F673" s="117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</row>
    <row r="674" spans="1:23" ht="19.5" customHeight="1" x14ac:dyDescent="0.2">
      <c r="A674" s="116"/>
      <c r="B674" s="116"/>
      <c r="C674" s="116"/>
      <c r="D674" s="117"/>
      <c r="E674" s="117"/>
      <c r="F674" s="117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</row>
    <row r="675" spans="1:23" ht="19.5" customHeight="1" x14ac:dyDescent="0.2">
      <c r="A675" s="116"/>
      <c r="B675" s="116"/>
      <c r="C675" s="116"/>
      <c r="D675" s="117"/>
      <c r="E675" s="117"/>
      <c r="F675" s="117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</row>
    <row r="676" spans="1:23" ht="19.5" customHeight="1" x14ac:dyDescent="0.2">
      <c r="A676" s="116"/>
      <c r="B676" s="116"/>
      <c r="C676" s="116"/>
      <c r="D676" s="117"/>
      <c r="E676" s="117"/>
      <c r="F676" s="117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</row>
    <row r="677" spans="1:23" ht="19.5" customHeight="1" x14ac:dyDescent="0.2">
      <c r="A677" s="116"/>
      <c r="B677" s="116"/>
      <c r="C677" s="116"/>
      <c r="D677" s="117"/>
      <c r="E677" s="117"/>
      <c r="F677" s="117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</row>
    <row r="678" spans="1:23" ht="19.5" customHeight="1" x14ac:dyDescent="0.2">
      <c r="A678" s="116"/>
      <c r="B678" s="116"/>
      <c r="C678" s="116"/>
      <c r="D678" s="117"/>
      <c r="E678" s="117"/>
      <c r="F678" s="117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</row>
    <row r="679" spans="1:23" ht="19.5" customHeight="1" x14ac:dyDescent="0.2">
      <c r="A679" s="116"/>
      <c r="B679" s="116"/>
      <c r="C679" s="116"/>
      <c r="D679" s="117"/>
      <c r="E679" s="117"/>
      <c r="F679" s="117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</row>
    <row r="680" spans="1:23" ht="19.5" customHeight="1" x14ac:dyDescent="0.2">
      <c r="A680" s="116"/>
      <c r="B680" s="116"/>
      <c r="C680" s="116"/>
      <c r="D680" s="117"/>
      <c r="E680" s="117"/>
      <c r="F680" s="117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</row>
    <row r="681" spans="1:23" ht="19.5" customHeight="1" x14ac:dyDescent="0.2">
      <c r="A681" s="116"/>
      <c r="B681" s="116"/>
      <c r="C681" s="116"/>
      <c r="D681" s="117"/>
      <c r="E681" s="117"/>
      <c r="F681" s="117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</row>
    <row r="682" spans="1:23" ht="19.5" customHeight="1" x14ac:dyDescent="0.2">
      <c r="A682" s="116"/>
      <c r="B682" s="116"/>
      <c r="C682" s="116"/>
      <c r="D682" s="117"/>
      <c r="E682" s="117"/>
      <c r="F682" s="117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</row>
    <row r="683" spans="1:23" ht="19.5" customHeight="1" x14ac:dyDescent="0.2">
      <c r="A683" s="116"/>
      <c r="B683" s="116"/>
      <c r="C683" s="116"/>
      <c r="D683" s="117"/>
      <c r="E683" s="117"/>
      <c r="F683" s="117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</row>
    <row r="684" spans="1:23" ht="19.5" customHeight="1" x14ac:dyDescent="0.2">
      <c r="A684" s="116"/>
      <c r="B684" s="116"/>
      <c r="C684" s="116"/>
      <c r="D684" s="117"/>
      <c r="E684" s="117"/>
      <c r="F684" s="117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</row>
    <row r="685" spans="1:23" ht="19.5" customHeight="1" x14ac:dyDescent="0.2">
      <c r="A685" s="116"/>
      <c r="B685" s="116"/>
      <c r="C685" s="116"/>
      <c r="D685" s="117"/>
      <c r="E685" s="117"/>
      <c r="F685" s="117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</row>
    <row r="686" spans="1:23" ht="19.5" customHeight="1" x14ac:dyDescent="0.2">
      <c r="A686" s="116"/>
      <c r="B686" s="116"/>
      <c r="C686" s="116"/>
      <c r="D686" s="117"/>
      <c r="E686" s="117"/>
      <c r="F686" s="117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</row>
    <row r="687" spans="1:23" ht="19.5" customHeight="1" x14ac:dyDescent="0.2">
      <c r="A687" s="116"/>
      <c r="B687" s="116"/>
      <c r="C687" s="116"/>
      <c r="D687" s="117"/>
      <c r="E687" s="117"/>
      <c r="F687" s="117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</row>
    <row r="688" spans="1:23" ht="19.5" customHeight="1" x14ac:dyDescent="0.2">
      <c r="A688" s="116"/>
      <c r="B688" s="116"/>
      <c r="C688" s="116"/>
      <c r="D688" s="117"/>
      <c r="E688" s="117"/>
      <c r="F688" s="117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</row>
    <row r="689" spans="1:23" ht="19.5" customHeight="1" x14ac:dyDescent="0.2">
      <c r="A689" s="116"/>
      <c r="B689" s="116"/>
      <c r="C689" s="116"/>
      <c r="D689" s="117"/>
      <c r="E689" s="117"/>
      <c r="F689" s="117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</row>
    <row r="690" spans="1:23" ht="19.5" customHeight="1" x14ac:dyDescent="0.2">
      <c r="A690" s="116"/>
      <c r="B690" s="116"/>
      <c r="C690" s="116"/>
      <c r="D690" s="117"/>
      <c r="E690" s="117"/>
      <c r="F690" s="117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</row>
    <row r="691" spans="1:23" ht="19.5" customHeight="1" x14ac:dyDescent="0.2">
      <c r="A691" s="116"/>
      <c r="B691" s="116"/>
      <c r="C691" s="116"/>
      <c r="D691" s="117"/>
      <c r="E691" s="117"/>
      <c r="F691" s="117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</row>
    <row r="692" spans="1:23" ht="19.5" customHeight="1" x14ac:dyDescent="0.2">
      <c r="A692" s="116"/>
      <c r="B692" s="116"/>
      <c r="C692" s="116"/>
      <c r="D692" s="117"/>
      <c r="E692" s="117"/>
      <c r="F692" s="117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</row>
    <row r="693" spans="1:23" ht="19.5" customHeight="1" x14ac:dyDescent="0.2">
      <c r="A693" s="116"/>
      <c r="B693" s="116"/>
      <c r="C693" s="116"/>
      <c r="D693" s="117"/>
      <c r="E693" s="117"/>
      <c r="F693" s="117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</row>
    <row r="694" spans="1:23" ht="19.5" customHeight="1" x14ac:dyDescent="0.2">
      <c r="A694" s="116"/>
      <c r="B694" s="116"/>
      <c r="C694" s="116"/>
      <c r="D694" s="117"/>
      <c r="E694" s="117"/>
      <c r="F694" s="117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</row>
    <row r="695" spans="1:23" ht="19.5" customHeight="1" x14ac:dyDescent="0.2">
      <c r="A695" s="116"/>
      <c r="B695" s="116"/>
      <c r="C695" s="116"/>
      <c r="D695" s="117"/>
      <c r="E695" s="117"/>
      <c r="F695" s="117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</row>
    <row r="696" spans="1:23" ht="19.5" customHeight="1" x14ac:dyDescent="0.2">
      <c r="A696" s="116"/>
      <c r="B696" s="116"/>
      <c r="C696" s="116"/>
      <c r="D696" s="117"/>
      <c r="E696" s="117"/>
      <c r="F696" s="117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</row>
    <row r="697" spans="1:23" ht="19.5" customHeight="1" x14ac:dyDescent="0.2">
      <c r="A697" s="116"/>
      <c r="B697" s="116"/>
      <c r="C697" s="116"/>
      <c r="D697" s="117"/>
      <c r="E697" s="117"/>
      <c r="F697" s="117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</row>
    <row r="698" spans="1:23" ht="19.5" customHeight="1" x14ac:dyDescent="0.2">
      <c r="A698" s="116"/>
      <c r="B698" s="116"/>
      <c r="C698" s="116"/>
      <c r="D698" s="117"/>
      <c r="E698" s="117"/>
      <c r="F698" s="117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</row>
    <row r="699" spans="1:23" ht="19.5" customHeight="1" x14ac:dyDescent="0.2">
      <c r="A699" s="116"/>
      <c r="B699" s="116"/>
      <c r="C699" s="116"/>
      <c r="D699" s="117"/>
      <c r="E699" s="117"/>
      <c r="F699" s="117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</row>
    <row r="700" spans="1:23" ht="19.5" customHeight="1" x14ac:dyDescent="0.2">
      <c r="A700" s="116"/>
      <c r="B700" s="116"/>
      <c r="C700" s="116"/>
      <c r="D700" s="117"/>
      <c r="E700" s="117"/>
      <c r="F700" s="117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</row>
    <row r="701" spans="1:23" ht="19.5" customHeight="1" x14ac:dyDescent="0.2">
      <c r="A701" s="116"/>
      <c r="B701" s="116"/>
      <c r="C701" s="116"/>
      <c r="D701" s="117"/>
      <c r="E701" s="117"/>
      <c r="F701" s="117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</row>
    <row r="702" spans="1:23" ht="19.5" customHeight="1" x14ac:dyDescent="0.2">
      <c r="A702" s="116"/>
      <c r="B702" s="116"/>
      <c r="C702" s="116"/>
      <c r="D702" s="117"/>
      <c r="E702" s="117"/>
      <c r="F702" s="117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</row>
    <row r="703" spans="1:23" ht="19.5" customHeight="1" x14ac:dyDescent="0.2">
      <c r="A703" s="116"/>
      <c r="B703" s="116"/>
      <c r="C703" s="116"/>
      <c r="D703" s="117"/>
      <c r="E703" s="117"/>
      <c r="F703" s="117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</row>
    <row r="704" spans="1:23" ht="19.5" customHeight="1" x14ac:dyDescent="0.2">
      <c r="A704" s="116"/>
      <c r="B704" s="116"/>
      <c r="C704" s="116"/>
      <c r="D704" s="117"/>
      <c r="E704" s="117"/>
      <c r="F704" s="117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</row>
    <row r="705" spans="1:23" ht="19.5" customHeight="1" x14ac:dyDescent="0.2">
      <c r="A705" s="116"/>
      <c r="B705" s="116"/>
      <c r="C705" s="116"/>
      <c r="D705" s="117"/>
      <c r="E705" s="117"/>
      <c r="F705" s="117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</row>
    <row r="706" spans="1:23" ht="19.5" customHeight="1" x14ac:dyDescent="0.2">
      <c r="A706" s="116"/>
      <c r="B706" s="116"/>
      <c r="C706" s="116"/>
      <c r="D706" s="117"/>
      <c r="E706" s="117"/>
      <c r="F706" s="117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</row>
    <row r="707" spans="1:23" ht="19.5" customHeight="1" x14ac:dyDescent="0.2">
      <c r="A707" s="116"/>
      <c r="B707" s="116"/>
      <c r="C707" s="116"/>
      <c r="D707" s="117"/>
      <c r="E707" s="117"/>
      <c r="F707" s="117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</row>
    <row r="708" spans="1:23" ht="19.5" customHeight="1" x14ac:dyDescent="0.2">
      <c r="A708" s="116"/>
      <c r="B708" s="116"/>
      <c r="C708" s="116"/>
      <c r="D708" s="117"/>
      <c r="E708" s="117"/>
      <c r="F708" s="117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</row>
    <row r="709" spans="1:23" ht="19.5" customHeight="1" x14ac:dyDescent="0.2">
      <c r="A709" s="116"/>
      <c r="B709" s="116"/>
      <c r="C709" s="116"/>
      <c r="D709" s="117"/>
      <c r="E709" s="117"/>
      <c r="F709" s="117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</row>
    <row r="710" spans="1:23" ht="19.5" customHeight="1" x14ac:dyDescent="0.2">
      <c r="A710" s="116"/>
      <c r="B710" s="116"/>
      <c r="C710" s="116"/>
      <c r="D710" s="117"/>
      <c r="E710" s="117"/>
      <c r="F710" s="117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</row>
    <row r="711" spans="1:23" ht="19.5" customHeight="1" x14ac:dyDescent="0.2">
      <c r="A711" s="116"/>
      <c r="B711" s="116"/>
      <c r="C711" s="116"/>
      <c r="D711" s="117"/>
      <c r="E711" s="117"/>
      <c r="F711" s="117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</row>
    <row r="712" spans="1:23" ht="19.5" customHeight="1" x14ac:dyDescent="0.2">
      <c r="A712" s="116"/>
      <c r="B712" s="116"/>
      <c r="C712" s="116"/>
      <c r="D712" s="117"/>
      <c r="E712" s="117"/>
      <c r="F712" s="117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</row>
    <row r="713" spans="1:23" ht="19.5" customHeight="1" x14ac:dyDescent="0.2">
      <c r="A713" s="116"/>
      <c r="B713" s="116"/>
      <c r="C713" s="116"/>
      <c r="D713" s="117"/>
      <c r="E713" s="117"/>
      <c r="F713" s="117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</row>
    <row r="714" spans="1:23" ht="19.5" customHeight="1" x14ac:dyDescent="0.2">
      <c r="A714" s="116"/>
      <c r="B714" s="116"/>
      <c r="C714" s="116"/>
      <c r="D714" s="117"/>
      <c r="E714" s="117"/>
      <c r="F714" s="117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</row>
    <row r="715" spans="1:23" ht="19.5" customHeight="1" x14ac:dyDescent="0.2">
      <c r="A715" s="116"/>
      <c r="B715" s="116"/>
      <c r="C715" s="116"/>
      <c r="D715" s="117"/>
      <c r="E715" s="117"/>
      <c r="F715" s="117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</row>
    <row r="716" spans="1:23" ht="19.5" customHeight="1" x14ac:dyDescent="0.2">
      <c r="A716" s="116"/>
      <c r="B716" s="116"/>
      <c r="C716" s="116"/>
      <c r="D716" s="117"/>
      <c r="E716" s="117"/>
      <c r="F716" s="117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</row>
    <row r="717" spans="1:23" ht="19.5" customHeight="1" x14ac:dyDescent="0.2">
      <c r="A717" s="116"/>
      <c r="B717" s="116"/>
      <c r="C717" s="116"/>
      <c r="D717" s="117"/>
      <c r="E717" s="117"/>
      <c r="F717" s="117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</row>
    <row r="718" spans="1:23" ht="19.5" customHeight="1" x14ac:dyDescent="0.2">
      <c r="A718" s="116"/>
      <c r="B718" s="116"/>
      <c r="C718" s="116"/>
      <c r="D718" s="117"/>
      <c r="E718" s="117"/>
      <c r="F718" s="117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</row>
    <row r="719" spans="1:23" ht="19.5" customHeight="1" x14ac:dyDescent="0.2">
      <c r="A719" s="116"/>
      <c r="B719" s="116"/>
      <c r="C719" s="116"/>
      <c r="D719" s="117"/>
      <c r="E719" s="117"/>
      <c r="F719" s="117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</row>
    <row r="720" spans="1:23" ht="19.5" customHeight="1" x14ac:dyDescent="0.2">
      <c r="A720" s="116"/>
      <c r="B720" s="116"/>
      <c r="C720" s="116"/>
      <c r="D720" s="117"/>
      <c r="E720" s="117"/>
      <c r="F720" s="117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</row>
    <row r="721" spans="1:23" ht="19.5" customHeight="1" x14ac:dyDescent="0.2">
      <c r="A721" s="116"/>
      <c r="B721" s="116"/>
      <c r="C721" s="116"/>
      <c r="D721" s="117"/>
      <c r="E721" s="117"/>
      <c r="F721" s="117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</row>
    <row r="722" spans="1:23" ht="19.5" customHeight="1" x14ac:dyDescent="0.2">
      <c r="A722" s="116"/>
      <c r="B722" s="116"/>
      <c r="C722" s="116"/>
      <c r="D722" s="117"/>
      <c r="E722" s="117"/>
      <c r="F722" s="117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</row>
    <row r="723" spans="1:23" ht="19.5" customHeight="1" x14ac:dyDescent="0.2">
      <c r="A723" s="116"/>
      <c r="B723" s="116"/>
      <c r="C723" s="116"/>
      <c r="D723" s="117"/>
      <c r="E723" s="117"/>
      <c r="F723" s="117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</row>
    <row r="724" spans="1:23" ht="19.5" customHeight="1" x14ac:dyDescent="0.2">
      <c r="A724" s="116"/>
      <c r="B724" s="116"/>
      <c r="C724" s="116"/>
      <c r="D724" s="117"/>
      <c r="E724" s="117"/>
      <c r="F724" s="117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</row>
    <row r="725" spans="1:23" ht="19.5" customHeight="1" x14ac:dyDescent="0.2">
      <c r="A725" s="116"/>
      <c r="B725" s="116"/>
      <c r="C725" s="116"/>
      <c r="D725" s="117"/>
      <c r="E725" s="117"/>
      <c r="F725" s="117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</row>
    <row r="726" spans="1:23" ht="19.5" customHeight="1" x14ac:dyDescent="0.2">
      <c r="A726" s="116"/>
      <c r="B726" s="116"/>
      <c r="C726" s="116"/>
      <c r="D726" s="117"/>
      <c r="E726" s="117"/>
      <c r="F726" s="117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</row>
    <row r="727" spans="1:23" ht="19.5" customHeight="1" x14ac:dyDescent="0.2">
      <c r="A727" s="116"/>
      <c r="B727" s="116"/>
      <c r="C727" s="116"/>
      <c r="D727" s="117"/>
      <c r="E727" s="117"/>
      <c r="F727" s="117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</row>
    <row r="728" spans="1:23" ht="19.5" customHeight="1" x14ac:dyDescent="0.2">
      <c r="A728" s="116"/>
      <c r="B728" s="116"/>
      <c r="C728" s="116"/>
      <c r="D728" s="117"/>
      <c r="E728" s="117"/>
      <c r="F728" s="117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</row>
    <row r="729" spans="1:23" ht="19.5" customHeight="1" x14ac:dyDescent="0.2">
      <c r="A729" s="116"/>
      <c r="B729" s="116"/>
      <c r="C729" s="116"/>
      <c r="D729" s="117"/>
      <c r="E729" s="117"/>
      <c r="F729" s="117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</row>
    <row r="730" spans="1:23" ht="19.5" customHeight="1" x14ac:dyDescent="0.2">
      <c r="A730" s="116"/>
      <c r="B730" s="116"/>
      <c r="C730" s="116"/>
      <c r="D730" s="117"/>
      <c r="E730" s="117"/>
      <c r="F730" s="117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</row>
    <row r="731" spans="1:23" ht="19.5" customHeight="1" x14ac:dyDescent="0.2">
      <c r="A731" s="116"/>
      <c r="B731" s="116"/>
      <c r="C731" s="116"/>
      <c r="D731" s="117"/>
      <c r="E731" s="117"/>
      <c r="F731" s="117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</row>
    <row r="732" spans="1:23" ht="19.5" customHeight="1" x14ac:dyDescent="0.2">
      <c r="A732" s="116"/>
      <c r="B732" s="116"/>
      <c r="C732" s="116"/>
      <c r="D732" s="117"/>
      <c r="E732" s="117"/>
      <c r="F732" s="117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</row>
    <row r="733" spans="1:23" ht="19.5" customHeight="1" x14ac:dyDescent="0.2">
      <c r="A733" s="116"/>
      <c r="B733" s="116"/>
      <c r="C733" s="116"/>
      <c r="D733" s="117"/>
      <c r="E733" s="117"/>
      <c r="F733" s="117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</row>
    <row r="734" spans="1:23" ht="19.5" customHeight="1" x14ac:dyDescent="0.2">
      <c r="A734" s="116"/>
      <c r="B734" s="116"/>
      <c r="C734" s="116"/>
      <c r="D734" s="117"/>
      <c r="E734" s="117"/>
      <c r="F734" s="117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</row>
    <row r="735" spans="1:23" ht="19.5" customHeight="1" x14ac:dyDescent="0.2">
      <c r="A735" s="116"/>
      <c r="B735" s="116"/>
      <c r="C735" s="116"/>
      <c r="D735" s="117"/>
      <c r="E735" s="117"/>
      <c r="F735" s="117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</row>
    <row r="736" spans="1:23" ht="19.5" customHeight="1" x14ac:dyDescent="0.2">
      <c r="A736" s="116"/>
      <c r="B736" s="116"/>
      <c r="C736" s="116"/>
      <c r="D736" s="117"/>
      <c r="E736" s="117"/>
      <c r="F736" s="117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</row>
    <row r="737" spans="1:23" ht="19.5" customHeight="1" x14ac:dyDescent="0.2">
      <c r="A737" s="116"/>
      <c r="B737" s="116"/>
      <c r="C737" s="116"/>
      <c r="D737" s="117"/>
      <c r="E737" s="117"/>
      <c r="F737" s="117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</row>
    <row r="738" spans="1:23" ht="19.5" customHeight="1" x14ac:dyDescent="0.2">
      <c r="A738" s="116"/>
      <c r="B738" s="116"/>
      <c r="C738" s="116"/>
      <c r="D738" s="117"/>
      <c r="E738" s="117"/>
      <c r="F738" s="117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</row>
    <row r="739" spans="1:23" ht="19.5" customHeight="1" x14ac:dyDescent="0.2">
      <c r="A739" s="116"/>
      <c r="B739" s="116"/>
      <c r="C739" s="116"/>
      <c r="D739" s="117"/>
      <c r="E739" s="117"/>
      <c r="F739" s="117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</row>
    <row r="740" spans="1:23" ht="19.5" customHeight="1" x14ac:dyDescent="0.2">
      <c r="A740" s="116"/>
      <c r="B740" s="116"/>
      <c r="C740" s="116"/>
      <c r="D740" s="117"/>
      <c r="E740" s="117"/>
      <c r="F740" s="117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</row>
    <row r="741" spans="1:23" ht="19.5" customHeight="1" x14ac:dyDescent="0.2">
      <c r="A741" s="116"/>
      <c r="B741" s="116"/>
      <c r="C741" s="116"/>
      <c r="D741" s="117"/>
      <c r="E741" s="117"/>
      <c r="F741" s="117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</row>
    <row r="742" spans="1:23" ht="19.5" customHeight="1" x14ac:dyDescent="0.2">
      <c r="A742" s="116"/>
      <c r="B742" s="116"/>
      <c r="C742" s="116"/>
      <c r="D742" s="117"/>
      <c r="E742" s="117"/>
      <c r="F742" s="117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</row>
    <row r="743" spans="1:23" ht="19.5" customHeight="1" x14ac:dyDescent="0.2">
      <c r="A743" s="116"/>
      <c r="B743" s="116"/>
      <c r="C743" s="116"/>
      <c r="D743" s="117"/>
      <c r="E743" s="117"/>
      <c r="F743" s="117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</row>
    <row r="744" spans="1:23" ht="19.5" customHeight="1" x14ac:dyDescent="0.2">
      <c r="A744" s="116"/>
      <c r="B744" s="116"/>
      <c r="C744" s="116"/>
      <c r="D744" s="117"/>
      <c r="E744" s="117"/>
      <c r="F744" s="117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</row>
    <row r="745" spans="1:23" ht="19.5" customHeight="1" x14ac:dyDescent="0.2">
      <c r="A745" s="116"/>
      <c r="B745" s="116"/>
      <c r="C745" s="116"/>
      <c r="D745" s="117"/>
      <c r="E745" s="117"/>
      <c r="F745" s="117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</row>
    <row r="746" spans="1:23" ht="19.5" customHeight="1" x14ac:dyDescent="0.2">
      <c r="A746" s="116"/>
      <c r="B746" s="116"/>
      <c r="C746" s="116"/>
      <c r="D746" s="117"/>
      <c r="E746" s="117"/>
      <c r="F746" s="117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</row>
    <row r="747" spans="1:23" ht="19.5" customHeight="1" x14ac:dyDescent="0.2">
      <c r="A747" s="116"/>
      <c r="B747" s="116"/>
      <c r="C747" s="116"/>
      <c r="D747" s="117"/>
      <c r="E747" s="117"/>
      <c r="F747" s="117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</row>
    <row r="748" spans="1:23" ht="19.5" customHeight="1" x14ac:dyDescent="0.2">
      <c r="A748" s="116"/>
      <c r="B748" s="116"/>
      <c r="C748" s="116"/>
      <c r="D748" s="117"/>
      <c r="E748" s="117"/>
      <c r="F748" s="117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</row>
    <row r="749" spans="1:23" ht="19.5" customHeight="1" x14ac:dyDescent="0.2">
      <c r="A749" s="116"/>
      <c r="B749" s="116"/>
      <c r="C749" s="116"/>
      <c r="D749" s="117"/>
      <c r="E749" s="117"/>
      <c r="F749" s="117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</row>
    <row r="750" spans="1:23" ht="19.5" customHeight="1" x14ac:dyDescent="0.2">
      <c r="A750" s="116"/>
      <c r="B750" s="116"/>
      <c r="C750" s="116"/>
      <c r="D750" s="117"/>
      <c r="E750" s="117"/>
      <c r="F750" s="117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</row>
    <row r="751" spans="1:23" ht="19.5" customHeight="1" x14ac:dyDescent="0.2">
      <c r="A751" s="116"/>
      <c r="B751" s="116"/>
      <c r="C751" s="116"/>
      <c r="D751" s="117"/>
      <c r="E751" s="117"/>
      <c r="F751" s="117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</row>
    <row r="752" spans="1:23" ht="19.5" customHeight="1" x14ac:dyDescent="0.2">
      <c r="A752" s="116"/>
      <c r="B752" s="116"/>
      <c r="C752" s="116"/>
      <c r="D752" s="117"/>
      <c r="E752" s="117"/>
      <c r="F752" s="117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</row>
    <row r="753" spans="1:23" ht="19.5" customHeight="1" x14ac:dyDescent="0.2">
      <c r="A753" s="116"/>
      <c r="B753" s="116"/>
      <c r="C753" s="116"/>
      <c r="D753" s="117"/>
      <c r="E753" s="117"/>
      <c r="F753" s="117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</row>
    <row r="754" spans="1:23" ht="19.5" customHeight="1" x14ac:dyDescent="0.2">
      <c r="A754" s="116"/>
      <c r="B754" s="116"/>
      <c r="C754" s="116"/>
      <c r="D754" s="117"/>
      <c r="E754" s="117"/>
      <c r="F754" s="117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</row>
    <row r="755" spans="1:23" ht="19.5" customHeight="1" x14ac:dyDescent="0.2">
      <c r="A755" s="116"/>
      <c r="B755" s="116"/>
      <c r="C755" s="116"/>
      <c r="D755" s="117"/>
      <c r="E755" s="117"/>
      <c r="F755" s="117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</row>
    <row r="756" spans="1:23" ht="19.5" customHeight="1" x14ac:dyDescent="0.2">
      <c r="A756" s="116"/>
      <c r="B756" s="116"/>
      <c r="C756" s="116"/>
      <c r="D756" s="117"/>
      <c r="E756" s="117"/>
      <c r="F756" s="117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</row>
    <row r="757" spans="1:23" ht="19.5" customHeight="1" x14ac:dyDescent="0.2">
      <c r="A757" s="116"/>
      <c r="B757" s="116"/>
      <c r="C757" s="116"/>
      <c r="D757" s="117"/>
      <c r="E757" s="117"/>
      <c r="F757" s="117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</row>
    <row r="758" spans="1:23" ht="19.5" customHeight="1" x14ac:dyDescent="0.2">
      <c r="A758" s="116"/>
      <c r="B758" s="116"/>
      <c r="C758" s="116"/>
      <c r="D758" s="117"/>
      <c r="E758" s="117"/>
      <c r="F758" s="117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</row>
    <row r="759" spans="1:23" ht="19.5" customHeight="1" x14ac:dyDescent="0.2">
      <c r="A759" s="116"/>
      <c r="B759" s="116"/>
      <c r="C759" s="116"/>
      <c r="D759" s="117"/>
      <c r="E759" s="117"/>
      <c r="F759" s="117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</row>
    <row r="760" spans="1:23" ht="19.5" customHeight="1" x14ac:dyDescent="0.2">
      <c r="A760" s="116"/>
      <c r="B760" s="116"/>
      <c r="C760" s="116"/>
      <c r="D760" s="117"/>
      <c r="E760" s="117"/>
      <c r="F760" s="117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</row>
    <row r="761" spans="1:23" ht="19.5" customHeight="1" x14ac:dyDescent="0.2">
      <c r="A761" s="116"/>
      <c r="B761" s="116"/>
      <c r="C761" s="116"/>
      <c r="D761" s="117"/>
      <c r="E761" s="117"/>
      <c r="F761" s="117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</row>
    <row r="762" spans="1:23" ht="19.5" customHeight="1" x14ac:dyDescent="0.2">
      <c r="A762" s="116"/>
      <c r="B762" s="116"/>
      <c r="C762" s="116"/>
      <c r="D762" s="117"/>
      <c r="E762" s="117"/>
      <c r="F762" s="117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</row>
    <row r="763" spans="1:23" ht="19.5" customHeight="1" x14ac:dyDescent="0.2">
      <c r="A763" s="116"/>
      <c r="B763" s="116"/>
      <c r="C763" s="116"/>
      <c r="D763" s="117"/>
      <c r="E763" s="117"/>
      <c r="F763" s="117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</row>
    <row r="764" spans="1:23" ht="19.5" customHeight="1" x14ac:dyDescent="0.2">
      <c r="A764" s="116"/>
      <c r="B764" s="116"/>
      <c r="C764" s="116"/>
      <c r="D764" s="117"/>
      <c r="E764" s="117"/>
      <c r="F764" s="117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</row>
    <row r="765" spans="1:23" ht="19.5" customHeight="1" x14ac:dyDescent="0.2">
      <c r="A765" s="116"/>
      <c r="B765" s="116"/>
      <c r="C765" s="116"/>
      <c r="D765" s="117"/>
      <c r="E765" s="117"/>
      <c r="F765" s="117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</row>
    <row r="766" spans="1:23" ht="19.5" customHeight="1" x14ac:dyDescent="0.2">
      <c r="A766" s="116"/>
      <c r="B766" s="116"/>
      <c r="C766" s="116"/>
      <c r="D766" s="117"/>
      <c r="E766" s="117"/>
      <c r="F766" s="117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</row>
    <row r="767" spans="1:23" ht="19.5" customHeight="1" x14ac:dyDescent="0.2">
      <c r="A767" s="116"/>
      <c r="B767" s="116"/>
      <c r="C767" s="116"/>
      <c r="D767" s="117"/>
      <c r="E767" s="117"/>
      <c r="F767" s="117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</row>
    <row r="768" spans="1:23" ht="19.5" customHeight="1" x14ac:dyDescent="0.2">
      <c r="A768" s="116"/>
      <c r="B768" s="116"/>
      <c r="C768" s="116"/>
      <c r="D768" s="117"/>
      <c r="E768" s="117"/>
      <c r="F768" s="117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</row>
    <row r="769" spans="1:23" ht="19.5" customHeight="1" x14ac:dyDescent="0.2">
      <c r="A769" s="116"/>
      <c r="B769" s="116"/>
      <c r="C769" s="116"/>
      <c r="D769" s="117"/>
      <c r="E769" s="117"/>
      <c r="F769" s="117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</row>
    <row r="770" spans="1:23" ht="19.5" customHeight="1" x14ac:dyDescent="0.2">
      <c r="A770" s="116"/>
      <c r="B770" s="116"/>
      <c r="C770" s="116"/>
      <c r="D770" s="117"/>
      <c r="E770" s="117"/>
      <c r="F770" s="117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</row>
    <row r="771" spans="1:23" ht="19.5" customHeight="1" x14ac:dyDescent="0.2">
      <c r="A771" s="116"/>
      <c r="B771" s="116"/>
      <c r="C771" s="116"/>
      <c r="D771" s="117"/>
      <c r="E771" s="117"/>
      <c r="F771" s="117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</row>
    <row r="772" spans="1:23" ht="19.5" customHeight="1" x14ac:dyDescent="0.2">
      <c r="A772" s="116"/>
      <c r="B772" s="116"/>
      <c r="C772" s="116"/>
      <c r="D772" s="117"/>
      <c r="E772" s="117"/>
      <c r="F772" s="117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</row>
    <row r="773" spans="1:23" ht="19.5" customHeight="1" x14ac:dyDescent="0.2">
      <c r="A773" s="116"/>
      <c r="B773" s="116"/>
      <c r="C773" s="116"/>
      <c r="D773" s="117"/>
      <c r="E773" s="117"/>
      <c r="F773" s="117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</row>
    <row r="774" spans="1:23" ht="19.5" customHeight="1" x14ac:dyDescent="0.2">
      <c r="A774" s="116"/>
      <c r="B774" s="116"/>
      <c r="C774" s="116"/>
      <c r="D774" s="117"/>
      <c r="E774" s="117"/>
      <c r="F774" s="117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</row>
    <row r="775" spans="1:23" ht="19.5" customHeight="1" x14ac:dyDescent="0.2">
      <c r="A775" s="116"/>
      <c r="B775" s="116"/>
      <c r="C775" s="116"/>
      <c r="D775" s="117"/>
      <c r="E775" s="117"/>
      <c r="F775" s="117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</row>
    <row r="776" spans="1:23" ht="19.5" customHeight="1" x14ac:dyDescent="0.2">
      <c r="A776" s="116"/>
      <c r="B776" s="116"/>
      <c r="C776" s="116"/>
      <c r="D776" s="117"/>
      <c r="E776" s="117"/>
      <c r="F776" s="117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</row>
    <row r="777" spans="1:23" ht="19.5" customHeight="1" x14ac:dyDescent="0.2">
      <c r="A777" s="116"/>
      <c r="B777" s="116"/>
      <c r="C777" s="116"/>
      <c r="D777" s="117"/>
      <c r="E777" s="117"/>
      <c r="F777" s="117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</row>
    <row r="778" spans="1:23" ht="19.5" customHeight="1" x14ac:dyDescent="0.2">
      <c r="A778" s="116"/>
      <c r="B778" s="116"/>
      <c r="C778" s="116"/>
      <c r="D778" s="117"/>
      <c r="E778" s="117"/>
      <c r="F778" s="117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</row>
    <row r="779" spans="1:23" ht="19.5" customHeight="1" x14ac:dyDescent="0.2">
      <c r="A779" s="116"/>
      <c r="B779" s="116"/>
      <c r="C779" s="116"/>
      <c r="D779" s="117"/>
      <c r="E779" s="117"/>
      <c r="F779" s="117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</row>
    <row r="780" spans="1:23" ht="19.5" customHeight="1" x14ac:dyDescent="0.2">
      <c r="A780" s="116"/>
      <c r="B780" s="116"/>
      <c r="C780" s="116"/>
      <c r="D780" s="117"/>
      <c r="E780" s="117"/>
      <c r="F780" s="117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</row>
    <row r="781" spans="1:23" ht="19.5" customHeight="1" x14ac:dyDescent="0.2">
      <c r="A781" s="116"/>
      <c r="B781" s="116"/>
      <c r="C781" s="116"/>
      <c r="D781" s="117"/>
      <c r="E781" s="117"/>
      <c r="F781" s="117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</row>
    <row r="782" spans="1:23" ht="19.5" customHeight="1" x14ac:dyDescent="0.2">
      <c r="A782" s="116"/>
      <c r="B782" s="116"/>
      <c r="C782" s="116"/>
      <c r="D782" s="117"/>
      <c r="E782" s="117"/>
      <c r="F782" s="117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</row>
    <row r="783" spans="1:23" ht="19.5" customHeight="1" x14ac:dyDescent="0.2">
      <c r="A783" s="116"/>
      <c r="B783" s="116"/>
      <c r="C783" s="116"/>
      <c r="D783" s="117"/>
      <c r="E783" s="117"/>
      <c r="F783" s="117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</row>
    <row r="784" spans="1:23" ht="19.5" customHeight="1" x14ac:dyDescent="0.2">
      <c r="A784" s="116"/>
      <c r="B784" s="116"/>
      <c r="C784" s="116"/>
      <c r="D784" s="117"/>
      <c r="E784" s="117"/>
      <c r="F784" s="117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</row>
    <row r="785" spans="1:23" ht="19.5" customHeight="1" x14ac:dyDescent="0.2">
      <c r="A785" s="116"/>
      <c r="B785" s="116"/>
      <c r="C785" s="116"/>
      <c r="D785" s="117"/>
      <c r="E785" s="117"/>
      <c r="F785" s="117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</row>
    <row r="786" spans="1:23" ht="19.5" customHeight="1" x14ac:dyDescent="0.2">
      <c r="A786" s="116"/>
      <c r="B786" s="116"/>
      <c r="C786" s="116"/>
      <c r="D786" s="117"/>
      <c r="E786" s="117"/>
      <c r="F786" s="117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</row>
    <row r="787" spans="1:23" ht="19.5" customHeight="1" x14ac:dyDescent="0.2">
      <c r="A787" s="116"/>
      <c r="B787" s="116"/>
      <c r="C787" s="116"/>
      <c r="D787" s="117"/>
      <c r="E787" s="117"/>
      <c r="F787" s="117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</row>
    <row r="788" spans="1:23" ht="19.5" customHeight="1" x14ac:dyDescent="0.2">
      <c r="A788" s="116"/>
      <c r="B788" s="116"/>
      <c r="C788" s="116"/>
      <c r="D788" s="117"/>
      <c r="E788" s="117"/>
      <c r="F788" s="117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</row>
    <row r="789" spans="1:23" ht="19.5" customHeight="1" x14ac:dyDescent="0.2">
      <c r="A789" s="116"/>
      <c r="B789" s="116"/>
      <c r="C789" s="116"/>
      <c r="D789" s="117"/>
      <c r="E789" s="117"/>
      <c r="F789" s="117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</row>
    <row r="790" spans="1:23" ht="19.5" customHeight="1" x14ac:dyDescent="0.2">
      <c r="A790" s="116"/>
      <c r="B790" s="116"/>
      <c r="C790" s="116"/>
      <c r="D790" s="117"/>
      <c r="E790" s="117"/>
      <c r="F790" s="117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</row>
    <row r="791" spans="1:23" ht="19.5" customHeight="1" x14ac:dyDescent="0.2">
      <c r="A791" s="116"/>
      <c r="B791" s="116"/>
      <c r="C791" s="116"/>
      <c r="D791" s="117"/>
      <c r="E791" s="117"/>
      <c r="F791" s="117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</row>
    <row r="792" spans="1:23" ht="19.5" customHeight="1" x14ac:dyDescent="0.2">
      <c r="A792" s="116"/>
      <c r="B792" s="116"/>
      <c r="C792" s="116"/>
      <c r="D792" s="117"/>
      <c r="E792" s="117"/>
      <c r="F792" s="117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</row>
    <row r="793" spans="1:23" ht="19.5" customHeight="1" x14ac:dyDescent="0.2">
      <c r="A793" s="116"/>
      <c r="B793" s="116"/>
      <c r="C793" s="116"/>
      <c r="D793" s="117"/>
      <c r="E793" s="117"/>
      <c r="F793" s="117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</row>
    <row r="794" spans="1:23" ht="19.5" customHeight="1" x14ac:dyDescent="0.2">
      <c r="A794" s="116"/>
      <c r="B794" s="116"/>
      <c r="C794" s="116"/>
      <c r="D794" s="117"/>
      <c r="E794" s="117"/>
      <c r="F794" s="117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</row>
    <row r="795" spans="1:23" ht="19.5" customHeight="1" x14ac:dyDescent="0.2">
      <c r="A795" s="116"/>
      <c r="B795" s="116"/>
      <c r="C795" s="116"/>
      <c r="D795" s="117"/>
      <c r="E795" s="117"/>
      <c r="F795" s="117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</row>
    <row r="796" spans="1:23" ht="19.5" customHeight="1" x14ac:dyDescent="0.2">
      <c r="A796" s="116"/>
      <c r="B796" s="116"/>
      <c r="C796" s="116"/>
      <c r="D796" s="117"/>
      <c r="E796" s="117"/>
      <c r="F796" s="117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</row>
    <row r="797" spans="1:23" ht="19.5" customHeight="1" x14ac:dyDescent="0.2">
      <c r="A797" s="116"/>
      <c r="B797" s="116"/>
      <c r="C797" s="116"/>
      <c r="D797" s="117"/>
      <c r="E797" s="117"/>
      <c r="F797" s="117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</row>
    <row r="798" spans="1:23" ht="19.5" customHeight="1" x14ac:dyDescent="0.2">
      <c r="A798" s="116"/>
      <c r="B798" s="116"/>
      <c r="C798" s="116"/>
      <c r="D798" s="117"/>
      <c r="E798" s="117"/>
      <c r="F798" s="117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</row>
    <row r="799" spans="1:23" ht="19.5" customHeight="1" x14ac:dyDescent="0.2">
      <c r="A799" s="116"/>
      <c r="B799" s="116"/>
      <c r="C799" s="116"/>
      <c r="D799" s="117"/>
      <c r="E799" s="117"/>
      <c r="F799" s="117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</row>
    <row r="800" spans="1:23" ht="19.5" customHeight="1" x14ac:dyDescent="0.2">
      <c r="A800" s="116"/>
      <c r="B800" s="116"/>
      <c r="C800" s="116"/>
      <c r="D800" s="117"/>
      <c r="E800" s="117"/>
      <c r="F800" s="117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</row>
    <row r="801" spans="1:23" ht="19.5" customHeight="1" x14ac:dyDescent="0.2">
      <c r="A801" s="116"/>
      <c r="B801" s="116"/>
      <c r="C801" s="116"/>
      <c r="D801" s="117"/>
      <c r="E801" s="117"/>
      <c r="F801" s="117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</row>
    <row r="802" spans="1:23" ht="19.5" customHeight="1" x14ac:dyDescent="0.2">
      <c r="A802" s="116"/>
      <c r="B802" s="116"/>
      <c r="C802" s="116"/>
      <c r="D802" s="117"/>
      <c r="E802" s="117"/>
      <c r="F802" s="117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</row>
    <row r="803" spans="1:23" ht="19.5" customHeight="1" x14ac:dyDescent="0.2">
      <c r="A803" s="116"/>
      <c r="B803" s="116"/>
      <c r="C803" s="116"/>
      <c r="D803" s="117"/>
      <c r="E803" s="117"/>
      <c r="F803" s="117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</row>
    <row r="804" spans="1:23" ht="19.5" customHeight="1" x14ac:dyDescent="0.2">
      <c r="A804" s="116"/>
      <c r="B804" s="116"/>
      <c r="C804" s="116"/>
      <c r="D804" s="117"/>
      <c r="E804" s="117"/>
      <c r="F804" s="117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</row>
    <row r="805" spans="1:23" ht="19.5" customHeight="1" x14ac:dyDescent="0.2">
      <c r="A805" s="116"/>
      <c r="B805" s="116"/>
      <c r="C805" s="116"/>
      <c r="D805" s="117"/>
      <c r="E805" s="117"/>
      <c r="F805" s="117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</row>
    <row r="806" spans="1:23" ht="19.5" customHeight="1" x14ac:dyDescent="0.2">
      <c r="A806" s="116"/>
      <c r="B806" s="116"/>
      <c r="C806" s="116"/>
      <c r="D806" s="117"/>
      <c r="E806" s="117"/>
      <c r="F806" s="117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</row>
    <row r="807" spans="1:23" ht="19.5" customHeight="1" x14ac:dyDescent="0.2">
      <c r="A807" s="116"/>
      <c r="B807" s="116"/>
      <c r="C807" s="116"/>
      <c r="D807" s="117"/>
      <c r="E807" s="117"/>
      <c r="F807" s="117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</row>
    <row r="808" spans="1:23" ht="19.5" customHeight="1" x14ac:dyDescent="0.2">
      <c r="A808" s="116"/>
      <c r="B808" s="116"/>
      <c r="C808" s="116"/>
      <c r="D808" s="117"/>
      <c r="E808" s="117"/>
      <c r="F808" s="117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</row>
    <row r="809" spans="1:23" ht="19.5" customHeight="1" x14ac:dyDescent="0.2">
      <c r="A809" s="116"/>
      <c r="B809" s="116"/>
      <c r="C809" s="116"/>
      <c r="D809" s="117"/>
      <c r="E809" s="117"/>
      <c r="F809" s="117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</row>
    <row r="810" spans="1:23" ht="19.5" customHeight="1" x14ac:dyDescent="0.2">
      <c r="A810" s="116"/>
      <c r="B810" s="116"/>
      <c r="C810" s="116"/>
      <c r="D810" s="117"/>
      <c r="E810" s="117"/>
      <c r="F810" s="117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</row>
    <row r="811" spans="1:23" ht="19.5" customHeight="1" x14ac:dyDescent="0.2">
      <c r="A811" s="116"/>
      <c r="B811" s="116"/>
      <c r="C811" s="116"/>
      <c r="D811" s="117"/>
      <c r="E811" s="117"/>
      <c r="F811" s="117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</row>
    <row r="812" spans="1:23" ht="19.5" customHeight="1" x14ac:dyDescent="0.2">
      <c r="A812" s="116"/>
      <c r="B812" s="116"/>
      <c r="C812" s="116"/>
      <c r="D812" s="117"/>
      <c r="E812" s="117"/>
      <c r="F812" s="117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</row>
    <row r="813" spans="1:23" ht="19.5" customHeight="1" x14ac:dyDescent="0.2">
      <c r="A813" s="116"/>
      <c r="B813" s="116"/>
      <c r="C813" s="116"/>
      <c r="D813" s="117"/>
      <c r="E813" s="117"/>
      <c r="F813" s="117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</row>
    <row r="814" spans="1:23" ht="19.5" customHeight="1" x14ac:dyDescent="0.2">
      <c r="A814" s="116"/>
      <c r="B814" s="116"/>
      <c r="C814" s="116"/>
      <c r="D814" s="117"/>
      <c r="E814" s="117"/>
      <c r="F814" s="117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</row>
    <row r="815" spans="1:23" ht="19.5" customHeight="1" x14ac:dyDescent="0.2">
      <c r="A815" s="116"/>
      <c r="B815" s="116"/>
      <c r="C815" s="116"/>
      <c r="D815" s="117"/>
      <c r="E815" s="117"/>
      <c r="F815" s="117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</row>
    <row r="816" spans="1:23" ht="19.5" customHeight="1" x14ac:dyDescent="0.2">
      <c r="A816" s="116"/>
      <c r="B816" s="116"/>
      <c r="C816" s="116"/>
      <c r="D816" s="117"/>
      <c r="E816" s="117"/>
      <c r="F816" s="117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</row>
    <row r="817" spans="1:23" ht="19.5" customHeight="1" x14ac:dyDescent="0.2">
      <c r="A817" s="116"/>
      <c r="B817" s="116"/>
      <c r="C817" s="116"/>
      <c r="D817" s="117"/>
      <c r="E817" s="117"/>
      <c r="F817" s="117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</row>
    <row r="818" spans="1:23" ht="19.5" customHeight="1" x14ac:dyDescent="0.2">
      <c r="A818" s="116"/>
      <c r="B818" s="116"/>
      <c r="C818" s="116"/>
      <c r="D818" s="117"/>
      <c r="E818" s="117"/>
      <c r="F818" s="117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</row>
    <row r="819" spans="1:23" ht="19.5" customHeight="1" x14ac:dyDescent="0.2">
      <c r="A819" s="116"/>
      <c r="B819" s="116"/>
      <c r="C819" s="116"/>
      <c r="D819" s="117"/>
      <c r="E819" s="117"/>
      <c r="F819" s="117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</row>
    <row r="820" spans="1:23" ht="19.5" customHeight="1" x14ac:dyDescent="0.2">
      <c r="A820" s="116"/>
      <c r="B820" s="116"/>
      <c r="C820" s="116"/>
      <c r="D820" s="117"/>
      <c r="E820" s="117"/>
      <c r="F820" s="117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</row>
    <row r="821" spans="1:23" ht="19.5" customHeight="1" x14ac:dyDescent="0.2">
      <c r="A821" s="116"/>
      <c r="B821" s="116"/>
      <c r="C821" s="116"/>
      <c r="D821" s="117"/>
      <c r="E821" s="117"/>
      <c r="F821" s="117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</row>
    <row r="822" spans="1:23" ht="19.5" customHeight="1" x14ac:dyDescent="0.2">
      <c r="A822" s="116"/>
      <c r="B822" s="116"/>
      <c r="C822" s="116"/>
      <c r="D822" s="117"/>
      <c r="E822" s="117"/>
      <c r="F822" s="117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</row>
    <row r="823" spans="1:23" ht="19.5" customHeight="1" x14ac:dyDescent="0.2">
      <c r="A823" s="116"/>
      <c r="B823" s="116"/>
      <c r="C823" s="116"/>
      <c r="D823" s="117"/>
      <c r="E823" s="117"/>
      <c r="F823" s="117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</row>
    <row r="824" spans="1:23" ht="19.5" customHeight="1" x14ac:dyDescent="0.2">
      <c r="A824" s="116"/>
      <c r="B824" s="116"/>
      <c r="C824" s="116"/>
      <c r="D824" s="117"/>
      <c r="E824" s="117"/>
      <c r="F824" s="117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</row>
    <row r="825" spans="1:23" ht="19.5" customHeight="1" x14ac:dyDescent="0.2">
      <c r="A825" s="116"/>
      <c r="B825" s="116"/>
      <c r="C825" s="116"/>
      <c r="D825" s="117"/>
      <c r="E825" s="117"/>
      <c r="F825" s="117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</row>
    <row r="826" spans="1:23" ht="19.5" customHeight="1" x14ac:dyDescent="0.2">
      <c r="A826" s="116"/>
      <c r="B826" s="116"/>
      <c r="C826" s="116"/>
      <c r="D826" s="117"/>
      <c r="E826" s="117"/>
      <c r="F826" s="117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</row>
    <row r="827" spans="1:23" ht="19.5" customHeight="1" x14ac:dyDescent="0.2">
      <c r="A827" s="116"/>
      <c r="B827" s="116"/>
      <c r="C827" s="116"/>
      <c r="D827" s="117"/>
      <c r="E827" s="117"/>
      <c r="F827" s="117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</row>
    <row r="828" spans="1:23" ht="19.5" customHeight="1" x14ac:dyDescent="0.2">
      <c r="A828" s="116"/>
      <c r="B828" s="116"/>
      <c r="C828" s="116"/>
      <c r="D828" s="117"/>
      <c r="E828" s="117"/>
      <c r="F828" s="117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</row>
    <row r="829" spans="1:23" ht="19.5" customHeight="1" x14ac:dyDescent="0.2">
      <c r="A829" s="116"/>
      <c r="B829" s="116"/>
      <c r="C829" s="116"/>
      <c r="D829" s="117"/>
      <c r="E829" s="117"/>
      <c r="F829" s="117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</row>
    <row r="830" spans="1:23" ht="19.5" customHeight="1" x14ac:dyDescent="0.2">
      <c r="A830" s="116"/>
      <c r="B830" s="116"/>
      <c r="C830" s="116"/>
      <c r="D830" s="117"/>
      <c r="E830" s="117"/>
      <c r="F830" s="117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</row>
    <row r="831" spans="1:23" ht="19.5" customHeight="1" x14ac:dyDescent="0.2">
      <c r="A831" s="116"/>
      <c r="B831" s="116"/>
      <c r="C831" s="116"/>
      <c r="D831" s="117"/>
      <c r="E831" s="117"/>
      <c r="F831" s="117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</row>
    <row r="832" spans="1:23" ht="19.5" customHeight="1" x14ac:dyDescent="0.2">
      <c r="A832" s="116"/>
      <c r="B832" s="116"/>
      <c r="C832" s="116"/>
      <c r="D832" s="117"/>
      <c r="E832" s="117"/>
      <c r="F832" s="117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</row>
    <row r="833" spans="1:23" ht="19.5" customHeight="1" x14ac:dyDescent="0.2">
      <c r="A833" s="116"/>
      <c r="B833" s="116"/>
      <c r="C833" s="116"/>
      <c r="D833" s="117"/>
      <c r="E833" s="117"/>
      <c r="F833" s="117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</row>
    <row r="834" spans="1:23" ht="19.5" customHeight="1" x14ac:dyDescent="0.2">
      <c r="A834" s="116"/>
      <c r="B834" s="116"/>
      <c r="C834" s="116"/>
      <c r="D834" s="117"/>
      <c r="E834" s="117"/>
      <c r="F834" s="117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</row>
    <row r="835" spans="1:23" ht="19.5" customHeight="1" x14ac:dyDescent="0.2">
      <c r="A835" s="116"/>
      <c r="B835" s="116"/>
      <c r="C835" s="116"/>
      <c r="D835" s="117"/>
      <c r="E835" s="117"/>
      <c r="F835" s="117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</row>
    <row r="836" spans="1:23" ht="19.5" customHeight="1" x14ac:dyDescent="0.2">
      <c r="A836" s="116"/>
      <c r="B836" s="116"/>
      <c r="C836" s="116"/>
      <c r="D836" s="117"/>
      <c r="E836" s="117"/>
      <c r="F836" s="117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</row>
    <row r="837" spans="1:23" ht="19.5" customHeight="1" x14ac:dyDescent="0.2">
      <c r="A837" s="116"/>
      <c r="B837" s="116"/>
      <c r="C837" s="116"/>
      <c r="D837" s="117"/>
      <c r="E837" s="117"/>
      <c r="F837" s="117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</row>
    <row r="838" spans="1:23" ht="19.5" customHeight="1" x14ac:dyDescent="0.2">
      <c r="A838" s="116"/>
      <c r="B838" s="116"/>
      <c r="C838" s="116"/>
      <c r="D838" s="117"/>
      <c r="E838" s="117"/>
      <c r="F838" s="117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</row>
    <row r="839" spans="1:23" ht="19.5" customHeight="1" x14ac:dyDescent="0.2">
      <c r="A839" s="116"/>
      <c r="B839" s="116"/>
      <c r="C839" s="116"/>
      <c r="D839" s="117"/>
      <c r="E839" s="117"/>
      <c r="F839" s="117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</row>
    <row r="840" spans="1:23" ht="19.5" customHeight="1" x14ac:dyDescent="0.2">
      <c r="A840" s="116"/>
      <c r="B840" s="116"/>
      <c r="C840" s="116"/>
      <c r="D840" s="117"/>
      <c r="E840" s="117"/>
      <c r="F840" s="117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</row>
    <row r="841" spans="1:23" ht="19.5" customHeight="1" x14ac:dyDescent="0.2">
      <c r="A841" s="116"/>
      <c r="B841" s="116"/>
      <c r="C841" s="116"/>
      <c r="D841" s="117"/>
      <c r="E841" s="117"/>
      <c r="F841" s="117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</row>
    <row r="842" spans="1:23" ht="19.5" customHeight="1" x14ac:dyDescent="0.2">
      <c r="A842" s="116"/>
      <c r="B842" s="116"/>
      <c r="C842" s="116"/>
      <c r="D842" s="117"/>
      <c r="E842" s="117"/>
      <c r="F842" s="117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</row>
    <row r="843" spans="1:23" ht="19.5" customHeight="1" x14ac:dyDescent="0.2">
      <c r="A843" s="116"/>
      <c r="B843" s="116"/>
      <c r="C843" s="116"/>
      <c r="D843" s="117"/>
      <c r="E843" s="117"/>
      <c r="F843" s="117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</row>
    <row r="844" spans="1:23" ht="19.5" customHeight="1" x14ac:dyDescent="0.2">
      <c r="A844" s="116"/>
      <c r="B844" s="116"/>
      <c r="C844" s="116"/>
      <c r="D844" s="117"/>
      <c r="E844" s="117"/>
      <c r="F844" s="117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</row>
    <row r="845" spans="1:23" ht="19.5" customHeight="1" x14ac:dyDescent="0.2">
      <c r="A845" s="116"/>
      <c r="B845" s="116"/>
      <c r="C845" s="116"/>
      <c r="D845" s="117"/>
      <c r="E845" s="117"/>
      <c r="F845" s="117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</row>
    <row r="846" spans="1:23" ht="19.5" customHeight="1" x14ac:dyDescent="0.2">
      <c r="A846" s="116"/>
      <c r="B846" s="116"/>
      <c r="C846" s="116"/>
      <c r="D846" s="117"/>
      <c r="E846" s="117"/>
      <c r="F846" s="117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</row>
    <row r="847" spans="1:23" ht="19.5" customHeight="1" x14ac:dyDescent="0.2">
      <c r="A847" s="116"/>
      <c r="B847" s="116"/>
      <c r="C847" s="116"/>
      <c r="D847" s="117"/>
      <c r="E847" s="117"/>
      <c r="F847" s="117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</row>
    <row r="848" spans="1:23" ht="19.5" customHeight="1" x14ac:dyDescent="0.2">
      <c r="A848" s="116"/>
      <c r="B848" s="116"/>
      <c r="C848" s="116"/>
      <c r="D848" s="117"/>
      <c r="E848" s="117"/>
      <c r="F848" s="117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</row>
    <row r="849" spans="1:23" ht="19.5" customHeight="1" x14ac:dyDescent="0.2">
      <c r="A849" s="116"/>
      <c r="B849" s="116"/>
      <c r="C849" s="116"/>
      <c r="D849" s="117"/>
      <c r="E849" s="117"/>
      <c r="F849" s="117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</row>
    <row r="850" spans="1:23" ht="19.5" customHeight="1" x14ac:dyDescent="0.2">
      <c r="A850" s="116"/>
      <c r="B850" s="116"/>
      <c r="C850" s="116"/>
      <c r="D850" s="117"/>
      <c r="E850" s="117"/>
      <c r="F850" s="117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</row>
    <row r="851" spans="1:23" ht="19.5" customHeight="1" x14ac:dyDescent="0.2">
      <c r="A851" s="116"/>
      <c r="B851" s="116"/>
      <c r="C851" s="116"/>
      <c r="D851" s="117"/>
      <c r="E851" s="117"/>
      <c r="F851" s="117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</row>
    <row r="852" spans="1:23" ht="19.5" customHeight="1" x14ac:dyDescent="0.2">
      <c r="A852" s="116"/>
      <c r="B852" s="116"/>
      <c r="C852" s="116"/>
      <c r="D852" s="117"/>
      <c r="E852" s="117"/>
      <c r="F852" s="117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</row>
    <row r="853" spans="1:23" ht="19.5" customHeight="1" x14ac:dyDescent="0.2">
      <c r="A853" s="116"/>
      <c r="B853" s="116"/>
      <c r="C853" s="116"/>
      <c r="D853" s="117"/>
      <c r="E853" s="117"/>
      <c r="F853" s="117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</row>
    <row r="854" spans="1:23" ht="19.5" customHeight="1" x14ac:dyDescent="0.2">
      <c r="A854" s="116"/>
      <c r="B854" s="116"/>
      <c r="C854" s="116"/>
      <c r="D854" s="117"/>
      <c r="E854" s="117"/>
      <c r="F854" s="117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</row>
    <row r="855" spans="1:23" ht="19.5" customHeight="1" x14ac:dyDescent="0.2">
      <c r="A855" s="116"/>
      <c r="B855" s="116"/>
      <c r="C855" s="116"/>
      <c r="D855" s="117"/>
      <c r="E855" s="117"/>
      <c r="F855" s="117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</row>
    <row r="856" spans="1:23" ht="19.5" customHeight="1" x14ac:dyDescent="0.2">
      <c r="A856" s="116"/>
      <c r="B856" s="116"/>
      <c r="C856" s="116"/>
      <c r="D856" s="117"/>
      <c r="E856" s="117"/>
      <c r="F856" s="117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</row>
    <row r="857" spans="1:23" ht="19.5" customHeight="1" x14ac:dyDescent="0.2">
      <c r="A857" s="116"/>
      <c r="B857" s="116"/>
      <c r="C857" s="116"/>
      <c r="D857" s="117"/>
      <c r="E857" s="117"/>
      <c r="F857" s="117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</row>
    <row r="858" spans="1:23" ht="19.5" customHeight="1" x14ac:dyDescent="0.2">
      <c r="A858" s="116"/>
      <c r="B858" s="116"/>
      <c r="C858" s="116"/>
      <c r="D858" s="117"/>
      <c r="E858" s="117"/>
      <c r="F858" s="117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</row>
    <row r="859" spans="1:23" ht="19.5" customHeight="1" x14ac:dyDescent="0.2">
      <c r="A859" s="116"/>
      <c r="B859" s="116"/>
      <c r="C859" s="116"/>
      <c r="D859" s="117"/>
      <c r="E859" s="117"/>
      <c r="F859" s="117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</row>
    <row r="860" spans="1:23" ht="19.5" customHeight="1" x14ac:dyDescent="0.2">
      <c r="A860" s="116"/>
      <c r="B860" s="116"/>
      <c r="C860" s="116"/>
      <c r="D860" s="117"/>
      <c r="E860" s="117"/>
      <c r="F860" s="117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</row>
    <row r="861" spans="1:23" ht="19.5" customHeight="1" x14ac:dyDescent="0.2">
      <c r="A861" s="116"/>
      <c r="B861" s="116"/>
      <c r="C861" s="116"/>
      <c r="D861" s="117"/>
      <c r="E861" s="117"/>
      <c r="F861" s="117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</row>
    <row r="862" spans="1:23" ht="19.5" customHeight="1" x14ac:dyDescent="0.2">
      <c r="A862" s="116"/>
      <c r="B862" s="116"/>
      <c r="C862" s="116"/>
      <c r="D862" s="117"/>
      <c r="E862" s="117"/>
      <c r="F862" s="117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</row>
    <row r="863" spans="1:23" ht="19.5" customHeight="1" x14ac:dyDescent="0.2">
      <c r="A863" s="116"/>
      <c r="B863" s="116"/>
      <c r="C863" s="116"/>
      <c r="D863" s="117"/>
      <c r="E863" s="117"/>
      <c r="F863" s="117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</row>
    <row r="864" spans="1:23" ht="19.5" customHeight="1" x14ac:dyDescent="0.2">
      <c r="A864" s="116"/>
      <c r="B864" s="116"/>
      <c r="C864" s="116"/>
      <c r="D864" s="117"/>
      <c r="E864" s="117"/>
      <c r="F864" s="117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</row>
    <row r="865" spans="1:23" ht="19.5" customHeight="1" x14ac:dyDescent="0.2">
      <c r="A865" s="116"/>
      <c r="B865" s="116"/>
      <c r="C865" s="116"/>
      <c r="D865" s="117"/>
      <c r="E865" s="117"/>
      <c r="F865" s="117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</row>
    <row r="866" spans="1:23" ht="19.5" customHeight="1" x14ac:dyDescent="0.2">
      <c r="A866" s="116"/>
      <c r="B866" s="116"/>
      <c r="C866" s="116"/>
      <c r="D866" s="117"/>
      <c r="E866" s="117"/>
      <c r="F866" s="117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</row>
    <row r="867" spans="1:23" ht="19.5" customHeight="1" x14ac:dyDescent="0.2">
      <c r="A867" s="116"/>
      <c r="B867" s="116"/>
      <c r="C867" s="116"/>
      <c r="D867" s="117"/>
      <c r="E867" s="117"/>
      <c r="F867" s="117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</row>
    <row r="868" spans="1:23" ht="19.5" customHeight="1" x14ac:dyDescent="0.2">
      <c r="A868" s="116"/>
      <c r="B868" s="116"/>
      <c r="C868" s="116"/>
      <c r="D868" s="117"/>
      <c r="E868" s="117"/>
      <c r="F868" s="117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</row>
    <row r="869" spans="1:23" ht="19.5" customHeight="1" x14ac:dyDescent="0.2">
      <c r="A869" s="116"/>
      <c r="B869" s="116"/>
      <c r="C869" s="116"/>
      <c r="D869" s="117"/>
      <c r="E869" s="117"/>
      <c r="F869" s="117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</row>
    <row r="870" spans="1:23" ht="19.5" customHeight="1" x14ac:dyDescent="0.2">
      <c r="A870" s="116"/>
      <c r="B870" s="116"/>
      <c r="C870" s="116"/>
      <c r="D870" s="117"/>
      <c r="E870" s="117"/>
      <c r="F870" s="117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</row>
    <row r="871" spans="1:23" ht="19.5" customHeight="1" x14ac:dyDescent="0.2">
      <c r="A871" s="116"/>
      <c r="B871" s="116"/>
      <c r="C871" s="116"/>
      <c r="D871" s="117"/>
      <c r="E871" s="117"/>
      <c r="F871" s="117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</row>
    <row r="872" spans="1:23" ht="19.5" customHeight="1" x14ac:dyDescent="0.2">
      <c r="A872" s="116"/>
      <c r="B872" s="116"/>
      <c r="C872" s="116"/>
      <c r="D872" s="117"/>
      <c r="E872" s="117"/>
      <c r="F872" s="117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</row>
    <row r="873" spans="1:23" ht="19.5" customHeight="1" x14ac:dyDescent="0.2">
      <c r="A873" s="116"/>
      <c r="B873" s="116"/>
      <c r="C873" s="116"/>
      <c r="D873" s="117"/>
      <c r="E873" s="117"/>
      <c r="F873" s="117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</row>
    <row r="874" spans="1:23" ht="19.5" customHeight="1" x14ac:dyDescent="0.2">
      <c r="A874" s="116"/>
      <c r="B874" s="116"/>
      <c r="C874" s="116"/>
      <c r="D874" s="117"/>
      <c r="E874" s="117"/>
      <c r="F874" s="117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</row>
    <row r="875" spans="1:23" ht="19.5" customHeight="1" x14ac:dyDescent="0.2">
      <c r="A875" s="116"/>
      <c r="B875" s="116"/>
      <c r="C875" s="116"/>
      <c r="D875" s="117"/>
      <c r="E875" s="117"/>
      <c r="F875" s="117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</row>
    <row r="876" spans="1:23" ht="19.5" customHeight="1" x14ac:dyDescent="0.2">
      <c r="A876" s="116"/>
      <c r="B876" s="116"/>
      <c r="C876" s="116"/>
      <c r="D876" s="117"/>
      <c r="E876" s="117"/>
      <c r="F876" s="117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</row>
    <row r="877" spans="1:23" ht="19.5" customHeight="1" x14ac:dyDescent="0.2">
      <c r="A877" s="116"/>
      <c r="B877" s="116"/>
      <c r="C877" s="116"/>
      <c r="D877" s="117"/>
      <c r="E877" s="117"/>
      <c r="F877" s="117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</row>
    <row r="878" spans="1:23" ht="19.5" customHeight="1" x14ac:dyDescent="0.2">
      <c r="A878" s="116"/>
      <c r="B878" s="116"/>
      <c r="C878" s="116"/>
      <c r="D878" s="117"/>
      <c r="E878" s="117"/>
      <c r="F878" s="117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</row>
    <row r="879" spans="1:23" ht="19.5" customHeight="1" x14ac:dyDescent="0.2">
      <c r="A879" s="116"/>
      <c r="B879" s="116"/>
      <c r="C879" s="116"/>
      <c r="D879" s="117"/>
      <c r="E879" s="117"/>
      <c r="F879" s="117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</row>
    <row r="880" spans="1:23" ht="19.5" customHeight="1" x14ac:dyDescent="0.2">
      <c r="A880" s="116"/>
      <c r="B880" s="116"/>
      <c r="C880" s="116"/>
      <c r="D880" s="117"/>
      <c r="E880" s="117"/>
      <c r="F880" s="117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</row>
    <row r="881" spans="1:23" ht="19.5" customHeight="1" x14ac:dyDescent="0.2">
      <c r="A881" s="116"/>
      <c r="B881" s="116"/>
      <c r="C881" s="116"/>
      <c r="D881" s="117"/>
      <c r="E881" s="117"/>
      <c r="F881" s="117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</row>
    <row r="882" spans="1:23" ht="19.5" customHeight="1" x14ac:dyDescent="0.2">
      <c r="A882" s="116"/>
      <c r="B882" s="116"/>
      <c r="C882" s="116"/>
      <c r="D882" s="117"/>
      <c r="E882" s="117"/>
      <c r="F882" s="117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</row>
    <row r="883" spans="1:23" ht="19.5" customHeight="1" x14ac:dyDescent="0.2">
      <c r="A883" s="116"/>
      <c r="B883" s="116"/>
      <c r="C883" s="116"/>
      <c r="D883" s="117"/>
      <c r="E883" s="117"/>
      <c r="F883" s="117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</row>
    <row r="884" spans="1:23" ht="19.5" customHeight="1" x14ac:dyDescent="0.2">
      <c r="A884" s="116"/>
      <c r="B884" s="116"/>
      <c r="C884" s="116"/>
      <c r="D884" s="117"/>
      <c r="E884" s="117"/>
      <c r="F884" s="117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</row>
    <row r="885" spans="1:23" ht="19.5" customHeight="1" x14ac:dyDescent="0.2">
      <c r="A885" s="116"/>
      <c r="B885" s="116"/>
      <c r="C885" s="116"/>
      <c r="D885" s="117"/>
      <c r="E885" s="117"/>
      <c r="F885" s="117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</row>
    <row r="886" spans="1:23" ht="19.5" customHeight="1" x14ac:dyDescent="0.2">
      <c r="A886" s="116"/>
      <c r="B886" s="116"/>
      <c r="C886" s="116"/>
      <c r="D886" s="117"/>
      <c r="E886" s="117"/>
      <c r="F886" s="117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</row>
    <row r="887" spans="1:23" ht="19.5" customHeight="1" x14ac:dyDescent="0.2">
      <c r="A887" s="116"/>
      <c r="B887" s="116"/>
      <c r="C887" s="116"/>
      <c r="D887" s="117"/>
      <c r="E887" s="117"/>
      <c r="F887" s="117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</row>
    <row r="888" spans="1:23" ht="19.5" customHeight="1" x14ac:dyDescent="0.2">
      <c r="A888" s="116"/>
      <c r="B888" s="116"/>
      <c r="C888" s="116"/>
      <c r="D888" s="117"/>
      <c r="E888" s="117"/>
      <c r="F888" s="117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</row>
    <row r="889" spans="1:23" ht="19.5" customHeight="1" x14ac:dyDescent="0.2">
      <c r="A889" s="116"/>
      <c r="B889" s="116"/>
      <c r="C889" s="116"/>
      <c r="D889" s="117"/>
      <c r="E889" s="117"/>
      <c r="F889" s="117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</row>
    <row r="890" spans="1:23" ht="19.5" customHeight="1" x14ac:dyDescent="0.2">
      <c r="A890" s="116"/>
      <c r="B890" s="116"/>
      <c r="C890" s="116"/>
      <c r="D890" s="117"/>
      <c r="E890" s="117"/>
      <c r="F890" s="117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</row>
    <row r="891" spans="1:23" ht="19.5" customHeight="1" x14ac:dyDescent="0.2">
      <c r="A891" s="116"/>
      <c r="B891" s="116"/>
      <c r="C891" s="116"/>
      <c r="D891" s="117"/>
      <c r="E891" s="117"/>
      <c r="F891" s="117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</row>
    <row r="892" spans="1:23" ht="19.5" customHeight="1" x14ac:dyDescent="0.2">
      <c r="A892" s="116"/>
      <c r="B892" s="116"/>
      <c r="C892" s="116"/>
      <c r="D892" s="117"/>
      <c r="E892" s="117"/>
      <c r="F892" s="117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</row>
    <row r="893" spans="1:23" ht="19.5" customHeight="1" x14ac:dyDescent="0.2">
      <c r="A893" s="116"/>
      <c r="B893" s="116"/>
      <c r="C893" s="116"/>
      <c r="D893" s="117"/>
      <c r="E893" s="117"/>
      <c r="F893" s="117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</row>
    <row r="894" spans="1:23" ht="19.5" customHeight="1" x14ac:dyDescent="0.2">
      <c r="A894" s="116"/>
      <c r="B894" s="116"/>
      <c r="C894" s="116"/>
      <c r="D894" s="117"/>
      <c r="E894" s="117"/>
      <c r="F894" s="117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</row>
    <row r="895" spans="1:23" ht="19.5" customHeight="1" x14ac:dyDescent="0.2">
      <c r="A895" s="116"/>
      <c r="B895" s="116"/>
      <c r="C895" s="116"/>
      <c r="D895" s="117"/>
      <c r="E895" s="117"/>
      <c r="F895" s="117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</row>
    <row r="896" spans="1:23" ht="19.5" customHeight="1" x14ac:dyDescent="0.2">
      <c r="A896" s="116"/>
      <c r="B896" s="116"/>
      <c r="C896" s="116"/>
      <c r="D896" s="117"/>
      <c r="E896" s="117"/>
      <c r="F896" s="117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</row>
    <row r="897" spans="1:23" ht="19.5" customHeight="1" x14ac:dyDescent="0.2">
      <c r="A897" s="116"/>
      <c r="B897" s="116"/>
      <c r="C897" s="116"/>
      <c r="D897" s="117"/>
      <c r="E897" s="117"/>
      <c r="F897" s="117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</row>
    <row r="898" spans="1:23" ht="19.5" customHeight="1" x14ac:dyDescent="0.2">
      <c r="A898" s="116"/>
      <c r="B898" s="116"/>
      <c r="C898" s="116"/>
      <c r="D898" s="117"/>
      <c r="E898" s="117"/>
      <c r="F898" s="117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</row>
    <row r="899" spans="1:23" ht="19.5" customHeight="1" x14ac:dyDescent="0.2">
      <c r="A899" s="116"/>
      <c r="B899" s="116"/>
      <c r="C899" s="116"/>
      <c r="D899" s="117"/>
      <c r="E899" s="117"/>
      <c r="F899" s="117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</row>
    <row r="900" spans="1:23" ht="19.5" customHeight="1" x14ac:dyDescent="0.2">
      <c r="A900" s="116"/>
      <c r="B900" s="116"/>
      <c r="C900" s="116"/>
      <c r="D900" s="117"/>
      <c r="E900" s="117"/>
      <c r="F900" s="117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</row>
    <row r="901" spans="1:23" ht="19.5" customHeight="1" x14ac:dyDescent="0.2">
      <c r="A901" s="116"/>
      <c r="B901" s="116"/>
      <c r="C901" s="116"/>
      <c r="D901" s="117"/>
      <c r="E901" s="117"/>
      <c r="F901" s="117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</row>
    <row r="902" spans="1:23" ht="19.5" customHeight="1" x14ac:dyDescent="0.2">
      <c r="A902" s="116"/>
      <c r="B902" s="116"/>
      <c r="C902" s="116"/>
      <c r="D902" s="117"/>
      <c r="E902" s="117"/>
      <c r="F902" s="117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</row>
    <row r="903" spans="1:23" ht="19.5" customHeight="1" x14ac:dyDescent="0.2">
      <c r="A903" s="116"/>
      <c r="B903" s="116"/>
      <c r="C903" s="116"/>
      <c r="D903" s="117"/>
      <c r="E903" s="117"/>
      <c r="F903" s="117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</row>
    <row r="904" spans="1:23" ht="19.5" customHeight="1" x14ac:dyDescent="0.2">
      <c r="A904" s="116"/>
      <c r="B904" s="116"/>
      <c r="C904" s="116"/>
      <c r="D904" s="117"/>
      <c r="E904" s="117"/>
      <c r="F904" s="117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</row>
    <row r="905" spans="1:23" ht="19.5" customHeight="1" x14ac:dyDescent="0.2">
      <c r="A905" s="116"/>
      <c r="B905" s="116"/>
      <c r="C905" s="116"/>
      <c r="D905" s="117"/>
      <c r="E905" s="117"/>
      <c r="F905" s="117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</row>
    <row r="906" spans="1:23" ht="19.5" customHeight="1" x14ac:dyDescent="0.2">
      <c r="A906" s="116"/>
      <c r="B906" s="116"/>
      <c r="C906" s="116"/>
      <c r="D906" s="117"/>
      <c r="E906" s="117"/>
      <c r="F906" s="117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</row>
    <row r="907" spans="1:23" ht="19.5" customHeight="1" x14ac:dyDescent="0.2">
      <c r="A907" s="116"/>
      <c r="B907" s="116"/>
      <c r="C907" s="116"/>
      <c r="D907" s="117"/>
      <c r="E907" s="117"/>
      <c r="F907" s="117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</row>
    <row r="908" spans="1:23" ht="19.5" customHeight="1" x14ac:dyDescent="0.2">
      <c r="A908" s="116"/>
      <c r="B908" s="116"/>
      <c r="C908" s="116"/>
      <c r="D908" s="117"/>
      <c r="E908" s="117"/>
      <c r="F908" s="117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</row>
    <row r="909" spans="1:23" ht="19.5" customHeight="1" x14ac:dyDescent="0.2">
      <c r="A909" s="116"/>
      <c r="B909" s="116"/>
      <c r="C909" s="116"/>
      <c r="D909" s="117"/>
      <c r="E909" s="117"/>
      <c r="F909" s="117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</row>
    <row r="910" spans="1:23" ht="19.5" customHeight="1" x14ac:dyDescent="0.2">
      <c r="A910" s="116"/>
      <c r="B910" s="116"/>
      <c r="C910" s="116"/>
      <c r="D910" s="117"/>
      <c r="E910" s="117"/>
      <c r="F910" s="117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</row>
    <row r="911" spans="1:23" ht="19.5" customHeight="1" x14ac:dyDescent="0.2">
      <c r="A911" s="116"/>
      <c r="B911" s="116"/>
      <c r="C911" s="116"/>
      <c r="D911" s="117"/>
      <c r="E911" s="117"/>
      <c r="F911" s="117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</row>
    <row r="912" spans="1:23" ht="19.5" customHeight="1" x14ac:dyDescent="0.2">
      <c r="A912" s="116"/>
      <c r="B912" s="116"/>
      <c r="C912" s="116"/>
      <c r="D912" s="117"/>
      <c r="E912" s="117"/>
      <c r="F912" s="117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</row>
    <row r="913" spans="1:23" ht="19.5" customHeight="1" x14ac:dyDescent="0.2">
      <c r="A913" s="116"/>
      <c r="B913" s="116"/>
      <c r="C913" s="116"/>
      <c r="D913" s="117"/>
      <c r="E913" s="117"/>
      <c r="F913" s="117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</row>
    <row r="914" spans="1:23" ht="19.5" customHeight="1" x14ac:dyDescent="0.2">
      <c r="A914" s="116"/>
      <c r="B914" s="116"/>
      <c r="C914" s="116"/>
      <c r="D914" s="117"/>
      <c r="E914" s="117"/>
      <c r="F914" s="117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</row>
    <row r="915" spans="1:23" ht="19.5" customHeight="1" x14ac:dyDescent="0.2">
      <c r="A915" s="116"/>
      <c r="B915" s="116"/>
      <c r="C915" s="116"/>
      <c r="D915" s="117"/>
      <c r="E915" s="117"/>
      <c r="F915" s="117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</row>
    <row r="916" spans="1:23" ht="19.5" customHeight="1" x14ac:dyDescent="0.2">
      <c r="A916" s="116"/>
      <c r="B916" s="116"/>
      <c r="C916" s="116"/>
      <c r="D916" s="117"/>
      <c r="E916" s="117"/>
      <c r="F916" s="117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</row>
    <row r="917" spans="1:23" ht="19.5" customHeight="1" x14ac:dyDescent="0.2">
      <c r="A917" s="116"/>
      <c r="B917" s="116"/>
      <c r="C917" s="116"/>
      <c r="D917" s="117"/>
      <c r="E917" s="117"/>
      <c r="F917" s="117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</row>
    <row r="918" spans="1:23" ht="19.5" customHeight="1" x14ac:dyDescent="0.2">
      <c r="A918" s="116"/>
      <c r="B918" s="116"/>
      <c r="C918" s="116"/>
      <c r="D918" s="117"/>
      <c r="E918" s="117"/>
      <c r="F918" s="117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</row>
    <row r="919" spans="1:23" ht="19.5" customHeight="1" x14ac:dyDescent="0.2">
      <c r="A919" s="116"/>
      <c r="B919" s="116"/>
      <c r="C919" s="116"/>
      <c r="D919" s="117"/>
      <c r="E919" s="117"/>
      <c r="F919" s="117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</row>
    <row r="920" spans="1:23" ht="19.5" customHeight="1" x14ac:dyDescent="0.2">
      <c r="A920" s="116"/>
      <c r="B920" s="116"/>
      <c r="C920" s="116"/>
      <c r="D920" s="117"/>
      <c r="E920" s="117"/>
      <c r="F920" s="117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</row>
    <row r="921" spans="1:23" ht="19.5" customHeight="1" x14ac:dyDescent="0.2">
      <c r="A921" s="116"/>
      <c r="B921" s="116"/>
      <c r="C921" s="116"/>
      <c r="D921" s="117"/>
      <c r="E921" s="117"/>
      <c r="F921" s="117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</row>
    <row r="922" spans="1:23" ht="19.5" customHeight="1" x14ac:dyDescent="0.2">
      <c r="A922" s="116"/>
      <c r="B922" s="116"/>
      <c r="C922" s="116"/>
      <c r="D922" s="117"/>
      <c r="E922" s="117"/>
      <c r="F922" s="117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</row>
    <row r="923" spans="1:23" ht="19.5" customHeight="1" x14ac:dyDescent="0.2">
      <c r="A923" s="116"/>
      <c r="B923" s="116"/>
      <c r="C923" s="116"/>
      <c r="D923" s="117"/>
      <c r="E923" s="117"/>
      <c r="F923" s="117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</row>
    <row r="924" spans="1:23" ht="19.5" customHeight="1" x14ac:dyDescent="0.2">
      <c r="A924" s="116"/>
      <c r="B924" s="116"/>
      <c r="C924" s="116"/>
      <c r="D924" s="117"/>
      <c r="E924" s="117"/>
      <c r="F924" s="117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</row>
    <row r="925" spans="1:23" ht="19.5" customHeight="1" x14ac:dyDescent="0.2">
      <c r="A925" s="116"/>
      <c r="B925" s="116"/>
      <c r="C925" s="116"/>
      <c r="D925" s="117"/>
      <c r="E925" s="117"/>
      <c r="F925" s="117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</row>
    <row r="926" spans="1:23" ht="19.5" customHeight="1" x14ac:dyDescent="0.2">
      <c r="A926" s="116"/>
      <c r="B926" s="116"/>
      <c r="C926" s="116"/>
      <c r="D926" s="117"/>
      <c r="E926" s="117"/>
      <c r="F926" s="117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</row>
    <row r="927" spans="1:23" ht="19.5" customHeight="1" x14ac:dyDescent="0.2">
      <c r="A927" s="116"/>
      <c r="B927" s="116"/>
      <c r="C927" s="116"/>
      <c r="D927" s="117"/>
      <c r="E927" s="117"/>
      <c r="F927" s="117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</row>
    <row r="928" spans="1:23" ht="19.5" customHeight="1" x14ac:dyDescent="0.2">
      <c r="A928" s="116"/>
      <c r="B928" s="116"/>
      <c r="C928" s="116"/>
      <c r="D928" s="117"/>
      <c r="E928" s="117"/>
      <c r="F928" s="117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</row>
    <row r="929" spans="1:23" ht="19.5" customHeight="1" x14ac:dyDescent="0.2">
      <c r="A929" s="116"/>
      <c r="B929" s="116"/>
      <c r="C929" s="116"/>
      <c r="D929" s="117"/>
      <c r="E929" s="117"/>
      <c r="F929" s="117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</row>
    <row r="930" spans="1:23" ht="19.5" customHeight="1" x14ac:dyDescent="0.2">
      <c r="A930" s="116"/>
      <c r="B930" s="116"/>
      <c r="C930" s="116"/>
      <c r="D930" s="117"/>
      <c r="E930" s="117"/>
      <c r="F930" s="117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</row>
    <row r="931" spans="1:23" ht="19.5" customHeight="1" x14ac:dyDescent="0.2">
      <c r="A931" s="116"/>
      <c r="B931" s="116"/>
      <c r="C931" s="116"/>
      <c r="D931" s="117"/>
      <c r="E931" s="117"/>
      <c r="F931" s="117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</row>
    <row r="932" spans="1:23" ht="19.5" customHeight="1" x14ac:dyDescent="0.2">
      <c r="A932" s="116"/>
      <c r="B932" s="116"/>
      <c r="C932" s="116"/>
      <c r="D932" s="117"/>
      <c r="E932" s="117"/>
      <c r="F932" s="117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</row>
    <row r="933" spans="1:23" ht="19.5" customHeight="1" x14ac:dyDescent="0.2">
      <c r="A933" s="116"/>
      <c r="B933" s="116"/>
      <c r="C933" s="116"/>
      <c r="D933" s="117"/>
      <c r="E933" s="117"/>
      <c r="F933" s="117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</row>
    <row r="934" spans="1:23" ht="19.5" customHeight="1" x14ac:dyDescent="0.2">
      <c r="A934" s="116"/>
      <c r="B934" s="116"/>
      <c r="C934" s="116"/>
      <c r="D934" s="117"/>
      <c r="E934" s="117"/>
      <c r="F934" s="117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</row>
    <row r="935" spans="1:23" ht="19.5" customHeight="1" x14ac:dyDescent="0.2">
      <c r="A935" s="116"/>
      <c r="B935" s="116"/>
      <c r="C935" s="116"/>
      <c r="D935" s="117"/>
      <c r="E935" s="117"/>
      <c r="F935" s="117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</row>
    <row r="936" spans="1:23" ht="19.5" customHeight="1" x14ac:dyDescent="0.2">
      <c r="A936" s="116"/>
      <c r="B936" s="116"/>
      <c r="C936" s="116"/>
      <c r="D936" s="117"/>
      <c r="E936" s="117"/>
      <c r="F936" s="117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</row>
    <row r="937" spans="1:23" ht="19.5" customHeight="1" x14ac:dyDescent="0.2">
      <c r="A937" s="116"/>
      <c r="B937" s="116"/>
      <c r="C937" s="116"/>
      <c r="D937" s="117"/>
      <c r="E937" s="117"/>
      <c r="F937" s="117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</row>
    <row r="938" spans="1:23" ht="19.5" customHeight="1" x14ac:dyDescent="0.2">
      <c r="A938" s="116"/>
      <c r="B938" s="116"/>
      <c r="C938" s="116"/>
      <c r="D938" s="117"/>
      <c r="E938" s="117"/>
      <c r="F938" s="117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</row>
    <row r="939" spans="1:23" ht="19.5" customHeight="1" x14ac:dyDescent="0.2">
      <c r="A939" s="116"/>
      <c r="B939" s="116"/>
      <c r="C939" s="116"/>
      <c r="D939" s="117"/>
      <c r="E939" s="117"/>
      <c r="F939" s="117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</row>
    <row r="940" spans="1:23" ht="19.5" customHeight="1" x14ac:dyDescent="0.2">
      <c r="A940" s="116"/>
      <c r="B940" s="116"/>
      <c r="C940" s="116"/>
      <c r="D940" s="117"/>
      <c r="E940" s="117"/>
      <c r="F940" s="117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</row>
    <row r="941" spans="1:23" ht="19.5" customHeight="1" x14ac:dyDescent="0.2">
      <c r="A941" s="116"/>
      <c r="B941" s="116"/>
      <c r="C941" s="116"/>
      <c r="D941" s="117"/>
      <c r="E941" s="117"/>
      <c r="F941" s="117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</row>
    <row r="942" spans="1:23" ht="19.5" customHeight="1" x14ac:dyDescent="0.2">
      <c r="A942" s="116"/>
      <c r="B942" s="116"/>
      <c r="C942" s="116"/>
      <c r="D942" s="117"/>
      <c r="E942" s="117"/>
      <c r="F942" s="117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</row>
    <row r="943" spans="1:23" ht="19.5" customHeight="1" x14ac:dyDescent="0.2">
      <c r="A943" s="116"/>
      <c r="B943" s="116"/>
      <c r="C943" s="116"/>
      <c r="D943" s="117"/>
      <c r="E943" s="117"/>
      <c r="F943" s="117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</row>
    <row r="944" spans="1:23" ht="19.5" customHeight="1" x14ac:dyDescent="0.2">
      <c r="A944" s="116"/>
      <c r="B944" s="116"/>
      <c r="C944" s="116"/>
      <c r="D944" s="117"/>
      <c r="E944" s="117"/>
      <c r="F944" s="117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</row>
    <row r="945" spans="1:23" ht="19.5" customHeight="1" x14ac:dyDescent="0.2">
      <c r="A945" s="116"/>
      <c r="B945" s="116"/>
      <c r="C945" s="116"/>
      <c r="D945" s="117"/>
      <c r="E945" s="117"/>
      <c r="F945" s="117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</row>
    <row r="946" spans="1:23" ht="19.5" customHeight="1" x14ac:dyDescent="0.2">
      <c r="A946" s="116"/>
      <c r="B946" s="116"/>
      <c r="C946" s="116"/>
      <c r="D946" s="117"/>
      <c r="E946" s="117"/>
      <c r="F946" s="117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</row>
    <row r="947" spans="1:23" ht="19.5" customHeight="1" x14ac:dyDescent="0.2">
      <c r="A947" s="116"/>
      <c r="B947" s="116"/>
      <c r="C947" s="116"/>
      <c r="D947" s="117"/>
      <c r="E947" s="117"/>
      <c r="F947" s="117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</row>
    <row r="948" spans="1:23" ht="19.5" customHeight="1" x14ac:dyDescent="0.2">
      <c r="A948" s="116"/>
      <c r="B948" s="116"/>
      <c r="C948" s="116"/>
      <c r="D948" s="117"/>
      <c r="E948" s="117"/>
      <c r="F948" s="117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</row>
    <row r="949" spans="1:23" ht="19.5" customHeight="1" x14ac:dyDescent="0.2">
      <c r="A949" s="116"/>
      <c r="B949" s="116"/>
      <c r="C949" s="116"/>
      <c r="D949" s="117"/>
      <c r="E949" s="117"/>
      <c r="F949" s="117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</row>
    <row r="950" spans="1:23" ht="19.5" customHeight="1" x14ac:dyDescent="0.2">
      <c r="A950" s="116"/>
      <c r="B950" s="116"/>
      <c r="C950" s="116"/>
      <c r="D950" s="117"/>
      <c r="E950" s="117"/>
      <c r="F950" s="117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</row>
    <row r="951" spans="1:23" ht="19.5" customHeight="1" x14ac:dyDescent="0.2">
      <c r="A951" s="116"/>
      <c r="B951" s="116"/>
      <c r="C951" s="116"/>
      <c r="D951" s="117"/>
      <c r="E951" s="117"/>
      <c r="F951" s="117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</row>
    <row r="952" spans="1:23" ht="19.5" customHeight="1" x14ac:dyDescent="0.2">
      <c r="A952" s="116"/>
      <c r="B952" s="116"/>
      <c r="C952" s="116"/>
      <c r="D952" s="117"/>
      <c r="E952" s="117"/>
      <c r="F952" s="117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</row>
    <row r="953" spans="1:23" ht="19.5" customHeight="1" x14ac:dyDescent="0.2">
      <c r="A953" s="116"/>
      <c r="B953" s="116"/>
      <c r="C953" s="116"/>
      <c r="D953" s="117"/>
      <c r="E953" s="117"/>
      <c r="F953" s="117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</row>
    <row r="954" spans="1:23" ht="19.5" customHeight="1" x14ac:dyDescent="0.2">
      <c r="A954" s="116"/>
      <c r="B954" s="116"/>
      <c r="C954" s="116"/>
      <c r="D954" s="117"/>
      <c r="E954" s="117"/>
      <c r="F954" s="117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</row>
    <row r="955" spans="1:23" ht="19.5" customHeight="1" x14ac:dyDescent="0.2">
      <c r="A955" s="116"/>
      <c r="B955" s="116"/>
      <c r="C955" s="116"/>
      <c r="D955" s="117"/>
      <c r="E955" s="117"/>
      <c r="F955" s="117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</row>
    <row r="956" spans="1:23" ht="19.5" customHeight="1" x14ac:dyDescent="0.2">
      <c r="A956" s="116"/>
      <c r="B956" s="116"/>
      <c r="C956" s="116"/>
      <c r="D956" s="117"/>
      <c r="E956" s="117"/>
      <c r="F956" s="117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</row>
    <row r="957" spans="1:23" ht="19.5" customHeight="1" x14ac:dyDescent="0.2">
      <c r="A957" s="116"/>
      <c r="B957" s="116"/>
      <c r="C957" s="116"/>
      <c r="D957" s="117"/>
      <c r="E957" s="117"/>
      <c r="F957" s="117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</row>
    <row r="958" spans="1:23" ht="19.5" customHeight="1" x14ac:dyDescent="0.2">
      <c r="A958" s="116"/>
      <c r="B958" s="116"/>
      <c r="C958" s="116"/>
      <c r="D958" s="117"/>
      <c r="E958" s="117"/>
      <c r="F958" s="117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</row>
    <row r="959" spans="1:23" ht="19.5" customHeight="1" x14ac:dyDescent="0.2">
      <c r="A959" s="116"/>
      <c r="B959" s="116"/>
      <c r="C959" s="116"/>
      <c r="D959" s="117"/>
      <c r="E959" s="117"/>
      <c r="F959" s="117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</row>
    <row r="960" spans="1:23" ht="19.5" customHeight="1" x14ac:dyDescent="0.2">
      <c r="A960" s="116"/>
      <c r="B960" s="116"/>
      <c r="C960" s="116"/>
      <c r="D960" s="117"/>
      <c r="E960" s="117"/>
      <c r="F960" s="117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</row>
    <row r="961" spans="1:23" ht="19.5" customHeight="1" x14ac:dyDescent="0.2">
      <c r="A961" s="116"/>
      <c r="B961" s="116"/>
      <c r="C961" s="116"/>
      <c r="D961" s="117"/>
      <c r="E961" s="117"/>
      <c r="F961" s="117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</row>
    <row r="962" spans="1:23" ht="19.5" customHeight="1" x14ac:dyDescent="0.2">
      <c r="A962" s="116"/>
      <c r="B962" s="116"/>
      <c r="C962" s="116"/>
      <c r="D962" s="117"/>
      <c r="E962" s="117"/>
      <c r="F962" s="117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</row>
    <row r="963" spans="1:23" ht="19.5" customHeight="1" x14ac:dyDescent="0.2">
      <c r="A963" s="116"/>
      <c r="B963" s="116"/>
      <c r="C963" s="116"/>
      <c r="D963" s="117"/>
      <c r="E963" s="117"/>
      <c r="F963" s="117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</row>
    <row r="964" spans="1:23" ht="19.5" customHeight="1" x14ac:dyDescent="0.2">
      <c r="A964" s="116"/>
      <c r="B964" s="116"/>
      <c r="C964" s="116"/>
      <c r="D964" s="117"/>
      <c r="E964" s="117"/>
      <c r="F964" s="117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</row>
    <row r="965" spans="1:23" ht="19.5" customHeight="1" x14ac:dyDescent="0.2">
      <c r="A965" s="116"/>
      <c r="B965" s="116"/>
      <c r="C965" s="116"/>
      <c r="D965" s="117"/>
      <c r="E965" s="117"/>
      <c r="F965" s="117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</row>
    <row r="966" spans="1:23" ht="19.5" customHeight="1" x14ac:dyDescent="0.2">
      <c r="A966" s="116"/>
      <c r="B966" s="116"/>
      <c r="C966" s="116"/>
      <c r="D966" s="117"/>
      <c r="E966" s="117"/>
      <c r="F966" s="117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</row>
    <row r="967" spans="1:23" ht="19.5" customHeight="1" x14ac:dyDescent="0.2">
      <c r="A967" s="116"/>
      <c r="B967" s="116"/>
      <c r="C967" s="116"/>
      <c r="D967" s="117"/>
      <c r="E967" s="117"/>
      <c r="F967" s="117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</row>
    <row r="968" spans="1:23" ht="19.5" customHeight="1" x14ac:dyDescent="0.2">
      <c r="A968" s="116"/>
      <c r="B968" s="116"/>
      <c r="C968" s="116"/>
      <c r="D968" s="117"/>
      <c r="E968" s="117"/>
      <c r="F968" s="117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</row>
    <row r="969" spans="1:23" ht="19.5" customHeight="1" x14ac:dyDescent="0.2">
      <c r="A969" s="116"/>
      <c r="B969" s="116"/>
      <c r="C969" s="116"/>
      <c r="D969" s="117"/>
      <c r="E969" s="117"/>
      <c r="F969" s="117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</row>
    <row r="970" spans="1:23" ht="19.5" customHeight="1" x14ac:dyDescent="0.2">
      <c r="A970" s="116"/>
      <c r="B970" s="116"/>
      <c r="C970" s="116"/>
      <c r="D970" s="117"/>
      <c r="E970" s="117"/>
      <c r="F970" s="117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</row>
    <row r="971" spans="1:23" ht="19.5" customHeight="1" x14ac:dyDescent="0.2">
      <c r="A971" s="116"/>
      <c r="B971" s="116"/>
      <c r="C971" s="116"/>
      <c r="D971" s="117"/>
      <c r="E971" s="117"/>
      <c r="F971" s="117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</row>
    <row r="972" spans="1:23" ht="19.5" customHeight="1" x14ac:dyDescent="0.2">
      <c r="A972" s="116"/>
      <c r="B972" s="116"/>
      <c r="C972" s="116"/>
      <c r="D972" s="117"/>
      <c r="E972" s="117"/>
      <c r="F972" s="117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</row>
    <row r="973" spans="1:23" ht="19.5" customHeight="1" x14ac:dyDescent="0.2">
      <c r="A973" s="116"/>
      <c r="B973" s="116"/>
      <c r="C973" s="116"/>
      <c r="D973" s="117"/>
      <c r="E973" s="117"/>
      <c r="F973" s="117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</row>
    <row r="974" spans="1:23" ht="19.5" customHeight="1" x14ac:dyDescent="0.2">
      <c r="A974" s="116"/>
      <c r="B974" s="116"/>
      <c r="C974" s="116"/>
      <c r="D974" s="117"/>
      <c r="E974" s="117"/>
      <c r="F974" s="117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</row>
    <row r="975" spans="1:23" ht="19.5" customHeight="1" x14ac:dyDescent="0.2">
      <c r="A975" s="116"/>
      <c r="B975" s="116"/>
      <c r="C975" s="116"/>
      <c r="D975" s="117"/>
      <c r="E975" s="117"/>
      <c r="F975" s="117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</row>
    <row r="976" spans="1:23" ht="19.5" customHeight="1" x14ac:dyDescent="0.2">
      <c r="A976" s="116"/>
      <c r="B976" s="116"/>
      <c r="C976" s="116"/>
      <c r="D976" s="117"/>
      <c r="E976" s="117"/>
      <c r="F976" s="117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</row>
    <row r="977" spans="1:23" ht="19.5" customHeight="1" x14ac:dyDescent="0.2">
      <c r="A977" s="116"/>
      <c r="B977" s="116"/>
      <c r="C977" s="116"/>
      <c r="D977" s="117"/>
      <c r="E977" s="117"/>
      <c r="F977" s="117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</row>
    <row r="978" spans="1:23" ht="19.5" customHeight="1" x14ac:dyDescent="0.2">
      <c r="A978" s="116"/>
      <c r="B978" s="116"/>
      <c r="C978" s="116"/>
      <c r="D978" s="117"/>
      <c r="E978" s="117"/>
      <c r="F978" s="117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</row>
    <row r="979" spans="1:23" ht="19.5" customHeight="1" x14ac:dyDescent="0.2">
      <c r="A979" s="116"/>
      <c r="B979" s="116"/>
      <c r="C979" s="116"/>
      <c r="D979" s="117"/>
      <c r="E979" s="117"/>
      <c r="F979" s="117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</row>
    <row r="980" spans="1:23" ht="19.5" customHeight="1" x14ac:dyDescent="0.2">
      <c r="A980" s="116"/>
      <c r="B980" s="116"/>
      <c r="C980" s="116"/>
      <c r="D980" s="117"/>
      <c r="E980" s="117"/>
      <c r="F980" s="117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</row>
    <row r="981" spans="1:23" ht="19.5" customHeight="1" x14ac:dyDescent="0.2">
      <c r="A981" s="116"/>
      <c r="B981" s="116"/>
      <c r="C981" s="116"/>
      <c r="D981" s="117"/>
      <c r="E981" s="117"/>
      <c r="F981" s="117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</row>
    <row r="982" spans="1:23" ht="19.5" customHeight="1" x14ac:dyDescent="0.2">
      <c r="A982" s="116"/>
      <c r="B982" s="116"/>
      <c r="C982" s="116"/>
      <c r="D982" s="117"/>
      <c r="E982" s="117"/>
      <c r="F982" s="117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</row>
    <row r="983" spans="1:23" ht="19.5" customHeight="1" x14ac:dyDescent="0.2">
      <c r="A983" s="116"/>
      <c r="B983" s="116"/>
      <c r="C983" s="116"/>
      <c r="D983" s="117"/>
      <c r="E983" s="117"/>
      <c r="F983" s="117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</row>
    <row r="984" spans="1:23" ht="19.5" customHeight="1" x14ac:dyDescent="0.2">
      <c r="A984" s="116"/>
      <c r="B984" s="116"/>
      <c r="C984" s="116"/>
      <c r="D984" s="117"/>
      <c r="E984" s="117"/>
      <c r="F984" s="117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</row>
    <row r="985" spans="1:23" ht="19.5" customHeight="1" x14ac:dyDescent="0.2">
      <c r="A985" s="116"/>
      <c r="B985" s="116"/>
      <c r="C985" s="116"/>
      <c r="D985" s="117"/>
      <c r="E985" s="117"/>
      <c r="F985" s="117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</row>
    <row r="986" spans="1:23" ht="19.5" customHeight="1" x14ac:dyDescent="0.2">
      <c r="A986" s="116"/>
      <c r="B986" s="116"/>
      <c r="C986" s="116"/>
      <c r="D986" s="117"/>
      <c r="E986" s="117"/>
      <c r="F986" s="117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</row>
    <row r="987" spans="1:23" ht="19.5" customHeight="1" x14ac:dyDescent="0.2">
      <c r="A987" s="116"/>
      <c r="B987" s="116"/>
      <c r="C987" s="116"/>
      <c r="D987" s="117"/>
      <c r="E987" s="117"/>
      <c r="F987" s="117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</row>
    <row r="988" spans="1:23" ht="19.5" customHeight="1" x14ac:dyDescent="0.2">
      <c r="A988" s="116"/>
      <c r="B988" s="116"/>
      <c r="C988" s="116"/>
      <c r="D988" s="117"/>
      <c r="E988" s="117"/>
      <c r="F988" s="117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</row>
    <row r="989" spans="1:23" ht="19.5" customHeight="1" x14ac:dyDescent="0.2">
      <c r="A989" s="116"/>
      <c r="B989" s="116"/>
      <c r="C989" s="116"/>
      <c r="D989" s="117"/>
      <c r="E989" s="117"/>
      <c r="F989" s="117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</row>
    <row r="990" spans="1:23" ht="19.5" customHeight="1" x14ac:dyDescent="0.2">
      <c r="A990" s="116"/>
      <c r="B990" s="116"/>
      <c r="C990" s="116"/>
      <c r="D990" s="117"/>
      <c r="E990" s="117"/>
      <c r="F990" s="117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</row>
    <row r="991" spans="1:23" ht="19.5" customHeight="1" x14ac:dyDescent="0.2">
      <c r="A991" s="116"/>
      <c r="B991" s="116"/>
      <c r="C991" s="116"/>
      <c r="D991" s="117"/>
      <c r="E991" s="117"/>
      <c r="F991" s="117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</row>
    <row r="992" spans="1:23" ht="19.5" customHeight="1" x14ac:dyDescent="0.2">
      <c r="A992" s="116"/>
      <c r="B992" s="116"/>
      <c r="C992" s="116"/>
      <c r="D992" s="117"/>
      <c r="E992" s="117"/>
      <c r="F992" s="117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</row>
    <row r="993" spans="1:23" ht="19.5" customHeight="1" x14ac:dyDescent="0.2">
      <c r="A993" s="116"/>
      <c r="B993" s="116"/>
      <c r="C993" s="116"/>
      <c r="D993" s="117"/>
      <c r="E993" s="117"/>
      <c r="F993" s="117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</row>
    <row r="994" spans="1:23" ht="19.5" customHeight="1" x14ac:dyDescent="0.2">
      <c r="A994" s="116"/>
      <c r="B994" s="116"/>
      <c r="C994" s="116"/>
      <c r="D994" s="117"/>
      <c r="E994" s="117"/>
      <c r="F994" s="117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</row>
    <row r="995" spans="1:23" ht="19.5" customHeight="1" x14ac:dyDescent="0.2">
      <c r="A995" s="116"/>
      <c r="B995" s="116"/>
      <c r="C995" s="116"/>
      <c r="D995" s="117"/>
      <c r="E995" s="117"/>
      <c r="F995" s="117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</row>
    <row r="996" spans="1:23" ht="19.5" customHeight="1" x14ac:dyDescent="0.2">
      <c r="A996" s="116"/>
      <c r="B996" s="116"/>
      <c r="C996" s="116"/>
      <c r="D996" s="117"/>
      <c r="E996" s="117"/>
      <c r="F996" s="117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</row>
    <row r="997" spans="1:23" ht="19.5" customHeight="1" x14ac:dyDescent="0.2">
      <c r="A997" s="116"/>
      <c r="B997" s="116"/>
      <c r="C997" s="116"/>
      <c r="D997" s="117"/>
      <c r="E997" s="117"/>
      <c r="F997" s="117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</row>
    <row r="998" spans="1:23" ht="19.5" customHeight="1" x14ac:dyDescent="0.2">
      <c r="A998" s="116"/>
      <c r="B998" s="116"/>
      <c r="C998" s="116"/>
      <c r="D998" s="117"/>
      <c r="E998" s="117"/>
      <c r="F998" s="117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</row>
    <row r="999" spans="1:23" ht="19.5" customHeight="1" x14ac:dyDescent="0.2">
      <c r="A999" s="116"/>
      <c r="B999" s="116"/>
      <c r="C999" s="116"/>
      <c r="D999" s="117"/>
      <c r="E999" s="117"/>
      <c r="F999" s="117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</row>
    <row r="1000" spans="1:23" ht="19.5" customHeight="1" x14ac:dyDescent="0.2">
      <c r="A1000" s="116"/>
      <c r="B1000" s="116"/>
      <c r="C1000" s="116"/>
      <c r="D1000" s="117"/>
      <c r="E1000" s="117"/>
      <c r="F1000" s="117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</row>
    <row r="1001" spans="1:23" ht="19.5" customHeight="1" x14ac:dyDescent="0.2">
      <c r="A1001" s="116"/>
      <c r="B1001" s="116"/>
      <c r="C1001" s="116"/>
      <c r="D1001" s="117"/>
      <c r="E1001" s="117"/>
      <c r="F1001" s="117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</row>
    <row r="1002" spans="1:23" ht="19.5" customHeight="1" x14ac:dyDescent="0.2">
      <c r="A1002" s="116"/>
      <c r="B1002" s="116"/>
      <c r="C1002" s="116"/>
      <c r="D1002" s="117"/>
      <c r="E1002" s="117"/>
      <c r="F1002" s="117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</row>
    <row r="1003" spans="1:23" ht="19.5" customHeight="1" x14ac:dyDescent="0.2">
      <c r="A1003" s="116"/>
      <c r="B1003" s="116"/>
      <c r="C1003" s="116"/>
      <c r="D1003" s="117"/>
      <c r="E1003" s="117"/>
      <c r="F1003" s="117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</row>
    <row r="1004" spans="1:23" ht="19.5" customHeight="1" x14ac:dyDescent="0.2">
      <c r="A1004" s="116"/>
      <c r="B1004" s="116"/>
      <c r="C1004" s="116"/>
      <c r="D1004" s="117"/>
      <c r="E1004" s="117"/>
      <c r="F1004" s="117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</row>
    <row r="1005" spans="1:23" ht="19.5" customHeight="1" x14ac:dyDescent="0.2">
      <c r="A1005" s="116"/>
      <c r="B1005" s="116"/>
      <c r="C1005" s="116"/>
      <c r="D1005" s="117"/>
      <c r="E1005" s="117"/>
      <c r="F1005" s="117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</row>
    <row r="1006" spans="1:23" ht="19.5" customHeight="1" x14ac:dyDescent="0.2">
      <c r="A1006" s="116"/>
      <c r="B1006" s="116"/>
      <c r="C1006" s="116"/>
      <c r="D1006" s="117"/>
      <c r="E1006" s="117"/>
      <c r="F1006" s="117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</row>
    <row r="1007" spans="1:23" ht="19.5" customHeight="1" x14ac:dyDescent="0.2">
      <c r="A1007" s="116"/>
      <c r="B1007" s="116"/>
      <c r="C1007" s="116"/>
      <c r="D1007" s="117"/>
      <c r="E1007" s="117"/>
      <c r="F1007" s="117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</row>
    <row r="1008" spans="1:23" ht="19.5" customHeight="1" x14ac:dyDescent="0.2">
      <c r="A1008" s="116"/>
      <c r="B1008" s="116"/>
      <c r="C1008" s="116"/>
      <c r="D1008" s="117"/>
      <c r="E1008" s="117"/>
      <c r="F1008" s="117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</row>
    <row r="1009" spans="1:23" ht="19.5" customHeight="1" x14ac:dyDescent="0.2">
      <c r="A1009" s="116"/>
      <c r="B1009" s="116"/>
      <c r="C1009" s="116"/>
      <c r="D1009" s="117"/>
      <c r="E1009" s="117"/>
      <c r="F1009" s="117"/>
      <c r="G1009" s="108"/>
      <c r="H1009" s="108"/>
      <c r="I1009" s="108"/>
      <c r="J1009" s="108"/>
      <c r="K1009" s="108"/>
      <c r="L1009" s="108"/>
      <c r="M1009" s="108"/>
      <c r="N1009" s="108"/>
      <c r="O1009" s="108"/>
      <c r="P1009" s="108"/>
      <c r="Q1009" s="108"/>
      <c r="R1009" s="108"/>
      <c r="S1009" s="108"/>
      <c r="T1009" s="108"/>
      <c r="U1009" s="108"/>
      <c r="V1009" s="108"/>
      <c r="W1009" s="108"/>
    </row>
    <row r="1010" spans="1:23" ht="19.5" customHeight="1" x14ac:dyDescent="0.2">
      <c r="A1010" s="116"/>
      <c r="B1010" s="116"/>
      <c r="C1010" s="116"/>
      <c r="D1010" s="117"/>
      <c r="E1010" s="117"/>
      <c r="F1010" s="117"/>
      <c r="G1010" s="108"/>
      <c r="H1010" s="108"/>
      <c r="I1010" s="108"/>
      <c r="J1010" s="108"/>
      <c r="K1010" s="108"/>
      <c r="L1010" s="108"/>
      <c r="M1010" s="108"/>
      <c r="N1010" s="108"/>
      <c r="O1010" s="108"/>
      <c r="P1010" s="108"/>
      <c r="Q1010" s="108"/>
      <c r="R1010" s="108"/>
      <c r="S1010" s="108"/>
      <c r="T1010" s="108"/>
      <c r="U1010" s="108"/>
      <c r="V1010" s="108"/>
      <c r="W1010" s="108"/>
    </row>
    <row r="1011" spans="1:23" ht="19.5" customHeight="1" x14ac:dyDescent="0.2">
      <c r="A1011" s="116"/>
      <c r="B1011" s="116"/>
      <c r="C1011" s="116"/>
      <c r="D1011" s="117"/>
      <c r="E1011" s="117"/>
      <c r="F1011" s="117"/>
      <c r="G1011" s="108"/>
      <c r="H1011" s="108"/>
      <c r="I1011" s="108"/>
      <c r="J1011" s="108"/>
      <c r="K1011" s="108"/>
      <c r="L1011" s="108"/>
      <c r="M1011" s="108"/>
      <c r="N1011" s="108"/>
      <c r="O1011" s="108"/>
      <c r="P1011" s="108"/>
      <c r="Q1011" s="108"/>
      <c r="R1011" s="108"/>
      <c r="S1011" s="108"/>
      <c r="T1011" s="108"/>
      <c r="U1011" s="108"/>
      <c r="V1011" s="108"/>
      <c r="W1011" s="108"/>
    </row>
    <row r="1012" spans="1:23" ht="19.5" customHeight="1" x14ac:dyDescent="0.2">
      <c r="A1012" s="116"/>
      <c r="B1012" s="116"/>
      <c r="C1012" s="116"/>
      <c r="D1012" s="117"/>
      <c r="E1012" s="117"/>
      <c r="F1012" s="117"/>
      <c r="G1012" s="108"/>
      <c r="H1012" s="108"/>
      <c r="I1012" s="108"/>
      <c r="J1012" s="108"/>
      <c r="K1012" s="108"/>
      <c r="L1012" s="108"/>
      <c r="M1012" s="108"/>
      <c r="N1012" s="108"/>
      <c r="O1012" s="108"/>
      <c r="P1012" s="108"/>
      <c r="Q1012" s="108"/>
      <c r="R1012" s="108"/>
      <c r="S1012" s="108"/>
      <c r="T1012" s="108"/>
      <c r="U1012" s="108"/>
      <c r="V1012" s="108"/>
      <c r="W1012" s="108"/>
    </row>
    <row r="1013" spans="1:23" ht="19.5" customHeight="1" x14ac:dyDescent="0.2">
      <c r="A1013" s="116"/>
      <c r="B1013" s="116"/>
      <c r="C1013" s="116"/>
      <c r="D1013" s="117"/>
      <c r="E1013" s="117"/>
      <c r="F1013" s="117"/>
      <c r="G1013" s="108"/>
      <c r="H1013" s="108"/>
      <c r="I1013" s="108"/>
      <c r="J1013" s="108"/>
      <c r="K1013" s="108"/>
      <c r="L1013" s="108"/>
      <c r="M1013" s="108"/>
      <c r="N1013" s="108"/>
      <c r="O1013" s="108"/>
      <c r="P1013" s="108"/>
      <c r="Q1013" s="108"/>
      <c r="R1013" s="108"/>
      <c r="S1013" s="108"/>
      <c r="T1013" s="108"/>
      <c r="U1013" s="108"/>
      <c r="V1013" s="108"/>
      <c r="W1013" s="108"/>
    </row>
    <row r="1014" spans="1:23" ht="19.5" customHeight="1" x14ac:dyDescent="0.2">
      <c r="A1014" s="116"/>
      <c r="B1014" s="116"/>
      <c r="C1014" s="116"/>
      <c r="D1014" s="117"/>
      <c r="E1014" s="117"/>
      <c r="F1014" s="117"/>
      <c r="G1014" s="108"/>
      <c r="H1014" s="108"/>
      <c r="I1014" s="108"/>
      <c r="J1014" s="108"/>
      <c r="K1014" s="108"/>
      <c r="L1014" s="108"/>
      <c r="M1014" s="108"/>
      <c r="N1014" s="108"/>
      <c r="O1014" s="108"/>
      <c r="P1014" s="108"/>
      <c r="Q1014" s="108"/>
      <c r="R1014" s="108"/>
      <c r="S1014" s="108"/>
      <c r="T1014" s="108"/>
      <c r="U1014" s="108"/>
      <c r="V1014" s="108"/>
      <c r="W1014" s="108"/>
    </row>
    <row r="1015" spans="1:23" ht="19.5" customHeight="1" x14ac:dyDescent="0.2">
      <c r="A1015" s="116"/>
      <c r="B1015" s="116"/>
      <c r="C1015" s="116"/>
      <c r="D1015" s="117"/>
      <c r="E1015" s="117"/>
      <c r="F1015" s="117"/>
      <c r="G1015" s="108"/>
      <c r="H1015" s="108"/>
      <c r="I1015" s="108"/>
      <c r="J1015" s="108"/>
      <c r="K1015" s="108"/>
      <c r="L1015" s="108"/>
      <c r="M1015" s="108"/>
      <c r="N1015" s="108"/>
      <c r="O1015" s="108"/>
      <c r="P1015" s="108"/>
      <c r="Q1015" s="108"/>
      <c r="R1015" s="108"/>
      <c r="S1015" s="108"/>
      <c r="T1015" s="108"/>
      <c r="U1015" s="108"/>
      <c r="V1015" s="108"/>
      <c r="W1015" s="108"/>
    </row>
    <row r="1016" spans="1:23" ht="19.5" customHeight="1" x14ac:dyDescent="0.2">
      <c r="A1016" s="116"/>
      <c r="B1016" s="116"/>
      <c r="C1016" s="116"/>
      <c r="D1016" s="117"/>
      <c r="E1016" s="117"/>
      <c r="F1016" s="117"/>
      <c r="G1016" s="108"/>
      <c r="H1016" s="108"/>
      <c r="I1016" s="108"/>
      <c r="J1016" s="108"/>
      <c r="K1016" s="108"/>
      <c r="L1016" s="108"/>
      <c r="M1016" s="108"/>
      <c r="N1016" s="108"/>
      <c r="O1016" s="108"/>
      <c r="P1016" s="108"/>
      <c r="Q1016" s="108"/>
      <c r="R1016" s="108"/>
      <c r="S1016" s="108"/>
      <c r="T1016" s="108"/>
      <c r="U1016" s="108"/>
      <c r="V1016" s="108"/>
      <c r="W1016" s="108"/>
    </row>
    <row r="1017" spans="1:23" ht="19.5" customHeight="1" x14ac:dyDescent="0.2">
      <c r="A1017" s="116"/>
      <c r="B1017" s="116"/>
      <c r="C1017" s="116"/>
      <c r="D1017" s="117"/>
      <c r="E1017" s="117"/>
      <c r="F1017" s="117"/>
      <c r="G1017" s="108"/>
      <c r="H1017" s="108"/>
      <c r="I1017" s="108"/>
      <c r="J1017" s="108"/>
      <c r="K1017" s="108"/>
      <c r="L1017" s="108"/>
      <c r="M1017" s="108"/>
      <c r="N1017" s="108"/>
      <c r="O1017" s="108"/>
      <c r="P1017" s="108"/>
      <c r="Q1017" s="108"/>
      <c r="R1017" s="108"/>
      <c r="S1017" s="108"/>
      <c r="T1017" s="108"/>
      <c r="U1017" s="108"/>
      <c r="V1017" s="108"/>
      <c r="W1017" s="108"/>
    </row>
    <row r="1018" spans="1:23" ht="19.5" customHeight="1" x14ac:dyDescent="0.2">
      <c r="A1018" s="116"/>
      <c r="B1018" s="116"/>
      <c r="C1018" s="116"/>
      <c r="D1018" s="117"/>
      <c r="E1018" s="117"/>
      <c r="F1018" s="117"/>
      <c r="G1018" s="108"/>
      <c r="H1018" s="108"/>
      <c r="I1018" s="108"/>
      <c r="J1018" s="108"/>
      <c r="K1018" s="108"/>
      <c r="L1018" s="108"/>
      <c r="M1018" s="108"/>
      <c r="N1018" s="108"/>
      <c r="O1018" s="108"/>
      <c r="P1018" s="108"/>
      <c r="Q1018" s="108"/>
      <c r="R1018" s="108"/>
      <c r="S1018" s="108"/>
      <c r="T1018" s="108"/>
      <c r="U1018" s="108"/>
      <c r="V1018" s="108"/>
      <c r="W1018" s="108"/>
    </row>
    <row r="1019" spans="1:23" ht="19.5" customHeight="1" x14ac:dyDescent="0.2">
      <c r="A1019" s="116"/>
      <c r="B1019" s="116"/>
      <c r="C1019" s="116"/>
      <c r="D1019" s="117"/>
      <c r="E1019" s="117"/>
      <c r="F1019" s="117"/>
      <c r="G1019" s="108"/>
      <c r="H1019" s="108"/>
      <c r="I1019" s="108"/>
      <c r="J1019" s="108"/>
      <c r="K1019" s="108"/>
      <c r="L1019" s="108"/>
      <c r="M1019" s="108"/>
      <c r="N1019" s="108"/>
      <c r="O1019" s="108"/>
      <c r="P1019" s="108"/>
      <c r="Q1019" s="108"/>
      <c r="R1019" s="108"/>
      <c r="S1019" s="108"/>
      <c r="T1019" s="108"/>
      <c r="U1019" s="108"/>
      <c r="V1019" s="108"/>
      <c r="W1019" s="108"/>
    </row>
    <row r="1020" spans="1:23" ht="19.5" customHeight="1" x14ac:dyDescent="0.2">
      <c r="A1020" s="116"/>
      <c r="B1020" s="116"/>
      <c r="C1020" s="116"/>
      <c r="D1020" s="117"/>
      <c r="E1020" s="117"/>
      <c r="F1020" s="117"/>
      <c r="G1020" s="108"/>
      <c r="H1020" s="108"/>
      <c r="I1020" s="108"/>
      <c r="J1020" s="108"/>
      <c r="K1020" s="108"/>
      <c r="L1020" s="108"/>
      <c r="M1020" s="108"/>
      <c r="N1020" s="108"/>
      <c r="O1020" s="108"/>
      <c r="P1020" s="108"/>
      <c r="Q1020" s="108"/>
      <c r="R1020" s="108"/>
      <c r="S1020" s="108"/>
      <c r="T1020" s="108"/>
      <c r="U1020" s="108"/>
      <c r="V1020" s="108"/>
      <c r="W1020" s="108"/>
    </row>
    <row r="1021" spans="1:23" ht="19.5" customHeight="1" x14ac:dyDescent="0.2">
      <c r="A1021" s="116"/>
      <c r="B1021" s="116"/>
      <c r="C1021" s="116"/>
      <c r="D1021" s="117"/>
      <c r="E1021" s="117"/>
      <c r="F1021" s="117"/>
      <c r="G1021" s="108"/>
      <c r="H1021" s="108"/>
      <c r="I1021" s="108"/>
      <c r="J1021" s="108"/>
      <c r="K1021" s="108"/>
      <c r="L1021" s="108"/>
      <c r="M1021" s="108"/>
      <c r="N1021" s="108"/>
      <c r="O1021" s="108"/>
      <c r="P1021" s="108"/>
      <c r="Q1021" s="108"/>
      <c r="R1021" s="108"/>
      <c r="S1021" s="108"/>
      <c r="T1021" s="108"/>
      <c r="U1021" s="108"/>
      <c r="V1021" s="108"/>
      <c r="W1021" s="108"/>
    </row>
    <row r="1022" spans="1:23" ht="19.5" customHeight="1" x14ac:dyDescent="0.2">
      <c r="A1022" s="116"/>
      <c r="B1022" s="116"/>
      <c r="C1022" s="116"/>
      <c r="D1022" s="117"/>
      <c r="E1022" s="117"/>
      <c r="F1022" s="117"/>
      <c r="G1022" s="108"/>
      <c r="H1022" s="108"/>
      <c r="I1022" s="108"/>
      <c r="J1022" s="108"/>
      <c r="K1022" s="108"/>
      <c r="L1022" s="108"/>
      <c r="M1022" s="108"/>
      <c r="N1022" s="108"/>
      <c r="O1022" s="108"/>
      <c r="P1022" s="108"/>
      <c r="Q1022" s="108"/>
      <c r="R1022" s="108"/>
      <c r="S1022" s="108"/>
      <c r="T1022" s="108"/>
      <c r="U1022" s="108"/>
      <c r="V1022" s="108"/>
      <c r="W1022" s="108"/>
    </row>
    <row r="1023" spans="1:23" ht="19.5" customHeight="1" x14ac:dyDescent="0.2">
      <c r="A1023" s="116"/>
      <c r="B1023" s="116"/>
      <c r="C1023" s="116"/>
      <c r="D1023" s="117"/>
      <c r="E1023" s="117"/>
      <c r="F1023" s="117"/>
      <c r="G1023" s="108"/>
      <c r="H1023" s="108"/>
      <c r="I1023" s="108"/>
      <c r="J1023" s="108"/>
      <c r="K1023" s="108"/>
      <c r="L1023" s="108"/>
      <c r="M1023" s="108"/>
      <c r="N1023" s="108"/>
      <c r="O1023" s="108"/>
      <c r="P1023" s="108"/>
      <c r="Q1023" s="108"/>
      <c r="R1023" s="108"/>
      <c r="S1023" s="108"/>
      <c r="T1023" s="108"/>
      <c r="U1023" s="108"/>
      <c r="V1023" s="108"/>
      <c r="W1023" s="108"/>
    </row>
    <row r="1024" spans="1:23" ht="19.5" customHeight="1" x14ac:dyDescent="0.2">
      <c r="A1024" s="116"/>
      <c r="B1024" s="116"/>
      <c r="C1024" s="116"/>
      <c r="D1024" s="117"/>
      <c r="E1024" s="117"/>
      <c r="F1024" s="117"/>
      <c r="G1024" s="108"/>
      <c r="H1024" s="108"/>
      <c r="I1024" s="108"/>
      <c r="J1024" s="108"/>
      <c r="K1024" s="108"/>
      <c r="L1024" s="108"/>
      <c r="M1024" s="108"/>
      <c r="N1024" s="108"/>
      <c r="O1024" s="108"/>
      <c r="P1024" s="108"/>
      <c r="Q1024" s="108"/>
      <c r="R1024" s="108"/>
      <c r="S1024" s="108"/>
      <c r="T1024" s="108"/>
      <c r="U1024" s="108"/>
      <c r="V1024" s="108"/>
      <c r="W1024" s="108"/>
    </row>
    <row r="1025" spans="1:23" ht="19.5" customHeight="1" x14ac:dyDescent="0.2">
      <c r="A1025" s="116"/>
      <c r="B1025" s="116"/>
      <c r="C1025" s="116"/>
      <c r="D1025" s="117"/>
      <c r="E1025" s="117"/>
      <c r="F1025" s="117"/>
      <c r="G1025" s="108"/>
      <c r="H1025" s="108"/>
      <c r="I1025" s="108"/>
      <c r="J1025" s="108"/>
      <c r="K1025" s="108"/>
      <c r="L1025" s="108"/>
      <c r="M1025" s="108"/>
      <c r="N1025" s="108"/>
      <c r="O1025" s="108"/>
      <c r="P1025" s="108"/>
      <c r="Q1025" s="108"/>
      <c r="R1025" s="108"/>
      <c r="S1025" s="108"/>
      <c r="T1025" s="108"/>
      <c r="U1025" s="108"/>
      <c r="V1025" s="108"/>
      <c r="W1025" s="108"/>
    </row>
    <row r="1026" spans="1:23" ht="19.5" customHeight="1" x14ac:dyDescent="0.2">
      <c r="A1026" s="116"/>
      <c r="B1026" s="116"/>
      <c r="C1026" s="116"/>
      <c r="D1026" s="117"/>
      <c r="E1026" s="117"/>
      <c r="F1026" s="117"/>
      <c r="G1026" s="108"/>
      <c r="H1026" s="108"/>
      <c r="I1026" s="108"/>
      <c r="J1026" s="108"/>
      <c r="K1026" s="108"/>
      <c r="L1026" s="108"/>
      <c r="M1026" s="108"/>
      <c r="N1026" s="108"/>
      <c r="O1026" s="108"/>
      <c r="P1026" s="108"/>
      <c r="Q1026" s="108"/>
      <c r="R1026" s="108"/>
      <c r="S1026" s="108"/>
      <c r="T1026" s="108"/>
      <c r="U1026" s="108"/>
      <c r="V1026" s="108"/>
      <c r="W1026" s="108"/>
    </row>
    <row r="1027" spans="1:23" ht="19.5" customHeight="1" x14ac:dyDescent="0.2">
      <c r="A1027" s="116"/>
      <c r="B1027" s="116"/>
      <c r="C1027" s="116"/>
      <c r="D1027" s="117"/>
      <c r="E1027" s="117"/>
      <c r="F1027" s="117"/>
      <c r="G1027" s="108"/>
      <c r="H1027" s="108"/>
      <c r="I1027" s="108"/>
      <c r="J1027" s="108"/>
      <c r="K1027" s="108"/>
      <c r="L1027" s="108"/>
      <c r="M1027" s="108"/>
      <c r="N1027" s="108"/>
      <c r="O1027" s="108"/>
      <c r="P1027" s="108"/>
      <c r="Q1027" s="108"/>
      <c r="R1027" s="108"/>
      <c r="S1027" s="108"/>
      <c r="T1027" s="108"/>
      <c r="U1027" s="108"/>
      <c r="V1027" s="108"/>
      <c r="W1027" s="108"/>
    </row>
    <row r="1028" spans="1:23" ht="19.5" customHeight="1" x14ac:dyDescent="0.2">
      <c r="A1028" s="116"/>
      <c r="B1028" s="116"/>
      <c r="C1028" s="116"/>
      <c r="D1028" s="117"/>
      <c r="E1028" s="117"/>
      <c r="F1028" s="117"/>
      <c r="G1028" s="108"/>
      <c r="H1028" s="108"/>
      <c r="I1028" s="108"/>
      <c r="J1028" s="108"/>
      <c r="K1028" s="108"/>
      <c r="L1028" s="108"/>
      <c r="M1028" s="108"/>
      <c r="N1028" s="108"/>
      <c r="O1028" s="108"/>
      <c r="P1028" s="108"/>
      <c r="Q1028" s="108"/>
      <c r="R1028" s="108"/>
      <c r="S1028" s="108"/>
      <c r="T1028" s="108"/>
      <c r="U1028" s="108"/>
      <c r="V1028" s="108"/>
      <c r="W1028" s="108"/>
    </row>
    <row r="1029" spans="1:23" ht="19.5" customHeight="1" x14ac:dyDescent="0.2">
      <c r="A1029" s="116"/>
      <c r="B1029" s="116"/>
      <c r="C1029" s="116"/>
      <c r="D1029" s="117"/>
      <c r="E1029" s="117"/>
      <c r="F1029" s="117"/>
      <c r="G1029" s="108"/>
      <c r="H1029" s="108"/>
      <c r="I1029" s="108"/>
      <c r="J1029" s="108"/>
      <c r="K1029" s="108"/>
      <c r="L1029" s="108"/>
      <c r="M1029" s="108"/>
      <c r="N1029" s="108"/>
      <c r="O1029" s="108"/>
      <c r="P1029" s="108"/>
      <c r="Q1029" s="108"/>
      <c r="R1029" s="108"/>
      <c r="S1029" s="108"/>
      <c r="T1029" s="108"/>
      <c r="U1029" s="108"/>
      <c r="V1029" s="108"/>
      <c r="W1029" s="108"/>
    </row>
    <row r="1030" spans="1:23" ht="19.5" customHeight="1" x14ac:dyDescent="0.2">
      <c r="A1030" s="116"/>
      <c r="B1030" s="116"/>
      <c r="C1030" s="116"/>
      <c r="D1030" s="117"/>
      <c r="E1030" s="117"/>
      <c r="F1030" s="117"/>
      <c r="G1030" s="108"/>
      <c r="H1030" s="108"/>
      <c r="I1030" s="108"/>
      <c r="J1030" s="108"/>
      <c r="K1030" s="108"/>
      <c r="L1030" s="108"/>
      <c r="M1030" s="108"/>
      <c r="N1030" s="108"/>
      <c r="O1030" s="108"/>
      <c r="P1030" s="108"/>
      <c r="Q1030" s="108"/>
      <c r="R1030" s="108"/>
      <c r="S1030" s="108"/>
      <c r="T1030" s="108"/>
      <c r="U1030" s="108"/>
      <c r="V1030" s="108"/>
      <c r="W1030" s="108"/>
    </row>
    <row r="1031" spans="1:23" ht="19.5" customHeight="1" x14ac:dyDescent="0.2">
      <c r="A1031" s="116"/>
      <c r="B1031" s="116"/>
      <c r="C1031" s="116"/>
      <c r="D1031" s="117"/>
      <c r="E1031" s="117"/>
      <c r="F1031" s="117"/>
      <c r="G1031" s="108"/>
      <c r="H1031" s="108"/>
      <c r="I1031" s="108"/>
      <c r="J1031" s="108"/>
      <c r="K1031" s="108"/>
      <c r="L1031" s="108"/>
      <c r="M1031" s="108"/>
      <c r="N1031" s="108"/>
      <c r="O1031" s="108"/>
      <c r="P1031" s="108"/>
      <c r="Q1031" s="108"/>
      <c r="R1031" s="108"/>
      <c r="S1031" s="108"/>
      <c r="T1031" s="108"/>
      <c r="U1031" s="108"/>
      <c r="V1031" s="108"/>
      <c r="W1031" s="108"/>
    </row>
    <row r="1032" spans="1:23" ht="19.5" customHeight="1" x14ac:dyDescent="0.2">
      <c r="A1032" s="116"/>
      <c r="B1032" s="116"/>
      <c r="C1032" s="116"/>
      <c r="D1032" s="117"/>
      <c r="E1032" s="117"/>
      <c r="F1032" s="117"/>
      <c r="G1032" s="108"/>
      <c r="H1032" s="108"/>
      <c r="I1032" s="108"/>
      <c r="J1032" s="108"/>
      <c r="K1032" s="108"/>
      <c r="L1032" s="108"/>
      <c r="M1032" s="108"/>
      <c r="N1032" s="108"/>
      <c r="O1032" s="108"/>
      <c r="P1032" s="108"/>
      <c r="Q1032" s="108"/>
      <c r="R1032" s="108"/>
      <c r="S1032" s="108"/>
      <c r="T1032" s="108"/>
      <c r="U1032" s="108"/>
      <c r="V1032" s="108"/>
      <c r="W1032" s="108"/>
    </row>
    <row r="1033" spans="1:23" ht="19.5" customHeight="1" x14ac:dyDescent="0.2">
      <c r="A1033" s="116"/>
      <c r="B1033" s="116"/>
      <c r="C1033" s="116"/>
      <c r="D1033" s="117"/>
      <c r="E1033" s="117"/>
      <c r="F1033" s="117"/>
      <c r="G1033" s="108"/>
      <c r="H1033" s="108"/>
      <c r="I1033" s="108"/>
      <c r="J1033" s="108"/>
      <c r="K1033" s="108"/>
      <c r="L1033" s="108"/>
      <c r="M1033" s="108"/>
      <c r="N1033" s="108"/>
      <c r="O1033" s="108"/>
      <c r="P1033" s="108"/>
      <c r="Q1033" s="108"/>
      <c r="R1033" s="108"/>
      <c r="S1033" s="108"/>
      <c r="T1033" s="108"/>
      <c r="U1033" s="108"/>
      <c r="V1033" s="108"/>
      <c r="W1033" s="108"/>
    </row>
  </sheetData>
  <mergeCells count="7">
    <mergeCell ref="A12:F12"/>
    <mergeCell ref="A113:E113"/>
    <mergeCell ref="A1:F5"/>
    <mergeCell ref="B7:F7"/>
    <mergeCell ref="B8:F8"/>
    <mergeCell ref="B9:F9"/>
    <mergeCell ref="B10:F10"/>
  </mergeCells>
  <phoneticPr fontId="24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26"/>
  <sheetViews>
    <sheetView workbookViewId="0">
      <selection activeCell="B11" sqref="B11"/>
    </sheetView>
  </sheetViews>
  <sheetFormatPr defaultColWidth="12.5703125" defaultRowHeight="19.5" outlineLevelRow="2" x14ac:dyDescent="0.55000000000000004"/>
  <cols>
    <col min="1" max="1" width="12.28515625" style="212" customWidth="1"/>
    <col min="2" max="2" width="69.7109375" style="212" customWidth="1"/>
    <col min="3" max="3" width="15.7109375" style="212" customWidth="1"/>
    <col min="4" max="5" width="16" style="212" customWidth="1"/>
    <col min="6" max="6" width="18.7109375" style="212" customWidth="1"/>
    <col min="7" max="7" width="96.5703125" style="212" customWidth="1"/>
    <col min="8" max="8" width="65.28515625" style="212" customWidth="1"/>
    <col min="9" max="26" width="9.140625" style="212" customWidth="1"/>
    <col min="27" max="16384" width="12.5703125" style="212"/>
  </cols>
  <sheetData>
    <row r="1" spans="1:26" x14ac:dyDescent="0.55000000000000004">
      <c r="A1" s="206" t="s">
        <v>567</v>
      </c>
      <c r="B1" s="207"/>
      <c r="C1" s="207"/>
      <c r="D1" s="207"/>
      <c r="E1" s="207"/>
      <c r="F1" s="207"/>
      <c r="G1" s="207"/>
    </row>
    <row r="2" spans="1:26" x14ac:dyDescent="0.55000000000000004">
      <c r="A2" s="208"/>
      <c r="B2" s="209"/>
      <c r="C2" s="209"/>
      <c r="D2" s="209"/>
      <c r="E2" s="209"/>
      <c r="F2" s="209"/>
      <c r="G2" s="209"/>
    </row>
    <row r="3" spans="1:26" x14ac:dyDescent="0.55000000000000004">
      <c r="A3" s="208"/>
      <c r="B3" s="209"/>
      <c r="C3" s="209"/>
      <c r="D3" s="209"/>
      <c r="E3" s="209"/>
      <c r="F3" s="209"/>
      <c r="G3" s="209"/>
    </row>
    <row r="4" spans="1:26" x14ac:dyDescent="0.55000000000000004">
      <c r="A4" s="208"/>
      <c r="B4" s="209"/>
      <c r="C4" s="209"/>
      <c r="D4" s="209"/>
      <c r="E4" s="209"/>
      <c r="F4" s="209"/>
      <c r="G4" s="209"/>
    </row>
    <row r="5" spans="1:26" ht="20.25" thickBot="1" x14ac:dyDescent="0.6">
      <c r="A5" s="210"/>
      <c r="B5" s="211"/>
      <c r="C5" s="211"/>
      <c r="D5" s="211"/>
      <c r="E5" s="211"/>
      <c r="F5" s="211"/>
      <c r="G5" s="211"/>
    </row>
    <row r="6" spans="1:26" ht="20.25" thickBot="1" x14ac:dyDescent="0.6">
      <c r="A6" s="171"/>
      <c r="B6" s="172"/>
      <c r="C6" s="172"/>
      <c r="D6" s="173"/>
      <c r="E6" s="173"/>
      <c r="F6" s="173"/>
    </row>
    <row r="7" spans="1:26" x14ac:dyDescent="0.55000000000000004">
      <c r="A7" s="213" t="s">
        <v>69</v>
      </c>
      <c r="B7" s="214" t="s">
        <v>443</v>
      </c>
      <c r="C7" s="215"/>
      <c r="D7" s="215"/>
      <c r="E7" s="215"/>
      <c r="F7" s="215"/>
      <c r="G7" s="215"/>
    </row>
    <row r="8" spans="1:26" x14ac:dyDescent="0.55000000000000004">
      <c r="A8" s="216" t="s">
        <v>0</v>
      </c>
      <c r="B8" s="217" t="s">
        <v>568</v>
      </c>
      <c r="C8" s="218"/>
      <c r="D8" s="218"/>
      <c r="E8" s="218"/>
      <c r="F8" s="218"/>
      <c r="G8" s="218"/>
    </row>
    <row r="9" spans="1:26" x14ac:dyDescent="0.55000000000000004">
      <c r="A9" s="216" t="s">
        <v>70</v>
      </c>
      <c r="B9" s="219">
        <v>45509</v>
      </c>
      <c r="C9" s="220"/>
      <c r="D9" s="220"/>
      <c r="E9" s="220"/>
      <c r="F9" s="220"/>
      <c r="G9" s="220"/>
    </row>
    <row r="10" spans="1:26" ht="20.25" thickBot="1" x14ac:dyDescent="0.6">
      <c r="A10" s="221" t="s">
        <v>71</v>
      </c>
      <c r="B10" s="222" t="s">
        <v>571</v>
      </c>
      <c r="C10" s="223"/>
      <c r="D10" s="223"/>
      <c r="E10" s="223"/>
      <c r="F10" s="223"/>
      <c r="G10" s="223"/>
    </row>
    <row r="11" spans="1:26" ht="20.25" thickBot="1" x14ac:dyDescent="0.6"/>
    <row r="12" spans="1:26" ht="44.25" thickBot="1" x14ac:dyDescent="0.6">
      <c r="A12" s="228" t="s">
        <v>178</v>
      </c>
      <c r="B12" s="229" t="s">
        <v>179</v>
      </c>
      <c r="C12" s="224" t="s">
        <v>7</v>
      </c>
      <c r="D12" s="224" t="s">
        <v>6</v>
      </c>
      <c r="E12" s="224" t="s">
        <v>55</v>
      </c>
      <c r="F12" s="224" t="s">
        <v>180</v>
      </c>
      <c r="G12" s="224" t="s">
        <v>572</v>
      </c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</row>
    <row r="13" spans="1:26" ht="22.5" thickBot="1" x14ac:dyDescent="0.6">
      <c r="A13" s="231">
        <v>1</v>
      </c>
      <c r="B13" s="232" t="s">
        <v>181</v>
      </c>
      <c r="C13" s="233"/>
      <c r="D13" s="233"/>
      <c r="E13" s="233"/>
      <c r="F13" s="234">
        <f t="shared" ref="F13:F14" si="0">F14</f>
        <v>4306231.2816457134</v>
      </c>
      <c r="G13" s="234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</row>
    <row r="14" spans="1:26" ht="21.75" outlineLevel="1" x14ac:dyDescent="0.55000000000000004">
      <c r="A14" s="235" t="s">
        <v>182</v>
      </c>
      <c r="B14" s="236" t="s">
        <v>181</v>
      </c>
      <c r="C14" s="237"/>
      <c r="D14" s="237"/>
      <c r="E14" s="237"/>
      <c r="F14" s="238">
        <f t="shared" si="0"/>
        <v>4306231.2816457134</v>
      </c>
      <c r="G14" s="238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</row>
    <row r="15" spans="1:26" ht="21.75" outlineLevel="2" x14ac:dyDescent="0.55000000000000004">
      <c r="A15" s="239" t="s">
        <v>183</v>
      </c>
      <c r="B15" s="240" t="s">
        <v>184</v>
      </c>
      <c r="C15" s="241">
        <v>1</v>
      </c>
      <c r="D15" s="241" t="s">
        <v>120</v>
      </c>
      <c r="E15" s="241">
        <f>F15/C15</f>
        <v>4306231.2816457134</v>
      </c>
      <c r="F15" s="242">
        <f>CUSTOS_INDIRETOS!F113</f>
        <v>4306231.2816457134</v>
      </c>
      <c r="G15" s="242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</row>
    <row r="16" spans="1:26" ht="22.5" thickBot="1" x14ac:dyDescent="0.6">
      <c r="A16" s="243">
        <v>2</v>
      </c>
      <c r="B16" s="244" t="s">
        <v>185</v>
      </c>
      <c r="C16" s="245"/>
      <c r="D16" s="245"/>
      <c r="E16" s="245"/>
      <c r="F16" s="246">
        <f>F17</f>
        <v>89379.443672620589</v>
      </c>
      <c r="G16" s="246"/>
      <c r="H16" s="230"/>
      <c r="I16" s="230"/>
      <c r="J16" s="230"/>
      <c r="K16" s="230"/>
      <c r="L16" s="230"/>
      <c r="M16" s="230"/>
      <c r="N16" s="230"/>
      <c r="O16" s="230"/>
      <c r="P16" s="230"/>
      <c r="Q16" s="230"/>
      <c r="R16" s="230"/>
      <c r="S16" s="230"/>
      <c r="T16" s="230"/>
      <c r="U16" s="230"/>
      <c r="V16" s="230"/>
      <c r="W16" s="230"/>
      <c r="X16" s="230"/>
      <c r="Y16" s="230"/>
      <c r="Z16" s="230"/>
    </row>
    <row r="17" spans="1:26" ht="21.75" outlineLevel="1" x14ac:dyDescent="0.55000000000000004">
      <c r="A17" s="235" t="s">
        <v>186</v>
      </c>
      <c r="B17" s="247" t="s">
        <v>192</v>
      </c>
      <c r="C17" s="237"/>
      <c r="D17" s="237"/>
      <c r="E17" s="237"/>
      <c r="F17" s="238">
        <f>SUM(F18:F22)</f>
        <v>89379.443672620589</v>
      </c>
      <c r="G17" s="238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</row>
    <row r="18" spans="1:26" ht="21.75" outlineLevel="2" x14ac:dyDescent="0.55000000000000004">
      <c r="A18" s="248" t="s">
        <v>187</v>
      </c>
      <c r="B18" s="249" t="s">
        <v>193</v>
      </c>
      <c r="C18" s="249">
        <v>478.81600000000003</v>
      </c>
      <c r="D18" s="248" t="s">
        <v>188</v>
      </c>
      <c r="E18" s="241">
        <f t="shared" ref="E18:E22" si="1">F18/C18</f>
        <v>66.000000000000014</v>
      </c>
      <c r="F18" s="249">
        <v>31601.856000000007</v>
      </c>
      <c r="G18" s="225" t="s">
        <v>573</v>
      </c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</row>
    <row r="19" spans="1:26" ht="21.75" outlineLevel="2" x14ac:dyDescent="0.55000000000000004">
      <c r="A19" s="248" t="s">
        <v>189</v>
      </c>
      <c r="B19" s="249" t="s">
        <v>194</v>
      </c>
      <c r="C19" s="249">
        <v>110.49600000000004</v>
      </c>
      <c r="D19" s="248" t="s">
        <v>188</v>
      </c>
      <c r="E19" s="241">
        <f t="shared" si="1"/>
        <v>22.000000000000004</v>
      </c>
      <c r="F19" s="249">
        <v>2430.9120000000012</v>
      </c>
      <c r="G19" s="225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</row>
    <row r="20" spans="1:26" ht="21.75" outlineLevel="2" x14ac:dyDescent="0.55000000000000004">
      <c r="A20" s="248" t="s">
        <v>190</v>
      </c>
      <c r="B20" s="249" t="s">
        <v>524</v>
      </c>
      <c r="C20" s="249">
        <v>478.81600000000003</v>
      </c>
      <c r="D20" s="248" t="s">
        <v>188</v>
      </c>
      <c r="E20" s="241">
        <f t="shared" si="1"/>
        <v>44</v>
      </c>
      <c r="F20" s="249">
        <v>21067.904000000002</v>
      </c>
      <c r="G20" s="225" t="s">
        <v>574</v>
      </c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</row>
    <row r="21" spans="1:26" ht="21.75" outlineLevel="2" x14ac:dyDescent="0.55000000000000004">
      <c r="A21" s="248" t="s">
        <v>191</v>
      </c>
      <c r="B21" s="249" t="s">
        <v>525</v>
      </c>
      <c r="C21" s="249">
        <v>608.71499255955837</v>
      </c>
      <c r="D21" s="248" t="s">
        <v>188</v>
      </c>
      <c r="E21" s="241">
        <f t="shared" si="1"/>
        <v>44.000000000000007</v>
      </c>
      <c r="F21" s="249">
        <v>26783.459672620571</v>
      </c>
      <c r="G21" s="225" t="s">
        <v>575</v>
      </c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</row>
    <row r="22" spans="1:26" ht="21.75" outlineLevel="2" x14ac:dyDescent="0.55000000000000004">
      <c r="A22" s="248" t="s">
        <v>527</v>
      </c>
      <c r="B22" s="250" t="s">
        <v>526</v>
      </c>
      <c r="C22" s="249">
        <v>368.32</v>
      </c>
      <c r="D22" s="251" t="s">
        <v>29</v>
      </c>
      <c r="E22" s="241">
        <f t="shared" si="1"/>
        <v>20.350000000000001</v>
      </c>
      <c r="F22" s="252">
        <v>7495.3120000000008</v>
      </c>
      <c r="G22" s="225" t="s">
        <v>576</v>
      </c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</row>
    <row r="23" spans="1:26" ht="22.5" thickBot="1" x14ac:dyDescent="0.6">
      <c r="A23" s="243">
        <v>3</v>
      </c>
      <c r="B23" s="244" t="s">
        <v>67</v>
      </c>
      <c r="C23" s="245"/>
      <c r="D23" s="245"/>
      <c r="E23" s="245"/>
      <c r="F23" s="246">
        <f>F24+F31</f>
        <v>1818002.4100405083</v>
      </c>
      <c r="G23" s="226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</row>
    <row r="24" spans="1:26" ht="21.75" outlineLevel="1" x14ac:dyDescent="0.55000000000000004">
      <c r="A24" s="235" t="s">
        <v>195</v>
      </c>
      <c r="B24" s="236" t="s">
        <v>196</v>
      </c>
      <c r="C24" s="237"/>
      <c r="D24" s="237"/>
      <c r="E24" s="237"/>
      <c r="F24" s="238">
        <f>SUM(F25:F30)</f>
        <v>885869.20364050835</v>
      </c>
      <c r="G24" s="227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</row>
    <row r="25" spans="1:26" ht="21.75" outlineLevel="2" x14ac:dyDescent="0.55000000000000004">
      <c r="A25" s="248" t="s">
        <v>197</v>
      </c>
      <c r="B25" s="249" t="s">
        <v>199</v>
      </c>
      <c r="C25" s="249">
        <v>1568</v>
      </c>
      <c r="D25" s="248" t="s">
        <v>19</v>
      </c>
      <c r="E25" s="241">
        <f t="shared" ref="E25:E30" si="2">F25/C25</f>
        <v>99</v>
      </c>
      <c r="F25" s="249">
        <v>155232</v>
      </c>
      <c r="G25" s="225" t="s">
        <v>577</v>
      </c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</row>
    <row r="26" spans="1:26" ht="21.75" outlineLevel="2" x14ac:dyDescent="0.55000000000000004">
      <c r="A26" s="248" t="s">
        <v>198</v>
      </c>
      <c r="B26" s="249" t="s">
        <v>201</v>
      </c>
      <c r="C26" s="249">
        <v>1064</v>
      </c>
      <c r="D26" s="248" t="s">
        <v>19</v>
      </c>
      <c r="E26" s="241">
        <f t="shared" si="2"/>
        <v>115.50000000000001</v>
      </c>
      <c r="F26" s="249">
        <v>122892.00000000001</v>
      </c>
      <c r="G26" s="225" t="s">
        <v>578</v>
      </c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</row>
    <row r="27" spans="1:26" ht="21.75" outlineLevel="2" x14ac:dyDescent="0.55000000000000004">
      <c r="A27" s="248" t="s">
        <v>200</v>
      </c>
      <c r="B27" s="249" t="s">
        <v>528</v>
      </c>
      <c r="C27" s="249">
        <v>608.71499255955837</v>
      </c>
      <c r="D27" s="248" t="s">
        <v>207</v>
      </c>
      <c r="E27" s="241">
        <f t="shared" si="2"/>
        <v>829.40000000000009</v>
      </c>
      <c r="F27" s="249">
        <v>504868.21482889779</v>
      </c>
      <c r="G27" s="225" t="s">
        <v>579</v>
      </c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</row>
    <row r="28" spans="1:26" ht="43.5" outlineLevel="2" x14ac:dyDescent="0.55000000000000004">
      <c r="A28" s="248" t="s">
        <v>202</v>
      </c>
      <c r="B28" s="249" t="s">
        <v>203</v>
      </c>
      <c r="C28" s="249">
        <v>7304.5799107147004</v>
      </c>
      <c r="D28" s="248" t="s">
        <v>204</v>
      </c>
      <c r="E28" s="241">
        <f t="shared" si="2"/>
        <v>8.3820000000000014</v>
      </c>
      <c r="F28" s="249">
        <v>61226.988811610623</v>
      </c>
      <c r="G28" s="225" t="s">
        <v>580</v>
      </c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</row>
    <row r="29" spans="1:26" ht="21.75" outlineLevel="2" x14ac:dyDescent="0.55000000000000004">
      <c r="A29" s="248" t="s">
        <v>205</v>
      </c>
      <c r="B29" s="249" t="s">
        <v>209</v>
      </c>
      <c r="C29" s="249">
        <v>1</v>
      </c>
      <c r="D29" s="248" t="s">
        <v>120</v>
      </c>
      <c r="E29" s="241">
        <f t="shared" si="2"/>
        <v>13750.000000000002</v>
      </c>
      <c r="F29" s="249">
        <v>13750.000000000002</v>
      </c>
      <c r="G29" s="225" t="s">
        <v>581</v>
      </c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</row>
    <row r="30" spans="1:26" ht="21.75" outlineLevel="2" x14ac:dyDescent="0.55000000000000004">
      <c r="A30" s="248" t="s">
        <v>208</v>
      </c>
      <c r="B30" s="249" t="s">
        <v>529</v>
      </c>
      <c r="C30" s="249">
        <v>93</v>
      </c>
      <c r="D30" s="248" t="s">
        <v>20</v>
      </c>
      <c r="E30" s="241">
        <f t="shared" si="2"/>
        <v>300</v>
      </c>
      <c r="F30" s="249">
        <v>27900</v>
      </c>
      <c r="G30" s="225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</row>
    <row r="31" spans="1:26" ht="21.75" outlineLevel="2" x14ac:dyDescent="0.55000000000000004">
      <c r="A31" s="253" t="s">
        <v>210</v>
      </c>
      <c r="B31" s="247" t="s">
        <v>211</v>
      </c>
      <c r="C31" s="254"/>
      <c r="D31" s="254"/>
      <c r="E31" s="254"/>
      <c r="F31" s="255">
        <f>SUM(F32:F36)</f>
        <v>932133.20639999991</v>
      </c>
      <c r="G31" s="255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</row>
    <row r="32" spans="1:26" ht="43.5" outlineLevel="2" x14ac:dyDescent="0.55000000000000004">
      <c r="A32" s="248" t="s">
        <v>212</v>
      </c>
      <c r="B32" s="249" t="s">
        <v>530</v>
      </c>
      <c r="C32" s="249">
        <v>966.84</v>
      </c>
      <c r="D32" s="248" t="s">
        <v>28</v>
      </c>
      <c r="E32" s="241">
        <f t="shared" ref="E32:E36" si="3">F32/C32</f>
        <v>74.8</v>
      </c>
      <c r="F32" s="249">
        <v>72319.631999999998</v>
      </c>
      <c r="G32" s="225" t="s">
        <v>582</v>
      </c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</row>
    <row r="33" spans="1:26" ht="21.75" outlineLevel="2" x14ac:dyDescent="0.55000000000000004">
      <c r="A33" s="248" t="s">
        <v>213</v>
      </c>
      <c r="B33" s="249" t="s">
        <v>528</v>
      </c>
      <c r="C33" s="249">
        <v>368.32</v>
      </c>
      <c r="D33" s="248" t="s">
        <v>207</v>
      </c>
      <c r="E33" s="241">
        <f t="shared" si="3"/>
        <v>669.90000000000009</v>
      </c>
      <c r="F33" s="249">
        <v>246737.56800000003</v>
      </c>
      <c r="G33" s="225" t="s">
        <v>583</v>
      </c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</row>
    <row r="34" spans="1:26" ht="43.5" outlineLevel="2" x14ac:dyDescent="0.55000000000000004">
      <c r="A34" s="248" t="s">
        <v>214</v>
      </c>
      <c r="B34" s="249" t="s">
        <v>216</v>
      </c>
      <c r="C34" s="249">
        <v>40515.199999999997</v>
      </c>
      <c r="D34" s="248" t="s">
        <v>204</v>
      </c>
      <c r="E34" s="241">
        <f t="shared" si="3"/>
        <v>8.3819999999999997</v>
      </c>
      <c r="F34" s="249">
        <v>339598.40639999998</v>
      </c>
      <c r="G34" s="225" t="s">
        <v>580</v>
      </c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</row>
    <row r="35" spans="1:26" ht="21.75" outlineLevel="2" x14ac:dyDescent="0.55000000000000004">
      <c r="A35" s="248" t="s">
        <v>215</v>
      </c>
      <c r="B35" s="249" t="s">
        <v>531</v>
      </c>
      <c r="C35" s="249">
        <v>460.4</v>
      </c>
      <c r="D35" s="248" t="s">
        <v>28</v>
      </c>
      <c r="E35" s="241">
        <f t="shared" si="3"/>
        <v>198.00000000000003</v>
      </c>
      <c r="F35" s="249">
        <v>91159.200000000012</v>
      </c>
      <c r="G35" s="225" t="s">
        <v>584</v>
      </c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</row>
    <row r="36" spans="1:26" ht="43.5" outlineLevel="2" x14ac:dyDescent="0.55000000000000004">
      <c r="A36" s="248" t="s">
        <v>442</v>
      </c>
      <c r="B36" s="249" t="s">
        <v>255</v>
      </c>
      <c r="C36" s="249">
        <v>460.4</v>
      </c>
      <c r="D36" s="248" t="s">
        <v>28</v>
      </c>
      <c r="E36" s="241">
        <f t="shared" si="3"/>
        <v>396.00000000000006</v>
      </c>
      <c r="F36" s="249">
        <v>182318.40000000002</v>
      </c>
      <c r="G36" s="225" t="s">
        <v>585</v>
      </c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</row>
    <row r="37" spans="1:26" ht="21.75" x14ac:dyDescent="0.55000000000000004">
      <c r="A37" s="243">
        <v>5</v>
      </c>
      <c r="B37" s="244" t="s">
        <v>217</v>
      </c>
      <c r="C37" s="245"/>
      <c r="D37" s="245"/>
      <c r="E37" s="245"/>
      <c r="F37" s="246">
        <f>F38+F41+F43+F45+F49</f>
        <v>8052236.0940576941</v>
      </c>
      <c r="G37" s="246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</row>
    <row r="38" spans="1:26" ht="21.75" outlineLevel="1" x14ac:dyDescent="0.55000000000000004">
      <c r="A38" s="253" t="s">
        <v>218</v>
      </c>
      <c r="B38" s="247" t="s">
        <v>219</v>
      </c>
      <c r="C38" s="254"/>
      <c r="D38" s="254"/>
      <c r="E38" s="254"/>
      <c r="F38" s="255">
        <f>SUM(F39:F40)</f>
        <v>443622.41105769231</v>
      </c>
      <c r="G38" s="255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</row>
    <row r="39" spans="1:26" ht="21.75" outlineLevel="2" x14ac:dyDescent="0.55000000000000004">
      <c r="A39" s="256" t="s">
        <v>220</v>
      </c>
      <c r="B39" s="257" t="s">
        <v>221</v>
      </c>
      <c r="C39" s="248">
        <v>3062.9855769230767</v>
      </c>
      <c r="D39" s="248" t="s">
        <v>28</v>
      </c>
      <c r="E39" s="241">
        <f t="shared" ref="E39:E40" si="4">F39/C39</f>
        <v>121.00000000000001</v>
      </c>
      <c r="F39" s="258">
        <v>370621.25480769231</v>
      </c>
      <c r="G39" s="225" t="s">
        <v>586</v>
      </c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</row>
    <row r="40" spans="1:26" ht="43.5" outlineLevel="2" x14ac:dyDescent="0.55000000000000004">
      <c r="A40" s="256" t="s">
        <v>222</v>
      </c>
      <c r="B40" s="257" t="s">
        <v>223</v>
      </c>
      <c r="C40" s="248">
        <v>26545.875</v>
      </c>
      <c r="D40" s="248" t="s">
        <v>28</v>
      </c>
      <c r="E40" s="241">
        <f t="shared" si="4"/>
        <v>2.75</v>
      </c>
      <c r="F40" s="258">
        <v>73001.15625</v>
      </c>
      <c r="G40" s="225" t="s">
        <v>587</v>
      </c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</row>
    <row r="41" spans="1:26" ht="21.75" outlineLevel="1" x14ac:dyDescent="0.55000000000000004">
      <c r="A41" s="253" t="s">
        <v>224</v>
      </c>
      <c r="B41" s="247" t="s">
        <v>227</v>
      </c>
      <c r="C41" s="254"/>
      <c r="D41" s="254"/>
      <c r="E41" s="254"/>
      <c r="F41" s="255">
        <f>F42</f>
        <v>2447582.7667500004</v>
      </c>
      <c r="G41" s="283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</row>
    <row r="42" spans="1:26" ht="43.5" outlineLevel="2" x14ac:dyDescent="0.55000000000000004">
      <c r="A42" s="256" t="s">
        <v>225</v>
      </c>
      <c r="B42" s="257" t="s">
        <v>229</v>
      </c>
      <c r="C42" s="248">
        <v>292004.625</v>
      </c>
      <c r="D42" s="248" t="s">
        <v>204</v>
      </c>
      <c r="E42" s="241">
        <f t="shared" ref="E42" si="5">F42/C42</f>
        <v>8.3820000000000014</v>
      </c>
      <c r="F42" s="258">
        <v>2447582.7667500004</v>
      </c>
      <c r="G42" s="225" t="s">
        <v>580</v>
      </c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</row>
    <row r="43" spans="1:26" ht="21.75" outlineLevel="1" x14ac:dyDescent="0.55000000000000004">
      <c r="A43" s="253" t="s">
        <v>226</v>
      </c>
      <c r="B43" s="247" t="s">
        <v>231</v>
      </c>
      <c r="C43" s="254"/>
      <c r="D43" s="254"/>
      <c r="E43" s="254"/>
      <c r="F43" s="255">
        <f>F44</f>
        <v>1778308.1662500002</v>
      </c>
      <c r="G43" s="283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</row>
    <row r="44" spans="1:26" ht="21.75" outlineLevel="2" x14ac:dyDescent="0.55000000000000004">
      <c r="A44" s="256" t="s">
        <v>228</v>
      </c>
      <c r="B44" s="257" t="s">
        <v>206</v>
      </c>
      <c r="C44" s="248">
        <v>2654.5875000000001</v>
      </c>
      <c r="D44" s="248" t="s">
        <v>207</v>
      </c>
      <c r="E44" s="241">
        <f t="shared" ref="E44" si="6">F44/C44</f>
        <v>669.90000000000009</v>
      </c>
      <c r="F44" s="258">
        <v>1778308.1662500002</v>
      </c>
      <c r="G44" s="225" t="s">
        <v>583</v>
      </c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</row>
    <row r="45" spans="1:26" ht="21.75" outlineLevel="2" x14ac:dyDescent="0.55000000000000004">
      <c r="A45" s="253" t="s">
        <v>230</v>
      </c>
      <c r="B45" s="247" t="s">
        <v>234</v>
      </c>
      <c r="C45" s="254"/>
      <c r="D45" s="254"/>
      <c r="E45" s="254"/>
      <c r="F45" s="255">
        <f>SUM(F46:F48)</f>
        <v>579478.35000000009</v>
      </c>
      <c r="G45" s="283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</row>
    <row r="46" spans="1:26" ht="43.5" outlineLevel="2" x14ac:dyDescent="0.55000000000000004">
      <c r="A46" s="256" t="s">
        <v>232</v>
      </c>
      <c r="B46" s="257" t="s">
        <v>532</v>
      </c>
      <c r="C46" s="248">
        <v>4144</v>
      </c>
      <c r="D46" s="248" t="s">
        <v>20</v>
      </c>
      <c r="E46" s="241">
        <f t="shared" ref="E46:E48" si="7">F46/C46</f>
        <v>18.7</v>
      </c>
      <c r="F46" s="258">
        <v>77492.800000000003</v>
      </c>
      <c r="G46" s="284" t="s">
        <v>588</v>
      </c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</row>
    <row r="47" spans="1:26" ht="21.75" outlineLevel="2" x14ac:dyDescent="0.55000000000000004">
      <c r="A47" s="256" t="s">
        <v>535</v>
      </c>
      <c r="B47" s="257" t="s">
        <v>533</v>
      </c>
      <c r="C47" s="248">
        <v>1060</v>
      </c>
      <c r="D47" s="248" t="s">
        <v>28</v>
      </c>
      <c r="E47" s="241">
        <f t="shared" si="7"/>
        <v>330.57127358490573</v>
      </c>
      <c r="F47" s="258">
        <v>350405.55000000005</v>
      </c>
      <c r="G47" s="225" t="s">
        <v>589</v>
      </c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</row>
    <row r="48" spans="1:26" ht="43.5" outlineLevel="2" x14ac:dyDescent="0.55000000000000004">
      <c r="A48" s="256" t="s">
        <v>536</v>
      </c>
      <c r="B48" s="259" t="s">
        <v>534</v>
      </c>
      <c r="C48" s="251">
        <v>26</v>
      </c>
      <c r="D48" s="251" t="s">
        <v>596</v>
      </c>
      <c r="E48" s="241">
        <f t="shared" si="7"/>
        <v>5830</v>
      </c>
      <c r="F48" s="260">
        <v>151580</v>
      </c>
      <c r="G48" s="285" t="s">
        <v>590</v>
      </c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</row>
    <row r="49" spans="1:26" ht="21.75" outlineLevel="2" x14ac:dyDescent="0.55000000000000004">
      <c r="A49" s="253" t="s">
        <v>233</v>
      </c>
      <c r="B49" s="247" t="s">
        <v>236</v>
      </c>
      <c r="C49" s="254"/>
      <c r="D49" s="254"/>
      <c r="E49" s="254"/>
      <c r="F49" s="255">
        <f>F50</f>
        <v>2803244.4000000004</v>
      </c>
      <c r="G49" s="283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</row>
    <row r="50" spans="1:26" ht="43.5" outlineLevel="2" x14ac:dyDescent="0.55000000000000004">
      <c r="A50" s="256" t="s">
        <v>235</v>
      </c>
      <c r="B50" s="257" t="s">
        <v>237</v>
      </c>
      <c r="C50" s="248">
        <v>10618.35</v>
      </c>
      <c r="D50" s="248" t="s">
        <v>28</v>
      </c>
      <c r="E50" s="241">
        <f t="shared" ref="E50" si="8">F50/C50</f>
        <v>264</v>
      </c>
      <c r="F50" s="258">
        <v>2803244.4000000004</v>
      </c>
      <c r="G50" s="225" t="s">
        <v>591</v>
      </c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</row>
    <row r="51" spans="1:26" ht="21.75" x14ac:dyDescent="0.55000000000000004">
      <c r="A51" s="243">
        <v>6</v>
      </c>
      <c r="B51" s="244" t="s">
        <v>238</v>
      </c>
      <c r="C51" s="245"/>
      <c r="D51" s="245"/>
      <c r="E51" s="245"/>
      <c r="F51" s="246">
        <f>F52</f>
        <v>1549077.3993200003</v>
      </c>
      <c r="G51" s="246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</row>
    <row r="52" spans="1:26" ht="21.75" outlineLevel="1" x14ac:dyDescent="0.55000000000000004">
      <c r="A52" s="253" t="s">
        <v>239</v>
      </c>
      <c r="B52" s="247" t="s">
        <v>238</v>
      </c>
      <c r="C52" s="254"/>
      <c r="D52" s="254"/>
      <c r="E52" s="254"/>
      <c r="F52" s="255">
        <f>SUM(F53:F60)</f>
        <v>1549077.3993200003</v>
      </c>
      <c r="G52" s="255"/>
      <c r="H52" s="230"/>
      <c r="I52" s="230"/>
      <c r="J52" s="230"/>
      <c r="K52" s="230"/>
      <c r="L52" s="230"/>
      <c r="M52" s="230"/>
      <c r="N52" s="230"/>
      <c r="O52" s="230"/>
      <c r="P52" s="230"/>
      <c r="Q52" s="230"/>
      <c r="R52" s="230"/>
      <c r="S52" s="230"/>
      <c r="T52" s="230"/>
      <c r="U52" s="230"/>
      <c r="V52" s="230"/>
      <c r="W52" s="230"/>
      <c r="X52" s="230"/>
      <c r="Y52" s="230"/>
      <c r="Z52" s="230"/>
    </row>
    <row r="53" spans="1:26" ht="21.75" outlineLevel="2" x14ac:dyDescent="0.55000000000000004">
      <c r="A53" s="261" t="s">
        <v>240</v>
      </c>
      <c r="B53" s="257" t="s">
        <v>241</v>
      </c>
      <c r="C53" s="248">
        <v>3352.9800000000005</v>
      </c>
      <c r="D53" s="248" t="s">
        <v>28</v>
      </c>
      <c r="E53" s="241">
        <f t="shared" ref="E53:E60" si="9">F53/C53</f>
        <v>49.500000000000007</v>
      </c>
      <c r="F53" s="258">
        <v>165972.51000000004</v>
      </c>
      <c r="G53" s="225" t="s">
        <v>592</v>
      </c>
      <c r="H53" s="230"/>
      <c r="I53" s="230"/>
      <c r="J53" s="230"/>
      <c r="K53" s="230"/>
      <c r="L53" s="230"/>
      <c r="M53" s="230"/>
      <c r="N53" s="230"/>
      <c r="O53" s="230"/>
      <c r="P53" s="230"/>
      <c r="Q53" s="230"/>
      <c r="R53" s="230"/>
      <c r="S53" s="230"/>
      <c r="T53" s="230"/>
      <c r="U53" s="230"/>
      <c r="V53" s="230"/>
      <c r="W53" s="230"/>
      <c r="X53" s="230"/>
      <c r="Y53" s="230"/>
      <c r="Z53" s="230"/>
    </row>
    <row r="54" spans="1:26" ht="21.75" outlineLevel="2" x14ac:dyDescent="0.55000000000000004">
      <c r="A54" s="261" t="s">
        <v>242</v>
      </c>
      <c r="B54" s="257" t="s">
        <v>243</v>
      </c>
      <c r="C54" s="248">
        <v>320</v>
      </c>
      <c r="D54" s="248" t="s">
        <v>28</v>
      </c>
      <c r="E54" s="241">
        <f t="shared" si="9"/>
        <v>49.500000000000007</v>
      </c>
      <c r="F54" s="258">
        <v>15840.000000000002</v>
      </c>
      <c r="G54" s="225" t="s">
        <v>592</v>
      </c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</row>
    <row r="55" spans="1:26" ht="21.75" outlineLevel="2" x14ac:dyDescent="0.55000000000000004">
      <c r="A55" s="261" t="s">
        <v>244</v>
      </c>
      <c r="B55" s="257" t="s">
        <v>537</v>
      </c>
      <c r="C55" s="248">
        <v>8473.2384000000002</v>
      </c>
      <c r="D55" s="248" t="s">
        <v>28</v>
      </c>
      <c r="E55" s="241">
        <f t="shared" si="9"/>
        <v>49.5</v>
      </c>
      <c r="F55" s="258">
        <v>419425.30080000003</v>
      </c>
      <c r="G55" s="225" t="s">
        <v>592</v>
      </c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</row>
    <row r="56" spans="1:26" ht="21.75" outlineLevel="2" x14ac:dyDescent="0.55000000000000004">
      <c r="A56" s="261" t="s">
        <v>245</v>
      </c>
      <c r="B56" s="257" t="s">
        <v>248</v>
      </c>
      <c r="C56" s="248">
        <v>2123.67</v>
      </c>
      <c r="D56" s="248" t="s">
        <v>28</v>
      </c>
      <c r="E56" s="241">
        <f t="shared" si="9"/>
        <v>80.849999999999994</v>
      </c>
      <c r="F56" s="258">
        <v>171698.71950000001</v>
      </c>
      <c r="G56" s="225" t="s">
        <v>592</v>
      </c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0"/>
      <c r="S56" s="230"/>
      <c r="T56" s="230"/>
      <c r="U56" s="230"/>
      <c r="V56" s="230"/>
      <c r="W56" s="230"/>
      <c r="X56" s="230"/>
      <c r="Y56" s="230"/>
      <c r="Z56" s="230"/>
    </row>
    <row r="57" spans="1:26" ht="21.75" outlineLevel="2" x14ac:dyDescent="0.55000000000000004">
      <c r="A57" s="261" t="s">
        <v>246</v>
      </c>
      <c r="B57" s="257" t="s">
        <v>250</v>
      </c>
      <c r="C57" s="248">
        <v>141.22064</v>
      </c>
      <c r="D57" s="248" t="s">
        <v>28</v>
      </c>
      <c r="E57" s="241">
        <f t="shared" si="9"/>
        <v>49.5</v>
      </c>
      <c r="F57" s="258">
        <v>6990.4216800000004</v>
      </c>
      <c r="G57" s="225" t="s">
        <v>592</v>
      </c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230"/>
      <c r="X57" s="230"/>
      <c r="Y57" s="230"/>
      <c r="Z57" s="230"/>
    </row>
    <row r="58" spans="1:26" ht="43.5" outlineLevel="2" x14ac:dyDescent="0.55000000000000004">
      <c r="A58" s="261" t="s">
        <v>247</v>
      </c>
      <c r="B58" s="257" t="s">
        <v>252</v>
      </c>
      <c r="C58" s="248">
        <v>70</v>
      </c>
      <c r="D58" s="248" t="s">
        <v>538</v>
      </c>
      <c r="E58" s="241">
        <f t="shared" si="9"/>
        <v>231.00000000000003</v>
      </c>
      <c r="F58" s="258">
        <v>16170.000000000002</v>
      </c>
      <c r="G58" s="225" t="s">
        <v>593</v>
      </c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</row>
    <row r="59" spans="1:26" ht="21.75" outlineLevel="2" x14ac:dyDescent="0.55000000000000004">
      <c r="A59" s="261" t="s">
        <v>249</v>
      </c>
      <c r="B59" s="257" t="s">
        <v>254</v>
      </c>
      <c r="C59" s="248">
        <v>14411.109040000001</v>
      </c>
      <c r="D59" s="248" t="s">
        <v>28</v>
      </c>
      <c r="E59" s="241">
        <f t="shared" si="9"/>
        <v>13.75</v>
      </c>
      <c r="F59" s="258">
        <v>198152.74930000002</v>
      </c>
      <c r="G59" s="225" t="s">
        <v>594</v>
      </c>
      <c r="H59" s="230"/>
      <c r="I59" s="230"/>
      <c r="J59" s="230"/>
      <c r="K59" s="230"/>
      <c r="L59" s="230"/>
      <c r="M59" s="230"/>
      <c r="N59" s="230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</row>
    <row r="60" spans="1:26" ht="43.5" outlineLevel="2" x14ac:dyDescent="0.55000000000000004">
      <c r="A60" s="261" t="s">
        <v>251</v>
      </c>
      <c r="B60" s="257" t="s">
        <v>255</v>
      </c>
      <c r="C60" s="248">
        <v>14411.109040000001</v>
      </c>
      <c r="D60" s="248" t="s">
        <v>28</v>
      </c>
      <c r="E60" s="241">
        <f t="shared" si="9"/>
        <v>38.500000000000007</v>
      </c>
      <c r="F60" s="258">
        <v>554827.69804000016</v>
      </c>
      <c r="G60" s="225" t="s">
        <v>595</v>
      </c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</row>
    <row r="61" spans="1:26" ht="22.5" thickBot="1" x14ac:dyDescent="0.6">
      <c r="A61" s="243">
        <v>7</v>
      </c>
      <c r="B61" s="244" t="s">
        <v>256</v>
      </c>
      <c r="C61" s="245"/>
      <c r="D61" s="245"/>
      <c r="E61" s="245"/>
      <c r="F61" s="246">
        <f>F62+F70+F77</f>
        <v>4134785.49</v>
      </c>
      <c r="G61" s="246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</row>
    <row r="62" spans="1:26" ht="21.75" outlineLevel="1" x14ac:dyDescent="0.55000000000000004">
      <c r="A62" s="235" t="s">
        <v>257</v>
      </c>
      <c r="B62" s="236" t="s">
        <v>258</v>
      </c>
      <c r="C62" s="237"/>
      <c r="D62" s="237"/>
      <c r="E62" s="237"/>
      <c r="F62" s="238">
        <f>SUM(F63:F69)</f>
        <v>1757867.8425000003</v>
      </c>
      <c r="G62" s="238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</row>
    <row r="63" spans="1:26" ht="21.75" outlineLevel="2" x14ac:dyDescent="0.55000000000000004">
      <c r="A63" s="256" t="s">
        <v>259</v>
      </c>
      <c r="B63" s="257" t="s">
        <v>260</v>
      </c>
      <c r="C63" s="248">
        <v>1</v>
      </c>
      <c r="D63" s="248" t="s">
        <v>120</v>
      </c>
      <c r="E63" s="241">
        <f t="shared" ref="E63:E69" si="10">F63/C63</f>
        <v>64241.017500000009</v>
      </c>
      <c r="F63" s="258">
        <v>64241.017500000009</v>
      </c>
      <c r="G63" s="258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</row>
    <row r="64" spans="1:26" ht="21.75" outlineLevel="2" x14ac:dyDescent="0.55000000000000004">
      <c r="A64" s="256" t="s">
        <v>261</v>
      </c>
      <c r="B64" s="257" t="s">
        <v>262</v>
      </c>
      <c r="C64" s="248">
        <v>1</v>
      </c>
      <c r="D64" s="248" t="s">
        <v>120</v>
      </c>
      <c r="E64" s="241">
        <f t="shared" si="10"/>
        <v>116801.85</v>
      </c>
      <c r="F64" s="258">
        <v>116801.85</v>
      </c>
      <c r="G64" s="258"/>
      <c r="H64" s="230"/>
      <c r="I64" s="230"/>
      <c r="J64" s="230"/>
      <c r="K64" s="230"/>
      <c r="L64" s="230"/>
      <c r="M64" s="230"/>
      <c r="N64" s="230"/>
      <c r="O64" s="230"/>
      <c r="P64" s="230"/>
      <c r="Q64" s="230"/>
      <c r="R64" s="230"/>
      <c r="S64" s="230"/>
      <c r="T64" s="230"/>
      <c r="U64" s="230"/>
      <c r="V64" s="230"/>
      <c r="W64" s="230"/>
      <c r="X64" s="230"/>
      <c r="Y64" s="230"/>
      <c r="Z64" s="230"/>
    </row>
    <row r="65" spans="1:26" ht="21.75" outlineLevel="2" x14ac:dyDescent="0.55000000000000004">
      <c r="A65" s="256" t="s">
        <v>263</v>
      </c>
      <c r="B65" s="257" t="s">
        <v>265</v>
      </c>
      <c r="C65" s="248">
        <v>1</v>
      </c>
      <c r="D65" s="248" t="s">
        <v>120</v>
      </c>
      <c r="E65" s="241">
        <f t="shared" si="10"/>
        <v>350405.55000000005</v>
      </c>
      <c r="F65" s="258">
        <v>350405.55000000005</v>
      </c>
      <c r="G65" s="258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 spans="1:26" ht="21.75" outlineLevel="2" x14ac:dyDescent="0.55000000000000004">
      <c r="A66" s="256" t="s">
        <v>264</v>
      </c>
      <c r="B66" s="257" t="s">
        <v>267</v>
      </c>
      <c r="C66" s="248">
        <v>1</v>
      </c>
      <c r="D66" s="248" t="s">
        <v>120</v>
      </c>
      <c r="E66" s="241">
        <f t="shared" si="10"/>
        <v>175202.77500000002</v>
      </c>
      <c r="F66" s="258">
        <v>175202.77500000002</v>
      </c>
      <c r="G66" s="258"/>
      <c r="H66" s="230"/>
      <c r="I66" s="230"/>
      <c r="J66" s="230"/>
      <c r="K66" s="230"/>
      <c r="L66" s="230"/>
      <c r="M66" s="230"/>
      <c r="N66" s="230"/>
      <c r="O66" s="230"/>
      <c r="P66" s="230"/>
      <c r="Q66" s="230"/>
      <c r="R66" s="230"/>
      <c r="S66" s="230"/>
      <c r="T66" s="230"/>
      <c r="U66" s="230"/>
      <c r="V66" s="230"/>
      <c r="W66" s="230"/>
      <c r="X66" s="230"/>
      <c r="Y66" s="230"/>
      <c r="Z66" s="230"/>
    </row>
    <row r="67" spans="1:26" ht="21.75" outlineLevel="2" x14ac:dyDescent="0.55000000000000004">
      <c r="A67" s="256" t="s">
        <v>266</v>
      </c>
      <c r="B67" s="257" t="s">
        <v>269</v>
      </c>
      <c r="C67" s="248">
        <v>1</v>
      </c>
      <c r="D67" s="248" t="s">
        <v>120</v>
      </c>
      <c r="E67" s="241">
        <f t="shared" si="10"/>
        <v>175202.77500000002</v>
      </c>
      <c r="F67" s="258">
        <v>175202.77500000002</v>
      </c>
      <c r="G67" s="258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</row>
    <row r="68" spans="1:26" ht="21.75" outlineLevel="2" x14ac:dyDescent="0.55000000000000004">
      <c r="A68" s="256" t="s">
        <v>268</v>
      </c>
      <c r="B68" s="257" t="s">
        <v>271</v>
      </c>
      <c r="C68" s="248">
        <v>1</v>
      </c>
      <c r="D68" s="248" t="s">
        <v>120</v>
      </c>
      <c r="E68" s="241">
        <f t="shared" si="10"/>
        <v>175202.77500000002</v>
      </c>
      <c r="F68" s="258">
        <v>175202.77500000002</v>
      </c>
      <c r="G68" s="258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</row>
    <row r="69" spans="1:26" ht="21.75" outlineLevel="2" x14ac:dyDescent="0.55000000000000004">
      <c r="A69" s="256" t="s">
        <v>270</v>
      </c>
      <c r="B69" s="259" t="s">
        <v>272</v>
      </c>
      <c r="C69" s="248">
        <f>OBRA!D10</f>
        <v>10618.35</v>
      </c>
      <c r="D69" s="248" t="s">
        <v>28</v>
      </c>
      <c r="E69" s="241">
        <f t="shared" si="10"/>
        <v>66</v>
      </c>
      <c r="F69" s="260">
        <v>700811.10000000009</v>
      </c>
      <c r="G69" s="260"/>
      <c r="H69" s="230"/>
      <c r="I69" s="230"/>
      <c r="J69" s="230"/>
      <c r="K69" s="230"/>
      <c r="L69" s="230"/>
      <c r="M69" s="230"/>
      <c r="N69" s="230"/>
      <c r="O69" s="230"/>
      <c r="P69" s="230"/>
      <c r="Q69" s="230"/>
      <c r="R69" s="230"/>
      <c r="S69" s="230"/>
      <c r="T69" s="230"/>
      <c r="U69" s="230"/>
      <c r="V69" s="230"/>
      <c r="W69" s="230"/>
      <c r="X69" s="230"/>
      <c r="Y69" s="230"/>
      <c r="Z69" s="230"/>
    </row>
    <row r="70" spans="1:26" ht="21.75" outlineLevel="1" x14ac:dyDescent="0.55000000000000004">
      <c r="A70" s="253" t="s">
        <v>273</v>
      </c>
      <c r="B70" s="247" t="s">
        <v>274</v>
      </c>
      <c r="C70" s="254"/>
      <c r="D70" s="254"/>
      <c r="E70" s="254"/>
      <c r="F70" s="255">
        <f>SUM(F71:F76)</f>
        <v>1898030.0625000002</v>
      </c>
      <c r="G70" s="255"/>
      <c r="H70" s="230"/>
      <c r="I70" s="230"/>
      <c r="J70" s="230"/>
      <c r="K70" s="230"/>
      <c r="L70" s="230"/>
      <c r="M70" s="230"/>
      <c r="N70" s="230"/>
      <c r="O70" s="230"/>
      <c r="P70" s="230"/>
      <c r="Q70" s="230"/>
      <c r="R70" s="230"/>
      <c r="S70" s="230"/>
      <c r="T70" s="230"/>
      <c r="U70" s="230"/>
      <c r="V70" s="230"/>
      <c r="W70" s="230"/>
      <c r="X70" s="230"/>
      <c r="Y70" s="230"/>
      <c r="Z70" s="230"/>
    </row>
    <row r="71" spans="1:26" ht="21.75" outlineLevel="2" x14ac:dyDescent="0.55000000000000004">
      <c r="A71" s="256" t="s">
        <v>275</v>
      </c>
      <c r="B71" s="257" t="s">
        <v>276</v>
      </c>
      <c r="C71" s="248">
        <v>1</v>
      </c>
      <c r="D71" s="248" t="s">
        <v>120</v>
      </c>
      <c r="E71" s="241">
        <f t="shared" ref="E71:E76" si="11">F71/C71</f>
        <v>292004.625</v>
      </c>
      <c r="F71" s="258">
        <v>292004.625</v>
      </c>
      <c r="G71" s="258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230"/>
      <c r="U71" s="230"/>
      <c r="V71" s="230"/>
      <c r="W71" s="230"/>
      <c r="X71" s="230"/>
      <c r="Y71" s="230"/>
      <c r="Z71" s="230"/>
    </row>
    <row r="72" spans="1:26" ht="21.75" outlineLevel="2" x14ac:dyDescent="0.55000000000000004">
      <c r="A72" s="256" t="s">
        <v>277</v>
      </c>
      <c r="B72" s="257" t="s">
        <v>278</v>
      </c>
      <c r="C72" s="248">
        <v>1</v>
      </c>
      <c r="D72" s="248" t="s">
        <v>120</v>
      </c>
      <c r="E72" s="241">
        <f t="shared" si="11"/>
        <v>256964.07000000004</v>
      </c>
      <c r="F72" s="258">
        <v>256964.07000000004</v>
      </c>
      <c r="G72" s="258"/>
      <c r="H72" s="230"/>
      <c r="I72" s="230"/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  <c r="V72" s="230"/>
      <c r="W72" s="230"/>
      <c r="X72" s="230"/>
      <c r="Y72" s="230"/>
      <c r="Z72" s="230"/>
    </row>
    <row r="73" spans="1:26" ht="21.75" outlineLevel="2" x14ac:dyDescent="0.55000000000000004">
      <c r="A73" s="256" t="s">
        <v>279</v>
      </c>
      <c r="B73" s="257" t="s">
        <v>280</v>
      </c>
      <c r="C73" s="248">
        <v>1</v>
      </c>
      <c r="D73" s="248" t="s">
        <v>120</v>
      </c>
      <c r="E73" s="241">
        <f t="shared" si="11"/>
        <v>116801.85</v>
      </c>
      <c r="F73" s="258">
        <v>116801.85</v>
      </c>
      <c r="G73" s="258"/>
      <c r="H73" s="230"/>
      <c r="I73" s="230"/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  <c r="V73" s="230"/>
      <c r="W73" s="230"/>
      <c r="X73" s="230"/>
      <c r="Y73" s="230"/>
      <c r="Z73" s="230"/>
    </row>
    <row r="74" spans="1:26" ht="21.75" outlineLevel="2" x14ac:dyDescent="0.55000000000000004">
      <c r="A74" s="256" t="s">
        <v>281</v>
      </c>
      <c r="B74" s="257" t="s">
        <v>282</v>
      </c>
      <c r="C74" s="248">
        <v>1</v>
      </c>
      <c r="D74" s="248" t="s">
        <v>120</v>
      </c>
      <c r="E74" s="241">
        <f t="shared" si="11"/>
        <v>175202.77500000002</v>
      </c>
      <c r="F74" s="258">
        <v>175202.77500000002</v>
      </c>
      <c r="G74" s="258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  <c r="V74" s="230"/>
      <c r="W74" s="230"/>
      <c r="X74" s="230"/>
      <c r="Y74" s="230"/>
      <c r="Z74" s="230"/>
    </row>
    <row r="75" spans="1:26" ht="21.75" outlineLevel="2" x14ac:dyDescent="0.55000000000000004">
      <c r="A75" s="256" t="s">
        <v>283</v>
      </c>
      <c r="B75" s="257" t="s">
        <v>284</v>
      </c>
      <c r="C75" s="248">
        <v>1</v>
      </c>
      <c r="D75" s="248" t="s">
        <v>120</v>
      </c>
      <c r="E75" s="241">
        <f t="shared" si="11"/>
        <v>414646.5675</v>
      </c>
      <c r="F75" s="258">
        <v>414646.5675</v>
      </c>
      <c r="G75" s="258"/>
      <c r="H75" s="230"/>
      <c r="I75" s="230"/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</row>
    <row r="76" spans="1:26" ht="21.75" outlineLevel="2" x14ac:dyDescent="0.55000000000000004">
      <c r="A76" s="256" t="s">
        <v>285</v>
      </c>
      <c r="B76" s="257" t="s">
        <v>286</v>
      </c>
      <c r="C76" s="248">
        <f>OBRA!D10</f>
        <v>10618.35</v>
      </c>
      <c r="D76" s="248" t="s">
        <v>28</v>
      </c>
      <c r="E76" s="241">
        <f t="shared" si="11"/>
        <v>60.5</v>
      </c>
      <c r="F76" s="258">
        <v>642410.17500000005</v>
      </c>
      <c r="G76" s="258"/>
      <c r="H76" s="230"/>
      <c r="I76" s="230"/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  <c r="V76" s="230"/>
      <c r="W76" s="230"/>
      <c r="X76" s="230"/>
      <c r="Y76" s="230"/>
      <c r="Z76" s="230"/>
    </row>
    <row r="77" spans="1:26" ht="21.75" outlineLevel="1" x14ac:dyDescent="0.55000000000000004">
      <c r="A77" s="253" t="s">
        <v>287</v>
      </c>
      <c r="B77" s="247" t="s">
        <v>288</v>
      </c>
      <c r="C77" s="254"/>
      <c r="D77" s="254"/>
      <c r="E77" s="254"/>
      <c r="F77" s="255">
        <f>SUM(F78:F80)</f>
        <v>478887.58500000008</v>
      </c>
      <c r="G77" s="255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  <c r="V77" s="230"/>
      <c r="W77" s="230"/>
      <c r="X77" s="230"/>
      <c r="Y77" s="230"/>
      <c r="Z77" s="230"/>
    </row>
    <row r="78" spans="1:26" ht="21.75" outlineLevel="2" x14ac:dyDescent="0.55000000000000004">
      <c r="A78" s="256" t="s">
        <v>289</v>
      </c>
      <c r="B78" s="257" t="s">
        <v>290</v>
      </c>
      <c r="C78" s="248">
        <v>1</v>
      </c>
      <c r="D78" s="248" t="s">
        <v>120</v>
      </c>
      <c r="E78" s="241">
        <f t="shared" ref="E78:E80" si="12">F78/C78</f>
        <v>233603.7</v>
      </c>
      <c r="F78" s="258">
        <v>233603.7</v>
      </c>
      <c r="G78" s="258"/>
      <c r="H78" s="230"/>
      <c r="I78" s="230"/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  <c r="V78" s="230"/>
      <c r="W78" s="230"/>
      <c r="X78" s="230"/>
      <c r="Y78" s="230"/>
      <c r="Z78" s="230"/>
    </row>
    <row r="79" spans="1:26" ht="21.75" outlineLevel="2" x14ac:dyDescent="0.55000000000000004">
      <c r="A79" s="256" t="s">
        <v>291</v>
      </c>
      <c r="B79" s="257" t="s">
        <v>292</v>
      </c>
      <c r="C79" s="248">
        <v>1</v>
      </c>
      <c r="D79" s="248" t="s">
        <v>120</v>
      </c>
      <c r="E79" s="241">
        <f t="shared" si="12"/>
        <v>151842.40500000003</v>
      </c>
      <c r="F79" s="258">
        <v>151842.40500000003</v>
      </c>
      <c r="G79" s="258"/>
      <c r="H79" s="230"/>
      <c r="I79" s="230"/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  <c r="V79" s="230"/>
      <c r="W79" s="230"/>
      <c r="X79" s="230"/>
      <c r="Y79" s="230"/>
      <c r="Z79" s="230"/>
    </row>
    <row r="80" spans="1:26" ht="21.75" outlineLevel="2" x14ac:dyDescent="0.55000000000000004">
      <c r="A80" s="256" t="s">
        <v>293</v>
      </c>
      <c r="B80" s="257" t="s">
        <v>294</v>
      </c>
      <c r="C80" s="248">
        <v>1</v>
      </c>
      <c r="D80" s="248" t="s">
        <v>28</v>
      </c>
      <c r="E80" s="241">
        <f t="shared" si="12"/>
        <v>93441.48000000001</v>
      </c>
      <c r="F80" s="258">
        <v>93441.48000000001</v>
      </c>
      <c r="G80" s="258"/>
      <c r="H80" s="230"/>
      <c r="I80" s="230"/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  <c r="V80" s="230"/>
      <c r="W80" s="230"/>
      <c r="X80" s="230"/>
      <c r="Y80" s="230"/>
      <c r="Z80" s="230"/>
    </row>
    <row r="81" spans="1:26" ht="21.75" x14ac:dyDescent="0.55000000000000004">
      <c r="A81" s="243">
        <v>8</v>
      </c>
      <c r="B81" s="244" t="s">
        <v>295</v>
      </c>
      <c r="C81" s="245"/>
      <c r="D81" s="245"/>
      <c r="E81" s="245"/>
      <c r="F81" s="246">
        <f>F82+F87+F92+F94</f>
        <v>1798782.9750000001</v>
      </c>
      <c r="G81" s="246"/>
      <c r="H81" s="230"/>
      <c r="I81" s="230"/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  <c r="V81" s="230"/>
      <c r="W81" s="230"/>
      <c r="X81" s="230"/>
      <c r="Y81" s="230"/>
      <c r="Z81" s="230"/>
    </row>
    <row r="82" spans="1:26" ht="21.75" x14ac:dyDescent="0.55000000000000004">
      <c r="A82" s="253" t="s">
        <v>296</v>
      </c>
      <c r="B82" s="247" t="s">
        <v>297</v>
      </c>
      <c r="C82" s="254"/>
      <c r="D82" s="254"/>
      <c r="E82" s="254"/>
      <c r="F82" s="255">
        <f>SUM(F83:F86)</f>
        <v>437800.00000000006</v>
      </c>
      <c r="G82" s="255"/>
      <c r="H82" s="230"/>
      <c r="I82" s="230"/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</row>
    <row r="83" spans="1:26" ht="43.5" x14ac:dyDescent="0.55000000000000004">
      <c r="A83" s="256" t="s">
        <v>298</v>
      </c>
      <c r="B83" s="257" t="s">
        <v>299</v>
      </c>
      <c r="C83" s="262">
        <v>176</v>
      </c>
      <c r="D83" s="262" t="s">
        <v>20</v>
      </c>
      <c r="E83" s="241">
        <f t="shared" ref="E83:E86" si="13">F83/C83</f>
        <v>1320.0000000000002</v>
      </c>
      <c r="F83" s="263">
        <v>232320.00000000003</v>
      </c>
      <c r="G83" s="286" t="s">
        <v>597</v>
      </c>
      <c r="H83" s="230"/>
      <c r="I83" s="230"/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  <c r="V83" s="230"/>
      <c r="W83" s="230"/>
      <c r="X83" s="230"/>
      <c r="Y83" s="230"/>
      <c r="Z83" s="230"/>
    </row>
    <row r="84" spans="1:26" ht="43.5" x14ac:dyDescent="0.55000000000000004">
      <c r="A84" s="256" t="s">
        <v>300</v>
      </c>
      <c r="B84" s="257" t="s">
        <v>301</v>
      </c>
      <c r="C84" s="248">
        <v>9</v>
      </c>
      <c r="D84" s="248" t="s">
        <v>20</v>
      </c>
      <c r="E84" s="241">
        <f t="shared" si="13"/>
        <v>5500.0000000000009</v>
      </c>
      <c r="F84" s="258">
        <v>49500.000000000007</v>
      </c>
      <c r="G84" s="225" t="s">
        <v>598</v>
      </c>
      <c r="H84" s="230" t="s">
        <v>569</v>
      </c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</row>
    <row r="85" spans="1:26" ht="21.75" x14ac:dyDescent="0.55000000000000004">
      <c r="A85" s="256" t="s">
        <v>302</v>
      </c>
      <c r="B85" s="257" t="s">
        <v>303</v>
      </c>
      <c r="C85" s="248">
        <v>42</v>
      </c>
      <c r="D85" s="248" t="s">
        <v>20</v>
      </c>
      <c r="E85" s="241">
        <f t="shared" si="13"/>
        <v>990</v>
      </c>
      <c r="F85" s="258">
        <v>41580</v>
      </c>
      <c r="G85" s="225" t="s">
        <v>599</v>
      </c>
      <c r="H85" s="230"/>
      <c r="I85" s="230"/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  <c r="V85" s="230"/>
      <c r="W85" s="230"/>
      <c r="X85" s="230"/>
      <c r="Y85" s="230"/>
      <c r="Z85" s="230"/>
    </row>
    <row r="86" spans="1:26" ht="21.75" x14ac:dyDescent="0.55000000000000004">
      <c r="A86" s="256" t="s">
        <v>304</v>
      </c>
      <c r="B86" s="257" t="s">
        <v>253</v>
      </c>
      <c r="C86" s="248">
        <v>40</v>
      </c>
      <c r="D86" s="248" t="s">
        <v>20</v>
      </c>
      <c r="E86" s="241">
        <f t="shared" si="13"/>
        <v>2860.0000000000005</v>
      </c>
      <c r="F86" s="258">
        <v>114400.00000000001</v>
      </c>
      <c r="G86" s="225" t="s">
        <v>600</v>
      </c>
      <c r="H86" s="230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  <c r="V86" s="230"/>
      <c r="W86" s="230"/>
      <c r="X86" s="230"/>
      <c r="Y86" s="230"/>
      <c r="Z86" s="230"/>
    </row>
    <row r="87" spans="1:26" ht="21.75" x14ac:dyDescent="0.55000000000000004">
      <c r="A87" s="253" t="s">
        <v>305</v>
      </c>
      <c r="B87" s="247" t="s">
        <v>306</v>
      </c>
      <c r="C87" s="254"/>
      <c r="D87" s="254"/>
      <c r="E87" s="254"/>
      <c r="F87" s="255">
        <f>SUM(F88:F91)</f>
        <v>175202.77500000002</v>
      </c>
      <c r="G87" s="283"/>
      <c r="H87" s="230"/>
      <c r="I87" s="230"/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  <c r="V87" s="230"/>
      <c r="W87" s="230"/>
      <c r="X87" s="230"/>
      <c r="Y87" s="230"/>
      <c r="Z87" s="230"/>
    </row>
    <row r="88" spans="1:26" ht="21.75" x14ac:dyDescent="0.55000000000000004">
      <c r="A88" s="256" t="s">
        <v>307</v>
      </c>
      <c r="B88" s="257" t="s">
        <v>308</v>
      </c>
      <c r="C88" s="262">
        <v>1</v>
      </c>
      <c r="D88" s="262" t="s">
        <v>120</v>
      </c>
      <c r="E88" s="241">
        <f t="shared" ref="E88:E91" si="14">F88/C88</f>
        <v>23360.370000000003</v>
      </c>
      <c r="F88" s="263">
        <v>23360.370000000003</v>
      </c>
      <c r="G88" s="286" t="s">
        <v>601</v>
      </c>
      <c r="H88" s="230"/>
      <c r="I88" s="230"/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  <c r="V88" s="230"/>
      <c r="W88" s="230"/>
      <c r="X88" s="230"/>
      <c r="Y88" s="230"/>
      <c r="Z88" s="230"/>
    </row>
    <row r="89" spans="1:26" ht="21.75" x14ac:dyDescent="0.55000000000000004">
      <c r="A89" s="256" t="s">
        <v>309</v>
      </c>
      <c r="B89" s="257" t="s">
        <v>310</v>
      </c>
      <c r="C89" s="248">
        <v>1</v>
      </c>
      <c r="D89" s="248" t="s">
        <v>120</v>
      </c>
      <c r="E89" s="241">
        <f t="shared" si="14"/>
        <v>58400.925000000003</v>
      </c>
      <c r="F89" s="258">
        <v>58400.925000000003</v>
      </c>
      <c r="G89" s="286" t="s">
        <v>601</v>
      </c>
      <c r="H89" s="230"/>
      <c r="I89" s="230"/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  <c r="V89" s="230"/>
      <c r="W89" s="230"/>
      <c r="X89" s="230"/>
      <c r="Y89" s="230"/>
      <c r="Z89" s="230"/>
    </row>
    <row r="90" spans="1:26" ht="21.75" x14ac:dyDescent="0.55000000000000004">
      <c r="A90" s="256" t="s">
        <v>311</v>
      </c>
      <c r="B90" s="257" t="s">
        <v>312</v>
      </c>
      <c r="C90" s="248">
        <v>1</v>
      </c>
      <c r="D90" s="248" t="s">
        <v>120</v>
      </c>
      <c r="E90" s="241">
        <f t="shared" si="14"/>
        <v>35040.555000000008</v>
      </c>
      <c r="F90" s="258">
        <v>35040.555000000008</v>
      </c>
      <c r="G90" s="286" t="s">
        <v>601</v>
      </c>
      <c r="H90" s="230"/>
      <c r="I90" s="230"/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  <c r="V90" s="230"/>
      <c r="W90" s="230"/>
      <c r="X90" s="230"/>
      <c r="Y90" s="230"/>
      <c r="Z90" s="230"/>
    </row>
    <row r="91" spans="1:26" ht="21.75" x14ac:dyDescent="0.55000000000000004">
      <c r="A91" s="256" t="s">
        <v>313</v>
      </c>
      <c r="B91" s="257" t="s">
        <v>314</v>
      </c>
      <c r="C91" s="248">
        <v>1</v>
      </c>
      <c r="D91" s="248" t="s">
        <v>120</v>
      </c>
      <c r="E91" s="241">
        <f t="shared" si="14"/>
        <v>58400.925000000003</v>
      </c>
      <c r="F91" s="258">
        <v>58400.925000000003</v>
      </c>
      <c r="G91" s="286" t="s">
        <v>601</v>
      </c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/>
      <c r="X91" s="230"/>
      <c r="Y91" s="230"/>
      <c r="Z91" s="230"/>
    </row>
    <row r="92" spans="1:26" ht="21.75" x14ac:dyDescent="0.55000000000000004">
      <c r="A92" s="253" t="s">
        <v>315</v>
      </c>
      <c r="B92" s="247" t="s">
        <v>316</v>
      </c>
      <c r="C92" s="254"/>
      <c r="D92" s="254"/>
      <c r="E92" s="254"/>
      <c r="F92" s="255">
        <f>SUM(F93)</f>
        <v>233603.7</v>
      </c>
      <c r="G92" s="283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0"/>
    </row>
    <row r="93" spans="1:26" ht="43.5" x14ac:dyDescent="0.55000000000000004">
      <c r="A93" s="256" t="s">
        <v>317</v>
      </c>
      <c r="B93" s="257" t="s">
        <v>318</v>
      </c>
      <c r="C93" s="262">
        <v>1</v>
      </c>
      <c r="D93" s="262" t="s">
        <v>120</v>
      </c>
      <c r="E93" s="241">
        <f t="shared" ref="E93" si="15">F93/C93</f>
        <v>233603.7</v>
      </c>
      <c r="F93" s="263">
        <v>233603.7</v>
      </c>
      <c r="G93" s="284" t="s">
        <v>602</v>
      </c>
      <c r="H93" s="230"/>
      <c r="I93" s="230"/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  <c r="V93" s="230"/>
      <c r="W93" s="230"/>
      <c r="X93" s="230"/>
      <c r="Y93" s="230"/>
      <c r="Z93" s="230"/>
    </row>
    <row r="94" spans="1:26" ht="21.75" outlineLevel="1" x14ac:dyDescent="0.55000000000000004">
      <c r="A94" s="253" t="s">
        <v>319</v>
      </c>
      <c r="B94" s="247" t="s">
        <v>295</v>
      </c>
      <c r="C94" s="254"/>
      <c r="D94" s="254"/>
      <c r="E94" s="254"/>
      <c r="F94" s="255">
        <f>SUM(F95:F101)</f>
        <v>952176.50000000012</v>
      </c>
      <c r="G94" s="255"/>
      <c r="H94" s="230"/>
      <c r="I94" s="230"/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  <c r="V94" s="230"/>
      <c r="W94" s="230"/>
      <c r="X94" s="230"/>
      <c r="Y94" s="230"/>
      <c r="Z94" s="230"/>
    </row>
    <row r="95" spans="1:26" ht="21.75" outlineLevel="2" x14ac:dyDescent="0.55000000000000004">
      <c r="A95" s="256" t="s">
        <v>320</v>
      </c>
      <c r="B95" s="264" t="s">
        <v>321</v>
      </c>
      <c r="C95" s="262">
        <v>2</v>
      </c>
      <c r="D95" s="262" t="s">
        <v>20</v>
      </c>
      <c r="E95" s="241">
        <f t="shared" ref="E95:E101" si="16">F95/C95</f>
        <v>401750.25000000006</v>
      </c>
      <c r="F95" s="265">
        <v>803500.50000000012</v>
      </c>
      <c r="G95" s="265"/>
      <c r="H95" s="230"/>
      <c r="I95" s="230"/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  <c r="V95" s="230"/>
      <c r="W95" s="230"/>
      <c r="X95" s="230"/>
      <c r="Y95" s="230"/>
      <c r="Z95" s="230"/>
    </row>
    <row r="96" spans="1:26" ht="21.75" outlineLevel="2" x14ac:dyDescent="0.55000000000000004">
      <c r="A96" s="256" t="s">
        <v>322</v>
      </c>
      <c r="B96" s="264" t="s">
        <v>323</v>
      </c>
      <c r="C96" s="262">
        <v>1</v>
      </c>
      <c r="D96" s="262" t="s">
        <v>20</v>
      </c>
      <c r="E96" s="241">
        <f t="shared" si="16"/>
        <v>46200.000000000007</v>
      </c>
      <c r="F96" s="265">
        <v>46200.000000000007</v>
      </c>
      <c r="G96" s="265"/>
      <c r="H96" s="230"/>
      <c r="I96" s="230"/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  <c r="V96" s="230"/>
      <c r="W96" s="230"/>
      <c r="X96" s="230"/>
      <c r="Y96" s="230"/>
      <c r="Z96" s="230"/>
    </row>
    <row r="97" spans="1:26" ht="43.5" outlineLevel="2" x14ac:dyDescent="0.55000000000000004">
      <c r="A97" s="256" t="s">
        <v>324</v>
      </c>
      <c r="B97" s="264" t="s">
        <v>539</v>
      </c>
      <c r="C97" s="262">
        <v>1</v>
      </c>
      <c r="D97" s="262" t="s">
        <v>20</v>
      </c>
      <c r="E97" s="241">
        <f t="shared" si="16"/>
        <v>11000</v>
      </c>
      <c r="F97" s="265">
        <v>11000</v>
      </c>
      <c r="G97" s="287" t="s">
        <v>603</v>
      </c>
      <c r="H97" s="230"/>
      <c r="I97" s="230"/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  <c r="V97" s="230"/>
      <c r="W97" s="230"/>
      <c r="X97" s="230"/>
      <c r="Y97" s="230"/>
      <c r="Z97" s="230"/>
    </row>
    <row r="98" spans="1:26" ht="43.5" outlineLevel="2" x14ac:dyDescent="0.55000000000000004">
      <c r="A98" s="256" t="s">
        <v>325</v>
      </c>
      <c r="B98" s="264" t="s">
        <v>326</v>
      </c>
      <c r="C98" s="262">
        <v>36</v>
      </c>
      <c r="D98" s="262" t="s">
        <v>20</v>
      </c>
      <c r="E98" s="241">
        <f t="shared" si="16"/>
        <v>616</v>
      </c>
      <c r="F98" s="265">
        <v>22176</v>
      </c>
      <c r="G98" s="287" t="s">
        <v>604</v>
      </c>
      <c r="H98" s="230"/>
      <c r="I98" s="230"/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  <c r="V98" s="230"/>
      <c r="W98" s="230"/>
      <c r="X98" s="230"/>
      <c r="Y98" s="230"/>
      <c r="Z98" s="230"/>
    </row>
    <row r="99" spans="1:26" ht="21.75" outlineLevel="2" x14ac:dyDescent="0.55000000000000004">
      <c r="A99" s="256" t="s">
        <v>327</v>
      </c>
      <c r="B99" s="264" t="s">
        <v>540</v>
      </c>
      <c r="C99" s="262">
        <v>1</v>
      </c>
      <c r="D99" s="262" t="s">
        <v>20</v>
      </c>
      <c r="E99" s="241">
        <f t="shared" si="16"/>
        <v>27500.000000000004</v>
      </c>
      <c r="F99" s="265">
        <v>27500.000000000004</v>
      </c>
      <c r="G99" s="287" t="s">
        <v>605</v>
      </c>
      <c r="H99" s="230"/>
      <c r="I99" s="230"/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  <c r="V99" s="230"/>
      <c r="W99" s="230"/>
      <c r="X99" s="230"/>
      <c r="Y99" s="230"/>
      <c r="Z99" s="230"/>
    </row>
    <row r="100" spans="1:26" ht="21.75" outlineLevel="2" x14ac:dyDescent="0.55000000000000004">
      <c r="A100" s="256" t="s">
        <v>328</v>
      </c>
      <c r="B100" s="264" t="s">
        <v>330</v>
      </c>
      <c r="C100" s="262">
        <v>1</v>
      </c>
      <c r="D100" s="262" t="s">
        <v>20</v>
      </c>
      <c r="E100" s="241">
        <f t="shared" si="16"/>
        <v>8800</v>
      </c>
      <c r="F100" s="265">
        <v>8800</v>
      </c>
      <c r="G100" s="287" t="s">
        <v>606</v>
      </c>
      <c r="H100" s="230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</row>
    <row r="101" spans="1:26" ht="21.75" outlineLevel="2" x14ac:dyDescent="0.55000000000000004">
      <c r="A101" s="256" t="s">
        <v>329</v>
      </c>
      <c r="B101" s="264" t="s">
        <v>541</v>
      </c>
      <c r="C101" s="262">
        <v>2</v>
      </c>
      <c r="D101" s="262" t="s">
        <v>20</v>
      </c>
      <c r="E101" s="241">
        <f t="shared" si="16"/>
        <v>16500</v>
      </c>
      <c r="F101" s="265">
        <v>33000</v>
      </c>
      <c r="G101" s="287" t="s">
        <v>607</v>
      </c>
      <c r="H101" s="230"/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  <c r="V101" s="230"/>
      <c r="W101" s="230"/>
      <c r="X101" s="230"/>
      <c r="Y101" s="230"/>
      <c r="Z101" s="230"/>
    </row>
    <row r="102" spans="1:26" ht="21.75" x14ac:dyDescent="0.55000000000000004">
      <c r="A102" s="243">
        <v>9</v>
      </c>
      <c r="B102" s="244" t="s">
        <v>331</v>
      </c>
      <c r="C102" s="245"/>
      <c r="D102" s="245"/>
      <c r="E102" s="245"/>
      <c r="F102" s="246">
        <f>F103+F112</f>
        <v>596836.88130000001</v>
      </c>
      <c r="G102" s="246"/>
      <c r="H102" s="230"/>
      <c r="I102" s="230"/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  <c r="V102" s="230"/>
      <c r="W102" s="230"/>
      <c r="X102" s="230"/>
      <c r="Y102" s="230"/>
      <c r="Z102" s="230"/>
    </row>
    <row r="103" spans="1:26" ht="21.75" outlineLevel="1" x14ac:dyDescent="0.55000000000000004">
      <c r="A103" s="253" t="s">
        <v>332</v>
      </c>
      <c r="B103" s="247" t="s">
        <v>331</v>
      </c>
      <c r="C103" s="254"/>
      <c r="D103" s="254"/>
      <c r="E103" s="254"/>
      <c r="F103" s="255">
        <f>SUM(F104:F111)</f>
        <v>284003.04112746578</v>
      </c>
      <c r="G103" s="255"/>
      <c r="H103" s="230"/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</row>
    <row r="104" spans="1:26" ht="21.75" outlineLevel="2" x14ac:dyDescent="0.55000000000000004">
      <c r="A104" s="256" t="s">
        <v>333</v>
      </c>
      <c r="B104" s="266" t="s">
        <v>334</v>
      </c>
      <c r="C104" s="248">
        <v>4358.8326749999997</v>
      </c>
      <c r="D104" s="248" t="s">
        <v>28</v>
      </c>
      <c r="E104" s="248">
        <f t="shared" ref="E104:E111" si="17">F104/C104</f>
        <v>8.8000000000000007</v>
      </c>
      <c r="F104" s="258">
        <v>38357.72754</v>
      </c>
      <c r="G104" s="225" t="s">
        <v>631</v>
      </c>
      <c r="H104" s="230"/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</row>
    <row r="105" spans="1:26" ht="21.75" outlineLevel="2" x14ac:dyDescent="0.55000000000000004">
      <c r="A105" s="256" t="s">
        <v>335</v>
      </c>
      <c r="B105" s="266" t="s">
        <v>336</v>
      </c>
      <c r="C105" s="248">
        <v>34.019999999999996</v>
      </c>
      <c r="D105" s="248" t="s">
        <v>28</v>
      </c>
      <c r="E105" s="248">
        <f t="shared" si="17"/>
        <v>14.3</v>
      </c>
      <c r="F105" s="258">
        <v>486.48599999999999</v>
      </c>
      <c r="G105" s="225" t="s">
        <v>631</v>
      </c>
      <c r="H105" s="230"/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  <c r="V105" s="230"/>
      <c r="W105" s="230"/>
      <c r="X105" s="230"/>
      <c r="Y105" s="230"/>
      <c r="Z105" s="230"/>
    </row>
    <row r="106" spans="1:26" ht="21.75" outlineLevel="2" x14ac:dyDescent="0.55000000000000004">
      <c r="A106" s="256" t="s">
        <v>337</v>
      </c>
      <c r="B106" s="266" t="s">
        <v>338</v>
      </c>
      <c r="C106" s="248">
        <v>966.84</v>
      </c>
      <c r="D106" s="248" t="s">
        <v>28</v>
      </c>
      <c r="E106" s="248">
        <f t="shared" si="17"/>
        <v>7.7</v>
      </c>
      <c r="F106" s="258">
        <v>7444.6680000000006</v>
      </c>
      <c r="G106" s="225" t="s">
        <v>631</v>
      </c>
      <c r="H106" s="230"/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  <c r="V106" s="230"/>
      <c r="W106" s="230"/>
      <c r="X106" s="230"/>
      <c r="Y106" s="230"/>
      <c r="Z106" s="230"/>
    </row>
    <row r="107" spans="1:26" ht="21.75" outlineLevel="2" x14ac:dyDescent="0.55000000000000004">
      <c r="A107" s="256" t="s">
        <v>339</v>
      </c>
      <c r="B107" s="266" t="s">
        <v>340</v>
      </c>
      <c r="C107" s="248">
        <v>202</v>
      </c>
      <c r="D107" s="248" t="s">
        <v>538</v>
      </c>
      <c r="E107" s="248">
        <f t="shared" si="17"/>
        <v>7.9755445544554462</v>
      </c>
      <c r="F107" s="258">
        <v>1611.0600000000002</v>
      </c>
      <c r="G107" s="225" t="s">
        <v>632</v>
      </c>
      <c r="H107" s="230"/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  <c r="V107" s="230"/>
      <c r="W107" s="230"/>
      <c r="X107" s="230"/>
      <c r="Y107" s="230"/>
      <c r="Z107" s="230"/>
    </row>
    <row r="108" spans="1:26" ht="21.75" outlineLevel="2" x14ac:dyDescent="0.55000000000000004">
      <c r="A108" s="256" t="s">
        <v>341</v>
      </c>
      <c r="B108" s="266" t="s">
        <v>342</v>
      </c>
      <c r="C108" s="248">
        <v>2654.5875000000001</v>
      </c>
      <c r="D108" s="248" t="s">
        <v>28</v>
      </c>
      <c r="E108" s="248">
        <f t="shared" si="17"/>
        <v>35.200000000000003</v>
      </c>
      <c r="F108" s="258">
        <v>93441.48000000001</v>
      </c>
      <c r="G108" s="225" t="s">
        <v>631</v>
      </c>
      <c r="H108" s="230"/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  <c r="V108" s="230"/>
      <c r="W108" s="230"/>
      <c r="X108" s="230"/>
      <c r="Y108" s="230"/>
      <c r="Z108" s="230"/>
    </row>
    <row r="109" spans="1:26" ht="21.75" outlineLevel="2" x14ac:dyDescent="0.55000000000000004">
      <c r="A109" s="256" t="s">
        <v>343</v>
      </c>
      <c r="B109" s="266" t="s">
        <v>344</v>
      </c>
      <c r="C109" s="248">
        <v>1704.245175</v>
      </c>
      <c r="D109" s="248" t="s">
        <v>28</v>
      </c>
      <c r="E109" s="248">
        <f t="shared" si="17"/>
        <v>68.2</v>
      </c>
      <c r="F109" s="258">
        <v>116229.52093500001</v>
      </c>
      <c r="G109" s="225" t="s">
        <v>631</v>
      </c>
      <c r="H109" s="230"/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  <c r="V109" s="230"/>
      <c r="W109" s="230"/>
      <c r="X109" s="230"/>
      <c r="Y109" s="230"/>
      <c r="Z109" s="230"/>
    </row>
    <row r="110" spans="1:26" ht="21.75" outlineLevel="2" x14ac:dyDescent="0.55000000000000004">
      <c r="A110" s="256" t="s">
        <v>345</v>
      </c>
      <c r="B110" s="266" t="s">
        <v>346</v>
      </c>
      <c r="C110" s="248">
        <v>96.001520547945219</v>
      </c>
      <c r="D110" s="248" t="s">
        <v>28</v>
      </c>
      <c r="E110" s="248">
        <f t="shared" si="17"/>
        <v>41</v>
      </c>
      <c r="F110" s="258">
        <v>3936.0623424657542</v>
      </c>
      <c r="G110" s="225" t="s">
        <v>631</v>
      </c>
      <c r="H110" s="230"/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  <c r="V110" s="230"/>
      <c r="W110" s="230"/>
      <c r="X110" s="230"/>
      <c r="Y110" s="230"/>
      <c r="Z110" s="230"/>
    </row>
    <row r="111" spans="1:26" ht="21.75" outlineLevel="2" x14ac:dyDescent="0.55000000000000004">
      <c r="A111" s="256" t="s">
        <v>347</v>
      </c>
      <c r="B111" s="266" t="s">
        <v>348</v>
      </c>
      <c r="C111" s="248">
        <v>1704.245175</v>
      </c>
      <c r="D111" s="248" t="s">
        <v>28</v>
      </c>
      <c r="E111" s="248">
        <f t="shared" si="17"/>
        <v>13.200000000000001</v>
      </c>
      <c r="F111" s="258">
        <v>22496.036310000003</v>
      </c>
      <c r="G111" s="225" t="s">
        <v>631</v>
      </c>
      <c r="H111" s="230"/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  <c r="V111" s="230"/>
      <c r="W111" s="230"/>
      <c r="X111" s="230"/>
      <c r="Y111" s="230"/>
      <c r="Z111" s="230"/>
    </row>
    <row r="112" spans="1:26" ht="21.75" outlineLevel="2" x14ac:dyDescent="0.55000000000000004">
      <c r="A112" s="253" t="s">
        <v>608</v>
      </c>
      <c r="B112" s="247" t="s">
        <v>236</v>
      </c>
      <c r="C112" s="254"/>
      <c r="D112" s="254"/>
      <c r="E112" s="254"/>
      <c r="F112" s="255">
        <f>SUM(F113:F119)</f>
        <v>312833.84017253428</v>
      </c>
      <c r="G112" s="283"/>
      <c r="H112" s="230"/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  <c r="V112" s="230"/>
      <c r="W112" s="230"/>
      <c r="X112" s="230"/>
      <c r="Y112" s="230"/>
      <c r="Z112" s="230"/>
    </row>
    <row r="113" spans="1:26" ht="21.75" outlineLevel="2" x14ac:dyDescent="0.55000000000000004">
      <c r="A113" s="256" t="s">
        <v>609</v>
      </c>
      <c r="B113" s="266" t="s">
        <v>610</v>
      </c>
      <c r="C113" s="248">
        <f>C104</f>
        <v>4358.8326749999997</v>
      </c>
      <c r="D113" s="248" t="s">
        <v>28</v>
      </c>
      <c r="E113" s="248">
        <f t="shared" ref="E113:E119" si="18">F113/C113</f>
        <v>15.400000000000002</v>
      </c>
      <c r="F113" s="258">
        <v>67126.023195000002</v>
      </c>
      <c r="G113" s="225"/>
      <c r="H113" s="230"/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  <c r="V113" s="230"/>
      <c r="W113" s="230"/>
      <c r="X113" s="230"/>
      <c r="Y113" s="230"/>
      <c r="Z113" s="230"/>
    </row>
    <row r="114" spans="1:26" ht="21.75" outlineLevel="2" x14ac:dyDescent="0.55000000000000004">
      <c r="A114" s="256" t="s">
        <v>611</v>
      </c>
      <c r="B114" s="266" t="s">
        <v>612</v>
      </c>
      <c r="C114" s="248">
        <f>C105+C106</f>
        <v>1000.86</v>
      </c>
      <c r="D114" s="248" t="s">
        <v>28</v>
      </c>
      <c r="E114" s="248">
        <f t="shared" si="18"/>
        <v>30.800000000000004</v>
      </c>
      <c r="F114" s="258">
        <v>30826.488000000005</v>
      </c>
      <c r="G114" s="225"/>
      <c r="H114" s="230"/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  <c r="V114" s="230"/>
      <c r="W114" s="230"/>
      <c r="X114" s="230"/>
      <c r="Y114" s="230"/>
      <c r="Z114" s="230"/>
    </row>
    <row r="115" spans="1:26" ht="21.75" outlineLevel="2" x14ac:dyDescent="0.55000000000000004">
      <c r="A115" s="256" t="s">
        <v>614</v>
      </c>
      <c r="B115" s="266" t="s">
        <v>613</v>
      </c>
      <c r="C115" s="248">
        <f>C107</f>
        <v>202</v>
      </c>
      <c r="D115" s="248" t="s">
        <v>538</v>
      </c>
      <c r="E115" s="248">
        <f t="shared" si="18"/>
        <v>49.847153465346537</v>
      </c>
      <c r="F115" s="258">
        <v>10069.125</v>
      </c>
      <c r="G115" s="225"/>
      <c r="H115" s="230"/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  <c r="V115" s="230"/>
      <c r="W115" s="230"/>
      <c r="X115" s="230"/>
      <c r="Y115" s="230"/>
      <c r="Z115" s="230"/>
    </row>
    <row r="116" spans="1:26" ht="21.75" outlineLevel="2" x14ac:dyDescent="0.55000000000000004">
      <c r="A116" s="256" t="s">
        <v>616</v>
      </c>
      <c r="B116" s="266" t="s">
        <v>615</v>
      </c>
      <c r="C116" s="248">
        <f>C108</f>
        <v>2654.5875000000001</v>
      </c>
      <c r="D116" s="248" t="s">
        <v>28</v>
      </c>
      <c r="E116" s="248">
        <f t="shared" si="18"/>
        <v>30.799999999999997</v>
      </c>
      <c r="F116" s="258">
        <v>81761.294999999998</v>
      </c>
      <c r="G116" s="225"/>
      <c r="H116" s="230"/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  <c r="V116" s="230"/>
      <c r="W116" s="230"/>
      <c r="X116" s="230"/>
      <c r="Y116" s="230"/>
      <c r="Z116" s="230"/>
    </row>
    <row r="117" spans="1:26" ht="21.75" outlineLevel="2" x14ac:dyDescent="0.55000000000000004">
      <c r="A117" s="256" t="s">
        <v>618</v>
      </c>
      <c r="B117" s="266" t="s">
        <v>617</v>
      </c>
      <c r="C117" s="248">
        <f>C109</f>
        <v>1704.245175</v>
      </c>
      <c r="D117" s="248" t="s">
        <v>28</v>
      </c>
      <c r="E117" s="248">
        <f t="shared" si="18"/>
        <v>52.800000000000004</v>
      </c>
      <c r="F117" s="258">
        <v>89984.145240000013</v>
      </c>
      <c r="G117" s="225"/>
      <c r="H117" s="230"/>
      <c r="I117" s="230"/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  <c r="V117" s="230"/>
      <c r="W117" s="230"/>
      <c r="X117" s="230"/>
      <c r="Y117" s="230"/>
      <c r="Z117" s="230"/>
    </row>
    <row r="118" spans="1:26" ht="21.75" outlineLevel="2" x14ac:dyDescent="0.55000000000000004">
      <c r="A118" s="256" t="s">
        <v>620</v>
      </c>
      <c r="B118" s="266" t="s">
        <v>619</v>
      </c>
      <c r="C118" s="248">
        <f>C110</f>
        <v>96.001520547945219</v>
      </c>
      <c r="D118" s="248" t="s">
        <v>28</v>
      </c>
      <c r="E118" s="248">
        <f t="shared" si="18"/>
        <v>31.999999999999996</v>
      </c>
      <c r="F118" s="258">
        <v>3072.0486575342466</v>
      </c>
      <c r="G118" s="225"/>
      <c r="H118" s="230"/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  <c r="V118" s="230"/>
      <c r="W118" s="230"/>
      <c r="X118" s="230"/>
      <c r="Y118" s="230"/>
      <c r="Z118" s="230"/>
    </row>
    <row r="119" spans="1:26" ht="21.75" outlineLevel="2" x14ac:dyDescent="0.55000000000000004">
      <c r="A119" s="256" t="s">
        <v>622</v>
      </c>
      <c r="B119" s="266" t="s">
        <v>621</v>
      </c>
      <c r="C119" s="248">
        <f>C111</f>
        <v>1704.245175</v>
      </c>
      <c r="D119" s="248" t="s">
        <v>28</v>
      </c>
      <c r="E119" s="248">
        <f t="shared" si="18"/>
        <v>17.600000000000001</v>
      </c>
      <c r="F119" s="258">
        <v>29994.715080000002</v>
      </c>
      <c r="G119" s="225"/>
      <c r="H119" s="230"/>
      <c r="I119" s="230"/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</row>
    <row r="120" spans="1:26" ht="21.75" x14ac:dyDescent="0.55000000000000004">
      <c r="A120" s="243">
        <v>10</v>
      </c>
      <c r="B120" s="244" t="s">
        <v>623</v>
      </c>
      <c r="C120" s="245"/>
      <c r="D120" s="245"/>
      <c r="E120" s="245"/>
      <c r="F120" s="246">
        <f>F121+F130</f>
        <v>1820366.878</v>
      </c>
      <c r="G120" s="246"/>
      <c r="H120" s="230"/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  <c r="V120" s="230"/>
      <c r="W120" s="230"/>
      <c r="X120" s="230"/>
      <c r="Y120" s="230"/>
      <c r="Z120" s="230"/>
    </row>
    <row r="121" spans="1:26" ht="21.75" outlineLevel="1" x14ac:dyDescent="0.55000000000000004">
      <c r="A121" s="253" t="s">
        <v>349</v>
      </c>
      <c r="B121" s="247" t="s">
        <v>350</v>
      </c>
      <c r="C121" s="254"/>
      <c r="D121" s="254"/>
      <c r="E121" s="254"/>
      <c r="F121" s="255">
        <f>SUM(F122:F129)</f>
        <v>664028.56299999997</v>
      </c>
      <c r="G121" s="255"/>
      <c r="H121" s="230"/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  <c r="V121" s="230"/>
      <c r="W121" s="230"/>
      <c r="X121" s="230"/>
      <c r="Y121" s="230"/>
      <c r="Z121" s="230"/>
    </row>
    <row r="122" spans="1:26" ht="21.75" outlineLevel="1" x14ac:dyDescent="0.55000000000000004">
      <c r="A122" s="256" t="s">
        <v>351</v>
      </c>
      <c r="B122" s="257" t="s">
        <v>542</v>
      </c>
      <c r="C122" s="248">
        <v>2594.8599999999997</v>
      </c>
      <c r="D122" s="248" t="s">
        <v>28</v>
      </c>
      <c r="E122" s="248">
        <f t="shared" ref="E122:E126" si="19">F122/C122</f>
        <v>18.150000000000002</v>
      </c>
      <c r="F122" s="258">
        <v>47096.708999999995</v>
      </c>
      <c r="G122" s="258"/>
      <c r="H122" s="230"/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  <c r="V122" s="230"/>
      <c r="W122" s="230"/>
      <c r="X122" s="230"/>
      <c r="Y122" s="230"/>
      <c r="Z122" s="230"/>
    </row>
    <row r="123" spans="1:26" ht="21.75" outlineLevel="1" x14ac:dyDescent="0.55000000000000004">
      <c r="A123" s="256" t="s">
        <v>352</v>
      </c>
      <c r="B123" s="257" t="s">
        <v>543</v>
      </c>
      <c r="C123" s="248">
        <v>581.85</v>
      </c>
      <c r="D123" s="248" t="s">
        <v>28</v>
      </c>
      <c r="E123" s="248">
        <f t="shared" si="19"/>
        <v>4.4000000000000004</v>
      </c>
      <c r="F123" s="258">
        <v>2560.1400000000003</v>
      </c>
      <c r="G123" s="258"/>
      <c r="H123" s="230"/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</row>
    <row r="124" spans="1:26" ht="21.75" outlineLevel="1" x14ac:dyDescent="0.55000000000000004">
      <c r="A124" s="256" t="s">
        <v>353</v>
      </c>
      <c r="B124" s="257" t="s">
        <v>544</v>
      </c>
      <c r="C124" s="248">
        <v>415.98</v>
      </c>
      <c r="D124" s="248" t="s">
        <v>28</v>
      </c>
      <c r="E124" s="248">
        <f t="shared" si="19"/>
        <v>4.4000000000000004</v>
      </c>
      <c r="F124" s="258">
        <v>1830.3120000000001</v>
      </c>
      <c r="G124" s="258"/>
      <c r="H124" s="230"/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  <c r="V124" s="230"/>
      <c r="W124" s="230"/>
      <c r="X124" s="230"/>
      <c r="Y124" s="230"/>
      <c r="Z124" s="230"/>
    </row>
    <row r="125" spans="1:26" ht="21.75" outlineLevel="2" x14ac:dyDescent="0.55000000000000004">
      <c r="A125" s="256" t="s">
        <v>546</v>
      </c>
      <c r="B125" s="257" t="s">
        <v>545</v>
      </c>
      <c r="C125" s="248">
        <v>6120.33</v>
      </c>
      <c r="D125" s="248" t="s">
        <v>28</v>
      </c>
      <c r="E125" s="248">
        <f t="shared" si="19"/>
        <v>44.000000000000007</v>
      </c>
      <c r="F125" s="258">
        <v>269294.52</v>
      </c>
      <c r="G125" s="258"/>
      <c r="H125" s="230"/>
      <c r="I125" s="230"/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  <c r="V125" s="230"/>
      <c r="W125" s="230"/>
      <c r="X125" s="230"/>
      <c r="Y125" s="230"/>
      <c r="Z125" s="230"/>
    </row>
    <row r="126" spans="1:26" ht="21.75" outlineLevel="2" x14ac:dyDescent="0.55000000000000004">
      <c r="A126" s="256" t="s">
        <v>547</v>
      </c>
      <c r="B126" s="257" t="s">
        <v>354</v>
      </c>
      <c r="C126" s="248">
        <v>5473.28</v>
      </c>
      <c r="D126" s="248" t="s">
        <v>28</v>
      </c>
      <c r="E126" s="248">
        <f t="shared" si="19"/>
        <v>27.500000000000004</v>
      </c>
      <c r="F126" s="258">
        <v>150515.20000000001</v>
      </c>
      <c r="G126" s="258"/>
      <c r="H126" s="230"/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  <c r="V126" s="230"/>
      <c r="W126" s="230"/>
      <c r="X126" s="230"/>
      <c r="Y126" s="230"/>
      <c r="Z126" s="230"/>
    </row>
    <row r="127" spans="1:26" ht="21.75" outlineLevel="2" x14ac:dyDescent="0.55000000000000004">
      <c r="A127" s="256" t="s">
        <v>624</v>
      </c>
      <c r="B127" s="257" t="s">
        <v>625</v>
      </c>
      <c r="C127" s="248">
        <f>C123</f>
        <v>581.85</v>
      </c>
      <c r="D127" s="248" t="s">
        <v>28</v>
      </c>
      <c r="E127" s="248">
        <f t="shared" ref="E127:E132" si="20">F127/C127</f>
        <v>23.1</v>
      </c>
      <c r="F127" s="258">
        <v>13440.735000000001</v>
      </c>
      <c r="G127" s="225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</row>
    <row r="128" spans="1:26" ht="21.75" outlineLevel="2" x14ac:dyDescent="0.55000000000000004">
      <c r="A128" s="256" t="s">
        <v>626</v>
      </c>
      <c r="B128" s="257" t="s">
        <v>627</v>
      </c>
      <c r="C128" s="248">
        <f>C124</f>
        <v>415.98</v>
      </c>
      <c r="D128" s="248" t="s">
        <v>28</v>
      </c>
      <c r="E128" s="248">
        <f t="shared" si="20"/>
        <v>26.400000000000002</v>
      </c>
      <c r="F128" s="258">
        <v>10981.872000000001</v>
      </c>
      <c r="G128" s="225"/>
      <c r="H128" s="230"/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  <c r="V128" s="230"/>
      <c r="W128" s="230"/>
      <c r="X128" s="230"/>
      <c r="Y128" s="230"/>
      <c r="Z128" s="230"/>
    </row>
    <row r="129" spans="1:26" ht="43.5" outlineLevel="2" x14ac:dyDescent="0.55000000000000004">
      <c r="A129" s="256" t="s">
        <v>628</v>
      </c>
      <c r="B129" s="257" t="s">
        <v>629</v>
      </c>
      <c r="C129" s="248">
        <f>C125</f>
        <v>6120.33</v>
      </c>
      <c r="D129" s="248" t="s">
        <v>28</v>
      </c>
      <c r="E129" s="248">
        <f t="shared" si="20"/>
        <v>27.500000000000004</v>
      </c>
      <c r="F129" s="258">
        <v>168309.07500000001</v>
      </c>
      <c r="G129" s="225" t="s">
        <v>630</v>
      </c>
      <c r="H129" s="230"/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  <c r="V129" s="230"/>
      <c r="W129" s="230"/>
      <c r="X129" s="230"/>
      <c r="Y129" s="230"/>
      <c r="Z129" s="230"/>
    </row>
    <row r="130" spans="1:26" ht="21.75" outlineLevel="1" x14ac:dyDescent="0.55000000000000004">
      <c r="A130" s="253" t="s">
        <v>355</v>
      </c>
      <c r="B130" s="247" t="s">
        <v>356</v>
      </c>
      <c r="C130" s="254"/>
      <c r="D130" s="254"/>
      <c r="E130" s="254"/>
      <c r="F130" s="255">
        <f>SUM(F131:F133)</f>
        <v>1156338.3150000002</v>
      </c>
      <c r="G130" s="255"/>
      <c r="H130" s="230"/>
      <c r="I130" s="230"/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  <c r="V130" s="230"/>
      <c r="W130" s="230"/>
      <c r="X130" s="230"/>
      <c r="Y130" s="230"/>
      <c r="Z130" s="230"/>
    </row>
    <row r="131" spans="1:26" ht="21.75" outlineLevel="2" x14ac:dyDescent="0.55000000000000004">
      <c r="A131" s="256" t="s">
        <v>357</v>
      </c>
      <c r="B131" s="257" t="s">
        <v>358</v>
      </c>
      <c r="C131" s="248">
        <v>19113.030000000002</v>
      </c>
      <c r="D131" s="248" t="s">
        <v>28</v>
      </c>
      <c r="E131" s="248">
        <f t="shared" si="20"/>
        <v>1.6500000000000001</v>
      </c>
      <c r="F131" s="258">
        <v>31536.499500000005</v>
      </c>
      <c r="G131" s="258"/>
      <c r="H131" s="230"/>
      <c r="I131" s="230"/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  <c r="V131" s="230"/>
      <c r="W131" s="230"/>
      <c r="X131" s="230"/>
      <c r="Y131" s="230"/>
      <c r="Z131" s="230"/>
    </row>
    <row r="132" spans="1:26" ht="21.75" outlineLevel="2" x14ac:dyDescent="0.55000000000000004">
      <c r="A132" s="256" t="s">
        <v>359</v>
      </c>
      <c r="B132" s="257" t="s">
        <v>360</v>
      </c>
      <c r="C132" s="248">
        <v>19113.030000000002</v>
      </c>
      <c r="D132" s="248" t="s">
        <v>28</v>
      </c>
      <c r="E132" s="248">
        <f t="shared" si="20"/>
        <v>20.349999999999998</v>
      </c>
      <c r="F132" s="258">
        <v>388950.1605</v>
      </c>
      <c r="G132" s="258"/>
      <c r="H132" s="230"/>
      <c r="I132" s="230"/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  <c r="V132" s="230"/>
      <c r="W132" s="230"/>
      <c r="X132" s="230"/>
      <c r="Y132" s="230"/>
      <c r="Z132" s="230"/>
    </row>
    <row r="133" spans="1:26" ht="43.5" outlineLevel="2" x14ac:dyDescent="0.55000000000000004">
      <c r="A133" s="256" t="s">
        <v>633</v>
      </c>
      <c r="B133" s="257" t="s">
        <v>634</v>
      </c>
      <c r="C133" s="248">
        <f>C131</f>
        <v>19113.030000000002</v>
      </c>
      <c r="D133" s="248" t="s">
        <v>28</v>
      </c>
      <c r="E133" s="248">
        <f t="shared" ref="E133" si="21">F133/C133</f>
        <v>38.5</v>
      </c>
      <c r="F133" s="258">
        <v>735851.65500000014</v>
      </c>
      <c r="G133" s="225" t="s">
        <v>635</v>
      </c>
      <c r="H133" s="230"/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  <c r="V133" s="230"/>
      <c r="W133" s="230"/>
      <c r="X133" s="230"/>
      <c r="Y133" s="230"/>
      <c r="Z133" s="230"/>
    </row>
    <row r="134" spans="1:26" ht="21.75" x14ac:dyDescent="0.55000000000000004">
      <c r="A134" s="243">
        <v>11</v>
      </c>
      <c r="B134" s="244" t="s">
        <v>361</v>
      </c>
      <c r="C134" s="245"/>
      <c r="D134" s="245"/>
      <c r="E134" s="245"/>
      <c r="F134" s="246">
        <f>F135+F142+F144</f>
        <v>1725596.9500000002</v>
      </c>
      <c r="G134" s="246"/>
      <c r="H134" s="230"/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  <c r="V134" s="230"/>
      <c r="W134" s="230"/>
      <c r="X134" s="230"/>
      <c r="Y134" s="230"/>
      <c r="Z134" s="230"/>
    </row>
    <row r="135" spans="1:26" ht="21.75" outlineLevel="1" x14ac:dyDescent="0.55000000000000004">
      <c r="A135" s="253" t="s">
        <v>362</v>
      </c>
      <c r="B135" s="247" t="s">
        <v>363</v>
      </c>
      <c r="C135" s="254"/>
      <c r="D135" s="254"/>
      <c r="E135" s="254"/>
      <c r="F135" s="255">
        <f>SUM(F136:F141)</f>
        <v>1008374.1980967743</v>
      </c>
      <c r="G135" s="255"/>
      <c r="H135" s="230"/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  <c r="V135" s="230"/>
      <c r="W135" s="230"/>
      <c r="X135" s="230"/>
      <c r="Y135" s="230"/>
      <c r="Z135" s="230"/>
    </row>
    <row r="136" spans="1:26" ht="21.75" outlineLevel="2" x14ac:dyDescent="0.55000000000000004">
      <c r="A136" s="256" t="s">
        <v>364</v>
      </c>
      <c r="B136" s="257" t="s">
        <v>550</v>
      </c>
      <c r="C136" s="262">
        <v>6090.33</v>
      </c>
      <c r="D136" s="262" t="s">
        <v>365</v>
      </c>
      <c r="E136" s="248">
        <f t="shared" ref="E136:E141" si="22">F136/C136</f>
        <v>84.7</v>
      </c>
      <c r="F136" s="263">
        <v>515850.951</v>
      </c>
      <c r="G136" s="286"/>
      <c r="H136" s="230"/>
      <c r="I136" s="230"/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  <c r="V136" s="230"/>
      <c r="W136" s="230"/>
      <c r="X136" s="230"/>
      <c r="Y136" s="230"/>
      <c r="Z136" s="230"/>
    </row>
    <row r="137" spans="1:26" ht="21.75" outlineLevel="2" x14ac:dyDescent="0.55000000000000004">
      <c r="A137" s="256" t="s">
        <v>366</v>
      </c>
      <c r="B137" s="257" t="s">
        <v>370</v>
      </c>
      <c r="C137" s="262">
        <v>144.899</v>
      </c>
      <c r="D137" s="262" t="s">
        <v>365</v>
      </c>
      <c r="E137" s="248">
        <f t="shared" si="22"/>
        <v>220.00000000000003</v>
      </c>
      <c r="F137" s="263">
        <v>31877.780000000002</v>
      </c>
      <c r="G137" s="286"/>
      <c r="H137" s="230"/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  <c r="V137" s="230"/>
      <c r="W137" s="230"/>
      <c r="X137" s="230"/>
      <c r="Y137" s="230"/>
      <c r="Z137" s="230"/>
    </row>
    <row r="138" spans="1:26" ht="21.75" outlineLevel="2" x14ac:dyDescent="0.55000000000000004">
      <c r="A138" s="256" t="s">
        <v>367</v>
      </c>
      <c r="B138" s="257" t="s">
        <v>551</v>
      </c>
      <c r="C138" s="262">
        <v>30</v>
      </c>
      <c r="D138" s="262" t="s">
        <v>365</v>
      </c>
      <c r="E138" s="248">
        <f t="shared" si="22"/>
        <v>231.00000000000003</v>
      </c>
      <c r="F138" s="263">
        <v>6930.0000000000009</v>
      </c>
      <c r="G138" s="286" t="s">
        <v>652</v>
      </c>
      <c r="H138" s="230"/>
      <c r="I138" s="230"/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  <c r="V138" s="230"/>
      <c r="W138" s="230"/>
      <c r="X138" s="230"/>
      <c r="Y138" s="230"/>
      <c r="Z138" s="230"/>
    </row>
    <row r="139" spans="1:26" ht="21.75" outlineLevel="2" x14ac:dyDescent="0.55000000000000004">
      <c r="A139" s="256" t="s">
        <v>368</v>
      </c>
      <c r="B139" s="257" t="s">
        <v>552</v>
      </c>
      <c r="C139" s="262">
        <v>360.4</v>
      </c>
      <c r="D139" s="262" t="s">
        <v>365</v>
      </c>
      <c r="E139" s="248">
        <f t="shared" si="22"/>
        <v>46.2</v>
      </c>
      <c r="F139" s="263">
        <v>16650.48</v>
      </c>
      <c r="G139" s="286"/>
      <c r="H139" s="230"/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</row>
    <row r="140" spans="1:26" ht="21.75" outlineLevel="2" x14ac:dyDescent="0.55000000000000004">
      <c r="A140" s="256" t="s">
        <v>369</v>
      </c>
      <c r="B140" s="257" t="s">
        <v>372</v>
      </c>
      <c r="C140" s="262">
        <v>5840.0925000000007</v>
      </c>
      <c r="D140" s="262" t="s">
        <v>19</v>
      </c>
      <c r="E140" s="248">
        <f t="shared" si="22"/>
        <v>40</v>
      </c>
      <c r="F140" s="291">
        <v>233603.7</v>
      </c>
      <c r="G140" s="225" t="s">
        <v>653</v>
      </c>
      <c r="H140" s="230"/>
      <c r="I140" s="230"/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  <c r="V140" s="230"/>
      <c r="W140" s="230"/>
      <c r="X140" s="230"/>
      <c r="Y140" s="230"/>
      <c r="Z140" s="230"/>
    </row>
    <row r="141" spans="1:26" ht="21.75" outlineLevel="2" x14ac:dyDescent="0.55000000000000004">
      <c r="A141" s="256" t="s">
        <v>371</v>
      </c>
      <c r="B141" s="257" t="s">
        <v>373</v>
      </c>
      <c r="C141" s="262">
        <v>2511.867741935484</v>
      </c>
      <c r="D141" s="262" t="s">
        <v>19</v>
      </c>
      <c r="E141" s="248">
        <f t="shared" si="22"/>
        <v>81</v>
      </c>
      <c r="F141" s="263">
        <v>203461.28709677421</v>
      </c>
      <c r="G141" s="225" t="s">
        <v>632</v>
      </c>
      <c r="H141" s="230"/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  <c r="V141" s="230"/>
      <c r="W141" s="230"/>
      <c r="X141" s="230"/>
      <c r="Y141" s="230"/>
      <c r="Z141" s="230"/>
    </row>
    <row r="142" spans="1:26" ht="21.75" outlineLevel="1" x14ac:dyDescent="0.55000000000000004">
      <c r="A142" s="253" t="s">
        <v>374</v>
      </c>
      <c r="B142" s="247" t="s">
        <v>375</v>
      </c>
      <c r="C142" s="254"/>
      <c r="D142" s="254"/>
      <c r="E142" s="254"/>
      <c r="F142" s="255">
        <f>F143</f>
        <v>178276.50789473686</v>
      </c>
      <c r="G142" s="283"/>
      <c r="H142" s="230"/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  <c r="V142" s="230"/>
      <c r="W142" s="230"/>
      <c r="X142" s="230"/>
      <c r="Y142" s="230"/>
      <c r="Z142" s="230"/>
    </row>
    <row r="143" spans="1:26" ht="21.75" outlineLevel="2" x14ac:dyDescent="0.55000000000000004">
      <c r="A143" s="256" t="s">
        <v>376</v>
      </c>
      <c r="B143" s="257" t="s">
        <v>377</v>
      </c>
      <c r="C143" s="262">
        <v>1229.4931578947369</v>
      </c>
      <c r="D143" s="262" t="s">
        <v>120</v>
      </c>
      <c r="E143" s="248">
        <f t="shared" ref="E143:E150" si="23">F143/C143</f>
        <v>145</v>
      </c>
      <c r="F143" s="263">
        <v>178276.50789473686</v>
      </c>
      <c r="G143" s="286" t="s">
        <v>632</v>
      </c>
      <c r="H143" s="230"/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  <c r="V143" s="230"/>
      <c r="W143" s="230"/>
      <c r="X143" s="230"/>
      <c r="Y143" s="230"/>
      <c r="Z143" s="230"/>
    </row>
    <row r="144" spans="1:26" ht="21.75" outlineLevel="2" x14ac:dyDescent="0.55000000000000004">
      <c r="A144" s="253" t="s">
        <v>639</v>
      </c>
      <c r="B144" s="247" t="s">
        <v>236</v>
      </c>
      <c r="C144" s="254"/>
      <c r="D144" s="254"/>
      <c r="E144" s="254"/>
      <c r="F144" s="255">
        <f>SUM(F145:F150)</f>
        <v>538946.24400848895</v>
      </c>
      <c r="G144" s="283"/>
      <c r="H144" s="230"/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  <c r="V144" s="230"/>
      <c r="W144" s="230"/>
      <c r="X144" s="230"/>
      <c r="Y144" s="230"/>
      <c r="Z144" s="230"/>
    </row>
    <row r="145" spans="1:26" ht="21.75" outlineLevel="2" x14ac:dyDescent="0.55000000000000004">
      <c r="A145" s="256" t="s">
        <v>640</v>
      </c>
      <c r="B145" s="257" t="s">
        <v>641</v>
      </c>
      <c r="C145" s="262">
        <f>C136</f>
        <v>6090.33</v>
      </c>
      <c r="D145" s="262" t="s">
        <v>365</v>
      </c>
      <c r="E145" s="248">
        <f t="shared" si="23"/>
        <v>52.8</v>
      </c>
      <c r="F145" s="263">
        <v>321569.424</v>
      </c>
      <c r="G145" s="286"/>
      <c r="H145" s="230"/>
      <c r="I145" s="230"/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  <c r="V145" s="230"/>
      <c r="W145" s="230"/>
      <c r="X145" s="230"/>
      <c r="Y145" s="230"/>
      <c r="Z145" s="230"/>
    </row>
    <row r="146" spans="1:26" ht="21.75" outlineLevel="2" x14ac:dyDescent="0.55000000000000004">
      <c r="A146" s="256" t="s">
        <v>642</v>
      </c>
      <c r="B146" s="257" t="s">
        <v>643</v>
      </c>
      <c r="C146" s="262">
        <f>C137</f>
        <v>144.899</v>
      </c>
      <c r="D146" s="262" t="s">
        <v>365</v>
      </c>
      <c r="E146" s="248">
        <f t="shared" si="23"/>
        <v>55.000000000000007</v>
      </c>
      <c r="F146" s="263">
        <v>7969.4450000000006</v>
      </c>
      <c r="G146" s="286"/>
      <c r="H146" s="230"/>
      <c r="I146" s="230"/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</row>
    <row r="147" spans="1:26" ht="21.75" outlineLevel="2" x14ac:dyDescent="0.55000000000000004">
      <c r="A147" s="256" t="s">
        <v>644</v>
      </c>
      <c r="B147" s="257" t="s">
        <v>645</v>
      </c>
      <c r="C147" s="262">
        <f>C139</f>
        <v>360.4</v>
      </c>
      <c r="D147" s="262" t="s">
        <v>365</v>
      </c>
      <c r="E147" s="248">
        <f t="shared" si="23"/>
        <v>19.8</v>
      </c>
      <c r="F147" s="263">
        <v>7135.92</v>
      </c>
      <c r="G147" s="286"/>
      <c r="H147" s="230"/>
      <c r="I147" s="230"/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  <c r="V147" s="230"/>
      <c r="W147" s="230"/>
      <c r="X147" s="230"/>
      <c r="Y147" s="230"/>
      <c r="Z147" s="230"/>
    </row>
    <row r="148" spans="1:26" ht="21.75" outlineLevel="2" x14ac:dyDescent="0.55000000000000004">
      <c r="A148" s="256" t="s">
        <v>646</v>
      </c>
      <c r="B148" s="257" t="s">
        <v>647</v>
      </c>
      <c r="C148" s="262">
        <f>C140</f>
        <v>5840.0925000000007</v>
      </c>
      <c r="D148" s="262" t="s">
        <v>19</v>
      </c>
      <c r="E148" s="248">
        <f t="shared" si="23"/>
        <v>20</v>
      </c>
      <c r="F148" s="263">
        <v>116801.85</v>
      </c>
      <c r="G148" s="286"/>
      <c r="H148" s="230"/>
      <c r="I148" s="230"/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  <c r="V148" s="230"/>
      <c r="W148" s="230"/>
      <c r="X148" s="230"/>
      <c r="Y148" s="230"/>
      <c r="Z148" s="230"/>
    </row>
    <row r="149" spans="1:26" ht="21.75" outlineLevel="2" x14ac:dyDescent="0.55000000000000004">
      <c r="A149" s="256" t="s">
        <v>648</v>
      </c>
      <c r="B149" s="257" t="s">
        <v>649</v>
      </c>
      <c r="C149" s="262">
        <f>C141</f>
        <v>2511.867741935484</v>
      </c>
      <c r="D149" s="262" t="s">
        <v>19</v>
      </c>
      <c r="E149" s="248">
        <f t="shared" si="23"/>
        <v>12</v>
      </c>
      <c r="F149" s="263">
        <v>30142.412903225806</v>
      </c>
      <c r="G149" s="286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</row>
    <row r="150" spans="1:26" ht="21.75" outlineLevel="2" x14ac:dyDescent="0.55000000000000004">
      <c r="A150" s="256" t="s">
        <v>650</v>
      </c>
      <c r="B150" s="257" t="s">
        <v>651</v>
      </c>
      <c r="C150" s="262">
        <f>C143</f>
        <v>1229.4931578947369</v>
      </c>
      <c r="D150" s="262" t="s">
        <v>365</v>
      </c>
      <c r="E150" s="248">
        <f t="shared" si="23"/>
        <v>45</v>
      </c>
      <c r="F150" s="289">
        <v>55327.192105263159</v>
      </c>
      <c r="G150" s="29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</row>
    <row r="151" spans="1:26" ht="21.75" x14ac:dyDescent="0.55000000000000004">
      <c r="A151" s="243">
        <v>12</v>
      </c>
      <c r="B151" s="244" t="s">
        <v>378</v>
      </c>
      <c r="C151" s="245"/>
      <c r="D151" s="245"/>
      <c r="E151" s="245"/>
      <c r="F151" s="246">
        <f>F152</f>
        <v>710184.99419999996</v>
      </c>
      <c r="G151" s="246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</row>
    <row r="152" spans="1:26" ht="21.75" outlineLevel="1" x14ac:dyDescent="0.55000000000000004">
      <c r="A152" s="253" t="s">
        <v>379</v>
      </c>
      <c r="B152" s="247" t="s">
        <v>380</v>
      </c>
      <c r="C152" s="254"/>
      <c r="D152" s="254"/>
      <c r="E152" s="254"/>
      <c r="F152" s="255">
        <f>SUM(F153:F156)</f>
        <v>710184.99419999996</v>
      </c>
      <c r="G152" s="255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</row>
    <row r="153" spans="1:26" ht="21.75" outlineLevel="2" x14ac:dyDescent="0.55000000000000004">
      <c r="A153" s="256" t="s">
        <v>381</v>
      </c>
      <c r="B153" s="257" t="s">
        <v>548</v>
      </c>
      <c r="C153" s="262">
        <v>6120.33</v>
      </c>
      <c r="D153" s="262" t="s">
        <v>28</v>
      </c>
      <c r="E153" s="262"/>
      <c r="F153" s="263">
        <v>437603.59500000003</v>
      </c>
      <c r="G153" s="263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</row>
    <row r="154" spans="1:26" ht="21.75" outlineLevel="2" x14ac:dyDescent="0.55000000000000004">
      <c r="A154" s="256" t="s">
        <v>382</v>
      </c>
      <c r="B154" s="257" t="s">
        <v>383</v>
      </c>
      <c r="C154" s="262">
        <v>7344.3959999999997</v>
      </c>
      <c r="D154" s="262" t="s">
        <v>28</v>
      </c>
      <c r="E154" s="262"/>
      <c r="F154" s="263">
        <v>177734.38320000001</v>
      </c>
      <c r="G154" s="263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</row>
    <row r="155" spans="1:26" ht="43.5" outlineLevel="2" x14ac:dyDescent="0.55000000000000004">
      <c r="A155" s="256" t="s">
        <v>384</v>
      </c>
      <c r="B155" s="257" t="s">
        <v>549</v>
      </c>
      <c r="C155" s="262">
        <v>3592.6899999999996</v>
      </c>
      <c r="D155" s="262" t="s">
        <v>28</v>
      </c>
      <c r="E155" s="262"/>
      <c r="F155" s="263">
        <v>11855.877</v>
      </c>
      <c r="G155" s="286" t="s">
        <v>638</v>
      </c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</row>
    <row r="156" spans="1:26" ht="21.75" outlineLevel="2" x14ac:dyDescent="0.55000000000000004">
      <c r="A156" s="256" t="s">
        <v>637</v>
      </c>
      <c r="B156" s="259" t="s">
        <v>636</v>
      </c>
      <c r="C156" s="288">
        <f>C155</f>
        <v>3592.6899999999996</v>
      </c>
      <c r="D156" s="262" t="s">
        <v>28</v>
      </c>
      <c r="E156" s="288"/>
      <c r="F156" s="289">
        <v>82991.138999999996</v>
      </c>
      <c r="G156" s="289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</row>
    <row r="157" spans="1:26" ht="21.75" x14ac:dyDescent="0.55000000000000004">
      <c r="A157" s="243">
        <v>13</v>
      </c>
      <c r="B157" s="244" t="s">
        <v>385</v>
      </c>
      <c r="C157" s="245"/>
      <c r="D157" s="245"/>
      <c r="E157" s="245"/>
      <c r="F157" s="246">
        <f>F158+F163</f>
        <v>1897364.7549999999</v>
      </c>
      <c r="G157" s="246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</row>
    <row r="158" spans="1:26" ht="21.75" outlineLevel="1" x14ac:dyDescent="0.55000000000000004">
      <c r="A158" s="253" t="s">
        <v>386</v>
      </c>
      <c r="B158" s="247" t="s">
        <v>385</v>
      </c>
      <c r="C158" s="254"/>
      <c r="D158" s="254"/>
      <c r="E158" s="254"/>
      <c r="F158" s="255">
        <f>F161+F162+F160+F159</f>
        <v>693428.81418918923</v>
      </c>
      <c r="G158" s="255"/>
      <c r="H158" s="230"/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  <c r="V158" s="230"/>
      <c r="W158" s="230"/>
      <c r="X158" s="230"/>
      <c r="Y158" s="230"/>
      <c r="Z158" s="230"/>
    </row>
    <row r="159" spans="1:26" ht="21.75" outlineLevel="1" x14ac:dyDescent="0.55000000000000004">
      <c r="A159" s="256" t="s">
        <v>387</v>
      </c>
      <c r="B159" s="266" t="s">
        <v>388</v>
      </c>
      <c r="C159" s="262">
        <v>2594.8599999999997</v>
      </c>
      <c r="D159" s="262" t="s">
        <v>28</v>
      </c>
      <c r="E159" s="248">
        <f t="shared" ref="E159:E162" si="24">F159/C159</f>
        <v>77.000000000000014</v>
      </c>
      <c r="F159" s="263">
        <v>199804.22</v>
      </c>
      <c r="G159" s="286" t="s">
        <v>666</v>
      </c>
      <c r="H159" s="230"/>
      <c r="I159" s="230"/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  <c r="V159" s="230"/>
      <c r="W159" s="230"/>
      <c r="X159" s="230"/>
      <c r="Y159" s="230"/>
      <c r="Z159" s="230"/>
    </row>
    <row r="160" spans="1:26" ht="21.75" outlineLevel="1" x14ac:dyDescent="0.55000000000000004">
      <c r="A160" s="256" t="s">
        <v>389</v>
      </c>
      <c r="B160" s="266" t="s">
        <v>390</v>
      </c>
      <c r="C160" s="262">
        <v>581.85</v>
      </c>
      <c r="D160" s="262" t="s">
        <v>28</v>
      </c>
      <c r="E160" s="248">
        <f t="shared" si="24"/>
        <v>40.700000000000003</v>
      </c>
      <c r="F160" s="263">
        <v>23681.295000000002</v>
      </c>
      <c r="G160" s="286"/>
      <c r="H160" s="230"/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  <c r="V160" s="230"/>
      <c r="W160" s="230"/>
      <c r="X160" s="230"/>
      <c r="Y160" s="230"/>
      <c r="Z160" s="230"/>
    </row>
    <row r="161" spans="1:26" ht="21.75" outlineLevel="2" x14ac:dyDescent="0.55000000000000004">
      <c r="A161" s="256" t="s">
        <v>391</v>
      </c>
      <c r="B161" s="266" t="s">
        <v>392</v>
      </c>
      <c r="C161" s="262">
        <v>8157.5799560000005</v>
      </c>
      <c r="D161" s="262" t="s">
        <v>28</v>
      </c>
      <c r="E161" s="248">
        <f t="shared" si="24"/>
        <v>5.10811409927285</v>
      </c>
      <c r="F161" s="263">
        <v>41669.849189189197</v>
      </c>
      <c r="G161" s="286" t="s">
        <v>667</v>
      </c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</row>
    <row r="162" spans="1:26" ht="21.75" outlineLevel="2" x14ac:dyDescent="0.55000000000000004">
      <c r="A162" s="256" t="s">
        <v>393</v>
      </c>
      <c r="B162" s="266" t="s">
        <v>394</v>
      </c>
      <c r="C162" s="262">
        <v>24379.889824000005</v>
      </c>
      <c r="D162" s="262" t="s">
        <v>28</v>
      </c>
      <c r="E162" s="248">
        <f t="shared" si="24"/>
        <v>17.566668803334785</v>
      </c>
      <c r="F162" s="263">
        <v>428273.45000000007</v>
      </c>
      <c r="G162" s="286" t="s">
        <v>667</v>
      </c>
      <c r="H162" s="230"/>
      <c r="I162" s="230"/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</row>
    <row r="163" spans="1:26" ht="21.75" outlineLevel="2" x14ac:dyDescent="0.55000000000000004">
      <c r="A163" s="253" t="s">
        <v>654</v>
      </c>
      <c r="B163" s="247" t="s">
        <v>236</v>
      </c>
      <c r="C163" s="254"/>
      <c r="D163" s="254"/>
      <c r="E163" s="254"/>
      <c r="F163" s="255">
        <f>SUM(F164:F167)</f>
        <v>1203935.9408108108</v>
      </c>
      <c r="G163" s="283"/>
      <c r="H163" s="230"/>
      <c r="I163" s="230"/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  <c r="V163" s="230"/>
      <c r="W163" s="230"/>
      <c r="X163" s="230"/>
      <c r="Y163" s="230"/>
      <c r="Z163" s="230"/>
    </row>
    <row r="164" spans="1:26" ht="21.75" outlineLevel="2" x14ac:dyDescent="0.55000000000000004">
      <c r="A164" s="256" t="s">
        <v>655</v>
      </c>
      <c r="B164" s="266" t="s">
        <v>656</v>
      </c>
      <c r="C164" s="262">
        <f>C159</f>
        <v>2594.8599999999997</v>
      </c>
      <c r="D164" s="262" t="s">
        <v>28</v>
      </c>
      <c r="E164" s="248">
        <f t="shared" ref="E164:E167" si="25">F164/C164</f>
        <v>44.000000000000007</v>
      </c>
      <c r="F164" s="263">
        <v>114173.84</v>
      </c>
      <c r="G164" s="286"/>
      <c r="H164" s="230"/>
      <c r="I164" s="230"/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</row>
    <row r="165" spans="1:26" ht="21.75" outlineLevel="2" x14ac:dyDescent="0.55000000000000004">
      <c r="A165" s="256" t="s">
        <v>657</v>
      </c>
      <c r="B165" s="266" t="s">
        <v>658</v>
      </c>
      <c r="C165" s="262">
        <f>C160</f>
        <v>581.85</v>
      </c>
      <c r="D165" s="262" t="s">
        <v>28</v>
      </c>
      <c r="E165" s="248">
        <f t="shared" si="25"/>
        <v>30.800000000000004</v>
      </c>
      <c r="F165" s="263">
        <v>17920.980000000003</v>
      </c>
      <c r="G165" s="286"/>
      <c r="H165" s="230"/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</row>
    <row r="166" spans="1:26" ht="21.75" outlineLevel="2" x14ac:dyDescent="0.55000000000000004">
      <c r="A166" s="256" t="s">
        <v>659</v>
      </c>
      <c r="B166" s="266" t="s">
        <v>660</v>
      </c>
      <c r="C166" s="262">
        <f>C161</f>
        <v>8157.5799560000005</v>
      </c>
      <c r="D166" s="262" t="s">
        <v>28</v>
      </c>
      <c r="E166" s="248">
        <f t="shared" si="25"/>
        <v>26.391922846243055</v>
      </c>
      <c r="F166" s="263">
        <v>215294.22081081083</v>
      </c>
      <c r="G166" s="286"/>
      <c r="H166" s="230"/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  <c r="V166" s="230"/>
      <c r="W166" s="230"/>
      <c r="X166" s="230"/>
      <c r="Y166" s="230"/>
      <c r="Z166" s="230"/>
    </row>
    <row r="167" spans="1:26" ht="21.75" outlineLevel="2" x14ac:dyDescent="0.55000000000000004">
      <c r="A167" s="256" t="s">
        <v>661</v>
      </c>
      <c r="B167" s="266" t="s">
        <v>662</v>
      </c>
      <c r="C167" s="262">
        <f>C162</f>
        <v>24379.889824000005</v>
      </c>
      <c r="D167" s="262" t="s">
        <v>28</v>
      </c>
      <c r="E167" s="248">
        <f t="shared" si="25"/>
        <v>35.133337606669564</v>
      </c>
      <c r="F167" s="263">
        <v>856546.9</v>
      </c>
      <c r="G167" s="286"/>
      <c r="H167" s="230"/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</row>
    <row r="168" spans="1:26" ht="21.75" x14ac:dyDescent="0.55000000000000004">
      <c r="A168" s="243">
        <v>14</v>
      </c>
      <c r="B168" s="244" t="s">
        <v>395</v>
      </c>
      <c r="C168" s="245"/>
      <c r="D168" s="245"/>
      <c r="E168" s="245"/>
      <c r="F168" s="246">
        <f>F169+F175+F178+F182</f>
        <v>4058876.5195000004</v>
      </c>
      <c r="G168" s="246"/>
      <c r="H168" s="230"/>
      <c r="I168" s="230"/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  <c r="V168" s="230"/>
      <c r="W168" s="230"/>
      <c r="X168" s="230"/>
      <c r="Y168" s="230"/>
      <c r="Z168" s="230"/>
    </row>
    <row r="169" spans="1:26" ht="21.75" outlineLevel="1" x14ac:dyDescent="0.55000000000000004">
      <c r="A169" s="253" t="s">
        <v>396</v>
      </c>
      <c r="B169" s="247" t="s">
        <v>397</v>
      </c>
      <c r="C169" s="254"/>
      <c r="D169" s="254"/>
      <c r="E169" s="254"/>
      <c r="F169" s="255">
        <f>SUM(F170:F174)</f>
        <v>3093146.1495000003</v>
      </c>
      <c r="G169" s="255"/>
      <c r="H169" s="230"/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</row>
    <row r="170" spans="1:26" ht="21.75" outlineLevel="2" x14ac:dyDescent="0.55000000000000004">
      <c r="A170" s="256" t="s">
        <v>398</v>
      </c>
      <c r="B170" s="267" t="s">
        <v>399</v>
      </c>
      <c r="C170" s="268">
        <v>1592.7525000000001</v>
      </c>
      <c r="D170" s="268" t="s">
        <v>28</v>
      </c>
      <c r="E170" s="248">
        <f t="shared" ref="E170:E174" si="26">F170/C170</f>
        <v>1375</v>
      </c>
      <c r="F170" s="265">
        <v>2190034.6875</v>
      </c>
      <c r="G170" s="287" t="s">
        <v>668</v>
      </c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  <c r="V170" s="230"/>
      <c r="W170" s="230"/>
      <c r="X170" s="230"/>
      <c r="Y170" s="230"/>
      <c r="Z170" s="230"/>
    </row>
    <row r="171" spans="1:26" ht="21.75" outlineLevel="2" x14ac:dyDescent="0.55000000000000004">
      <c r="A171" s="256" t="s">
        <v>400</v>
      </c>
      <c r="B171" s="267" t="s">
        <v>553</v>
      </c>
      <c r="C171" s="268">
        <v>299.52359999999999</v>
      </c>
      <c r="D171" s="268" t="s">
        <v>28</v>
      </c>
      <c r="E171" s="248">
        <f t="shared" si="26"/>
        <v>1045</v>
      </c>
      <c r="F171" s="265">
        <v>313002.16200000001</v>
      </c>
      <c r="G171" s="287" t="s">
        <v>668</v>
      </c>
      <c r="H171" s="230"/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</row>
    <row r="172" spans="1:26" ht="21.75" outlineLevel="2" x14ac:dyDescent="0.55000000000000004">
      <c r="A172" s="256" t="s">
        <v>402</v>
      </c>
      <c r="B172" s="267" t="s">
        <v>403</v>
      </c>
      <c r="C172" s="268">
        <v>1</v>
      </c>
      <c r="D172" s="268" t="s">
        <v>20</v>
      </c>
      <c r="E172" s="248">
        <f t="shared" si="26"/>
        <v>19800</v>
      </c>
      <c r="F172" s="265">
        <v>19800</v>
      </c>
      <c r="G172" s="287" t="s">
        <v>668</v>
      </c>
      <c r="H172" s="230"/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  <c r="V172" s="230"/>
      <c r="W172" s="230"/>
      <c r="X172" s="230"/>
      <c r="Y172" s="230"/>
      <c r="Z172" s="230"/>
    </row>
    <row r="173" spans="1:26" ht="21.75" outlineLevel="2" x14ac:dyDescent="0.55000000000000004">
      <c r="A173" s="256" t="s">
        <v>555</v>
      </c>
      <c r="B173" s="267" t="s">
        <v>401</v>
      </c>
      <c r="C173" s="268">
        <v>571.34400000000005</v>
      </c>
      <c r="D173" s="268" t="s">
        <v>19</v>
      </c>
      <c r="E173" s="248">
        <f t="shared" si="26"/>
        <v>907.50000000000023</v>
      </c>
      <c r="F173" s="265">
        <v>518494.68000000017</v>
      </c>
      <c r="G173" s="287" t="s">
        <v>668</v>
      </c>
      <c r="H173" s="230"/>
      <c r="I173" s="230"/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</row>
    <row r="174" spans="1:26" ht="21.75" outlineLevel="2" x14ac:dyDescent="0.55000000000000004">
      <c r="A174" s="256" t="s">
        <v>556</v>
      </c>
      <c r="B174" s="267" t="s">
        <v>554</v>
      </c>
      <c r="C174" s="268">
        <v>77.220000000000013</v>
      </c>
      <c r="D174" s="268" t="s">
        <v>28</v>
      </c>
      <c r="E174" s="248">
        <f t="shared" si="26"/>
        <v>671</v>
      </c>
      <c r="F174" s="265">
        <v>51814.62000000001</v>
      </c>
      <c r="G174" s="287" t="s">
        <v>668</v>
      </c>
      <c r="H174" s="230"/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  <c r="V174" s="230"/>
      <c r="W174" s="230"/>
      <c r="X174" s="230"/>
      <c r="Y174" s="230"/>
      <c r="Z174" s="230"/>
    </row>
    <row r="175" spans="1:26" ht="21.75" outlineLevel="1" x14ac:dyDescent="0.55000000000000004">
      <c r="A175" s="253" t="s">
        <v>404</v>
      </c>
      <c r="B175" s="247" t="s">
        <v>405</v>
      </c>
      <c r="C175" s="254"/>
      <c r="D175" s="254"/>
      <c r="E175" s="254"/>
      <c r="F175" s="255">
        <f>SUM(F176:F177)</f>
        <v>216901.85000000003</v>
      </c>
      <c r="G175" s="283"/>
      <c r="H175" s="230"/>
      <c r="I175" s="230"/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230"/>
    </row>
    <row r="176" spans="1:26" ht="21.75" outlineLevel="2" x14ac:dyDescent="0.55000000000000004">
      <c r="A176" s="256" t="s">
        <v>406</v>
      </c>
      <c r="B176" s="267" t="s">
        <v>407</v>
      </c>
      <c r="C176" s="268">
        <v>52</v>
      </c>
      <c r="D176" s="268" t="s">
        <v>20</v>
      </c>
      <c r="E176" s="248">
        <f t="shared" ref="E176:E177" si="27">F176/C176</f>
        <v>1925.0000000000002</v>
      </c>
      <c r="F176" s="265">
        <v>100100.00000000001</v>
      </c>
      <c r="G176" s="287" t="s">
        <v>668</v>
      </c>
      <c r="H176" s="230"/>
      <c r="I176" s="230"/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  <c r="V176" s="230"/>
      <c r="W176" s="230"/>
      <c r="X176" s="230"/>
      <c r="Y176" s="230"/>
      <c r="Z176" s="230"/>
    </row>
    <row r="177" spans="1:26" ht="43.5" outlineLevel="2" x14ac:dyDescent="0.55000000000000004">
      <c r="A177" s="256" t="s">
        <v>408</v>
      </c>
      <c r="B177" s="267" t="s">
        <v>409</v>
      </c>
      <c r="C177" s="268">
        <v>1</v>
      </c>
      <c r="D177" s="268" t="s">
        <v>120</v>
      </c>
      <c r="E177" s="248">
        <f t="shared" si="27"/>
        <v>116801.85</v>
      </c>
      <c r="F177" s="265">
        <v>116801.85</v>
      </c>
      <c r="G177" s="287" t="s">
        <v>669</v>
      </c>
      <c r="H177" s="230"/>
      <c r="I177" s="230"/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230"/>
    </row>
    <row r="178" spans="1:26" ht="21.75" outlineLevel="1" x14ac:dyDescent="0.55000000000000004">
      <c r="A178" s="253" t="s">
        <v>410</v>
      </c>
      <c r="B178" s="269" t="s">
        <v>411</v>
      </c>
      <c r="C178" s="270"/>
      <c r="D178" s="270"/>
      <c r="E178" s="270"/>
      <c r="F178" s="271">
        <f>SUM(F179:F181)</f>
        <v>682828.52</v>
      </c>
      <c r="G178" s="293"/>
      <c r="H178" s="230"/>
      <c r="I178" s="230"/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  <c r="V178" s="230"/>
      <c r="W178" s="230"/>
      <c r="X178" s="230"/>
      <c r="Y178" s="230"/>
      <c r="Z178" s="230"/>
    </row>
    <row r="179" spans="1:26" ht="21.75" outlineLevel="2" x14ac:dyDescent="0.55000000000000004">
      <c r="A179" s="256" t="s">
        <v>559</v>
      </c>
      <c r="B179" s="267" t="s">
        <v>557</v>
      </c>
      <c r="C179" s="268">
        <v>719.28</v>
      </c>
      <c r="D179" s="268" t="s">
        <v>19</v>
      </c>
      <c r="E179" s="248">
        <f t="shared" ref="E179:E181" si="28">F179/C179</f>
        <v>71.500000000000014</v>
      </c>
      <c r="F179" s="265">
        <v>51428.520000000004</v>
      </c>
      <c r="G179" s="287" t="s">
        <v>668</v>
      </c>
      <c r="H179" s="230"/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230"/>
    </row>
    <row r="180" spans="1:26" ht="21.75" outlineLevel="2" x14ac:dyDescent="0.55000000000000004">
      <c r="A180" s="256" t="s">
        <v>560</v>
      </c>
      <c r="B180" s="267" t="s">
        <v>558</v>
      </c>
      <c r="C180" s="268">
        <v>36</v>
      </c>
      <c r="D180" s="268" t="s">
        <v>20</v>
      </c>
      <c r="E180" s="248">
        <f t="shared" si="28"/>
        <v>1650.0000000000002</v>
      </c>
      <c r="F180" s="265">
        <v>59400.000000000007</v>
      </c>
      <c r="G180" s="287"/>
      <c r="H180" s="230"/>
      <c r="I180" s="230"/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230"/>
    </row>
    <row r="181" spans="1:26" ht="21.75" outlineLevel="2" x14ac:dyDescent="0.55000000000000004">
      <c r="A181" s="256" t="s">
        <v>412</v>
      </c>
      <c r="B181" s="267" t="s">
        <v>413</v>
      </c>
      <c r="C181" s="268">
        <v>400</v>
      </c>
      <c r="D181" s="268" t="s">
        <v>20</v>
      </c>
      <c r="E181" s="248">
        <f t="shared" si="28"/>
        <v>1430</v>
      </c>
      <c r="F181" s="265">
        <v>572000</v>
      </c>
      <c r="G181" s="287"/>
      <c r="H181" s="230"/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  <c r="V181" s="230"/>
      <c r="W181" s="230"/>
      <c r="X181" s="230"/>
      <c r="Y181" s="230"/>
      <c r="Z181" s="230"/>
    </row>
    <row r="182" spans="1:26" ht="21.75" outlineLevel="2" x14ac:dyDescent="0.55000000000000004">
      <c r="A182" s="253" t="s">
        <v>663</v>
      </c>
      <c r="B182" s="247" t="s">
        <v>236</v>
      </c>
      <c r="C182" s="254"/>
      <c r="D182" s="254"/>
      <c r="E182" s="254"/>
      <c r="F182" s="255">
        <f>SUM(F183)</f>
        <v>66000</v>
      </c>
      <c r="G182" s="283"/>
      <c r="H182" s="230"/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230"/>
    </row>
    <row r="183" spans="1:26" ht="21.75" outlineLevel="2" x14ac:dyDescent="0.55000000000000004">
      <c r="A183" s="256" t="s">
        <v>664</v>
      </c>
      <c r="B183" s="274" t="s">
        <v>665</v>
      </c>
      <c r="C183" s="275">
        <f>C181</f>
        <v>400</v>
      </c>
      <c r="D183" s="275" t="str">
        <f>D181</f>
        <v>un</v>
      </c>
      <c r="E183" s="248">
        <f t="shared" ref="E183" si="29">F183/C183</f>
        <v>165</v>
      </c>
      <c r="F183" s="276">
        <v>66000</v>
      </c>
      <c r="G183" s="292"/>
      <c r="H183" s="230"/>
      <c r="I183" s="230"/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  <c r="V183" s="230"/>
      <c r="W183" s="230"/>
      <c r="X183" s="230"/>
      <c r="Y183" s="230"/>
      <c r="Z183" s="230"/>
    </row>
    <row r="184" spans="1:26" ht="21.75" x14ac:dyDescent="0.55000000000000004">
      <c r="A184" s="243">
        <v>15</v>
      </c>
      <c r="B184" s="244" t="s">
        <v>561</v>
      </c>
      <c r="C184" s="245"/>
      <c r="D184" s="245"/>
      <c r="E184" s="245"/>
      <c r="F184" s="246">
        <f>F185</f>
        <v>184819.85500000001</v>
      </c>
      <c r="G184" s="246"/>
      <c r="H184" s="230"/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  <c r="Z184" s="230"/>
    </row>
    <row r="185" spans="1:26" ht="21.75" outlineLevel="1" x14ac:dyDescent="0.55000000000000004">
      <c r="A185" s="253" t="s">
        <v>415</v>
      </c>
      <c r="B185" s="247" t="s">
        <v>561</v>
      </c>
      <c r="C185" s="254"/>
      <c r="D185" s="254"/>
      <c r="E185" s="254"/>
      <c r="F185" s="255">
        <f>SUM(F186:F187)</f>
        <v>184819.85500000001</v>
      </c>
      <c r="G185" s="255"/>
      <c r="H185" s="230"/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  <c r="Z185" s="230"/>
    </row>
    <row r="186" spans="1:26" ht="21.75" outlineLevel="2" x14ac:dyDescent="0.55000000000000004">
      <c r="A186" s="256" t="s">
        <v>417</v>
      </c>
      <c r="B186" s="266" t="s">
        <v>562</v>
      </c>
      <c r="C186" s="272">
        <v>308.29000000000002</v>
      </c>
      <c r="D186" s="272" t="s">
        <v>28</v>
      </c>
      <c r="E186" s="272"/>
      <c r="F186" s="273">
        <v>169559.5</v>
      </c>
      <c r="G186" s="273"/>
      <c r="H186" s="230"/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30"/>
      <c r="Z186" s="230"/>
    </row>
    <row r="187" spans="1:26" ht="21.75" outlineLevel="2" x14ac:dyDescent="0.55000000000000004">
      <c r="A187" s="256" t="s">
        <v>563</v>
      </c>
      <c r="B187" s="274" t="s">
        <v>254</v>
      </c>
      <c r="C187" s="275">
        <v>308.29000000000002</v>
      </c>
      <c r="D187" s="275" t="s">
        <v>28</v>
      </c>
      <c r="E187" s="275"/>
      <c r="F187" s="276">
        <v>15260.355000000003</v>
      </c>
      <c r="G187" s="292" t="s">
        <v>670</v>
      </c>
      <c r="H187" s="230"/>
      <c r="I187" s="230"/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  <c r="V187" s="230"/>
      <c r="W187" s="230"/>
      <c r="X187" s="230"/>
      <c r="Y187" s="230"/>
      <c r="Z187" s="230"/>
    </row>
    <row r="188" spans="1:26" ht="21.75" x14ac:dyDescent="0.55000000000000004">
      <c r="A188" s="243">
        <v>15</v>
      </c>
      <c r="B188" s="244" t="s">
        <v>414</v>
      </c>
      <c r="C188" s="245"/>
      <c r="D188" s="245"/>
      <c r="E188" s="245"/>
      <c r="F188" s="246">
        <f>F189+F191+F193+F195</f>
        <v>1847312.6364000002</v>
      </c>
      <c r="G188" s="246"/>
      <c r="H188" s="230"/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</row>
    <row r="189" spans="1:26" ht="21.75" outlineLevel="1" x14ac:dyDescent="0.55000000000000004">
      <c r="A189" s="253" t="s">
        <v>415</v>
      </c>
      <c r="B189" s="247" t="s">
        <v>416</v>
      </c>
      <c r="C189" s="254"/>
      <c r="D189" s="254"/>
      <c r="E189" s="254"/>
      <c r="F189" s="255">
        <f>F190</f>
        <v>164938.62825000001</v>
      </c>
      <c r="G189" s="255"/>
      <c r="H189" s="230"/>
      <c r="I189" s="230"/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  <c r="Z189" s="230"/>
    </row>
    <row r="190" spans="1:26" ht="21.75" outlineLevel="2" x14ac:dyDescent="0.55000000000000004">
      <c r="A190" s="256" t="s">
        <v>417</v>
      </c>
      <c r="B190" s="266" t="s">
        <v>418</v>
      </c>
      <c r="C190" s="272">
        <v>5997.7682999999997</v>
      </c>
      <c r="D190" s="272" t="s">
        <v>28</v>
      </c>
      <c r="E190" s="248">
        <f t="shared" ref="E190" si="30">F190/C190</f>
        <v>27.500000000000004</v>
      </c>
      <c r="F190" s="273">
        <v>164938.62825000001</v>
      </c>
      <c r="G190" s="273"/>
      <c r="H190" s="230"/>
      <c r="I190" s="230"/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30"/>
      <c r="Z190" s="230"/>
    </row>
    <row r="191" spans="1:26" ht="21.75" outlineLevel="1" x14ac:dyDescent="0.55000000000000004">
      <c r="A191" s="253" t="s">
        <v>419</v>
      </c>
      <c r="B191" s="247" t="s">
        <v>420</v>
      </c>
      <c r="C191" s="254"/>
      <c r="D191" s="254"/>
      <c r="E191" s="254"/>
      <c r="F191" s="255">
        <f>F192</f>
        <v>263901.8052</v>
      </c>
      <c r="G191" s="255"/>
      <c r="H191" s="230"/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  <c r="Z191" s="230"/>
    </row>
    <row r="192" spans="1:26" ht="21.75" outlineLevel="2" x14ac:dyDescent="0.55000000000000004">
      <c r="A192" s="256" t="s">
        <v>421</v>
      </c>
      <c r="B192" s="266" t="s">
        <v>676</v>
      </c>
      <c r="C192" s="272">
        <v>5997.7682999999997</v>
      </c>
      <c r="D192" s="272" t="s">
        <v>28</v>
      </c>
      <c r="E192" s="248">
        <f t="shared" ref="E192" si="31">F192/C192</f>
        <v>44</v>
      </c>
      <c r="F192" s="273">
        <v>263901.8052</v>
      </c>
      <c r="G192" s="273"/>
      <c r="H192" s="230"/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  <c r="V192" s="230"/>
      <c r="W192" s="230"/>
      <c r="X192" s="230"/>
      <c r="Y192" s="230"/>
      <c r="Z192" s="230"/>
    </row>
    <row r="193" spans="1:26" ht="21.75" outlineLevel="2" x14ac:dyDescent="0.55000000000000004">
      <c r="A193" s="253" t="s">
        <v>564</v>
      </c>
      <c r="B193" s="247" t="s">
        <v>566</v>
      </c>
      <c r="C193" s="254"/>
      <c r="D193" s="254"/>
      <c r="E193" s="254"/>
      <c r="F193" s="255">
        <f>SUM(F194:F194)</f>
        <v>659754.51300000004</v>
      </c>
      <c r="G193" s="255"/>
      <c r="H193" s="230"/>
      <c r="I193" s="230"/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  <c r="V193" s="230"/>
      <c r="W193" s="230"/>
      <c r="X193" s="230"/>
      <c r="Y193" s="230"/>
      <c r="Z193" s="230"/>
    </row>
    <row r="194" spans="1:26" ht="21.75" outlineLevel="2" x14ac:dyDescent="0.55000000000000004">
      <c r="A194" s="256" t="s">
        <v>565</v>
      </c>
      <c r="B194" s="266" t="s">
        <v>570</v>
      </c>
      <c r="C194" s="272">
        <v>1</v>
      </c>
      <c r="D194" s="272" t="s">
        <v>120</v>
      </c>
      <c r="E194" s="248">
        <f t="shared" ref="E194:E197" si="32">F194/C194</f>
        <v>659754.51300000004</v>
      </c>
      <c r="F194" s="273">
        <v>659754.51300000004</v>
      </c>
      <c r="G194" s="273"/>
      <c r="H194" s="230"/>
      <c r="I194" s="230"/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  <c r="Y194" s="230"/>
      <c r="Z194" s="230"/>
    </row>
    <row r="195" spans="1:26" ht="21.75" outlineLevel="2" x14ac:dyDescent="0.55000000000000004">
      <c r="A195" s="253" t="s">
        <v>671</v>
      </c>
      <c r="B195" s="247" t="s">
        <v>236</v>
      </c>
      <c r="C195" s="254"/>
      <c r="D195" s="254"/>
      <c r="E195" s="254"/>
      <c r="F195" s="255">
        <f>SUM(F196:F197)</f>
        <v>758717.68995000003</v>
      </c>
      <c r="G195" s="283"/>
      <c r="H195" s="230"/>
      <c r="I195" s="230"/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  <c r="Y195" s="230"/>
      <c r="Z195" s="230"/>
    </row>
    <row r="196" spans="1:26" ht="21.75" outlineLevel="2" x14ac:dyDescent="0.55000000000000004">
      <c r="A196" s="256" t="s">
        <v>672</v>
      </c>
      <c r="B196" s="266" t="s">
        <v>673</v>
      </c>
      <c r="C196" s="272">
        <f>C190</f>
        <v>5997.7682999999997</v>
      </c>
      <c r="D196" s="272" t="s">
        <v>28</v>
      </c>
      <c r="E196" s="248">
        <f t="shared" si="32"/>
        <v>77</v>
      </c>
      <c r="F196" s="273">
        <v>461828.15909999999</v>
      </c>
      <c r="G196" s="295"/>
      <c r="H196" s="230"/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  <c r="V196" s="230"/>
      <c r="W196" s="230"/>
      <c r="X196" s="230"/>
      <c r="Y196" s="230"/>
      <c r="Z196" s="230"/>
    </row>
    <row r="197" spans="1:26" ht="21.75" outlineLevel="2" x14ac:dyDescent="0.55000000000000004">
      <c r="A197" s="256" t="s">
        <v>674</v>
      </c>
      <c r="B197" s="266" t="s">
        <v>675</v>
      </c>
      <c r="C197" s="272">
        <f>C192</f>
        <v>5997.7682999999997</v>
      </c>
      <c r="D197" s="272" t="s">
        <v>28</v>
      </c>
      <c r="E197" s="248">
        <f t="shared" si="32"/>
        <v>49.500000000000007</v>
      </c>
      <c r="F197" s="294">
        <v>296889.53085000004</v>
      </c>
      <c r="G197" s="296"/>
      <c r="H197" s="230"/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30"/>
      <c r="Z197" s="230"/>
    </row>
    <row r="198" spans="1:26" ht="21.75" x14ac:dyDescent="0.55000000000000004">
      <c r="A198" s="243">
        <v>16</v>
      </c>
      <c r="B198" s="244" t="s">
        <v>422</v>
      </c>
      <c r="C198" s="245"/>
      <c r="D198" s="245"/>
      <c r="E198" s="245"/>
      <c r="F198" s="246">
        <f>F199</f>
        <v>1857288.5100000002</v>
      </c>
      <c r="G198" s="246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  <c r="V198" s="230"/>
      <c r="W198" s="230"/>
      <c r="X198" s="230"/>
      <c r="Y198" s="230"/>
      <c r="Z198" s="230"/>
    </row>
    <row r="199" spans="1:26" ht="21.75" outlineLevel="1" x14ac:dyDescent="0.55000000000000004">
      <c r="A199" s="253" t="s">
        <v>423</v>
      </c>
      <c r="B199" s="247" t="s">
        <v>422</v>
      </c>
      <c r="C199" s="254"/>
      <c r="D199" s="254"/>
      <c r="E199" s="254"/>
      <c r="F199" s="255">
        <f>SUM(F200:F205)</f>
        <v>1857288.5100000002</v>
      </c>
      <c r="G199" s="255"/>
      <c r="H199" s="230"/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  <c r="V199" s="230"/>
      <c r="W199" s="230"/>
      <c r="X199" s="230"/>
      <c r="Y199" s="230"/>
      <c r="Z199" s="230"/>
    </row>
    <row r="200" spans="1:26" ht="21.75" outlineLevel="2" x14ac:dyDescent="0.55000000000000004">
      <c r="A200" s="256" t="s">
        <v>424</v>
      </c>
      <c r="B200" s="266" t="s">
        <v>425</v>
      </c>
      <c r="C200" s="272">
        <v>800</v>
      </c>
      <c r="D200" s="272" t="s">
        <v>28</v>
      </c>
      <c r="E200" s="272"/>
      <c r="F200" s="273">
        <v>1320000</v>
      </c>
      <c r="G200" s="273"/>
      <c r="H200" s="230"/>
      <c r="I200" s="230"/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  <c r="V200" s="230"/>
      <c r="W200" s="230"/>
      <c r="X200" s="230"/>
      <c r="Y200" s="230"/>
      <c r="Z200" s="230"/>
    </row>
    <row r="201" spans="1:26" ht="21.75" outlineLevel="2" x14ac:dyDescent="0.55000000000000004">
      <c r="A201" s="256" t="s">
        <v>426</v>
      </c>
      <c r="B201" s="266" t="s">
        <v>427</v>
      </c>
      <c r="C201" s="272">
        <v>1</v>
      </c>
      <c r="D201" s="272" t="s">
        <v>120</v>
      </c>
      <c r="E201" s="272"/>
      <c r="F201" s="273">
        <v>116801.85</v>
      </c>
      <c r="G201" s="273"/>
      <c r="H201" s="230"/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  <c r="V201" s="230"/>
      <c r="W201" s="230"/>
      <c r="X201" s="230"/>
      <c r="Y201" s="230"/>
      <c r="Z201" s="230"/>
    </row>
    <row r="202" spans="1:26" ht="21.75" outlineLevel="2" x14ac:dyDescent="0.55000000000000004">
      <c r="A202" s="256" t="s">
        <v>428</v>
      </c>
      <c r="B202" s="266" t="s">
        <v>429</v>
      </c>
      <c r="C202" s="272">
        <v>1</v>
      </c>
      <c r="D202" s="272" t="s">
        <v>120</v>
      </c>
      <c r="E202" s="272"/>
      <c r="F202" s="273">
        <v>140162.22000000003</v>
      </c>
      <c r="G202" s="273"/>
      <c r="H202" s="230"/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  <c r="V202" s="230"/>
      <c r="W202" s="230"/>
      <c r="X202" s="230"/>
      <c r="Y202" s="230"/>
      <c r="Z202" s="230"/>
    </row>
    <row r="203" spans="1:26" ht="21.75" outlineLevel="2" x14ac:dyDescent="0.55000000000000004">
      <c r="A203" s="256" t="s">
        <v>430</v>
      </c>
      <c r="B203" s="297" t="s">
        <v>677</v>
      </c>
      <c r="C203" s="272">
        <v>1</v>
      </c>
      <c r="D203" s="272" t="s">
        <v>120</v>
      </c>
      <c r="E203" s="272"/>
      <c r="F203" s="273">
        <v>46720.740000000005</v>
      </c>
      <c r="G203" s="273"/>
      <c r="H203" s="230"/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  <c r="Y203" s="230"/>
      <c r="Z203" s="230"/>
    </row>
    <row r="204" spans="1:26" ht="21.75" outlineLevel="2" x14ac:dyDescent="0.55000000000000004">
      <c r="A204" s="256" t="s">
        <v>431</v>
      </c>
      <c r="B204" s="266" t="s">
        <v>433</v>
      </c>
      <c r="C204" s="272">
        <v>1</v>
      </c>
      <c r="D204" s="272" t="s">
        <v>120</v>
      </c>
      <c r="E204" s="272"/>
      <c r="F204" s="273">
        <v>58400.925000000003</v>
      </c>
      <c r="G204" s="273"/>
      <c r="H204" s="230"/>
      <c r="I204" s="230"/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  <c r="V204" s="230"/>
      <c r="W204" s="230"/>
      <c r="X204" s="230"/>
      <c r="Y204" s="230"/>
      <c r="Z204" s="230"/>
    </row>
    <row r="205" spans="1:26" ht="21.75" outlineLevel="2" x14ac:dyDescent="0.55000000000000004">
      <c r="A205" s="256" t="s">
        <v>432</v>
      </c>
      <c r="B205" s="266" t="s">
        <v>434</v>
      </c>
      <c r="C205" s="272">
        <v>1</v>
      </c>
      <c r="D205" s="272" t="s">
        <v>120</v>
      </c>
      <c r="E205" s="272"/>
      <c r="F205" s="273">
        <v>175202.77500000002</v>
      </c>
      <c r="G205" s="273"/>
      <c r="H205" s="230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  <c r="V205" s="230"/>
      <c r="W205" s="230"/>
      <c r="X205" s="230"/>
      <c r="Y205" s="230"/>
      <c r="Z205" s="230"/>
    </row>
    <row r="206" spans="1:26" ht="22.5" thickBot="1" x14ac:dyDescent="0.6">
      <c r="A206" s="243">
        <v>17</v>
      </c>
      <c r="B206" s="244" t="s">
        <v>435</v>
      </c>
      <c r="C206" s="245"/>
      <c r="D206" s="245"/>
      <c r="E206" s="245"/>
      <c r="F206" s="246">
        <f t="shared" ref="F206:F207" si="33">F207</f>
        <v>1093414.2921940961</v>
      </c>
      <c r="G206" s="246"/>
      <c r="H206" s="230"/>
      <c r="I206" s="230"/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  <c r="V206" s="230"/>
      <c r="W206" s="230"/>
      <c r="X206" s="230"/>
      <c r="Y206" s="230"/>
      <c r="Z206" s="230"/>
    </row>
    <row r="207" spans="1:26" ht="21.75" outlineLevel="1" x14ac:dyDescent="0.55000000000000004">
      <c r="A207" s="235" t="s">
        <v>436</v>
      </c>
      <c r="B207" s="236" t="s">
        <v>435</v>
      </c>
      <c r="C207" s="237"/>
      <c r="D207" s="237"/>
      <c r="E207" s="237"/>
      <c r="F207" s="238">
        <f t="shared" si="33"/>
        <v>1093414.2921940961</v>
      </c>
      <c r="G207" s="238"/>
      <c r="H207" s="230"/>
      <c r="I207" s="230"/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  <c r="V207" s="230"/>
      <c r="W207" s="230"/>
      <c r="X207" s="230"/>
      <c r="Y207" s="230"/>
      <c r="Z207" s="230"/>
    </row>
    <row r="208" spans="1:26" ht="22.5" outlineLevel="2" thickBot="1" x14ac:dyDescent="0.6">
      <c r="A208" s="239" t="s">
        <v>437</v>
      </c>
      <c r="B208" s="240" t="s">
        <v>438</v>
      </c>
      <c r="C208" s="241">
        <v>1</v>
      </c>
      <c r="D208" s="241" t="s">
        <v>120</v>
      </c>
      <c r="E208" s="241"/>
      <c r="F208" s="242">
        <v>1093414.2921940961</v>
      </c>
      <c r="G208" s="242"/>
      <c r="H208" s="230"/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  <c r="V208" s="230"/>
      <c r="W208" s="230"/>
      <c r="X208" s="230"/>
      <c r="Y208" s="230"/>
      <c r="Z208" s="230"/>
    </row>
    <row r="209" spans="1:26" ht="22.5" thickBot="1" x14ac:dyDescent="0.6">
      <c r="A209" s="277" t="s">
        <v>62</v>
      </c>
      <c r="B209" s="278"/>
      <c r="C209" s="224"/>
      <c r="D209" s="224"/>
      <c r="E209" s="224"/>
      <c r="F209" s="279">
        <f>F198+F188+F168+F157+F151+F134+F120+F102+F81+F61+F51+F37+F23+F16+F13+F206+F184</f>
        <v>37540557.365330637</v>
      </c>
      <c r="G209" s="279"/>
      <c r="H209" s="230"/>
      <c r="I209" s="230"/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  <c r="V209" s="230"/>
      <c r="W209" s="230"/>
      <c r="X209" s="230"/>
      <c r="Y209" s="230"/>
      <c r="Z209" s="230"/>
    </row>
    <row r="210" spans="1:26" ht="21.75" x14ac:dyDescent="0.55000000000000004">
      <c r="A210" s="280"/>
      <c r="B210" s="230"/>
      <c r="C210" s="281"/>
      <c r="D210" s="281"/>
      <c r="E210" s="281"/>
      <c r="F210" s="282"/>
      <c r="G210" s="282"/>
      <c r="H210" s="230"/>
      <c r="I210" s="230"/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  <c r="V210" s="230"/>
      <c r="W210" s="230"/>
      <c r="X210" s="230"/>
      <c r="Y210" s="230"/>
      <c r="Z210" s="230"/>
    </row>
    <row r="211" spans="1:26" ht="21.75" x14ac:dyDescent="0.55000000000000004">
      <c r="A211" s="280"/>
      <c r="B211" s="230"/>
      <c r="C211" s="281"/>
      <c r="D211" s="281"/>
      <c r="E211" s="281"/>
      <c r="F211" s="282"/>
      <c r="G211" s="282"/>
      <c r="H211" s="230"/>
      <c r="I211" s="230"/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  <c r="V211" s="230"/>
      <c r="W211" s="230"/>
      <c r="X211" s="230"/>
      <c r="Y211" s="230"/>
      <c r="Z211" s="230"/>
    </row>
    <row r="212" spans="1:26" ht="21.75" x14ac:dyDescent="0.55000000000000004">
      <c r="A212" s="280"/>
      <c r="B212" s="230"/>
      <c r="C212" s="281"/>
      <c r="D212" s="281"/>
      <c r="E212" s="281"/>
      <c r="F212" s="282"/>
      <c r="G212" s="282"/>
      <c r="H212" s="230"/>
      <c r="I212" s="230"/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  <c r="V212" s="230"/>
      <c r="W212" s="230"/>
      <c r="X212" s="230"/>
      <c r="Y212" s="230"/>
      <c r="Z212" s="230"/>
    </row>
    <row r="213" spans="1:26" ht="21.75" x14ac:dyDescent="0.55000000000000004">
      <c r="A213" s="280"/>
      <c r="B213" s="230"/>
      <c r="C213" s="281"/>
      <c r="D213" s="281"/>
      <c r="E213" s="281"/>
      <c r="F213" s="282"/>
      <c r="G213" s="282"/>
      <c r="H213" s="230"/>
      <c r="I213" s="230"/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  <c r="V213" s="230"/>
      <c r="W213" s="230"/>
      <c r="X213" s="230"/>
      <c r="Y213" s="230"/>
      <c r="Z213" s="230"/>
    </row>
    <row r="214" spans="1:26" ht="21.75" x14ac:dyDescent="0.55000000000000004">
      <c r="A214" s="280"/>
      <c r="B214" s="230"/>
      <c r="C214" s="281"/>
      <c r="D214" s="281"/>
      <c r="E214" s="281"/>
      <c r="F214" s="282"/>
      <c r="G214" s="282"/>
      <c r="H214" s="230"/>
      <c r="I214" s="230"/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  <c r="V214" s="230"/>
      <c r="W214" s="230"/>
      <c r="X214" s="230"/>
      <c r="Y214" s="230"/>
      <c r="Z214" s="230"/>
    </row>
    <row r="215" spans="1:26" ht="21.75" x14ac:dyDescent="0.55000000000000004">
      <c r="A215" s="280"/>
      <c r="B215" s="230"/>
      <c r="C215" s="281"/>
      <c r="D215" s="281"/>
      <c r="E215" s="281"/>
      <c r="F215" s="282"/>
      <c r="G215" s="282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  <c r="V215" s="230"/>
      <c r="W215" s="230"/>
      <c r="X215" s="230"/>
      <c r="Y215" s="230"/>
      <c r="Z215" s="230"/>
    </row>
    <row r="216" spans="1:26" ht="21.75" x14ac:dyDescent="0.55000000000000004">
      <c r="A216" s="280"/>
      <c r="B216" s="230"/>
      <c r="C216" s="281"/>
      <c r="D216" s="281"/>
      <c r="E216" s="281"/>
      <c r="F216" s="282"/>
      <c r="G216" s="282"/>
      <c r="H216" s="230"/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  <c r="V216" s="230"/>
      <c r="W216" s="230"/>
      <c r="X216" s="230"/>
      <c r="Y216" s="230"/>
      <c r="Z216" s="230"/>
    </row>
    <row r="217" spans="1:26" ht="21.75" x14ac:dyDescent="0.55000000000000004">
      <c r="A217" s="280"/>
      <c r="B217" s="230"/>
      <c r="C217" s="281"/>
      <c r="D217" s="281"/>
      <c r="E217" s="281"/>
      <c r="F217" s="282"/>
      <c r="G217" s="282"/>
      <c r="H217" s="230"/>
      <c r="I217" s="230"/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  <c r="V217" s="230"/>
      <c r="W217" s="230"/>
      <c r="X217" s="230"/>
      <c r="Y217" s="230"/>
      <c r="Z217" s="230"/>
    </row>
    <row r="218" spans="1:26" ht="21.75" x14ac:dyDescent="0.55000000000000004">
      <c r="A218" s="280"/>
      <c r="B218" s="230"/>
      <c r="C218" s="281"/>
      <c r="D218" s="281"/>
      <c r="E218" s="281"/>
      <c r="F218" s="282"/>
      <c r="G218" s="282"/>
      <c r="H218" s="230"/>
      <c r="I218" s="230"/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  <c r="V218" s="230"/>
      <c r="W218" s="230"/>
      <c r="X218" s="230"/>
      <c r="Y218" s="230"/>
      <c r="Z218" s="230"/>
    </row>
    <row r="219" spans="1:26" ht="21.75" x14ac:dyDescent="0.55000000000000004">
      <c r="A219" s="280"/>
      <c r="B219" s="230"/>
      <c r="C219" s="281"/>
      <c r="D219" s="281"/>
      <c r="E219" s="281"/>
      <c r="F219" s="282"/>
      <c r="G219" s="282"/>
      <c r="H219" s="230"/>
      <c r="I219" s="230"/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  <c r="V219" s="230"/>
      <c r="W219" s="230"/>
      <c r="X219" s="230"/>
      <c r="Y219" s="230"/>
      <c r="Z219" s="230"/>
    </row>
    <row r="220" spans="1:26" ht="21.75" x14ac:dyDescent="0.55000000000000004">
      <c r="A220" s="280"/>
      <c r="B220" s="230"/>
      <c r="C220" s="281"/>
      <c r="D220" s="281"/>
      <c r="E220" s="281"/>
      <c r="F220" s="282"/>
      <c r="G220" s="282"/>
      <c r="H220" s="230"/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  <c r="V220" s="230"/>
      <c r="W220" s="230"/>
      <c r="X220" s="230"/>
      <c r="Y220" s="230"/>
      <c r="Z220" s="230"/>
    </row>
    <row r="221" spans="1:26" ht="21.75" x14ac:dyDescent="0.55000000000000004">
      <c r="A221" s="280"/>
      <c r="B221" s="230"/>
      <c r="C221" s="281"/>
      <c r="D221" s="281"/>
      <c r="E221" s="281"/>
      <c r="F221" s="282"/>
      <c r="G221" s="282"/>
      <c r="H221" s="230"/>
      <c r="I221" s="230"/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  <c r="V221" s="230"/>
      <c r="W221" s="230"/>
      <c r="X221" s="230"/>
      <c r="Y221" s="230"/>
      <c r="Z221" s="230"/>
    </row>
    <row r="222" spans="1:26" ht="21.75" x14ac:dyDescent="0.55000000000000004">
      <c r="A222" s="280"/>
      <c r="B222" s="230"/>
      <c r="C222" s="281"/>
      <c r="D222" s="281"/>
      <c r="E222" s="281"/>
      <c r="F222" s="282"/>
      <c r="G222" s="282"/>
      <c r="H222" s="230"/>
      <c r="I222" s="230"/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  <c r="V222" s="230"/>
      <c r="W222" s="230"/>
      <c r="X222" s="230"/>
      <c r="Y222" s="230"/>
      <c r="Z222" s="230"/>
    </row>
    <row r="223" spans="1:26" ht="21.75" x14ac:dyDescent="0.55000000000000004">
      <c r="A223" s="280"/>
      <c r="B223" s="230"/>
      <c r="C223" s="281"/>
      <c r="D223" s="281"/>
      <c r="E223" s="281"/>
      <c r="F223" s="282"/>
      <c r="G223" s="282"/>
      <c r="H223" s="230"/>
      <c r="I223" s="230"/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  <c r="V223" s="230"/>
      <c r="W223" s="230"/>
      <c r="X223" s="230"/>
      <c r="Y223" s="230"/>
      <c r="Z223" s="230"/>
    </row>
    <row r="224" spans="1:26" ht="21.75" x14ac:dyDescent="0.55000000000000004">
      <c r="A224" s="280"/>
      <c r="B224" s="230"/>
      <c r="C224" s="281"/>
      <c r="D224" s="281"/>
      <c r="E224" s="281"/>
      <c r="F224" s="282"/>
      <c r="G224" s="282"/>
      <c r="H224" s="230"/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  <c r="V224" s="230"/>
      <c r="W224" s="230"/>
      <c r="X224" s="230"/>
      <c r="Y224" s="230"/>
      <c r="Z224" s="230"/>
    </row>
    <row r="225" spans="1:26" ht="21.75" x14ac:dyDescent="0.55000000000000004">
      <c r="A225" s="280"/>
      <c r="B225" s="230"/>
      <c r="C225" s="281"/>
      <c r="D225" s="281"/>
      <c r="E225" s="281"/>
      <c r="F225" s="282"/>
      <c r="G225" s="282"/>
      <c r="H225" s="230"/>
      <c r="I225" s="230"/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  <c r="V225" s="230"/>
      <c r="W225" s="230"/>
      <c r="X225" s="230"/>
      <c r="Y225" s="230"/>
      <c r="Z225" s="230"/>
    </row>
    <row r="226" spans="1:26" ht="21.75" x14ac:dyDescent="0.55000000000000004">
      <c r="A226" s="280"/>
      <c r="B226" s="230"/>
      <c r="C226" s="281"/>
      <c r="D226" s="281"/>
      <c r="E226" s="281"/>
      <c r="F226" s="282"/>
      <c r="G226" s="282"/>
      <c r="H226" s="230"/>
      <c r="I226" s="230"/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  <c r="V226" s="230"/>
      <c r="W226" s="230"/>
      <c r="X226" s="230"/>
      <c r="Y226" s="230"/>
      <c r="Z226" s="230"/>
    </row>
    <row r="227" spans="1:26" ht="21.75" x14ac:dyDescent="0.55000000000000004">
      <c r="A227" s="280"/>
      <c r="B227" s="230"/>
      <c r="C227" s="281"/>
      <c r="D227" s="281"/>
      <c r="E227" s="281"/>
      <c r="F227" s="282"/>
      <c r="G227" s="282"/>
      <c r="H227" s="230"/>
      <c r="I227" s="230"/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  <c r="V227" s="230"/>
      <c r="W227" s="230"/>
      <c r="X227" s="230"/>
      <c r="Y227" s="230"/>
      <c r="Z227" s="230"/>
    </row>
    <row r="228" spans="1:26" ht="21.75" x14ac:dyDescent="0.55000000000000004">
      <c r="A228" s="280"/>
      <c r="B228" s="230"/>
      <c r="C228" s="281"/>
      <c r="D228" s="281"/>
      <c r="E228" s="281"/>
      <c r="F228" s="282"/>
      <c r="G228" s="282"/>
      <c r="H228" s="230"/>
      <c r="I228" s="230"/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  <c r="V228" s="230"/>
      <c r="W228" s="230"/>
      <c r="X228" s="230"/>
      <c r="Y228" s="230"/>
      <c r="Z228" s="230"/>
    </row>
    <row r="229" spans="1:26" ht="21.75" x14ac:dyDescent="0.55000000000000004">
      <c r="A229" s="280"/>
      <c r="B229" s="230"/>
      <c r="C229" s="281"/>
      <c r="D229" s="281"/>
      <c r="E229" s="281"/>
      <c r="F229" s="282"/>
      <c r="G229" s="282"/>
      <c r="H229" s="230"/>
      <c r="I229" s="230"/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  <c r="V229" s="230"/>
      <c r="W229" s="230"/>
      <c r="X229" s="230"/>
      <c r="Y229" s="230"/>
      <c r="Z229" s="230"/>
    </row>
    <row r="230" spans="1:26" ht="21.75" x14ac:dyDescent="0.55000000000000004">
      <c r="A230" s="280"/>
      <c r="B230" s="230"/>
      <c r="C230" s="281"/>
      <c r="D230" s="281"/>
      <c r="E230" s="281"/>
      <c r="F230" s="282"/>
      <c r="G230" s="282"/>
      <c r="H230" s="230"/>
      <c r="I230" s="230"/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  <c r="V230" s="230"/>
      <c r="W230" s="230"/>
      <c r="X230" s="230"/>
      <c r="Y230" s="230"/>
      <c r="Z230" s="230"/>
    </row>
    <row r="231" spans="1:26" ht="21.75" x14ac:dyDescent="0.55000000000000004">
      <c r="A231" s="280"/>
      <c r="B231" s="230"/>
      <c r="C231" s="281"/>
      <c r="D231" s="281"/>
      <c r="E231" s="281"/>
      <c r="F231" s="282"/>
      <c r="G231" s="282"/>
      <c r="H231" s="230"/>
      <c r="I231" s="230"/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  <c r="V231" s="230"/>
      <c r="W231" s="230"/>
      <c r="X231" s="230"/>
      <c r="Y231" s="230"/>
      <c r="Z231" s="230"/>
    </row>
    <row r="232" spans="1:26" ht="21.75" x14ac:dyDescent="0.55000000000000004">
      <c r="A232" s="280"/>
      <c r="B232" s="230"/>
      <c r="C232" s="281"/>
      <c r="D232" s="281"/>
      <c r="E232" s="281"/>
      <c r="F232" s="282"/>
      <c r="G232" s="282"/>
      <c r="H232" s="230"/>
      <c r="I232" s="230"/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  <c r="V232" s="230"/>
      <c r="W232" s="230"/>
      <c r="X232" s="230"/>
      <c r="Y232" s="230"/>
      <c r="Z232" s="230"/>
    </row>
    <row r="233" spans="1:26" ht="21.75" x14ac:dyDescent="0.55000000000000004">
      <c r="A233" s="280"/>
      <c r="B233" s="230"/>
      <c r="C233" s="281"/>
      <c r="D233" s="281"/>
      <c r="E233" s="281"/>
      <c r="F233" s="282"/>
      <c r="G233" s="282"/>
      <c r="H233" s="230"/>
      <c r="I233" s="230"/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  <c r="V233" s="230"/>
      <c r="W233" s="230"/>
      <c r="X233" s="230"/>
      <c r="Y233" s="230"/>
      <c r="Z233" s="230"/>
    </row>
    <row r="234" spans="1:26" ht="21.75" x14ac:dyDescent="0.55000000000000004">
      <c r="A234" s="280"/>
      <c r="B234" s="230"/>
      <c r="C234" s="281"/>
      <c r="D234" s="281"/>
      <c r="E234" s="281"/>
      <c r="F234" s="282"/>
      <c r="G234" s="282"/>
      <c r="H234" s="230"/>
      <c r="I234" s="230"/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  <c r="V234" s="230"/>
      <c r="W234" s="230"/>
      <c r="X234" s="230"/>
      <c r="Y234" s="230"/>
      <c r="Z234" s="230"/>
    </row>
    <row r="235" spans="1:26" ht="21.75" x14ac:dyDescent="0.55000000000000004">
      <c r="A235" s="280"/>
      <c r="B235" s="230"/>
      <c r="C235" s="281"/>
      <c r="D235" s="281"/>
      <c r="E235" s="281"/>
      <c r="F235" s="282"/>
      <c r="G235" s="282"/>
      <c r="H235" s="230"/>
      <c r="I235" s="230"/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  <c r="V235" s="230"/>
      <c r="W235" s="230"/>
      <c r="X235" s="230"/>
      <c r="Y235" s="230"/>
      <c r="Z235" s="230"/>
    </row>
    <row r="236" spans="1:26" ht="21.75" x14ac:dyDescent="0.55000000000000004">
      <c r="A236" s="280"/>
      <c r="B236" s="230"/>
      <c r="C236" s="281"/>
      <c r="D236" s="281"/>
      <c r="E236" s="281"/>
      <c r="F236" s="282"/>
      <c r="G236" s="282"/>
      <c r="H236" s="230"/>
      <c r="I236" s="230"/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  <c r="V236" s="230"/>
      <c r="W236" s="230"/>
      <c r="X236" s="230"/>
      <c r="Y236" s="230"/>
      <c r="Z236" s="230"/>
    </row>
    <row r="237" spans="1:26" ht="21.75" x14ac:dyDescent="0.55000000000000004">
      <c r="A237" s="280"/>
      <c r="B237" s="230"/>
      <c r="C237" s="281"/>
      <c r="D237" s="281"/>
      <c r="E237" s="281"/>
      <c r="F237" s="282"/>
      <c r="G237" s="282"/>
      <c r="H237" s="230"/>
      <c r="I237" s="230"/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  <c r="V237" s="230"/>
      <c r="W237" s="230"/>
      <c r="X237" s="230"/>
      <c r="Y237" s="230"/>
      <c r="Z237" s="230"/>
    </row>
    <row r="238" spans="1:26" ht="21.75" x14ac:dyDescent="0.55000000000000004">
      <c r="A238" s="280"/>
      <c r="B238" s="230"/>
      <c r="C238" s="281"/>
      <c r="D238" s="281"/>
      <c r="E238" s="281"/>
      <c r="F238" s="282"/>
      <c r="G238" s="282"/>
      <c r="H238" s="230"/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  <c r="V238" s="230"/>
      <c r="W238" s="230"/>
      <c r="X238" s="230"/>
      <c r="Y238" s="230"/>
      <c r="Z238" s="230"/>
    </row>
    <row r="239" spans="1:26" ht="21.75" x14ac:dyDescent="0.55000000000000004">
      <c r="A239" s="280"/>
      <c r="B239" s="230"/>
      <c r="C239" s="281"/>
      <c r="D239" s="281"/>
      <c r="E239" s="281"/>
      <c r="F239" s="282"/>
      <c r="G239" s="282"/>
      <c r="H239" s="230"/>
      <c r="I239" s="230"/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  <c r="V239" s="230"/>
      <c r="W239" s="230"/>
      <c r="X239" s="230"/>
      <c r="Y239" s="230"/>
      <c r="Z239" s="230"/>
    </row>
    <row r="240" spans="1:26" ht="21.75" x14ac:dyDescent="0.55000000000000004">
      <c r="A240" s="280"/>
      <c r="B240" s="230"/>
      <c r="C240" s="281"/>
      <c r="D240" s="281"/>
      <c r="E240" s="281"/>
      <c r="F240" s="282"/>
      <c r="G240" s="282"/>
      <c r="H240" s="230"/>
      <c r="I240" s="230"/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  <c r="V240" s="230"/>
      <c r="W240" s="230"/>
      <c r="X240" s="230"/>
      <c r="Y240" s="230"/>
      <c r="Z240" s="230"/>
    </row>
    <row r="241" spans="1:26" ht="21.75" x14ac:dyDescent="0.55000000000000004">
      <c r="A241" s="280"/>
      <c r="B241" s="230"/>
      <c r="C241" s="281"/>
      <c r="D241" s="281"/>
      <c r="E241" s="281"/>
      <c r="F241" s="282"/>
      <c r="G241" s="282"/>
      <c r="H241" s="230"/>
      <c r="I241" s="230"/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  <c r="V241" s="230"/>
      <c r="W241" s="230"/>
      <c r="X241" s="230"/>
      <c r="Y241" s="230"/>
      <c r="Z241" s="230"/>
    </row>
    <row r="242" spans="1:26" ht="21.75" x14ac:dyDescent="0.55000000000000004">
      <c r="A242" s="280"/>
      <c r="B242" s="230"/>
      <c r="C242" s="281"/>
      <c r="D242" s="281"/>
      <c r="E242" s="281"/>
      <c r="F242" s="282"/>
      <c r="G242" s="282"/>
      <c r="H242" s="230"/>
      <c r="I242" s="230"/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  <c r="V242" s="230"/>
      <c r="W242" s="230"/>
      <c r="X242" s="230"/>
      <c r="Y242" s="230"/>
      <c r="Z242" s="230"/>
    </row>
    <row r="243" spans="1:26" ht="21.75" x14ac:dyDescent="0.55000000000000004">
      <c r="A243" s="280"/>
      <c r="B243" s="230"/>
      <c r="C243" s="281"/>
      <c r="D243" s="281"/>
      <c r="E243" s="281"/>
      <c r="F243" s="282"/>
      <c r="G243" s="282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  <c r="V243" s="230"/>
      <c r="W243" s="230"/>
      <c r="X243" s="230"/>
      <c r="Y243" s="230"/>
      <c r="Z243" s="230"/>
    </row>
    <row r="244" spans="1:26" ht="21.75" x14ac:dyDescent="0.55000000000000004">
      <c r="A244" s="280"/>
      <c r="B244" s="230"/>
      <c r="C244" s="281"/>
      <c r="D244" s="281"/>
      <c r="E244" s="281"/>
      <c r="F244" s="282"/>
      <c r="G244" s="282"/>
      <c r="H244" s="230"/>
      <c r="I244" s="230"/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  <c r="V244" s="230"/>
      <c r="W244" s="230"/>
      <c r="X244" s="230"/>
      <c r="Y244" s="230"/>
      <c r="Z244" s="230"/>
    </row>
    <row r="245" spans="1:26" ht="21.75" x14ac:dyDescent="0.55000000000000004">
      <c r="A245" s="280"/>
      <c r="B245" s="230"/>
      <c r="C245" s="281"/>
      <c r="D245" s="281"/>
      <c r="E245" s="281"/>
      <c r="F245" s="282"/>
      <c r="G245" s="282"/>
      <c r="H245" s="230"/>
      <c r="I245" s="230"/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  <c r="V245" s="230"/>
      <c r="W245" s="230"/>
      <c r="X245" s="230"/>
      <c r="Y245" s="230"/>
      <c r="Z245" s="230"/>
    </row>
    <row r="246" spans="1:26" ht="21.75" x14ac:dyDescent="0.55000000000000004">
      <c r="A246" s="280"/>
      <c r="B246" s="230"/>
      <c r="C246" s="281"/>
      <c r="D246" s="281"/>
      <c r="E246" s="281"/>
      <c r="F246" s="282"/>
      <c r="G246" s="282"/>
      <c r="H246" s="230"/>
      <c r="I246" s="230"/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  <c r="V246" s="230"/>
      <c r="W246" s="230"/>
      <c r="X246" s="230"/>
      <c r="Y246" s="230"/>
      <c r="Z246" s="230"/>
    </row>
    <row r="247" spans="1:26" ht="21.75" x14ac:dyDescent="0.55000000000000004">
      <c r="A247" s="280"/>
      <c r="B247" s="230"/>
      <c r="C247" s="281"/>
      <c r="D247" s="281"/>
      <c r="E247" s="281"/>
      <c r="F247" s="282"/>
      <c r="G247" s="282"/>
      <c r="H247" s="230"/>
      <c r="I247" s="230"/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  <c r="V247" s="230"/>
      <c r="W247" s="230"/>
      <c r="X247" s="230"/>
      <c r="Y247" s="230"/>
      <c r="Z247" s="230"/>
    </row>
    <row r="248" spans="1:26" ht="21.75" x14ac:dyDescent="0.55000000000000004">
      <c r="A248" s="280"/>
      <c r="B248" s="230"/>
      <c r="C248" s="281"/>
      <c r="D248" s="281"/>
      <c r="E248" s="281"/>
      <c r="F248" s="282"/>
      <c r="G248" s="282"/>
      <c r="H248" s="230"/>
      <c r="I248" s="230"/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  <c r="V248" s="230"/>
      <c r="W248" s="230"/>
      <c r="X248" s="230"/>
      <c r="Y248" s="230"/>
      <c r="Z248" s="230"/>
    </row>
    <row r="249" spans="1:26" ht="21.75" x14ac:dyDescent="0.55000000000000004">
      <c r="A249" s="280"/>
      <c r="B249" s="230"/>
      <c r="C249" s="281"/>
      <c r="D249" s="281"/>
      <c r="E249" s="281"/>
      <c r="F249" s="282"/>
      <c r="G249" s="282"/>
      <c r="H249" s="230"/>
      <c r="I249" s="230"/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  <c r="V249" s="230"/>
      <c r="W249" s="230"/>
      <c r="X249" s="230"/>
      <c r="Y249" s="230"/>
      <c r="Z249" s="230"/>
    </row>
    <row r="250" spans="1:26" ht="21.75" x14ac:dyDescent="0.55000000000000004">
      <c r="A250" s="280"/>
      <c r="B250" s="230"/>
      <c r="C250" s="281"/>
      <c r="D250" s="281"/>
      <c r="E250" s="281"/>
      <c r="F250" s="282"/>
      <c r="G250" s="282"/>
      <c r="H250" s="230"/>
      <c r="I250" s="230"/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  <c r="V250" s="230"/>
      <c r="W250" s="230"/>
      <c r="X250" s="230"/>
      <c r="Y250" s="230"/>
      <c r="Z250" s="230"/>
    </row>
    <row r="251" spans="1:26" ht="21.75" x14ac:dyDescent="0.55000000000000004">
      <c r="A251" s="280"/>
      <c r="B251" s="230"/>
      <c r="C251" s="281"/>
      <c r="D251" s="281"/>
      <c r="E251" s="281"/>
      <c r="F251" s="282"/>
      <c r="G251" s="282"/>
      <c r="H251" s="230"/>
      <c r="I251" s="230"/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  <c r="V251" s="230"/>
      <c r="W251" s="230"/>
      <c r="X251" s="230"/>
      <c r="Y251" s="230"/>
      <c r="Z251" s="230"/>
    </row>
    <row r="252" spans="1:26" ht="21.75" x14ac:dyDescent="0.55000000000000004">
      <c r="A252" s="280"/>
      <c r="B252" s="230"/>
      <c r="C252" s="281"/>
      <c r="D252" s="281"/>
      <c r="E252" s="281"/>
      <c r="F252" s="282"/>
      <c r="G252" s="282"/>
      <c r="H252" s="230"/>
      <c r="I252" s="230"/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  <c r="V252" s="230"/>
      <c r="W252" s="230"/>
      <c r="X252" s="230"/>
      <c r="Y252" s="230"/>
      <c r="Z252" s="230"/>
    </row>
    <row r="253" spans="1:26" ht="21.75" x14ac:dyDescent="0.55000000000000004">
      <c r="A253" s="280"/>
      <c r="B253" s="230"/>
      <c r="C253" s="281"/>
      <c r="D253" s="281"/>
      <c r="E253" s="281"/>
      <c r="F253" s="282"/>
      <c r="G253" s="282"/>
      <c r="H253" s="230"/>
      <c r="I253" s="230"/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  <c r="V253" s="230"/>
      <c r="W253" s="230"/>
      <c r="X253" s="230"/>
      <c r="Y253" s="230"/>
      <c r="Z253" s="230"/>
    </row>
    <row r="254" spans="1:26" ht="21.75" x14ac:dyDescent="0.55000000000000004">
      <c r="A254" s="280"/>
      <c r="B254" s="230"/>
      <c r="C254" s="281"/>
      <c r="D254" s="281"/>
      <c r="E254" s="281"/>
      <c r="F254" s="282"/>
      <c r="G254" s="282"/>
      <c r="H254" s="230"/>
      <c r="I254" s="230"/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  <c r="V254" s="230"/>
      <c r="W254" s="230"/>
      <c r="X254" s="230"/>
      <c r="Y254" s="230"/>
      <c r="Z254" s="230"/>
    </row>
    <row r="255" spans="1:26" ht="21.75" x14ac:dyDescent="0.55000000000000004">
      <c r="A255" s="280"/>
      <c r="B255" s="230"/>
      <c r="C255" s="281"/>
      <c r="D255" s="281"/>
      <c r="E255" s="281"/>
      <c r="F255" s="282"/>
      <c r="G255" s="282"/>
      <c r="H255" s="230"/>
      <c r="I255" s="230"/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  <c r="V255" s="230"/>
      <c r="W255" s="230"/>
      <c r="X255" s="230"/>
      <c r="Y255" s="230"/>
      <c r="Z255" s="230"/>
    </row>
    <row r="256" spans="1:26" ht="21.75" x14ac:dyDescent="0.55000000000000004">
      <c r="A256" s="280"/>
      <c r="B256" s="230"/>
      <c r="C256" s="281"/>
      <c r="D256" s="281"/>
      <c r="E256" s="281"/>
      <c r="F256" s="282"/>
      <c r="G256" s="282"/>
      <c r="H256" s="230"/>
      <c r="I256" s="230"/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  <c r="V256" s="230"/>
      <c r="W256" s="230"/>
      <c r="X256" s="230"/>
      <c r="Y256" s="230"/>
      <c r="Z256" s="230"/>
    </row>
    <row r="257" spans="1:26" ht="21.75" x14ac:dyDescent="0.55000000000000004">
      <c r="A257" s="280"/>
      <c r="B257" s="230"/>
      <c r="C257" s="281"/>
      <c r="D257" s="281"/>
      <c r="E257" s="281"/>
      <c r="F257" s="282"/>
      <c r="G257" s="282"/>
      <c r="H257" s="230"/>
      <c r="I257" s="230"/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  <c r="V257" s="230"/>
      <c r="W257" s="230"/>
      <c r="X257" s="230"/>
      <c r="Y257" s="230"/>
      <c r="Z257" s="230"/>
    </row>
    <row r="258" spans="1:26" ht="21.75" x14ac:dyDescent="0.55000000000000004">
      <c r="A258" s="280"/>
      <c r="B258" s="230"/>
      <c r="C258" s="281"/>
      <c r="D258" s="281"/>
      <c r="E258" s="281"/>
      <c r="F258" s="282"/>
      <c r="G258" s="282"/>
      <c r="H258" s="230"/>
      <c r="I258" s="230"/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  <c r="V258" s="230"/>
      <c r="W258" s="230"/>
      <c r="X258" s="230"/>
      <c r="Y258" s="230"/>
      <c r="Z258" s="230"/>
    </row>
    <row r="259" spans="1:26" ht="21.75" x14ac:dyDescent="0.55000000000000004">
      <c r="A259" s="280"/>
      <c r="B259" s="230"/>
      <c r="C259" s="281"/>
      <c r="D259" s="281"/>
      <c r="E259" s="281"/>
      <c r="F259" s="282"/>
      <c r="G259" s="282"/>
      <c r="H259" s="230"/>
      <c r="I259" s="230"/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  <c r="V259" s="230"/>
      <c r="W259" s="230"/>
      <c r="X259" s="230"/>
      <c r="Y259" s="230"/>
      <c r="Z259" s="230"/>
    </row>
    <row r="260" spans="1:26" ht="21.75" x14ac:dyDescent="0.55000000000000004">
      <c r="A260" s="280"/>
      <c r="B260" s="230"/>
      <c r="C260" s="281"/>
      <c r="D260" s="281"/>
      <c r="E260" s="281"/>
      <c r="F260" s="282"/>
      <c r="G260" s="282"/>
      <c r="H260" s="230"/>
      <c r="I260" s="230"/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  <c r="V260" s="230"/>
      <c r="W260" s="230"/>
      <c r="X260" s="230"/>
      <c r="Y260" s="230"/>
      <c r="Z260" s="230"/>
    </row>
    <row r="261" spans="1:26" ht="21.75" x14ac:dyDescent="0.55000000000000004">
      <c r="A261" s="280"/>
      <c r="B261" s="230"/>
      <c r="C261" s="281"/>
      <c r="D261" s="281"/>
      <c r="E261" s="281"/>
      <c r="F261" s="282"/>
      <c r="G261" s="282"/>
      <c r="H261" s="230"/>
      <c r="I261" s="230"/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  <c r="V261" s="230"/>
      <c r="W261" s="230"/>
      <c r="X261" s="230"/>
      <c r="Y261" s="230"/>
      <c r="Z261" s="230"/>
    </row>
    <row r="262" spans="1:26" ht="21.75" x14ac:dyDescent="0.55000000000000004">
      <c r="A262" s="280"/>
      <c r="B262" s="230"/>
      <c r="C262" s="281"/>
      <c r="D262" s="281"/>
      <c r="E262" s="281"/>
      <c r="F262" s="282"/>
      <c r="G262" s="282"/>
      <c r="H262" s="230"/>
      <c r="I262" s="230"/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  <c r="V262" s="230"/>
      <c r="W262" s="230"/>
      <c r="X262" s="230"/>
      <c r="Y262" s="230"/>
      <c r="Z262" s="230"/>
    </row>
    <row r="263" spans="1:26" ht="21.75" x14ac:dyDescent="0.55000000000000004">
      <c r="A263" s="280"/>
      <c r="B263" s="230"/>
      <c r="C263" s="281"/>
      <c r="D263" s="281"/>
      <c r="E263" s="281"/>
      <c r="F263" s="282"/>
      <c r="G263" s="282"/>
      <c r="H263" s="230"/>
      <c r="I263" s="230"/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  <c r="V263" s="230"/>
      <c r="W263" s="230"/>
      <c r="X263" s="230"/>
      <c r="Y263" s="230"/>
      <c r="Z263" s="230"/>
    </row>
    <row r="264" spans="1:26" ht="21.75" x14ac:dyDescent="0.55000000000000004">
      <c r="A264" s="280"/>
      <c r="B264" s="230"/>
      <c r="C264" s="281"/>
      <c r="D264" s="281"/>
      <c r="E264" s="281"/>
      <c r="F264" s="282"/>
      <c r="G264" s="282"/>
      <c r="H264" s="230"/>
      <c r="I264" s="230"/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  <c r="V264" s="230"/>
      <c r="W264" s="230"/>
      <c r="X264" s="230"/>
      <c r="Y264" s="230"/>
      <c r="Z264" s="230"/>
    </row>
    <row r="265" spans="1:26" ht="21.75" x14ac:dyDescent="0.55000000000000004">
      <c r="A265" s="280"/>
      <c r="B265" s="230"/>
      <c r="C265" s="281"/>
      <c r="D265" s="281"/>
      <c r="E265" s="281"/>
      <c r="F265" s="282"/>
      <c r="G265" s="282"/>
      <c r="H265" s="230"/>
      <c r="I265" s="230"/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  <c r="V265" s="230"/>
      <c r="W265" s="230"/>
      <c r="X265" s="230"/>
      <c r="Y265" s="230"/>
      <c r="Z265" s="230"/>
    </row>
    <row r="266" spans="1:26" ht="21.75" x14ac:dyDescent="0.55000000000000004">
      <c r="A266" s="280"/>
      <c r="B266" s="230"/>
      <c r="C266" s="281"/>
      <c r="D266" s="281"/>
      <c r="E266" s="281"/>
      <c r="F266" s="282"/>
      <c r="G266" s="282"/>
      <c r="H266" s="230"/>
      <c r="I266" s="230"/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  <c r="V266" s="230"/>
      <c r="W266" s="230"/>
      <c r="X266" s="230"/>
      <c r="Y266" s="230"/>
      <c r="Z266" s="230"/>
    </row>
    <row r="267" spans="1:26" ht="21.75" x14ac:dyDescent="0.55000000000000004">
      <c r="A267" s="280"/>
      <c r="B267" s="230"/>
      <c r="C267" s="281"/>
      <c r="D267" s="281"/>
      <c r="E267" s="281"/>
      <c r="F267" s="282"/>
      <c r="G267" s="282"/>
      <c r="H267" s="230"/>
      <c r="I267" s="230"/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  <c r="V267" s="230"/>
      <c r="W267" s="230"/>
      <c r="X267" s="230"/>
      <c r="Y267" s="230"/>
      <c r="Z267" s="230"/>
    </row>
    <row r="268" spans="1:26" ht="21.75" x14ac:dyDescent="0.55000000000000004">
      <c r="A268" s="280"/>
      <c r="B268" s="230"/>
      <c r="C268" s="281"/>
      <c r="D268" s="281"/>
      <c r="E268" s="281"/>
      <c r="F268" s="282"/>
      <c r="G268" s="282"/>
      <c r="H268" s="230"/>
      <c r="I268" s="230"/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  <c r="V268" s="230"/>
      <c r="W268" s="230"/>
      <c r="X268" s="230"/>
      <c r="Y268" s="230"/>
      <c r="Z268" s="230"/>
    </row>
    <row r="269" spans="1:26" ht="21.75" x14ac:dyDescent="0.55000000000000004">
      <c r="A269" s="280"/>
      <c r="B269" s="230"/>
      <c r="C269" s="281"/>
      <c r="D269" s="281"/>
      <c r="E269" s="281"/>
      <c r="F269" s="282"/>
      <c r="G269" s="282"/>
      <c r="H269" s="230"/>
      <c r="I269" s="230"/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  <c r="V269" s="230"/>
      <c r="W269" s="230"/>
      <c r="X269" s="230"/>
      <c r="Y269" s="230"/>
      <c r="Z269" s="230"/>
    </row>
    <row r="270" spans="1:26" ht="21.75" x14ac:dyDescent="0.55000000000000004">
      <c r="A270" s="280"/>
      <c r="B270" s="230"/>
      <c r="C270" s="281"/>
      <c r="D270" s="281"/>
      <c r="E270" s="281"/>
      <c r="F270" s="282"/>
      <c r="G270" s="282"/>
      <c r="H270" s="230"/>
      <c r="I270" s="230"/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  <c r="V270" s="230"/>
      <c r="W270" s="230"/>
      <c r="X270" s="230"/>
      <c r="Y270" s="230"/>
      <c r="Z270" s="230"/>
    </row>
    <row r="271" spans="1:26" ht="21.75" x14ac:dyDescent="0.55000000000000004">
      <c r="A271" s="280"/>
      <c r="B271" s="230"/>
      <c r="C271" s="281"/>
      <c r="D271" s="281"/>
      <c r="E271" s="281"/>
      <c r="F271" s="282"/>
      <c r="G271" s="282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  <c r="V271" s="230"/>
      <c r="W271" s="230"/>
      <c r="X271" s="230"/>
      <c r="Y271" s="230"/>
      <c r="Z271" s="230"/>
    </row>
    <row r="272" spans="1:26" ht="21.75" x14ac:dyDescent="0.55000000000000004">
      <c r="A272" s="280"/>
      <c r="B272" s="230"/>
      <c r="C272" s="281"/>
      <c r="D272" s="281"/>
      <c r="E272" s="281"/>
      <c r="F272" s="282"/>
      <c r="G272" s="282"/>
      <c r="H272" s="230"/>
      <c r="I272" s="230"/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  <c r="V272" s="230"/>
      <c r="W272" s="230"/>
      <c r="X272" s="230"/>
      <c r="Y272" s="230"/>
      <c r="Z272" s="230"/>
    </row>
    <row r="273" spans="1:26" ht="21.75" x14ac:dyDescent="0.55000000000000004">
      <c r="A273" s="280"/>
      <c r="B273" s="230"/>
      <c r="C273" s="281"/>
      <c r="D273" s="281"/>
      <c r="E273" s="281"/>
      <c r="F273" s="282"/>
      <c r="G273" s="282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  <c r="V273" s="230"/>
      <c r="W273" s="230"/>
      <c r="X273" s="230"/>
      <c r="Y273" s="230"/>
      <c r="Z273" s="230"/>
    </row>
    <row r="274" spans="1:26" ht="21.75" x14ac:dyDescent="0.55000000000000004">
      <c r="A274" s="280"/>
      <c r="B274" s="230"/>
      <c r="C274" s="281"/>
      <c r="D274" s="281"/>
      <c r="E274" s="281"/>
      <c r="F274" s="282"/>
      <c r="G274" s="282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  <c r="V274" s="230"/>
      <c r="W274" s="230"/>
      <c r="X274" s="230"/>
      <c r="Y274" s="230"/>
      <c r="Z274" s="230"/>
    </row>
    <row r="275" spans="1:26" ht="21.75" x14ac:dyDescent="0.55000000000000004">
      <c r="A275" s="280"/>
      <c r="B275" s="230"/>
      <c r="C275" s="281"/>
      <c r="D275" s="281"/>
      <c r="E275" s="281"/>
      <c r="F275" s="282"/>
      <c r="G275" s="282"/>
      <c r="H275" s="230"/>
      <c r="I275" s="230"/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  <c r="V275" s="230"/>
      <c r="W275" s="230"/>
      <c r="X275" s="230"/>
      <c r="Y275" s="230"/>
      <c r="Z275" s="230"/>
    </row>
    <row r="276" spans="1:26" ht="21.75" x14ac:dyDescent="0.55000000000000004">
      <c r="A276" s="280"/>
      <c r="B276" s="230"/>
      <c r="C276" s="281"/>
      <c r="D276" s="281"/>
      <c r="E276" s="281"/>
      <c r="F276" s="282"/>
      <c r="G276" s="282"/>
      <c r="H276" s="230"/>
      <c r="I276" s="230"/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  <c r="V276" s="230"/>
      <c r="W276" s="230"/>
      <c r="X276" s="230"/>
      <c r="Y276" s="230"/>
      <c r="Z276" s="230"/>
    </row>
    <row r="277" spans="1:26" ht="21.75" x14ac:dyDescent="0.55000000000000004">
      <c r="A277" s="280"/>
      <c r="B277" s="230"/>
      <c r="C277" s="281"/>
      <c r="D277" s="281"/>
      <c r="E277" s="281"/>
      <c r="F277" s="282"/>
      <c r="G277" s="282"/>
      <c r="H277" s="230"/>
      <c r="I277" s="230"/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  <c r="V277" s="230"/>
      <c r="W277" s="230"/>
      <c r="X277" s="230"/>
      <c r="Y277" s="230"/>
      <c r="Z277" s="230"/>
    </row>
    <row r="278" spans="1:26" ht="21.75" x14ac:dyDescent="0.55000000000000004">
      <c r="A278" s="280"/>
      <c r="B278" s="230"/>
      <c r="C278" s="281"/>
      <c r="D278" s="281"/>
      <c r="E278" s="281"/>
      <c r="F278" s="282"/>
      <c r="G278" s="282"/>
      <c r="H278" s="230"/>
      <c r="I278" s="230"/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  <c r="V278" s="230"/>
      <c r="W278" s="230"/>
      <c r="X278" s="230"/>
      <c r="Y278" s="230"/>
      <c r="Z278" s="230"/>
    </row>
    <row r="279" spans="1:26" ht="21.75" x14ac:dyDescent="0.55000000000000004">
      <c r="A279" s="280"/>
      <c r="B279" s="230"/>
      <c r="C279" s="281"/>
      <c r="D279" s="281"/>
      <c r="E279" s="281"/>
      <c r="F279" s="282"/>
      <c r="G279" s="282"/>
      <c r="H279" s="230"/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  <c r="V279" s="230"/>
      <c r="W279" s="230"/>
      <c r="X279" s="230"/>
      <c r="Y279" s="230"/>
      <c r="Z279" s="230"/>
    </row>
    <row r="280" spans="1:26" ht="21.75" x14ac:dyDescent="0.55000000000000004">
      <c r="A280" s="280"/>
      <c r="B280" s="230"/>
      <c r="C280" s="281"/>
      <c r="D280" s="281"/>
      <c r="E280" s="281"/>
      <c r="F280" s="282"/>
      <c r="G280" s="282"/>
      <c r="H280" s="230"/>
      <c r="I280" s="230"/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  <c r="V280" s="230"/>
      <c r="W280" s="230"/>
      <c r="X280" s="230"/>
      <c r="Y280" s="230"/>
      <c r="Z280" s="230"/>
    </row>
    <row r="281" spans="1:26" ht="21.75" x14ac:dyDescent="0.55000000000000004">
      <c r="A281" s="280"/>
      <c r="B281" s="230"/>
      <c r="C281" s="281"/>
      <c r="D281" s="281"/>
      <c r="E281" s="281"/>
      <c r="F281" s="282"/>
      <c r="G281" s="282"/>
      <c r="H281" s="230"/>
      <c r="I281" s="230"/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  <c r="V281" s="230"/>
      <c r="W281" s="230"/>
      <c r="X281" s="230"/>
      <c r="Y281" s="230"/>
      <c r="Z281" s="230"/>
    </row>
    <row r="282" spans="1:26" ht="21.75" x14ac:dyDescent="0.55000000000000004">
      <c r="A282" s="280"/>
      <c r="B282" s="230"/>
      <c r="C282" s="281"/>
      <c r="D282" s="281"/>
      <c r="E282" s="281"/>
      <c r="F282" s="282"/>
      <c r="G282" s="282"/>
      <c r="H282" s="230"/>
      <c r="I282" s="230"/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  <c r="V282" s="230"/>
      <c r="W282" s="230"/>
      <c r="X282" s="230"/>
      <c r="Y282" s="230"/>
      <c r="Z282" s="230"/>
    </row>
    <row r="283" spans="1:26" ht="21.75" x14ac:dyDescent="0.55000000000000004">
      <c r="A283" s="280"/>
      <c r="B283" s="230"/>
      <c r="C283" s="281"/>
      <c r="D283" s="281"/>
      <c r="E283" s="281"/>
      <c r="F283" s="282"/>
      <c r="G283" s="282"/>
      <c r="H283" s="230"/>
      <c r="I283" s="230"/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  <c r="V283" s="230"/>
      <c r="W283" s="230"/>
      <c r="X283" s="230"/>
      <c r="Y283" s="230"/>
      <c r="Z283" s="230"/>
    </row>
    <row r="284" spans="1:26" ht="21.75" x14ac:dyDescent="0.55000000000000004">
      <c r="A284" s="280"/>
      <c r="B284" s="230"/>
      <c r="C284" s="281"/>
      <c r="D284" s="281"/>
      <c r="E284" s="281"/>
      <c r="F284" s="282"/>
      <c r="G284" s="282"/>
      <c r="H284" s="230"/>
      <c r="I284" s="230"/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  <c r="V284" s="230"/>
      <c r="W284" s="230"/>
      <c r="X284" s="230"/>
      <c r="Y284" s="230"/>
      <c r="Z284" s="230"/>
    </row>
    <row r="285" spans="1:26" ht="21.75" x14ac:dyDescent="0.55000000000000004">
      <c r="A285" s="280"/>
      <c r="B285" s="230"/>
      <c r="C285" s="281"/>
      <c r="D285" s="281"/>
      <c r="E285" s="281"/>
      <c r="F285" s="282"/>
      <c r="G285" s="282"/>
      <c r="H285" s="230"/>
      <c r="I285" s="230"/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  <c r="V285" s="230"/>
      <c r="W285" s="230"/>
      <c r="X285" s="230"/>
      <c r="Y285" s="230"/>
      <c r="Z285" s="230"/>
    </row>
    <row r="286" spans="1:26" ht="21.75" x14ac:dyDescent="0.55000000000000004">
      <c r="A286" s="280"/>
      <c r="B286" s="230"/>
      <c r="C286" s="281"/>
      <c r="D286" s="281"/>
      <c r="E286" s="281"/>
      <c r="F286" s="282"/>
      <c r="G286" s="282"/>
      <c r="H286" s="230"/>
      <c r="I286" s="230"/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  <c r="V286" s="230"/>
      <c r="W286" s="230"/>
      <c r="X286" s="230"/>
      <c r="Y286" s="230"/>
      <c r="Z286" s="230"/>
    </row>
    <row r="287" spans="1:26" ht="21.75" x14ac:dyDescent="0.55000000000000004">
      <c r="A287" s="280"/>
      <c r="B287" s="230"/>
      <c r="C287" s="281"/>
      <c r="D287" s="281"/>
      <c r="E287" s="281"/>
      <c r="F287" s="282"/>
      <c r="G287" s="282"/>
      <c r="H287" s="230"/>
      <c r="I287" s="230"/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  <c r="V287" s="230"/>
      <c r="W287" s="230"/>
      <c r="X287" s="230"/>
      <c r="Y287" s="230"/>
      <c r="Z287" s="230"/>
    </row>
    <row r="288" spans="1:26" ht="21.75" x14ac:dyDescent="0.55000000000000004">
      <c r="A288" s="280"/>
      <c r="B288" s="230"/>
      <c r="C288" s="281"/>
      <c r="D288" s="281"/>
      <c r="E288" s="281"/>
      <c r="F288" s="282"/>
      <c r="G288" s="282"/>
      <c r="H288" s="230"/>
      <c r="I288" s="230"/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  <c r="V288" s="230"/>
      <c r="W288" s="230"/>
      <c r="X288" s="230"/>
      <c r="Y288" s="230"/>
      <c r="Z288" s="230"/>
    </row>
    <row r="289" spans="1:26" ht="21.75" x14ac:dyDescent="0.55000000000000004">
      <c r="A289" s="280"/>
      <c r="B289" s="230"/>
      <c r="C289" s="281"/>
      <c r="D289" s="281"/>
      <c r="E289" s="281"/>
      <c r="F289" s="282"/>
      <c r="G289" s="282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  <c r="V289" s="230"/>
      <c r="W289" s="230"/>
      <c r="X289" s="230"/>
      <c r="Y289" s="230"/>
      <c r="Z289" s="230"/>
    </row>
    <row r="290" spans="1:26" ht="21.75" x14ac:dyDescent="0.55000000000000004">
      <c r="A290" s="280"/>
      <c r="B290" s="230"/>
      <c r="C290" s="281"/>
      <c r="D290" s="281"/>
      <c r="E290" s="281"/>
      <c r="F290" s="282"/>
      <c r="G290" s="282"/>
      <c r="H290" s="230"/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  <c r="V290" s="230"/>
      <c r="W290" s="230"/>
      <c r="X290" s="230"/>
      <c r="Y290" s="230"/>
      <c r="Z290" s="230"/>
    </row>
    <row r="291" spans="1:26" ht="21.75" x14ac:dyDescent="0.55000000000000004">
      <c r="A291" s="280"/>
      <c r="B291" s="230"/>
      <c r="C291" s="281"/>
      <c r="D291" s="281"/>
      <c r="E291" s="281"/>
      <c r="F291" s="282"/>
      <c r="G291" s="282"/>
      <c r="H291" s="230"/>
      <c r="I291" s="230"/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  <c r="V291" s="230"/>
      <c r="W291" s="230"/>
      <c r="X291" s="230"/>
      <c r="Y291" s="230"/>
      <c r="Z291" s="230"/>
    </row>
    <row r="292" spans="1:26" ht="21.75" x14ac:dyDescent="0.55000000000000004">
      <c r="A292" s="280"/>
      <c r="B292" s="230"/>
      <c r="C292" s="281"/>
      <c r="D292" s="281"/>
      <c r="E292" s="281"/>
      <c r="F292" s="282"/>
      <c r="G292" s="282"/>
      <c r="H292" s="230"/>
      <c r="I292" s="230"/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  <c r="V292" s="230"/>
      <c r="W292" s="230"/>
      <c r="X292" s="230"/>
      <c r="Y292" s="230"/>
      <c r="Z292" s="230"/>
    </row>
    <row r="293" spans="1:26" ht="21.75" x14ac:dyDescent="0.55000000000000004">
      <c r="A293" s="280"/>
      <c r="B293" s="230"/>
      <c r="C293" s="281"/>
      <c r="D293" s="281"/>
      <c r="E293" s="281"/>
      <c r="F293" s="282"/>
      <c r="G293" s="282"/>
      <c r="H293" s="230"/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  <c r="V293" s="230"/>
      <c r="W293" s="230"/>
      <c r="X293" s="230"/>
      <c r="Y293" s="230"/>
      <c r="Z293" s="230"/>
    </row>
    <row r="294" spans="1:26" ht="21.75" x14ac:dyDescent="0.55000000000000004">
      <c r="A294" s="280"/>
      <c r="B294" s="230"/>
      <c r="C294" s="281"/>
      <c r="D294" s="281"/>
      <c r="E294" s="281"/>
      <c r="F294" s="282"/>
      <c r="G294" s="282"/>
      <c r="H294" s="230"/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  <c r="V294" s="230"/>
      <c r="W294" s="230"/>
      <c r="X294" s="230"/>
      <c r="Y294" s="230"/>
      <c r="Z294" s="230"/>
    </row>
    <row r="295" spans="1:26" ht="21.75" x14ac:dyDescent="0.55000000000000004">
      <c r="A295" s="280"/>
      <c r="B295" s="230"/>
      <c r="C295" s="281"/>
      <c r="D295" s="281"/>
      <c r="E295" s="281"/>
      <c r="F295" s="282"/>
      <c r="G295" s="282"/>
      <c r="H295" s="230"/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  <c r="V295" s="230"/>
      <c r="W295" s="230"/>
      <c r="X295" s="230"/>
      <c r="Y295" s="230"/>
      <c r="Z295" s="230"/>
    </row>
    <row r="296" spans="1:26" ht="21.75" x14ac:dyDescent="0.55000000000000004">
      <c r="A296" s="280"/>
      <c r="B296" s="230"/>
      <c r="C296" s="281"/>
      <c r="D296" s="281"/>
      <c r="E296" s="281"/>
      <c r="F296" s="282"/>
      <c r="G296" s="282"/>
      <c r="H296" s="230"/>
      <c r="I296" s="230"/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  <c r="V296" s="230"/>
      <c r="W296" s="230"/>
      <c r="X296" s="230"/>
      <c r="Y296" s="230"/>
      <c r="Z296" s="230"/>
    </row>
    <row r="297" spans="1:26" ht="21.75" x14ac:dyDescent="0.55000000000000004">
      <c r="A297" s="280"/>
      <c r="B297" s="230"/>
      <c r="C297" s="281"/>
      <c r="D297" s="281"/>
      <c r="E297" s="281"/>
      <c r="F297" s="282"/>
      <c r="G297" s="282"/>
      <c r="H297" s="230"/>
      <c r="I297" s="230"/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  <c r="V297" s="230"/>
      <c r="W297" s="230"/>
      <c r="X297" s="230"/>
      <c r="Y297" s="230"/>
      <c r="Z297" s="230"/>
    </row>
    <row r="298" spans="1:26" ht="21.75" x14ac:dyDescent="0.55000000000000004">
      <c r="A298" s="280"/>
      <c r="B298" s="230"/>
      <c r="C298" s="281"/>
      <c r="D298" s="281"/>
      <c r="E298" s="281"/>
      <c r="F298" s="282"/>
      <c r="G298" s="282"/>
      <c r="H298" s="230"/>
      <c r="I298" s="230"/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  <c r="V298" s="230"/>
      <c r="W298" s="230"/>
      <c r="X298" s="230"/>
      <c r="Y298" s="230"/>
      <c r="Z298" s="230"/>
    </row>
    <row r="299" spans="1:26" ht="21.75" x14ac:dyDescent="0.55000000000000004">
      <c r="A299" s="280"/>
      <c r="B299" s="230"/>
      <c r="C299" s="281"/>
      <c r="D299" s="281"/>
      <c r="E299" s="281"/>
      <c r="F299" s="282"/>
      <c r="G299" s="282"/>
      <c r="H299" s="230"/>
      <c r="I299" s="230"/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  <c r="V299" s="230"/>
      <c r="W299" s="230"/>
      <c r="X299" s="230"/>
      <c r="Y299" s="230"/>
      <c r="Z299" s="230"/>
    </row>
    <row r="300" spans="1:26" ht="21.75" x14ac:dyDescent="0.55000000000000004">
      <c r="A300" s="280"/>
      <c r="B300" s="230"/>
      <c r="C300" s="281"/>
      <c r="D300" s="281"/>
      <c r="E300" s="281"/>
      <c r="F300" s="282"/>
      <c r="G300" s="282"/>
      <c r="H300" s="230"/>
      <c r="I300" s="230"/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  <c r="V300" s="230"/>
      <c r="W300" s="230"/>
      <c r="X300" s="230"/>
      <c r="Y300" s="230"/>
      <c r="Z300" s="230"/>
    </row>
    <row r="301" spans="1:26" ht="21.75" x14ac:dyDescent="0.55000000000000004">
      <c r="A301" s="280"/>
      <c r="B301" s="230"/>
      <c r="C301" s="281"/>
      <c r="D301" s="281"/>
      <c r="E301" s="281"/>
      <c r="F301" s="282"/>
      <c r="G301" s="282"/>
      <c r="H301" s="230"/>
      <c r="I301" s="230"/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  <c r="V301" s="230"/>
      <c r="W301" s="230"/>
      <c r="X301" s="230"/>
      <c r="Y301" s="230"/>
      <c r="Z301" s="230"/>
    </row>
    <row r="302" spans="1:26" ht="21.75" x14ac:dyDescent="0.55000000000000004">
      <c r="A302" s="280"/>
      <c r="B302" s="230"/>
      <c r="C302" s="281"/>
      <c r="D302" s="281"/>
      <c r="E302" s="281"/>
      <c r="F302" s="282"/>
      <c r="G302" s="282"/>
      <c r="H302" s="230"/>
      <c r="I302" s="230"/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  <c r="V302" s="230"/>
      <c r="W302" s="230"/>
      <c r="X302" s="230"/>
      <c r="Y302" s="230"/>
      <c r="Z302" s="230"/>
    </row>
    <row r="303" spans="1:26" ht="21.75" x14ac:dyDescent="0.55000000000000004">
      <c r="A303" s="280"/>
      <c r="B303" s="230"/>
      <c r="C303" s="281"/>
      <c r="D303" s="281"/>
      <c r="E303" s="281"/>
      <c r="F303" s="282"/>
      <c r="G303" s="282"/>
      <c r="H303" s="230"/>
      <c r="I303" s="230"/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  <c r="V303" s="230"/>
      <c r="W303" s="230"/>
      <c r="X303" s="230"/>
      <c r="Y303" s="230"/>
      <c r="Z303" s="230"/>
    </row>
    <row r="304" spans="1:26" ht="21.75" x14ac:dyDescent="0.55000000000000004">
      <c r="A304" s="280"/>
      <c r="B304" s="230"/>
      <c r="C304" s="281"/>
      <c r="D304" s="281"/>
      <c r="E304" s="281"/>
      <c r="F304" s="282"/>
      <c r="G304" s="282"/>
      <c r="H304" s="230"/>
      <c r="I304" s="230"/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  <c r="V304" s="230"/>
      <c r="W304" s="230"/>
      <c r="X304" s="230"/>
      <c r="Y304" s="230"/>
      <c r="Z304" s="230"/>
    </row>
    <row r="305" spans="1:26" ht="21.75" x14ac:dyDescent="0.55000000000000004">
      <c r="A305" s="280"/>
      <c r="B305" s="230"/>
      <c r="C305" s="281"/>
      <c r="D305" s="281"/>
      <c r="E305" s="281"/>
      <c r="F305" s="282"/>
      <c r="G305" s="282"/>
      <c r="H305" s="230"/>
      <c r="I305" s="230"/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  <c r="V305" s="230"/>
      <c r="W305" s="230"/>
      <c r="X305" s="230"/>
      <c r="Y305" s="230"/>
      <c r="Z305" s="230"/>
    </row>
    <row r="306" spans="1:26" ht="21.75" x14ac:dyDescent="0.55000000000000004">
      <c r="A306" s="280"/>
      <c r="B306" s="230"/>
      <c r="C306" s="281"/>
      <c r="D306" s="281"/>
      <c r="E306" s="281"/>
      <c r="F306" s="282"/>
      <c r="G306" s="282"/>
      <c r="H306" s="230"/>
      <c r="I306" s="230"/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  <c r="V306" s="230"/>
      <c r="W306" s="230"/>
      <c r="X306" s="230"/>
      <c r="Y306" s="230"/>
      <c r="Z306" s="230"/>
    </row>
    <row r="307" spans="1:26" ht="21.75" x14ac:dyDescent="0.55000000000000004">
      <c r="A307" s="280"/>
      <c r="B307" s="230"/>
      <c r="C307" s="281"/>
      <c r="D307" s="281"/>
      <c r="E307" s="281"/>
      <c r="F307" s="282"/>
      <c r="G307" s="282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30"/>
      <c r="Z307" s="230"/>
    </row>
    <row r="308" spans="1:26" ht="21.75" x14ac:dyDescent="0.55000000000000004">
      <c r="A308" s="280"/>
      <c r="B308" s="230"/>
      <c r="C308" s="281"/>
      <c r="D308" s="281"/>
      <c r="E308" s="281"/>
      <c r="F308" s="282"/>
      <c r="G308" s="282"/>
      <c r="H308" s="230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</row>
    <row r="309" spans="1:26" ht="21.75" x14ac:dyDescent="0.55000000000000004">
      <c r="A309" s="280"/>
      <c r="B309" s="230"/>
      <c r="C309" s="281"/>
      <c r="D309" s="281"/>
      <c r="E309" s="281"/>
      <c r="F309" s="282"/>
      <c r="G309" s="282"/>
      <c r="H309" s="230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30"/>
      <c r="Z309" s="230"/>
    </row>
    <row r="310" spans="1:26" ht="21.75" x14ac:dyDescent="0.55000000000000004">
      <c r="A310" s="280"/>
      <c r="B310" s="230"/>
      <c r="C310" s="281"/>
      <c r="D310" s="281"/>
      <c r="E310" s="281"/>
      <c r="F310" s="282"/>
      <c r="G310" s="282"/>
      <c r="H310" s="230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  <c r="V310" s="230"/>
      <c r="W310" s="230"/>
      <c r="X310" s="230"/>
      <c r="Y310" s="230"/>
      <c r="Z310" s="230"/>
    </row>
    <row r="311" spans="1:26" ht="21.75" x14ac:dyDescent="0.55000000000000004">
      <c r="A311" s="280"/>
      <c r="B311" s="230"/>
      <c r="C311" s="281"/>
      <c r="D311" s="281"/>
      <c r="E311" s="281"/>
      <c r="F311" s="282"/>
      <c r="G311" s="282"/>
      <c r="H311" s="230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  <c r="V311" s="230"/>
      <c r="W311" s="230"/>
      <c r="X311" s="230"/>
      <c r="Y311" s="230"/>
      <c r="Z311" s="230"/>
    </row>
    <row r="312" spans="1:26" ht="21.75" x14ac:dyDescent="0.55000000000000004">
      <c r="A312" s="280"/>
      <c r="B312" s="230"/>
      <c r="C312" s="281"/>
      <c r="D312" s="281"/>
      <c r="E312" s="281"/>
      <c r="F312" s="282"/>
      <c r="G312" s="282"/>
      <c r="H312" s="230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  <c r="V312" s="230"/>
      <c r="W312" s="230"/>
      <c r="X312" s="230"/>
      <c r="Y312" s="230"/>
      <c r="Z312" s="230"/>
    </row>
    <row r="313" spans="1:26" ht="21.75" x14ac:dyDescent="0.55000000000000004">
      <c r="A313" s="280"/>
      <c r="B313" s="230"/>
      <c r="C313" s="281"/>
      <c r="D313" s="281"/>
      <c r="E313" s="281"/>
      <c r="F313" s="282"/>
      <c r="G313" s="282"/>
      <c r="H313" s="230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  <c r="V313" s="230"/>
      <c r="W313" s="230"/>
      <c r="X313" s="230"/>
      <c r="Y313" s="230"/>
      <c r="Z313" s="230"/>
    </row>
    <row r="314" spans="1:26" ht="21.75" x14ac:dyDescent="0.55000000000000004">
      <c r="A314" s="280"/>
      <c r="B314" s="230"/>
      <c r="C314" s="281"/>
      <c r="D314" s="281"/>
      <c r="E314" s="281"/>
      <c r="F314" s="282"/>
      <c r="G314" s="282"/>
      <c r="H314" s="230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  <c r="V314" s="230"/>
      <c r="W314" s="230"/>
      <c r="X314" s="230"/>
      <c r="Y314" s="230"/>
      <c r="Z314" s="230"/>
    </row>
    <row r="315" spans="1:26" ht="21.75" x14ac:dyDescent="0.55000000000000004">
      <c r="A315" s="280"/>
      <c r="B315" s="230"/>
      <c r="C315" s="281"/>
      <c r="D315" s="281"/>
      <c r="E315" s="281"/>
      <c r="F315" s="282"/>
      <c r="G315" s="282"/>
      <c r="H315" s="230"/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  <c r="V315" s="230"/>
      <c r="W315" s="230"/>
      <c r="X315" s="230"/>
      <c r="Y315" s="230"/>
      <c r="Z315" s="230"/>
    </row>
    <row r="316" spans="1:26" ht="21.75" x14ac:dyDescent="0.55000000000000004">
      <c r="A316" s="280"/>
      <c r="B316" s="230"/>
      <c r="C316" s="281"/>
      <c r="D316" s="281"/>
      <c r="E316" s="281"/>
      <c r="F316" s="282"/>
      <c r="G316" s="282"/>
      <c r="H316" s="230"/>
      <c r="I316" s="230"/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  <c r="V316" s="230"/>
      <c r="W316" s="230"/>
      <c r="X316" s="230"/>
      <c r="Y316" s="230"/>
      <c r="Z316" s="230"/>
    </row>
    <row r="317" spans="1:26" ht="21.75" x14ac:dyDescent="0.55000000000000004">
      <c r="A317" s="280"/>
      <c r="B317" s="230"/>
      <c r="C317" s="281"/>
      <c r="D317" s="281"/>
      <c r="E317" s="281"/>
      <c r="F317" s="282"/>
      <c r="G317" s="282"/>
      <c r="H317" s="230"/>
      <c r="I317" s="230"/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  <c r="V317" s="230"/>
      <c r="W317" s="230"/>
      <c r="X317" s="230"/>
      <c r="Y317" s="230"/>
      <c r="Z317" s="230"/>
    </row>
    <row r="318" spans="1:26" ht="21.75" x14ac:dyDescent="0.55000000000000004">
      <c r="A318" s="280"/>
      <c r="B318" s="230"/>
      <c r="C318" s="281"/>
      <c r="D318" s="281"/>
      <c r="E318" s="281"/>
      <c r="F318" s="282"/>
      <c r="G318" s="282"/>
      <c r="H318" s="230"/>
      <c r="I318" s="230"/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  <c r="V318" s="230"/>
      <c r="W318" s="230"/>
      <c r="X318" s="230"/>
      <c r="Y318" s="230"/>
      <c r="Z318" s="230"/>
    </row>
    <row r="319" spans="1:26" ht="21.75" x14ac:dyDescent="0.55000000000000004">
      <c r="A319" s="280"/>
      <c r="B319" s="230"/>
      <c r="C319" s="281"/>
      <c r="D319" s="281"/>
      <c r="E319" s="281"/>
      <c r="F319" s="282"/>
      <c r="G319" s="282"/>
      <c r="H319" s="230"/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  <c r="V319" s="230"/>
      <c r="W319" s="230"/>
      <c r="X319" s="230"/>
      <c r="Y319" s="230"/>
      <c r="Z319" s="230"/>
    </row>
    <row r="320" spans="1:26" ht="21.75" x14ac:dyDescent="0.55000000000000004">
      <c r="A320" s="280"/>
      <c r="B320" s="230"/>
      <c r="C320" s="281"/>
      <c r="D320" s="281"/>
      <c r="E320" s="281"/>
      <c r="F320" s="282"/>
      <c r="G320" s="282"/>
      <c r="H320" s="230"/>
      <c r="I320" s="230"/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  <c r="V320" s="230"/>
      <c r="W320" s="230"/>
      <c r="X320" s="230"/>
      <c r="Y320" s="230"/>
      <c r="Z320" s="230"/>
    </row>
    <row r="321" spans="1:26" ht="21.75" x14ac:dyDescent="0.55000000000000004">
      <c r="A321" s="280"/>
      <c r="B321" s="230"/>
      <c r="C321" s="281"/>
      <c r="D321" s="281"/>
      <c r="E321" s="281"/>
      <c r="F321" s="282"/>
      <c r="G321" s="282"/>
      <c r="H321" s="230"/>
      <c r="I321" s="230"/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  <c r="V321" s="230"/>
      <c r="W321" s="230"/>
      <c r="X321" s="230"/>
      <c r="Y321" s="230"/>
      <c r="Z321" s="230"/>
    </row>
    <row r="322" spans="1:26" ht="21.75" x14ac:dyDescent="0.55000000000000004">
      <c r="A322" s="280"/>
      <c r="B322" s="230"/>
      <c r="C322" s="281"/>
      <c r="D322" s="281"/>
      <c r="E322" s="281"/>
      <c r="F322" s="282"/>
      <c r="G322" s="282"/>
      <c r="H322" s="230"/>
      <c r="I322" s="230"/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  <c r="V322" s="230"/>
      <c r="W322" s="230"/>
      <c r="X322" s="230"/>
      <c r="Y322" s="230"/>
      <c r="Z322" s="230"/>
    </row>
    <row r="323" spans="1:26" ht="21.75" x14ac:dyDescent="0.55000000000000004">
      <c r="A323" s="280"/>
      <c r="B323" s="230"/>
      <c r="C323" s="281"/>
      <c r="D323" s="281"/>
      <c r="E323" s="281"/>
      <c r="F323" s="282"/>
      <c r="G323" s="282"/>
      <c r="H323" s="230"/>
      <c r="I323" s="230"/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  <c r="V323" s="230"/>
      <c r="W323" s="230"/>
      <c r="X323" s="230"/>
      <c r="Y323" s="230"/>
      <c r="Z323" s="230"/>
    </row>
    <row r="324" spans="1:26" ht="21.75" x14ac:dyDescent="0.55000000000000004">
      <c r="A324" s="280"/>
      <c r="B324" s="230"/>
      <c r="C324" s="281"/>
      <c r="D324" s="281"/>
      <c r="E324" s="281"/>
      <c r="F324" s="282"/>
      <c r="G324" s="282"/>
      <c r="H324" s="230"/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  <c r="V324" s="230"/>
      <c r="W324" s="230"/>
      <c r="X324" s="230"/>
      <c r="Y324" s="230"/>
      <c r="Z324" s="230"/>
    </row>
    <row r="325" spans="1:26" ht="21.75" x14ac:dyDescent="0.55000000000000004">
      <c r="A325" s="280"/>
      <c r="B325" s="230"/>
      <c r="C325" s="281"/>
      <c r="D325" s="281"/>
      <c r="E325" s="281"/>
      <c r="F325" s="282"/>
      <c r="G325" s="282"/>
      <c r="H325" s="230"/>
      <c r="I325" s="230"/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  <c r="V325" s="230"/>
      <c r="W325" s="230"/>
      <c r="X325" s="230"/>
      <c r="Y325" s="230"/>
      <c r="Z325" s="230"/>
    </row>
    <row r="326" spans="1:26" ht="21.75" x14ac:dyDescent="0.55000000000000004">
      <c r="A326" s="280"/>
      <c r="B326" s="230"/>
      <c r="C326" s="281"/>
      <c r="D326" s="281"/>
      <c r="E326" s="281"/>
      <c r="F326" s="282"/>
      <c r="G326" s="282"/>
      <c r="H326" s="230"/>
      <c r="I326" s="230"/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  <c r="V326" s="230"/>
      <c r="W326" s="230"/>
      <c r="X326" s="230"/>
      <c r="Y326" s="230"/>
      <c r="Z326" s="230"/>
    </row>
    <row r="327" spans="1:26" ht="21.75" x14ac:dyDescent="0.55000000000000004">
      <c r="A327" s="280"/>
      <c r="B327" s="230"/>
      <c r="C327" s="281"/>
      <c r="D327" s="281"/>
      <c r="E327" s="281"/>
      <c r="F327" s="282"/>
      <c r="G327" s="282"/>
      <c r="H327" s="230"/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  <c r="V327" s="230"/>
      <c r="W327" s="230"/>
      <c r="X327" s="230"/>
      <c r="Y327" s="230"/>
      <c r="Z327" s="230"/>
    </row>
    <row r="328" spans="1:26" ht="21.75" x14ac:dyDescent="0.55000000000000004">
      <c r="A328" s="280"/>
      <c r="B328" s="230"/>
      <c r="C328" s="281"/>
      <c r="D328" s="281"/>
      <c r="E328" s="281"/>
      <c r="F328" s="282"/>
      <c r="G328" s="282"/>
      <c r="H328" s="230"/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  <c r="V328" s="230"/>
      <c r="W328" s="230"/>
      <c r="X328" s="230"/>
      <c r="Y328" s="230"/>
      <c r="Z328" s="230"/>
    </row>
    <row r="329" spans="1:26" ht="21.75" x14ac:dyDescent="0.55000000000000004">
      <c r="A329" s="280"/>
      <c r="B329" s="230"/>
      <c r="C329" s="281"/>
      <c r="D329" s="281"/>
      <c r="E329" s="281"/>
      <c r="F329" s="282"/>
      <c r="G329" s="282"/>
      <c r="H329" s="230"/>
      <c r="I329" s="230"/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  <c r="V329" s="230"/>
      <c r="W329" s="230"/>
      <c r="X329" s="230"/>
      <c r="Y329" s="230"/>
      <c r="Z329" s="230"/>
    </row>
    <row r="330" spans="1:26" ht="21.75" x14ac:dyDescent="0.55000000000000004">
      <c r="A330" s="280"/>
      <c r="B330" s="230"/>
      <c r="C330" s="281"/>
      <c r="D330" s="281"/>
      <c r="E330" s="281"/>
      <c r="F330" s="282"/>
      <c r="G330" s="282"/>
      <c r="H330" s="230"/>
      <c r="I330" s="230"/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  <c r="V330" s="230"/>
      <c r="W330" s="230"/>
      <c r="X330" s="230"/>
      <c r="Y330" s="230"/>
      <c r="Z330" s="230"/>
    </row>
    <row r="331" spans="1:26" ht="21.75" x14ac:dyDescent="0.55000000000000004">
      <c r="A331" s="280"/>
      <c r="B331" s="230"/>
      <c r="C331" s="281"/>
      <c r="D331" s="281"/>
      <c r="E331" s="281"/>
      <c r="F331" s="282"/>
      <c r="G331" s="282"/>
      <c r="H331" s="230"/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  <c r="V331" s="230"/>
      <c r="W331" s="230"/>
      <c r="X331" s="230"/>
      <c r="Y331" s="230"/>
      <c r="Z331" s="230"/>
    </row>
    <row r="332" spans="1:26" ht="21.75" x14ac:dyDescent="0.55000000000000004">
      <c r="A332" s="280"/>
      <c r="B332" s="230"/>
      <c r="C332" s="281"/>
      <c r="D332" s="281"/>
      <c r="E332" s="281"/>
      <c r="F332" s="282"/>
      <c r="G332" s="282"/>
      <c r="H332" s="230"/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  <c r="V332" s="230"/>
      <c r="W332" s="230"/>
      <c r="X332" s="230"/>
      <c r="Y332" s="230"/>
      <c r="Z332" s="230"/>
    </row>
    <row r="333" spans="1:26" ht="21.75" x14ac:dyDescent="0.55000000000000004">
      <c r="A333" s="280"/>
      <c r="B333" s="230"/>
      <c r="C333" s="281"/>
      <c r="D333" s="281"/>
      <c r="E333" s="281"/>
      <c r="F333" s="282"/>
      <c r="G333" s="282"/>
      <c r="H333" s="230"/>
      <c r="I333" s="230"/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  <c r="V333" s="230"/>
      <c r="W333" s="230"/>
      <c r="X333" s="230"/>
      <c r="Y333" s="230"/>
      <c r="Z333" s="230"/>
    </row>
    <row r="334" spans="1:26" ht="21.75" x14ac:dyDescent="0.55000000000000004">
      <c r="A334" s="280"/>
      <c r="B334" s="230"/>
      <c r="C334" s="281"/>
      <c r="D334" s="281"/>
      <c r="E334" s="281"/>
      <c r="F334" s="282"/>
      <c r="G334" s="282"/>
      <c r="H334" s="230"/>
      <c r="I334" s="230"/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  <c r="V334" s="230"/>
      <c r="W334" s="230"/>
      <c r="X334" s="230"/>
      <c r="Y334" s="230"/>
      <c r="Z334" s="230"/>
    </row>
    <row r="335" spans="1:26" ht="21.75" x14ac:dyDescent="0.55000000000000004">
      <c r="A335" s="280"/>
      <c r="B335" s="230"/>
      <c r="C335" s="281"/>
      <c r="D335" s="281"/>
      <c r="E335" s="281"/>
      <c r="F335" s="282"/>
      <c r="G335" s="282"/>
      <c r="H335" s="230"/>
      <c r="I335" s="230"/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  <c r="V335" s="230"/>
      <c r="W335" s="230"/>
      <c r="X335" s="230"/>
      <c r="Y335" s="230"/>
      <c r="Z335" s="230"/>
    </row>
    <row r="336" spans="1:26" ht="21.75" x14ac:dyDescent="0.55000000000000004">
      <c r="A336" s="280"/>
      <c r="B336" s="230"/>
      <c r="C336" s="281"/>
      <c r="D336" s="281"/>
      <c r="E336" s="281"/>
      <c r="F336" s="282"/>
      <c r="G336" s="282"/>
      <c r="H336" s="230"/>
      <c r="I336" s="230"/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  <c r="V336" s="230"/>
      <c r="W336" s="230"/>
      <c r="X336" s="230"/>
      <c r="Y336" s="230"/>
      <c r="Z336" s="230"/>
    </row>
    <row r="337" spans="1:26" ht="21.75" x14ac:dyDescent="0.55000000000000004">
      <c r="A337" s="280"/>
      <c r="B337" s="230"/>
      <c r="C337" s="281"/>
      <c r="D337" s="281"/>
      <c r="E337" s="281"/>
      <c r="F337" s="282"/>
      <c r="G337" s="282"/>
      <c r="H337" s="230"/>
      <c r="I337" s="230"/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  <c r="V337" s="230"/>
      <c r="W337" s="230"/>
      <c r="X337" s="230"/>
      <c r="Y337" s="230"/>
      <c r="Z337" s="230"/>
    </row>
    <row r="338" spans="1:26" ht="21.75" x14ac:dyDescent="0.55000000000000004">
      <c r="A338" s="280"/>
      <c r="B338" s="230"/>
      <c r="C338" s="281"/>
      <c r="D338" s="281"/>
      <c r="E338" s="281"/>
      <c r="F338" s="282"/>
      <c r="G338" s="282"/>
      <c r="H338" s="230"/>
      <c r="I338" s="230"/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  <c r="V338" s="230"/>
      <c r="W338" s="230"/>
      <c r="X338" s="230"/>
      <c r="Y338" s="230"/>
      <c r="Z338" s="230"/>
    </row>
    <row r="339" spans="1:26" ht="21.75" x14ac:dyDescent="0.55000000000000004">
      <c r="A339" s="280"/>
      <c r="B339" s="230"/>
      <c r="C339" s="281"/>
      <c r="D339" s="281"/>
      <c r="E339" s="281"/>
      <c r="F339" s="282"/>
      <c r="G339" s="282"/>
      <c r="H339" s="230"/>
      <c r="I339" s="230"/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  <c r="V339" s="230"/>
      <c r="W339" s="230"/>
      <c r="X339" s="230"/>
      <c r="Y339" s="230"/>
      <c r="Z339" s="230"/>
    </row>
    <row r="340" spans="1:26" ht="21.75" x14ac:dyDescent="0.55000000000000004">
      <c r="A340" s="280"/>
      <c r="B340" s="230"/>
      <c r="C340" s="281"/>
      <c r="D340" s="281"/>
      <c r="E340" s="281"/>
      <c r="F340" s="282"/>
      <c r="G340" s="282"/>
      <c r="H340" s="230"/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  <c r="V340" s="230"/>
      <c r="W340" s="230"/>
      <c r="X340" s="230"/>
      <c r="Y340" s="230"/>
      <c r="Z340" s="230"/>
    </row>
    <row r="341" spans="1:26" ht="21.75" x14ac:dyDescent="0.55000000000000004">
      <c r="A341" s="280"/>
      <c r="B341" s="230"/>
      <c r="C341" s="281"/>
      <c r="D341" s="281"/>
      <c r="E341" s="281"/>
      <c r="F341" s="282"/>
      <c r="G341" s="282"/>
      <c r="H341" s="230"/>
      <c r="I341" s="230"/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  <c r="V341" s="230"/>
      <c r="W341" s="230"/>
      <c r="X341" s="230"/>
      <c r="Y341" s="230"/>
      <c r="Z341" s="230"/>
    </row>
    <row r="342" spans="1:26" ht="21.75" x14ac:dyDescent="0.55000000000000004">
      <c r="A342" s="280"/>
      <c r="B342" s="230"/>
      <c r="C342" s="281"/>
      <c r="D342" s="281"/>
      <c r="E342" s="281"/>
      <c r="F342" s="282"/>
      <c r="G342" s="282"/>
      <c r="H342" s="230"/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  <c r="V342" s="230"/>
      <c r="W342" s="230"/>
      <c r="X342" s="230"/>
      <c r="Y342" s="230"/>
      <c r="Z342" s="230"/>
    </row>
    <row r="343" spans="1:26" ht="21.75" x14ac:dyDescent="0.55000000000000004">
      <c r="A343" s="280"/>
      <c r="B343" s="230"/>
      <c r="C343" s="281"/>
      <c r="D343" s="281"/>
      <c r="E343" s="281"/>
      <c r="F343" s="282"/>
      <c r="G343" s="282"/>
      <c r="H343" s="230"/>
      <c r="I343" s="230"/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  <c r="V343" s="230"/>
      <c r="W343" s="230"/>
      <c r="X343" s="230"/>
      <c r="Y343" s="230"/>
      <c r="Z343" s="230"/>
    </row>
    <row r="344" spans="1:26" ht="21.75" x14ac:dyDescent="0.55000000000000004">
      <c r="A344" s="280"/>
      <c r="B344" s="230"/>
      <c r="C344" s="281"/>
      <c r="D344" s="281"/>
      <c r="E344" s="281"/>
      <c r="F344" s="282"/>
      <c r="G344" s="282"/>
      <c r="H344" s="230"/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  <c r="V344" s="230"/>
      <c r="W344" s="230"/>
      <c r="X344" s="230"/>
      <c r="Y344" s="230"/>
      <c r="Z344" s="230"/>
    </row>
    <row r="345" spans="1:26" ht="21.75" x14ac:dyDescent="0.55000000000000004">
      <c r="A345" s="280"/>
      <c r="B345" s="230"/>
      <c r="C345" s="281"/>
      <c r="D345" s="281"/>
      <c r="E345" s="281"/>
      <c r="F345" s="282"/>
      <c r="G345" s="282"/>
      <c r="H345" s="230"/>
      <c r="I345" s="230"/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  <c r="V345" s="230"/>
      <c r="W345" s="230"/>
      <c r="X345" s="230"/>
      <c r="Y345" s="230"/>
      <c r="Z345" s="230"/>
    </row>
    <row r="346" spans="1:26" ht="21.75" x14ac:dyDescent="0.55000000000000004">
      <c r="A346" s="280"/>
      <c r="B346" s="230"/>
      <c r="C346" s="281"/>
      <c r="D346" s="281"/>
      <c r="E346" s="281"/>
      <c r="F346" s="282"/>
      <c r="G346" s="282"/>
      <c r="H346" s="230"/>
      <c r="I346" s="230"/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  <c r="V346" s="230"/>
      <c r="W346" s="230"/>
      <c r="X346" s="230"/>
      <c r="Y346" s="230"/>
      <c r="Z346" s="230"/>
    </row>
    <row r="347" spans="1:26" ht="21.75" x14ac:dyDescent="0.55000000000000004">
      <c r="A347" s="280"/>
      <c r="B347" s="230"/>
      <c r="C347" s="281"/>
      <c r="D347" s="281"/>
      <c r="E347" s="281"/>
      <c r="F347" s="282"/>
      <c r="G347" s="282"/>
      <c r="H347" s="230"/>
      <c r="I347" s="230"/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  <c r="V347" s="230"/>
      <c r="W347" s="230"/>
      <c r="X347" s="230"/>
      <c r="Y347" s="230"/>
      <c r="Z347" s="230"/>
    </row>
    <row r="348" spans="1:26" ht="21.75" x14ac:dyDescent="0.55000000000000004">
      <c r="A348" s="280"/>
      <c r="B348" s="230"/>
      <c r="C348" s="281"/>
      <c r="D348" s="281"/>
      <c r="E348" s="281"/>
      <c r="F348" s="282"/>
      <c r="G348" s="282"/>
      <c r="H348" s="230"/>
      <c r="I348" s="230"/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  <c r="V348" s="230"/>
      <c r="W348" s="230"/>
      <c r="X348" s="230"/>
      <c r="Y348" s="230"/>
      <c r="Z348" s="230"/>
    </row>
    <row r="349" spans="1:26" ht="21.75" x14ac:dyDescent="0.55000000000000004">
      <c r="A349" s="280"/>
      <c r="B349" s="230"/>
      <c r="C349" s="281"/>
      <c r="D349" s="281"/>
      <c r="E349" s="281"/>
      <c r="F349" s="282"/>
      <c r="G349" s="282"/>
      <c r="H349" s="230"/>
      <c r="I349" s="230"/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  <c r="V349" s="230"/>
      <c r="W349" s="230"/>
      <c r="X349" s="230"/>
      <c r="Y349" s="230"/>
      <c r="Z349" s="230"/>
    </row>
    <row r="350" spans="1:26" ht="21.75" x14ac:dyDescent="0.55000000000000004">
      <c r="A350" s="280"/>
      <c r="B350" s="230"/>
      <c r="C350" s="281"/>
      <c r="D350" s="281"/>
      <c r="E350" s="281"/>
      <c r="F350" s="282"/>
      <c r="G350" s="282"/>
      <c r="H350" s="230"/>
      <c r="I350" s="230"/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  <c r="V350" s="230"/>
      <c r="W350" s="230"/>
      <c r="X350" s="230"/>
      <c r="Y350" s="230"/>
      <c r="Z350" s="230"/>
    </row>
    <row r="351" spans="1:26" ht="21.75" x14ac:dyDescent="0.55000000000000004">
      <c r="A351" s="280"/>
      <c r="B351" s="230"/>
      <c r="C351" s="281"/>
      <c r="D351" s="281"/>
      <c r="E351" s="281"/>
      <c r="F351" s="282"/>
      <c r="G351" s="282"/>
      <c r="H351" s="230"/>
      <c r="I351" s="230"/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  <c r="V351" s="230"/>
      <c r="W351" s="230"/>
      <c r="X351" s="230"/>
      <c r="Y351" s="230"/>
      <c r="Z351" s="230"/>
    </row>
    <row r="352" spans="1:26" ht="21.75" x14ac:dyDescent="0.55000000000000004">
      <c r="A352" s="280"/>
      <c r="B352" s="230"/>
      <c r="C352" s="281"/>
      <c r="D352" s="281"/>
      <c r="E352" s="281"/>
      <c r="F352" s="282"/>
      <c r="G352" s="282"/>
      <c r="H352" s="230"/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  <c r="V352" s="230"/>
      <c r="W352" s="230"/>
      <c r="X352" s="230"/>
      <c r="Y352" s="230"/>
      <c r="Z352" s="230"/>
    </row>
    <row r="353" spans="1:26" ht="21.75" x14ac:dyDescent="0.55000000000000004">
      <c r="A353" s="280"/>
      <c r="B353" s="230"/>
      <c r="C353" s="281"/>
      <c r="D353" s="281"/>
      <c r="E353" s="281"/>
      <c r="F353" s="282"/>
      <c r="G353" s="282"/>
      <c r="H353" s="230"/>
      <c r="I353" s="230"/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  <c r="V353" s="230"/>
      <c r="W353" s="230"/>
      <c r="X353" s="230"/>
      <c r="Y353" s="230"/>
      <c r="Z353" s="230"/>
    </row>
    <row r="354" spans="1:26" ht="21.75" x14ac:dyDescent="0.55000000000000004">
      <c r="A354" s="280"/>
      <c r="B354" s="230"/>
      <c r="C354" s="281"/>
      <c r="D354" s="281"/>
      <c r="E354" s="281"/>
      <c r="F354" s="282"/>
      <c r="G354" s="282"/>
      <c r="H354" s="230"/>
      <c r="I354" s="230"/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  <c r="V354" s="230"/>
      <c r="W354" s="230"/>
      <c r="X354" s="230"/>
      <c r="Y354" s="230"/>
      <c r="Z354" s="230"/>
    </row>
    <row r="355" spans="1:26" ht="21.75" x14ac:dyDescent="0.55000000000000004">
      <c r="A355" s="280"/>
      <c r="B355" s="230"/>
      <c r="C355" s="281"/>
      <c r="D355" s="281"/>
      <c r="E355" s="281"/>
      <c r="F355" s="282"/>
      <c r="G355" s="282"/>
      <c r="H355" s="230"/>
      <c r="I355" s="230"/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  <c r="V355" s="230"/>
      <c r="W355" s="230"/>
      <c r="X355" s="230"/>
      <c r="Y355" s="230"/>
      <c r="Z355" s="230"/>
    </row>
    <row r="356" spans="1:26" ht="21.75" x14ac:dyDescent="0.55000000000000004">
      <c r="A356" s="280"/>
      <c r="B356" s="230"/>
      <c r="C356" s="281"/>
      <c r="D356" s="281"/>
      <c r="E356" s="281"/>
      <c r="F356" s="282"/>
      <c r="G356" s="282"/>
      <c r="H356" s="230"/>
      <c r="I356" s="230"/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  <c r="V356" s="230"/>
      <c r="W356" s="230"/>
      <c r="X356" s="230"/>
      <c r="Y356" s="230"/>
      <c r="Z356" s="230"/>
    </row>
    <row r="357" spans="1:26" ht="21.75" x14ac:dyDescent="0.55000000000000004">
      <c r="A357" s="280"/>
      <c r="B357" s="230"/>
      <c r="C357" s="281"/>
      <c r="D357" s="281"/>
      <c r="E357" s="281"/>
      <c r="F357" s="282"/>
      <c r="G357" s="282"/>
      <c r="H357" s="230"/>
      <c r="I357" s="230"/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  <c r="V357" s="230"/>
      <c r="W357" s="230"/>
      <c r="X357" s="230"/>
      <c r="Y357" s="230"/>
      <c r="Z357" s="230"/>
    </row>
    <row r="358" spans="1:26" ht="21.75" x14ac:dyDescent="0.55000000000000004">
      <c r="A358" s="280"/>
      <c r="B358" s="230"/>
      <c r="C358" s="281"/>
      <c r="D358" s="281"/>
      <c r="E358" s="281"/>
      <c r="F358" s="282"/>
      <c r="G358" s="282"/>
      <c r="H358" s="230"/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  <c r="V358" s="230"/>
      <c r="W358" s="230"/>
      <c r="X358" s="230"/>
      <c r="Y358" s="230"/>
      <c r="Z358" s="230"/>
    </row>
    <row r="359" spans="1:26" ht="21.75" x14ac:dyDescent="0.55000000000000004">
      <c r="A359" s="280"/>
      <c r="B359" s="230"/>
      <c r="C359" s="281"/>
      <c r="D359" s="281"/>
      <c r="E359" s="281"/>
      <c r="F359" s="282"/>
      <c r="G359" s="282"/>
      <c r="H359" s="230"/>
      <c r="I359" s="230"/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  <c r="V359" s="230"/>
      <c r="W359" s="230"/>
      <c r="X359" s="230"/>
      <c r="Y359" s="230"/>
      <c r="Z359" s="230"/>
    </row>
    <row r="360" spans="1:26" ht="21.75" x14ac:dyDescent="0.55000000000000004">
      <c r="A360" s="280"/>
      <c r="B360" s="230"/>
      <c r="C360" s="281"/>
      <c r="D360" s="281"/>
      <c r="E360" s="281"/>
      <c r="F360" s="282"/>
      <c r="G360" s="282"/>
      <c r="H360" s="230"/>
      <c r="I360" s="230"/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  <c r="V360" s="230"/>
      <c r="W360" s="230"/>
      <c r="X360" s="230"/>
      <c r="Y360" s="230"/>
      <c r="Z360" s="230"/>
    </row>
    <row r="361" spans="1:26" ht="21.75" x14ac:dyDescent="0.55000000000000004">
      <c r="A361" s="280"/>
      <c r="B361" s="230"/>
      <c r="C361" s="281"/>
      <c r="D361" s="281"/>
      <c r="E361" s="281"/>
      <c r="F361" s="282"/>
      <c r="G361" s="282"/>
      <c r="H361" s="230"/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  <c r="V361" s="230"/>
      <c r="W361" s="230"/>
      <c r="X361" s="230"/>
      <c r="Y361" s="230"/>
      <c r="Z361" s="230"/>
    </row>
    <row r="362" spans="1:26" ht="21.75" x14ac:dyDescent="0.55000000000000004">
      <c r="A362" s="280"/>
      <c r="B362" s="230"/>
      <c r="C362" s="281"/>
      <c r="D362" s="281"/>
      <c r="E362" s="281"/>
      <c r="F362" s="282"/>
      <c r="G362" s="282"/>
      <c r="H362" s="230"/>
      <c r="I362" s="230"/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  <c r="V362" s="230"/>
      <c r="W362" s="230"/>
      <c r="X362" s="230"/>
      <c r="Y362" s="230"/>
      <c r="Z362" s="230"/>
    </row>
    <row r="363" spans="1:26" ht="21.75" x14ac:dyDescent="0.55000000000000004">
      <c r="A363" s="280"/>
      <c r="B363" s="230"/>
      <c r="C363" s="281"/>
      <c r="D363" s="281"/>
      <c r="E363" s="281"/>
      <c r="F363" s="282"/>
      <c r="G363" s="282"/>
      <c r="H363" s="230"/>
      <c r="I363" s="230"/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  <c r="V363" s="230"/>
      <c r="W363" s="230"/>
      <c r="X363" s="230"/>
      <c r="Y363" s="230"/>
      <c r="Z363" s="230"/>
    </row>
    <row r="364" spans="1:26" ht="21.75" x14ac:dyDescent="0.55000000000000004">
      <c r="A364" s="280"/>
      <c r="B364" s="230"/>
      <c r="C364" s="281"/>
      <c r="D364" s="281"/>
      <c r="E364" s="281"/>
      <c r="F364" s="282"/>
      <c r="G364" s="282"/>
      <c r="H364" s="230"/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  <c r="V364" s="230"/>
      <c r="W364" s="230"/>
      <c r="X364" s="230"/>
      <c r="Y364" s="230"/>
      <c r="Z364" s="230"/>
    </row>
    <row r="365" spans="1:26" ht="21.75" x14ac:dyDescent="0.55000000000000004">
      <c r="A365" s="280"/>
      <c r="B365" s="230"/>
      <c r="C365" s="281"/>
      <c r="D365" s="281"/>
      <c r="E365" s="281"/>
      <c r="F365" s="282"/>
      <c r="G365" s="282"/>
      <c r="H365" s="230"/>
      <c r="I365" s="230"/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  <c r="V365" s="230"/>
      <c r="W365" s="230"/>
      <c r="X365" s="230"/>
      <c r="Y365" s="230"/>
      <c r="Z365" s="230"/>
    </row>
    <row r="366" spans="1:26" ht="21.75" x14ac:dyDescent="0.55000000000000004">
      <c r="A366" s="280"/>
      <c r="B366" s="230"/>
      <c r="C366" s="281"/>
      <c r="D366" s="281"/>
      <c r="E366" s="281"/>
      <c r="F366" s="282"/>
      <c r="G366" s="282"/>
      <c r="H366" s="230"/>
      <c r="I366" s="230"/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  <c r="V366" s="230"/>
      <c r="W366" s="230"/>
      <c r="X366" s="230"/>
      <c r="Y366" s="230"/>
      <c r="Z366" s="230"/>
    </row>
    <row r="367" spans="1:26" ht="21.75" x14ac:dyDescent="0.55000000000000004">
      <c r="A367" s="280"/>
      <c r="B367" s="230"/>
      <c r="C367" s="281"/>
      <c r="D367" s="281"/>
      <c r="E367" s="281"/>
      <c r="F367" s="282"/>
      <c r="G367" s="282"/>
      <c r="H367" s="230"/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  <c r="V367" s="230"/>
      <c r="W367" s="230"/>
      <c r="X367" s="230"/>
      <c r="Y367" s="230"/>
      <c r="Z367" s="230"/>
    </row>
    <row r="368" spans="1:26" ht="21.75" x14ac:dyDescent="0.55000000000000004">
      <c r="A368" s="280"/>
      <c r="B368" s="230"/>
      <c r="C368" s="281"/>
      <c r="D368" s="281"/>
      <c r="E368" s="281"/>
      <c r="F368" s="282"/>
      <c r="G368" s="282"/>
      <c r="H368" s="230"/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  <c r="V368" s="230"/>
      <c r="W368" s="230"/>
      <c r="X368" s="230"/>
      <c r="Y368" s="230"/>
      <c r="Z368" s="230"/>
    </row>
    <row r="369" spans="1:26" ht="21.75" x14ac:dyDescent="0.55000000000000004">
      <c r="A369" s="280"/>
      <c r="B369" s="230"/>
      <c r="C369" s="281"/>
      <c r="D369" s="281"/>
      <c r="E369" s="281"/>
      <c r="F369" s="282"/>
      <c r="G369" s="282"/>
      <c r="H369" s="230"/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  <c r="V369" s="230"/>
      <c r="W369" s="230"/>
      <c r="X369" s="230"/>
      <c r="Y369" s="230"/>
      <c r="Z369" s="230"/>
    </row>
    <row r="370" spans="1:26" ht="21.75" x14ac:dyDescent="0.55000000000000004">
      <c r="A370" s="280"/>
      <c r="B370" s="230"/>
      <c r="C370" s="281"/>
      <c r="D370" s="281"/>
      <c r="E370" s="281"/>
      <c r="F370" s="282"/>
      <c r="G370" s="282"/>
      <c r="H370" s="230"/>
      <c r="I370" s="230"/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  <c r="V370" s="230"/>
      <c r="W370" s="230"/>
      <c r="X370" s="230"/>
      <c r="Y370" s="230"/>
      <c r="Z370" s="230"/>
    </row>
    <row r="371" spans="1:26" ht="21.75" x14ac:dyDescent="0.55000000000000004">
      <c r="A371" s="280"/>
      <c r="B371" s="230"/>
      <c r="C371" s="281"/>
      <c r="D371" s="281"/>
      <c r="E371" s="281"/>
      <c r="F371" s="282"/>
      <c r="G371" s="282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  <c r="V371" s="230"/>
      <c r="W371" s="230"/>
      <c r="X371" s="230"/>
      <c r="Y371" s="230"/>
      <c r="Z371" s="230"/>
    </row>
    <row r="372" spans="1:26" ht="21.75" x14ac:dyDescent="0.55000000000000004">
      <c r="A372" s="280"/>
      <c r="B372" s="230"/>
      <c r="C372" s="281"/>
      <c r="D372" s="281"/>
      <c r="E372" s="281"/>
      <c r="F372" s="282"/>
      <c r="G372" s="282"/>
      <c r="H372" s="230"/>
      <c r="I372" s="230"/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  <c r="V372" s="230"/>
      <c r="W372" s="230"/>
      <c r="X372" s="230"/>
      <c r="Y372" s="230"/>
      <c r="Z372" s="230"/>
    </row>
    <row r="373" spans="1:26" ht="21.75" x14ac:dyDescent="0.55000000000000004">
      <c r="A373" s="280"/>
      <c r="B373" s="230"/>
      <c r="C373" s="281"/>
      <c r="D373" s="281"/>
      <c r="E373" s="281"/>
      <c r="F373" s="282"/>
      <c r="G373" s="282"/>
      <c r="H373" s="230"/>
      <c r="I373" s="230"/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  <c r="V373" s="230"/>
      <c r="W373" s="230"/>
      <c r="X373" s="230"/>
      <c r="Y373" s="230"/>
      <c r="Z373" s="230"/>
    </row>
    <row r="374" spans="1:26" ht="21.75" x14ac:dyDescent="0.55000000000000004">
      <c r="A374" s="280"/>
      <c r="B374" s="230"/>
      <c r="C374" s="281"/>
      <c r="D374" s="281"/>
      <c r="E374" s="281"/>
      <c r="F374" s="282"/>
      <c r="G374" s="282"/>
      <c r="H374" s="230"/>
      <c r="I374" s="230"/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  <c r="V374" s="230"/>
      <c r="W374" s="230"/>
      <c r="X374" s="230"/>
      <c r="Y374" s="230"/>
      <c r="Z374" s="230"/>
    </row>
    <row r="375" spans="1:26" ht="21.75" x14ac:dyDescent="0.55000000000000004">
      <c r="A375" s="280"/>
      <c r="B375" s="230"/>
      <c r="C375" s="281"/>
      <c r="D375" s="281"/>
      <c r="E375" s="281"/>
      <c r="F375" s="282"/>
      <c r="G375" s="282"/>
      <c r="H375" s="230"/>
      <c r="I375" s="230"/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  <c r="V375" s="230"/>
      <c r="W375" s="230"/>
      <c r="X375" s="230"/>
      <c r="Y375" s="230"/>
      <c r="Z375" s="230"/>
    </row>
    <row r="376" spans="1:26" ht="21.75" x14ac:dyDescent="0.55000000000000004">
      <c r="A376" s="280"/>
      <c r="B376" s="230"/>
      <c r="C376" s="281"/>
      <c r="D376" s="281"/>
      <c r="E376" s="281"/>
      <c r="F376" s="282"/>
      <c r="G376" s="282"/>
      <c r="H376" s="230"/>
      <c r="I376" s="230"/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  <c r="V376" s="230"/>
      <c r="W376" s="230"/>
      <c r="X376" s="230"/>
      <c r="Y376" s="230"/>
      <c r="Z376" s="230"/>
    </row>
    <row r="377" spans="1:26" ht="21.75" x14ac:dyDescent="0.55000000000000004">
      <c r="A377" s="280"/>
      <c r="B377" s="230"/>
      <c r="C377" s="281"/>
      <c r="D377" s="281"/>
      <c r="E377" s="281"/>
      <c r="F377" s="282"/>
      <c r="G377" s="282"/>
      <c r="H377" s="230"/>
      <c r="I377" s="230"/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  <c r="V377" s="230"/>
      <c r="W377" s="230"/>
      <c r="X377" s="230"/>
      <c r="Y377" s="230"/>
      <c r="Z377" s="230"/>
    </row>
    <row r="378" spans="1:26" ht="21.75" x14ac:dyDescent="0.55000000000000004">
      <c r="A378" s="280"/>
      <c r="B378" s="230"/>
      <c r="C378" s="281"/>
      <c r="D378" s="281"/>
      <c r="E378" s="281"/>
      <c r="F378" s="282"/>
      <c r="G378" s="282"/>
      <c r="H378" s="230"/>
      <c r="I378" s="230"/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  <c r="V378" s="230"/>
      <c r="W378" s="230"/>
      <c r="X378" s="230"/>
      <c r="Y378" s="230"/>
      <c r="Z378" s="230"/>
    </row>
    <row r="379" spans="1:26" ht="21.75" x14ac:dyDescent="0.55000000000000004">
      <c r="A379" s="280"/>
      <c r="B379" s="230"/>
      <c r="C379" s="281"/>
      <c r="D379" s="281"/>
      <c r="E379" s="281"/>
      <c r="F379" s="282"/>
      <c r="G379" s="282"/>
      <c r="H379" s="230"/>
      <c r="I379" s="230"/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  <c r="V379" s="230"/>
      <c r="W379" s="230"/>
      <c r="X379" s="230"/>
      <c r="Y379" s="230"/>
      <c r="Z379" s="230"/>
    </row>
    <row r="380" spans="1:26" ht="21.75" x14ac:dyDescent="0.55000000000000004">
      <c r="A380" s="280"/>
      <c r="B380" s="230"/>
      <c r="C380" s="281"/>
      <c r="D380" s="281"/>
      <c r="E380" s="281"/>
      <c r="F380" s="282"/>
      <c r="G380" s="282"/>
      <c r="H380" s="230"/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  <c r="V380" s="230"/>
      <c r="W380" s="230"/>
      <c r="X380" s="230"/>
      <c r="Y380" s="230"/>
      <c r="Z380" s="230"/>
    </row>
    <row r="381" spans="1:26" ht="21.75" x14ac:dyDescent="0.55000000000000004">
      <c r="A381" s="280"/>
      <c r="B381" s="230"/>
      <c r="C381" s="281"/>
      <c r="D381" s="281"/>
      <c r="E381" s="281"/>
      <c r="F381" s="282"/>
      <c r="G381" s="282"/>
      <c r="H381" s="230"/>
      <c r="I381" s="230"/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  <c r="V381" s="230"/>
      <c r="W381" s="230"/>
      <c r="X381" s="230"/>
      <c r="Y381" s="230"/>
      <c r="Z381" s="230"/>
    </row>
    <row r="382" spans="1:26" ht="21.75" x14ac:dyDescent="0.55000000000000004">
      <c r="A382" s="280"/>
      <c r="B382" s="230"/>
      <c r="C382" s="281"/>
      <c r="D382" s="281"/>
      <c r="E382" s="281"/>
      <c r="F382" s="282"/>
      <c r="G382" s="282"/>
      <c r="H382" s="230"/>
      <c r="I382" s="230"/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  <c r="V382" s="230"/>
      <c r="W382" s="230"/>
      <c r="X382" s="230"/>
      <c r="Y382" s="230"/>
      <c r="Z382" s="230"/>
    </row>
    <row r="383" spans="1:26" ht="21.75" x14ac:dyDescent="0.55000000000000004">
      <c r="A383" s="280"/>
      <c r="B383" s="230"/>
      <c r="C383" s="281"/>
      <c r="D383" s="281"/>
      <c r="E383" s="281"/>
      <c r="F383" s="282"/>
      <c r="G383" s="282"/>
      <c r="H383" s="230"/>
      <c r="I383" s="230"/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  <c r="V383" s="230"/>
      <c r="W383" s="230"/>
      <c r="X383" s="230"/>
      <c r="Y383" s="230"/>
      <c r="Z383" s="230"/>
    </row>
    <row r="384" spans="1:26" ht="21.75" x14ac:dyDescent="0.55000000000000004">
      <c r="A384" s="280"/>
      <c r="B384" s="230"/>
      <c r="C384" s="281"/>
      <c r="D384" s="281"/>
      <c r="E384" s="281"/>
      <c r="F384" s="282"/>
      <c r="G384" s="282"/>
      <c r="H384" s="230"/>
      <c r="I384" s="230"/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  <c r="V384" s="230"/>
      <c r="W384" s="230"/>
      <c r="X384" s="230"/>
      <c r="Y384" s="230"/>
      <c r="Z384" s="230"/>
    </row>
    <row r="385" spans="1:26" ht="21.75" x14ac:dyDescent="0.55000000000000004">
      <c r="A385" s="280"/>
      <c r="B385" s="230"/>
      <c r="C385" s="281"/>
      <c r="D385" s="281"/>
      <c r="E385" s="281"/>
      <c r="F385" s="282"/>
      <c r="G385" s="282"/>
      <c r="H385" s="230"/>
      <c r="I385" s="230"/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  <c r="V385" s="230"/>
      <c r="W385" s="230"/>
      <c r="X385" s="230"/>
      <c r="Y385" s="230"/>
      <c r="Z385" s="230"/>
    </row>
    <row r="386" spans="1:26" ht="21.75" x14ac:dyDescent="0.55000000000000004">
      <c r="A386" s="280"/>
      <c r="B386" s="230"/>
      <c r="C386" s="281"/>
      <c r="D386" s="281"/>
      <c r="E386" s="281"/>
      <c r="F386" s="282"/>
      <c r="G386" s="282"/>
      <c r="H386" s="230"/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  <c r="V386" s="230"/>
      <c r="W386" s="230"/>
      <c r="X386" s="230"/>
      <c r="Y386" s="230"/>
      <c r="Z386" s="230"/>
    </row>
    <row r="387" spans="1:26" ht="21.75" x14ac:dyDescent="0.55000000000000004">
      <c r="A387" s="280"/>
      <c r="B387" s="230"/>
      <c r="C387" s="281"/>
      <c r="D387" s="281"/>
      <c r="E387" s="281"/>
      <c r="F387" s="282"/>
      <c r="G387" s="282"/>
      <c r="H387" s="230"/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  <c r="V387" s="230"/>
      <c r="W387" s="230"/>
      <c r="X387" s="230"/>
      <c r="Y387" s="230"/>
      <c r="Z387" s="230"/>
    </row>
    <row r="388" spans="1:26" ht="21.75" x14ac:dyDescent="0.55000000000000004">
      <c r="A388" s="280"/>
      <c r="B388" s="230"/>
      <c r="C388" s="281"/>
      <c r="D388" s="281"/>
      <c r="E388" s="281"/>
      <c r="F388" s="282"/>
      <c r="G388" s="282"/>
      <c r="H388" s="230"/>
      <c r="I388" s="230"/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  <c r="V388" s="230"/>
      <c r="W388" s="230"/>
      <c r="X388" s="230"/>
      <c r="Y388" s="230"/>
      <c r="Z388" s="230"/>
    </row>
    <row r="389" spans="1:26" ht="21.75" x14ac:dyDescent="0.55000000000000004">
      <c r="A389" s="280"/>
      <c r="B389" s="230"/>
      <c r="C389" s="281"/>
      <c r="D389" s="281"/>
      <c r="E389" s="281"/>
      <c r="F389" s="282"/>
      <c r="G389" s="282"/>
      <c r="H389" s="230"/>
      <c r="I389" s="230"/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  <c r="V389" s="230"/>
      <c r="W389" s="230"/>
      <c r="X389" s="230"/>
      <c r="Y389" s="230"/>
      <c r="Z389" s="230"/>
    </row>
    <row r="390" spans="1:26" ht="21.75" x14ac:dyDescent="0.55000000000000004">
      <c r="A390" s="280"/>
      <c r="B390" s="230"/>
      <c r="C390" s="281"/>
      <c r="D390" s="281"/>
      <c r="E390" s="281"/>
      <c r="F390" s="282"/>
      <c r="G390" s="282"/>
      <c r="H390" s="230"/>
      <c r="I390" s="230"/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  <c r="V390" s="230"/>
      <c r="W390" s="230"/>
      <c r="X390" s="230"/>
      <c r="Y390" s="230"/>
      <c r="Z390" s="230"/>
    </row>
    <row r="391" spans="1:26" ht="21.75" x14ac:dyDescent="0.55000000000000004">
      <c r="A391" s="280"/>
      <c r="B391" s="230"/>
      <c r="C391" s="281"/>
      <c r="D391" s="281"/>
      <c r="E391" s="281"/>
      <c r="F391" s="282"/>
      <c r="G391" s="282"/>
      <c r="H391" s="230"/>
      <c r="I391" s="230"/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  <c r="V391" s="230"/>
      <c r="W391" s="230"/>
      <c r="X391" s="230"/>
      <c r="Y391" s="230"/>
      <c r="Z391" s="230"/>
    </row>
    <row r="392" spans="1:26" ht="21.75" x14ac:dyDescent="0.55000000000000004">
      <c r="A392" s="280"/>
      <c r="B392" s="230"/>
      <c r="C392" s="281"/>
      <c r="D392" s="281"/>
      <c r="E392" s="281"/>
      <c r="F392" s="282"/>
      <c r="G392" s="282"/>
      <c r="H392" s="230"/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  <c r="V392" s="230"/>
      <c r="W392" s="230"/>
      <c r="X392" s="230"/>
      <c r="Y392" s="230"/>
      <c r="Z392" s="230"/>
    </row>
    <row r="393" spans="1:26" ht="21.75" x14ac:dyDescent="0.55000000000000004">
      <c r="A393" s="280"/>
      <c r="B393" s="230"/>
      <c r="C393" s="281"/>
      <c r="D393" s="281"/>
      <c r="E393" s="281"/>
      <c r="F393" s="282"/>
      <c r="G393" s="282"/>
      <c r="H393" s="230"/>
      <c r="I393" s="230"/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  <c r="V393" s="230"/>
      <c r="W393" s="230"/>
      <c r="X393" s="230"/>
      <c r="Y393" s="230"/>
      <c r="Z393" s="230"/>
    </row>
    <row r="394" spans="1:26" ht="21.75" x14ac:dyDescent="0.55000000000000004">
      <c r="A394" s="280"/>
      <c r="B394" s="230"/>
      <c r="C394" s="281"/>
      <c r="D394" s="281"/>
      <c r="E394" s="281"/>
      <c r="F394" s="282"/>
      <c r="G394" s="282"/>
      <c r="H394" s="230"/>
      <c r="I394" s="230"/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  <c r="V394" s="230"/>
      <c r="W394" s="230"/>
      <c r="X394" s="230"/>
      <c r="Y394" s="230"/>
      <c r="Z394" s="230"/>
    </row>
    <row r="395" spans="1:26" ht="21.75" x14ac:dyDescent="0.55000000000000004">
      <c r="A395" s="280"/>
      <c r="B395" s="230"/>
      <c r="C395" s="281"/>
      <c r="D395" s="281"/>
      <c r="E395" s="281"/>
      <c r="F395" s="282"/>
      <c r="G395" s="282"/>
      <c r="H395" s="230"/>
      <c r="I395" s="230"/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  <c r="V395" s="230"/>
      <c r="W395" s="230"/>
      <c r="X395" s="230"/>
      <c r="Y395" s="230"/>
      <c r="Z395" s="230"/>
    </row>
    <row r="396" spans="1:26" ht="21.75" x14ac:dyDescent="0.55000000000000004">
      <c r="A396" s="280"/>
      <c r="B396" s="230"/>
      <c r="C396" s="281"/>
      <c r="D396" s="281"/>
      <c r="E396" s="281"/>
      <c r="F396" s="282"/>
      <c r="G396" s="282"/>
      <c r="H396" s="230"/>
      <c r="I396" s="230"/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  <c r="V396" s="230"/>
      <c r="W396" s="230"/>
      <c r="X396" s="230"/>
      <c r="Y396" s="230"/>
      <c r="Z396" s="230"/>
    </row>
    <row r="397" spans="1:26" ht="21.75" x14ac:dyDescent="0.55000000000000004">
      <c r="A397" s="280"/>
      <c r="B397" s="230"/>
      <c r="C397" s="281"/>
      <c r="D397" s="281"/>
      <c r="E397" s="281"/>
      <c r="F397" s="282"/>
      <c r="G397" s="282"/>
      <c r="H397" s="230"/>
      <c r="I397" s="230"/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  <c r="V397" s="230"/>
      <c r="W397" s="230"/>
      <c r="X397" s="230"/>
      <c r="Y397" s="230"/>
      <c r="Z397" s="230"/>
    </row>
    <row r="398" spans="1:26" ht="21.75" x14ac:dyDescent="0.55000000000000004">
      <c r="A398" s="280"/>
      <c r="B398" s="230"/>
      <c r="C398" s="281"/>
      <c r="D398" s="281"/>
      <c r="E398" s="281"/>
      <c r="F398" s="282"/>
      <c r="G398" s="282"/>
      <c r="H398" s="230"/>
      <c r="I398" s="230"/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  <c r="V398" s="230"/>
      <c r="W398" s="230"/>
      <c r="X398" s="230"/>
      <c r="Y398" s="230"/>
      <c r="Z398" s="230"/>
    </row>
    <row r="399" spans="1:26" ht="21.75" x14ac:dyDescent="0.55000000000000004">
      <c r="A399" s="280"/>
      <c r="B399" s="230"/>
      <c r="C399" s="281"/>
      <c r="D399" s="281"/>
      <c r="E399" s="281"/>
      <c r="F399" s="282"/>
      <c r="G399" s="282"/>
      <c r="H399" s="230"/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  <c r="V399" s="230"/>
      <c r="W399" s="230"/>
      <c r="X399" s="230"/>
      <c r="Y399" s="230"/>
      <c r="Z399" s="230"/>
    </row>
    <row r="400" spans="1:26" ht="21.75" x14ac:dyDescent="0.55000000000000004">
      <c r="A400" s="280"/>
      <c r="B400" s="230"/>
      <c r="C400" s="281"/>
      <c r="D400" s="281"/>
      <c r="E400" s="281"/>
      <c r="F400" s="282"/>
      <c r="G400" s="282"/>
      <c r="H400" s="230"/>
      <c r="I400" s="230"/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  <c r="V400" s="230"/>
      <c r="W400" s="230"/>
      <c r="X400" s="230"/>
      <c r="Y400" s="230"/>
      <c r="Z400" s="230"/>
    </row>
    <row r="401" spans="1:26" ht="21.75" x14ac:dyDescent="0.55000000000000004">
      <c r="A401" s="280"/>
      <c r="B401" s="230"/>
      <c r="C401" s="281"/>
      <c r="D401" s="281"/>
      <c r="E401" s="281"/>
      <c r="F401" s="282"/>
      <c r="G401" s="282"/>
      <c r="H401" s="230"/>
      <c r="I401" s="230"/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  <c r="V401" s="230"/>
      <c r="W401" s="230"/>
      <c r="X401" s="230"/>
      <c r="Y401" s="230"/>
      <c r="Z401" s="230"/>
    </row>
    <row r="402" spans="1:26" ht="21.75" x14ac:dyDescent="0.55000000000000004">
      <c r="A402" s="280"/>
      <c r="B402" s="230"/>
      <c r="C402" s="281"/>
      <c r="D402" s="281"/>
      <c r="E402" s="281"/>
      <c r="F402" s="282"/>
      <c r="G402" s="282"/>
      <c r="H402" s="230"/>
      <c r="I402" s="230"/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  <c r="V402" s="230"/>
      <c r="W402" s="230"/>
      <c r="X402" s="230"/>
      <c r="Y402" s="230"/>
      <c r="Z402" s="230"/>
    </row>
    <row r="403" spans="1:26" ht="21.75" x14ac:dyDescent="0.55000000000000004">
      <c r="A403" s="280"/>
      <c r="B403" s="230"/>
      <c r="C403" s="281"/>
      <c r="D403" s="281"/>
      <c r="E403" s="281"/>
      <c r="F403" s="282"/>
      <c r="G403" s="282"/>
      <c r="H403" s="230"/>
      <c r="I403" s="230"/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  <c r="V403" s="230"/>
      <c r="W403" s="230"/>
      <c r="X403" s="230"/>
      <c r="Y403" s="230"/>
      <c r="Z403" s="230"/>
    </row>
    <row r="404" spans="1:26" ht="21.75" x14ac:dyDescent="0.55000000000000004">
      <c r="A404" s="280"/>
      <c r="B404" s="230"/>
      <c r="C404" s="281"/>
      <c r="D404" s="281"/>
      <c r="E404" s="281"/>
      <c r="F404" s="282"/>
      <c r="G404" s="282"/>
      <c r="H404" s="230"/>
      <c r="I404" s="230"/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  <c r="V404" s="230"/>
      <c r="W404" s="230"/>
      <c r="X404" s="230"/>
      <c r="Y404" s="230"/>
      <c r="Z404" s="230"/>
    </row>
    <row r="405" spans="1:26" ht="21.75" x14ac:dyDescent="0.55000000000000004">
      <c r="A405" s="280"/>
      <c r="B405" s="230"/>
      <c r="C405" s="281"/>
      <c r="D405" s="281"/>
      <c r="E405" s="281"/>
      <c r="F405" s="282"/>
      <c r="G405" s="282"/>
      <c r="H405" s="230"/>
      <c r="I405" s="230"/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  <c r="V405" s="230"/>
      <c r="W405" s="230"/>
      <c r="X405" s="230"/>
      <c r="Y405" s="230"/>
      <c r="Z405" s="230"/>
    </row>
    <row r="406" spans="1:26" ht="21.75" x14ac:dyDescent="0.55000000000000004">
      <c r="A406" s="280"/>
      <c r="B406" s="230"/>
      <c r="C406" s="281"/>
      <c r="D406" s="281"/>
      <c r="E406" s="281"/>
      <c r="F406" s="282"/>
      <c r="G406" s="282"/>
      <c r="H406" s="230"/>
      <c r="I406" s="230"/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  <c r="V406" s="230"/>
      <c r="W406" s="230"/>
      <c r="X406" s="230"/>
      <c r="Y406" s="230"/>
      <c r="Z406" s="230"/>
    </row>
    <row r="407" spans="1:26" ht="21.75" x14ac:dyDescent="0.55000000000000004">
      <c r="A407" s="280"/>
      <c r="B407" s="230"/>
      <c r="C407" s="281"/>
      <c r="D407" s="281"/>
      <c r="E407" s="281"/>
      <c r="F407" s="282"/>
      <c r="G407" s="282"/>
      <c r="H407" s="230"/>
      <c r="I407" s="230"/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  <c r="V407" s="230"/>
      <c r="W407" s="230"/>
      <c r="X407" s="230"/>
      <c r="Y407" s="230"/>
      <c r="Z407" s="230"/>
    </row>
    <row r="408" spans="1:26" ht="21.75" x14ac:dyDescent="0.55000000000000004">
      <c r="A408" s="280"/>
      <c r="B408" s="230"/>
      <c r="C408" s="281"/>
      <c r="D408" s="281"/>
      <c r="E408" s="281"/>
      <c r="F408" s="282"/>
      <c r="G408" s="282"/>
      <c r="H408" s="230"/>
      <c r="I408" s="230"/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  <c r="V408" s="230"/>
      <c r="W408" s="230"/>
      <c r="X408" s="230"/>
      <c r="Y408" s="230"/>
      <c r="Z408" s="230"/>
    </row>
    <row r="409" spans="1:26" ht="21.75" x14ac:dyDescent="0.55000000000000004">
      <c r="A409" s="280"/>
      <c r="B409" s="230"/>
      <c r="C409" s="281"/>
      <c r="D409" s="281"/>
      <c r="E409" s="281"/>
      <c r="F409" s="282"/>
      <c r="G409" s="282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  <c r="V409" s="230"/>
      <c r="W409" s="230"/>
      <c r="X409" s="230"/>
      <c r="Y409" s="230"/>
      <c r="Z409" s="230"/>
    </row>
    <row r="410" spans="1:26" ht="21.75" x14ac:dyDescent="0.55000000000000004">
      <c r="A410" s="280"/>
      <c r="B410" s="230"/>
      <c r="C410" s="281"/>
      <c r="D410" s="281"/>
      <c r="E410" s="281"/>
      <c r="F410" s="282"/>
      <c r="G410" s="282"/>
      <c r="H410" s="230"/>
      <c r="I410" s="230"/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  <c r="V410" s="230"/>
      <c r="W410" s="230"/>
      <c r="X410" s="230"/>
      <c r="Y410" s="230"/>
      <c r="Z410" s="230"/>
    </row>
    <row r="411" spans="1:26" ht="21.75" x14ac:dyDescent="0.55000000000000004">
      <c r="A411" s="280"/>
      <c r="B411" s="230"/>
      <c r="C411" s="281"/>
      <c r="D411" s="281"/>
      <c r="E411" s="281"/>
      <c r="F411" s="282"/>
      <c r="G411" s="282"/>
      <c r="H411" s="230"/>
      <c r="I411" s="230"/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  <c r="V411" s="230"/>
      <c r="W411" s="230"/>
      <c r="X411" s="230"/>
      <c r="Y411" s="230"/>
      <c r="Z411" s="230"/>
    </row>
    <row r="412" spans="1:26" ht="21.75" x14ac:dyDescent="0.55000000000000004">
      <c r="A412" s="280"/>
      <c r="B412" s="230"/>
      <c r="C412" s="281"/>
      <c r="D412" s="281"/>
      <c r="E412" s="281"/>
      <c r="F412" s="282"/>
      <c r="G412" s="282"/>
      <c r="H412" s="230"/>
      <c r="I412" s="230"/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  <c r="V412" s="230"/>
      <c r="W412" s="230"/>
      <c r="X412" s="230"/>
      <c r="Y412" s="230"/>
      <c r="Z412" s="230"/>
    </row>
    <row r="413" spans="1:26" ht="21.75" x14ac:dyDescent="0.55000000000000004">
      <c r="A413" s="280"/>
      <c r="B413" s="230"/>
      <c r="C413" s="281"/>
      <c r="D413" s="281"/>
      <c r="E413" s="281"/>
      <c r="F413" s="282"/>
      <c r="G413" s="282"/>
      <c r="H413" s="230"/>
      <c r="I413" s="230"/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  <c r="V413" s="230"/>
      <c r="W413" s="230"/>
      <c r="X413" s="230"/>
      <c r="Y413" s="230"/>
      <c r="Z413" s="230"/>
    </row>
    <row r="414" spans="1:26" ht="21.75" x14ac:dyDescent="0.55000000000000004">
      <c r="A414" s="280"/>
      <c r="B414" s="230"/>
      <c r="C414" s="281"/>
      <c r="D414" s="281"/>
      <c r="E414" s="281"/>
      <c r="F414" s="282"/>
      <c r="G414" s="282"/>
      <c r="H414" s="230"/>
      <c r="I414" s="230"/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  <c r="V414" s="230"/>
      <c r="W414" s="230"/>
      <c r="X414" s="230"/>
      <c r="Y414" s="230"/>
      <c r="Z414" s="230"/>
    </row>
    <row r="415" spans="1:26" ht="21.75" x14ac:dyDescent="0.55000000000000004">
      <c r="A415" s="280"/>
      <c r="B415" s="230"/>
      <c r="C415" s="281"/>
      <c r="D415" s="281"/>
      <c r="E415" s="281"/>
      <c r="F415" s="282"/>
      <c r="G415" s="282"/>
      <c r="H415" s="230"/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  <c r="V415" s="230"/>
      <c r="W415" s="230"/>
      <c r="X415" s="230"/>
      <c r="Y415" s="230"/>
      <c r="Z415" s="230"/>
    </row>
    <row r="416" spans="1:26" ht="21.75" x14ac:dyDescent="0.55000000000000004">
      <c r="A416" s="280"/>
      <c r="B416" s="230"/>
      <c r="C416" s="281"/>
      <c r="D416" s="281"/>
      <c r="E416" s="281"/>
      <c r="F416" s="282"/>
      <c r="G416" s="282"/>
      <c r="H416" s="230"/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  <c r="V416" s="230"/>
      <c r="W416" s="230"/>
      <c r="X416" s="230"/>
      <c r="Y416" s="230"/>
      <c r="Z416" s="230"/>
    </row>
    <row r="417" spans="1:26" ht="21.75" x14ac:dyDescent="0.55000000000000004">
      <c r="A417" s="280"/>
      <c r="B417" s="230"/>
      <c r="C417" s="281"/>
      <c r="D417" s="281"/>
      <c r="E417" s="281"/>
      <c r="F417" s="282"/>
      <c r="G417" s="282"/>
      <c r="H417" s="230"/>
      <c r="I417" s="230"/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  <c r="V417" s="230"/>
      <c r="W417" s="230"/>
      <c r="X417" s="230"/>
      <c r="Y417" s="230"/>
      <c r="Z417" s="230"/>
    </row>
    <row r="418" spans="1:26" ht="21.75" x14ac:dyDescent="0.55000000000000004">
      <c r="A418" s="280"/>
      <c r="B418" s="230"/>
      <c r="C418" s="281"/>
      <c r="D418" s="281"/>
      <c r="E418" s="281"/>
      <c r="F418" s="282"/>
      <c r="G418" s="282"/>
      <c r="H418" s="230"/>
      <c r="I418" s="230"/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  <c r="V418" s="230"/>
      <c r="W418" s="230"/>
      <c r="X418" s="230"/>
      <c r="Y418" s="230"/>
      <c r="Z418" s="230"/>
    </row>
    <row r="419" spans="1:26" ht="21.75" x14ac:dyDescent="0.55000000000000004">
      <c r="A419" s="280"/>
      <c r="B419" s="230"/>
      <c r="C419" s="281"/>
      <c r="D419" s="281"/>
      <c r="E419" s="281"/>
      <c r="F419" s="282"/>
      <c r="G419" s="282"/>
      <c r="H419" s="230"/>
      <c r="I419" s="230"/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  <c r="V419" s="230"/>
      <c r="W419" s="230"/>
      <c r="X419" s="230"/>
      <c r="Y419" s="230"/>
      <c r="Z419" s="230"/>
    </row>
    <row r="420" spans="1:26" ht="21.75" x14ac:dyDescent="0.55000000000000004">
      <c r="A420" s="280"/>
      <c r="B420" s="230"/>
      <c r="C420" s="281"/>
      <c r="D420" s="281"/>
      <c r="E420" s="281"/>
      <c r="F420" s="282"/>
      <c r="G420" s="282"/>
      <c r="H420" s="230"/>
      <c r="I420" s="230"/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  <c r="V420" s="230"/>
      <c r="W420" s="230"/>
      <c r="X420" s="230"/>
      <c r="Y420" s="230"/>
      <c r="Z420" s="230"/>
    </row>
    <row r="421" spans="1:26" ht="21.75" x14ac:dyDescent="0.55000000000000004">
      <c r="A421" s="280"/>
      <c r="B421" s="230"/>
      <c r="C421" s="281"/>
      <c r="D421" s="281"/>
      <c r="E421" s="281"/>
      <c r="F421" s="282"/>
      <c r="G421" s="282"/>
      <c r="H421" s="230"/>
      <c r="I421" s="230"/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  <c r="V421" s="230"/>
      <c r="W421" s="230"/>
      <c r="X421" s="230"/>
      <c r="Y421" s="230"/>
      <c r="Z421" s="230"/>
    </row>
    <row r="422" spans="1:26" ht="21.75" x14ac:dyDescent="0.55000000000000004">
      <c r="A422" s="280"/>
      <c r="B422" s="230"/>
      <c r="C422" s="281"/>
      <c r="D422" s="281"/>
      <c r="E422" s="281"/>
      <c r="F422" s="282"/>
      <c r="G422" s="282"/>
      <c r="H422" s="230"/>
      <c r="I422" s="230"/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  <c r="V422" s="230"/>
      <c r="W422" s="230"/>
      <c r="X422" s="230"/>
      <c r="Y422" s="230"/>
      <c r="Z422" s="230"/>
    </row>
    <row r="423" spans="1:26" ht="21.75" x14ac:dyDescent="0.55000000000000004">
      <c r="A423" s="280"/>
      <c r="B423" s="230"/>
      <c r="C423" s="281"/>
      <c r="D423" s="281"/>
      <c r="E423" s="281"/>
      <c r="F423" s="282"/>
      <c r="G423" s="282"/>
      <c r="H423" s="230"/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  <c r="V423" s="230"/>
      <c r="W423" s="230"/>
      <c r="X423" s="230"/>
      <c r="Y423" s="230"/>
      <c r="Z423" s="230"/>
    </row>
    <row r="424" spans="1:26" ht="21.75" x14ac:dyDescent="0.55000000000000004">
      <c r="A424" s="280"/>
      <c r="B424" s="230"/>
      <c r="C424" s="281"/>
      <c r="D424" s="281"/>
      <c r="E424" s="281"/>
      <c r="F424" s="282"/>
      <c r="G424" s="282"/>
      <c r="H424" s="230"/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  <c r="V424" s="230"/>
      <c r="W424" s="230"/>
      <c r="X424" s="230"/>
      <c r="Y424" s="230"/>
      <c r="Z424" s="230"/>
    </row>
    <row r="425" spans="1:26" ht="21.75" x14ac:dyDescent="0.55000000000000004">
      <c r="A425" s="280"/>
      <c r="B425" s="230"/>
      <c r="C425" s="281"/>
      <c r="D425" s="281"/>
      <c r="E425" s="281"/>
      <c r="F425" s="282"/>
      <c r="G425" s="282"/>
      <c r="H425" s="230"/>
      <c r="I425" s="230"/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  <c r="V425" s="230"/>
      <c r="W425" s="230"/>
      <c r="X425" s="230"/>
      <c r="Y425" s="230"/>
      <c r="Z425" s="230"/>
    </row>
    <row r="426" spans="1:26" ht="21.75" x14ac:dyDescent="0.55000000000000004">
      <c r="A426" s="280"/>
      <c r="B426" s="230"/>
      <c r="C426" s="281"/>
      <c r="D426" s="281"/>
      <c r="E426" s="281"/>
      <c r="F426" s="282"/>
      <c r="G426" s="282"/>
      <c r="H426" s="230"/>
      <c r="I426" s="230"/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  <c r="V426" s="230"/>
      <c r="W426" s="230"/>
      <c r="X426" s="230"/>
      <c r="Y426" s="230"/>
      <c r="Z426" s="230"/>
    </row>
    <row r="427" spans="1:26" ht="21.75" x14ac:dyDescent="0.55000000000000004">
      <c r="A427" s="280"/>
      <c r="B427" s="230"/>
      <c r="C427" s="281"/>
      <c r="D427" s="281"/>
      <c r="E427" s="281"/>
      <c r="F427" s="282"/>
      <c r="G427" s="282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  <c r="Y427" s="230"/>
      <c r="Z427" s="230"/>
    </row>
    <row r="428" spans="1:26" ht="21.75" x14ac:dyDescent="0.55000000000000004">
      <c r="A428" s="280"/>
      <c r="B428" s="230"/>
      <c r="C428" s="281"/>
      <c r="D428" s="281"/>
      <c r="E428" s="281"/>
      <c r="F428" s="282"/>
      <c r="G428" s="282"/>
      <c r="H428" s="230"/>
      <c r="I428" s="230"/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  <c r="V428" s="230"/>
      <c r="W428" s="230"/>
      <c r="X428" s="230"/>
      <c r="Y428" s="230"/>
      <c r="Z428" s="230"/>
    </row>
    <row r="429" spans="1:26" ht="21.75" x14ac:dyDescent="0.55000000000000004">
      <c r="A429" s="280"/>
      <c r="B429" s="230"/>
      <c r="C429" s="281"/>
      <c r="D429" s="281"/>
      <c r="E429" s="281"/>
      <c r="F429" s="282"/>
      <c r="G429" s="282"/>
      <c r="H429" s="230"/>
      <c r="I429" s="230"/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  <c r="V429" s="230"/>
      <c r="W429" s="230"/>
      <c r="X429" s="230"/>
      <c r="Y429" s="230"/>
      <c r="Z429" s="230"/>
    </row>
    <row r="430" spans="1:26" ht="21.75" x14ac:dyDescent="0.55000000000000004">
      <c r="A430" s="280"/>
      <c r="B430" s="230"/>
      <c r="C430" s="281"/>
      <c r="D430" s="281"/>
      <c r="E430" s="281"/>
      <c r="F430" s="282"/>
      <c r="G430" s="282"/>
      <c r="H430" s="230"/>
      <c r="I430" s="230"/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  <c r="V430" s="230"/>
      <c r="W430" s="230"/>
      <c r="X430" s="230"/>
      <c r="Y430" s="230"/>
      <c r="Z430" s="230"/>
    </row>
    <row r="431" spans="1:26" ht="21.75" x14ac:dyDescent="0.55000000000000004">
      <c r="A431" s="280"/>
      <c r="B431" s="230"/>
      <c r="C431" s="281"/>
      <c r="D431" s="281"/>
      <c r="E431" s="281"/>
      <c r="F431" s="282"/>
      <c r="G431" s="282"/>
      <c r="H431" s="230"/>
      <c r="I431" s="230"/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  <c r="V431" s="230"/>
      <c r="W431" s="230"/>
      <c r="X431" s="230"/>
      <c r="Y431" s="230"/>
      <c r="Z431" s="230"/>
    </row>
    <row r="432" spans="1:26" ht="21.75" x14ac:dyDescent="0.55000000000000004">
      <c r="A432" s="280"/>
      <c r="B432" s="230"/>
      <c r="C432" s="281"/>
      <c r="D432" s="281"/>
      <c r="E432" s="281"/>
      <c r="F432" s="282"/>
      <c r="G432" s="282"/>
      <c r="H432" s="230"/>
      <c r="I432" s="230"/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  <c r="V432" s="230"/>
      <c r="W432" s="230"/>
      <c r="X432" s="230"/>
      <c r="Y432" s="230"/>
      <c r="Z432" s="230"/>
    </row>
    <row r="433" spans="1:26" ht="21.75" x14ac:dyDescent="0.55000000000000004">
      <c r="A433" s="280"/>
      <c r="B433" s="230"/>
      <c r="C433" s="281"/>
      <c r="D433" s="281"/>
      <c r="E433" s="281"/>
      <c r="F433" s="282"/>
      <c r="G433" s="282"/>
      <c r="H433" s="230"/>
      <c r="I433" s="230"/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  <c r="V433" s="230"/>
      <c r="W433" s="230"/>
      <c r="X433" s="230"/>
      <c r="Y433" s="230"/>
      <c r="Z433" s="230"/>
    </row>
    <row r="434" spans="1:26" ht="21.75" x14ac:dyDescent="0.55000000000000004">
      <c r="A434" s="280"/>
      <c r="B434" s="230"/>
      <c r="C434" s="281"/>
      <c r="D434" s="281"/>
      <c r="E434" s="281"/>
      <c r="F434" s="282"/>
      <c r="G434" s="282"/>
      <c r="H434" s="230"/>
      <c r="I434" s="230"/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  <c r="V434" s="230"/>
      <c r="W434" s="230"/>
      <c r="X434" s="230"/>
      <c r="Y434" s="230"/>
      <c r="Z434" s="230"/>
    </row>
    <row r="435" spans="1:26" ht="21.75" x14ac:dyDescent="0.55000000000000004">
      <c r="A435" s="280"/>
      <c r="B435" s="230"/>
      <c r="C435" s="281"/>
      <c r="D435" s="281"/>
      <c r="E435" s="281"/>
      <c r="F435" s="282"/>
      <c r="G435" s="282"/>
      <c r="H435" s="230"/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  <c r="V435" s="230"/>
      <c r="W435" s="230"/>
      <c r="X435" s="230"/>
      <c r="Y435" s="230"/>
      <c r="Z435" s="230"/>
    </row>
    <row r="436" spans="1:26" ht="21.75" x14ac:dyDescent="0.55000000000000004">
      <c r="A436" s="280"/>
      <c r="B436" s="230"/>
      <c r="C436" s="281"/>
      <c r="D436" s="281"/>
      <c r="E436" s="281"/>
      <c r="F436" s="282"/>
      <c r="G436" s="282"/>
      <c r="H436" s="230"/>
      <c r="I436" s="230"/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  <c r="V436" s="230"/>
      <c r="W436" s="230"/>
      <c r="X436" s="230"/>
      <c r="Y436" s="230"/>
      <c r="Z436" s="230"/>
    </row>
    <row r="437" spans="1:26" ht="21.75" x14ac:dyDescent="0.55000000000000004">
      <c r="A437" s="280"/>
      <c r="B437" s="230"/>
      <c r="C437" s="281"/>
      <c r="D437" s="281"/>
      <c r="E437" s="281"/>
      <c r="F437" s="282"/>
      <c r="G437" s="282"/>
      <c r="H437" s="230"/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  <c r="V437" s="230"/>
      <c r="W437" s="230"/>
      <c r="X437" s="230"/>
      <c r="Y437" s="230"/>
      <c r="Z437" s="230"/>
    </row>
    <row r="438" spans="1:26" ht="21.75" x14ac:dyDescent="0.55000000000000004">
      <c r="A438" s="280"/>
      <c r="B438" s="230"/>
      <c r="C438" s="281"/>
      <c r="D438" s="281"/>
      <c r="E438" s="281"/>
      <c r="F438" s="282"/>
      <c r="G438" s="282"/>
      <c r="H438" s="230"/>
      <c r="I438" s="230"/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  <c r="V438" s="230"/>
      <c r="W438" s="230"/>
      <c r="X438" s="230"/>
      <c r="Y438" s="230"/>
      <c r="Z438" s="230"/>
    </row>
    <row r="439" spans="1:26" ht="21.75" x14ac:dyDescent="0.55000000000000004">
      <c r="A439" s="280"/>
      <c r="B439" s="230"/>
      <c r="C439" s="281"/>
      <c r="D439" s="281"/>
      <c r="E439" s="281"/>
      <c r="F439" s="282"/>
      <c r="G439" s="282"/>
      <c r="H439" s="230"/>
      <c r="I439" s="230"/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  <c r="V439" s="230"/>
      <c r="W439" s="230"/>
      <c r="X439" s="230"/>
      <c r="Y439" s="230"/>
      <c r="Z439" s="230"/>
    </row>
    <row r="440" spans="1:26" ht="21.75" x14ac:dyDescent="0.55000000000000004">
      <c r="A440" s="280"/>
      <c r="B440" s="230"/>
      <c r="C440" s="281"/>
      <c r="D440" s="281"/>
      <c r="E440" s="281"/>
      <c r="F440" s="282"/>
      <c r="G440" s="282"/>
      <c r="H440" s="230"/>
      <c r="I440" s="230"/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  <c r="V440" s="230"/>
      <c r="W440" s="230"/>
      <c r="X440" s="230"/>
      <c r="Y440" s="230"/>
      <c r="Z440" s="230"/>
    </row>
    <row r="441" spans="1:26" ht="21.75" x14ac:dyDescent="0.55000000000000004">
      <c r="A441" s="280"/>
      <c r="B441" s="230"/>
      <c r="C441" s="281"/>
      <c r="D441" s="281"/>
      <c r="E441" s="281"/>
      <c r="F441" s="282"/>
      <c r="G441" s="282"/>
      <c r="H441" s="230"/>
      <c r="I441" s="230"/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  <c r="V441" s="230"/>
      <c r="W441" s="230"/>
      <c r="X441" s="230"/>
      <c r="Y441" s="230"/>
      <c r="Z441" s="230"/>
    </row>
    <row r="442" spans="1:26" ht="21.75" x14ac:dyDescent="0.55000000000000004">
      <c r="A442" s="280"/>
      <c r="B442" s="230"/>
      <c r="C442" s="281"/>
      <c r="D442" s="281"/>
      <c r="E442" s="281"/>
      <c r="F442" s="282"/>
      <c r="G442" s="282"/>
      <c r="H442" s="230"/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  <c r="V442" s="230"/>
      <c r="W442" s="230"/>
      <c r="X442" s="230"/>
      <c r="Y442" s="230"/>
      <c r="Z442" s="230"/>
    </row>
    <row r="443" spans="1:26" ht="21.75" x14ac:dyDescent="0.55000000000000004">
      <c r="A443" s="280"/>
      <c r="B443" s="230"/>
      <c r="C443" s="281"/>
      <c r="D443" s="281"/>
      <c r="E443" s="281"/>
      <c r="F443" s="282"/>
      <c r="G443" s="282"/>
      <c r="H443" s="230"/>
      <c r="I443" s="230"/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  <c r="V443" s="230"/>
      <c r="W443" s="230"/>
      <c r="X443" s="230"/>
      <c r="Y443" s="230"/>
      <c r="Z443" s="230"/>
    </row>
    <row r="444" spans="1:26" ht="21.75" x14ac:dyDescent="0.55000000000000004">
      <c r="A444" s="280"/>
      <c r="B444" s="230"/>
      <c r="C444" s="281"/>
      <c r="D444" s="281"/>
      <c r="E444" s="281"/>
      <c r="F444" s="282"/>
      <c r="G444" s="282"/>
      <c r="H444" s="230"/>
      <c r="I444" s="230"/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  <c r="V444" s="230"/>
      <c r="W444" s="230"/>
      <c r="X444" s="230"/>
      <c r="Y444" s="230"/>
      <c r="Z444" s="230"/>
    </row>
    <row r="445" spans="1:26" ht="21.75" x14ac:dyDescent="0.55000000000000004">
      <c r="A445" s="280"/>
      <c r="B445" s="230"/>
      <c r="C445" s="281"/>
      <c r="D445" s="281"/>
      <c r="E445" s="281"/>
      <c r="F445" s="282"/>
      <c r="G445" s="282"/>
      <c r="H445" s="230"/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  <c r="V445" s="230"/>
      <c r="W445" s="230"/>
      <c r="X445" s="230"/>
      <c r="Y445" s="230"/>
      <c r="Z445" s="230"/>
    </row>
    <row r="446" spans="1:26" ht="21.75" x14ac:dyDescent="0.55000000000000004">
      <c r="A446" s="280"/>
      <c r="B446" s="230"/>
      <c r="C446" s="281"/>
      <c r="D446" s="281"/>
      <c r="E446" s="281"/>
      <c r="F446" s="282"/>
      <c r="G446" s="282"/>
      <c r="H446" s="230"/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  <c r="V446" s="230"/>
      <c r="W446" s="230"/>
      <c r="X446" s="230"/>
      <c r="Y446" s="230"/>
      <c r="Z446" s="230"/>
    </row>
    <row r="447" spans="1:26" ht="21.75" x14ac:dyDescent="0.55000000000000004">
      <c r="A447" s="280"/>
      <c r="B447" s="230"/>
      <c r="C447" s="281"/>
      <c r="D447" s="281"/>
      <c r="E447" s="281"/>
      <c r="F447" s="282"/>
      <c r="G447" s="282"/>
      <c r="H447" s="230"/>
      <c r="I447" s="230"/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  <c r="V447" s="230"/>
      <c r="W447" s="230"/>
      <c r="X447" s="230"/>
      <c r="Y447" s="230"/>
      <c r="Z447" s="230"/>
    </row>
    <row r="448" spans="1:26" ht="21.75" x14ac:dyDescent="0.55000000000000004">
      <c r="A448" s="280"/>
      <c r="B448" s="230"/>
      <c r="C448" s="281"/>
      <c r="D448" s="281"/>
      <c r="E448" s="281"/>
      <c r="F448" s="282"/>
      <c r="G448" s="282"/>
      <c r="H448" s="230"/>
      <c r="I448" s="230"/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  <c r="V448" s="230"/>
      <c r="W448" s="230"/>
      <c r="X448" s="230"/>
      <c r="Y448" s="230"/>
      <c r="Z448" s="230"/>
    </row>
    <row r="449" spans="1:26" ht="21.75" x14ac:dyDescent="0.55000000000000004">
      <c r="A449" s="280"/>
      <c r="B449" s="230"/>
      <c r="C449" s="281"/>
      <c r="D449" s="281"/>
      <c r="E449" s="281"/>
      <c r="F449" s="282"/>
      <c r="G449" s="282"/>
      <c r="H449" s="230"/>
      <c r="I449" s="230"/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  <c r="V449" s="230"/>
      <c r="W449" s="230"/>
      <c r="X449" s="230"/>
      <c r="Y449" s="230"/>
      <c r="Z449" s="230"/>
    </row>
    <row r="450" spans="1:26" ht="21.75" x14ac:dyDescent="0.55000000000000004">
      <c r="A450" s="280"/>
      <c r="B450" s="230"/>
      <c r="C450" s="281"/>
      <c r="D450" s="281"/>
      <c r="E450" s="281"/>
      <c r="F450" s="282"/>
      <c r="G450" s="282"/>
      <c r="H450" s="230"/>
      <c r="I450" s="230"/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  <c r="V450" s="230"/>
      <c r="W450" s="230"/>
      <c r="X450" s="230"/>
      <c r="Y450" s="230"/>
      <c r="Z450" s="230"/>
    </row>
    <row r="451" spans="1:26" ht="21.75" x14ac:dyDescent="0.55000000000000004">
      <c r="A451" s="280"/>
      <c r="B451" s="230"/>
      <c r="C451" s="281"/>
      <c r="D451" s="281"/>
      <c r="E451" s="281"/>
      <c r="F451" s="282"/>
      <c r="G451" s="282"/>
      <c r="H451" s="230"/>
      <c r="I451" s="230"/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  <c r="V451" s="230"/>
      <c r="W451" s="230"/>
      <c r="X451" s="230"/>
      <c r="Y451" s="230"/>
      <c r="Z451" s="230"/>
    </row>
    <row r="452" spans="1:26" ht="21.75" x14ac:dyDescent="0.55000000000000004">
      <c r="A452" s="280"/>
      <c r="B452" s="230"/>
      <c r="C452" s="281"/>
      <c r="D452" s="281"/>
      <c r="E452" s="281"/>
      <c r="F452" s="282"/>
      <c r="G452" s="282"/>
      <c r="H452" s="230"/>
      <c r="I452" s="230"/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  <c r="V452" s="230"/>
      <c r="W452" s="230"/>
      <c r="X452" s="230"/>
      <c r="Y452" s="230"/>
      <c r="Z452" s="230"/>
    </row>
    <row r="453" spans="1:26" ht="21.75" x14ac:dyDescent="0.55000000000000004">
      <c r="A453" s="280"/>
      <c r="B453" s="230"/>
      <c r="C453" s="281"/>
      <c r="D453" s="281"/>
      <c r="E453" s="281"/>
      <c r="F453" s="282"/>
      <c r="G453" s="282"/>
      <c r="H453" s="230"/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  <c r="V453" s="230"/>
      <c r="W453" s="230"/>
      <c r="X453" s="230"/>
      <c r="Y453" s="230"/>
      <c r="Z453" s="230"/>
    </row>
    <row r="454" spans="1:26" ht="21.75" x14ac:dyDescent="0.55000000000000004">
      <c r="A454" s="280"/>
      <c r="B454" s="230"/>
      <c r="C454" s="281"/>
      <c r="D454" s="281"/>
      <c r="E454" s="281"/>
      <c r="F454" s="282"/>
      <c r="G454" s="282"/>
      <c r="H454" s="230"/>
      <c r="I454" s="230"/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  <c r="V454" s="230"/>
      <c r="W454" s="230"/>
      <c r="X454" s="230"/>
      <c r="Y454" s="230"/>
      <c r="Z454" s="230"/>
    </row>
    <row r="455" spans="1:26" ht="21.75" x14ac:dyDescent="0.55000000000000004">
      <c r="A455" s="280"/>
      <c r="B455" s="230"/>
      <c r="C455" s="281"/>
      <c r="D455" s="281"/>
      <c r="E455" s="281"/>
      <c r="F455" s="282"/>
      <c r="G455" s="282"/>
      <c r="H455" s="230"/>
      <c r="I455" s="230"/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  <c r="V455" s="230"/>
      <c r="W455" s="230"/>
      <c r="X455" s="230"/>
      <c r="Y455" s="230"/>
      <c r="Z455" s="230"/>
    </row>
    <row r="456" spans="1:26" ht="21.75" x14ac:dyDescent="0.55000000000000004">
      <c r="A456" s="280"/>
      <c r="B456" s="230"/>
      <c r="C456" s="281"/>
      <c r="D456" s="281"/>
      <c r="E456" s="281"/>
      <c r="F456" s="282"/>
      <c r="G456" s="282"/>
      <c r="H456" s="230"/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  <c r="V456" s="230"/>
      <c r="W456" s="230"/>
      <c r="X456" s="230"/>
      <c r="Y456" s="230"/>
      <c r="Z456" s="230"/>
    </row>
    <row r="457" spans="1:26" ht="21.75" x14ac:dyDescent="0.55000000000000004">
      <c r="A457" s="280"/>
      <c r="B457" s="230"/>
      <c r="C457" s="281"/>
      <c r="D457" s="281"/>
      <c r="E457" s="281"/>
      <c r="F457" s="282"/>
      <c r="G457" s="282"/>
      <c r="H457" s="230"/>
      <c r="I457" s="230"/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  <c r="V457" s="230"/>
      <c r="W457" s="230"/>
      <c r="X457" s="230"/>
      <c r="Y457" s="230"/>
      <c r="Z457" s="230"/>
    </row>
    <row r="458" spans="1:26" ht="21.75" x14ac:dyDescent="0.55000000000000004">
      <c r="A458" s="280"/>
      <c r="B458" s="230"/>
      <c r="C458" s="281"/>
      <c r="D458" s="281"/>
      <c r="E458" s="281"/>
      <c r="F458" s="282"/>
      <c r="G458" s="282"/>
      <c r="H458" s="230"/>
      <c r="I458" s="230"/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  <c r="V458" s="230"/>
      <c r="W458" s="230"/>
      <c r="X458" s="230"/>
      <c r="Y458" s="230"/>
      <c r="Z458" s="230"/>
    </row>
    <row r="459" spans="1:26" ht="21.75" x14ac:dyDescent="0.55000000000000004">
      <c r="A459" s="280"/>
      <c r="B459" s="230"/>
      <c r="C459" s="281"/>
      <c r="D459" s="281"/>
      <c r="E459" s="281"/>
      <c r="F459" s="282"/>
      <c r="G459" s="282"/>
      <c r="H459" s="230"/>
      <c r="I459" s="230"/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  <c r="V459" s="230"/>
      <c r="W459" s="230"/>
      <c r="X459" s="230"/>
      <c r="Y459" s="230"/>
      <c r="Z459" s="230"/>
    </row>
    <row r="460" spans="1:26" ht="21.75" x14ac:dyDescent="0.55000000000000004">
      <c r="A460" s="280"/>
      <c r="B460" s="230"/>
      <c r="C460" s="281"/>
      <c r="D460" s="281"/>
      <c r="E460" s="281"/>
      <c r="F460" s="282"/>
      <c r="G460" s="282"/>
      <c r="H460" s="230"/>
      <c r="I460" s="230"/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  <c r="V460" s="230"/>
      <c r="W460" s="230"/>
      <c r="X460" s="230"/>
      <c r="Y460" s="230"/>
      <c r="Z460" s="230"/>
    </row>
    <row r="461" spans="1:26" ht="21.75" x14ac:dyDescent="0.55000000000000004">
      <c r="A461" s="280"/>
      <c r="B461" s="230"/>
      <c r="C461" s="281"/>
      <c r="D461" s="281"/>
      <c r="E461" s="281"/>
      <c r="F461" s="282"/>
      <c r="G461" s="282"/>
      <c r="H461" s="230"/>
      <c r="I461" s="230"/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  <c r="V461" s="230"/>
      <c r="W461" s="230"/>
      <c r="X461" s="230"/>
      <c r="Y461" s="230"/>
      <c r="Z461" s="230"/>
    </row>
    <row r="462" spans="1:26" ht="21.75" x14ac:dyDescent="0.55000000000000004">
      <c r="A462" s="280"/>
      <c r="B462" s="230"/>
      <c r="C462" s="281"/>
      <c r="D462" s="281"/>
      <c r="E462" s="281"/>
      <c r="F462" s="282"/>
      <c r="G462" s="282"/>
      <c r="H462" s="230"/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  <c r="V462" s="230"/>
      <c r="W462" s="230"/>
      <c r="X462" s="230"/>
      <c r="Y462" s="230"/>
      <c r="Z462" s="230"/>
    </row>
    <row r="463" spans="1:26" ht="21.75" x14ac:dyDescent="0.55000000000000004">
      <c r="A463" s="280"/>
      <c r="B463" s="230"/>
      <c r="C463" s="281"/>
      <c r="D463" s="281"/>
      <c r="E463" s="281"/>
      <c r="F463" s="282"/>
      <c r="G463" s="282"/>
      <c r="H463" s="230"/>
      <c r="I463" s="230"/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  <c r="V463" s="230"/>
      <c r="W463" s="230"/>
      <c r="X463" s="230"/>
      <c r="Y463" s="230"/>
      <c r="Z463" s="230"/>
    </row>
    <row r="464" spans="1:26" ht="21.75" x14ac:dyDescent="0.55000000000000004">
      <c r="A464" s="280"/>
      <c r="B464" s="230"/>
      <c r="C464" s="281"/>
      <c r="D464" s="281"/>
      <c r="E464" s="281"/>
      <c r="F464" s="282"/>
      <c r="G464" s="282"/>
      <c r="H464" s="230"/>
      <c r="I464" s="230"/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  <c r="V464" s="230"/>
      <c r="W464" s="230"/>
      <c r="X464" s="230"/>
      <c r="Y464" s="230"/>
      <c r="Z464" s="230"/>
    </row>
    <row r="465" spans="1:26" ht="21.75" x14ac:dyDescent="0.55000000000000004">
      <c r="A465" s="280"/>
      <c r="B465" s="230"/>
      <c r="C465" s="281"/>
      <c r="D465" s="281"/>
      <c r="E465" s="281"/>
      <c r="F465" s="282"/>
      <c r="G465" s="282"/>
      <c r="H465" s="230"/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  <c r="V465" s="230"/>
      <c r="W465" s="230"/>
      <c r="X465" s="230"/>
      <c r="Y465" s="230"/>
      <c r="Z465" s="230"/>
    </row>
    <row r="466" spans="1:26" ht="21.75" x14ac:dyDescent="0.55000000000000004">
      <c r="A466" s="280"/>
      <c r="B466" s="230"/>
      <c r="C466" s="281"/>
      <c r="D466" s="281"/>
      <c r="E466" s="281"/>
      <c r="F466" s="282"/>
      <c r="G466" s="282"/>
      <c r="H466" s="230"/>
      <c r="I466" s="230"/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  <c r="V466" s="230"/>
      <c r="W466" s="230"/>
      <c r="X466" s="230"/>
      <c r="Y466" s="230"/>
      <c r="Z466" s="230"/>
    </row>
    <row r="467" spans="1:26" ht="21.75" x14ac:dyDescent="0.55000000000000004">
      <c r="A467" s="280"/>
      <c r="B467" s="230"/>
      <c r="C467" s="281"/>
      <c r="D467" s="281"/>
      <c r="E467" s="281"/>
      <c r="F467" s="282"/>
      <c r="G467" s="282"/>
      <c r="H467" s="230"/>
      <c r="I467" s="230"/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  <c r="V467" s="230"/>
      <c r="W467" s="230"/>
      <c r="X467" s="230"/>
      <c r="Y467" s="230"/>
      <c r="Z467" s="230"/>
    </row>
    <row r="468" spans="1:26" ht="21.75" x14ac:dyDescent="0.55000000000000004">
      <c r="A468" s="280"/>
      <c r="B468" s="230"/>
      <c r="C468" s="281"/>
      <c r="D468" s="281"/>
      <c r="E468" s="281"/>
      <c r="F468" s="282"/>
      <c r="G468" s="282"/>
      <c r="H468" s="230"/>
      <c r="I468" s="230"/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  <c r="V468" s="230"/>
      <c r="W468" s="230"/>
      <c r="X468" s="230"/>
      <c r="Y468" s="230"/>
      <c r="Z468" s="230"/>
    </row>
    <row r="469" spans="1:26" ht="21.75" x14ac:dyDescent="0.55000000000000004">
      <c r="A469" s="280"/>
      <c r="B469" s="230"/>
      <c r="C469" s="281"/>
      <c r="D469" s="281"/>
      <c r="E469" s="281"/>
      <c r="F469" s="282"/>
      <c r="G469" s="282"/>
      <c r="H469" s="230"/>
      <c r="I469" s="230"/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  <c r="V469" s="230"/>
      <c r="W469" s="230"/>
      <c r="X469" s="230"/>
      <c r="Y469" s="230"/>
      <c r="Z469" s="230"/>
    </row>
    <row r="470" spans="1:26" ht="21.75" x14ac:dyDescent="0.55000000000000004">
      <c r="A470" s="280"/>
      <c r="B470" s="230"/>
      <c r="C470" s="281"/>
      <c r="D470" s="281"/>
      <c r="E470" s="281"/>
      <c r="F470" s="282"/>
      <c r="G470" s="282"/>
      <c r="H470" s="230"/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  <c r="V470" s="230"/>
      <c r="W470" s="230"/>
      <c r="X470" s="230"/>
      <c r="Y470" s="230"/>
      <c r="Z470" s="230"/>
    </row>
    <row r="471" spans="1:26" ht="21.75" x14ac:dyDescent="0.55000000000000004">
      <c r="A471" s="280"/>
      <c r="B471" s="230"/>
      <c r="C471" s="281"/>
      <c r="D471" s="281"/>
      <c r="E471" s="281"/>
      <c r="F471" s="282"/>
      <c r="G471" s="282"/>
      <c r="H471" s="230"/>
      <c r="I471" s="230"/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  <c r="V471" s="230"/>
      <c r="W471" s="230"/>
      <c r="X471" s="230"/>
      <c r="Y471" s="230"/>
      <c r="Z471" s="230"/>
    </row>
    <row r="472" spans="1:26" ht="21.75" x14ac:dyDescent="0.55000000000000004">
      <c r="A472" s="280"/>
      <c r="B472" s="230"/>
      <c r="C472" s="281"/>
      <c r="D472" s="281"/>
      <c r="E472" s="281"/>
      <c r="F472" s="282"/>
      <c r="G472" s="282"/>
      <c r="H472" s="230"/>
      <c r="I472" s="230"/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  <c r="V472" s="230"/>
      <c r="W472" s="230"/>
      <c r="X472" s="230"/>
      <c r="Y472" s="230"/>
      <c r="Z472" s="230"/>
    </row>
    <row r="473" spans="1:26" ht="21.75" x14ac:dyDescent="0.55000000000000004">
      <c r="A473" s="280"/>
      <c r="B473" s="230"/>
      <c r="C473" s="281"/>
      <c r="D473" s="281"/>
      <c r="E473" s="281"/>
      <c r="F473" s="282"/>
      <c r="G473" s="282"/>
      <c r="H473" s="230"/>
      <c r="I473" s="230"/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  <c r="V473" s="230"/>
      <c r="W473" s="230"/>
      <c r="X473" s="230"/>
      <c r="Y473" s="230"/>
      <c r="Z473" s="230"/>
    </row>
    <row r="474" spans="1:26" ht="21.75" x14ac:dyDescent="0.55000000000000004">
      <c r="A474" s="280"/>
      <c r="B474" s="230"/>
      <c r="C474" s="281"/>
      <c r="D474" s="281"/>
      <c r="E474" s="281"/>
      <c r="F474" s="282"/>
      <c r="G474" s="282"/>
      <c r="H474" s="230"/>
      <c r="I474" s="230"/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  <c r="V474" s="230"/>
      <c r="W474" s="230"/>
      <c r="X474" s="230"/>
      <c r="Y474" s="230"/>
      <c r="Z474" s="230"/>
    </row>
    <row r="475" spans="1:26" ht="21.75" x14ac:dyDescent="0.55000000000000004">
      <c r="A475" s="280"/>
      <c r="B475" s="230"/>
      <c r="C475" s="281"/>
      <c r="D475" s="281"/>
      <c r="E475" s="281"/>
      <c r="F475" s="282"/>
      <c r="G475" s="282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  <c r="Y475" s="230"/>
      <c r="Z475" s="230"/>
    </row>
    <row r="476" spans="1:26" ht="21.75" x14ac:dyDescent="0.55000000000000004">
      <c r="A476" s="280"/>
      <c r="B476" s="230"/>
      <c r="C476" s="281"/>
      <c r="D476" s="281"/>
      <c r="E476" s="281"/>
      <c r="F476" s="282"/>
      <c r="G476" s="282"/>
      <c r="H476" s="230"/>
      <c r="I476" s="230"/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  <c r="V476" s="230"/>
      <c r="W476" s="230"/>
      <c r="X476" s="230"/>
      <c r="Y476" s="230"/>
      <c r="Z476" s="230"/>
    </row>
    <row r="477" spans="1:26" ht="21.75" x14ac:dyDescent="0.55000000000000004">
      <c r="A477" s="280"/>
      <c r="B477" s="230"/>
      <c r="C477" s="281"/>
      <c r="D477" s="281"/>
      <c r="E477" s="281"/>
      <c r="F477" s="282"/>
      <c r="G477" s="282"/>
      <c r="H477" s="230"/>
      <c r="I477" s="230"/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  <c r="V477" s="230"/>
      <c r="W477" s="230"/>
      <c r="X477" s="230"/>
      <c r="Y477" s="230"/>
      <c r="Z477" s="230"/>
    </row>
    <row r="478" spans="1:26" ht="21.75" x14ac:dyDescent="0.55000000000000004">
      <c r="A478" s="280"/>
      <c r="B478" s="230"/>
      <c r="C478" s="281"/>
      <c r="D478" s="281"/>
      <c r="E478" s="281"/>
      <c r="F478" s="282"/>
      <c r="G478" s="282"/>
      <c r="H478" s="230"/>
      <c r="I478" s="230"/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  <c r="V478" s="230"/>
      <c r="W478" s="230"/>
      <c r="X478" s="230"/>
      <c r="Y478" s="230"/>
      <c r="Z478" s="230"/>
    </row>
    <row r="479" spans="1:26" ht="21.75" x14ac:dyDescent="0.55000000000000004">
      <c r="A479" s="280"/>
      <c r="B479" s="230"/>
      <c r="C479" s="281"/>
      <c r="D479" s="281"/>
      <c r="E479" s="281"/>
      <c r="F479" s="282"/>
      <c r="G479" s="282"/>
      <c r="H479" s="230"/>
      <c r="I479" s="230"/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  <c r="V479" s="230"/>
      <c r="W479" s="230"/>
      <c r="X479" s="230"/>
      <c r="Y479" s="230"/>
      <c r="Z479" s="230"/>
    </row>
    <row r="480" spans="1:26" ht="21.75" x14ac:dyDescent="0.55000000000000004">
      <c r="A480" s="280"/>
      <c r="B480" s="230"/>
      <c r="C480" s="281"/>
      <c r="D480" s="281"/>
      <c r="E480" s="281"/>
      <c r="F480" s="282"/>
      <c r="G480" s="282"/>
      <c r="H480" s="230"/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  <c r="V480" s="230"/>
      <c r="W480" s="230"/>
      <c r="X480" s="230"/>
      <c r="Y480" s="230"/>
      <c r="Z480" s="230"/>
    </row>
    <row r="481" spans="1:26" ht="21.75" x14ac:dyDescent="0.55000000000000004">
      <c r="A481" s="280"/>
      <c r="B481" s="230"/>
      <c r="C481" s="281"/>
      <c r="D481" s="281"/>
      <c r="E481" s="281"/>
      <c r="F481" s="282"/>
      <c r="G481" s="282"/>
      <c r="H481" s="230"/>
      <c r="I481" s="230"/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  <c r="V481" s="230"/>
      <c r="W481" s="230"/>
      <c r="X481" s="230"/>
      <c r="Y481" s="230"/>
      <c r="Z481" s="230"/>
    </row>
    <row r="482" spans="1:26" ht="21.75" x14ac:dyDescent="0.55000000000000004">
      <c r="A482" s="280"/>
      <c r="B482" s="230"/>
      <c r="C482" s="281"/>
      <c r="D482" s="281"/>
      <c r="E482" s="281"/>
      <c r="F482" s="282"/>
      <c r="G482" s="282"/>
      <c r="H482" s="230"/>
      <c r="I482" s="230"/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  <c r="V482" s="230"/>
      <c r="W482" s="230"/>
      <c r="X482" s="230"/>
      <c r="Y482" s="230"/>
      <c r="Z482" s="230"/>
    </row>
    <row r="483" spans="1:26" ht="21.75" x14ac:dyDescent="0.55000000000000004">
      <c r="A483" s="280"/>
      <c r="B483" s="230"/>
      <c r="C483" s="281"/>
      <c r="D483" s="281"/>
      <c r="E483" s="281"/>
      <c r="F483" s="282"/>
      <c r="G483" s="282"/>
      <c r="H483" s="230"/>
      <c r="I483" s="230"/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  <c r="V483" s="230"/>
      <c r="W483" s="230"/>
      <c r="X483" s="230"/>
      <c r="Y483" s="230"/>
      <c r="Z483" s="230"/>
    </row>
    <row r="484" spans="1:26" ht="21.75" x14ac:dyDescent="0.55000000000000004">
      <c r="A484" s="280"/>
      <c r="B484" s="230"/>
      <c r="C484" s="281"/>
      <c r="D484" s="281"/>
      <c r="E484" s="281"/>
      <c r="F484" s="282"/>
      <c r="G484" s="282"/>
      <c r="H484" s="230"/>
      <c r="I484" s="230"/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  <c r="V484" s="230"/>
      <c r="W484" s="230"/>
      <c r="X484" s="230"/>
      <c r="Y484" s="230"/>
      <c r="Z484" s="230"/>
    </row>
    <row r="485" spans="1:26" ht="21.75" x14ac:dyDescent="0.55000000000000004">
      <c r="A485" s="280"/>
      <c r="B485" s="230"/>
      <c r="C485" s="281"/>
      <c r="D485" s="281"/>
      <c r="E485" s="281"/>
      <c r="F485" s="282"/>
      <c r="G485" s="282"/>
      <c r="H485" s="230"/>
      <c r="I485" s="230"/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  <c r="V485" s="230"/>
      <c r="W485" s="230"/>
      <c r="X485" s="230"/>
      <c r="Y485" s="230"/>
      <c r="Z485" s="230"/>
    </row>
    <row r="486" spans="1:26" ht="21.75" x14ac:dyDescent="0.55000000000000004">
      <c r="A486" s="280"/>
      <c r="B486" s="230"/>
      <c r="C486" s="281"/>
      <c r="D486" s="281"/>
      <c r="E486" s="281"/>
      <c r="F486" s="282"/>
      <c r="G486" s="282"/>
      <c r="H486" s="230"/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  <c r="V486" s="230"/>
      <c r="W486" s="230"/>
      <c r="X486" s="230"/>
      <c r="Y486" s="230"/>
      <c r="Z486" s="230"/>
    </row>
    <row r="487" spans="1:26" ht="21.75" x14ac:dyDescent="0.55000000000000004">
      <c r="A487" s="280"/>
      <c r="B487" s="230"/>
      <c r="C487" s="281"/>
      <c r="D487" s="281"/>
      <c r="E487" s="281"/>
      <c r="F487" s="282"/>
      <c r="G487" s="282"/>
      <c r="H487" s="230"/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  <c r="V487" s="230"/>
      <c r="W487" s="230"/>
      <c r="X487" s="230"/>
      <c r="Y487" s="230"/>
      <c r="Z487" s="230"/>
    </row>
    <row r="488" spans="1:26" ht="21.75" x14ac:dyDescent="0.55000000000000004">
      <c r="A488" s="280"/>
      <c r="B488" s="230"/>
      <c r="C488" s="281"/>
      <c r="D488" s="281"/>
      <c r="E488" s="281"/>
      <c r="F488" s="282"/>
      <c r="G488" s="282"/>
      <c r="H488" s="230"/>
      <c r="I488" s="230"/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  <c r="V488" s="230"/>
      <c r="W488" s="230"/>
      <c r="X488" s="230"/>
      <c r="Y488" s="230"/>
      <c r="Z488" s="230"/>
    </row>
    <row r="489" spans="1:26" ht="21.75" x14ac:dyDescent="0.55000000000000004">
      <c r="A489" s="280"/>
      <c r="B489" s="230"/>
      <c r="C489" s="281"/>
      <c r="D489" s="281"/>
      <c r="E489" s="281"/>
      <c r="F489" s="282"/>
      <c r="G489" s="282"/>
      <c r="H489" s="230"/>
      <c r="I489" s="230"/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  <c r="V489" s="230"/>
      <c r="W489" s="230"/>
      <c r="X489" s="230"/>
      <c r="Y489" s="230"/>
      <c r="Z489" s="230"/>
    </row>
    <row r="490" spans="1:26" ht="21.75" x14ac:dyDescent="0.55000000000000004">
      <c r="A490" s="280"/>
      <c r="B490" s="230"/>
      <c r="C490" s="281"/>
      <c r="D490" s="281"/>
      <c r="E490" s="281"/>
      <c r="F490" s="282"/>
      <c r="G490" s="282"/>
      <c r="H490" s="230"/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  <c r="V490" s="230"/>
      <c r="W490" s="230"/>
      <c r="X490" s="230"/>
      <c r="Y490" s="230"/>
      <c r="Z490" s="230"/>
    </row>
    <row r="491" spans="1:26" ht="21.75" x14ac:dyDescent="0.55000000000000004">
      <c r="A491" s="280"/>
      <c r="B491" s="230"/>
      <c r="C491" s="281"/>
      <c r="D491" s="281"/>
      <c r="E491" s="281"/>
      <c r="F491" s="282"/>
      <c r="G491" s="282"/>
      <c r="H491" s="230"/>
      <c r="I491" s="230"/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  <c r="V491" s="230"/>
      <c r="W491" s="230"/>
      <c r="X491" s="230"/>
      <c r="Y491" s="230"/>
      <c r="Z491" s="230"/>
    </row>
    <row r="492" spans="1:26" ht="21.75" x14ac:dyDescent="0.55000000000000004">
      <c r="A492" s="280"/>
      <c r="B492" s="230"/>
      <c r="C492" s="281"/>
      <c r="D492" s="281"/>
      <c r="E492" s="281"/>
      <c r="F492" s="282"/>
      <c r="G492" s="282"/>
      <c r="H492" s="230"/>
      <c r="I492" s="230"/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  <c r="V492" s="230"/>
      <c r="W492" s="230"/>
      <c r="X492" s="230"/>
      <c r="Y492" s="230"/>
      <c r="Z492" s="230"/>
    </row>
    <row r="493" spans="1:26" ht="21.75" x14ac:dyDescent="0.55000000000000004">
      <c r="A493" s="280"/>
      <c r="B493" s="230"/>
      <c r="C493" s="281"/>
      <c r="D493" s="281"/>
      <c r="E493" s="281"/>
      <c r="F493" s="282"/>
      <c r="G493" s="282"/>
      <c r="H493" s="230"/>
      <c r="I493" s="230"/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  <c r="V493" s="230"/>
      <c r="W493" s="230"/>
      <c r="X493" s="230"/>
      <c r="Y493" s="230"/>
      <c r="Z493" s="230"/>
    </row>
    <row r="494" spans="1:26" ht="21.75" x14ac:dyDescent="0.55000000000000004">
      <c r="A494" s="280"/>
      <c r="B494" s="230"/>
      <c r="C494" s="281"/>
      <c r="D494" s="281"/>
      <c r="E494" s="281"/>
      <c r="F494" s="282"/>
      <c r="G494" s="282"/>
      <c r="H494" s="230"/>
      <c r="I494" s="230"/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  <c r="V494" s="230"/>
      <c r="W494" s="230"/>
      <c r="X494" s="230"/>
      <c r="Y494" s="230"/>
      <c r="Z494" s="230"/>
    </row>
    <row r="495" spans="1:26" ht="21.75" x14ac:dyDescent="0.55000000000000004">
      <c r="A495" s="280"/>
      <c r="B495" s="230"/>
      <c r="C495" s="281"/>
      <c r="D495" s="281"/>
      <c r="E495" s="281"/>
      <c r="F495" s="282"/>
      <c r="G495" s="282"/>
      <c r="H495" s="230"/>
      <c r="I495" s="230"/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  <c r="V495" s="230"/>
      <c r="W495" s="230"/>
      <c r="X495" s="230"/>
      <c r="Y495" s="230"/>
      <c r="Z495" s="230"/>
    </row>
    <row r="496" spans="1:26" ht="21.75" x14ac:dyDescent="0.55000000000000004">
      <c r="A496" s="280"/>
      <c r="B496" s="230"/>
      <c r="C496" s="281"/>
      <c r="D496" s="281"/>
      <c r="E496" s="281"/>
      <c r="F496" s="282"/>
      <c r="G496" s="282"/>
      <c r="H496" s="230"/>
      <c r="I496" s="230"/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  <c r="V496" s="230"/>
      <c r="W496" s="230"/>
      <c r="X496" s="230"/>
      <c r="Y496" s="230"/>
      <c r="Z496" s="230"/>
    </row>
    <row r="497" spans="1:26" ht="21.75" x14ac:dyDescent="0.55000000000000004">
      <c r="A497" s="280"/>
      <c r="B497" s="230"/>
      <c r="C497" s="281"/>
      <c r="D497" s="281"/>
      <c r="E497" s="281"/>
      <c r="F497" s="282"/>
      <c r="G497" s="282"/>
      <c r="H497" s="230"/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  <c r="V497" s="230"/>
      <c r="W497" s="230"/>
      <c r="X497" s="230"/>
      <c r="Y497" s="230"/>
      <c r="Z497" s="230"/>
    </row>
    <row r="498" spans="1:26" ht="21.75" x14ac:dyDescent="0.55000000000000004">
      <c r="A498" s="280"/>
      <c r="B498" s="230"/>
      <c r="C498" s="281"/>
      <c r="D498" s="281"/>
      <c r="E498" s="281"/>
      <c r="F498" s="282"/>
      <c r="G498" s="282"/>
      <c r="H498" s="230"/>
      <c r="I498" s="230"/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  <c r="V498" s="230"/>
      <c r="W498" s="230"/>
      <c r="X498" s="230"/>
      <c r="Y498" s="230"/>
      <c r="Z498" s="230"/>
    </row>
    <row r="499" spans="1:26" ht="21.75" x14ac:dyDescent="0.55000000000000004">
      <c r="A499" s="280"/>
      <c r="B499" s="230"/>
      <c r="C499" s="281"/>
      <c r="D499" s="281"/>
      <c r="E499" s="281"/>
      <c r="F499" s="282"/>
      <c r="G499" s="282"/>
      <c r="H499" s="230"/>
      <c r="I499" s="230"/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  <c r="V499" s="230"/>
      <c r="W499" s="230"/>
      <c r="X499" s="230"/>
      <c r="Y499" s="230"/>
      <c r="Z499" s="230"/>
    </row>
    <row r="500" spans="1:26" ht="21.75" x14ac:dyDescent="0.55000000000000004">
      <c r="A500" s="280"/>
      <c r="B500" s="230"/>
      <c r="C500" s="281"/>
      <c r="D500" s="281"/>
      <c r="E500" s="281"/>
      <c r="F500" s="282"/>
      <c r="G500" s="282"/>
      <c r="H500" s="230"/>
      <c r="I500" s="230"/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  <c r="V500" s="230"/>
      <c r="W500" s="230"/>
      <c r="X500" s="230"/>
      <c r="Y500" s="230"/>
      <c r="Z500" s="230"/>
    </row>
    <row r="501" spans="1:26" ht="21.75" x14ac:dyDescent="0.55000000000000004">
      <c r="A501" s="280"/>
      <c r="B501" s="230"/>
      <c r="C501" s="281"/>
      <c r="D501" s="281"/>
      <c r="E501" s="281"/>
      <c r="F501" s="282"/>
      <c r="G501" s="282"/>
      <c r="H501" s="230"/>
      <c r="I501" s="230"/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  <c r="V501" s="230"/>
      <c r="W501" s="230"/>
      <c r="X501" s="230"/>
      <c r="Y501" s="230"/>
      <c r="Z501" s="230"/>
    </row>
    <row r="502" spans="1:26" ht="21.75" x14ac:dyDescent="0.55000000000000004">
      <c r="A502" s="280"/>
      <c r="B502" s="230"/>
      <c r="C502" s="281"/>
      <c r="D502" s="281"/>
      <c r="E502" s="281"/>
      <c r="F502" s="282"/>
      <c r="G502" s="282"/>
      <c r="H502" s="230"/>
      <c r="I502" s="230"/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  <c r="V502" s="230"/>
      <c r="W502" s="230"/>
      <c r="X502" s="230"/>
      <c r="Y502" s="230"/>
      <c r="Z502" s="230"/>
    </row>
    <row r="503" spans="1:26" ht="21.75" x14ac:dyDescent="0.55000000000000004">
      <c r="A503" s="280"/>
      <c r="B503" s="230"/>
      <c r="C503" s="281"/>
      <c r="D503" s="281"/>
      <c r="E503" s="281"/>
      <c r="F503" s="282"/>
      <c r="G503" s="282"/>
      <c r="H503" s="230"/>
      <c r="I503" s="230"/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  <c r="V503" s="230"/>
      <c r="W503" s="230"/>
      <c r="X503" s="230"/>
      <c r="Y503" s="230"/>
      <c r="Z503" s="230"/>
    </row>
    <row r="504" spans="1:26" ht="21.75" x14ac:dyDescent="0.55000000000000004">
      <c r="A504" s="280"/>
      <c r="B504" s="230"/>
      <c r="C504" s="281"/>
      <c r="D504" s="281"/>
      <c r="E504" s="281"/>
      <c r="F504" s="282"/>
      <c r="G504" s="282"/>
      <c r="H504" s="230"/>
      <c r="I504" s="230"/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  <c r="V504" s="230"/>
      <c r="W504" s="230"/>
      <c r="X504" s="230"/>
      <c r="Y504" s="230"/>
      <c r="Z504" s="230"/>
    </row>
    <row r="505" spans="1:26" ht="21.75" x14ac:dyDescent="0.55000000000000004">
      <c r="A505" s="280"/>
      <c r="B505" s="230"/>
      <c r="C505" s="281"/>
      <c r="D505" s="281"/>
      <c r="E505" s="281"/>
      <c r="F505" s="282"/>
      <c r="G505" s="282"/>
      <c r="H505" s="230"/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  <c r="V505" s="230"/>
      <c r="W505" s="230"/>
      <c r="X505" s="230"/>
      <c r="Y505" s="230"/>
      <c r="Z505" s="230"/>
    </row>
    <row r="506" spans="1:26" ht="21.75" x14ac:dyDescent="0.55000000000000004">
      <c r="A506" s="280"/>
      <c r="B506" s="230"/>
      <c r="C506" s="281"/>
      <c r="D506" s="281"/>
      <c r="E506" s="281"/>
      <c r="F506" s="282"/>
      <c r="G506" s="282"/>
      <c r="H506" s="230"/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  <c r="V506" s="230"/>
      <c r="W506" s="230"/>
      <c r="X506" s="230"/>
      <c r="Y506" s="230"/>
      <c r="Z506" s="230"/>
    </row>
    <row r="507" spans="1:26" ht="21.75" x14ac:dyDescent="0.55000000000000004">
      <c r="A507" s="280"/>
      <c r="B507" s="230"/>
      <c r="C507" s="281"/>
      <c r="D507" s="281"/>
      <c r="E507" s="281"/>
      <c r="F507" s="282"/>
      <c r="G507" s="282"/>
      <c r="H507" s="230"/>
      <c r="I507" s="230"/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  <c r="V507" s="230"/>
      <c r="W507" s="230"/>
      <c r="X507" s="230"/>
      <c r="Y507" s="230"/>
      <c r="Z507" s="230"/>
    </row>
    <row r="508" spans="1:26" ht="21.75" x14ac:dyDescent="0.55000000000000004">
      <c r="A508" s="280"/>
      <c r="B508" s="230"/>
      <c r="C508" s="281"/>
      <c r="D508" s="281"/>
      <c r="E508" s="281"/>
      <c r="F508" s="282"/>
      <c r="G508" s="282"/>
      <c r="H508" s="230"/>
      <c r="I508" s="230"/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  <c r="V508" s="230"/>
      <c r="W508" s="230"/>
      <c r="X508" s="230"/>
      <c r="Y508" s="230"/>
      <c r="Z508" s="230"/>
    </row>
    <row r="509" spans="1:26" ht="21.75" x14ac:dyDescent="0.55000000000000004">
      <c r="A509" s="280"/>
      <c r="B509" s="230"/>
      <c r="C509" s="281"/>
      <c r="D509" s="281"/>
      <c r="E509" s="281"/>
      <c r="F509" s="282"/>
      <c r="G509" s="282"/>
      <c r="H509" s="230"/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  <c r="V509" s="230"/>
      <c r="W509" s="230"/>
      <c r="X509" s="230"/>
      <c r="Y509" s="230"/>
      <c r="Z509" s="230"/>
    </row>
    <row r="510" spans="1:26" ht="21.75" x14ac:dyDescent="0.55000000000000004">
      <c r="A510" s="280"/>
      <c r="B510" s="230"/>
      <c r="C510" s="281"/>
      <c r="D510" s="281"/>
      <c r="E510" s="281"/>
      <c r="F510" s="282"/>
      <c r="G510" s="282"/>
      <c r="H510" s="230"/>
      <c r="I510" s="230"/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  <c r="V510" s="230"/>
      <c r="W510" s="230"/>
      <c r="X510" s="230"/>
      <c r="Y510" s="230"/>
      <c r="Z510" s="230"/>
    </row>
    <row r="511" spans="1:26" ht="21.75" x14ac:dyDescent="0.55000000000000004">
      <c r="A511" s="280"/>
      <c r="B511" s="230"/>
      <c r="C511" s="281"/>
      <c r="D511" s="281"/>
      <c r="E511" s="281"/>
      <c r="F511" s="282"/>
      <c r="G511" s="282"/>
      <c r="H511" s="230"/>
      <c r="I511" s="230"/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  <c r="V511" s="230"/>
      <c r="W511" s="230"/>
      <c r="X511" s="230"/>
      <c r="Y511" s="230"/>
      <c r="Z511" s="230"/>
    </row>
    <row r="512" spans="1:26" ht="21.75" x14ac:dyDescent="0.55000000000000004">
      <c r="A512" s="280"/>
      <c r="B512" s="230"/>
      <c r="C512" s="281"/>
      <c r="D512" s="281"/>
      <c r="E512" s="281"/>
      <c r="F512" s="282"/>
      <c r="G512" s="282"/>
      <c r="H512" s="230"/>
      <c r="I512" s="230"/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  <c r="V512" s="230"/>
      <c r="W512" s="230"/>
      <c r="X512" s="230"/>
      <c r="Y512" s="230"/>
      <c r="Z512" s="230"/>
    </row>
    <row r="513" spans="1:26" ht="21.75" x14ac:dyDescent="0.55000000000000004">
      <c r="A513" s="280"/>
      <c r="B513" s="230"/>
      <c r="C513" s="281"/>
      <c r="D513" s="281"/>
      <c r="E513" s="281"/>
      <c r="F513" s="282"/>
      <c r="G513" s="282"/>
      <c r="H513" s="230"/>
      <c r="I513" s="230"/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  <c r="V513" s="230"/>
      <c r="W513" s="230"/>
      <c r="X513" s="230"/>
      <c r="Y513" s="230"/>
      <c r="Z513" s="230"/>
    </row>
    <row r="514" spans="1:26" ht="21.75" x14ac:dyDescent="0.55000000000000004">
      <c r="A514" s="280"/>
      <c r="B514" s="230"/>
      <c r="C514" s="281"/>
      <c r="D514" s="281"/>
      <c r="E514" s="281"/>
      <c r="F514" s="282"/>
      <c r="G514" s="282"/>
      <c r="H514" s="230"/>
      <c r="I514" s="230"/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  <c r="V514" s="230"/>
      <c r="W514" s="230"/>
      <c r="X514" s="230"/>
      <c r="Y514" s="230"/>
      <c r="Z514" s="230"/>
    </row>
    <row r="515" spans="1:26" ht="21.75" x14ac:dyDescent="0.55000000000000004">
      <c r="A515" s="280"/>
      <c r="B515" s="230"/>
      <c r="C515" s="281"/>
      <c r="D515" s="281"/>
      <c r="E515" s="281"/>
      <c r="F515" s="282"/>
      <c r="G515" s="282"/>
      <c r="H515" s="230"/>
      <c r="I515" s="230"/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  <c r="V515" s="230"/>
      <c r="W515" s="230"/>
      <c r="X515" s="230"/>
      <c r="Y515" s="230"/>
      <c r="Z515" s="230"/>
    </row>
    <row r="516" spans="1:26" ht="21.75" x14ac:dyDescent="0.55000000000000004">
      <c r="A516" s="280"/>
      <c r="B516" s="230"/>
      <c r="C516" s="281"/>
      <c r="D516" s="281"/>
      <c r="E516" s="281"/>
      <c r="F516" s="282"/>
      <c r="G516" s="282"/>
      <c r="H516" s="230"/>
      <c r="I516" s="230"/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  <c r="V516" s="230"/>
      <c r="W516" s="230"/>
      <c r="X516" s="230"/>
      <c r="Y516" s="230"/>
      <c r="Z516" s="230"/>
    </row>
    <row r="517" spans="1:26" ht="21.75" x14ac:dyDescent="0.55000000000000004">
      <c r="A517" s="280"/>
      <c r="B517" s="230"/>
      <c r="C517" s="281"/>
      <c r="D517" s="281"/>
      <c r="E517" s="281"/>
      <c r="F517" s="282"/>
      <c r="G517" s="282"/>
      <c r="H517" s="230"/>
      <c r="I517" s="230"/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  <c r="V517" s="230"/>
      <c r="W517" s="230"/>
      <c r="X517" s="230"/>
      <c r="Y517" s="230"/>
      <c r="Z517" s="230"/>
    </row>
    <row r="518" spans="1:26" ht="21.75" x14ac:dyDescent="0.55000000000000004">
      <c r="A518" s="280"/>
      <c r="B518" s="230"/>
      <c r="C518" s="281"/>
      <c r="D518" s="281"/>
      <c r="E518" s="281"/>
      <c r="F518" s="282"/>
      <c r="G518" s="282"/>
      <c r="H518" s="230"/>
      <c r="I518" s="230"/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  <c r="V518" s="230"/>
      <c r="W518" s="230"/>
      <c r="X518" s="230"/>
      <c r="Y518" s="230"/>
      <c r="Z518" s="230"/>
    </row>
    <row r="519" spans="1:26" ht="21.75" x14ac:dyDescent="0.55000000000000004">
      <c r="A519" s="280"/>
      <c r="B519" s="230"/>
      <c r="C519" s="281"/>
      <c r="D519" s="281"/>
      <c r="E519" s="281"/>
      <c r="F519" s="282"/>
      <c r="G519" s="282"/>
      <c r="H519" s="230"/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  <c r="V519" s="230"/>
      <c r="W519" s="230"/>
      <c r="X519" s="230"/>
      <c r="Y519" s="230"/>
      <c r="Z519" s="230"/>
    </row>
    <row r="520" spans="1:26" ht="21.75" x14ac:dyDescent="0.55000000000000004">
      <c r="A520" s="280"/>
      <c r="B520" s="230"/>
      <c r="C520" s="281"/>
      <c r="D520" s="281"/>
      <c r="E520" s="281"/>
      <c r="F520" s="282"/>
      <c r="G520" s="282"/>
      <c r="H520" s="230"/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  <c r="V520" s="230"/>
      <c r="W520" s="230"/>
      <c r="X520" s="230"/>
      <c r="Y520" s="230"/>
      <c r="Z520" s="230"/>
    </row>
    <row r="521" spans="1:26" ht="21.75" x14ac:dyDescent="0.55000000000000004">
      <c r="A521" s="280"/>
      <c r="B521" s="230"/>
      <c r="C521" s="281"/>
      <c r="D521" s="281"/>
      <c r="E521" s="281"/>
      <c r="F521" s="282"/>
      <c r="G521" s="282"/>
      <c r="H521" s="230"/>
      <c r="I521" s="230"/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  <c r="V521" s="230"/>
      <c r="W521" s="230"/>
      <c r="X521" s="230"/>
      <c r="Y521" s="230"/>
      <c r="Z521" s="230"/>
    </row>
    <row r="522" spans="1:26" ht="21.75" x14ac:dyDescent="0.55000000000000004">
      <c r="A522" s="280"/>
      <c r="B522" s="230"/>
      <c r="C522" s="281"/>
      <c r="D522" s="281"/>
      <c r="E522" s="281"/>
      <c r="F522" s="282"/>
      <c r="G522" s="282"/>
      <c r="H522" s="230"/>
      <c r="I522" s="230"/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  <c r="V522" s="230"/>
      <c r="W522" s="230"/>
      <c r="X522" s="230"/>
      <c r="Y522" s="230"/>
      <c r="Z522" s="230"/>
    </row>
    <row r="523" spans="1:26" ht="21.75" x14ac:dyDescent="0.55000000000000004">
      <c r="A523" s="280"/>
      <c r="B523" s="230"/>
      <c r="C523" s="281"/>
      <c r="D523" s="281"/>
      <c r="E523" s="281"/>
      <c r="F523" s="282"/>
      <c r="G523" s="282"/>
      <c r="H523" s="230"/>
      <c r="I523" s="230"/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  <c r="V523" s="230"/>
      <c r="W523" s="230"/>
      <c r="X523" s="230"/>
      <c r="Y523" s="230"/>
      <c r="Z523" s="230"/>
    </row>
    <row r="524" spans="1:26" ht="21.75" x14ac:dyDescent="0.55000000000000004">
      <c r="A524" s="280"/>
      <c r="B524" s="230"/>
      <c r="C524" s="281"/>
      <c r="D524" s="281"/>
      <c r="E524" s="281"/>
      <c r="F524" s="282"/>
      <c r="G524" s="282"/>
      <c r="H524" s="230"/>
      <c r="I524" s="230"/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  <c r="V524" s="230"/>
      <c r="W524" s="230"/>
      <c r="X524" s="230"/>
      <c r="Y524" s="230"/>
      <c r="Z524" s="230"/>
    </row>
    <row r="525" spans="1:26" ht="21.75" x14ac:dyDescent="0.55000000000000004">
      <c r="A525" s="280"/>
      <c r="B525" s="230"/>
      <c r="C525" s="281"/>
      <c r="D525" s="281"/>
      <c r="E525" s="281"/>
      <c r="F525" s="282"/>
      <c r="G525" s="282"/>
      <c r="H525" s="230"/>
      <c r="I525" s="230"/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  <c r="V525" s="230"/>
      <c r="W525" s="230"/>
      <c r="X525" s="230"/>
      <c r="Y525" s="230"/>
      <c r="Z525" s="230"/>
    </row>
    <row r="526" spans="1:26" ht="21.75" x14ac:dyDescent="0.55000000000000004">
      <c r="A526" s="280"/>
      <c r="B526" s="230"/>
      <c r="C526" s="281"/>
      <c r="D526" s="281"/>
      <c r="E526" s="281"/>
      <c r="F526" s="282"/>
      <c r="G526" s="282"/>
      <c r="H526" s="230"/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  <c r="V526" s="230"/>
      <c r="W526" s="230"/>
      <c r="X526" s="230"/>
      <c r="Y526" s="230"/>
      <c r="Z526" s="230"/>
    </row>
    <row r="527" spans="1:26" ht="21.75" x14ac:dyDescent="0.55000000000000004">
      <c r="A527" s="280"/>
      <c r="B527" s="230"/>
      <c r="C527" s="281"/>
      <c r="D527" s="281"/>
      <c r="E527" s="281"/>
      <c r="F527" s="282"/>
      <c r="G527" s="282"/>
      <c r="H527" s="230"/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  <c r="V527" s="230"/>
      <c r="W527" s="230"/>
      <c r="X527" s="230"/>
      <c r="Y527" s="230"/>
      <c r="Z527" s="230"/>
    </row>
    <row r="528" spans="1:26" ht="21.75" x14ac:dyDescent="0.55000000000000004">
      <c r="A528" s="280"/>
      <c r="B528" s="230"/>
      <c r="C528" s="281"/>
      <c r="D528" s="281"/>
      <c r="E528" s="281"/>
      <c r="F528" s="282"/>
      <c r="G528" s="282"/>
      <c r="H528" s="230"/>
      <c r="I528" s="230"/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  <c r="V528" s="230"/>
      <c r="W528" s="230"/>
      <c r="X528" s="230"/>
      <c r="Y528" s="230"/>
      <c r="Z528" s="230"/>
    </row>
    <row r="529" spans="1:26" ht="21.75" x14ac:dyDescent="0.55000000000000004">
      <c r="A529" s="280"/>
      <c r="B529" s="230"/>
      <c r="C529" s="281"/>
      <c r="D529" s="281"/>
      <c r="E529" s="281"/>
      <c r="F529" s="282"/>
      <c r="G529" s="282"/>
      <c r="H529" s="230"/>
      <c r="I529" s="230"/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  <c r="V529" s="230"/>
      <c r="W529" s="230"/>
      <c r="X529" s="230"/>
      <c r="Y529" s="230"/>
      <c r="Z529" s="230"/>
    </row>
    <row r="530" spans="1:26" ht="21.75" x14ac:dyDescent="0.55000000000000004">
      <c r="A530" s="280"/>
      <c r="B530" s="230"/>
      <c r="C530" s="281"/>
      <c r="D530" s="281"/>
      <c r="E530" s="281"/>
      <c r="F530" s="282"/>
      <c r="G530" s="282"/>
      <c r="H530" s="230"/>
      <c r="I530" s="230"/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  <c r="V530" s="230"/>
      <c r="W530" s="230"/>
      <c r="X530" s="230"/>
      <c r="Y530" s="230"/>
      <c r="Z530" s="230"/>
    </row>
    <row r="531" spans="1:26" ht="21.75" x14ac:dyDescent="0.55000000000000004">
      <c r="A531" s="280"/>
      <c r="B531" s="230"/>
      <c r="C531" s="281"/>
      <c r="D531" s="281"/>
      <c r="E531" s="281"/>
      <c r="F531" s="282"/>
      <c r="G531" s="282"/>
      <c r="H531" s="230"/>
      <c r="I531" s="230"/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  <c r="V531" s="230"/>
      <c r="W531" s="230"/>
      <c r="X531" s="230"/>
      <c r="Y531" s="230"/>
      <c r="Z531" s="230"/>
    </row>
    <row r="532" spans="1:26" ht="21.75" x14ac:dyDescent="0.55000000000000004">
      <c r="A532" s="280"/>
      <c r="B532" s="230"/>
      <c r="C532" s="281"/>
      <c r="D532" s="281"/>
      <c r="E532" s="281"/>
      <c r="F532" s="282"/>
      <c r="G532" s="282"/>
      <c r="H532" s="230"/>
      <c r="I532" s="230"/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  <c r="V532" s="230"/>
      <c r="W532" s="230"/>
      <c r="X532" s="230"/>
      <c r="Y532" s="230"/>
      <c r="Z532" s="230"/>
    </row>
    <row r="533" spans="1:26" ht="21.75" x14ac:dyDescent="0.55000000000000004">
      <c r="A533" s="280"/>
      <c r="B533" s="230"/>
      <c r="C533" s="281"/>
      <c r="D533" s="281"/>
      <c r="E533" s="281"/>
      <c r="F533" s="282"/>
      <c r="G533" s="282"/>
      <c r="H533" s="230"/>
      <c r="I533" s="230"/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  <c r="V533" s="230"/>
      <c r="W533" s="230"/>
      <c r="X533" s="230"/>
      <c r="Y533" s="230"/>
      <c r="Z533" s="230"/>
    </row>
    <row r="534" spans="1:26" ht="21.75" x14ac:dyDescent="0.55000000000000004">
      <c r="A534" s="280"/>
      <c r="B534" s="230"/>
      <c r="C534" s="281"/>
      <c r="D534" s="281"/>
      <c r="E534" s="281"/>
      <c r="F534" s="282"/>
      <c r="G534" s="282"/>
      <c r="H534" s="230"/>
      <c r="I534" s="230"/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  <c r="V534" s="230"/>
      <c r="W534" s="230"/>
      <c r="X534" s="230"/>
      <c r="Y534" s="230"/>
      <c r="Z534" s="230"/>
    </row>
    <row r="535" spans="1:26" ht="21.75" x14ac:dyDescent="0.55000000000000004">
      <c r="A535" s="280"/>
      <c r="B535" s="230"/>
      <c r="C535" s="281"/>
      <c r="D535" s="281"/>
      <c r="E535" s="281"/>
      <c r="F535" s="282"/>
      <c r="G535" s="282"/>
      <c r="H535" s="230"/>
      <c r="I535" s="230"/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  <c r="V535" s="230"/>
      <c r="W535" s="230"/>
      <c r="X535" s="230"/>
      <c r="Y535" s="230"/>
      <c r="Z535" s="230"/>
    </row>
    <row r="536" spans="1:26" ht="21.75" x14ac:dyDescent="0.55000000000000004">
      <c r="A536" s="280"/>
      <c r="B536" s="230"/>
      <c r="C536" s="281"/>
      <c r="D536" s="281"/>
      <c r="E536" s="281"/>
      <c r="F536" s="282"/>
      <c r="G536" s="282"/>
      <c r="H536" s="230"/>
      <c r="I536" s="230"/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  <c r="V536" s="230"/>
      <c r="W536" s="230"/>
      <c r="X536" s="230"/>
      <c r="Y536" s="230"/>
      <c r="Z536" s="230"/>
    </row>
    <row r="537" spans="1:26" ht="21.75" x14ac:dyDescent="0.55000000000000004">
      <c r="A537" s="280"/>
      <c r="B537" s="230"/>
      <c r="C537" s="281"/>
      <c r="D537" s="281"/>
      <c r="E537" s="281"/>
      <c r="F537" s="282"/>
      <c r="G537" s="282"/>
      <c r="H537" s="230"/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  <c r="V537" s="230"/>
      <c r="W537" s="230"/>
      <c r="X537" s="230"/>
      <c r="Y537" s="230"/>
      <c r="Z537" s="230"/>
    </row>
    <row r="538" spans="1:26" ht="21.75" x14ac:dyDescent="0.55000000000000004">
      <c r="A538" s="280"/>
      <c r="B538" s="230"/>
      <c r="C538" s="281"/>
      <c r="D538" s="281"/>
      <c r="E538" s="281"/>
      <c r="F538" s="282"/>
      <c r="G538" s="282"/>
      <c r="H538" s="230"/>
      <c r="I538" s="230"/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  <c r="V538" s="230"/>
      <c r="W538" s="230"/>
      <c r="X538" s="230"/>
      <c r="Y538" s="230"/>
      <c r="Z538" s="230"/>
    </row>
    <row r="539" spans="1:26" ht="21.75" x14ac:dyDescent="0.55000000000000004">
      <c r="A539" s="280"/>
      <c r="B539" s="230"/>
      <c r="C539" s="281"/>
      <c r="D539" s="281"/>
      <c r="E539" s="281"/>
      <c r="F539" s="282"/>
      <c r="G539" s="282"/>
      <c r="H539" s="230"/>
      <c r="I539" s="230"/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  <c r="V539" s="230"/>
      <c r="W539" s="230"/>
      <c r="X539" s="230"/>
      <c r="Y539" s="230"/>
      <c r="Z539" s="230"/>
    </row>
    <row r="540" spans="1:26" ht="21.75" x14ac:dyDescent="0.55000000000000004">
      <c r="A540" s="280"/>
      <c r="B540" s="230"/>
      <c r="C540" s="281"/>
      <c r="D540" s="281"/>
      <c r="E540" s="281"/>
      <c r="F540" s="282"/>
      <c r="G540" s="282"/>
      <c r="H540" s="230"/>
      <c r="I540" s="230"/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  <c r="V540" s="230"/>
      <c r="W540" s="230"/>
      <c r="X540" s="230"/>
      <c r="Y540" s="230"/>
      <c r="Z540" s="230"/>
    </row>
    <row r="541" spans="1:26" ht="21.75" x14ac:dyDescent="0.55000000000000004">
      <c r="A541" s="280"/>
      <c r="B541" s="230"/>
      <c r="C541" s="281"/>
      <c r="D541" s="281"/>
      <c r="E541" s="281"/>
      <c r="F541" s="282"/>
      <c r="G541" s="282"/>
      <c r="H541" s="230"/>
      <c r="I541" s="230"/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  <c r="V541" s="230"/>
      <c r="W541" s="230"/>
      <c r="X541" s="230"/>
      <c r="Y541" s="230"/>
      <c r="Z541" s="230"/>
    </row>
    <row r="542" spans="1:26" ht="21.75" x14ac:dyDescent="0.55000000000000004">
      <c r="A542" s="280"/>
      <c r="B542" s="230"/>
      <c r="C542" s="281"/>
      <c r="D542" s="281"/>
      <c r="E542" s="281"/>
      <c r="F542" s="282"/>
      <c r="G542" s="282"/>
      <c r="H542" s="230"/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  <c r="V542" s="230"/>
      <c r="W542" s="230"/>
      <c r="X542" s="230"/>
      <c r="Y542" s="230"/>
      <c r="Z542" s="230"/>
    </row>
    <row r="543" spans="1:26" ht="21.75" x14ac:dyDescent="0.55000000000000004">
      <c r="A543" s="280"/>
      <c r="B543" s="230"/>
      <c r="C543" s="281"/>
      <c r="D543" s="281"/>
      <c r="E543" s="281"/>
      <c r="F543" s="282"/>
      <c r="G543" s="282"/>
      <c r="H543" s="230"/>
      <c r="I543" s="230"/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  <c r="V543" s="230"/>
      <c r="W543" s="230"/>
      <c r="X543" s="230"/>
      <c r="Y543" s="230"/>
      <c r="Z543" s="230"/>
    </row>
    <row r="544" spans="1:26" ht="21.75" x14ac:dyDescent="0.55000000000000004">
      <c r="A544" s="280"/>
      <c r="B544" s="230"/>
      <c r="C544" s="281"/>
      <c r="D544" s="281"/>
      <c r="E544" s="281"/>
      <c r="F544" s="282"/>
      <c r="G544" s="282"/>
      <c r="H544" s="230"/>
      <c r="I544" s="230"/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  <c r="V544" s="230"/>
      <c r="W544" s="230"/>
      <c r="X544" s="230"/>
      <c r="Y544" s="230"/>
      <c r="Z544" s="230"/>
    </row>
    <row r="545" spans="1:26" ht="21.75" x14ac:dyDescent="0.55000000000000004">
      <c r="A545" s="280"/>
      <c r="B545" s="230"/>
      <c r="C545" s="281"/>
      <c r="D545" s="281"/>
      <c r="E545" s="281"/>
      <c r="F545" s="282"/>
      <c r="G545" s="282"/>
      <c r="H545" s="230"/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  <c r="V545" s="230"/>
      <c r="W545" s="230"/>
      <c r="X545" s="230"/>
      <c r="Y545" s="230"/>
      <c r="Z545" s="230"/>
    </row>
    <row r="546" spans="1:26" ht="21.75" x14ac:dyDescent="0.55000000000000004">
      <c r="A546" s="280"/>
      <c r="B546" s="230"/>
      <c r="C546" s="281"/>
      <c r="D546" s="281"/>
      <c r="E546" s="281"/>
      <c r="F546" s="282"/>
      <c r="G546" s="282"/>
      <c r="H546" s="230"/>
      <c r="I546" s="230"/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  <c r="V546" s="230"/>
      <c r="W546" s="230"/>
      <c r="X546" s="230"/>
      <c r="Y546" s="230"/>
      <c r="Z546" s="230"/>
    </row>
    <row r="547" spans="1:26" ht="21.75" x14ac:dyDescent="0.55000000000000004">
      <c r="A547" s="280"/>
      <c r="B547" s="230"/>
      <c r="C547" s="281"/>
      <c r="D547" s="281"/>
      <c r="E547" s="281"/>
      <c r="F547" s="282"/>
      <c r="G547" s="282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30"/>
      <c r="Z547" s="230"/>
    </row>
    <row r="548" spans="1:26" ht="21.75" x14ac:dyDescent="0.55000000000000004">
      <c r="A548" s="280"/>
      <c r="B548" s="230"/>
      <c r="C548" s="281"/>
      <c r="D548" s="281"/>
      <c r="E548" s="281"/>
      <c r="F548" s="282"/>
      <c r="G548" s="282"/>
      <c r="H548" s="230"/>
      <c r="I548" s="230"/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  <c r="V548" s="230"/>
      <c r="W548" s="230"/>
      <c r="X548" s="230"/>
      <c r="Y548" s="230"/>
      <c r="Z548" s="230"/>
    </row>
    <row r="549" spans="1:26" ht="21.75" x14ac:dyDescent="0.55000000000000004">
      <c r="A549" s="280"/>
      <c r="B549" s="230"/>
      <c r="C549" s="281"/>
      <c r="D549" s="281"/>
      <c r="E549" s="281"/>
      <c r="F549" s="282"/>
      <c r="G549" s="282"/>
      <c r="H549" s="230"/>
      <c r="I549" s="230"/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  <c r="V549" s="230"/>
      <c r="W549" s="230"/>
      <c r="X549" s="230"/>
      <c r="Y549" s="230"/>
      <c r="Z549" s="230"/>
    </row>
    <row r="550" spans="1:26" ht="21.75" x14ac:dyDescent="0.55000000000000004">
      <c r="A550" s="280"/>
      <c r="B550" s="230"/>
      <c r="C550" s="281"/>
      <c r="D550" s="281"/>
      <c r="E550" s="281"/>
      <c r="F550" s="282"/>
      <c r="G550" s="282"/>
      <c r="H550" s="230"/>
      <c r="I550" s="230"/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  <c r="V550" s="230"/>
      <c r="W550" s="230"/>
      <c r="X550" s="230"/>
      <c r="Y550" s="230"/>
      <c r="Z550" s="230"/>
    </row>
    <row r="551" spans="1:26" ht="21.75" x14ac:dyDescent="0.55000000000000004">
      <c r="A551" s="280"/>
      <c r="B551" s="230"/>
      <c r="C551" s="281"/>
      <c r="D551" s="281"/>
      <c r="E551" s="281"/>
      <c r="F551" s="282"/>
      <c r="G551" s="282"/>
      <c r="H551" s="230"/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  <c r="V551" s="230"/>
      <c r="W551" s="230"/>
      <c r="X551" s="230"/>
      <c r="Y551" s="230"/>
      <c r="Z551" s="230"/>
    </row>
    <row r="552" spans="1:26" ht="21.75" x14ac:dyDescent="0.55000000000000004">
      <c r="A552" s="280"/>
      <c r="B552" s="230"/>
      <c r="C552" s="281"/>
      <c r="D552" s="281"/>
      <c r="E552" s="281"/>
      <c r="F552" s="282"/>
      <c r="G552" s="282"/>
      <c r="H552" s="230"/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  <c r="V552" s="230"/>
      <c r="W552" s="230"/>
      <c r="X552" s="230"/>
      <c r="Y552" s="230"/>
      <c r="Z552" s="230"/>
    </row>
    <row r="553" spans="1:26" ht="21.75" x14ac:dyDescent="0.55000000000000004">
      <c r="A553" s="280"/>
      <c r="B553" s="230"/>
      <c r="C553" s="281"/>
      <c r="D553" s="281"/>
      <c r="E553" s="281"/>
      <c r="F553" s="282"/>
      <c r="G553" s="282"/>
      <c r="H553" s="230"/>
      <c r="I553" s="230"/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  <c r="V553" s="230"/>
      <c r="W553" s="230"/>
      <c r="X553" s="230"/>
      <c r="Y553" s="230"/>
      <c r="Z553" s="230"/>
    </row>
    <row r="554" spans="1:26" ht="21.75" x14ac:dyDescent="0.55000000000000004">
      <c r="A554" s="280"/>
      <c r="B554" s="230"/>
      <c r="C554" s="281"/>
      <c r="D554" s="281"/>
      <c r="E554" s="281"/>
      <c r="F554" s="282"/>
      <c r="G554" s="282"/>
      <c r="H554" s="230"/>
      <c r="I554" s="230"/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  <c r="V554" s="230"/>
      <c r="W554" s="230"/>
      <c r="X554" s="230"/>
      <c r="Y554" s="230"/>
      <c r="Z554" s="230"/>
    </row>
    <row r="555" spans="1:26" ht="21.75" x14ac:dyDescent="0.55000000000000004">
      <c r="A555" s="280"/>
      <c r="B555" s="230"/>
      <c r="C555" s="281"/>
      <c r="D555" s="281"/>
      <c r="E555" s="281"/>
      <c r="F555" s="282"/>
      <c r="G555" s="282"/>
      <c r="H555" s="230"/>
      <c r="I555" s="230"/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  <c r="V555" s="230"/>
      <c r="W555" s="230"/>
      <c r="X555" s="230"/>
      <c r="Y555" s="230"/>
      <c r="Z555" s="230"/>
    </row>
    <row r="556" spans="1:26" ht="21.75" x14ac:dyDescent="0.55000000000000004">
      <c r="A556" s="280"/>
      <c r="B556" s="230"/>
      <c r="C556" s="281"/>
      <c r="D556" s="281"/>
      <c r="E556" s="281"/>
      <c r="F556" s="282"/>
      <c r="G556" s="282"/>
      <c r="H556" s="230"/>
      <c r="I556" s="230"/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  <c r="V556" s="230"/>
      <c r="W556" s="230"/>
      <c r="X556" s="230"/>
      <c r="Y556" s="230"/>
      <c r="Z556" s="230"/>
    </row>
    <row r="557" spans="1:26" ht="21.75" x14ac:dyDescent="0.55000000000000004">
      <c r="A557" s="280"/>
      <c r="B557" s="230"/>
      <c r="C557" s="281"/>
      <c r="D557" s="281"/>
      <c r="E557" s="281"/>
      <c r="F557" s="282"/>
      <c r="G557" s="282"/>
      <c r="H557" s="230"/>
      <c r="I557" s="230"/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  <c r="V557" s="230"/>
      <c r="W557" s="230"/>
      <c r="X557" s="230"/>
      <c r="Y557" s="230"/>
      <c r="Z557" s="230"/>
    </row>
    <row r="558" spans="1:26" ht="21.75" x14ac:dyDescent="0.55000000000000004">
      <c r="A558" s="280"/>
      <c r="B558" s="230"/>
      <c r="C558" s="281"/>
      <c r="D558" s="281"/>
      <c r="E558" s="281"/>
      <c r="F558" s="282"/>
      <c r="G558" s="282"/>
      <c r="H558" s="230"/>
      <c r="I558" s="230"/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  <c r="V558" s="230"/>
      <c r="W558" s="230"/>
      <c r="X558" s="230"/>
      <c r="Y558" s="230"/>
      <c r="Z558" s="230"/>
    </row>
    <row r="559" spans="1:26" ht="21.75" x14ac:dyDescent="0.55000000000000004">
      <c r="A559" s="280"/>
      <c r="B559" s="230"/>
      <c r="C559" s="281"/>
      <c r="D559" s="281"/>
      <c r="E559" s="281"/>
      <c r="F559" s="282"/>
      <c r="G559" s="282"/>
      <c r="H559" s="230"/>
      <c r="I559" s="230"/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  <c r="V559" s="230"/>
      <c r="W559" s="230"/>
      <c r="X559" s="230"/>
      <c r="Y559" s="230"/>
      <c r="Z559" s="230"/>
    </row>
    <row r="560" spans="1:26" ht="21.75" x14ac:dyDescent="0.55000000000000004">
      <c r="A560" s="280"/>
      <c r="B560" s="230"/>
      <c r="C560" s="281"/>
      <c r="D560" s="281"/>
      <c r="E560" s="281"/>
      <c r="F560" s="282"/>
      <c r="G560" s="282"/>
      <c r="H560" s="230"/>
      <c r="I560" s="230"/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  <c r="V560" s="230"/>
      <c r="W560" s="230"/>
      <c r="X560" s="230"/>
      <c r="Y560" s="230"/>
      <c r="Z560" s="230"/>
    </row>
    <row r="561" spans="1:26" ht="21.75" x14ac:dyDescent="0.55000000000000004">
      <c r="A561" s="280"/>
      <c r="B561" s="230"/>
      <c r="C561" s="281"/>
      <c r="D561" s="281"/>
      <c r="E561" s="281"/>
      <c r="F561" s="282"/>
      <c r="G561" s="282"/>
      <c r="H561" s="230"/>
      <c r="I561" s="230"/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  <c r="V561" s="230"/>
      <c r="W561" s="230"/>
      <c r="X561" s="230"/>
      <c r="Y561" s="230"/>
      <c r="Z561" s="230"/>
    </row>
    <row r="562" spans="1:26" ht="21.75" x14ac:dyDescent="0.55000000000000004">
      <c r="A562" s="280"/>
      <c r="B562" s="230"/>
      <c r="C562" s="281"/>
      <c r="D562" s="281"/>
      <c r="E562" s="281"/>
      <c r="F562" s="282"/>
      <c r="G562" s="282"/>
      <c r="H562" s="230"/>
      <c r="I562" s="230"/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  <c r="V562" s="230"/>
      <c r="W562" s="230"/>
      <c r="X562" s="230"/>
      <c r="Y562" s="230"/>
      <c r="Z562" s="230"/>
    </row>
    <row r="563" spans="1:26" ht="21.75" x14ac:dyDescent="0.55000000000000004">
      <c r="A563" s="280"/>
      <c r="B563" s="230"/>
      <c r="C563" s="281"/>
      <c r="D563" s="281"/>
      <c r="E563" s="281"/>
      <c r="F563" s="282"/>
      <c r="G563" s="282"/>
      <c r="H563" s="230"/>
      <c r="I563" s="230"/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  <c r="V563" s="230"/>
      <c r="W563" s="230"/>
      <c r="X563" s="230"/>
      <c r="Y563" s="230"/>
      <c r="Z563" s="230"/>
    </row>
    <row r="564" spans="1:26" ht="21.75" x14ac:dyDescent="0.55000000000000004">
      <c r="A564" s="280"/>
      <c r="B564" s="230"/>
      <c r="C564" s="281"/>
      <c r="D564" s="281"/>
      <c r="E564" s="281"/>
      <c r="F564" s="282"/>
      <c r="G564" s="282"/>
      <c r="H564" s="230"/>
      <c r="I564" s="230"/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  <c r="V564" s="230"/>
      <c r="W564" s="230"/>
      <c r="X564" s="230"/>
      <c r="Y564" s="230"/>
      <c r="Z564" s="230"/>
    </row>
    <row r="565" spans="1:26" ht="21.75" x14ac:dyDescent="0.55000000000000004">
      <c r="A565" s="280"/>
      <c r="B565" s="230"/>
      <c r="C565" s="281"/>
      <c r="D565" s="281"/>
      <c r="E565" s="281"/>
      <c r="F565" s="282"/>
      <c r="G565" s="282"/>
      <c r="H565" s="230"/>
      <c r="I565" s="230"/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  <c r="V565" s="230"/>
      <c r="W565" s="230"/>
      <c r="X565" s="230"/>
      <c r="Y565" s="230"/>
      <c r="Z565" s="230"/>
    </row>
    <row r="566" spans="1:26" ht="21.75" x14ac:dyDescent="0.55000000000000004">
      <c r="A566" s="280"/>
      <c r="B566" s="230"/>
      <c r="C566" s="281"/>
      <c r="D566" s="281"/>
      <c r="E566" s="281"/>
      <c r="F566" s="282"/>
      <c r="G566" s="282"/>
      <c r="H566" s="230"/>
      <c r="I566" s="230"/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  <c r="V566" s="230"/>
      <c r="W566" s="230"/>
      <c r="X566" s="230"/>
      <c r="Y566" s="230"/>
      <c r="Z566" s="230"/>
    </row>
    <row r="567" spans="1:26" ht="21.75" x14ac:dyDescent="0.55000000000000004">
      <c r="A567" s="280"/>
      <c r="B567" s="230"/>
      <c r="C567" s="281"/>
      <c r="D567" s="281"/>
      <c r="E567" s="281"/>
      <c r="F567" s="282"/>
      <c r="G567" s="282"/>
      <c r="H567" s="230"/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  <c r="V567" s="230"/>
      <c r="W567" s="230"/>
      <c r="X567" s="230"/>
      <c r="Y567" s="230"/>
      <c r="Z567" s="230"/>
    </row>
    <row r="568" spans="1:26" ht="21.75" x14ac:dyDescent="0.55000000000000004">
      <c r="A568" s="280"/>
      <c r="B568" s="230"/>
      <c r="C568" s="281"/>
      <c r="D568" s="281"/>
      <c r="E568" s="281"/>
      <c r="F568" s="282"/>
      <c r="G568" s="282"/>
      <c r="H568" s="230"/>
      <c r="I568" s="230"/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  <c r="V568" s="230"/>
      <c r="W568" s="230"/>
      <c r="X568" s="230"/>
      <c r="Y568" s="230"/>
      <c r="Z568" s="230"/>
    </row>
    <row r="569" spans="1:26" ht="21.75" x14ac:dyDescent="0.55000000000000004">
      <c r="A569" s="280"/>
      <c r="B569" s="230"/>
      <c r="C569" s="281"/>
      <c r="D569" s="281"/>
      <c r="E569" s="281"/>
      <c r="F569" s="282"/>
      <c r="G569" s="282"/>
      <c r="H569" s="230"/>
      <c r="I569" s="230"/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  <c r="V569" s="230"/>
      <c r="W569" s="230"/>
      <c r="X569" s="230"/>
      <c r="Y569" s="230"/>
      <c r="Z569" s="230"/>
    </row>
    <row r="570" spans="1:26" ht="21.75" x14ac:dyDescent="0.55000000000000004">
      <c r="A570" s="280"/>
      <c r="B570" s="230"/>
      <c r="C570" s="281"/>
      <c r="D570" s="281"/>
      <c r="E570" s="281"/>
      <c r="F570" s="282"/>
      <c r="G570" s="282"/>
      <c r="H570" s="230"/>
      <c r="I570" s="230"/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  <c r="V570" s="230"/>
      <c r="W570" s="230"/>
      <c r="X570" s="230"/>
      <c r="Y570" s="230"/>
      <c r="Z570" s="230"/>
    </row>
    <row r="571" spans="1:26" ht="21.75" x14ac:dyDescent="0.55000000000000004">
      <c r="A571" s="280"/>
      <c r="B571" s="230"/>
      <c r="C571" s="281"/>
      <c r="D571" s="281"/>
      <c r="E571" s="281"/>
      <c r="F571" s="282"/>
      <c r="G571" s="282"/>
      <c r="H571" s="230"/>
      <c r="I571" s="230"/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  <c r="V571" s="230"/>
      <c r="W571" s="230"/>
      <c r="X571" s="230"/>
      <c r="Y571" s="230"/>
      <c r="Z571" s="230"/>
    </row>
    <row r="572" spans="1:26" ht="21.75" x14ac:dyDescent="0.55000000000000004">
      <c r="A572" s="280"/>
      <c r="B572" s="230"/>
      <c r="C572" s="281"/>
      <c r="D572" s="281"/>
      <c r="E572" s="281"/>
      <c r="F572" s="282"/>
      <c r="G572" s="282"/>
      <c r="H572" s="230"/>
      <c r="I572" s="230"/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  <c r="V572" s="230"/>
      <c r="W572" s="230"/>
      <c r="X572" s="230"/>
      <c r="Y572" s="230"/>
      <c r="Z572" s="230"/>
    </row>
    <row r="573" spans="1:26" ht="21.75" x14ac:dyDescent="0.55000000000000004">
      <c r="A573" s="280"/>
      <c r="B573" s="230"/>
      <c r="C573" s="281"/>
      <c r="D573" s="281"/>
      <c r="E573" s="281"/>
      <c r="F573" s="282"/>
      <c r="G573" s="282"/>
      <c r="H573" s="230"/>
      <c r="I573" s="230"/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  <c r="V573" s="230"/>
      <c r="W573" s="230"/>
      <c r="X573" s="230"/>
      <c r="Y573" s="230"/>
      <c r="Z573" s="230"/>
    </row>
    <row r="574" spans="1:26" ht="21.75" x14ac:dyDescent="0.55000000000000004">
      <c r="A574" s="280"/>
      <c r="B574" s="230"/>
      <c r="C574" s="281"/>
      <c r="D574" s="281"/>
      <c r="E574" s="281"/>
      <c r="F574" s="282"/>
      <c r="G574" s="282"/>
      <c r="H574" s="230"/>
      <c r="I574" s="230"/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  <c r="V574" s="230"/>
      <c r="W574" s="230"/>
      <c r="X574" s="230"/>
      <c r="Y574" s="230"/>
      <c r="Z574" s="230"/>
    </row>
    <row r="575" spans="1:26" ht="21.75" x14ac:dyDescent="0.55000000000000004">
      <c r="A575" s="280"/>
      <c r="B575" s="230"/>
      <c r="C575" s="281"/>
      <c r="D575" s="281"/>
      <c r="E575" s="281"/>
      <c r="F575" s="282"/>
      <c r="G575" s="282"/>
      <c r="H575" s="230"/>
      <c r="I575" s="230"/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  <c r="V575" s="230"/>
      <c r="W575" s="230"/>
      <c r="X575" s="230"/>
      <c r="Y575" s="230"/>
      <c r="Z575" s="230"/>
    </row>
    <row r="576" spans="1:26" ht="21.75" x14ac:dyDescent="0.55000000000000004">
      <c r="A576" s="280"/>
      <c r="B576" s="230"/>
      <c r="C576" s="281"/>
      <c r="D576" s="281"/>
      <c r="E576" s="281"/>
      <c r="F576" s="282"/>
      <c r="G576" s="282"/>
      <c r="H576" s="230"/>
      <c r="I576" s="230"/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  <c r="V576" s="230"/>
      <c r="W576" s="230"/>
      <c r="X576" s="230"/>
      <c r="Y576" s="230"/>
      <c r="Z576" s="230"/>
    </row>
    <row r="577" spans="1:26" ht="21.75" x14ac:dyDescent="0.55000000000000004">
      <c r="A577" s="280"/>
      <c r="B577" s="230"/>
      <c r="C577" s="281"/>
      <c r="D577" s="281"/>
      <c r="E577" s="281"/>
      <c r="F577" s="282"/>
      <c r="G577" s="282"/>
      <c r="H577" s="230"/>
      <c r="I577" s="230"/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  <c r="V577" s="230"/>
      <c r="W577" s="230"/>
      <c r="X577" s="230"/>
      <c r="Y577" s="230"/>
      <c r="Z577" s="230"/>
    </row>
    <row r="578" spans="1:26" ht="21.75" x14ac:dyDescent="0.55000000000000004">
      <c r="A578" s="280"/>
      <c r="B578" s="230"/>
      <c r="C578" s="281"/>
      <c r="D578" s="281"/>
      <c r="E578" s="281"/>
      <c r="F578" s="282"/>
      <c r="G578" s="282"/>
      <c r="H578" s="230"/>
      <c r="I578" s="230"/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  <c r="V578" s="230"/>
      <c r="W578" s="230"/>
      <c r="X578" s="230"/>
      <c r="Y578" s="230"/>
      <c r="Z578" s="230"/>
    </row>
    <row r="579" spans="1:26" ht="21.75" x14ac:dyDescent="0.55000000000000004">
      <c r="A579" s="280"/>
      <c r="B579" s="230"/>
      <c r="C579" s="281"/>
      <c r="D579" s="281"/>
      <c r="E579" s="281"/>
      <c r="F579" s="282"/>
      <c r="G579" s="282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  <c r="Y579" s="230"/>
      <c r="Z579" s="230"/>
    </row>
    <row r="580" spans="1:26" ht="21.75" x14ac:dyDescent="0.55000000000000004">
      <c r="A580" s="280"/>
      <c r="B580" s="230"/>
      <c r="C580" s="281"/>
      <c r="D580" s="281"/>
      <c r="E580" s="281"/>
      <c r="F580" s="282"/>
      <c r="G580" s="282"/>
      <c r="H580" s="230"/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  <c r="V580" s="230"/>
      <c r="W580" s="230"/>
      <c r="X580" s="230"/>
      <c r="Y580" s="230"/>
      <c r="Z580" s="230"/>
    </row>
    <row r="581" spans="1:26" ht="21.75" x14ac:dyDescent="0.55000000000000004">
      <c r="A581" s="280"/>
      <c r="B581" s="230"/>
      <c r="C581" s="281"/>
      <c r="D581" s="281"/>
      <c r="E581" s="281"/>
      <c r="F581" s="282"/>
      <c r="G581" s="282"/>
      <c r="H581" s="230"/>
      <c r="I581" s="230"/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  <c r="V581" s="230"/>
      <c r="W581" s="230"/>
      <c r="X581" s="230"/>
      <c r="Y581" s="230"/>
      <c r="Z581" s="230"/>
    </row>
    <row r="582" spans="1:26" ht="21.75" x14ac:dyDescent="0.55000000000000004">
      <c r="A582" s="280"/>
      <c r="B582" s="230"/>
      <c r="C582" s="281"/>
      <c r="D582" s="281"/>
      <c r="E582" s="281"/>
      <c r="F582" s="282"/>
      <c r="G582" s="282"/>
      <c r="H582" s="230"/>
      <c r="I582" s="230"/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  <c r="V582" s="230"/>
      <c r="W582" s="230"/>
      <c r="X582" s="230"/>
      <c r="Y582" s="230"/>
      <c r="Z582" s="230"/>
    </row>
    <row r="583" spans="1:26" ht="21.75" x14ac:dyDescent="0.55000000000000004">
      <c r="A583" s="280"/>
      <c r="B583" s="230"/>
      <c r="C583" s="281"/>
      <c r="D583" s="281"/>
      <c r="E583" s="281"/>
      <c r="F583" s="282"/>
      <c r="G583" s="282"/>
      <c r="H583" s="230"/>
      <c r="I583" s="230"/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  <c r="V583" s="230"/>
      <c r="W583" s="230"/>
      <c r="X583" s="230"/>
      <c r="Y583" s="230"/>
      <c r="Z583" s="230"/>
    </row>
    <row r="584" spans="1:26" ht="21.75" x14ac:dyDescent="0.55000000000000004">
      <c r="A584" s="280"/>
      <c r="B584" s="230"/>
      <c r="C584" s="281"/>
      <c r="D584" s="281"/>
      <c r="E584" s="281"/>
      <c r="F584" s="282"/>
      <c r="G584" s="282"/>
      <c r="H584" s="230"/>
      <c r="I584" s="230"/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  <c r="V584" s="230"/>
      <c r="W584" s="230"/>
      <c r="X584" s="230"/>
      <c r="Y584" s="230"/>
      <c r="Z584" s="230"/>
    </row>
    <row r="585" spans="1:26" ht="21.75" x14ac:dyDescent="0.55000000000000004">
      <c r="A585" s="280"/>
      <c r="B585" s="230"/>
      <c r="C585" s="281"/>
      <c r="D585" s="281"/>
      <c r="E585" s="281"/>
      <c r="F585" s="282"/>
      <c r="G585" s="282"/>
      <c r="H585" s="230"/>
      <c r="I585" s="230"/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  <c r="V585" s="230"/>
      <c r="W585" s="230"/>
      <c r="X585" s="230"/>
      <c r="Y585" s="230"/>
      <c r="Z585" s="230"/>
    </row>
    <row r="586" spans="1:26" ht="21.75" x14ac:dyDescent="0.55000000000000004">
      <c r="A586" s="280"/>
      <c r="B586" s="230"/>
      <c r="C586" s="281"/>
      <c r="D586" s="281"/>
      <c r="E586" s="281"/>
      <c r="F586" s="282"/>
      <c r="G586" s="282"/>
      <c r="H586" s="230"/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  <c r="V586" s="230"/>
      <c r="W586" s="230"/>
      <c r="X586" s="230"/>
      <c r="Y586" s="230"/>
      <c r="Z586" s="230"/>
    </row>
    <row r="587" spans="1:26" ht="21.75" x14ac:dyDescent="0.55000000000000004">
      <c r="A587" s="280"/>
      <c r="B587" s="230"/>
      <c r="C587" s="281"/>
      <c r="D587" s="281"/>
      <c r="E587" s="281"/>
      <c r="F587" s="282"/>
      <c r="G587" s="282"/>
      <c r="H587" s="230"/>
      <c r="I587" s="230"/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  <c r="V587" s="230"/>
      <c r="W587" s="230"/>
      <c r="X587" s="230"/>
      <c r="Y587" s="230"/>
      <c r="Z587" s="230"/>
    </row>
    <row r="588" spans="1:26" ht="21.75" x14ac:dyDescent="0.55000000000000004">
      <c r="A588" s="280"/>
      <c r="B588" s="230"/>
      <c r="C588" s="281"/>
      <c r="D588" s="281"/>
      <c r="E588" s="281"/>
      <c r="F588" s="282"/>
      <c r="G588" s="282"/>
      <c r="H588" s="230"/>
      <c r="I588" s="230"/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  <c r="V588" s="230"/>
      <c r="W588" s="230"/>
      <c r="X588" s="230"/>
      <c r="Y588" s="230"/>
      <c r="Z588" s="230"/>
    </row>
    <row r="589" spans="1:26" ht="21.75" x14ac:dyDescent="0.55000000000000004">
      <c r="A589" s="280"/>
      <c r="B589" s="230"/>
      <c r="C589" s="281"/>
      <c r="D589" s="281"/>
      <c r="E589" s="281"/>
      <c r="F589" s="282"/>
      <c r="G589" s="282"/>
      <c r="H589" s="230"/>
      <c r="I589" s="230"/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  <c r="V589" s="230"/>
      <c r="W589" s="230"/>
      <c r="X589" s="230"/>
      <c r="Y589" s="230"/>
      <c r="Z589" s="230"/>
    </row>
    <row r="590" spans="1:26" ht="21.75" x14ac:dyDescent="0.55000000000000004">
      <c r="A590" s="280"/>
      <c r="B590" s="230"/>
      <c r="C590" s="281"/>
      <c r="D590" s="281"/>
      <c r="E590" s="281"/>
      <c r="F590" s="282"/>
      <c r="G590" s="282"/>
      <c r="H590" s="230"/>
      <c r="I590" s="230"/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  <c r="V590" s="230"/>
      <c r="W590" s="230"/>
      <c r="X590" s="230"/>
      <c r="Y590" s="230"/>
      <c r="Z590" s="230"/>
    </row>
    <row r="591" spans="1:26" ht="21.75" x14ac:dyDescent="0.55000000000000004">
      <c r="A591" s="280"/>
      <c r="B591" s="230"/>
      <c r="C591" s="281"/>
      <c r="D591" s="281"/>
      <c r="E591" s="281"/>
      <c r="F591" s="282"/>
      <c r="G591" s="282"/>
      <c r="H591" s="230"/>
      <c r="I591" s="230"/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  <c r="V591" s="230"/>
      <c r="W591" s="230"/>
      <c r="X591" s="230"/>
      <c r="Y591" s="230"/>
      <c r="Z591" s="230"/>
    </row>
    <row r="592" spans="1:26" ht="21.75" x14ac:dyDescent="0.55000000000000004">
      <c r="A592" s="280"/>
      <c r="B592" s="230"/>
      <c r="C592" s="281"/>
      <c r="D592" s="281"/>
      <c r="E592" s="281"/>
      <c r="F592" s="282"/>
      <c r="G592" s="282"/>
      <c r="H592" s="230"/>
      <c r="I592" s="230"/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  <c r="V592" s="230"/>
      <c r="W592" s="230"/>
      <c r="X592" s="230"/>
      <c r="Y592" s="230"/>
      <c r="Z592" s="230"/>
    </row>
    <row r="593" spans="1:26" ht="21.75" x14ac:dyDescent="0.55000000000000004">
      <c r="A593" s="280"/>
      <c r="B593" s="230"/>
      <c r="C593" s="281"/>
      <c r="D593" s="281"/>
      <c r="E593" s="281"/>
      <c r="F593" s="282"/>
      <c r="G593" s="282"/>
      <c r="H593" s="230"/>
      <c r="I593" s="230"/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  <c r="V593" s="230"/>
      <c r="W593" s="230"/>
      <c r="X593" s="230"/>
      <c r="Y593" s="230"/>
      <c r="Z593" s="230"/>
    </row>
    <row r="594" spans="1:26" ht="21.75" x14ac:dyDescent="0.55000000000000004">
      <c r="A594" s="280"/>
      <c r="B594" s="230"/>
      <c r="C594" s="281"/>
      <c r="D594" s="281"/>
      <c r="E594" s="281"/>
      <c r="F594" s="282"/>
      <c r="G594" s="282"/>
      <c r="H594" s="230"/>
      <c r="I594" s="230"/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  <c r="V594" s="230"/>
      <c r="W594" s="230"/>
      <c r="X594" s="230"/>
      <c r="Y594" s="230"/>
      <c r="Z594" s="230"/>
    </row>
    <row r="595" spans="1:26" ht="21.75" x14ac:dyDescent="0.55000000000000004">
      <c r="A595" s="280"/>
      <c r="B595" s="230"/>
      <c r="C595" s="281"/>
      <c r="D595" s="281"/>
      <c r="E595" s="281"/>
      <c r="F595" s="282"/>
      <c r="G595" s="282"/>
      <c r="H595" s="230"/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  <c r="V595" s="230"/>
      <c r="W595" s="230"/>
      <c r="X595" s="230"/>
      <c r="Y595" s="230"/>
      <c r="Z595" s="230"/>
    </row>
    <row r="596" spans="1:26" ht="21.75" x14ac:dyDescent="0.55000000000000004">
      <c r="A596" s="280"/>
      <c r="B596" s="230"/>
      <c r="C596" s="281"/>
      <c r="D596" s="281"/>
      <c r="E596" s="281"/>
      <c r="F596" s="282"/>
      <c r="G596" s="282"/>
      <c r="H596" s="230"/>
      <c r="I596" s="230"/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  <c r="V596" s="230"/>
      <c r="W596" s="230"/>
      <c r="X596" s="230"/>
      <c r="Y596" s="230"/>
      <c r="Z596" s="230"/>
    </row>
    <row r="597" spans="1:26" ht="21.75" x14ac:dyDescent="0.55000000000000004">
      <c r="A597" s="280"/>
      <c r="B597" s="230"/>
      <c r="C597" s="281"/>
      <c r="D597" s="281"/>
      <c r="E597" s="281"/>
      <c r="F597" s="282"/>
      <c r="G597" s="282"/>
      <c r="H597" s="230"/>
      <c r="I597" s="230"/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  <c r="V597" s="230"/>
      <c r="W597" s="230"/>
      <c r="X597" s="230"/>
      <c r="Y597" s="230"/>
      <c r="Z597" s="230"/>
    </row>
    <row r="598" spans="1:26" ht="21.75" x14ac:dyDescent="0.55000000000000004">
      <c r="A598" s="280"/>
      <c r="B598" s="230"/>
      <c r="C598" s="281"/>
      <c r="D598" s="281"/>
      <c r="E598" s="281"/>
      <c r="F598" s="282"/>
      <c r="G598" s="282"/>
      <c r="H598" s="230"/>
      <c r="I598" s="230"/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  <c r="V598" s="230"/>
      <c r="W598" s="230"/>
      <c r="X598" s="230"/>
      <c r="Y598" s="230"/>
      <c r="Z598" s="230"/>
    </row>
    <row r="599" spans="1:26" ht="21.75" x14ac:dyDescent="0.55000000000000004">
      <c r="A599" s="280"/>
      <c r="B599" s="230"/>
      <c r="C599" s="281"/>
      <c r="D599" s="281"/>
      <c r="E599" s="281"/>
      <c r="F599" s="282"/>
      <c r="G599" s="282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  <c r="V599" s="230"/>
      <c r="W599" s="230"/>
      <c r="X599" s="230"/>
      <c r="Y599" s="230"/>
      <c r="Z599" s="230"/>
    </row>
    <row r="600" spans="1:26" ht="21.75" x14ac:dyDescent="0.55000000000000004">
      <c r="A600" s="280"/>
      <c r="B600" s="230"/>
      <c r="C600" s="281"/>
      <c r="D600" s="281"/>
      <c r="E600" s="281"/>
      <c r="F600" s="282"/>
      <c r="G600" s="282"/>
      <c r="H600" s="230"/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  <c r="V600" s="230"/>
      <c r="W600" s="230"/>
      <c r="X600" s="230"/>
      <c r="Y600" s="230"/>
      <c r="Z600" s="230"/>
    </row>
    <row r="601" spans="1:26" ht="21.75" x14ac:dyDescent="0.55000000000000004">
      <c r="A601" s="280"/>
      <c r="B601" s="230"/>
      <c r="C601" s="281"/>
      <c r="D601" s="281"/>
      <c r="E601" s="281"/>
      <c r="F601" s="282"/>
      <c r="G601" s="282"/>
      <c r="H601" s="230"/>
      <c r="I601" s="230"/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  <c r="V601" s="230"/>
      <c r="W601" s="230"/>
      <c r="X601" s="230"/>
      <c r="Y601" s="230"/>
      <c r="Z601" s="230"/>
    </row>
    <row r="602" spans="1:26" ht="21.75" x14ac:dyDescent="0.55000000000000004">
      <c r="A602" s="280"/>
      <c r="B602" s="230"/>
      <c r="C602" s="281"/>
      <c r="D602" s="281"/>
      <c r="E602" s="281"/>
      <c r="F602" s="282"/>
      <c r="G602" s="282"/>
      <c r="H602" s="230"/>
      <c r="I602" s="230"/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  <c r="V602" s="230"/>
      <c r="W602" s="230"/>
      <c r="X602" s="230"/>
      <c r="Y602" s="230"/>
      <c r="Z602" s="230"/>
    </row>
    <row r="603" spans="1:26" ht="21.75" x14ac:dyDescent="0.55000000000000004">
      <c r="A603" s="280"/>
      <c r="B603" s="230"/>
      <c r="C603" s="281"/>
      <c r="D603" s="281"/>
      <c r="E603" s="281"/>
      <c r="F603" s="282"/>
      <c r="G603" s="282"/>
      <c r="H603" s="230"/>
      <c r="I603" s="230"/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  <c r="V603" s="230"/>
      <c r="W603" s="230"/>
      <c r="X603" s="230"/>
      <c r="Y603" s="230"/>
      <c r="Z603" s="230"/>
    </row>
    <row r="604" spans="1:26" ht="21.75" x14ac:dyDescent="0.55000000000000004">
      <c r="A604" s="280"/>
      <c r="B604" s="230"/>
      <c r="C604" s="281"/>
      <c r="D604" s="281"/>
      <c r="E604" s="281"/>
      <c r="F604" s="282"/>
      <c r="G604" s="282"/>
      <c r="H604" s="230"/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  <c r="V604" s="230"/>
      <c r="W604" s="230"/>
      <c r="X604" s="230"/>
      <c r="Y604" s="230"/>
      <c r="Z604" s="230"/>
    </row>
    <row r="605" spans="1:26" ht="21.75" x14ac:dyDescent="0.55000000000000004">
      <c r="A605" s="280"/>
      <c r="B605" s="230"/>
      <c r="C605" s="281"/>
      <c r="D605" s="281"/>
      <c r="E605" s="281"/>
      <c r="F605" s="282"/>
      <c r="G605" s="282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  <c r="V605" s="230"/>
      <c r="W605" s="230"/>
      <c r="X605" s="230"/>
      <c r="Y605" s="230"/>
      <c r="Z605" s="230"/>
    </row>
    <row r="606" spans="1:26" ht="21.75" x14ac:dyDescent="0.55000000000000004">
      <c r="A606" s="280"/>
      <c r="B606" s="230"/>
      <c r="C606" s="281"/>
      <c r="D606" s="281"/>
      <c r="E606" s="281"/>
      <c r="F606" s="282"/>
      <c r="G606" s="282"/>
      <c r="H606" s="230"/>
      <c r="I606" s="230"/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  <c r="V606" s="230"/>
      <c r="W606" s="230"/>
      <c r="X606" s="230"/>
      <c r="Y606" s="230"/>
      <c r="Z606" s="230"/>
    </row>
    <row r="607" spans="1:26" ht="21.75" x14ac:dyDescent="0.55000000000000004">
      <c r="A607" s="280"/>
      <c r="B607" s="230"/>
      <c r="C607" s="281"/>
      <c r="D607" s="281"/>
      <c r="E607" s="281"/>
      <c r="F607" s="282"/>
      <c r="G607" s="282"/>
      <c r="H607" s="230"/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  <c r="V607" s="230"/>
      <c r="W607" s="230"/>
      <c r="X607" s="230"/>
      <c r="Y607" s="230"/>
      <c r="Z607" s="230"/>
    </row>
    <row r="608" spans="1:26" ht="21.75" x14ac:dyDescent="0.55000000000000004">
      <c r="A608" s="280"/>
      <c r="B608" s="230"/>
      <c r="C608" s="281"/>
      <c r="D608" s="281"/>
      <c r="E608" s="281"/>
      <c r="F608" s="282"/>
      <c r="G608" s="282"/>
      <c r="H608" s="230"/>
      <c r="I608" s="230"/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  <c r="V608" s="230"/>
      <c r="W608" s="230"/>
      <c r="X608" s="230"/>
      <c r="Y608" s="230"/>
      <c r="Z608" s="230"/>
    </row>
    <row r="609" spans="1:26" ht="21.75" x14ac:dyDescent="0.55000000000000004">
      <c r="A609" s="280"/>
      <c r="B609" s="230"/>
      <c r="C609" s="281"/>
      <c r="D609" s="281"/>
      <c r="E609" s="281"/>
      <c r="F609" s="282"/>
      <c r="G609" s="282"/>
      <c r="H609" s="230"/>
      <c r="I609" s="230"/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  <c r="V609" s="230"/>
      <c r="W609" s="230"/>
      <c r="X609" s="230"/>
      <c r="Y609" s="230"/>
      <c r="Z609" s="230"/>
    </row>
    <row r="610" spans="1:26" ht="21.75" x14ac:dyDescent="0.55000000000000004">
      <c r="A610" s="280"/>
      <c r="B610" s="230"/>
      <c r="C610" s="281"/>
      <c r="D610" s="281"/>
      <c r="E610" s="281"/>
      <c r="F610" s="282"/>
      <c r="G610" s="282"/>
      <c r="H610" s="230"/>
      <c r="I610" s="230"/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  <c r="V610" s="230"/>
      <c r="W610" s="230"/>
      <c r="X610" s="230"/>
      <c r="Y610" s="230"/>
      <c r="Z610" s="230"/>
    </row>
    <row r="611" spans="1:26" ht="21.75" x14ac:dyDescent="0.55000000000000004">
      <c r="A611" s="280"/>
      <c r="B611" s="230"/>
      <c r="C611" s="281"/>
      <c r="D611" s="281"/>
      <c r="E611" s="281"/>
      <c r="F611" s="282"/>
      <c r="G611" s="282"/>
      <c r="H611" s="230"/>
      <c r="I611" s="230"/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  <c r="V611" s="230"/>
      <c r="W611" s="230"/>
      <c r="X611" s="230"/>
      <c r="Y611" s="230"/>
      <c r="Z611" s="230"/>
    </row>
    <row r="612" spans="1:26" ht="21.75" x14ac:dyDescent="0.55000000000000004">
      <c r="A612" s="280"/>
      <c r="B612" s="230"/>
      <c r="C612" s="281"/>
      <c r="D612" s="281"/>
      <c r="E612" s="281"/>
      <c r="F612" s="282"/>
      <c r="G612" s="282"/>
      <c r="H612" s="230"/>
      <c r="I612" s="230"/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  <c r="V612" s="230"/>
      <c r="W612" s="230"/>
      <c r="X612" s="230"/>
      <c r="Y612" s="230"/>
      <c r="Z612" s="230"/>
    </row>
    <row r="613" spans="1:26" ht="21.75" x14ac:dyDescent="0.55000000000000004">
      <c r="A613" s="280"/>
      <c r="B613" s="230"/>
      <c r="C613" s="281"/>
      <c r="D613" s="281"/>
      <c r="E613" s="281"/>
      <c r="F613" s="282"/>
      <c r="G613" s="282"/>
      <c r="H613" s="230"/>
      <c r="I613" s="230"/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  <c r="V613" s="230"/>
      <c r="W613" s="230"/>
      <c r="X613" s="230"/>
      <c r="Y613" s="230"/>
      <c r="Z613" s="230"/>
    </row>
    <row r="614" spans="1:26" ht="21.75" x14ac:dyDescent="0.55000000000000004">
      <c r="A614" s="280"/>
      <c r="B614" s="230"/>
      <c r="C614" s="281"/>
      <c r="D614" s="281"/>
      <c r="E614" s="281"/>
      <c r="F614" s="282"/>
      <c r="G614" s="282"/>
      <c r="H614" s="230"/>
      <c r="I614" s="230"/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  <c r="V614" s="230"/>
      <c r="W614" s="230"/>
      <c r="X614" s="230"/>
      <c r="Y614" s="230"/>
      <c r="Z614" s="230"/>
    </row>
    <row r="615" spans="1:26" ht="21.75" x14ac:dyDescent="0.55000000000000004">
      <c r="A615" s="280"/>
      <c r="B615" s="230"/>
      <c r="C615" s="281"/>
      <c r="D615" s="281"/>
      <c r="E615" s="281"/>
      <c r="F615" s="282"/>
      <c r="G615" s="282"/>
      <c r="H615" s="230"/>
      <c r="I615" s="230"/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  <c r="V615" s="230"/>
      <c r="W615" s="230"/>
      <c r="X615" s="230"/>
      <c r="Y615" s="230"/>
      <c r="Z615" s="230"/>
    </row>
    <row r="616" spans="1:26" ht="21.75" x14ac:dyDescent="0.55000000000000004">
      <c r="A616" s="280"/>
      <c r="B616" s="230"/>
      <c r="C616" s="281"/>
      <c r="D616" s="281"/>
      <c r="E616" s="281"/>
      <c r="F616" s="282"/>
      <c r="G616" s="282"/>
      <c r="H616" s="230"/>
      <c r="I616" s="230"/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  <c r="V616" s="230"/>
      <c r="W616" s="230"/>
      <c r="X616" s="230"/>
      <c r="Y616" s="230"/>
      <c r="Z616" s="230"/>
    </row>
    <row r="617" spans="1:26" ht="21.75" x14ac:dyDescent="0.55000000000000004">
      <c r="A617" s="280"/>
      <c r="B617" s="230"/>
      <c r="C617" s="281"/>
      <c r="D617" s="281"/>
      <c r="E617" s="281"/>
      <c r="F617" s="282"/>
      <c r="G617" s="282"/>
      <c r="H617" s="230"/>
      <c r="I617" s="230"/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  <c r="V617" s="230"/>
      <c r="W617" s="230"/>
      <c r="X617" s="230"/>
      <c r="Y617" s="230"/>
      <c r="Z617" s="230"/>
    </row>
    <row r="618" spans="1:26" ht="21.75" x14ac:dyDescent="0.55000000000000004">
      <c r="A618" s="280"/>
      <c r="B618" s="230"/>
      <c r="C618" s="281"/>
      <c r="D618" s="281"/>
      <c r="E618" s="281"/>
      <c r="F618" s="282"/>
      <c r="G618" s="282"/>
      <c r="H618" s="230"/>
      <c r="I618" s="230"/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  <c r="V618" s="230"/>
      <c r="W618" s="230"/>
      <c r="X618" s="230"/>
      <c r="Y618" s="230"/>
      <c r="Z618" s="230"/>
    </row>
    <row r="619" spans="1:26" ht="21.75" x14ac:dyDescent="0.55000000000000004">
      <c r="A619" s="280"/>
      <c r="B619" s="230"/>
      <c r="C619" s="281"/>
      <c r="D619" s="281"/>
      <c r="E619" s="281"/>
      <c r="F619" s="282"/>
      <c r="G619" s="282"/>
      <c r="H619" s="230"/>
      <c r="I619" s="230"/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  <c r="V619" s="230"/>
      <c r="W619" s="230"/>
      <c r="X619" s="230"/>
      <c r="Y619" s="230"/>
      <c r="Z619" s="230"/>
    </row>
    <row r="620" spans="1:26" ht="21.75" x14ac:dyDescent="0.55000000000000004">
      <c r="A620" s="280"/>
      <c r="B620" s="230"/>
      <c r="C620" s="281"/>
      <c r="D620" s="281"/>
      <c r="E620" s="281"/>
      <c r="F620" s="282"/>
      <c r="G620" s="282"/>
      <c r="H620" s="230"/>
      <c r="I620" s="230"/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  <c r="V620" s="230"/>
      <c r="W620" s="230"/>
      <c r="X620" s="230"/>
      <c r="Y620" s="230"/>
      <c r="Z620" s="230"/>
    </row>
    <row r="621" spans="1:26" ht="21.75" x14ac:dyDescent="0.55000000000000004">
      <c r="A621" s="280"/>
      <c r="B621" s="230"/>
      <c r="C621" s="281"/>
      <c r="D621" s="281"/>
      <c r="E621" s="281"/>
      <c r="F621" s="282"/>
      <c r="G621" s="282"/>
      <c r="H621" s="230"/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  <c r="V621" s="230"/>
      <c r="W621" s="230"/>
      <c r="X621" s="230"/>
      <c r="Y621" s="230"/>
      <c r="Z621" s="230"/>
    </row>
    <row r="622" spans="1:26" ht="21.75" x14ac:dyDescent="0.55000000000000004">
      <c r="A622" s="280"/>
      <c r="B622" s="230"/>
      <c r="C622" s="281"/>
      <c r="D622" s="281"/>
      <c r="E622" s="281"/>
      <c r="F622" s="282"/>
      <c r="G622" s="282"/>
      <c r="H622" s="230"/>
      <c r="I622" s="230"/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  <c r="V622" s="230"/>
      <c r="W622" s="230"/>
      <c r="X622" s="230"/>
      <c r="Y622" s="230"/>
      <c r="Z622" s="230"/>
    </row>
    <row r="623" spans="1:26" ht="21.75" x14ac:dyDescent="0.55000000000000004">
      <c r="A623" s="280"/>
      <c r="B623" s="230"/>
      <c r="C623" s="281"/>
      <c r="D623" s="281"/>
      <c r="E623" s="281"/>
      <c r="F623" s="282"/>
      <c r="G623" s="282"/>
      <c r="H623" s="230"/>
      <c r="I623" s="230"/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  <c r="V623" s="230"/>
      <c r="W623" s="230"/>
      <c r="X623" s="230"/>
      <c r="Y623" s="230"/>
      <c r="Z623" s="230"/>
    </row>
    <row r="624" spans="1:26" ht="21.75" x14ac:dyDescent="0.55000000000000004">
      <c r="A624" s="280"/>
      <c r="B624" s="230"/>
      <c r="C624" s="281"/>
      <c r="D624" s="281"/>
      <c r="E624" s="281"/>
      <c r="F624" s="282"/>
      <c r="G624" s="282"/>
      <c r="H624" s="230"/>
      <c r="I624" s="230"/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  <c r="V624" s="230"/>
      <c r="W624" s="230"/>
      <c r="X624" s="230"/>
      <c r="Y624" s="230"/>
      <c r="Z624" s="230"/>
    </row>
    <row r="625" spans="1:26" ht="21.75" x14ac:dyDescent="0.55000000000000004">
      <c r="A625" s="280"/>
      <c r="B625" s="230"/>
      <c r="C625" s="281"/>
      <c r="D625" s="281"/>
      <c r="E625" s="281"/>
      <c r="F625" s="282"/>
      <c r="G625" s="282"/>
      <c r="H625" s="230"/>
      <c r="I625" s="230"/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  <c r="V625" s="230"/>
      <c r="W625" s="230"/>
      <c r="X625" s="230"/>
      <c r="Y625" s="230"/>
      <c r="Z625" s="230"/>
    </row>
    <row r="626" spans="1:26" ht="21.75" x14ac:dyDescent="0.55000000000000004">
      <c r="A626" s="280"/>
      <c r="B626" s="230"/>
      <c r="C626" s="281"/>
      <c r="D626" s="281"/>
      <c r="E626" s="281"/>
      <c r="F626" s="282"/>
      <c r="G626" s="282"/>
      <c r="H626" s="230"/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  <c r="V626" s="230"/>
      <c r="W626" s="230"/>
      <c r="X626" s="230"/>
      <c r="Y626" s="230"/>
      <c r="Z626" s="230"/>
    </row>
    <row r="627" spans="1:26" ht="21.75" x14ac:dyDescent="0.55000000000000004">
      <c r="A627" s="280"/>
      <c r="B627" s="230"/>
      <c r="C627" s="281"/>
      <c r="D627" s="281"/>
      <c r="E627" s="281"/>
      <c r="F627" s="282"/>
      <c r="G627" s="282"/>
      <c r="H627" s="230"/>
      <c r="I627" s="230"/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  <c r="V627" s="230"/>
      <c r="W627" s="230"/>
      <c r="X627" s="230"/>
      <c r="Y627" s="230"/>
      <c r="Z627" s="230"/>
    </row>
    <row r="628" spans="1:26" ht="21.75" x14ac:dyDescent="0.55000000000000004">
      <c r="A628" s="280"/>
      <c r="B628" s="230"/>
      <c r="C628" s="281"/>
      <c r="D628" s="281"/>
      <c r="E628" s="281"/>
      <c r="F628" s="282"/>
      <c r="G628" s="282"/>
      <c r="H628" s="230"/>
      <c r="I628" s="230"/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  <c r="V628" s="230"/>
      <c r="W628" s="230"/>
      <c r="X628" s="230"/>
      <c r="Y628" s="230"/>
      <c r="Z628" s="230"/>
    </row>
    <row r="629" spans="1:26" ht="21.75" x14ac:dyDescent="0.55000000000000004">
      <c r="A629" s="280"/>
      <c r="B629" s="230"/>
      <c r="C629" s="281"/>
      <c r="D629" s="281"/>
      <c r="E629" s="281"/>
      <c r="F629" s="282"/>
      <c r="G629" s="282"/>
      <c r="H629" s="230"/>
      <c r="I629" s="230"/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  <c r="V629" s="230"/>
      <c r="W629" s="230"/>
      <c r="X629" s="230"/>
      <c r="Y629" s="230"/>
      <c r="Z629" s="230"/>
    </row>
    <row r="630" spans="1:26" ht="21.75" x14ac:dyDescent="0.55000000000000004">
      <c r="A630" s="280"/>
      <c r="B630" s="230"/>
      <c r="C630" s="281"/>
      <c r="D630" s="281"/>
      <c r="E630" s="281"/>
      <c r="F630" s="282"/>
      <c r="G630" s="282"/>
      <c r="H630" s="230"/>
      <c r="I630" s="230"/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  <c r="V630" s="230"/>
      <c r="W630" s="230"/>
      <c r="X630" s="230"/>
      <c r="Y630" s="230"/>
      <c r="Z630" s="230"/>
    </row>
    <row r="631" spans="1:26" ht="21.75" x14ac:dyDescent="0.55000000000000004">
      <c r="A631" s="280"/>
      <c r="B631" s="230"/>
      <c r="C631" s="281"/>
      <c r="D631" s="281"/>
      <c r="E631" s="281"/>
      <c r="F631" s="282"/>
      <c r="G631" s="282"/>
      <c r="H631" s="230"/>
      <c r="I631" s="230"/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  <c r="V631" s="230"/>
      <c r="W631" s="230"/>
      <c r="X631" s="230"/>
      <c r="Y631" s="230"/>
      <c r="Z631" s="230"/>
    </row>
    <row r="632" spans="1:26" ht="21.75" x14ac:dyDescent="0.55000000000000004">
      <c r="A632" s="280"/>
      <c r="B632" s="230"/>
      <c r="C632" s="281"/>
      <c r="D632" s="281"/>
      <c r="E632" s="281"/>
      <c r="F632" s="282"/>
      <c r="G632" s="282"/>
      <c r="H632" s="230"/>
      <c r="I632" s="230"/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  <c r="V632" s="230"/>
      <c r="W632" s="230"/>
      <c r="X632" s="230"/>
      <c r="Y632" s="230"/>
      <c r="Z632" s="230"/>
    </row>
    <row r="633" spans="1:26" ht="21.75" x14ac:dyDescent="0.55000000000000004">
      <c r="A633" s="280"/>
      <c r="B633" s="230"/>
      <c r="C633" s="281"/>
      <c r="D633" s="281"/>
      <c r="E633" s="281"/>
      <c r="F633" s="282"/>
      <c r="G633" s="282"/>
      <c r="H633" s="230"/>
      <c r="I633" s="230"/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  <c r="V633" s="230"/>
      <c r="W633" s="230"/>
      <c r="X633" s="230"/>
      <c r="Y633" s="230"/>
      <c r="Z633" s="230"/>
    </row>
    <row r="634" spans="1:26" ht="21.75" x14ac:dyDescent="0.55000000000000004">
      <c r="A634" s="280"/>
      <c r="B634" s="230"/>
      <c r="C634" s="281"/>
      <c r="D634" s="281"/>
      <c r="E634" s="281"/>
      <c r="F634" s="282"/>
      <c r="G634" s="282"/>
      <c r="H634" s="230"/>
      <c r="I634" s="230"/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  <c r="V634" s="230"/>
      <c r="W634" s="230"/>
      <c r="X634" s="230"/>
      <c r="Y634" s="230"/>
      <c r="Z634" s="230"/>
    </row>
    <row r="635" spans="1:26" ht="21.75" x14ac:dyDescent="0.55000000000000004">
      <c r="A635" s="280"/>
      <c r="B635" s="230"/>
      <c r="C635" s="281"/>
      <c r="D635" s="281"/>
      <c r="E635" s="281"/>
      <c r="F635" s="282"/>
      <c r="G635" s="282"/>
      <c r="H635" s="230"/>
      <c r="I635" s="230"/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  <c r="V635" s="230"/>
      <c r="W635" s="230"/>
      <c r="X635" s="230"/>
      <c r="Y635" s="230"/>
      <c r="Z635" s="230"/>
    </row>
    <row r="636" spans="1:26" ht="21.75" x14ac:dyDescent="0.55000000000000004">
      <c r="A636" s="280"/>
      <c r="B636" s="230"/>
      <c r="C636" s="281"/>
      <c r="D636" s="281"/>
      <c r="E636" s="281"/>
      <c r="F636" s="282"/>
      <c r="G636" s="282"/>
      <c r="H636" s="230"/>
      <c r="I636" s="230"/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  <c r="V636" s="230"/>
      <c r="W636" s="230"/>
      <c r="X636" s="230"/>
      <c r="Y636" s="230"/>
      <c r="Z636" s="230"/>
    </row>
    <row r="637" spans="1:26" ht="21.75" x14ac:dyDescent="0.55000000000000004">
      <c r="A637" s="280"/>
      <c r="B637" s="230"/>
      <c r="C637" s="281"/>
      <c r="D637" s="281"/>
      <c r="E637" s="281"/>
      <c r="F637" s="282"/>
      <c r="G637" s="282"/>
      <c r="H637" s="230"/>
      <c r="I637" s="230"/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  <c r="V637" s="230"/>
      <c r="W637" s="230"/>
      <c r="X637" s="230"/>
      <c r="Y637" s="230"/>
      <c r="Z637" s="230"/>
    </row>
    <row r="638" spans="1:26" ht="21.75" x14ac:dyDescent="0.55000000000000004">
      <c r="A638" s="280"/>
      <c r="B638" s="230"/>
      <c r="C638" s="281"/>
      <c r="D638" s="281"/>
      <c r="E638" s="281"/>
      <c r="F638" s="282"/>
      <c r="G638" s="282"/>
      <c r="H638" s="230"/>
      <c r="I638" s="230"/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  <c r="V638" s="230"/>
      <c r="W638" s="230"/>
      <c r="X638" s="230"/>
      <c r="Y638" s="230"/>
      <c r="Z638" s="230"/>
    </row>
    <row r="639" spans="1:26" ht="21.75" x14ac:dyDescent="0.55000000000000004">
      <c r="A639" s="280"/>
      <c r="B639" s="230"/>
      <c r="C639" s="281"/>
      <c r="D639" s="281"/>
      <c r="E639" s="281"/>
      <c r="F639" s="282"/>
      <c r="G639" s="282"/>
      <c r="H639" s="230"/>
      <c r="I639" s="230"/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  <c r="V639" s="230"/>
      <c r="W639" s="230"/>
      <c r="X639" s="230"/>
      <c r="Y639" s="230"/>
      <c r="Z639" s="230"/>
    </row>
    <row r="640" spans="1:26" ht="21.75" x14ac:dyDescent="0.55000000000000004">
      <c r="A640" s="280"/>
      <c r="B640" s="230"/>
      <c r="C640" s="281"/>
      <c r="D640" s="281"/>
      <c r="E640" s="281"/>
      <c r="F640" s="282"/>
      <c r="G640" s="282"/>
      <c r="H640" s="230"/>
      <c r="I640" s="230"/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  <c r="V640" s="230"/>
      <c r="W640" s="230"/>
      <c r="X640" s="230"/>
      <c r="Y640" s="230"/>
      <c r="Z640" s="230"/>
    </row>
    <row r="641" spans="1:26" ht="21.75" x14ac:dyDescent="0.55000000000000004">
      <c r="A641" s="280"/>
      <c r="B641" s="230"/>
      <c r="C641" s="281"/>
      <c r="D641" s="281"/>
      <c r="E641" s="281"/>
      <c r="F641" s="282"/>
      <c r="G641" s="282"/>
      <c r="H641" s="230"/>
      <c r="I641" s="230"/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  <c r="V641" s="230"/>
      <c r="W641" s="230"/>
      <c r="X641" s="230"/>
      <c r="Y641" s="230"/>
      <c r="Z641" s="230"/>
    </row>
    <row r="642" spans="1:26" ht="21.75" x14ac:dyDescent="0.55000000000000004">
      <c r="A642" s="280"/>
      <c r="B642" s="230"/>
      <c r="C642" s="281"/>
      <c r="D642" s="281"/>
      <c r="E642" s="281"/>
      <c r="F642" s="282"/>
      <c r="G642" s="282"/>
      <c r="H642" s="230"/>
      <c r="I642" s="230"/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  <c r="V642" s="230"/>
      <c r="W642" s="230"/>
      <c r="X642" s="230"/>
      <c r="Y642" s="230"/>
      <c r="Z642" s="230"/>
    </row>
    <row r="643" spans="1:26" ht="21.75" x14ac:dyDescent="0.55000000000000004">
      <c r="A643" s="280"/>
      <c r="B643" s="230"/>
      <c r="C643" s="281"/>
      <c r="D643" s="281"/>
      <c r="E643" s="281"/>
      <c r="F643" s="282"/>
      <c r="G643" s="282"/>
      <c r="H643" s="230"/>
      <c r="I643" s="230"/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  <c r="V643" s="230"/>
      <c r="W643" s="230"/>
      <c r="X643" s="230"/>
      <c r="Y643" s="230"/>
      <c r="Z643" s="230"/>
    </row>
    <row r="644" spans="1:26" ht="21.75" x14ac:dyDescent="0.55000000000000004">
      <c r="A644" s="280"/>
      <c r="B644" s="230"/>
      <c r="C644" s="281"/>
      <c r="D644" s="281"/>
      <c r="E644" s="281"/>
      <c r="F644" s="282"/>
      <c r="G644" s="282"/>
      <c r="H644" s="230"/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  <c r="V644" s="230"/>
      <c r="W644" s="230"/>
      <c r="X644" s="230"/>
      <c r="Y644" s="230"/>
      <c r="Z644" s="230"/>
    </row>
    <row r="645" spans="1:26" ht="21.75" x14ac:dyDescent="0.55000000000000004">
      <c r="A645" s="280"/>
      <c r="B645" s="230"/>
      <c r="C645" s="281"/>
      <c r="D645" s="281"/>
      <c r="E645" s="281"/>
      <c r="F645" s="282"/>
      <c r="G645" s="282"/>
      <c r="H645" s="230"/>
      <c r="I645" s="230"/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  <c r="V645" s="230"/>
      <c r="W645" s="230"/>
      <c r="X645" s="230"/>
      <c r="Y645" s="230"/>
      <c r="Z645" s="230"/>
    </row>
    <row r="646" spans="1:26" ht="21.75" x14ac:dyDescent="0.55000000000000004">
      <c r="A646" s="280"/>
      <c r="B646" s="230"/>
      <c r="C646" s="281"/>
      <c r="D646" s="281"/>
      <c r="E646" s="281"/>
      <c r="F646" s="282"/>
      <c r="G646" s="282"/>
      <c r="H646" s="230"/>
      <c r="I646" s="230"/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  <c r="V646" s="230"/>
      <c r="W646" s="230"/>
      <c r="X646" s="230"/>
      <c r="Y646" s="230"/>
      <c r="Z646" s="230"/>
    </row>
    <row r="647" spans="1:26" ht="21.75" x14ac:dyDescent="0.55000000000000004">
      <c r="A647" s="280"/>
      <c r="B647" s="230"/>
      <c r="C647" s="281"/>
      <c r="D647" s="281"/>
      <c r="E647" s="281"/>
      <c r="F647" s="282"/>
      <c r="G647" s="282"/>
      <c r="H647" s="230"/>
      <c r="I647" s="230"/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  <c r="V647" s="230"/>
      <c r="W647" s="230"/>
      <c r="X647" s="230"/>
      <c r="Y647" s="230"/>
      <c r="Z647" s="230"/>
    </row>
    <row r="648" spans="1:26" ht="21.75" x14ac:dyDescent="0.55000000000000004">
      <c r="A648" s="280"/>
      <c r="B648" s="230"/>
      <c r="C648" s="281"/>
      <c r="D648" s="281"/>
      <c r="E648" s="281"/>
      <c r="F648" s="282"/>
      <c r="G648" s="282"/>
      <c r="H648" s="230"/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  <c r="V648" s="230"/>
      <c r="W648" s="230"/>
      <c r="X648" s="230"/>
      <c r="Y648" s="230"/>
      <c r="Z648" s="230"/>
    </row>
    <row r="649" spans="1:26" ht="21.75" x14ac:dyDescent="0.55000000000000004">
      <c r="A649" s="280"/>
      <c r="B649" s="230"/>
      <c r="C649" s="281"/>
      <c r="D649" s="281"/>
      <c r="E649" s="281"/>
      <c r="F649" s="282"/>
      <c r="G649" s="282"/>
      <c r="H649" s="230"/>
      <c r="I649" s="230"/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  <c r="V649" s="230"/>
      <c r="W649" s="230"/>
      <c r="X649" s="230"/>
      <c r="Y649" s="230"/>
      <c r="Z649" s="230"/>
    </row>
    <row r="650" spans="1:26" ht="21.75" x14ac:dyDescent="0.55000000000000004">
      <c r="A650" s="280"/>
      <c r="B650" s="230"/>
      <c r="C650" s="281"/>
      <c r="D650" s="281"/>
      <c r="E650" s="281"/>
      <c r="F650" s="282"/>
      <c r="G650" s="282"/>
      <c r="H650" s="230"/>
      <c r="I650" s="230"/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  <c r="V650" s="230"/>
      <c r="W650" s="230"/>
      <c r="X650" s="230"/>
      <c r="Y650" s="230"/>
      <c r="Z650" s="230"/>
    </row>
    <row r="651" spans="1:26" ht="21.75" x14ac:dyDescent="0.55000000000000004">
      <c r="A651" s="280"/>
      <c r="B651" s="230"/>
      <c r="C651" s="281"/>
      <c r="D651" s="281"/>
      <c r="E651" s="281"/>
      <c r="F651" s="282"/>
      <c r="G651" s="282"/>
      <c r="H651" s="230"/>
      <c r="I651" s="230"/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  <c r="V651" s="230"/>
      <c r="W651" s="230"/>
      <c r="X651" s="230"/>
      <c r="Y651" s="230"/>
      <c r="Z651" s="230"/>
    </row>
    <row r="652" spans="1:26" ht="21.75" x14ac:dyDescent="0.55000000000000004">
      <c r="A652" s="280"/>
      <c r="B652" s="230"/>
      <c r="C652" s="281"/>
      <c r="D652" s="281"/>
      <c r="E652" s="281"/>
      <c r="F652" s="282"/>
      <c r="G652" s="282"/>
      <c r="H652" s="230"/>
      <c r="I652" s="230"/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  <c r="V652" s="230"/>
      <c r="W652" s="230"/>
      <c r="X652" s="230"/>
      <c r="Y652" s="230"/>
      <c r="Z652" s="230"/>
    </row>
    <row r="653" spans="1:26" ht="21.75" x14ac:dyDescent="0.55000000000000004">
      <c r="A653" s="280"/>
      <c r="B653" s="230"/>
      <c r="C653" s="281"/>
      <c r="D653" s="281"/>
      <c r="E653" s="281"/>
      <c r="F653" s="282"/>
      <c r="G653" s="282"/>
      <c r="H653" s="230"/>
      <c r="I653" s="230"/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  <c r="V653" s="230"/>
      <c r="W653" s="230"/>
      <c r="X653" s="230"/>
      <c r="Y653" s="230"/>
      <c r="Z653" s="230"/>
    </row>
    <row r="654" spans="1:26" ht="21.75" x14ac:dyDescent="0.55000000000000004">
      <c r="A654" s="280"/>
      <c r="B654" s="230"/>
      <c r="C654" s="281"/>
      <c r="D654" s="281"/>
      <c r="E654" s="281"/>
      <c r="F654" s="282"/>
      <c r="G654" s="282"/>
      <c r="H654" s="230"/>
      <c r="I654" s="230"/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  <c r="V654" s="230"/>
      <c r="W654" s="230"/>
      <c r="X654" s="230"/>
      <c r="Y654" s="230"/>
      <c r="Z654" s="230"/>
    </row>
    <row r="655" spans="1:26" ht="21.75" x14ac:dyDescent="0.55000000000000004">
      <c r="A655" s="280"/>
      <c r="B655" s="230"/>
      <c r="C655" s="281"/>
      <c r="D655" s="281"/>
      <c r="E655" s="281"/>
      <c r="F655" s="282"/>
      <c r="G655" s="282"/>
      <c r="H655" s="230"/>
      <c r="I655" s="230"/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  <c r="V655" s="230"/>
      <c r="W655" s="230"/>
      <c r="X655" s="230"/>
      <c r="Y655" s="230"/>
      <c r="Z655" s="230"/>
    </row>
    <row r="656" spans="1:26" ht="21.75" x14ac:dyDescent="0.55000000000000004">
      <c r="A656" s="280"/>
      <c r="B656" s="230"/>
      <c r="C656" s="281"/>
      <c r="D656" s="281"/>
      <c r="E656" s="281"/>
      <c r="F656" s="282"/>
      <c r="G656" s="282"/>
      <c r="H656" s="230"/>
      <c r="I656" s="230"/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  <c r="V656" s="230"/>
      <c r="W656" s="230"/>
      <c r="X656" s="230"/>
      <c r="Y656" s="230"/>
      <c r="Z656" s="230"/>
    </row>
    <row r="657" spans="1:26" ht="21.75" x14ac:dyDescent="0.55000000000000004">
      <c r="A657" s="280"/>
      <c r="B657" s="230"/>
      <c r="C657" s="281"/>
      <c r="D657" s="281"/>
      <c r="E657" s="281"/>
      <c r="F657" s="282"/>
      <c r="G657" s="282"/>
      <c r="H657" s="230"/>
      <c r="I657" s="230"/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  <c r="V657" s="230"/>
      <c r="W657" s="230"/>
      <c r="X657" s="230"/>
      <c r="Y657" s="230"/>
      <c r="Z657" s="230"/>
    </row>
    <row r="658" spans="1:26" ht="21.75" x14ac:dyDescent="0.55000000000000004">
      <c r="A658" s="280"/>
      <c r="B658" s="230"/>
      <c r="C658" s="281"/>
      <c r="D658" s="281"/>
      <c r="E658" s="281"/>
      <c r="F658" s="282"/>
      <c r="G658" s="282"/>
      <c r="H658" s="230"/>
      <c r="I658" s="230"/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  <c r="V658" s="230"/>
      <c r="W658" s="230"/>
      <c r="X658" s="230"/>
      <c r="Y658" s="230"/>
      <c r="Z658" s="230"/>
    </row>
    <row r="659" spans="1:26" ht="21.75" x14ac:dyDescent="0.55000000000000004">
      <c r="A659" s="280"/>
      <c r="B659" s="230"/>
      <c r="C659" s="281"/>
      <c r="D659" s="281"/>
      <c r="E659" s="281"/>
      <c r="F659" s="282"/>
      <c r="G659" s="282"/>
      <c r="H659" s="230"/>
      <c r="I659" s="230"/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  <c r="V659" s="230"/>
      <c r="W659" s="230"/>
      <c r="X659" s="230"/>
      <c r="Y659" s="230"/>
      <c r="Z659" s="230"/>
    </row>
    <row r="660" spans="1:26" ht="21.75" x14ac:dyDescent="0.55000000000000004">
      <c r="A660" s="280"/>
      <c r="B660" s="230"/>
      <c r="C660" s="281"/>
      <c r="D660" s="281"/>
      <c r="E660" s="281"/>
      <c r="F660" s="282"/>
      <c r="G660" s="282"/>
      <c r="H660" s="230"/>
      <c r="I660" s="230"/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  <c r="V660" s="230"/>
      <c r="W660" s="230"/>
      <c r="X660" s="230"/>
      <c r="Y660" s="230"/>
      <c r="Z660" s="230"/>
    </row>
    <row r="661" spans="1:26" ht="21.75" x14ac:dyDescent="0.55000000000000004">
      <c r="A661" s="280"/>
      <c r="B661" s="230"/>
      <c r="C661" s="281"/>
      <c r="D661" s="281"/>
      <c r="E661" s="281"/>
      <c r="F661" s="282"/>
      <c r="G661" s="282"/>
      <c r="H661" s="230"/>
      <c r="I661" s="230"/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  <c r="V661" s="230"/>
      <c r="W661" s="230"/>
      <c r="X661" s="230"/>
      <c r="Y661" s="230"/>
      <c r="Z661" s="230"/>
    </row>
    <row r="662" spans="1:26" ht="21.75" x14ac:dyDescent="0.55000000000000004">
      <c r="A662" s="280"/>
      <c r="B662" s="230"/>
      <c r="C662" s="281"/>
      <c r="D662" s="281"/>
      <c r="E662" s="281"/>
      <c r="F662" s="282"/>
      <c r="G662" s="282"/>
      <c r="H662" s="230"/>
      <c r="I662" s="230"/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  <c r="V662" s="230"/>
      <c r="W662" s="230"/>
      <c r="X662" s="230"/>
      <c r="Y662" s="230"/>
      <c r="Z662" s="230"/>
    </row>
    <row r="663" spans="1:26" ht="21.75" x14ac:dyDescent="0.55000000000000004">
      <c r="A663" s="280"/>
      <c r="B663" s="230"/>
      <c r="C663" s="281"/>
      <c r="D663" s="281"/>
      <c r="E663" s="281"/>
      <c r="F663" s="282"/>
      <c r="G663" s="282"/>
      <c r="H663" s="230"/>
      <c r="I663" s="230"/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  <c r="V663" s="230"/>
      <c r="W663" s="230"/>
      <c r="X663" s="230"/>
      <c r="Y663" s="230"/>
      <c r="Z663" s="230"/>
    </row>
    <row r="664" spans="1:26" ht="21.75" x14ac:dyDescent="0.55000000000000004">
      <c r="A664" s="280"/>
      <c r="B664" s="230"/>
      <c r="C664" s="281"/>
      <c r="D664" s="281"/>
      <c r="E664" s="281"/>
      <c r="F664" s="282"/>
      <c r="G664" s="282"/>
      <c r="H664" s="230"/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  <c r="V664" s="230"/>
      <c r="W664" s="230"/>
      <c r="X664" s="230"/>
      <c r="Y664" s="230"/>
      <c r="Z664" s="230"/>
    </row>
    <row r="665" spans="1:26" ht="21.75" x14ac:dyDescent="0.55000000000000004">
      <c r="A665" s="280"/>
      <c r="B665" s="230"/>
      <c r="C665" s="281"/>
      <c r="D665" s="281"/>
      <c r="E665" s="281"/>
      <c r="F665" s="282"/>
      <c r="G665" s="282"/>
      <c r="H665" s="230"/>
      <c r="I665" s="230"/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  <c r="V665" s="230"/>
      <c r="W665" s="230"/>
      <c r="X665" s="230"/>
      <c r="Y665" s="230"/>
      <c r="Z665" s="230"/>
    </row>
    <row r="666" spans="1:26" ht="21.75" x14ac:dyDescent="0.55000000000000004">
      <c r="A666" s="280"/>
      <c r="B666" s="230"/>
      <c r="C666" s="281"/>
      <c r="D666" s="281"/>
      <c r="E666" s="281"/>
      <c r="F666" s="282"/>
      <c r="G666" s="282"/>
      <c r="H666" s="230"/>
      <c r="I666" s="230"/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  <c r="V666" s="230"/>
      <c r="W666" s="230"/>
      <c r="X666" s="230"/>
      <c r="Y666" s="230"/>
      <c r="Z666" s="230"/>
    </row>
    <row r="667" spans="1:26" ht="21.75" x14ac:dyDescent="0.55000000000000004">
      <c r="A667" s="280"/>
      <c r="B667" s="230"/>
      <c r="C667" s="281"/>
      <c r="D667" s="281"/>
      <c r="E667" s="281"/>
      <c r="F667" s="282"/>
      <c r="G667" s="282"/>
      <c r="H667" s="230"/>
      <c r="I667" s="230"/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  <c r="V667" s="230"/>
      <c r="W667" s="230"/>
      <c r="X667" s="230"/>
      <c r="Y667" s="230"/>
      <c r="Z667" s="230"/>
    </row>
    <row r="668" spans="1:26" ht="21.75" x14ac:dyDescent="0.55000000000000004">
      <c r="A668" s="280"/>
      <c r="B668" s="230"/>
      <c r="C668" s="281"/>
      <c r="D668" s="281"/>
      <c r="E668" s="281"/>
      <c r="F668" s="282"/>
      <c r="G668" s="282"/>
      <c r="H668" s="230"/>
      <c r="I668" s="230"/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  <c r="V668" s="230"/>
      <c r="W668" s="230"/>
      <c r="X668" s="230"/>
      <c r="Y668" s="230"/>
      <c r="Z668" s="230"/>
    </row>
    <row r="669" spans="1:26" ht="21.75" x14ac:dyDescent="0.55000000000000004">
      <c r="A669" s="280"/>
      <c r="B669" s="230"/>
      <c r="C669" s="281"/>
      <c r="D669" s="281"/>
      <c r="E669" s="281"/>
      <c r="F669" s="282"/>
      <c r="G669" s="282"/>
      <c r="H669" s="230"/>
      <c r="I669" s="230"/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  <c r="V669" s="230"/>
      <c r="W669" s="230"/>
      <c r="X669" s="230"/>
      <c r="Y669" s="230"/>
      <c r="Z669" s="230"/>
    </row>
    <row r="670" spans="1:26" ht="21.75" x14ac:dyDescent="0.55000000000000004">
      <c r="A670" s="280"/>
      <c r="B670" s="230"/>
      <c r="C670" s="281"/>
      <c r="D670" s="281"/>
      <c r="E670" s="281"/>
      <c r="F670" s="282"/>
      <c r="G670" s="282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  <c r="W670" s="230"/>
      <c r="X670" s="230"/>
      <c r="Y670" s="230"/>
      <c r="Z670" s="230"/>
    </row>
    <row r="671" spans="1:26" ht="21.75" x14ac:dyDescent="0.55000000000000004">
      <c r="A671" s="280"/>
      <c r="B671" s="230"/>
      <c r="C671" s="281"/>
      <c r="D671" s="281"/>
      <c r="E671" s="281"/>
      <c r="F671" s="282"/>
      <c r="G671" s="282"/>
      <c r="H671" s="230"/>
      <c r="I671" s="230"/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  <c r="V671" s="230"/>
      <c r="W671" s="230"/>
      <c r="X671" s="230"/>
      <c r="Y671" s="230"/>
      <c r="Z671" s="230"/>
    </row>
    <row r="672" spans="1:26" ht="21.75" x14ac:dyDescent="0.55000000000000004">
      <c r="A672" s="280"/>
      <c r="B672" s="230"/>
      <c r="C672" s="281"/>
      <c r="D672" s="281"/>
      <c r="E672" s="281"/>
      <c r="F672" s="282"/>
      <c r="G672" s="282"/>
      <c r="H672" s="230"/>
      <c r="I672" s="230"/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  <c r="V672" s="230"/>
      <c r="W672" s="230"/>
      <c r="X672" s="230"/>
      <c r="Y672" s="230"/>
      <c r="Z672" s="230"/>
    </row>
    <row r="673" spans="1:26" ht="21.75" x14ac:dyDescent="0.55000000000000004">
      <c r="A673" s="280"/>
      <c r="B673" s="230"/>
      <c r="C673" s="281"/>
      <c r="D673" s="281"/>
      <c r="E673" s="281"/>
      <c r="F673" s="282"/>
      <c r="G673" s="282"/>
      <c r="H673" s="230"/>
      <c r="I673" s="230"/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  <c r="V673" s="230"/>
      <c r="W673" s="230"/>
      <c r="X673" s="230"/>
      <c r="Y673" s="230"/>
      <c r="Z673" s="230"/>
    </row>
    <row r="674" spans="1:26" ht="21.75" x14ac:dyDescent="0.55000000000000004">
      <c r="A674" s="280"/>
      <c r="B674" s="230"/>
      <c r="C674" s="281"/>
      <c r="D674" s="281"/>
      <c r="E674" s="281"/>
      <c r="F674" s="282"/>
      <c r="G674" s="282"/>
      <c r="H674" s="230"/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  <c r="V674" s="230"/>
      <c r="W674" s="230"/>
      <c r="X674" s="230"/>
      <c r="Y674" s="230"/>
      <c r="Z674" s="230"/>
    </row>
    <row r="675" spans="1:26" ht="21.75" x14ac:dyDescent="0.55000000000000004">
      <c r="A675" s="280"/>
      <c r="B675" s="230"/>
      <c r="C675" s="281"/>
      <c r="D675" s="281"/>
      <c r="E675" s="281"/>
      <c r="F675" s="282"/>
      <c r="G675" s="282"/>
      <c r="H675" s="230"/>
      <c r="I675" s="230"/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  <c r="V675" s="230"/>
      <c r="W675" s="230"/>
      <c r="X675" s="230"/>
      <c r="Y675" s="230"/>
      <c r="Z675" s="230"/>
    </row>
    <row r="676" spans="1:26" ht="21.75" x14ac:dyDescent="0.55000000000000004">
      <c r="A676" s="280"/>
      <c r="B676" s="230"/>
      <c r="C676" s="281"/>
      <c r="D676" s="281"/>
      <c r="E676" s="281"/>
      <c r="F676" s="282"/>
      <c r="G676" s="282"/>
      <c r="H676" s="230"/>
      <c r="I676" s="230"/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  <c r="V676" s="230"/>
      <c r="W676" s="230"/>
      <c r="X676" s="230"/>
      <c r="Y676" s="230"/>
      <c r="Z676" s="230"/>
    </row>
    <row r="677" spans="1:26" ht="21.75" x14ac:dyDescent="0.55000000000000004">
      <c r="A677" s="280"/>
      <c r="B677" s="230"/>
      <c r="C677" s="281"/>
      <c r="D677" s="281"/>
      <c r="E677" s="281"/>
      <c r="F677" s="282"/>
      <c r="G677" s="282"/>
      <c r="H677" s="230"/>
      <c r="I677" s="230"/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  <c r="V677" s="230"/>
      <c r="W677" s="230"/>
      <c r="X677" s="230"/>
      <c r="Y677" s="230"/>
      <c r="Z677" s="230"/>
    </row>
    <row r="678" spans="1:26" ht="21.75" x14ac:dyDescent="0.55000000000000004">
      <c r="A678" s="280"/>
      <c r="B678" s="230"/>
      <c r="C678" s="281"/>
      <c r="D678" s="281"/>
      <c r="E678" s="281"/>
      <c r="F678" s="282"/>
      <c r="G678" s="282"/>
      <c r="H678" s="230"/>
      <c r="I678" s="230"/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  <c r="V678" s="230"/>
      <c r="W678" s="230"/>
      <c r="X678" s="230"/>
      <c r="Y678" s="230"/>
      <c r="Z678" s="230"/>
    </row>
    <row r="679" spans="1:26" ht="21.75" x14ac:dyDescent="0.55000000000000004">
      <c r="A679" s="280"/>
      <c r="B679" s="230"/>
      <c r="C679" s="281"/>
      <c r="D679" s="281"/>
      <c r="E679" s="281"/>
      <c r="F679" s="282"/>
      <c r="G679" s="282"/>
      <c r="H679" s="230"/>
      <c r="I679" s="230"/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  <c r="V679" s="230"/>
      <c r="W679" s="230"/>
      <c r="X679" s="230"/>
      <c r="Y679" s="230"/>
      <c r="Z679" s="230"/>
    </row>
    <row r="680" spans="1:26" ht="21.75" x14ac:dyDescent="0.55000000000000004">
      <c r="A680" s="280"/>
      <c r="B680" s="230"/>
      <c r="C680" s="281"/>
      <c r="D680" s="281"/>
      <c r="E680" s="281"/>
      <c r="F680" s="282"/>
      <c r="G680" s="282"/>
      <c r="H680" s="230"/>
      <c r="I680" s="230"/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  <c r="V680" s="230"/>
      <c r="W680" s="230"/>
      <c r="X680" s="230"/>
      <c r="Y680" s="230"/>
      <c r="Z680" s="230"/>
    </row>
    <row r="681" spans="1:26" ht="21.75" x14ac:dyDescent="0.55000000000000004">
      <c r="A681" s="280"/>
      <c r="B681" s="230"/>
      <c r="C681" s="281"/>
      <c r="D681" s="281"/>
      <c r="E681" s="281"/>
      <c r="F681" s="282"/>
      <c r="G681" s="282"/>
      <c r="H681" s="230"/>
      <c r="I681" s="230"/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  <c r="V681" s="230"/>
      <c r="W681" s="230"/>
      <c r="X681" s="230"/>
      <c r="Y681" s="230"/>
      <c r="Z681" s="230"/>
    </row>
    <row r="682" spans="1:26" ht="21.75" x14ac:dyDescent="0.55000000000000004">
      <c r="A682" s="280"/>
      <c r="B682" s="230"/>
      <c r="C682" s="281"/>
      <c r="D682" s="281"/>
      <c r="E682" s="281"/>
      <c r="F682" s="282"/>
      <c r="G682" s="282"/>
      <c r="H682" s="230"/>
      <c r="I682" s="230"/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  <c r="V682" s="230"/>
      <c r="W682" s="230"/>
      <c r="X682" s="230"/>
      <c r="Y682" s="230"/>
      <c r="Z682" s="230"/>
    </row>
    <row r="683" spans="1:26" ht="21.75" x14ac:dyDescent="0.55000000000000004">
      <c r="A683" s="280"/>
      <c r="B683" s="230"/>
      <c r="C683" s="281"/>
      <c r="D683" s="281"/>
      <c r="E683" s="281"/>
      <c r="F683" s="282"/>
      <c r="G683" s="282"/>
      <c r="H683" s="230"/>
      <c r="I683" s="230"/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  <c r="V683" s="230"/>
      <c r="W683" s="230"/>
      <c r="X683" s="230"/>
      <c r="Y683" s="230"/>
      <c r="Z683" s="230"/>
    </row>
    <row r="684" spans="1:26" ht="21.75" x14ac:dyDescent="0.55000000000000004">
      <c r="A684" s="280"/>
      <c r="B684" s="230"/>
      <c r="C684" s="281"/>
      <c r="D684" s="281"/>
      <c r="E684" s="281"/>
      <c r="F684" s="282"/>
      <c r="G684" s="282"/>
      <c r="H684" s="230"/>
      <c r="I684" s="230"/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  <c r="V684" s="230"/>
      <c r="W684" s="230"/>
      <c r="X684" s="230"/>
      <c r="Y684" s="230"/>
      <c r="Z684" s="230"/>
    </row>
    <row r="685" spans="1:26" ht="21.75" x14ac:dyDescent="0.55000000000000004">
      <c r="A685" s="280"/>
      <c r="B685" s="230"/>
      <c r="C685" s="281"/>
      <c r="D685" s="281"/>
      <c r="E685" s="281"/>
      <c r="F685" s="282"/>
      <c r="G685" s="282"/>
      <c r="H685" s="230"/>
      <c r="I685" s="230"/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  <c r="V685" s="230"/>
      <c r="W685" s="230"/>
      <c r="X685" s="230"/>
      <c r="Y685" s="230"/>
      <c r="Z685" s="230"/>
    </row>
    <row r="686" spans="1:26" ht="21.75" x14ac:dyDescent="0.55000000000000004">
      <c r="A686" s="280"/>
      <c r="B686" s="230"/>
      <c r="C686" s="281"/>
      <c r="D686" s="281"/>
      <c r="E686" s="281"/>
      <c r="F686" s="282"/>
      <c r="G686" s="282"/>
      <c r="H686" s="230"/>
      <c r="I686" s="230"/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  <c r="V686" s="230"/>
      <c r="W686" s="230"/>
      <c r="X686" s="230"/>
      <c r="Y686" s="230"/>
      <c r="Z686" s="230"/>
    </row>
    <row r="687" spans="1:26" ht="21.75" x14ac:dyDescent="0.55000000000000004">
      <c r="A687" s="280"/>
      <c r="B687" s="230"/>
      <c r="C687" s="281"/>
      <c r="D687" s="281"/>
      <c r="E687" s="281"/>
      <c r="F687" s="282"/>
      <c r="G687" s="282"/>
      <c r="H687" s="230"/>
      <c r="I687" s="230"/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  <c r="V687" s="230"/>
      <c r="W687" s="230"/>
      <c r="X687" s="230"/>
      <c r="Y687" s="230"/>
      <c r="Z687" s="230"/>
    </row>
    <row r="688" spans="1:26" ht="21.75" x14ac:dyDescent="0.55000000000000004">
      <c r="A688" s="280"/>
      <c r="B688" s="230"/>
      <c r="C688" s="281"/>
      <c r="D688" s="281"/>
      <c r="E688" s="281"/>
      <c r="F688" s="282"/>
      <c r="G688" s="282"/>
      <c r="H688" s="230"/>
      <c r="I688" s="230"/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  <c r="V688" s="230"/>
      <c r="W688" s="230"/>
      <c r="X688" s="230"/>
      <c r="Y688" s="230"/>
      <c r="Z688" s="230"/>
    </row>
    <row r="689" spans="1:26" ht="21.75" x14ac:dyDescent="0.55000000000000004">
      <c r="A689" s="280"/>
      <c r="B689" s="230"/>
      <c r="C689" s="281"/>
      <c r="D689" s="281"/>
      <c r="E689" s="281"/>
      <c r="F689" s="282"/>
      <c r="G689" s="282"/>
      <c r="H689" s="230"/>
      <c r="I689" s="230"/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  <c r="V689" s="230"/>
      <c r="W689" s="230"/>
      <c r="X689" s="230"/>
      <c r="Y689" s="230"/>
      <c r="Z689" s="230"/>
    </row>
    <row r="690" spans="1:26" ht="21.75" x14ac:dyDescent="0.55000000000000004">
      <c r="A690" s="280"/>
      <c r="B690" s="230"/>
      <c r="C690" s="281"/>
      <c r="D690" s="281"/>
      <c r="E690" s="281"/>
      <c r="F690" s="282"/>
      <c r="G690" s="282"/>
      <c r="H690" s="230"/>
      <c r="I690" s="230"/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  <c r="V690" s="230"/>
      <c r="W690" s="230"/>
      <c r="X690" s="230"/>
      <c r="Y690" s="230"/>
      <c r="Z690" s="230"/>
    </row>
    <row r="691" spans="1:26" ht="21.75" x14ac:dyDescent="0.55000000000000004">
      <c r="A691" s="280"/>
      <c r="B691" s="230"/>
      <c r="C691" s="281"/>
      <c r="D691" s="281"/>
      <c r="E691" s="281"/>
      <c r="F691" s="282"/>
      <c r="G691" s="282"/>
      <c r="H691" s="230"/>
      <c r="I691" s="230"/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  <c r="V691" s="230"/>
      <c r="W691" s="230"/>
      <c r="X691" s="230"/>
      <c r="Y691" s="230"/>
      <c r="Z691" s="230"/>
    </row>
    <row r="692" spans="1:26" ht="21.75" x14ac:dyDescent="0.55000000000000004">
      <c r="A692" s="280"/>
      <c r="B692" s="230"/>
      <c r="C692" s="281"/>
      <c r="D692" s="281"/>
      <c r="E692" s="281"/>
      <c r="F692" s="282"/>
      <c r="G692" s="282"/>
      <c r="H692" s="230"/>
      <c r="I692" s="230"/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  <c r="V692" s="230"/>
      <c r="W692" s="230"/>
      <c r="X692" s="230"/>
      <c r="Y692" s="230"/>
      <c r="Z692" s="230"/>
    </row>
    <row r="693" spans="1:26" ht="21.75" x14ac:dyDescent="0.55000000000000004">
      <c r="A693" s="280"/>
      <c r="B693" s="230"/>
      <c r="C693" s="281"/>
      <c r="D693" s="281"/>
      <c r="E693" s="281"/>
      <c r="F693" s="282"/>
      <c r="G693" s="282"/>
      <c r="H693" s="230"/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  <c r="V693" s="230"/>
      <c r="W693" s="230"/>
      <c r="X693" s="230"/>
      <c r="Y693" s="230"/>
      <c r="Z693" s="230"/>
    </row>
    <row r="694" spans="1:26" ht="21.75" x14ac:dyDescent="0.55000000000000004">
      <c r="A694" s="280"/>
      <c r="B694" s="230"/>
      <c r="C694" s="281"/>
      <c r="D694" s="281"/>
      <c r="E694" s="281"/>
      <c r="F694" s="282"/>
      <c r="G694" s="282"/>
      <c r="H694" s="230"/>
      <c r="I694" s="230"/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  <c r="V694" s="230"/>
      <c r="W694" s="230"/>
      <c r="X694" s="230"/>
      <c r="Y694" s="230"/>
      <c r="Z694" s="230"/>
    </row>
    <row r="695" spans="1:26" ht="21.75" x14ac:dyDescent="0.55000000000000004">
      <c r="A695" s="280"/>
      <c r="B695" s="230"/>
      <c r="C695" s="281"/>
      <c r="D695" s="281"/>
      <c r="E695" s="281"/>
      <c r="F695" s="282"/>
      <c r="G695" s="282"/>
      <c r="H695" s="230"/>
      <c r="I695" s="230"/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  <c r="V695" s="230"/>
      <c r="W695" s="230"/>
      <c r="X695" s="230"/>
      <c r="Y695" s="230"/>
      <c r="Z695" s="230"/>
    </row>
    <row r="696" spans="1:26" ht="21.75" x14ac:dyDescent="0.55000000000000004">
      <c r="A696" s="280"/>
      <c r="B696" s="230"/>
      <c r="C696" s="281"/>
      <c r="D696" s="281"/>
      <c r="E696" s="281"/>
      <c r="F696" s="282"/>
      <c r="G696" s="282"/>
      <c r="H696" s="230"/>
      <c r="I696" s="230"/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  <c r="V696" s="230"/>
      <c r="W696" s="230"/>
      <c r="X696" s="230"/>
      <c r="Y696" s="230"/>
      <c r="Z696" s="230"/>
    </row>
    <row r="697" spans="1:26" ht="21.75" x14ac:dyDescent="0.55000000000000004">
      <c r="A697" s="280"/>
      <c r="B697" s="230"/>
      <c r="C697" s="281"/>
      <c r="D697" s="281"/>
      <c r="E697" s="281"/>
      <c r="F697" s="282"/>
      <c r="G697" s="282"/>
      <c r="H697" s="230"/>
      <c r="I697" s="230"/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  <c r="V697" s="230"/>
      <c r="W697" s="230"/>
      <c r="X697" s="230"/>
      <c r="Y697" s="230"/>
      <c r="Z697" s="230"/>
    </row>
    <row r="698" spans="1:26" ht="21.75" x14ac:dyDescent="0.55000000000000004">
      <c r="A698" s="280"/>
      <c r="B698" s="230"/>
      <c r="C698" s="281"/>
      <c r="D698" s="281"/>
      <c r="E698" s="281"/>
      <c r="F698" s="282"/>
      <c r="G698" s="282"/>
      <c r="H698" s="230"/>
      <c r="I698" s="230"/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  <c r="V698" s="230"/>
      <c r="W698" s="230"/>
      <c r="X698" s="230"/>
      <c r="Y698" s="230"/>
      <c r="Z698" s="230"/>
    </row>
    <row r="699" spans="1:26" ht="21.75" x14ac:dyDescent="0.55000000000000004">
      <c r="A699" s="280"/>
      <c r="B699" s="230"/>
      <c r="C699" s="281"/>
      <c r="D699" s="281"/>
      <c r="E699" s="281"/>
      <c r="F699" s="282"/>
      <c r="G699" s="282"/>
      <c r="H699" s="230"/>
      <c r="I699" s="230"/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  <c r="V699" s="230"/>
      <c r="W699" s="230"/>
      <c r="X699" s="230"/>
      <c r="Y699" s="230"/>
      <c r="Z699" s="230"/>
    </row>
    <row r="700" spans="1:26" ht="21.75" x14ac:dyDescent="0.55000000000000004">
      <c r="A700" s="280"/>
      <c r="B700" s="230"/>
      <c r="C700" s="281"/>
      <c r="D700" s="281"/>
      <c r="E700" s="281"/>
      <c r="F700" s="282"/>
      <c r="G700" s="282"/>
      <c r="H700" s="230"/>
      <c r="I700" s="230"/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  <c r="V700" s="230"/>
      <c r="W700" s="230"/>
      <c r="X700" s="230"/>
      <c r="Y700" s="230"/>
      <c r="Z700" s="230"/>
    </row>
    <row r="701" spans="1:26" ht="21.75" x14ac:dyDescent="0.55000000000000004">
      <c r="A701" s="280"/>
      <c r="B701" s="230"/>
      <c r="C701" s="281"/>
      <c r="D701" s="281"/>
      <c r="E701" s="281"/>
      <c r="F701" s="282"/>
      <c r="G701" s="282"/>
      <c r="H701" s="230"/>
      <c r="I701" s="230"/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  <c r="V701" s="230"/>
      <c r="W701" s="230"/>
      <c r="X701" s="230"/>
      <c r="Y701" s="230"/>
      <c r="Z701" s="230"/>
    </row>
    <row r="702" spans="1:26" ht="21.75" x14ac:dyDescent="0.55000000000000004">
      <c r="A702" s="280"/>
      <c r="B702" s="230"/>
      <c r="C702" s="281"/>
      <c r="D702" s="281"/>
      <c r="E702" s="281"/>
      <c r="F702" s="282"/>
      <c r="G702" s="282"/>
      <c r="H702" s="230"/>
      <c r="I702" s="230"/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  <c r="V702" s="230"/>
      <c r="W702" s="230"/>
      <c r="X702" s="230"/>
      <c r="Y702" s="230"/>
      <c r="Z702" s="230"/>
    </row>
    <row r="703" spans="1:26" ht="21.75" x14ac:dyDescent="0.55000000000000004">
      <c r="A703" s="280"/>
      <c r="B703" s="230"/>
      <c r="C703" s="281"/>
      <c r="D703" s="281"/>
      <c r="E703" s="281"/>
      <c r="F703" s="282"/>
      <c r="G703" s="282"/>
      <c r="H703" s="230"/>
      <c r="I703" s="230"/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  <c r="V703" s="230"/>
      <c r="W703" s="230"/>
      <c r="X703" s="230"/>
      <c r="Y703" s="230"/>
      <c r="Z703" s="230"/>
    </row>
    <row r="704" spans="1:26" ht="21.75" x14ac:dyDescent="0.55000000000000004">
      <c r="A704" s="280"/>
      <c r="B704" s="230"/>
      <c r="C704" s="281"/>
      <c r="D704" s="281"/>
      <c r="E704" s="281"/>
      <c r="F704" s="282"/>
      <c r="G704" s="282"/>
      <c r="H704" s="230"/>
      <c r="I704" s="230"/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  <c r="V704" s="230"/>
      <c r="W704" s="230"/>
      <c r="X704" s="230"/>
      <c r="Y704" s="230"/>
      <c r="Z704" s="230"/>
    </row>
    <row r="705" spans="1:26" ht="21.75" x14ac:dyDescent="0.55000000000000004">
      <c r="A705" s="280"/>
      <c r="B705" s="230"/>
      <c r="C705" s="281"/>
      <c r="D705" s="281"/>
      <c r="E705" s="281"/>
      <c r="F705" s="282"/>
      <c r="G705" s="282"/>
      <c r="H705" s="230"/>
      <c r="I705" s="230"/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  <c r="V705" s="230"/>
      <c r="W705" s="230"/>
      <c r="X705" s="230"/>
      <c r="Y705" s="230"/>
      <c r="Z705" s="230"/>
    </row>
    <row r="706" spans="1:26" ht="21.75" x14ac:dyDescent="0.55000000000000004">
      <c r="A706" s="280"/>
      <c r="B706" s="230"/>
      <c r="C706" s="281"/>
      <c r="D706" s="281"/>
      <c r="E706" s="281"/>
      <c r="F706" s="282"/>
      <c r="G706" s="282"/>
      <c r="H706" s="230"/>
      <c r="I706" s="230"/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  <c r="V706" s="230"/>
      <c r="W706" s="230"/>
      <c r="X706" s="230"/>
      <c r="Y706" s="230"/>
      <c r="Z706" s="230"/>
    </row>
    <row r="707" spans="1:26" ht="21.75" x14ac:dyDescent="0.55000000000000004">
      <c r="A707" s="280"/>
      <c r="B707" s="230"/>
      <c r="C707" s="281"/>
      <c r="D707" s="281"/>
      <c r="E707" s="281"/>
      <c r="F707" s="282"/>
      <c r="G707" s="282"/>
      <c r="H707" s="230"/>
      <c r="I707" s="230"/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  <c r="V707" s="230"/>
      <c r="W707" s="230"/>
      <c r="X707" s="230"/>
      <c r="Y707" s="230"/>
      <c r="Z707" s="230"/>
    </row>
    <row r="708" spans="1:26" ht="21.75" x14ac:dyDescent="0.55000000000000004">
      <c r="A708" s="280"/>
      <c r="B708" s="230"/>
      <c r="C708" s="281"/>
      <c r="D708" s="281"/>
      <c r="E708" s="281"/>
      <c r="F708" s="282"/>
      <c r="G708" s="282"/>
      <c r="H708" s="230"/>
      <c r="I708" s="230"/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  <c r="V708" s="230"/>
      <c r="W708" s="230"/>
      <c r="X708" s="230"/>
      <c r="Y708" s="230"/>
      <c r="Z708" s="230"/>
    </row>
    <row r="709" spans="1:26" ht="21.75" x14ac:dyDescent="0.55000000000000004">
      <c r="A709" s="280"/>
      <c r="B709" s="230"/>
      <c r="C709" s="281"/>
      <c r="D709" s="281"/>
      <c r="E709" s="281"/>
      <c r="F709" s="282"/>
      <c r="G709" s="282"/>
      <c r="H709" s="230"/>
      <c r="I709" s="230"/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  <c r="V709" s="230"/>
      <c r="W709" s="230"/>
      <c r="X709" s="230"/>
      <c r="Y709" s="230"/>
      <c r="Z709" s="230"/>
    </row>
    <row r="710" spans="1:26" ht="21.75" x14ac:dyDescent="0.55000000000000004">
      <c r="A710" s="280"/>
      <c r="B710" s="230"/>
      <c r="C710" s="281"/>
      <c r="D710" s="281"/>
      <c r="E710" s="281"/>
      <c r="F710" s="282"/>
      <c r="G710" s="282"/>
      <c r="H710" s="230"/>
      <c r="I710" s="230"/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  <c r="V710" s="230"/>
      <c r="W710" s="230"/>
      <c r="X710" s="230"/>
      <c r="Y710" s="230"/>
      <c r="Z710" s="230"/>
    </row>
    <row r="711" spans="1:26" ht="21.75" x14ac:dyDescent="0.55000000000000004">
      <c r="A711" s="280"/>
      <c r="B711" s="230"/>
      <c r="C711" s="281"/>
      <c r="D711" s="281"/>
      <c r="E711" s="281"/>
      <c r="F711" s="282"/>
      <c r="G711" s="282"/>
      <c r="H711" s="230"/>
      <c r="I711" s="230"/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  <c r="V711" s="230"/>
      <c r="W711" s="230"/>
      <c r="X711" s="230"/>
      <c r="Y711" s="230"/>
      <c r="Z711" s="230"/>
    </row>
    <row r="712" spans="1:26" ht="21.75" x14ac:dyDescent="0.55000000000000004">
      <c r="A712" s="280"/>
      <c r="B712" s="230"/>
      <c r="C712" s="281"/>
      <c r="D712" s="281"/>
      <c r="E712" s="281"/>
      <c r="F712" s="282"/>
      <c r="G712" s="282"/>
      <c r="H712" s="230"/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  <c r="V712" s="230"/>
      <c r="W712" s="230"/>
      <c r="X712" s="230"/>
      <c r="Y712" s="230"/>
      <c r="Z712" s="230"/>
    </row>
    <row r="713" spans="1:26" ht="21.75" x14ac:dyDescent="0.55000000000000004">
      <c r="A713" s="280"/>
      <c r="B713" s="230"/>
      <c r="C713" s="281"/>
      <c r="D713" s="281"/>
      <c r="E713" s="281"/>
      <c r="F713" s="282"/>
      <c r="G713" s="282"/>
      <c r="H713" s="230"/>
      <c r="I713" s="230"/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  <c r="V713" s="230"/>
      <c r="W713" s="230"/>
      <c r="X713" s="230"/>
      <c r="Y713" s="230"/>
      <c r="Z713" s="230"/>
    </row>
    <row r="714" spans="1:26" ht="21.75" x14ac:dyDescent="0.55000000000000004">
      <c r="A714" s="280"/>
      <c r="B714" s="230"/>
      <c r="C714" s="281"/>
      <c r="D714" s="281"/>
      <c r="E714" s="281"/>
      <c r="F714" s="282"/>
      <c r="G714" s="282"/>
      <c r="H714" s="230"/>
      <c r="I714" s="230"/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  <c r="V714" s="230"/>
      <c r="W714" s="230"/>
      <c r="X714" s="230"/>
      <c r="Y714" s="230"/>
      <c r="Z714" s="230"/>
    </row>
    <row r="715" spans="1:26" ht="21.75" x14ac:dyDescent="0.55000000000000004">
      <c r="A715" s="280"/>
      <c r="B715" s="230"/>
      <c r="C715" s="281"/>
      <c r="D715" s="281"/>
      <c r="E715" s="281"/>
      <c r="F715" s="282"/>
      <c r="G715" s="282"/>
      <c r="H715" s="230"/>
      <c r="I715" s="230"/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  <c r="V715" s="230"/>
      <c r="W715" s="230"/>
      <c r="X715" s="230"/>
      <c r="Y715" s="230"/>
      <c r="Z715" s="230"/>
    </row>
    <row r="716" spans="1:26" ht="21.75" x14ac:dyDescent="0.55000000000000004">
      <c r="A716" s="280"/>
      <c r="B716" s="230"/>
      <c r="C716" s="281"/>
      <c r="D716" s="281"/>
      <c r="E716" s="281"/>
      <c r="F716" s="282"/>
      <c r="G716" s="282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  <c r="W716" s="230"/>
      <c r="X716" s="230"/>
      <c r="Y716" s="230"/>
      <c r="Z716" s="230"/>
    </row>
    <row r="717" spans="1:26" ht="21.75" x14ac:dyDescent="0.55000000000000004">
      <c r="A717" s="280"/>
      <c r="B717" s="230"/>
      <c r="C717" s="281"/>
      <c r="D717" s="281"/>
      <c r="E717" s="281"/>
      <c r="F717" s="282"/>
      <c r="G717" s="282"/>
      <c r="H717" s="230"/>
      <c r="I717" s="230"/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  <c r="V717" s="230"/>
      <c r="W717" s="230"/>
      <c r="X717" s="230"/>
      <c r="Y717" s="230"/>
      <c r="Z717" s="230"/>
    </row>
    <row r="718" spans="1:26" ht="21.75" x14ac:dyDescent="0.55000000000000004">
      <c r="A718" s="280"/>
      <c r="B718" s="230"/>
      <c r="C718" s="281"/>
      <c r="D718" s="281"/>
      <c r="E718" s="281"/>
      <c r="F718" s="282"/>
      <c r="G718" s="282"/>
      <c r="H718" s="230"/>
      <c r="I718" s="230"/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  <c r="V718" s="230"/>
      <c r="W718" s="230"/>
      <c r="X718" s="230"/>
      <c r="Y718" s="230"/>
      <c r="Z718" s="230"/>
    </row>
    <row r="719" spans="1:26" ht="21.75" x14ac:dyDescent="0.55000000000000004">
      <c r="A719" s="280"/>
      <c r="B719" s="230"/>
      <c r="C719" s="281"/>
      <c r="D719" s="281"/>
      <c r="E719" s="281"/>
      <c r="F719" s="282"/>
      <c r="G719" s="282"/>
      <c r="H719" s="230"/>
      <c r="I719" s="230"/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  <c r="V719" s="230"/>
      <c r="W719" s="230"/>
      <c r="X719" s="230"/>
      <c r="Y719" s="230"/>
      <c r="Z719" s="230"/>
    </row>
    <row r="720" spans="1:26" ht="21.75" x14ac:dyDescent="0.55000000000000004">
      <c r="A720" s="280"/>
      <c r="B720" s="230"/>
      <c r="C720" s="281"/>
      <c r="D720" s="281"/>
      <c r="E720" s="281"/>
      <c r="F720" s="282"/>
      <c r="G720" s="282"/>
      <c r="H720" s="230"/>
      <c r="I720" s="230"/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  <c r="V720" s="230"/>
      <c r="W720" s="230"/>
      <c r="X720" s="230"/>
      <c r="Y720" s="230"/>
      <c r="Z720" s="230"/>
    </row>
    <row r="721" spans="1:26" ht="21.75" x14ac:dyDescent="0.55000000000000004">
      <c r="A721" s="280"/>
      <c r="B721" s="230"/>
      <c r="C721" s="281"/>
      <c r="D721" s="281"/>
      <c r="E721" s="281"/>
      <c r="F721" s="282"/>
      <c r="G721" s="282"/>
      <c r="H721" s="230"/>
      <c r="I721" s="230"/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  <c r="V721" s="230"/>
      <c r="W721" s="230"/>
      <c r="X721" s="230"/>
      <c r="Y721" s="230"/>
      <c r="Z721" s="230"/>
    </row>
    <row r="722" spans="1:26" ht="21.75" x14ac:dyDescent="0.55000000000000004">
      <c r="A722" s="280"/>
      <c r="B722" s="230"/>
      <c r="C722" s="281"/>
      <c r="D722" s="281"/>
      <c r="E722" s="281"/>
      <c r="F722" s="282"/>
      <c r="G722" s="282"/>
      <c r="H722" s="230"/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  <c r="V722" s="230"/>
      <c r="W722" s="230"/>
      <c r="X722" s="230"/>
      <c r="Y722" s="230"/>
      <c r="Z722" s="230"/>
    </row>
    <row r="723" spans="1:26" ht="21.75" x14ac:dyDescent="0.55000000000000004">
      <c r="A723" s="280"/>
      <c r="B723" s="230"/>
      <c r="C723" s="281"/>
      <c r="D723" s="281"/>
      <c r="E723" s="281"/>
      <c r="F723" s="282"/>
      <c r="G723" s="282"/>
      <c r="H723" s="230"/>
      <c r="I723" s="230"/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  <c r="V723" s="230"/>
      <c r="W723" s="230"/>
      <c r="X723" s="230"/>
      <c r="Y723" s="230"/>
      <c r="Z723" s="230"/>
    </row>
    <row r="724" spans="1:26" ht="21.75" x14ac:dyDescent="0.55000000000000004">
      <c r="A724" s="280"/>
      <c r="B724" s="230"/>
      <c r="C724" s="281"/>
      <c r="D724" s="281"/>
      <c r="E724" s="281"/>
      <c r="F724" s="282"/>
      <c r="G724" s="282"/>
      <c r="H724" s="230"/>
      <c r="I724" s="230"/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  <c r="V724" s="230"/>
      <c r="W724" s="230"/>
      <c r="X724" s="230"/>
      <c r="Y724" s="230"/>
      <c r="Z724" s="230"/>
    </row>
    <row r="725" spans="1:26" ht="21.75" x14ac:dyDescent="0.55000000000000004">
      <c r="A725" s="280"/>
      <c r="B725" s="230"/>
      <c r="C725" s="281"/>
      <c r="D725" s="281"/>
      <c r="E725" s="281"/>
      <c r="F725" s="282"/>
      <c r="G725" s="282"/>
      <c r="H725" s="230"/>
      <c r="I725" s="230"/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  <c r="V725" s="230"/>
      <c r="W725" s="230"/>
      <c r="X725" s="230"/>
      <c r="Y725" s="230"/>
      <c r="Z725" s="230"/>
    </row>
    <row r="726" spans="1:26" ht="21.75" x14ac:dyDescent="0.55000000000000004">
      <c r="A726" s="280"/>
      <c r="B726" s="230"/>
      <c r="C726" s="281"/>
      <c r="D726" s="281"/>
      <c r="E726" s="281"/>
      <c r="F726" s="282"/>
      <c r="G726" s="282"/>
      <c r="H726" s="230"/>
      <c r="I726" s="230"/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  <c r="V726" s="230"/>
      <c r="W726" s="230"/>
      <c r="X726" s="230"/>
      <c r="Y726" s="230"/>
      <c r="Z726" s="230"/>
    </row>
    <row r="727" spans="1:26" ht="21.75" x14ac:dyDescent="0.55000000000000004">
      <c r="A727" s="280"/>
      <c r="B727" s="230"/>
      <c r="C727" s="281"/>
      <c r="D727" s="281"/>
      <c r="E727" s="281"/>
      <c r="F727" s="282"/>
      <c r="G727" s="282"/>
      <c r="H727" s="230"/>
      <c r="I727" s="230"/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  <c r="V727" s="230"/>
      <c r="W727" s="230"/>
      <c r="X727" s="230"/>
      <c r="Y727" s="230"/>
      <c r="Z727" s="230"/>
    </row>
    <row r="728" spans="1:26" ht="21.75" x14ac:dyDescent="0.55000000000000004">
      <c r="A728" s="280"/>
      <c r="B728" s="230"/>
      <c r="C728" s="281"/>
      <c r="D728" s="281"/>
      <c r="E728" s="281"/>
      <c r="F728" s="282"/>
      <c r="G728" s="282"/>
      <c r="H728" s="230"/>
      <c r="I728" s="230"/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  <c r="V728" s="230"/>
      <c r="W728" s="230"/>
      <c r="X728" s="230"/>
      <c r="Y728" s="230"/>
      <c r="Z728" s="230"/>
    </row>
    <row r="729" spans="1:26" ht="21.75" x14ac:dyDescent="0.55000000000000004">
      <c r="A729" s="280"/>
      <c r="B729" s="230"/>
      <c r="C729" s="281"/>
      <c r="D729" s="281"/>
      <c r="E729" s="281"/>
      <c r="F729" s="282"/>
      <c r="G729" s="282"/>
      <c r="H729" s="230"/>
      <c r="I729" s="230"/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  <c r="V729" s="230"/>
      <c r="W729" s="230"/>
      <c r="X729" s="230"/>
      <c r="Y729" s="230"/>
      <c r="Z729" s="230"/>
    </row>
    <row r="730" spans="1:26" ht="21.75" x14ac:dyDescent="0.55000000000000004">
      <c r="A730" s="280"/>
      <c r="B730" s="230"/>
      <c r="C730" s="281"/>
      <c r="D730" s="281"/>
      <c r="E730" s="281"/>
      <c r="F730" s="282"/>
      <c r="G730" s="282"/>
      <c r="H730" s="230"/>
      <c r="I730" s="230"/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  <c r="V730" s="230"/>
      <c r="W730" s="230"/>
      <c r="X730" s="230"/>
      <c r="Y730" s="230"/>
      <c r="Z730" s="230"/>
    </row>
    <row r="731" spans="1:26" ht="21.75" x14ac:dyDescent="0.55000000000000004">
      <c r="A731" s="280"/>
      <c r="B731" s="230"/>
      <c r="C731" s="281"/>
      <c r="D731" s="281"/>
      <c r="E731" s="281"/>
      <c r="F731" s="282"/>
      <c r="G731" s="282"/>
      <c r="H731" s="230"/>
      <c r="I731" s="230"/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  <c r="V731" s="230"/>
      <c r="W731" s="230"/>
      <c r="X731" s="230"/>
      <c r="Y731" s="230"/>
      <c r="Z731" s="230"/>
    </row>
    <row r="732" spans="1:26" ht="21.75" x14ac:dyDescent="0.55000000000000004">
      <c r="A732" s="280"/>
      <c r="B732" s="230"/>
      <c r="C732" s="281"/>
      <c r="D732" s="281"/>
      <c r="E732" s="281"/>
      <c r="F732" s="282"/>
      <c r="G732" s="282"/>
      <c r="H732" s="230"/>
      <c r="I732" s="230"/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  <c r="V732" s="230"/>
      <c r="W732" s="230"/>
      <c r="X732" s="230"/>
      <c r="Y732" s="230"/>
      <c r="Z732" s="230"/>
    </row>
    <row r="733" spans="1:26" ht="21.75" x14ac:dyDescent="0.55000000000000004">
      <c r="A733" s="280"/>
      <c r="B733" s="230"/>
      <c r="C733" s="281"/>
      <c r="D733" s="281"/>
      <c r="E733" s="281"/>
      <c r="F733" s="282"/>
      <c r="G733" s="282"/>
      <c r="H733" s="230"/>
      <c r="I733" s="230"/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  <c r="V733" s="230"/>
      <c r="W733" s="230"/>
      <c r="X733" s="230"/>
      <c r="Y733" s="230"/>
      <c r="Z733" s="230"/>
    </row>
    <row r="734" spans="1:26" ht="21.75" x14ac:dyDescent="0.55000000000000004">
      <c r="A734" s="280"/>
      <c r="B734" s="230"/>
      <c r="C734" s="281"/>
      <c r="D734" s="281"/>
      <c r="E734" s="281"/>
      <c r="F734" s="282"/>
      <c r="G734" s="282"/>
      <c r="H734" s="230"/>
      <c r="I734" s="230"/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  <c r="V734" s="230"/>
      <c r="W734" s="230"/>
      <c r="X734" s="230"/>
      <c r="Y734" s="230"/>
      <c r="Z734" s="230"/>
    </row>
    <row r="735" spans="1:26" ht="21.75" x14ac:dyDescent="0.55000000000000004">
      <c r="A735" s="280"/>
      <c r="B735" s="230"/>
      <c r="C735" s="281"/>
      <c r="D735" s="281"/>
      <c r="E735" s="281"/>
      <c r="F735" s="282"/>
      <c r="G735" s="282"/>
      <c r="H735" s="230"/>
      <c r="I735" s="230"/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  <c r="V735" s="230"/>
      <c r="W735" s="230"/>
      <c r="X735" s="230"/>
      <c r="Y735" s="230"/>
      <c r="Z735" s="230"/>
    </row>
    <row r="736" spans="1:26" ht="21.75" x14ac:dyDescent="0.55000000000000004">
      <c r="A736" s="280"/>
      <c r="B736" s="230"/>
      <c r="C736" s="281"/>
      <c r="D736" s="281"/>
      <c r="E736" s="281"/>
      <c r="F736" s="282"/>
      <c r="G736" s="282"/>
      <c r="H736" s="230"/>
      <c r="I736" s="230"/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  <c r="V736" s="230"/>
      <c r="W736" s="230"/>
      <c r="X736" s="230"/>
      <c r="Y736" s="230"/>
      <c r="Z736" s="230"/>
    </row>
    <row r="737" spans="1:26" ht="21.75" x14ac:dyDescent="0.55000000000000004">
      <c r="A737" s="280"/>
      <c r="B737" s="230"/>
      <c r="C737" s="281"/>
      <c r="D737" s="281"/>
      <c r="E737" s="281"/>
      <c r="F737" s="282"/>
      <c r="G737" s="282"/>
      <c r="H737" s="230"/>
      <c r="I737" s="230"/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  <c r="V737" s="230"/>
      <c r="W737" s="230"/>
      <c r="X737" s="230"/>
      <c r="Y737" s="230"/>
      <c r="Z737" s="230"/>
    </row>
    <row r="738" spans="1:26" ht="21.75" x14ac:dyDescent="0.55000000000000004">
      <c r="A738" s="280"/>
      <c r="B738" s="230"/>
      <c r="C738" s="281"/>
      <c r="D738" s="281"/>
      <c r="E738" s="281"/>
      <c r="F738" s="282"/>
      <c r="G738" s="282"/>
      <c r="H738" s="230"/>
      <c r="I738" s="230"/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  <c r="V738" s="230"/>
      <c r="W738" s="230"/>
      <c r="X738" s="230"/>
      <c r="Y738" s="230"/>
      <c r="Z738" s="230"/>
    </row>
    <row r="739" spans="1:26" ht="21.75" x14ac:dyDescent="0.55000000000000004">
      <c r="A739" s="280"/>
      <c r="B739" s="230"/>
      <c r="C739" s="281"/>
      <c r="D739" s="281"/>
      <c r="E739" s="281"/>
      <c r="F739" s="282"/>
      <c r="G739" s="282"/>
      <c r="H739" s="230"/>
      <c r="I739" s="230"/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  <c r="V739" s="230"/>
      <c r="W739" s="230"/>
      <c r="X739" s="230"/>
      <c r="Y739" s="230"/>
      <c r="Z739" s="230"/>
    </row>
    <row r="740" spans="1:26" ht="21.75" x14ac:dyDescent="0.55000000000000004">
      <c r="A740" s="280"/>
      <c r="B740" s="230"/>
      <c r="C740" s="281"/>
      <c r="D740" s="281"/>
      <c r="E740" s="281"/>
      <c r="F740" s="282"/>
      <c r="G740" s="282"/>
      <c r="H740" s="230"/>
      <c r="I740" s="230"/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  <c r="V740" s="230"/>
      <c r="W740" s="230"/>
      <c r="X740" s="230"/>
      <c r="Y740" s="230"/>
      <c r="Z740" s="230"/>
    </row>
    <row r="741" spans="1:26" ht="21.75" x14ac:dyDescent="0.55000000000000004">
      <c r="A741" s="280"/>
      <c r="B741" s="230"/>
      <c r="C741" s="281"/>
      <c r="D741" s="281"/>
      <c r="E741" s="281"/>
      <c r="F741" s="282"/>
      <c r="G741" s="282"/>
      <c r="H741" s="230"/>
      <c r="I741" s="230"/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  <c r="V741" s="230"/>
      <c r="W741" s="230"/>
      <c r="X741" s="230"/>
      <c r="Y741" s="230"/>
      <c r="Z741" s="230"/>
    </row>
    <row r="742" spans="1:26" ht="21.75" x14ac:dyDescent="0.55000000000000004">
      <c r="A742" s="280"/>
      <c r="B742" s="230"/>
      <c r="C742" s="281"/>
      <c r="D742" s="281"/>
      <c r="E742" s="281"/>
      <c r="F742" s="282"/>
      <c r="G742" s="282"/>
      <c r="H742" s="230"/>
      <c r="I742" s="230"/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  <c r="V742" s="230"/>
      <c r="W742" s="230"/>
      <c r="X742" s="230"/>
      <c r="Y742" s="230"/>
      <c r="Z742" s="230"/>
    </row>
    <row r="743" spans="1:26" ht="21.75" x14ac:dyDescent="0.55000000000000004">
      <c r="A743" s="280"/>
      <c r="B743" s="230"/>
      <c r="C743" s="281"/>
      <c r="D743" s="281"/>
      <c r="E743" s="281"/>
      <c r="F743" s="282"/>
      <c r="G743" s="282"/>
      <c r="H743" s="230"/>
      <c r="I743" s="230"/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  <c r="V743" s="230"/>
      <c r="W743" s="230"/>
      <c r="X743" s="230"/>
      <c r="Y743" s="230"/>
      <c r="Z743" s="230"/>
    </row>
    <row r="744" spans="1:26" ht="21.75" x14ac:dyDescent="0.55000000000000004">
      <c r="A744" s="280"/>
      <c r="B744" s="230"/>
      <c r="C744" s="281"/>
      <c r="D744" s="281"/>
      <c r="E744" s="281"/>
      <c r="F744" s="282"/>
      <c r="G744" s="282"/>
      <c r="H744" s="230"/>
      <c r="I744" s="230"/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  <c r="V744" s="230"/>
      <c r="W744" s="230"/>
      <c r="X744" s="230"/>
      <c r="Y744" s="230"/>
      <c r="Z744" s="230"/>
    </row>
    <row r="745" spans="1:26" ht="21.75" x14ac:dyDescent="0.55000000000000004">
      <c r="A745" s="280"/>
      <c r="B745" s="230"/>
      <c r="C745" s="281"/>
      <c r="D745" s="281"/>
      <c r="E745" s="281"/>
      <c r="F745" s="282"/>
      <c r="G745" s="282"/>
      <c r="H745" s="230"/>
      <c r="I745" s="230"/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  <c r="V745" s="230"/>
      <c r="W745" s="230"/>
      <c r="X745" s="230"/>
      <c r="Y745" s="230"/>
      <c r="Z745" s="230"/>
    </row>
    <row r="746" spans="1:26" ht="21.75" x14ac:dyDescent="0.55000000000000004">
      <c r="A746" s="280"/>
      <c r="B746" s="230"/>
      <c r="C746" s="281"/>
      <c r="D746" s="281"/>
      <c r="E746" s="281"/>
      <c r="F746" s="282"/>
      <c r="G746" s="282"/>
      <c r="H746" s="230"/>
      <c r="I746" s="230"/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  <c r="V746" s="230"/>
      <c r="W746" s="230"/>
      <c r="X746" s="230"/>
      <c r="Y746" s="230"/>
      <c r="Z746" s="230"/>
    </row>
    <row r="747" spans="1:26" ht="21.75" x14ac:dyDescent="0.55000000000000004">
      <c r="A747" s="280"/>
      <c r="B747" s="230"/>
      <c r="C747" s="281"/>
      <c r="D747" s="281"/>
      <c r="E747" s="281"/>
      <c r="F747" s="282"/>
      <c r="G747" s="282"/>
      <c r="H747" s="230"/>
      <c r="I747" s="230"/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  <c r="V747" s="230"/>
      <c r="W747" s="230"/>
      <c r="X747" s="230"/>
      <c r="Y747" s="230"/>
      <c r="Z747" s="230"/>
    </row>
    <row r="748" spans="1:26" ht="21.75" x14ac:dyDescent="0.55000000000000004">
      <c r="A748" s="280"/>
      <c r="B748" s="230"/>
      <c r="C748" s="281"/>
      <c r="D748" s="281"/>
      <c r="E748" s="281"/>
      <c r="F748" s="282"/>
      <c r="G748" s="282"/>
      <c r="H748" s="230"/>
      <c r="I748" s="230"/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  <c r="V748" s="230"/>
      <c r="W748" s="230"/>
      <c r="X748" s="230"/>
      <c r="Y748" s="230"/>
      <c r="Z748" s="230"/>
    </row>
    <row r="749" spans="1:26" ht="21.75" x14ac:dyDescent="0.55000000000000004">
      <c r="A749" s="280"/>
      <c r="B749" s="230"/>
      <c r="C749" s="281"/>
      <c r="D749" s="281"/>
      <c r="E749" s="281"/>
      <c r="F749" s="282"/>
      <c r="G749" s="282"/>
      <c r="H749" s="230"/>
      <c r="I749" s="230"/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  <c r="V749" s="230"/>
      <c r="W749" s="230"/>
      <c r="X749" s="230"/>
      <c r="Y749" s="230"/>
      <c r="Z749" s="230"/>
    </row>
    <row r="750" spans="1:26" ht="21.75" x14ac:dyDescent="0.55000000000000004">
      <c r="A750" s="280"/>
      <c r="B750" s="230"/>
      <c r="C750" s="281"/>
      <c r="D750" s="281"/>
      <c r="E750" s="281"/>
      <c r="F750" s="282"/>
      <c r="G750" s="282"/>
      <c r="H750" s="230"/>
      <c r="I750" s="230"/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  <c r="V750" s="230"/>
      <c r="W750" s="230"/>
      <c r="X750" s="230"/>
      <c r="Y750" s="230"/>
      <c r="Z750" s="230"/>
    </row>
    <row r="751" spans="1:26" ht="21.75" x14ac:dyDescent="0.55000000000000004">
      <c r="A751" s="280"/>
      <c r="B751" s="230"/>
      <c r="C751" s="281"/>
      <c r="D751" s="281"/>
      <c r="E751" s="281"/>
      <c r="F751" s="282"/>
      <c r="G751" s="282"/>
      <c r="H751" s="230"/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  <c r="V751" s="230"/>
      <c r="W751" s="230"/>
      <c r="X751" s="230"/>
      <c r="Y751" s="230"/>
      <c r="Z751" s="230"/>
    </row>
    <row r="752" spans="1:26" ht="21.75" x14ac:dyDescent="0.55000000000000004">
      <c r="A752" s="280"/>
      <c r="B752" s="230"/>
      <c r="C752" s="281"/>
      <c r="D752" s="281"/>
      <c r="E752" s="281"/>
      <c r="F752" s="282"/>
      <c r="G752" s="282"/>
      <c r="H752" s="230"/>
      <c r="I752" s="230"/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  <c r="V752" s="230"/>
      <c r="W752" s="230"/>
      <c r="X752" s="230"/>
      <c r="Y752" s="230"/>
      <c r="Z752" s="230"/>
    </row>
    <row r="753" spans="1:26" ht="21.75" x14ac:dyDescent="0.55000000000000004">
      <c r="A753" s="280"/>
      <c r="B753" s="230"/>
      <c r="C753" s="281"/>
      <c r="D753" s="281"/>
      <c r="E753" s="281"/>
      <c r="F753" s="282"/>
      <c r="G753" s="282"/>
      <c r="H753" s="230"/>
      <c r="I753" s="230"/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  <c r="V753" s="230"/>
      <c r="W753" s="230"/>
      <c r="X753" s="230"/>
      <c r="Y753" s="230"/>
      <c r="Z753" s="230"/>
    </row>
    <row r="754" spans="1:26" ht="21.75" x14ac:dyDescent="0.55000000000000004">
      <c r="A754" s="280"/>
      <c r="B754" s="230"/>
      <c r="C754" s="281"/>
      <c r="D754" s="281"/>
      <c r="E754" s="281"/>
      <c r="F754" s="282"/>
      <c r="G754" s="282"/>
      <c r="H754" s="230"/>
      <c r="I754" s="230"/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  <c r="V754" s="230"/>
      <c r="W754" s="230"/>
      <c r="X754" s="230"/>
      <c r="Y754" s="230"/>
      <c r="Z754" s="230"/>
    </row>
    <row r="755" spans="1:26" ht="21.75" x14ac:dyDescent="0.55000000000000004">
      <c r="A755" s="280"/>
      <c r="B755" s="230"/>
      <c r="C755" s="281"/>
      <c r="D755" s="281"/>
      <c r="E755" s="281"/>
      <c r="F755" s="282"/>
      <c r="G755" s="282"/>
      <c r="H755" s="230"/>
      <c r="I755" s="230"/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  <c r="V755" s="230"/>
      <c r="W755" s="230"/>
      <c r="X755" s="230"/>
      <c r="Y755" s="230"/>
      <c r="Z755" s="230"/>
    </row>
    <row r="756" spans="1:26" ht="21.75" x14ac:dyDescent="0.55000000000000004">
      <c r="A756" s="280"/>
      <c r="B756" s="230"/>
      <c r="C756" s="281"/>
      <c r="D756" s="281"/>
      <c r="E756" s="281"/>
      <c r="F756" s="282"/>
      <c r="G756" s="282"/>
      <c r="H756" s="230"/>
      <c r="I756" s="230"/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  <c r="V756" s="230"/>
      <c r="W756" s="230"/>
      <c r="X756" s="230"/>
      <c r="Y756" s="230"/>
      <c r="Z756" s="230"/>
    </row>
    <row r="757" spans="1:26" ht="21.75" x14ac:dyDescent="0.55000000000000004">
      <c r="A757" s="280"/>
      <c r="B757" s="230"/>
      <c r="C757" s="281"/>
      <c r="D757" s="281"/>
      <c r="E757" s="281"/>
      <c r="F757" s="282"/>
      <c r="G757" s="282"/>
      <c r="H757" s="230"/>
      <c r="I757" s="230"/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  <c r="V757" s="230"/>
      <c r="W757" s="230"/>
      <c r="X757" s="230"/>
      <c r="Y757" s="230"/>
      <c r="Z757" s="230"/>
    </row>
    <row r="758" spans="1:26" ht="21.75" x14ac:dyDescent="0.55000000000000004">
      <c r="A758" s="280"/>
      <c r="B758" s="230"/>
      <c r="C758" s="281"/>
      <c r="D758" s="281"/>
      <c r="E758" s="281"/>
      <c r="F758" s="282"/>
      <c r="G758" s="282"/>
      <c r="H758" s="230"/>
      <c r="I758" s="230"/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  <c r="V758" s="230"/>
      <c r="W758" s="230"/>
      <c r="X758" s="230"/>
      <c r="Y758" s="230"/>
      <c r="Z758" s="230"/>
    </row>
    <row r="759" spans="1:26" ht="21.75" x14ac:dyDescent="0.55000000000000004">
      <c r="A759" s="280"/>
      <c r="B759" s="230"/>
      <c r="C759" s="281"/>
      <c r="D759" s="281"/>
      <c r="E759" s="281"/>
      <c r="F759" s="282"/>
      <c r="G759" s="282"/>
      <c r="H759" s="230"/>
      <c r="I759" s="230"/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  <c r="V759" s="230"/>
      <c r="W759" s="230"/>
      <c r="X759" s="230"/>
      <c r="Y759" s="230"/>
      <c r="Z759" s="230"/>
    </row>
    <row r="760" spans="1:26" ht="21.75" x14ac:dyDescent="0.55000000000000004">
      <c r="A760" s="280"/>
      <c r="B760" s="230"/>
      <c r="C760" s="281"/>
      <c r="D760" s="281"/>
      <c r="E760" s="281"/>
      <c r="F760" s="282"/>
      <c r="G760" s="282"/>
      <c r="H760" s="230"/>
      <c r="I760" s="230"/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  <c r="V760" s="230"/>
      <c r="W760" s="230"/>
      <c r="X760" s="230"/>
      <c r="Y760" s="230"/>
      <c r="Z760" s="230"/>
    </row>
    <row r="761" spans="1:26" ht="21.75" x14ac:dyDescent="0.55000000000000004">
      <c r="A761" s="280"/>
      <c r="B761" s="230"/>
      <c r="C761" s="281"/>
      <c r="D761" s="281"/>
      <c r="E761" s="281"/>
      <c r="F761" s="282"/>
      <c r="G761" s="282"/>
      <c r="H761" s="230"/>
      <c r="I761" s="230"/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  <c r="V761" s="230"/>
      <c r="W761" s="230"/>
      <c r="X761" s="230"/>
      <c r="Y761" s="230"/>
      <c r="Z761" s="230"/>
    </row>
    <row r="762" spans="1:26" ht="21.75" x14ac:dyDescent="0.55000000000000004">
      <c r="A762" s="280"/>
      <c r="B762" s="230"/>
      <c r="C762" s="281"/>
      <c r="D762" s="281"/>
      <c r="E762" s="281"/>
      <c r="F762" s="282"/>
      <c r="G762" s="282"/>
      <c r="H762" s="230"/>
      <c r="I762" s="230"/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  <c r="V762" s="230"/>
      <c r="W762" s="230"/>
      <c r="X762" s="230"/>
      <c r="Y762" s="230"/>
      <c r="Z762" s="230"/>
    </row>
    <row r="763" spans="1:26" ht="21.75" x14ac:dyDescent="0.55000000000000004">
      <c r="A763" s="280"/>
      <c r="B763" s="230"/>
      <c r="C763" s="281"/>
      <c r="D763" s="281"/>
      <c r="E763" s="281"/>
      <c r="F763" s="282"/>
      <c r="G763" s="282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  <c r="W763" s="230"/>
      <c r="X763" s="230"/>
      <c r="Y763" s="230"/>
      <c r="Z763" s="230"/>
    </row>
    <row r="764" spans="1:26" ht="21.75" x14ac:dyDescent="0.55000000000000004">
      <c r="A764" s="280"/>
      <c r="B764" s="230"/>
      <c r="C764" s="281"/>
      <c r="D764" s="281"/>
      <c r="E764" s="281"/>
      <c r="F764" s="282"/>
      <c r="G764" s="282"/>
      <c r="H764" s="230"/>
      <c r="I764" s="230"/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  <c r="V764" s="230"/>
      <c r="W764" s="230"/>
      <c r="X764" s="230"/>
      <c r="Y764" s="230"/>
      <c r="Z764" s="230"/>
    </row>
    <row r="765" spans="1:26" ht="21.75" x14ac:dyDescent="0.55000000000000004">
      <c r="A765" s="280"/>
      <c r="B765" s="230"/>
      <c r="C765" s="281"/>
      <c r="D765" s="281"/>
      <c r="E765" s="281"/>
      <c r="F765" s="282"/>
      <c r="G765" s="282"/>
      <c r="H765" s="230"/>
      <c r="I765" s="230"/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  <c r="V765" s="230"/>
      <c r="W765" s="230"/>
      <c r="X765" s="230"/>
      <c r="Y765" s="230"/>
      <c r="Z765" s="230"/>
    </row>
    <row r="766" spans="1:26" ht="21.75" x14ac:dyDescent="0.55000000000000004">
      <c r="A766" s="280"/>
      <c r="B766" s="230"/>
      <c r="C766" s="281"/>
      <c r="D766" s="281"/>
      <c r="E766" s="281"/>
      <c r="F766" s="282"/>
      <c r="G766" s="282"/>
      <c r="H766" s="230"/>
      <c r="I766" s="230"/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  <c r="V766" s="230"/>
      <c r="W766" s="230"/>
      <c r="X766" s="230"/>
      <c r="Y766" s="230"/>
      <c r="Z766" s="230"/>
    </row>
    <row r="767" spans="1:26" ht="21.75" x14ac:dyDescent="0.55000000000000004">
      <c r="A767" s="280"/>
      <c r="B767" s="230"/>
      <c r="C767" s="281"/>
      <c r="D767" s="281"/>
      <c r="E767" s="281"/>
      <c r="F767" s="282"/>
      <c r="G767" s="282"/>
      <c r="H767" s="230"/>
      <c r="I767" s="230"/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  <c r="V767" s="230"/>
      <c r="W767" s="230"/>
      <c r="X767" s="230"/>
      <c r="Y767" s="230"/>
      <c r="Z767" s="230"/>
    </row>
    <row r="768" spans="1:26" ht="21.75" x14ac:dyDescent="0.55000000000000004">
      <c r="A768" s="280"/>
      <c r="B768" s="230"/>
      <c r="C768" s="281"/>
      <c r="D768" s="281"/>
      <c r="E768" s="281"/>
      <c r="F768" s="282"/>
      <c r="G768" s="282"/>
      <c r="H768" s="230"/>
      <c r="I768" s="230"/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  <c r="V768" s="230"/>
      <c r="W768" s="230"/>
      <c r="X768" s="230"/>
      <c r="Y768" s="230"/>
      <c r="Z768" s="230"/>
    </row>
    <row r="769" spans="1:26" ht="21.75" x14ac:dyDescent="0.55000000000000004">
      <c r="A769" s="280"/>
      <c r="B769" s="230"/>
      <c r="C769" s="281"/>
      <c r="D769" s="281"/>
      <c r="E769" s="281"/>
      <c r="F769" s="282"/>
      <c r="G769" s="282"/>
      <c r="H769" s="230"/>
      <c r="I769" s="230"/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  <c r="V769" s="230"/>
      <c r="W769" s="230"/>
      <c r="X769" s="230"/>
      <c r="Y769" s="230"/>
      <c r="Z769" s="230"/>
    </row>
    <row r="770" spans="1:26" ht="21.75" x14ac:dyDescent="0.55000000000000004">
      <c r="A770" s="280"/>
      <c r="B770" s="230"/>
      <c r="C770" s="281"/>
      <c r="D770" s="281"/>
      <c r="E770" s="281"/>
      <c r="F770" s="282"/>
      <c r="G770" s="282"/>
      <c r="H770" s="230"/>
      <c r="I770" s="230"/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  <c r="V770" s="230"/>
      <c r="W770" s="230"/>
      <c r="X770" s="230"/>
      <c r="Y770" s="230"/>
      <c r="Z770" s="230"/>
    </row>
    <row r="771" spans="1:26" ht="21.75" x14ac:dyDescent="0.55000000000000004">
      <c r="A771" s="280"/>
      <c r="B771" s="230"/>
      <c r="C771" s="281"/>
      <c r="D771" s="281"/>
      <c r="E771" s="281"/>
      <c r="F771" s="282"/>
      <c r="G771" s="282"/>
      <c r="H771" s="230"/>
      <c r="I771" s="230"/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  <c r="V771" s="230"/>
      <c r="W771" s="230"/>
      <c r="X771" s="230"/>
      <c r="Y771" s="230"/>
      <c r="Z771" s="230"/>
    </row>
    <row r="772" spans="1:26" ht="21.75" x14ac:dyDescent="0.55000000000000004">
      <c r="A772" s="280"/>
      <c r="B772" s="230"/>
      <c r="C772" s="281"/>
      <c r="D772" s="281"/>
      <c r="E772" s="281"/>
      <c r="F772" s="282"/>
      <c r="G772" s="282"/>
      <c r="H772" s="230"/>
      <c r="I772" s="230"/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  <c r="V772" s="230"/>
      <c r="W772" s="230"/>
      <c r="X772" s="230"/>
      <c r="Y772" s="230"/>
      <c r="Z772" s="230"/>
    </row>
    <row r="773" spans="1:26" ht="21.75" x14ac:dyDescent="0.55000000000000004">
      <c r="A773" s="280"/>
      <c r="B773" s="230"/>
      <c r="C773" s="281"/>
      <c r="D773" s="281"/>
      <c r="E773" s="281"/>
      <c r="F773" s="282"/>
      <c r="G773" s="282"/>
      <c r="H773" s="230"/>
      <c r="I773" s="230"/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  <c r="V773" s="230"/>
      <c r="W773" s="230"/>
      <c r="X773" s="230"/>
      <c r="Y773" s="230"/>
      <c r="Z773" s="230"/>
    </row>
    <row r="774" spans="1:26" ht="21.75" x14ac:dyDescent="0.55000000000000004">
      <c r="A774" s="280"/>
      <c r="B774" s="230"/>
      <c r="C774" s="281"/>
      <c r="D774" s="281"/>
      <c r="E774" s="281"/>
      <c r="F774" s="282"/>
      <c r="G774" s="282"/>
      <c r="H774" s="230"/>
      <c r="I774" s="230"/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  <c r="V774" s="230"/>
      <c r="W774" s="230"/>
      <c r="X774" s="230"/>
      <c r="Y774" s="230"/>
      <c r="Z774" s="230"/>
    </row>
    <row r="775" spans="1:26" ht="21.75" x14ac:dyDescent="0.55000000000000004">
      <c r="A775" s="280"/>
      <c r="B775" s="230"/>
      <c r="C775" s="281"/>
      <c r="D775" s="281"/>
      <c r="E775" s="281"/>
      <c r="F775" s="282"/>
      <c r="G775" s="282"/>
      <c r="H775" s="230"/>
      <c r="I775" s="230"/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  <c r="V775" s="230"/>
      <c r="W775" s="230"/>
      <c r="X775" s="230"/>
      <c r="Y775" s="230"/>
      <c r="Z775" s="230"/>
    </row>
    <row r="776" spans="1:26" ht="21.75" x14ac:dyDescent="0.55000000000000004">
      <c r="A776" s="280"/>
      <c r="B776" s="230"/>
      <c r="C776" s="281"/>
      <c r="D776" s="281"/>
      <c r="E776" s="281"/>
      <c r="F776" s="282"/>
      <c r="G776" s="282"/>
      <c r="H776" s="230"/>
      <c r="I776" s="230"/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  <c r="V776" s="230"/>
      <c r="W776" s="230"/>
      <c r="X776" s="230"/>
      <c r="Y776" s="230"/>
      <c r="Z776" s="230"/>
    </row>
    <row r="777" spans="1:26" ht="21.75" x14ac:dyDescent="0.55000000000000004">
      <c r="A777" s="280"/>
      <c r="B777" s="230"/>
      <c r="C777" s="281"/>
      <c r="D777" s="281"/>
      <c r="E777" s="281"/>
      <c r="F777" s="282"/>
      <c r="G777" s="282"/>
      <c r="H777" s="230"/>
      <c r="I777" s="230"/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  <c r="V777" s="230"/>
      <c r="W777" s="230"/>
      <c r="X777" s="230"/>
      <c r="Y777" s="230"/>
      <c r="Z777" s="230"/>
    </row>
    <row r="778" spans="1:26" ht="21.75" x14ac:dyDescent="0.55000000000000004">
      <c r="A778" s="280"/>
      <c r="B778" s="230"/>
      <c r="C778" s="281"/>
      <c r="D778" s="281"/>
      <c r="E778" s="281"/>
      <c r="F778" s="282"/>
      <c r="G778" s="282"/>
      <c r="H778" s="230"/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  <c r="V778" s="230"/>
      <c r="W778" s="230"/>
      <c r="X778" s="230"/>
      <c r="Y778" s="230"/>
      <c r="Z778" s="230"/>
    </row>
    <row r="779" spans="1:26" ht="21.75" x14ac:dyDescent="0.55000000000000004">
      <c r="A779" s="280"/>
      <c r="B779" s="230"/>
      <c r="C779" s="281"/>
      <c r="D779" s="281"/>
      <c r="E779" s="281"/>
      <c r="F779" s="282"/>
      <c r="G779" s="282"/>
      <c r="H779" s="230"/>
      <c r="I779" s="230"/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  <c r="V779" s="230"/>
      <c r="W779" s="230"/>
      <c r="X779" s="230"/>
      <c r="Y779" s="230"/>
      <c r="Z779" s="230"/>
    </row>
    <row r="780" spans="1:26" ht="21.75" x14ac:dyDescent="0.55000000000000004">
      <c r="A780" s="280"/>
      <c r="B780" s="230"/>
      <c r="C780" s="281"/>
      <c r="D780" s="281"/>
      <c r="E780" s="281"/>
      <c r="F780" s="282"/>
      <c r="G780" s="282"/>
      <c r="H780" s="230"/>
      <c r="I780" s="230"/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  <c r="V780" s="230"/>
      <c r="W780" s="230"/>
      <c r="X780" s="230"/>
      <c r="Y780" s="230"/>
      <c r="Z780" s="230"/>
    </row>
    <row r="781" spans="1:26" ht="21.75" x14ac:dyDescent="0.55000000000000004">
      <c r="A781" s="280"/>
      <c r="B781" s="230"/>
      <c r="C781" s="281"/>
      <c r="D781" s="281"/>
      <c r="E781" s="281"/>
      <c r="F781" s="282"/>
      <c r="G781" s="282"/>
      <c r="H781" s="230"/>
      <c r="I781" s="230"/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  <c r="V781" s="230"/>
      <c r="W781" s="230"/>
      <c r="X781" s="230"/>
      <c r="Y781" s="230"/>
      <c r="Z781" s="230"/>
    </row>
    <row r="782" spans="1:26" ht="21.75" x14ac:dyDescent="0.55000000000000004">
      <c r="A782" s="280"/>
      <c r="B782" s="230"/>
      <c r="C782" s="281"/>
      <c r="D782" s="281"/>
      <c r="E782" s="281"/>
      <c r="F782" s="282"/>
      <c r="G782" s="282"/>
      <c r="H782" s="230"/>
      <c r="I782" s="230"/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  <c r="V782" s="230"/>
      <c r="W782" s="230"/>
      <c r="X782" s="230"/>
      <c r="Y782" s="230"/>
      <c r="Z782" s="230"/>
    </row>
    <row r="783" spans="1:26" ht="21.75" x14ac:dyDescent="0.55000000000000004">
      <c r="A783" s="280"/>
      <c r="B783" s="230"/>
      <c r="C783" s="281"/>
      <c r="D783" s="281"/>
      <c r="E783" s="281"/>
      <c r="F783" s="282"/>
      <c r="G783" s="282"/>
      <c r="H783" s="230"/>
      <c r="I783" s="230"/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  <c r="V783" s="230"/>
      <c r="W783" s="230"/>
      <c r="X783" s="230"/>
      <c r="Y783" s="230"/>
      <c r="Z783" s="230"/>
    </row>
    <row r="784" spans="1:26" ht="21.75" x14ac:dyDescent="0.55000000000000004">
      <c r="A784" s="280"/>
      <c r="B784" s="230"/>
      <c r="C784" s="281"/>
      <c r="D784" s="281"/>
      <c r="E784" s="281"/>
      <c r="F784" s="282"/>
      <c r="G784" s="282"/>
      <c r="H784" s="230"/>
      <c r="I784" s="230"/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  <c r="V784" s="230"/>
      <c r="W784" s="230"/>
      <c r="X784" s="230"/>
      <c r="Y784" s="230"/>
      <c r="Z784" s="230"/>
    </row>
    <row r="785" spans="1:26" ht="21.75" x14ac:dyDescent="0.55000000000000004">
      <c r="A785" s="280"/>
      <c r="B785" s="230"/>
      <c r="C785" s="281"/>
      <c r="D785" s="281"/>
      <c r="E785" s="281"/>
      <c r="F785" s="282"/>
      <c r="G785" s="282"/>
      <c r="H785" s="230"/>
      <c r="I785" s="230"/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  <c r="V785" s="230"/>
      <c r="W785" s="230"/>
      <c r="X785" s="230"/>
      <c r="Y785" s="230"/>
      <c r="Z785" s="230"/>
    </row>
    <row r="786" spans="1:26" ht="21.75" x14ac:dyDescent="0.55000000000000004">
      <c r="A786" s="280"/>
      <c r="B786" s="230"/>
      <c r="C786" s="281"/>
      <c r="D786" s="281"/>
      <c r="E786" s="281"/>
      <c r="F786" s="282"/>
      <c r="G786" s="282"/>
      <c r="H786" s="230"/>
      <c r="I786" s="230"/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  <c r="V786" s="230"/>
      <c r="W786" s="230"/>
      <c r="X786" s="230"/>
      <c r="Y786" s="230"/>
      <c r="Z786" s="230"/>
    </row>
    <row r="787" spans="1:26" ht="21.75" x14ac:dyDescent="0.55000000000000004">
      <c r="A787" s="280"/>
      <c r="B787" s="230"/>
      <c r="C787" s="281"/>
      <c r="D787" s="281"/>
      <c r="E787" s="281"/>
      <c r="F787" s="282"/>
      <c r="G787" s="282"/>
      <c r="H787" s="230"/>
      <c r="I787" s="230"/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  <c r="V787" s="230"/>
      <c r="W787" s="230"/>
      <c r="X787" s="230"/>
      <c r="Y787" s="230"/>
      <c r="Z787" s="230"/>
    </row>
    <row r="788" spans="1:26" ht="21.75" x14ac:dyDescent="0.55000000000000004">
      <c r="A788" s="280"/>
      <c r="B788" s="230"/>
      <c r="C788" s="281"/>
      <c r="D788" s="281"/>
      <c r="E788" s="281"/>
      <c r="F788" s="282"/>
      <c r="G788" s="282"/>
      <c r="H788" s="230"/>
      <c r="I788" s="230"/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  <c r="V788" s="230"/>
      <c r="W788" s="230"/>
      <c r="X788" s="230"/>
      <c r="Y788" s="230"/>
      <c r="Z788" s="230"/>
    </row>
    <row r="789" spans="1:26" ht="21.75" x14ac:dyDescent="0.55000000000000004">
      <c r="A789" s="280"/>
      <c r="B789" s="230"/>
      <c r="C789" s="281"/>
      <c r="D789" s="281"/>
      <c r="E789" s="281"/>
      <c r="F789" s="282"/>
      <c r="G789" s="282"/>
      <c r="H789" s="230"/>
      <c r="I789" s="230"/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  <c r="V789" s="230"/>
      <c r="W789" s="230"/>
      <c r="X789" s="230"/>
      <c r="Y789" s="230"/>
      <c r="Z789" s="230"/>
    </row>
    <row r="790" spans="1:26" ht="21.75" x14ac:dyDescent="0.55000000000000004">
      <c r="A790" s="280"/>
      <c r="B790" s="230"/>
      <c r="C790" s="281"/>
      <c r="D790" s="281"/>
      <c r="E790" s="281"/>
      <c r="F790" s="282"/>
      <c r="G790" s="282"/>
      <c r="H790" s="230"/>
      <c r="I790" s="230"/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  <c r="V790" s="230"/>
      <c r="W790" s="230"/>
      <c r="X790" s="230"/>
      <c r="Y790" s="230"/>
      <c r="Z790" s="230"/>
    </row>
    <row r="791" spans="1:26" ht="21.75" x14ac:dyDescent="0.55000000000000004">
      <c r="A791" s="280"/>
      <c r="B791" s="230"/>
      <c r="C791" s="281"/>
      <c r="D791" s="281"/>
      <c r="E791" s="281"/>
      <c r="F791" s="282"/>
      <c r="G791" s="282"/>
      <c r="H791" s="230"/>
      <c r="I791" s="230"/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  <c r="V791" s="230"/>
      <c r="W791" s="230"/>
      <c r="X791" s="230"/>
      <c r="Y791" s="230"/>
      <c r="Z791" s="230"/>
    </row>
    <row r="792" spans="1:26" ht="21.75" x14ac:dyDescent="0.55000000000000004">
      <c r="A792" s="280"/>
      <c r="B792" s="230"/>
      <c r="C792" s="281"/>
      <c r="D792" s="281"/>
      <c r="E792" s="281"/>
      <c r="F792" s="282"/>
      <c r="G792" s="282"/>
      <c r="H792" s="230"/>
      <c r="I792" s="230"/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  <c r="V792" s="230"/>
      <c r="W792" s="230"/>
      <c r="X792" s="230"/>
      <c r="Y792" s="230"/>
      <c r="Z792" s="230"/>
    </row>
    <row r="793" spans="1:26" ht="21.75" x14ac:dyDescent="0.55000000000000004">
      <c r="A793" s="280"/>
      <c r="B793" s="230"/>
      <c r="C793" s="281"/>
      <c r="D793" s="281"/>
      <c r="E793" s="281"/>
      <c r="F793" s="282"/>
      <c r="G793" s="282"/>
      <c r="H793" s="230"/>
      <c r="I793" s="230"/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  <c r="V793" s="230"/>
      <c r="W793" s="230"/>
      <c r="X793" s="230"/>
      <c r="Y793" s="230"/>
      <c r="Z793" s="230"/>
    </row>
    <row r="794" spans="1:26" ht="21.75" x14ac:dyDescent="0.55000000000000004">
      <c r="A794" s="280"/>
      <c r="B794" s="230"/>
      <c r="C794" s="281"/>
      <c r="D794" s="281"/>
      <c r="E794" s="281"/>
      <c r="F794" s="282"/>
      <c r="G794" s="282"/>
      <c r="H794" s="230"/>
      <c r="I794" s="230"/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  <c r="V794" s="230"/>
      <c r="W794" s="230"/>
      <c r="X794" s="230"/>
      <c r="Y794" s="230"/>
      <c r="Z794" s="230"/>
    </row>
    <row r="795" spans="1:26" ht="21.75" x14ac:dyDescent="0.55000000000000004">
      <c r="A795" s="280"/>
      <c r="B795" s="230"/>
      <c r="C795" s="281"/>
      <c r="D795" s="281"/>
      <c r="E795" s="281"/>
      <c r="F795" s="282"/>
      <c r="G795" s="282"/>
      <c r="H795" s="230"/>
      <c r="I795" s="230"/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  <c r="V795" s="230"/>
      <c r="W795" s="230"/>
      <c r="X795" s="230"/>
      <c r="Y795" s="230"/>
      <c r="Z795" s="230"/>
    </row>
    <row r="796" spans="1:26" ht="21.75" x14ac:dyDescent="0.55000000000000004">
      <c r="A796" s="280"/>
      <c r="B796" s="230"/>
      <c r="C796" s="281"/>
      <c r="D796" s="281"/>
      <c r="E796" s="281"/>
      <c r="F796" s="282"/>
      <c r="G796" s="282"/>
      <c r="H796" s="230"/>
      <c r="I796" s="230"/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  <c r="V796" s="230"/>
      <c r="W796" s="230"/>
      <c r="X796" s="230"/>
      <c r="Y796" s="230"/>
      <c r="Z796" s="230"/>
    </row>
    <row r="797" spans="1:26" ht="21.75" x14ac:dyDescent="0.55000000000000004">
      <c r="A797" s="280"/>
      <c r="B797" s="230"/>
      <c r="C797" s="281"/>
      <c r="D797" s="281"/>
      <c r="E797" s="281"/>
      <c r="F797" s="282"/>
      <c r="G797" s="282"/>
      <c r="H797" s="230"/>
      <c r="I797" s="230"/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  <c r="V797" s="230"/>
      <c r="W797" s="230"/>
      <c r="X797" s="230"/>
      <c r="Y797" s="230"/>
      <c r="Z797" s="230"/>
    </row>
    <row r="798" spans="1:26" ht="21.75" x14ac:dyDescent="0.55000000000000004">
      <c r="A798" s="280"/>
      <c r="B798" s="230"/>
      <c r="C798" s="281"/>
      <c r="D798" s="281"/>
      <c r="E798" s="281"/>
      <c r="F798" s="282"/>
      <c r="G798" s="282"/>
      <c r="H798" s="230"/>
      <c r="I798" s="230"/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  <c r="V798" s="230"/>
      <c r="W798" s="230"/>
      <c r="X798" s="230"/>
      <c r="Y798" s="230"/>
      <c r="Z798" s="230"/>
    </row>
    <row r="799" spans="1:26" ht="21.75" x14ac:dyDescent="0.55000000000000004">
      <c r="A799" s="280"/>
      <c r="B799" s="230"/>
      <c r="C799" s="281"/>
      <c r="D799" s="281"/>
      <c r="E799" s="281"/>
      <c r="F799" s="282"/>
      <c r="G799" s="282"/>
      <c r="H799" s="230"/>
      <c r="I799" s="230"/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  <c r="V799" s="230"/>
      <c r="W799" s="230"/>
      <c r="X799" s="230"/>
      <c r="Y799" s="230"/>
      <c r="Z799" s="230"/>
    </row>
    <row r="800" spans="1:26" ht="21.75" x14ac:dyDescent="0.55000000000000004">
      <c r="A800" s="280"/>
      <c r="B800" s="230"/>
      <c r="C800" s="281"/>
      <c r="D800" s="281"/>
      <c r="E800" s="281"/>
      <c r="F800" s="282"/>
      <c r="G800" s="282"/>
      <c r="H800" s="230"/>
      <c r="I800" s="230"/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  <c r="V800" s="230"/>
      <c r="W800" s="230"/>
      <c r="X800" s="230"/>
      <c r="Y800" s="230"/>
      <c r="Z800" s="230"/>
    </row>
    <row r="801" spans="1:26" ht="21.75" x14ac:dyDescent="0.55000000000000004">
      <c r="A801" s="280"/>
      <c r="B801" s="230"/>
      <c r="C801" s="281"/>
      <c r="D801" s="281"/>
      <c r="E801" s="281"/>
      <c r="F801" s="282"/>
      <c r="G801" s="282"/>
      <c r="H801" s="230"/>
      <c r="I801" s="230"/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  <c r="V801" s="230"/>
      <c r="W801" s="230"/>
      <c r="X801" s="230"/>
      <c r="Y801" s="230"/>
      <c r="Z801" s="230"/>
    </row>
    <row r="802" spans="1:26" ht="21.75" x14ac:dyDescent="0.55000000000000004">
      <c r="A802" s="280"/>
      <c r="B802" s="230"/>
      <c r="C802" s="281"/>
      <c r="D802" s="281"/>
      <c r="E802" s="281"/>
      <c r="F802" s="282"/>
      <c r="G802" s="282"/>
      <c r="H802" s="230"/>
      <c r="I802" s="230"/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  <c r="V802" s="230"/>
      <c r="W802" s="230"/>
      <c r="X802" s="230"/>
      <c r="Y802" s="230"/>
      <c r="Z802" s="230"/>
    </row>
    <row r="803" spans="1:26" ht="21.75" x14ac:dyDescent="0.55000000000000004">
      <c r="A803" s="280"/>
      <c r="B803" s="230"/>
      <c r="C803" s="281"/>
      <c r="D803" s="281"/>
      <c r="E803" s="281"/>
      <c r="F803" s="282"/>
      <c r="G803" s="282"/>
      <c r="H803" s="230"/>
      <c r="I803" s="230"/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  <c r="V803" s="230"/>
      <c r="W803" s="230"/>
      <c r="X803" s="230"/>
      <c r="Y803" s="230"/>
      <c r="Z803" s="230"/>
    </row>
    <row r="804" spans="1:26" ht="21.75" x14ac:dyDescent="0.55000000000000004">
      <c r="A804" s="280"/>
      <c r="B804" s="230"/>
      <c r="C804" s="281"/>
      <c r="D804" s="281"/>
      <c r="E804" s="281"/>
      <c r="F804" s="282"/>
      <c r="G804" s="282"/>
      <c r="H804" s="230"/>
      <c r="I804" s="230"/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  <c r="V804" s="230"/>
      <c r="W804" s="230"/>
      <c r="X804" s="230"/>
      <c r="Y804" s="230"/>
      <c r="Z804" s="230"/>
    </row>
    <row r="805" spans="1:26" ht="21.75" x14ac:dyDescent="0.55000000000000004">
      <c r="A805" s="280"/>
      <c r="B805" s="230"/>
      <c r="C805" s="281"/>
      <c r="D805" s="281"/>
      <c r="E805" s="281"/>
      <c r="F805" s="282"/>
      <c r="G805" s="282"/>
      <c r="H805" s="230"/>
      <c r="I805" s="230"/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  <c r="V805" s="230"/>
      <c r="W805" s="230"/>
      <c r="X805" s="230"/>
      <c r="Y805" s="230"/>
      <c r="Z805" s="230"/>
    </row>
    <row r="806" spans="1:26" ht="21.75" x14ac:dyDescent="0.55000000000000004">
      <c r="A806" s="280"/>
      <c r="B806" s="230"/>
      <c r="C806" s="281"/>
      <c r="D806" s="281"/>
      <c r="E806" s="281"/>
      <c r="F806" s="282"/>
      <c r="G806" s="282"/>
      <c r="H806" s="230"/>
      <c r="I806" s="230"/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  <c r="V806" s="230"/>
      <c r="W806" s="230"/>
      <c r="X806" s="230"/>
      <c r="Y806" s="230"/>
      <c r="Z806" s="230"/>
    </row>
    <row r="807" spans="1:26" ht="21.75" x14ac:dyDescent="0.55000000000000004">
      <c r="A807" s="280"/>
      <c r="B807" s="230"/>
      <c r="C807" s="281"/>
      <c r="D807" s="281"/>
      <c r="E807" s="281"/>
      <c r="F807" s="282"/>
      <c r="G807" s="282"/>
      <c r="H807" s="230"/>
      <c r="I807" s="230"/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  <c r="V807" s="230"/>
      <c r="W807" s="230"/>
      <c r="X807" s="230"/>
      <c r="Y807" s="230"/>
      <c r="Z807" s="230"/>
    </row>
    <row r="808" spans="1:26" ht="21.75" x14ac:dyDescent="0.55000000000000004">
      <c r="A808" s="280"/>
      <c r="B808" s="230"/>
      <c r="C808" s="281"/>
      <c r="D808" s="281"/>
      <c r="E808" s="281"/>
      <c r="F808" s="282"/>
      <c r="G808" s="282"/>
      <c r="H808" s="230"/>
      <c r="I808" s="230"/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  <c r="V808" s="230"/>
      <c r="W808" s="230"/>
      <c r="X808" s="230"/>
      <c r="Y808" s="230"/>
      <c r="Z808" s="230"/>
    </row>
    <row r="809" spans="1:26" ht="21.75" x14ac:dyDescent="0.55000000000000004">
      <c r="A809" s="280"/>
      <c r="B809" s="230"/>
      <c r="C809" s="281"/>
      <c r="D809" s="281"/>
      <c r="E809" s="281"/>
      <c r="F809" s="282"/>
      <c r="G809" s="282"/>
      <c r="H809" s="230"/>
      <c r="I809" s="230"/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  <c r="V809" s="230"/>
      <c r="W809" s="230"/>
      <c r="X809" s="230"/>
      <c r="Y809" s="230"/>
      <c r="Z809" s="230"/>
    </row>
    <row r="810" spans="1:26" ht="21.75" x14ac:dyDescent="0.55000000000000004">
      <c r="A810" s="280"/>
      <c r="B810" s="230"/>
      <c r="C810" s="281"/>
      <c r="D810" s="281"/>
      <c r="E810" s="281"/>
      <c r="F810" s="282"/>
      <c r="G810" s="282"/>
      <c r="H810" s="230"/>
      <c r="I810" s="230"/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  <c r="V810" s="230"/>
      <c r="W810" s="230"/>
      <c r="X810" s="230"/>
      <c r="Y810" s="230"/>
      <c r="Z810" s="230"/>
    </row>
    <row r="811" spans="1:26" ht="21.75" x14ac:dyDescent="0.55000000000000004">
      <c r="A811" s="280"/>
      <c r="B811" s="230"/>
      <c r="C811" s="281"/>
      <c r="D811" s="281"/>
      <c r="E811" s="281"/>
      <c r="F811" s="282"/>
      <c r="G811" s="282"/>
      <c r="H811" s="230"/>
      <c r="I811" s="230"/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  <c r="V811" s="230"/>
      <c r="W811" s="230"/>
      <c r="X811" s="230"/>
      <c r="Y811" s="230"/>
      <c r="Z811" s="230"/>
    </row>
    <row r="812" spans="1:26" ht="21.75" x14ac:dyDescent="0.55000000000000004">
      <c r="A812" s="280"/>
      <c r="B812" s="230"/>
      <c r="C812" s="281"/>
      <c r="D812" s="281"/>
      <c r="E812" s="281"/>
      <c r="F812" s="282"/>
      <c r="G812" s="282"/>
      <c r="H812" s="230"/>
      <c r="I812" s="230"/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  <c r="V812" s="230"/>
      <c r="W812" s="230"/>
      <c r="X812" s="230"/>
      <c r="Y812" s="230"/>
      <c r="Z812" s="230"/>
    </row>
    <row r="813" spans="1:26" ht="21.75" x14ac:dyDescent="0.55000000000000004">
      <c r="A813" s="280"/>
      <c r="B813" s="230"/>
      <c r="C813" s="281"/>
      <c r="D813" s="281"/>
      <c r="E813" s="281"/>
      <c r="F813" s="282"/>
      <c r="G813" s="282"/>
      <c r="H813" s="230"/>
      <c r="I813" s="230"/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  <c r="V813" s="230"/>
      <c r="W813" s="230"/>
      <c r="X813" s="230"/>
      <c r="Y813" s="230"/>
      <c r="Z813" s="230"/>
    </row>
    <row r="814" spans="1:26" ht="21.75" x14ac:dyDescent="0.55000000000000004">
      <c r="A814" s="280"/>
      <c r="B814" s="230"/>
      <c r="C814" s="281"/>
      <c r="D814" s="281"/>
      <c r="E814" s="281"/>
      <c r="F814" s="282"/>
      <c r="G814" s="282"/>
      <c r="H814" s="230"/>
      <c r="I814" s="230"/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  <c r="V814" s="230"/>
      <c r="W814" s="230"/>
      <c r="X814" s="230"/>
      <c r="Y814" s="230"/>
      <c r="Z814" s="230"/>
    </row>
    <row r="815" spans="1:26" ht="21.75" x14ac:dyDescent="0.55000000000000004">
      <c r="A815" s="280"/>
      <c r="B815" s="230"/>
      <c r="C815" s="281"/>
      <c r="D815" s="281"/>
      <c r="E815" s="281"/>
      <c r="F815" s="282"/>
      <c r="G815" s="282"/>
      <c r="H815" s="230"/>
      <c r="I815" s="230"/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  <c r="V815" s="230"/>
      <c r="W815" s="230"/>
      <c r="X815" s="230"/>
      <c r="Y815" s="230"/>
      <c r="Z815" s="230"/>
    </row>
    <row r="816" spans="1:26" ht="21.75" x14ac:dyDescent="0.55000000000000004">
      <c r="A816" s="280"/>
      <c r="B816" s="230"/>
      <c r="C816" s="281"/>
      <c r="D816" s="281"/>
      <c r="E816" s="281"/>
      <c r="F816" s="282"/>
      <c r="G816" s="282"/>
      <c r="H816" s="230"/>
      <c r="I816" s="230"/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  <c r="V816" s="230"/>
      <c r="W816" s="230"/>
      <c r="X816" s="230"/>
      <c r="Y816" s="230"/>
      <c r="Z816" s="230"/>
    </row>
    <row r="817" spans="1:26" ht="21.75" x14ac:dyDescent="0.55000000000000004">
      <c r="A817" s="280"/>
      <c r="B817" s="230"/>
      <c r="C817" s="281"/>
      <c r="D817" s="281"/>
      <c r="E817" s="281"/>
      <c r="F817" s="282"/>
      <c r="G817" s="282"/>
      <c r="H817" s="230"/>
      <c r="I817" s="230"/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  <c r="V817" s="230"/>
      <c r="W817" s="230"/>
      <c r="X817" s="230"/>
      <c r="Y817" s="230"/>
      <c r="Z817" s="230"/>
    </row>
    <row r="818" spans="1:26" ht="21.75" x14ac:dyDescent="0.55000000000000004">
      <c r="A818" s="280"/>
      <c r="B818" s="230"/>
      <c r="C818" s="281"/>
      <c r="D818" s="281"/>
      <c r="E818" s="281"/>
      <c r="F818" s="282"/>
      <c r="G818" s="282"/>
      <c r="H818" s="230"/>
      <c r="I818" s="230"/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  <c r="V818" s="230"/>
      <c r="W818" s="230"/>
      <c r="X818" s="230"/>
      <c r="Y818" s="230"/>
      <c r="Z818" s="230"/>
    </row>
    <row r="819" spans="1:26" ht="21.75" x14ac:dyDescent="0.55000000000000004">
      <c r="A819" s="280"/>
      <c r="B819" s="230"/>
      <c r="C819" s="281"/>
      <c r="D819" s="281"/>
      <c r="E819" s="281"/>
      <c r="F819" s="282"/>
      <c r="G819" s="282"/>
      <c r="H819" s="230"/>
      <c r="I819" s="230"/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  <c r="V819" s="230"/>
      <c r="W819" s="230"/>
      <c r="X819" s="230"/>
      <c r="Y819" s="230"/>
      <c r="Z819" s="230"/>
    </row>
    <row r="820" spans="1:26" ht="21.75" x14ac:dyDescent="0.55000000000000004">
      <c r="A820" s="280"/>
      <c r="B820" s="230"/>
      <c r="C820" s="281"/>
      <c r="D820" s="281"/>
      <c r="E820" s="281"/>
      <c r="F820" s="282"/>
      <c r="G820" s="282"/>
      <c r="H820" s="230"/>
      <c r="I820" s="230"/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  <c r="V820" s="230"/>
      <c r="W820" s="230"/>
      <c r="X820" s="230"/>
      <c r="Y820" s="230"/>
      <c r="Z820" s="230"/>
    </row>
    <row r="821" spans="1:26" ht="21.75" x14ac:dyDescent="0.55000000000000004">
      <c r="A821" s="280"/>
      <c r="B821" s="230"/>
      <c r="C821" s="281"/>
      <c r="D821" s="281"/>
      <c r="E821" s="281"/>
      <c r="F821" s="282"/>
      <c r="G821" s="282"/>
      <c r="H821" s="230"/>
      <c r="I821" s="230"/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  <c r="V821" s="230"/>
      <c r="W821" s="230"/>
      <c r="X821" s="230"/>
      <c r="Y821" s="230"/>
      <c r="Z821" s="230"/>
    </row>
    <row r="822" spans="1:26" ht="21.75" x14ac:dyDescent="0.55000000000000004">
      <c r="A822" s="280"/>
      <c r="B822" s="230"/>
      <c r="C822" s="281"/>
      <c r="D822" s="281"/>
      <c r="E822" s="281"/>
      <c r="F822" s="282"/>
      <c r="G822" s="282"/>
      <c r="H822" s="230"/>
      <c r="I822" s="230"/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  <c r="V822" s="230"/>
      <c r="W822" s="230"/>
      <c r="X822" s="230"/>
      <c r="Y822" s="230"/>
      <c r="Z822" s="230"/>
    </row>
    <row r="823" spans="1:26" ht="21.75" x14ac:dyDescent="0.55000000000000004">
      <c r="A823" s="280"/>
      <c r="B823" s="230"/>
      <c r="C823" s="281"/>
      <c r="D823" s="281"/>
      <c r="E823" s="281"/>
      <c r="F823" s="282"/>
      <c r="G823" s="282"/>
      <c r="H823" s="230"/>
      <c r="I823" s="230"/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  <c r="V823" s="230"/>
      <c r="W823" s="230"/>
      <c r="X823" s="230"/>
      <c r="Y823" s="230"/>
      <c r="Z823" s="230"/>
    </row>
    <row r="824" spans="1:26" ht="21.75" x14ac:dyDescent="0.55000000000000004">
      <c r="A824" s="280"/>
      <c r="B824" s="230"/>
      <c r="C824" s="281"/>
      <c r="D824" s="281"/>
      <c r="E824" s="281"/>
      <c r="F824" s="282"/>
      <c r="G824" s="282"/>
      <c r="H824" s="230"/>
      <c r="I824" s="230"/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  <c r="V824" s="230"/>
      <c r="W824" s="230"/>
      <c r="X824" s="230"/>
      <c r="Y824" s="230"/>
      <c r="Z824" s="230"/>
    </row>
    <row r="825" spans="1:26" ht="21.75" x14ac:dyDescent="0.55000000000000004">
      <c r="A825" s="280"/>
      <c r="B825" s="230"/>
      <c r="C825" s="281"/>
      <c r="D825" s="281"/>
      <c r="E825" s="281"/>
      <c r="F825" s="282"/>
      <c r="G825" s="282"/>
      <c r="H825" s="230"/>
      <c r="I825" s="230"/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  <c r="V825" s="230"/>
      <c r="W825" s="230"/>
      <c r="X825" s="230"/>
      <c r="Y825" s="230"/>
      <c r="Z825" s="230"/>
    </row>
    <row r="826" spans="1:26" ht="21.75" x14ac:dyDescent="0.55000000000000004">
      <c r="A826" s="280"/>
      <c r="B826" s="230"/>
      <c r="C826" s="281"/>
      <c r="D826" s="281"/>
      <c r="E826" s="281"/>
      <c r="F826" s="282"/>
      <c r="G826" s="282"/>
      <c r="H826" s="230"/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  <c r="V826" s="230"/>
      <c r="W826" s="230"/>
      <c r="X826" s="230"/>
      <c r="Y826" s="230"/>
      <c r="Z826" s="230"/>
    </row>
    <row r="827" spans="1:26" ht="21.75" x14ac:dyDescent="0.55000000000000004">
      <c r="A827" s="280"/>
      <c r="B827" s="230"/>
      <c r="C827" s="281"/>
      <c r="D827" s="281"/>
      <c r="E827" s="281"/>
      <c r="F827" s="282"/>
      <c r="G827" s="282"/>
      <c r="H827" s="230"/>
      <c r="I827" s="230"/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  <c r="V827" s="230"/>
      <c r="W827" s="230"/>
      <c r="X827" s="230"/>
      <c r="Y827" s="230"/>
      <c r="Z827" s="230"/>
    </row>
    <row r="828" spans="1:26" ht="21.75" x14ac:dyDescent="0.55000000000000004">
      <c r="A828" s="280"/>
      <c r="B828" s="230"/>
      <c r="C828" s="281"/>
      <c r="D828" s="281"/>
      <c r="E828" s="281"/>
      <c r="F828" s="282"/>
      <c r="G828" s="282"/>
      <c r="H828" s="230"/>
      <c r="I828" s="230"/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  <c r="V828" s="230"/>
      <c r="W828" s="230"/>
      <c r="X828" s="230"/>
      <c r="Y828" s="230"/>
      <c r="Z828" s="230"/>
    </row>
    <row r="829" spans="1:26" ht="21.75" x14ac:dyDescent="0.55000000000000004">
      <c r="A829" s="280"/>
      <c r="B829" s="230"/>
      <c r="C829" s="281"/>
      <c r="D829" s="281"/>
      <c r="E829" s="281"/>
      <c r="F829" s="282"/>
      <c r="G829" s="282"/>
      <c r="H829" s="230"/>
      <c r="I829" s="230"/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  <c r="V829" s="230"/>
      <c r="W829" s="230"/>
      <c r="X829" s="230"/>
      <c r="Y829" s="230"/>
      <c r="Z829" s="230"/>
    </row>
    <row r="830" spans="1:26" ht="21.75" x14ac:dyDescent="0.55000000000000004">
      <c r="A830" s="280"/>
      <c r="B830" s="230"/>
      <c r="C830" s="281"/>
      <c r="D830" s="281"/>
      <c r="E830" s="281"/>
      <c r="F830" s="282"/>
      <c r="G830" s="282"/>
      <c r="H830" s="230"/>
      <c r="I830" s="230"/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  <c r="V830" s="230"/>
      <c r="W830" s="230"/>
      <c r="X830" s="230"/>
      <c r="Y830" s="230"/>
      <c r="Z830" s="230"/>
    </row>
    <row r="831" spans="1:26" ht="21.75" x14ac:dyDescent="0.55000000000000004">
      <c r="A831" s="280"/>
      <c r="B831" s="230"/>
      <c r="C831" s="281"/>
      <c r="D831" s="281"/>
      <c r="E831" s="281"/>
      <c r="F831" s="282"/>
      <c r="G831" s="282"/>
      <c r="H831" s="230"/>
      <c r="I831" s="230"/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  <c r="V831" s="230"/>
      <c r="W831" s="230"/>
      <c r="X831" s="230"/>
      <c r="Y831" s="230"/>
      <c r="Z831" s="230"/>
    </row>
    <row r="832" spans="1:26" ht="21.75" x14ac:dyDescent="0.55000000000000004">
      <c r="A832" s="280"/>
      <c r="B832" s="230"/>
      <c r="C832" s="281"/>
      <c r="D832" s="281"/>
      <c r="E832" s="281"/>
      <c r="F832" s="282"/>
      <c r="G832" s="282"/>
      <c r="H832" s="230"/>
      <c r="I832" s="230"/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  <c r="V832" s="230"/>
      <c r="W832" s="230"/>
      <c r="X832" s="230"/>
      <c r="Y832" s="230"/>
      <c r="Z832" s="230"/>
    </row>
    <row r="833" spans="1:26" ht="21.75" x14ac:dyDescent="0.55000000000000004">
      <c r="A833" s="280"/>
      <c r="B833" s="230"/>
      <c r="C833" s="281"/>
      <c r="D833" s="281"/>
      <c r="E833" s="281"/>
      <c r="F833" s="282"/>
      <c r="G833" s="282"/>
      <c r="H833" s="230"/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  <c r="V833" s="230"/>
      <c r="W833" s="230"/>
      <c r="X833" s="230"/>
      <c r="Y833" s="230"/>
      <c r="Z833" s="230"/>
    </row>
    <row r="834" spans="1:26" ht="21.75" x14ac:dyDescent="0.55000000000000004">
      <c r="A834" s="280"/>
      <c r="B834" s="230"/>
      <c r="C834" s="281"/>
      <c r="D834" s="281"/>
      <c r="E834" s="281"/>
      <c r="F834" s="282"/>
      <c r="G834" s="282"/>
      <c r="H834" s="230"/>
      <c r="I834" s="230"/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  <c r="V834" s="230"/>
      <c r="W834" s="230"/>
      <c r="X834" s="230"/>
      <c r="Y834" s="230"/>
      <c r="Z834" s="230"/>
    </row>
    <row r="835" spans="1:26" ht="21.75" x14ac:dyDescent="0.55000000000000004">
      <c r="A835" s="280"/>
      <c r="B835" s="230"/>
      <c r="C835" s="281"/>
      <c r="D835" s="281"/>
      <c r="E835" s="281"/>
      <c r="F835" s="282"/>
      <c r="G835" s="282"/>
      <c r="H835" s="230"/>
      <c r="I835" s="230"/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  <c r="V835" s="230"/>
      <c r="W835" s="230"/>
      <c r="X835" s="230"/>
      <c r="Y835" s="230"/>
      <c r="Z835" s="230"/>
    </row>
    <row r="836" spans="1:26" ht="21.75" x14ac:dyDescent="0.55000000000000004">
      <c r="A836" s="280"/>
      <c r="B836" s="230"/>
      <c r="C836" s="281"/>
      <c r="D836" s="281"/>
      <c r="E836" s="281"/>
      <c r="F836" s="282"/>
      <c r="G836" s="282"/>
      <c r="H836" s="230"/>
      <c r="I836" s="230"/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  <c r="V836" s="230"/>
      <c r="W836" s="230"/>
      <c r="X836" s="230"/>
      <c r="Y836" s="230"/>
      <c r="Z836" s="230"/>
    </row>
    <row r="837" spans="1:26" ht="21.75" x14ac:dyDescent="0.55000000000000004">
      <c r="A837" s="280"/>
      <c r="B837" s="230"/>
      <c r="C837" s="281"/>
      <c r="D837" s="281"/>
      <c r="E837" s="281"/>
      <c r="F837" s="282"/>
      <c r="G837" s="282"/>
      <c r="H837" s="230"/>
      <c r="I837" s="230"/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  <c r="V837" s="230"/>
      <c r="W837" s="230"/>
      <c r="X837" s="230"/>
      <c r="Y837" s="230"/>
      <c r="Z837" s="230"/>
    </row>
    <row r="838" spans="1:26" ht="21.75" x14ac:dyDescent="0.55000000000000004">
      <c r="A838" s="280"/>
      <c r="B838" s="230"/>
      <c r="C838" s="281"/>
      <c r="D838" s="281"/>
      <c r="E838" s="281"/>
      <c r="F838" s="282"/>
      <c r="G838" s="282"/>
      <c r="H838" s="230"/>
      <c r="I838" s="230"/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  <c r="V838" s="230"/>
      <c r="W838" s="230"/>
      <c r="X838" s="230"/>
      <c r="Y838" s="230"/>
      <c r="Z838" s="230"/>
    </row>
    <row r="839" spans="1:26" ht="21.75" x14ac:dyDescent="0.55000000000000004">
      <c r="A839" s="280"/>
      <c r="B839" s="230"/>
      <c r="C839" s="281"/>
      <c r="D839" s="281"/>
      <c r="E839" s="281"/>
      <c r="F839" s="282"/>
      <c r="G839" s="282"/>
      <c r="H839" s="230"/>
      <c r="I839" s="230"/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  <c r="V839" s="230"/>
      <c r="W839" s="230"/>
      <c r="X839" s="230"/>
      <c r="Y839" s="230"/>
      <c r="Z839" s="230"/>
    </row>
    <row r="840" spans="1:26" ht="21.75" x14ac:dyDescent="0.55000000000000004">
      <c r="A840" s="280"/>
      <c r="B840" s="230"/>
      <c r="C840" s="281"/>
      <c r="D840" s="281"/>
      <c r="E840" s="281"/>
      <c r="F840" s="282"/>
      <c r="G840" s="282"/>
      <c r="H840" s="230"/>
      <c r="I840" s="230"/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  <c r="V840" s="230"/>
      <c r="W840" s="230"/>
      <c r="X840" s="230"/>
      <c r="Y840" s="230"/>
      <c r="Z840" s="230"/>
    </row>
    <row r="841" spans="1:26" ht="21.75" x14ac:dyDescent="0.55000000000000004">
      <c r="A841" s="280"/>
      <c r="B841" s="230"/>
      <c r="C841" s="281"/>
      <c r="D841" s="281"/>
      <c r="E841" s="281"/>
      <c r="F841" s="282"/>
      <c r="G841" s="282"/>
      <c r="H841" s="230"/>
      <c r="I841" s="230"/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  <c r="V841" s="230"/>
      <c r="W841" s="230"/>
      <c r="X841" s="230"/>
      <c r="Y841" s="230"/>
      <c r="Z841" s="230"/>
    </row>
    <row r="842" spans="1:26" ht="21.75" x14ac:dyDescent="0.55000000000000004">
      <c r="A842" s="280"/>
      <c r="B842" s="230"/>
      <c r="C842" s="281"/>
      <c r="D842" s="281"/>
      <c r="E842" s="281"/>
      <c r="F842" s="282"/>
      <c r="G842" s="282"/>
      <c r="H842" s="230"/>
      <c r="I842" s="230"/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  <c r="V842" s="230"/>
      <c r="W842" s="230"/>
      <c r="X842" s="230"/>
      <c r="Y842" s="230"/>
      <c r="Z842" s="230"/>
    </row>
    <row r="843" spans="1:26" ht="21.75" x14ac:dyDescent="0.55000000000000004">
      <c r="A843" s="280"/>
      <c r="B843" s="230"/>
      <c r="C843" s="281"/>
      <c r="D843" s="281"/>
      <c r="E843" s="281"/>
      <c r="F843" s="282"/>
      <c r="G843" s="282"/>
      <c r="H843" s="230"/>
      <c r="I843" s="230"/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  <c r="V843" s="230"/>
      <c r="W843" s="230"/>
      <c r="X843" s="230"/>
      <c r="Y843" s="230"/>
      <c r="Z843" s="230"/>
    </row>
    <row r="844" spans="1:26" ht="21.75" x14ac:dyDescent="0.55000000000000004">
      <c r="A844" s="280"/>
      <c r="B844" s="230"/>
      <c r="C844" s="281"/>
      <c r="D844" s="281"/>
      <c r="E844" s="281"/>
      <c r="F844" s="282"/>
      <c r="G844" s="282"/>
      <c r="H844" s="230"/>
      <c r="I844" s="230"/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  <c r="V844" s="230"/>
      <c r="W844" s="230"/>
      <c r="X844" s="230"/>
      <c r="Y844" s="230"/>
      <c r="Z844" s="230"/>
    </row>
    <row r="845" spans="1:26" ht="21.75" x14ac:dyDescent="0.55000000000000004">
      <c r="A845" s="280"/>
      <c r="B845" s="230"/>
      <c r="C845" s="281"/>
      <c r="D845" s="281"/>
      <c r="E845" s="281"/>
      <c r="F845" s="282"/>
      <c r="G845" s="282"/>
      <c r="H845" s="230"/>
      <c r="I845" s="230"/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  <c r="V845" s="230"/>
      <c r="W845" s="230"/>
      <c r="X845" s="230"/>
      <c r="Y845" s="230"/>
      <c r="Z845" s="230"/>
    </row>
    <row r="846" spans="1:26" ht="21.75" x14ac:dyDescent="0.55000000000000004">
      <c r="A846" s="280"/>
      <c r="B846" s="230"/>
      <c r="C846" s="281"/>
      <c r="D846" s="281"/>
      <c r="E846" s="281"/>
      <c r="F846" s="282"/>
      <c r="G846" s="282"/>
      <c r="H846" s="230"/>
      <c r="I846" s="230"/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  <c r="V846" s="230"/>
      <c r="W846" s="230"/>
      <c r="X846" s="230"/>
      <c r="Y846" s="230"/>
      <c r="Z846" s="230"/>
    </row>
    <row r="847" spans="1:26" ht="21.75" x14ac:dyDescent="0.55000000000000004">
      <c r="A847" s="280"/>
      <c r="B847" s="230"/>
      <c r="C847" s="281"/>
      <c r="D847" s="281"/>
      <c r="E847" s="281"/>
      <c r="F847" s="282"/>
      <c r="G847" s="282"/>
      <c r="H847" s="230"/>
      <c r="I847" s="230"/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  <c r="V847" s="230"/>
      <c r="W847" s="230"/>
      <c r="X847" s="230"/>
      <c r="Y847" s="230"/>
      <c r="Z847" s="230"/>
    </row>
    <row r="848" spans="1:26" ht="21.75" x14ac:dyDescent="0.55000000000000004">
      <c r="A848" s="280"/>
      <c r="B848" s="230"/>
      <c r="C848" s="281"/>
      <c r="D848" s="281"/>
      <c r="E848" s="281"/>
      <c r="F848" s="282"/>
      <c r="G848" s="282"/>
      <c r="H848" s="230"/>
      <c r="I848" s="230"/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  <c r="V848" s="230"/>
      <c r="W848" s="230"/>
      <c r="X848" s="230"/>
      <c r="Y848" s="230"/>
      <c r="Z848" s="230"/>
    </row>
    <row r="849" spans="1:26" ht="21.75" x14ac:dyDescent="0.55000000000000004">
      <c r="A849" s="280"/>
      <c r="B849" s="230"/>
      <c r="C849" s="281"/>
      <c r="D849" s="281"/>
      <c r="E849" s="281"/>
      <c r="F849" s="282"/>
      <c r="G849" s="282"/>
      <c r="H849" s="230"/>
      <c r="I849" s="230"/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  <c r="V849" s="230"/>
      <c r="W849" s="230"/>
      <c r="X849" s="230"/>
      <c r="Y849" s="230"/>
      <c r="Z849" s="230"/>
    </row>
    <row r="850" spans="1:26" ht="21.75" x14ac:dyDescent="0.55000000000000004">
      <c r="A850" s="280"/>
      <c r="B850" s="230"/>
      <c r="C850" s="281"/>
      <c r="D850" s="281"/>
      <c r="E850" s="281"/>
      <c r="F850" s="282"/>
      <c r="G850" s="282"/>
      <c r="H850" s="230"/>
      <c r="I850" s="230"/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  <c r="V850" s="230"/>
      <c r="W850" s="230"/>
      <c r="X850" s="230"/>
      <c r="Y850" s="230"/>
      <c r="Z850" s="230"/>
    </row>
    <row r="851" spans="1:26" ht="21.75" x14ac:dyDescent="0.55000000000000004">
      <c r="A851" s="280"/>
      <c r="B851" s="230"/>
      <c r="C851" s="281"/>
      <c r="D851" s="281"/>
      <c r="E851" s="281"/>
      <c r="F851" s="282"/>
      <c r="G851" s="282"/>
      <c r="H851" s="230"/>
      <c r="I851" s="230"/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  <c r="V851" s="230"/>
      <c r="W851" s="230"/>
      <c r="X851" s="230"/>
      <c r="Y851" s="230"/>
      <c r="Z851" s="230"/>
    </row>
    <row r="852" spans="1:26" ht="21.75" x14ac:dyDescent="0.55000000000000004">
      <c r="A852" s="280"/>
      <c r="B852" s="230"/>
      <c r="C852" s="281"/>
      <c r="D852" s="281"/>
      <c r="E852" s="281"/>
      <c r="F852" s="282"/>
      <c r="G852" s="282"/>
      <c r="H852" s="230"/>
      <c r="I852" s="230"/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  <c r="V852" s="230"/>
      <c r="W852" s="230"/>
      <c r="X852" s="230"/>
      <c r="Y852" s="230"/>
      <c r="Z852" s="230"/>
    </row>
    <row r="853" spans="1:26" ht="21.75" x14ac:dyDescent="0.55000000000000004">
      <c r="A853" s="280"/>
      <c r="B853" s="230"/>
      <c r="C853" s="281"/>
      <c r="D853" s="281"/>
      <c r="E853" s="281"/>
      <c r="F853" s="282"/>
      <c r="G853" s="282"/>
      <c r="H853" s="230"/>
      <c r="I853" s="230"/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  <c r="V853" s="230"/>
      <c r="W853" s="230"/>
      <c r="X853" s="230"/>
      <c r="Y853" s="230"/>
      <c r="Z853" s="230"/>
    </row>
    <row r="854" spans="1:26" ht="21.75" x14ac:dyDescent="0.55000000000000004">
      <c r="A854" s="280"/>
      <c r="B854" s="230"/>
      <c r="C854" s="281"/>
      <c r="D854" s="281"/>
      <c r="E854" s="281"/>
      <c r="F854" s="282"/>
      <c r="G854" s="282"/>
      <c r="H854" s="230"/>
      <c r="I854" s="230"/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  <c r="V854" s="230"/>
      <c r="W854" s="230"/>
      <c r="X854" s="230"/>
      <c r="Y854" s="230"/>
      <c r="Z854" s="230"/>
    </row>
    <row r="855" spans="1:26" ht="21.75" x14ac:dyDescent="0.55000000000000004">
      <c r="A855" s="280"/>
      <c r="B855" s="230"/>
      <c r="C855" s="281"/>
      <c r="D855" s="281"/>
      <c r="E855" s="281"/>
      <c r="F855" s="282"/>
      <c r="G855" s="282"/>
      <c r="H855" s="230"/>
      <c r="I855" s="230"/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  <c r="V855" s="230"/>
      <c r="W855" s="230"/>
      <c r="X855" s="230"/>
      <c r="Y855" s="230"/>
      <c r="Z855" s="230"/>
    </row>
    <row r="856" spans="1:26" ht="21.75" x14ac:dyDescent="0.55000000000000004">
      <c r="A856" s="280"/>
      <c r="B856" s="230"/>
      <c r="C856" s="281"/>
      <c r="D856" s="281"/>
      <c r="E856" s="281"/>
      <c r="F856" s="282"/>
      <c r="G856" s="282"/>
      <c r="H856" s="230"/>
      <c r="I856" s="230"/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  <c r="V856" s="230"/>
      <c r="W856" s="230"/>
      <c r="X856" s="230"/>
      <c r="Y856" s="230"/>
      <c r="Z856" s="230"/>
    </row>
    <row r="857" spans="1:26" ht="21.75" x14ac:dyDescent="0.55000000000000004">
      <c r="A857" s="280"/>
      <c r="B857" s="230"/>
      <c r="C857" s="281"/>
      <c r="D857" s="281"/>
      <c r="E857" s="281"/>
      <c r="F857" s="282"/>
      <c r="G857" s="282"/>
      <c r="H857" s="230"/>
      <c r="I857" s="230"/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  <c r="V857" s="230"/>
      <c r="W857" s="230"/>
      <c r="X857" s="230"/>
      <c r="Y857" s="230"/>
      <c r="Z857" s="230"/>
    </row>
    <row r="858" spans="1:26" ht="21.75" x14ac:dyDescent="0.55000000000000004">
      <c r="A858" s="280"/>
      <c r="B858" s="230"/>
      <c r="C858" s="281"/>
      <c r="D858" s="281"/>
      <c r="E858" s="281"/>
      <c r="F858" s="282"/>
      <c r="G858" s="282"/>
      <c r="H858" s="230"/>
      <c r="I858" s="230"/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  <c r="V858" s="230"/>
      <c r="W858" s="230"/>
      <c r="X858" s="230"/>
      <c r="Y858" s="230"/>
      <c r="Z858" s="230"/>
    </row>
    <row r="859" spans="1:26" ht="21.75" x14ac:dyDescent="0.55000000000000004">
      <c r="A859" s="280"/>
      <c r="B859" s="230"/>
      <c r="C859" s="281"/>
      <c r="D859" s="281"/>
      <c r="E859" s="281"/>
      <c r="F859" s="282"/>
      <c r="G859" s="282"/>
      <c r="H859" s="230"/>
      <c r="I859" s="230"/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  <c r="V859" s="230"/>
      <c r="W859" s="230"/>
      <c r="X859" s="230"/>
      <c r="Y859" s="230"/>
      <c r="Z859" s="230"/>
    </row>
    <row r="860" spans="1:26" ht="21.75" x14ac:dyDescent="0.55000000000000004">
      <c r="A860" s="280"/>
      <c r="B860" s="230"/>
      <c r="C860" s="281"/>
      <c r="D860" s="281"/>
      <c r="E860" s="281"/>
      <c r="F860" s="282"/>
      <c r="G860" s="282"/>
      <c r="H860" s="230"/>
      <c r="I860" s="230"/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  <c r="V860" s="230"/>
      <c r="W860" s="230"/>
      <c r="X860" s="230"/>
      <c r="Y860" s="230"/>
      <c r="Z860" s="230"/>
    </row>
    <row r="861" spans="1:26" ht="21.75" x14ac:dyDescent="0.55000000000000004">
      <c r="A861" s="280"/>
      <c r="B861" s="230"/>
      <c r="C861" s="281"/>
      <c r="D861" s="281"/>
      <c r="E861" s="281"/>
      <c r="F861" s="282"/>
      <c r="G861" s="282"/>
      <c r="H861" s="230"/>
      <c r="I861" s="230"/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  <c r="V861" s="230"/>
      <c r="W861" s="230"/>
      <c r="X861" s="230"/>
      <c r="Y861" s="230"/>
      <c r="Z861" s="230"/>
    </row>
    <row r="862" spans="1:26" ht="21.75" x14ac:dyDescent="0.55000000000000004">
      <c r="A862" s="280"/>
      <c r="B862" s="230"/>
      <c r="C862" s="281"/>
      <c r="D862" s="281"/>
      <c r="E862" s="281"/>
      <c r="F862" s="282"/>
      <c r="G862" s="282"/>
      <c r="H862" s="230"/>
      <c r="I862" s="230"/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  <c r="V862" s="230"/>
      <c r="W862" s="230"/>
      <c r="X862" s="230"/>
      <c r="Y862" s="230"/>
      <c r="Z862" s="230"/>
    </row>
    <row r="863" spans="1:26" ht="21.75" x14ac:dyDescent="0.55000000000000004">
      <c r="A863" s="280"/>
      <c r="B863" s="230"/>
      <c r="C863" s="281"/>
      <c r="D863" s="281"/>
      <c r="E863" s="281"/>
      <c r="F863" s="282"/>
      <c r="G863" s="282"/>
      <c r="H863" s="230"/>
      <c r="I863" s="230"/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  <c r="V863" s="230"/>
      <c r="W863" s="230"/>
      <c r="X863" s="230"/>
      <c r="Y863" s="230"/>
      <c r="Z863" s="230"/>
    </row>
    <row r="864" spans="1:26" ht="21.75" x14ac:dyDescent="0.55000000000000004">
      <c r="A864" s="280"/>
      <c r="B864" s="230"/>
      <c r="C864" s="281"/>
      <c r="D864" s="281"/>
      <c r="E864" s="281"/>
      <c r="F864" s="282"/>
      <c r="G864" s="282"/>
      <c r="H864" s="230"/>
      <c r="I864" s="230"/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  <c r="V864" s="230"/>
      <c r="W864" s="230"/>
      <c r="X864" s="230"/>
      <c r="Y864" s="230"/>
      <c r="Z864" s="230"/>
    </row>
    <row r="865" spans="1:26" ht="21.75" x14ac:dyDescent="0.55000000000000004">
      <c r="A865" s="280"/>
      <c r="B865" s="230"/>
      <c r="C865" s="281"/>
      <c r="D865" s="281"/>
      <c r="E865" s="281"/>
      <c r="F865" s="282"/>
      <c r="G865" s="282"/>
      <c r="H865" s="230"/>
      <c r="I865" s="230"/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  <c r="V865" s="230"/>
      <c r="W865" s="230"/>
      <c r="X865" s="230"/>
      <c r="Y865" s="230"/>
      <c r="Z865" s="230"/>
    </row>
    <row r="866" spans="1:26" ht="21.75" x14ac:dyDescent="0.55000000000000004">
      <c r="A866" s="280"/>
      <c r="B866" s="230"/>
      <c r="C866" s="281"/>
      <c r="D866" s="281"/>
      <c r="E866" s="281"/>
      <c r="F866" s="282"/>
      <c r="G866" s="282"/>
      <c r="H866" s="230"/>
      <c r="I866" s="230"/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  <c r="V866" s="230"/>
      <c r="W866" s="230"/>
      <c r="X866" s="230"/>
      <c r="Y866" s="230"/>
      <c r="Z866" s="230"/>
    </row>
    <row r="867" spans="1:26" ht="21.75" x14ac:dyDescent="0.55000000000000004">
      <c r="A867" s="280"/>
      <c r="B867" s="230"/>
      <c r="C867" s="281"/>
      <c r="D867" s="281"/>
      <c r="E867" s="281"/>
      <c r="F867" s="282"/>
      <c r="G867" s="282"/>
      <c r="H867" s="230"/>
      <c r="I867" s="230"/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  <c r="V867" s="230"/>
      <c r="W867" s="230"/>
      <c r="X867" s="230"/>
      <c r="Y867" s="230"/>
      <c r="Z867" s="230"/>
    </row>
    <row r="868" spans="1:26" ht="21.75" x14ac:dyDescent="0.55000000000000004">
      <c r="A868" s="280"/>
      <c r="B868" s="230"/>
      <c r="C868" s="281"/>
      <c r="D868" s="281"/>
      <c r="E868" s="281"/>
      <c r="F868" s="282"/>
      <c r="G868" s="282"/>
      <c r="H868" s="230"/>
      <c r="I868" s="230"/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  <c r="V868" s="230"/>
      <c r="W868" s="230"/>
      <c r="X868" s="230"/>
      <c r="Y868" s="230"/>
      <c r="Z868" s="230"/>
    </row>
    <row r="869" spans="1:26" ht="21.75" x14ac:dyDescent="0.55000000000000004">
      <c r="A869" s="280"/>
      <c r="B869" s="230"/>
      <c r="C869" s="281"/>
      <c r="D869" s="281"/>
      <c r="E869" s="281"/>
      <c r="F869" s="282"/>
      <c r="G869" s="282"/>
      <c r="H869" s="230"/>
      <c r="I869" s="230"/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  <c r="V869" s="230"/>
      <c r="W869" s="230"/>
      <c r="X869" s="230"/>
      <c r="Y869" s="230"/>
      <c r="Z869" s="230"/>
    </row>
    <row r="870" spans="1:26" ht="21.75" x14ac:dyDescent="0.55000000000000004">
      <c r="A870" s="280"/>
      <c r="B870" s="230"/>
      <c r="C870" s="281"/>
      <c r="D870" s="281"/>
      <c r="E870" s="281"/>
      <c r="F870" s="282"/>
      <c r="G870" s="282"/>
      <c r="H870" s="230"/>
      <c r="I870" s="230"/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  <c r="V870" s="230"/>
      <c r="W870" s="230"/>
      <c r="X870" s="230"/>
      <c r="Y870" s="230"/>
      <c r="Z870" s="230"/>
    </row>
    <row r="871" spans="1:26" ht="21.75" x14ac:dyDescent="0.55000000000000004">
      <c r="A871" s="280"/>
      <c r="B871" s="230"/>
      <c r="C871" s="281"/>
      <c r="D871" s="281"/>
      <c r="E871" s="281"/>
      <c r="F871" s="282"/>
      <c r="G871" s="282"/>
      <c r="H871" s="230"/>
      <c r="I871" s="230"/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  <c r="V871" s="230"/>
      <c r="W871" s="230"/>
      <c r="X871" s="230"/>
      <c r="Y871" s="230"/>
      <c r="Z871" s="230"/>
    </row>
    <row r="872" spans="1:26" ht="21.75" x14ac:dyDescent="0.55000000000000004">
      <c r="A872" s="280"/>
      <c r="B872" s="230"/>
      <c r="C872" s="281"/>
      <c r="D872" s="281"/>
      <c r="E872" s="281"/>
      <c r="F872" s="282"/>
      <c r="G872" s="282"/>
      <c r="H872" s="230"/>
      <c r="I872" s="230"/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  <c r="V872" s="230"/>
      <c r="W872" s="230"/>
      <c r="X872" s="230"/>
      <c r="Y872" s="230"/>
      <c r="Z872" s="230"/>
    </row>
    <row r="873" spans="1:26" ht="21.75" x14ac:dyDescent="0.55000000000000004">
      <c r="A873" s="280"/>
      <c r="B873" s="230"/>
      <c r="C873" s="281"/>
      <c r="D873" s="281"/>
      <c r="E873" s="281"/>
      <c r="F873" s="282"/>
      <c r="G873" s="282"/>
      <c r="H873" s="230"/>
      <c r="I873" s="230"/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  <c r="V873" s="230"/>
      <c r="W873" s="230"/>
      <c r="X873" s="230"/>
      <c r="Y873" s="230"/>
      <c r="Z873" s="230"/>
    </row>
    <row r="874" spans="1:26" ht="21.75" x14ac:dyDescent="0.55000000000000004">
      <c r="A874" s="280"/>
      <c r="B874" s="230"/>
      <c r="C874" s="281"/>
      <c r="D874" s="281"/>
      <c r="E874" s="281"/>
      <c r="F874" s="282"/>
      <c r="G874" s="282"/>
      <c r="H874" s="230"/>
      <c r="I874" s="230"/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  <c r="V874" s="230"/>
      <c r="W874" s="230"/>
      <c r="X874" s="230"/>
      <c r="Y874" s="230"/>
      <c r="Z874" s="230"/>
    </row>
    <row r="875" spans="1:26" ht="21.75" x14ac:dyDescent="0.55000000000000004">
      <c r="A875" s="280"/>
      <c r="B875" s="230"/>
      <c r="C875" s="281"/>
      <c r="D875" s="281"/>
      <c r="E875" s="281"/>
      <c r="F875" s="282"/>
      <c r="G875" s="282"/>
      <c r="H875" s="230"/>
      <c r="I875" s="230"/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  <c r="V875" s="230"/>
      <c r="W875" s="230"/>
      <c r="X875" s="230"/>
      <c r="Y875" s="230"/>
      <c r="Z875" s="230"/>
    </row>
    <row r="876" spans="1:26" ht="21.75" x14ac:dyDescent="0.55000000000000004">
      <c r="A876" s="280"/>
      <c r="B876" s="230"/>
      <c r="C876" s="281"/>
      <c r="D876" s="281"/>
      <c r="E876" s="281"/>
      <c r="F876" s="282"/>
      <c r="G876" s="282"/>
      <c r="H876" s="230"/>
      <c r="I876" s="230"/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  <c r="V876" s="230"/>
      <c r="W876" s="230"/>
      <c r="X876" s="230"/>
      <c r="Y876" s="230"/>
      <c r="Z876" s="230"/>
    </row>
    <row r="877" spans="1:26" ht="21.75" x14ac:dyDescent="0.55000000000000004">
      <c r="A877" s="280"/>
      <c r="B877" s="230"/>
      <c r="C877" s="281"/>
      <c r="D877" s="281"/>
      <c r="E877" s="281"/>
      <c r="F877" s="282"/>
      <c r="G877" s="282"/>
      <c r="H877" s="230"/>
      <c r="I877" s="230"/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  <c r="V877" s="230"/>
      <c r="W877" s="230"/>
      <c r="X877" s="230"/>
      <c r="Y877" s="230"/>
      <c r="Z877" s="230"/>
    </row>
    <row r="878" spans="1:26" ht="21.75" x14ac:dyDescent="0.55000000000000004">
      <c r="A878" s="280"/>
      <c r="B878" s="230"/>
      <c r="C878" s="281"/>
      <c r="D878" s="281"/>
      <c r="E878" s="281"/>
      <c r="F878" s="282"/>
      <c r="G878" s="282"/>
      <c r="H878" s="230"/>
      <c r="I878" s="230"/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  <c r="V878" s="230"/>
      <c r="W878" s="230"/>
      <c r="X878" s="230"/>
      <c r="Y878" s="230"/>
      <c r="Z878" s="230"/>
    </row>
    <row r="879" spans="1:26" ht="21.75" x14ac:dyDescent="0.55000000000000004">
      <c r="A879" s="280"/>
      <c r="B879" s="230"/>
      <c r="C879" s="281"/>
      <c r="D879" s="281"/>
      <c r="E879" s="281"/>
      <c r="F879" s="282"/>
      <c r="G879" s="282"/>
      <c r="H879" s="230"/>
      <c r="I879" s="230"/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  <c r="V879" s="230"/>
      <c r="W879" s="230"/>
      <c r="X879" s="230"/>
      <c r="Y879" s="230"/>
      <c r="Z879" s="230"/>
    </row>
    <row r="880" spans="1:26" ht="21.75" x14ac:dyDescent="0.55000000000000004">
      <c r="A880" s="280"/>
      <c r="B880" s="230"/>
      <c r="C880" s="281"/>
      <c r="D880" s="281"/>
      <c r="E880" s="281"/>
      <c r="F880" s="282"/>
      <c r="G880" s="282"/>
      <c r="H880" s="230"/>
      <c r="I880" s="230"/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  <c r="V880" s="230"/>
      <c r="W880" s="230"/>
      <c r="X880" s="230"/>
      <c r="Y880" s="230"/>
      <c r="Z880" s="230"/>
    </row>
    <row r="881" spans="1:26" ht="21.75" x14ac:dyDescent="0.55000000000000004">
      <c r="A881" s="280"/>
      <c r="B881" s="230"/>
      <c r="C881" s="281"/>
      <c r="D881" s="281"/>
      <c r="E881" s="281"/>
      <c r="F881" s="282"/>
      <c r="G881" s="282"/>
      <c r="H881" s="230"/>
      <c r="I881" s="230"/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  <c r="V881" s="230"/>
      <c r="W881" s="230"/>
      <c r="X881" s="230"/>
      <c r="Y881" s="230"/>
      <c r="Z881" s="230"/>
    </row>
    <row r="882" spans="1:26" ht="21.75" x14ac:dyDescent="0.55000000000000004">
      <c r="A882" s="280"/>
      <c r="B882" s="230"/>
      <c r="C882" s="281"/>
      <c r="D882" s="281"/>
      <c r="E882" s="281"/>
      <c r="F882" s="282"/>
      <c r="G882" s="282"/>
      <c r="H882" s="230"/>
      <c r="I882" s="230"/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  <c r="V882" s="230"/>
      <c r="W882" s="230"/>
      <c r="X882" s="230"/>
      <c r="Y882" s="230"/>
      <c r="Z882" s="230"/>
    </row>
    <row r="883" spans="1:26" ht="21.75" x14ac:dyDescent="0.55000000000000004">
      <c r="A883" s="280"/>
      <c r="B883" s="230"/>
      <c r="C883" s="281"/>
      <c r="D883" s="281"/>
      <c r="E883" s="281"/>
      <c r="F883" s="282"/>
      <c r="G883" s="282"/>
      <c r="H883" s="230"/>
      <c r="I883" s="230"/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  <c r="V883" s="230"/>
      <c r="W883" s="230"/>
      <c r="X883" s="230"/>
      <c r="Y883" s="230"/>
      <c r="Z883" s="230"/>
    </row>
    <row r="884" spans="1:26" ht="21.75" x14ac:dyDescent="0.55000000000000004">
      <c r="A884" s="280"/>
      <c r="B884" s="230"/>
      <c r="C884" s="281"/>
      <c r="D884" s="281"/>
      <c r="E884" s="281"/>
      <c r="F884" s="282"/>
      <c r="G884" s="282"/>
      <c r="H884" s="230"/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  <c r="V884" s="230"/>
      <c r="W884" s="230"/>
      <c r="X884" s="230"/>
      <c r="Y884" s="230"/>
      <c r="Z884" s="230"/>
    </row>
    <row r="885" spans="1:26" ht="21.75" x14ac:dyDescent="0.55000000000000004">
      <c r="A885" s="280"/>
      <c r="B885" s="230"/>
      <c r="C885" s="281"/>
      <c r="D885" s="281"/>
      <c r="E885" s="281"/>
      <c r="F885" s="282"/>
      <c r="G885" s="282"/>
      <c r="H885" s="230"/>
      <c r="I885" s="230"/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  <c r="V885" s="230"/>
      <c r="W885" s="230"/>
      <c r="X885" s="230"/>
      <c r="Y885" s="230"/>
      <c r="Z885" s="230"/>
    </row>
    <row r="886" spans="1:26" ht="21.75" x14ac:dyDescent="0.55000000000000004">
      <c r="A886" s="280"/>
      <c r="B886" s="230"/>
      <c r="C886" s="281"/>
      <c r="D886" s="281"/>
      <c r="E886" s="281"/>
      <c r="F886" s="282"/>
      <c r="G886" s="282"/>
      <c r="H886" s="230"/>
      <c r="I886" s="230"/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  <c r="V886" s="230"/>
      <c r="W886" s="230"/>
      <c r="X886" s="230"/>
      <c r="Y886" s="230"/>
      <c r="Z886" s="230"/>
    </row>
    <row r="887" spans="1:26" ht="21.75" x14ac:dyDescent="0.55000000000000004">
      <c r="A887" s="280"/>
      <c r="B887" s="230"/>
      <c r="C887" s="281"/>
      <c r="D887" s="281"/>
      <c r="E887" s="281"/>
      <c r="F887" s="282"/>
      <c r="G887" s="282"/>
      <c r="H887" s="230"/>
      <c r="I887" s="230"/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  <c r="V887" s="230"/>
      <c r="W887" s="230"/>
      <c r="X887" s="230"/>
      <c r="Y887" s="230"/>
      <c r="Z887" s="230"/>
    </row>
    <row r="888" spans="1:26" ht="21.75" x14ac:dyDescent="0.55000000000000004">
      <c r="A888" s="280"/>
      <c r="B888" s="230"/>
      <c r="C888" s="281"/>
      <c r="D888" s="281"/>
      <c r="E888" s="281"/>
      <c r="F888" s="282"/>
      <c r="G888" s="282"/>
      <c r="H888" s="230"/>
      <c r="I888" s="230"/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  <c r="V888" s="230"/>
      <c r="W888" s="230"/>
      <c r="X888" s="230"/>
      <c r="Y888" s="230"/>
      <c r="Z888" s="230"/>
    </row>
    <row r="889" spans="1:26" ht="21.75" x14ac:dyDescent="0.55000000000000004">
      <c r="A889" s="280"/>
      <c r="B889" s="230"/>
      <c r="C889" s="281"/>
      <c r="D889" s="281"/>
      <c r="E889" s="281"/>
      <c r="F889" s="282"/>
      <c r="G889" s="282"/>
      <c r="H889" s="230"/>
      <c r="I889" s="230"/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  <c r="V889" s="230"/>
      <c r="W889" s="230"/>
      <c r="X889" s="230"/>
      <c r="Y889" s="230"/>
      <c r="Z889" s="230"/>
    </row>
    <row r="890" spans="1:26" ht="21.75" x14ac:dyDescent="0.55000000000000004">
      <c r="A890" s="280"/>
      <c r="B890" s="230"/>
      <c r="C890" s="281"/>
      <c r="D890" s="281"/>
      <c r="E890" s="281"/>
      <c r="F890" s="282"/>
      <c r="G890" s="282"/>
      <c r="H890" s="230"/>
      <c r="I890" s="230"/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  <c r="V890" s="230"/>
      <c r="W890" s="230"/>
      <c r="X890" s="230"/>
      <c r="Y890" s="230"/>
      <c r="Z890" s="230"/>
    </row>
    <row r="891" spans="1:26" ht="21.75" x14ac:dyDescent="0.55000000000000004">
      <c r="A891" s="280"/>
      <c r="B891" s="230"/>
      <c r="C891" s="281"/>
      <c r="D891" s="281"/>
      <c r="E891" s="281"/>
      <c r="F891" s="282"/>
      <c r="G891" s="282"/>
      <c r="H891" s="230"/>
      <c r="I891" s="230"/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  <c r="V891" s="230"/>
      <c r="W891" s="230"/>
      <c r="X891" s="230"/>
      <c r="Y891" s="230"/>
      <c r="Z891" s="230"/>
    </row>
    <row r="892" spans="1:26" ht="21.75" x14ac:dyDescent="0.55000000000000004">
      <c r="A892" s="280"/>
      <c r="B892" s="230"/>
      <c r="C892" s="281"/>
      <c r="D892" s="281"/>
      <c r="E892" s="281"/>
      <c r="F892" s="282"/>
      <c r="G892" s="282"/>
      <c r="H892" s="230"/>
      <c r="I892" s="230"/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  <c r="V892" s="230"/>
      <c r="W892" s="230"/>
      <c r="X892" s="230"/>
      <c r="Y892" s="230"/>
      <c r="Z892" s="230"/>
    </row>
    <row r="893" spans="1:26" ht="21.75" x14ac:dyDescent="0.55000000000000004">
      <c r="A893" s="280"/>
      <c r="B893" s="230"/>
      <c r="C893" s="281"/>
      <c r="D893" s="281"/>
      <c r="E893" s="281"/>
      <c r="F893" s="282"/>
      <c r="G893" s="282"/>
      <c r="H893" s="230"/>
      <c r="I893" s="230"/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  <c r="V893" s="230"/>
      <c r="W893" s="230"/>
      <c r="X893" s="230"/>
      <c r="Y893" s="230"/>
      <c r="Z893" s="230"/>
    </row>
    <row r="894" spans="1:26" ht="21.75" x14ac:dyDescent="0.55000000000000004">
      <c r="A894" s="280"/>
      <c r="B894" s="230"/>
      <c r="C894" s="281"/>
      <c r="D894" s="281"/>
      <c r="E894" s="281"/>
      <c r="F894" s="282"/>
      <c r="G894" s="282"/>
      <c r="H894" s="230"/>
      <c r="I894" s="230"/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  <c r="V894" s="230"/>
      <c r="W894" s="230"/>
      <c r="X894" s="230"/>
      <c r="Y894" s="230"/>
      <c r="Z894" s="230"/>
    </row>
    <row r="895" spans="1:26" ht="21.75" x14ac:dyDescent="0.55000000000000004">
      <c r="A895" s="280"/>
      <c r="B895" s="230"/>
      <c r="C895" s="281"/>
      <c r="D895" s="281"/>
      <c r="E895" s="281"/>
      <c r="F895" s="282"/>
      <c r="G895" s="282"/>
      <c r="H895" s="230"/>
      <c r="I895" s="230"/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  <c r="V895" s="230"/>
      <c r="W895" s="230"/>
      <c r="X895" s="230"/>
      <c r="Y895" s="230"/>
      <c r="Z895" s="230"/>
    </row>
    <row r="896" spans="1:26" ht="21.75" x14ac:dyDescent="0.55000000000000004">
      <c r="A896" s="280"/>
      <c r="B896" s="230"/>
      <c r="C896" s="281"/>
      <c r="D896" s="281"/>
      <c r="E896" s="281"/>
      <c r="F896" s="282"/>
      <c r="G896" s="282"/>
      <c r="H896" s="230"/>
      <c r="I896" s="230"/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  <c r="V896" s="230"/>
      <c r="W896" s="230"/>
      <c r="X896" s="230"/>
      <c r="Y896" s="230"/>
      <c r="Z896" s="230"/>
    </row>
    <row r="897" spans="1:26" ht="21.75" x14ac:dyDescent="0.55000000000000004">
      <c r="A897" s="280"/>
      <c r="B897" s="230"/>
      <c r="C897" s="281"/>
      <c r="D897" s="281"/>
      <c r="E897" s="281"/>
      <c r="F897" s="282"/>
      <c r="G897" s="282"/>
      <c r="H897" s="230"/>
      <c r="I897" s="230"/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  <c r="V897" s="230"/>
      <c r="W897" s="230"/>
      <c r="X897" s="230"/>
      <c r="Y897" s="230"/>
      <c r="Z897" s="230"/>
    </row>
    <row r="898" spans="1:26" ht="21.75" x14ac:dyDescent="0.55000000000000004">
      <c r="A898" s="280"/>
      <c r="B898" s="230"/>
      <c r="C898" s="281"/>
      <c r="D898" s="281"/>
      <c r="E898" s="281"/>
      <c r="F898" s="282"/>
      <c r="G898" s="282"/>
      <c r="H898" s="230"/>
      <c r="I898" s="230"/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  <c r="V898" s="230"/>
      <c r="W898" s="230"/>
      <c r="X898" s="230"/>
      <c r="Y898" s="230"/>
      <c r="Z898" s="230"/>
    </row>
    <row r="899" spans="1:26" ht="21.75" x14ac:dyDescent="0.55000000000000004">
      <c r="A899" s="280"/>
      <c r="B899" s="230"/>
      <c r="C899" s="281"/>
      <c r="D899" s="281"/>
      <c r="E899" s="281"/>
      <c r="F899" s="282"/>
      <c r="G899" s="282"/>
      <c r="H899" s="230"/>
      <c r="I899" s="230"/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  <c r="V899" s="230"/>
      <c r="W899" s="230"/>
      <c r="X899" s="230"/>
      <c r="Y899" s="230"/>
      <c r="Z899" s="230"/>
    </row>
    <row r="900" spans="1:26" ht="21.75" x14ac:dyDescent="0.55000000000000004">
      <c r="A900" s="280"/>
      <c r="B900" s="230"/>
      <c r="C900" s="281"/>
      <c r="D900" s="281"/>
      <c r="E900" s="281"/>
      <c r="F900" s="282"/>
      <c r="G900" s="282"/>
      <c r="H900" s="230"/>
      <c r="I900" s="230"/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  <c r="V900" s="230"/>
      <c r="W900" s="230"/>
      <c r="X900" s="230"/>
      <c r="Y900" s="230"/>
      <c r="Z900" s="230"/>
    </row>
    <row r="901" spans="1:26" ht="21.75" x14ac:dyDescent="0.55000000000000004">
      <c r="A901" s="280"/>
      <c r="B901" s="230"/>
      <c r="C901" s="281"/>
      <c r="D901" s="281"/>
      <c r="E901" s="281"/>
      <c r="F901" s="282"/>
      <c r="G901" s="282"/>
      <c r="H901" s="230"/>
      <c r="I901" s="230"/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  <c r="V901" s="230"/>
      <c r="W901" s="230"/>
      <c r="X901" s="230"/>
      <c r="Y901" s="230"/>
      <c r="Z901" s="230"/>
    </row>
    <row r="902" spans="1:26" ht="21.75" x14ac:dyDescent="0.55000000000000004">
      <c r="A902" s="280"/>
      <c r="B902" s="230"/>
      <c r="C902" s="281"/>
      <c r="D902" s="281"/>
      <c r="E902" s="281"/>
      <c r="F902" s="282"/>
      <c r="G902" s="282"/>
      <c r="H902" s="230"/>
      <c r="I902" s="230"/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  <c r="V902" s="230"/>
      <c r="W902" s="230"/>
      <c r="X902" s="230"/>
      <c r="Y902" s="230"/>
      <c r="Z902" s="230"/>
    </row>
    <row r="903" spans="1:26" ht="21.75" x14ac:dyDescent="0.55000000000000004">
      <c r="A903" s="280"/>
      <c r="B903" s="230"/>
      <c r="C903" s="281"/>
      <c r="D903" s="281"/>
      <c r="E903" s="281"/>
      <c r="F903" s="282"/>
      <c r="G903" s="282"/>
      <c r="H903" s="230"/>
      <c r="I903" s="230"/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  <c r="V903" s="230"/>
      <c r="W903" s="230"/>
      <c r="X903" s="230"/>
      <c r="Y903" s="230"/>
      <c r="Z903" s="230"/>
    </row>
    <row r="904" spans="1:26" ht="21.75" x14ac:dyDescent="0.55000000000000004">
      <c r="A904" s="280"/>
      <c r="B904" s="230"/>
      <c r="C904" s="281"/>
      <c r="D904" s="281"/>
      <c r="E904" s="281"/>
      <c r="F904" s="282"/>
      <c r="G904" s="282"/>
      <c r="H904" s="230"/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  <c r="V904" s="230"/>
      <c r="W904" s="230"/>
      <c r="X904" s="230"/>
      <c r="Y904" s="230"/>
      <c r="Z904" s="230"/>
    </row>
    <row r="905" spans="1:26" ht="21.75" x14ac:dyDescent="0.55000000000000004">
      <c r="A905" s="280"/>
      <c r="B905" s="230"/>
      <c r="C905" s="281"/>
      <c r="D905" s="281"/>
      <c r="E905" s="281"/>
      <c r="F905" s="282"/>
      <c r="G905" s="282"/>
      <c r="H905" s="230"/>
      <c r="I905" s="230"/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  <c r="V905" s="230"/>
      <c r="W905" s="230"/>
      <c r="X905" s="230"/>
      <c r="Y905" s="230"/>
      <c r="Z905" s="230"/>
    </row>
    <row r="906" spans="1:26" ht="21.75" x14ac:dyDescent="0.55000000000000004">
      <c r="A906" s="280"/>
      <c r="B906" s="230"/>
      <c r="C906" s="281"/>
      <c r="D906" s="281"/>
      <c r="E906" s="281"/>
      <c r="F906" s="282"/>
      <c r="G906" s="282"/>
      <c r="H906" s="230"/>
      <c r="I906" s="230"/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  <c r="V906" s="230"/>
      <c r="W906" s="230"/>
      <c r="X906" s="230"/>
      <c r="Y906" s="230"/>
      <c r="Z906" s="230"/>
    </row>
    <row r="907" spans="1:26" ht="21.75" x14ac:dyDescent="0.55000000000000004">
      <c r="A907" s="280"/>
      <c r="B907" s="230"/>
      <c r="C907" s="281"/>
      <c r="D907" s="281"/>
      <c r="E907" s="281"/>
      <c r="F907" s="282"/>
      <c r="G907" s="282"/>
      <c r="H907" s="230"/>
      <c r="I907" s="230"/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  <c r="V907" s="230"/>
      <c r="W907" s="230"/>
      <c r="X907" s="230"/>
      <c r="Y907" s="230"/>
      <c r="Z907" s="230"/>
    </row>
    <row r="908" spans="1:26" ht="21.75" x14ac:dyDescent="0.55000000000000004">
      <c r="A908" s="280"/>
      <c r="B908" s="230"/>
      <c r="C908" s="281"/>
      <c r="D908" s="281"/>
      <c r="E908" s="281"/>
      <c r="F908" s="282"/>
      <c r="G908" s="282"/>
      <c r="H908" s="230"/>
      <c r="I908" s="230"/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  <c r="V908" s="230"/>
      <c r="W908" s="230"/>
      <c r="X908" s="230"/>
      <c r="Y908" s="230"/>
      <c r="Z908" s="230"/>
    </row>
    <row r="909" spans="1:26" ht="21.75" x14ac:dyDescent="0.55000000000000004">
      <c r="A909" s="280"/>
      <c r="B909" s="230"/>
      <c r="C909" s="281"/>
      <c r="D909" s="281"/>
      <c r="E909" s="281"/>
      <c r="F909" s="282"/>
      <c r="G909" s="282"/>
      <c r="H909" s="230"/>
      <c r="I909" s="230"/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  <c r="V909" s="230"/>
      <c r="W909" s="230"/>
      <c r="X909" s="230"/>
      <c r="Y909" s="230"/>
      <c r="Z909" s="230"/>
    </row>
    <row r="910" spans="1:26" ht="21.75" x14ac:dyDescent="0.55000000000000004">
      <c r="A910" s="280"/>
      <c r="B910" s="230"/>
      <c r="C910" s="281"/>
      <c r="D910" s="281"/>
      <c r="E910" s="281"/>
      <c r="F910" s="282"/>
      <c r="G910" s="282"/>
      <c r="H910" s="230"/>
      <c r="I910" s="230"/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  <c r="V910" s="230"/>
      <c r="W910" s="230"/>
      <c r="X910" s="230"/>
      <c r="Y910" s="230"/>
      <c r="Z910" s="230"/>
    </row>
    <row r="911" spans="1:26" ht="21.75" x14ac:dyDescent="0.55000000000000004">
      <c r="A911" s="280"/>
      <c r="B911" s="230"/>
      <c r="C911" s="281"/>
      <c r="D911" s="281"/>
      <c r="E911" s="281"/>
      <c r="F911" s="282"/>
      <c r="G911" s="282"/>
      <c r="H911" s="230"/>
      <c r="I911" s="230"/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  <c r="V911" s="230"/>
      <c r="W911" s="230"/>
      <c r="X911" s="230"/>
      <c r="Y911" s="230"/>
      <c r="Z911" s="230"/>
    </row>
    <row r="912" spans="1:26" ht="21.75" x14ac:dyDescent="0.55000000000000004">
      <c r="A912" s="280"/>
      <c r="B912" s="230"/>
      <c r="C912" s="281"/>
      <c r="D912" s="281"/>
      <c r="E912" s="281"/>
      <c r="F912" s="282"/>
      <c r="G912" s="282"/>
      <c r="H912" s="230"/>
      <c r="I912" s="230"/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  <c r="V912" s="230"/>
      <c r="W912" s="230"/>
      <c r="X912" s="230"/>
      <c r="Y912" s="230"/>
      <c r="Z912" s="230"/>
    </row>
    <row r="913" spans="1:26" ht="21.75" x14ac:dyDescent="0.55000000000000004">
      <c r="A913" s="280"/>
      <c r="B913" s="230"/>
      <c r="C913" s="281"/>
      <c r="D913" s="281"/>
      <c r="E913" s="281"/>
      <c r="F913" s="282"/>
      <c r="G913" s="282"/>
      <c r="H913" s="230"/>
      <c r="I913" s="230"/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  <c r="V913" s="230"/>
      <c r="W913" s="230"/>
      <c r="X913" s="230"/>
      <c r="Y913" s="230"/>
      <c r="Z913" s="230"/>
    </row>
    <row r="914" spans="1:26" ht="21.75" x14ac:dyDescent="0.55000000000000004">
      <c r="A914" s="280"/>
      <c r="B914" s="230"/>
      <c r="C914" s="281"/>
      <c r="D914" s="281"/>
      <c r="E914" s="281"/>
      <c r="F914" s="282"/>
      <c r="G914" s="282"/>
      <c r="H914" s="230"/>
      <c r="I914" s="230"/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  <c r="V914" s="230"/>
      <c r="W914" s="230"/>
      <c r="X914" s="230"/>
      <c r="Y914" s="230"/>
      <c r="Z914" s="230"/>
    </row>
    <row r="915" spans="1:26" ht="21.75" x14ac:dyDescent="0.55000000000000004">
      <c r="A915" s="280"/>
      <c r="B915" s="230"/>
      <c r="C915" s="281"/>
      <c r="D915" s="281"/>
      <c r="E915" s="281"/>
      <c r="F915" s="282"/>
      <c r="G915" s="282"/>
      <c r="H915" s="230"/>
      <c r="I915" s="230"/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  <c r="V915" s="230"/>
      <c r="W915" s="230"/>
      <c r="X915" s="230"/>
      <c r="Y915" s="230"/>
      <c r="Z915" s="230"/>
    </row>
    <row r="916" spans="1:26" ht="21.75" x14ac:dyDescent="0.55000000000000004">
      <c r="A916" s="280"/>
      <c r="B916" s="230"/>
      <c r="C916" s="281"/>
      <c r="D916" s="281"/>
      <c r="E916" s="281"/>
      <c r="F916" s="282"/>
      <c r="G916" s="282"/>
      <c r="H916" s="230"/>
      <c r="I916" s="230"/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  <c r="V916" s="230"/>
      <c r="W916" s="230"/>
      <c r="X916" s="230"/>
      <c r="Y916" s="230"/>
      <c r="Z916" s="230"/>
    </row>
    <row r="917" spans="1:26" ht="21.75" x14ac:dyDescent="0.55000000000000004">
      <c r="A917" s="280"/>
      <c r="B917" s="230"/>
      <c r="C917" s="281"/>
      <c r="D917" s="281"/>
      <c r="E917" s="281"/>
      <c r="F917" s="282"/>
      <c r="G917" s="282"/>
      <c r="H917" s="230"/>
      <c r="I917" s="230"/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  <c r="V917" s="230"/>
      <c r="W917" s="230"/>
      <c r="X917" s="230"/>
      <c r="Y917" s="230"/>
      <c r="Z917" s="230"/>
    </row>
    <row r="918" spans="1:26" ht="21.75" x14ac:dyDescent="0.55000000000000004">
      <c r="A918" s="280"/>
      <c r="B918" s="230"/>
      <c r="C918" s="281"/>
      <c r="D918" s="281"/>
      <c r="E918" s="281"/>
      <c r="F918" s="282"/>
      <c r="G918" s="282"/>
      <c r="H918" s="230"/>
      <c r="I918" s="230"/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  <c r="V918" s="230"/>
      <c r="W918" s="230"/>
      <c r="X918" s="230"/>
      <c r="Y918" s="230"/>
      <c r="Z918" s="230"/>
    </row>
    <row r="919" spans="1:26" ht="21.75" x14ac:dyDescent="0.55000000000000004">
      <c r="A919" s="280"/>
      <c r="B919" s="230"/>
      <c r="C919" s="281"/>
      <c r="D919" s="281"/>
      <c r="E919" s="281"/>
      <c r="F919" s="282"/>
      <c r="G919" s="282"/>
      <c r="H919" s="230"/>
      <c r="I919" s="230"/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  <c r="V919" s="230"/>
      <c r="W919" s="230"/>
      <c r="X919" s="230"/>
      <c r="Y919" s="230"/>
      <c r="Z919" s="230"/>
    </row>
    <row r="920" spans="1:26" ht="21.75" x14ac:dyDescent="0.55000000000000004">
      <c r="A920" s="280"/>
      <c r="B920" s="230"/>
      <c r="C920" s="281"/>
      <c r="D920" s="281"/>
      <c r="E920" s="281"/>
      <c r="F920" s="282"/>
      <c r="G920" s="282"/>
      <c r="H920" s="230"/>
      <c r="I920" s="230"/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  <c r="V920" s="230"/>
      <c r="W920" s="230"/>
      <c r="X920" s="230"/>
      <c r="Y920" s="230"/>
      <c r="Z920" s="230"/>
    </row>
    <row r="921" spans="1:26" ht="21.75" x14ac:dyDescent="0.55000000000000004">
      <c r="A921" s="280"/>
      <c r="B921" s="230"/>
      <c r="C921" s="281"/>
      <c r="D921" s="281"/>
      <c r="E921" s="281"/>
      <c r="F921" s="282"/>
      <c r="G921" s="282"/>
      <c r="H921" s="230"/>
      <c r="I921" s="230"/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  <c r="V921" s="230"/>
      <c r="W921" s="230"/>
      <c r="X921" s="230"/>
      <c r="Y921" s="230"/>
      <c r="Z921" s="230"/>
    </row>
    <row r="922" spans="1:26" ht="21.75" x14ac:dyDescent="0.55000000000000004">
      <c r="A922" s="280"/>
      <c r="B922" s="230"/>
      <c r="C922" s="281"/>
      <c r="D922" s="281"/>
      <c r="E922" s="281"/>
      <c r="F922" s="282"/>
      <c r="G922" s="282"/>
      <c r="H922" s="230"/>
      <c r="I922" s="230"/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  <c r="V922" s="230"/>
      <c r="W922" s="230"/>
      <c r="X922" s="230"/>
      <c r="Y922" s="230"/>
      <c r="Z922" s="230"/>
    </row>
    <row r="923" spans="1:26" ht="21.75" x14ac:dyDescent="0.55000000000000004">
      <c r="A923" s="280"/>
      <c r="B923" s="230"/>
      <c r="C923" s="281"/>
      <c r="D923" s="281"/>
      <c r="E923" s="281"/>
      <c r="F923" s="282"/>
      <c r="G923" s="282"/>
      <c r="H923" s="230"/>
      <c r="I923" s="230"/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  <c r="V923" s="230"/>
      <c r="W923" s="230"/>
      <c r="X923" s="230"/>
      <c r="Y923" s="230"/>
      <c r="Z923" s="230"/>
    </row>
    <row r="924" spans="1:26" ht="21.75" x14ac:dyDescent="0.55000000000000004">
      <c r="A924" s="280"/>
      <c r="B924" s="230"/>
      <c r="C924" s="281"/>
      <c r="D924" s="281"/>
      <c r="E924" s="281"/>
      <c r="F924" s="282"/>
      <c r="G924" s="282"/>
      <c r="H924" s="230"/>
      <c r="I924" s="230"/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  <c r="V924" s="230"/>
      <c r="W924" s="230"/>
      <c r="X924" s="230"/>
      <c r="Y924" s="230"/>
      <c r="Z924" s="230"/>
    </row>
    <row r="925" spans="1:26" ht="21.75" x14ac:dyDescent="0.55000000000000004">
      <c r="A925" s="280"/>
      <c r="B925" s="230"/>
      <c r="C925" s="281"/>
      <c r="D925" s="281"/>
      <c r="E925" s="281"/>
      <c r="F925" s="282"/>
      <c r="G925" s="282"/>
      <c r="H925" s="230"/>
      <c r="I925" s="230"/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  <c r="V925" s="230"/>
      <c r="W925" s="230"/>
      <c r="X925" s="230"/>
      <c r="Y925" s="230"/>
      <c r="Z925" s="230"/>
    </row>
    <row r="926" spans="1:26" ht="21.75" x14ac:dyDescent="0.55000000000000004">
      <c r="A926" s="280"/>
      <c r="B926" s="230"/>
      <c r="C926" s="281"/>
      <c r="D926" s="281"/>
      <c r="E926" s="281"/>
      <c r="F926" s="282"/>
      <c r="G926" s="282"/>
      <c r="H926" s="230"/>
      <c r="I926" s="230"/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  <c r="V926" s="230"/>
      <c r="W926" s="230"/>
      <c r="X926" s="230"/>
      <c r="Y926" s="230"/>
      <c r="Z926" s="230"/>
    </row>
    <row r="927" spans="1:26" ht="21.75" x14ac:dyDescent="0.55000000000000004">
      <c r="A927" s="280"/>
      <c r="B927" s="230"/>
      <c r="C927" s="281"/>
      <c r="D927" s="281"/>
      <c r="E927" s="281"/>
      <c r="F927" s="282"/>
      <c r="G927" s="282"/>
      <c r="H927" s="230"/>
      <c r="I927" s="230"/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  <c r="V927" s="230"/>
      <c r="W927" s="230"/>
      <c r="X927" s="230"/>
      <c r="Y927" s="230"/>
      <c r="Z927" s="230"/>
    </row>
    <row r="928" spans="1:26" ht="21.75" x14ac:dyDescent="0.55000000000000004">
      <c r="A928" s="280"/>
      <c r="B928" s="230"/>
      <c r="C928" s="281"/>
      <c r="D928" s="281"/>
      <c r="E928" s="281"/>
      <c r="F928" s="282"/>
      <c r="G928" s="282"/>
      <c r="H928" s="230"/>
      <c r="I928" s="230"/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  <c r="V928" s="230"/>
      <c r="W928" s="230"/>
      <c r="X928" s="230"/>
      <c r="Y928" s="230"/>
      <c r="Z928" s="230"/>
    </row>
    <row r="929" spans="1:26" ht="21.75" x14ac:dyDescent="0.55000000000000004">
      <c r="A929" s="280"/>
      <c r="B929" s="230"/>
      <c r="C929" s="281"/>
      <c r="D929" s="281"/>
      <c r="E929" s="281"/>
      <c r="F929" s="282"/>
      <c r="G929" s="282"/>
      <c r="H929" s="230"/>
      <c r="I929" s="230"/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  <c r="V929" s="230"/>
      <c r="W929" s="230"/>
      <c r="X929" s="230"/>
      <c r="Y929" s="230"/>
      <c r="Z929" s="230"/>
    </row>
    <row r="930" spans="1:26" ht="21.75" x14ac:dyDescent="0.55000000000000004">
      <c r="A930" s="280"/>
      <c r="B930" s="230"/>
      <c r="C930" s="281"/>
      <c r="D930" s="281"/>
      <c r="E930" s="281"/>
      <c r="F930" s="282"/>
      <c r="G930" s="282"/>
      <c r="H930" s="230"/>
      <c r="I930" s="230"/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  <c r="V930" s="230"/>
      <c r="W930" s="230"/>
      <c r="X930" s="230"/>
      <c r="Y930" s="230"/>
      <c r="Z930" s="230"/>
    </row>
    <row r="931" spans="1:26" ht="21.75" x14ac:dyDescent="0.55000000000000004">
      <c r="A931" s="280"/>
      <c r="B931" s="230"/>
      <c r="C931" s="281"/>
      <c r="D931" s="281"/>
      <c r="E931" s="281"/>
      <c r="F931" s="282"/>
      <c r="G931" s="282"/>
      <c r="H931" s="230"/>
      <c r="I931" s="230"/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  <c r="V931" s="230"/>
      <c r="W931" s="230"/>
      <c r="X931" s="230"/>
      <c r="Y931" s="230"/>
      <c r="Z931" s="230"/>
    </row>
    <row r="932" spans="1:26" ht="21.75" x14ac:dyDescent="0.55000000000000004">
      <c r="A932" s="280"/>
      <c r="B932" s="230"/>
      <c r="C932" s="281"/>
      <c r="D932" s="281"/>
      <c r="E932" s="281"/>
      <c r="F932" s="282"/>
      <c r="G932" s="282"/>
      <c r="H932" s="230"/>
      <c r="I932" s="230"/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  <c r="V932" s="230"/>
      <c r="W932" s="230"/>
      <c r="X932" s="230"/>
      <c r="Y932" s="230"/>
      <c r="Z932" s="230"/>
    </row>
    <row r="933" spans="1:26" ht="21.75" x14ac:dyDescent="0.55000000000000004">
      <c r="A933" s="280"/>
      <c r="B933" s="230"/>
      <c r="C933" s="281"/>
      <c r="D933" s="281"/>
      <c r="E933" s="281"/>
      <c r="F933" s="282"/>
      <c r="G933" s="282"/>
      <c r="H933" s="230"/>
      <c r="I933" s="230"/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  <c r="V933" s="230"/>
      <c r="W933" s="230"/>
      <c r="X933" s="230"/>
      <c r="Y933" s="230"/>
      <c r="Z933" s="230"/>
    </row>
    <row r="934" spans="1:26" ht="21.75" x14ac:dyDescent="0.55000000000000004">
      <c r="A934" s="280"/>
      <c r="B934" s="230"/>
      <c r="C934" s="281"/>
      <c r="D934" s="281"/>
      <c r="E934" s="281"/>
      <c r="F934" s="282"/>
      <c r="G934" s="282"/>
      <c r="H934" s="230"/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  <c r="V934" s="230"/>
      <c r="W934" s="230"/>
      <c r="X934" s="230"/>
      <c r="Y934" s="230"/>
      <c r="Z934" s="230"/>
    </row>
    <row r="935" spans="1:26" ht="21.75" x14ac:dyDescent="0.55000000000000004">
      <c r="A935" s="280"/>
      <c r="B935" s="230"/>
      <c r="C935" s="281"/>
      <c r="D935" s="281"/>
      <c r="E935" s="281"/>
      <c r="F935" s="282"/>
      <c r="G935" s="282"/>
      <c r="H935" s="230"/>
      <c r="I935" s="230"/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  <c r="V935" s="230"/>
      <c r="W935" s="230"/>
      <c r="X935" s="230"/>
      <c r="Y935" s="230"/>
      <c r="Z935" s="230"/>
    </row>
    <row r="936" spans="1:26" ht="21.75" x14ac:dyDescent="0.55000000000000004">
      <c r="A936" s="280"/>
      <c r="B936" s="230"/>
      <c r="C936" s="281"/>
      <c r="D936" s="281"/>
      <c r="E936" s="281"/>
      <c r="F936" s="282"/>
      <c r="G936" s="282"/>
      <c r="H936" s="230"/>
      <c r="I936" s="230"/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  <c r="V936" s="230"/>
      <c r="W936" s="230"/>
      <c r="X936" s="230"/>
      <c r="Y936" s="230"/>
      <c r="Z936" s="230"/>
    </row>
    <row r="937" spans="1:26" ht="21.75" x14ac:dyDescent="0.55000000000000004">
      <c r="A937" s="280"/>
      <c r="B937" s="230"/>
      <c r="C937" s="281"/>
      <c r="D937" s="281"/>
      <c r="E937" s="281"/>
      <c r="F937" s="282"/>
      <c r="G937" s="282"/>
      <c r="H937" s="230"/>
      <c r="I937" s="230"/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  <c r="V937" s="230"/>
      <c r="W937" s="230"/>
      <c r="X937" s="230"/>
      <c r="Y937" s="230"/>
      <c r="Z937" s="230"/>
    </row>
    <row r="938" spans="1:26" ht="21.75" x14ac:dyDescent="0.55000000000000004">
      <c r="A938" s="280"/>
      <c r="B938" s="230"/>
      <c r="C938" s="281"/>
      <c r="D938" s="281"/>
      <c r="E938" s="281"/>
      <c r="F938" s="282"/>
      <c r="G938" s="282"/>
      <c r="H938" s="230"/>
      <c r="I938" s="230"/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  <c r="V938" s="230"/>
      <c r="W938" s="230"/>
      <c r="X938" s="230"/>
      <c r="Y938" s="230"/>
      <c r="Z938" s="230"/>
    </row>
    <row r="939" spans="1:26" ht="21.75" x14ac:dyDescent="0.55000000000000004">
      <c r="A939" s="280"/>
      <c r="B939" s="230"/>
      <c r="C939" s="281"/>
      <c r="D939" s="281"/>
      <c r="E939" s="281"/>
      <c r="F939" s="282"/>
      <c r="G939" s="282"/>
      <c r="H939" s="230"/>
      <c r="I939" s="230"/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  <c r="V939" s="230"/>
      <c r="W939" s="230"/>
      <c r="X939" s="230"/>
      <c r="Y939" s="230"/>
      <c r="Z939" s="230"/>
    </row>
    <row r="940" spans="1:26" ht="21.75" x14ac:dyDescent="0.55000000000000004">
      <c r="A940" s="280"/>
      <c r="B940" s="230"/>
      <c r="C940" s="281"/>
      <c r="D940" s="281"/>
      <c r="E940" s="281"/>
      <c r="F940" s="282"/>
      <c r="G940" s="282"/>
      <c r="H940" s="230"/>
      <c r="I940" s="230"/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  <c r="V940" s="230"/>
      <c r="W940" s="230"/>
      <c r="X940" s="230"/>
      <c r="Y940" s="230"/>
      <c r="Z940" s="230"/>
    </row>
    <row r="941" spans="1:26" ht="21.75" x14ac:dyDescent="0.55000000000000004">
      <c r="A941" s="280"/>
      <c r="B941" s="230"/>
      <c r="C941" s="281"/>
      <c r="D941" s="281"/>
      <c r="E941" s="281"/>
      <c r="F941" s="282"/>
      <c r="G941" s="282"/>
      <c r="H941" s="230"/>
      <c r="I941" s="230"/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  <c r="V941" s="230"/>
      <c r="W941" s="230"/>
      <c r="X941" s="230"/>
      <c r="Y941" s="230"/>
      <c r="Z941" s="230"/>
    </row>
    <row r="942" spans="1:26" ht="21.75" x14ac:dyDescent="0.55000000000000004">
      <c r="A942" s="280"/>
      <c r="B942" s="230"/>
      <c r="C942" s="281"/>
      <c r="D942" s="281"/>
      <c r="E942" s="281"/>
      <c r="F942" s="282"/>
      <c r="G942" s="282"/>
      <c r="H942" s="230"/>
      <c r="I942" s="230"/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  <c r="V942" s="230"/>
      <c r="W942" s="230"/>
      <c r="X942" s="230"/>
      <c r="Y942" s="230"/>
      <c r="Z942" s="230"/>
    </row>
    <row r="943" spans="1:26" ht="21.75" x14ac:dyDescent="0.55000000000000004">
      <c r="A943" s="280"/>
      <c r="B943" s="230"/>
      <c r="C943" s="281"/>
      <c r="D943" s="281"/>
      <c r="E943" s="281"/>
      <c r="F943" s="282"/>
      <c r="G943" s="282"/>
      <c r="H943" s="230"/>
      <c r="I943" s="230"/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  <c r="V943" s="230"/>
      <c r="W943" s="230"/>
      <c r="X943" s="230"/>
      <c r="Y943" s="230"/>
      <c r="Z943" s="230"/>
    </row>
    <row r="944" spans="1:26" ht="21.75" x14ac:dyDescent="0.55000000000000004">
      <c r="A944" s="280"/>
      <c r="B944" s="230"/>
      <c r="C944" s="281"/>
      <c r="D944" s="281"/>
      <c r="E944" s="281"/>
      <c r="F944" s="282"/>
      <c r="G944" s="282"/>
      <c r="H944" s="230"/>
      <c r="I944" s="230"/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  <c r="V944" s="230"/>
      <c r="W944" s="230"/>
      <c r="X944" s="230"/>
      <c r="Y944" s="230"/>
      <c r="Z944" s="230"/>
    </row>
    <row r="945" spans="1:26" ht="21.75" x14ac:dyDescent="0.55000000000000004">
      <c r="A945" s="280"/>
      <c r="B945" s="230"/>
      <c r="C945" s="281"/>
      <c r="D945" s="281"/>
      <c r="E945" s="281"/>
      <c r="F945" s="282"/>
      <c r="G945" s="282"/>
      <c r="H945" s="230"/>
      <c r="I945" s="230"/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  <c r="V945" s="230"/>
      <c r="W945" s="230"/>
      <c r="X945" s="230"/>
      <c r="Y945" s="230"/>
      <c r="Z945" s="230"/>
    </row>
    <row r="946" spans="1:26" ht="21.75" x14ac:dyDescent="0.55000000000000004">
      <c r="A946" s="280"/>
      <c r="B946" s="230"/>
      <c r="C946" s="281"/>
      <c r="D946" s="281"/>
      <c r="E946" s="281"/>
      <c r="F946" s="282"/>
      <c r="G946" s="282"/>
      <c r="H946" s="230"/>
      <c r="I946" s="230"/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  <c r="V946" s="230"/>
      <c r="W946" s="230"/>
      <c r="X946" s="230"/>
      <c r="Y946" s="230"/>
      <c r="Z946" s="230"/>
    </row>
    <row r="947" spans="1:26" ht="21.75" x14ac:dyDescent="0.55000000000000004">
      <c r="A947" s="280"/>
      <c r="B947" s="230"/>
      <c r="C947" s="281"/>
      <c r="D947" s="281"/>
      <c r="E947" s="281"/>
      <c r="F947" s="282"/>
      <c r="G947" s="282"/>
      <c r="H947" s="230"/>
      <c r="I947" s="230"/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  <c r="V947" s="230"/>
      <c r="W947" s="230"/>
      <c r="X947" s="230"/>
      <c r="Y947" s="230"/>
      <c r="Z947" s="230"/>
    </row>
    <row r="948" spans="1:26" ht="21.75" x14ac:dyDescent="0.55000000000000004">
      <c r="A948" s="280"/>
      <c r="B948" s="230"/>
      <c r="C948" s="281"/>
      <c r="D948" s="281"/>
      <c r="E948" s="281"/>
      <c r="F948" s="282"/>
      <c r="G948" s="282"/>
      <c r="H948" s="230"/>
      <c r="I948" s="230"/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  <c r="V948" s="230"/>
      <c r="W948" s="230"/>
      <c r="X948" s="230"/>
      <c r="Y948" s="230"/>
      <c r="Z948" s="230"/>
    </row>
    <row r="949" spans="1:26" ht="21.75" x14ac:dyDescent="0.55000000000000004">
      <c r="A949" s="280"/>
      <c r="B949" s="230"/>
      <c r="C949" s="281"/>
      <c r="D949" s="281"/>
      <c r="E949" s="281"/>
      <c r="F949" s="282"/>
      <c r="G949" s="282"/>
      <c r="H949" s="230"/>
      <c r="I949" s="230"/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  <c r="V949" s="230"/>
      <c r="W949" s="230"/>
      <c r="X949" s="230"/>
      <c r="Y949" s="230"/>
      <c r="Z949" s="230"/>
    </row>
    <row r="950" spans="1:26" ht="21.75" x14ac:dyDescent="0.55000000000000004">
      <c r="A950" s="280"/>
      <c r="B950" s="230"/>
      <c r="C950" s="281"/>
      <c r="D950" s="281"/>
      <c r="E950" s="281"/>
      <c r="F950" s="282"/>
      <c r="G950" s="282"/>
      <c r="H950" s="230"/>
      <c r="I950" s="230"/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  <c r="V950" s="230"/>
      <c r="W950" s="230"/>
      <c r="X950" s="230"/>
      <c r="Y950" s="230"/>
      <c r="Z950" s="230"/>
    </row>
    <row r="951" spans="1:26" ht="21.75" x14ac:dyDescent="0.55000000000000004">
      <c r="A951" s="280"/>
      <c r="B951" s="230"/>
      <c r="C951" s="281"/>
      <c r="D951" s="281"/>
      <c r="E951" s="281"/>
      <c r="F951" s="282"/>
      <c r="G951" s="282"/>
      <c r="H951" s="230"/>
      <c r="I951" s="230"/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  <c r="V951" s="230"/>
      <c r="W951" s="230"/>
      <c r="X951" s="230"/>
      <c r="Y951" s="230"/>
      <c r="Z951" s="230"/>
    </row>
    <row r="952" spans="1:26" ht="21.75" x14ac:dyDescent="0.55000000000000004">
      <c r="A952" s="280"/>
      <c r="B952" s="230"/>
      <c r="C952" s="281"/>
      <c r="D952" s="281"/>
      <c r="E952" s="281"/>
      <c r="F952" s="282"/>
      <c r="G952" s="282"/>
      <c r="H952" s="230"/>
      <c r="I952" s="230"/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  <c r="V952" s="230"/>
      <c r="W952" s="230"/>
      <c r="X952" s="230"/>
      <c r="Y952" s="230"/>
      <c r="Z952" s="230"/>
    </row>
    <row r="953" spans="1:26" ht="21.75" x14ac:dyDescent="0.55000000000000004">
      <c r="A953" s="280"/>
      <c r="B953" s="230"/>
      <c r="C953" s="281"/>
      <c r="D953" s="281"/>
      <c r="E953" s="281"/>
      <c r="F953" s="282"/>
      <c r="G953" s="282"/>
      <c r="H953" s="230"/>
      <c r="I953" s="230"/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  <c r="V953" s="230"/>
      <c r="W953" s="230"/>
      <c r="X953" s="230"/>
      <c r="Y953" s="230"/>
      <c r="Z953" s="230"/>
    </row>
    <row r="954" spans="1:26" ht="21.75" x14ac:dyDescent="0.55000000000000004">
      <c r="A954" s="280"/>
      <c r="B954" s="230"/>
      <c r="C954" s="281"/>
      <c r="D954" s="281"/>
      <c r="E954" s="281"/>
      <c r="F954" s="282"/>
      <c r="G954" s="282"/>
      <c r="H954" s="230"/>
      <c r="I954" s="230"/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  <c r="V954" s="230"/>
      <c r="W954" s="230"/>
      <c r="X954" s="230"/>
      <c r="Y954" s="230"/>
      <c r="Z954" s="230"/>
    </row>
    <row r="955" spans="1:26" ht="21.75" x14ac:dyDescent="0.55000000000000004">
      <c r="A955" s="280"/>
      <c r="B955" s="230"/>
      <c r="C955" s="281"/>
      <c r="D955" s="281"/>
      <c r="E955" s="281"/>
      <c r="F955" s="282"/>
      <c r="G955" s="282"/>
      <c r="H955" s="230"/>
      <c r="I955" s="230"/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  <c r="V955" s="230"/>
      <c r="W955" s="230"/>
      <c r="X955" s="230"/>
      <c r="Y955" s="230"/>
      <c r="Z955" s="230"/>
    </row>
    <row r="956" spans="1:26" ht="21.75" x14ac:dyDescent="0.55000000000000004">
      <c r="A956" s="280"/>
      <c r="B956" s="230"/>
      <c r="C956" s="281"/>
      <c r="D956" s="281"/>
      <c r="E956" s="281"/>
      <c r="F956" s="282"/>
      <c r="G956" s="282"/>
      <c r="H956" s="230"/>
      <c r="I956" s="230"/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  <c r="V956" s="230"/>
      <c r="W956" s="230"/>
      <c r="X956" s="230"/>
      <c r="Y956" s="230"/>
      <c r="Z956" s="230"/>
    </row>
    <row r="957" spans="1:26" ht="21.75" x14ac:dyDescent="0.55000000000000004">
      <c r="A957" s="280"/>
      <c r="B957" s="230"/>
      <c r="C957" s="281"/>
      <c r="D957" s="281"/>
      <c r="E957" s="281"/>
      <c r="F957" s="282"/>
      <c r="G957" s="282"/>
      <c r="H957" s="230"/>
      <c r="I957" s="230"/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  <c r="V957" s="230"/>
      <c r="W957" s="230"/>
      <c r="X957" s="230"/>
      <c r="Y957" s="230"/>
      <c r="Z957" s="230"/>
    </row>
    <row r="958" spans="1:26" ht="21.75" x14ac:dyDescent="0.55000000000000004">
      <c r="A958" s="280"/>
      <c r="B958" s="230"/>
      <c r="C958" s="281"/>
      <c r="D958" s="281"/>
      <c r="E958" s="281"/>
      <c r="F958" s="282"/>
      <c r="G958" s="282"/>
      <c r="H958" s="230"/>
      <c r="I958" s="230"/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  <c r="V958" s="230"/>
      <c r="W958" s="230"/>
      <c r="X958" s="230"/>
      <c r="Y958" s="230"/>
      <c r="Z958" s="230"/>
    </row>
    <row r="959" spans="1:26" ht="21.75" x14ac:dyDescent="0.55000000000000004">
      <c r="A959" s="280"/>
      <c r="B959" s="230"/>
      <c r="C959" s="281"/>
      <c r="D959" s="281"/>
      <c r="E959" s="281"/>
      <c r="F959" s="282"/>
      <c r="G959" s="282"/>
      <c r="H959" s="230"/>
      <c r="I959" s="230"/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  <c r="V959" s="230"/>
      <c r="W959" s="230"/>
      <c r="X959" s="230"/>
      <c r="Y959" s="230"/>
      <c r="Z959" s="230"/>
    </row>
    <row r="960" spans="1:26" ht="21.75" x14ac:dyDescent="0.55000000000000004">
      <c r="A960" s="280"/>
      <c r="B960" s="230"/>
      <c r="C960" s="281"/>
      <c r="D960" s="281"/>
      <c r="E960" s="281"/>
      <c r="F960" s="282"/>
      <c r="G960" s="282"/>
      <c r="H960" s="230"/>
      <c r="I960" s="230"/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  <c r="V960" s="230"/>
      <c r="W960" s="230"/>
      <c r="X960" s="230"/>
      <c r="Y960" s="230"/>
      <c r="Z960" s="230"/>
    </row>
    <row r="961" spans="1:26" ht="21.75" x14ac:dyDescent="0.55000000000000004">
      <c r="A961" s="280"/>
      <c r="B961" s="230"/>
      <c r="C961" s="281"/>
      <c r="D961" s="281"/>
      <c r="E961" s="281"/>
      <c r="F961" s="282"/>
      <c r="G961" s="282"/>
      <c r="H961" s="230"/>
      <c r="I961" s="230"/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  <c r="V961" s="230"/>
      <c r="W961" s="230"/>
      <c r="X961" s="230"/>
      <c r="Y961" s="230"/>
      <c r="Z961" s="230"/>
    </row>
    <row r="962" spans="1:26" ht="21.75" x14ac:dyDescent="0.55000000000000004">
      <c r="A962" s="280"/>
      <c r="B962" s="230"/>
      <c r="C962" s="281"/>
      <c r="D962" s="281"/>
      <c r="E962" s="281"/>
      <c r="F962" s="282"/>
      <c r="G962" s="282"/>
      <c r="H962" s="230"/>
      <c r="I962" s="230"/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  <c r="V962" s="230"/>
      <c r="W962" s="230"/>
      <c r="X962" s="230"/>
      <c r="Y962" s="230"/>
      <c r="Z962" s="230"/>
    </row>
    <row r="963" spans="1:26" ht="21.75" x14ac:dyDescent="0.55000000000000004">
      <c r="A963" s="280"/>
      <c r="B963" s="230"/>
      <c r="C963" s="281"/>
      <c r="D963" s="281"/>
      <c r="E963" s="281"/>
      <c r="F963" s="282"/>
      <c r="G963" s="282"/>
      <c r="H963" s="230"/>
      <c r="I963" s="230"/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  <c r="V963" s="230"/>
      <c r="W963" s="230"/>
      <c r="X963" s="230"/>
      <c r="Y963" s="230"/>
      <c r="Z963" s="230"/>
    </row>
    <row r="964" spans="1:26" ht="21.75" x14ac:dyDescent="0.55000000000000004">
      <c r="A964" s="280"/>
      <c r="B964" s="230"/>
      <c r="C964" s="281"/>
      <c r="D964" s="281"/>
      <c r="E964" s="281"/>
      <c r="F964" s="282"/>
      <c r="G964" s="282"/>
      <c r="H964" s="230"/>
      <c r="I964" s="230"/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  <c r="V964" s="230"/>
      <c r="W964" s="230"/>
      <c r="X964" s="230"/>
      <c r="Y964" s="230"/>
      <c r="Z964" s="230"/>
    </row>
    <row r="965" spans="1:26" ht="21.75" x14ac:dyDescent="0.55000000000000004">
      <c r="A965" s="280"/>
      <c r="B965" s="230"/>
      <c r="C965" s="281"/>
      <c r="D965" s="281"/>
      <c r="E965" s="281"/>
      <c r="F965" s="282"/>
      <c r="G965" s="282"/>
      <c r="H965" s="230"/>
      <c r="I965" s="230"/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  <c r="V965" s="230"/>
      <c r="W965" s="230"/>
      <c r="X965" s="230"/>
      <c r="Y965" s="230"/>
      <c r="Z965" s="230"/>
    </row>
    <row r="966" spans="1:26" ht="21.75" x14ac:dyDescent="0.55000000000000004">
      <c r="A966" s="280"/>
      <c r="B966" s="230"/>
      <c r="C966" s="281"/>
      <c r="D966" s="281"/>
      <c r="E966" s="281"/>
      <c r="F966" s="282"/>
      <c r="G966" s="282"/>
      <c r="H966" s="230"/>
      <c r="I966" s="230"/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  <c r="V966" s="230"/>
      <c r="W966" s="230"/>
      <c r="X966" s="230"/>
      <c r="Y966" s="230"/>
      <c r="Z966" s="230"/>
    </row>
    <row r="967" spans="1:26" ht="21.75" x14ac:dyDescent="0.55000000000000004">
      <c r="A967" s="280"/>
      <c r="B967" s="230"/>
      <c r="C967" s="281"/>
      <c r="D967" s="281"/>
      <c r="E967" s="281"/>
      <c r="F967" s="282"/>
      <c r="G967" s="282"/>
      <c r="H967" s="230"/>
      <c r="I967" s="230"/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  <c r="V967" s="230"/>
      <c r="W967" s="230"/>
      <c r="X967" s="230"/>
      <c r="Y967" s="230"/>
      <c r="Z967" s="230"/>
    </row>
    <row r="968" spans="1:26" ht="21.75" x14ac:dyDescent="0.55000000000000004">
      <c r="A968" s="280"/>
      <c r="B968" s="230"/>
      <c r="C968" s="281"/>
      <c r="D968" s="281"/>
      <c r="E968" s="281"/>
      <c r="F968" s="282"/>
      <c r="G968" s="282"/>
      <c r="H968" s="230"/>
      <c r="I968" s="230"/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  <c r="V968" s="230"/>
      <c r="W968" s="230"/>
      <c r="X968" s="230"/>
      <c r="Y968" s="230"/>
      <c r="Z968" s="230"/>
    </row>
    <row r="969" spans="1:26" ht="21.75" x14ac:dyDescent="0.55000000000000004">
      <c r="A969" s="280"/>
      <c r="B969" s="230"/>
      <c r="C969" s="281"/>
      <c r="D969" s="281"/>
      <c r="E969" s="281"/>
      <c r="F969" s="282"/>
      <c r="G969" s="282"/>
      <c r="H969" s="230"/>
      <c r="I969" s="230"/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  <c r="V969" s="230"/>
      <c r="W969" s="230"/>
      <c r="X969" s="230"/>
      <c r="Y969" s="230"/>
      <c r="Z969" s="230"/>
    </row>
    <row r="970" spans="1:26" ht="21.75" x14ac:dyDescent="0.55000000000000004">
      <c r="A970" s="280"/>
      <c r="B970" s="230"/>
      <c r="C970" s="281"/>
      <c r="D970" s="281"/>
      <c r="E970" s="281"/>
      <c r="F970" s="282"/>
      <c r="G970" s="282"/>
      <c r="H970" s="230"/>
      <c r="I970" s="230"/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  <c r="V970" s="230"/>
      <c r="W970" s="230"/>
      <c r="X970" s="230"/>
      <c r="Y970" s="230"/>
      <c r="Z970" s="230"/>
    </row>
    <row r="971" spans="1:26" ht="21.75" x14ac:dyDescent="0.55000000000000004">
      <c r="A971" s="280"/>
      <c r="B971" s="230"/>
      <c r="C971" s="281"/>
      <c r="D971" s="281"/>
      <c r="E971" s="281"/>
      <c r="F971" s="282"/>
      <c r="G971" s="282"/>
      <c r="H971" s="230"/>
      <c r="I971" s="230"/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  <c r="V971" s="230"/>
      <c r="W971" s="230"/>
      <c r="X971" s="230"/>
      <c r="Y971" s="230"/>
      <c r="Z971" s="230"/>
    </row>
    <row r="972" spans="1:26" ht="21.75" x14ac:dyDescent="0.55000000000000004">
      <c r="A972" s="280"/>
      <c r="B972" s="230"/>
      <c r="C972" s="281"/>
      <c r="D972" s="281"/>
      <c r="E972" s="281"/>
      <c r="F972" s="282"/>
      <c r="G972" s="282"/>
      <c r="H972" s="230"/>
      <c r="I972" s="230"/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  <c r="V972" s="230"/>
      <c r="W972" s="230"/>
      <c r="X972" s="230"/>
      <c r="Y972" s="230"/>
      <c r="Z972" s="230"/>
    </row>
    <row r="973" spans="1:26" ht="21.75" x14ac:dyDescent="0.55000000000000004">
      <c r="A973" s="280"/>
      <c r="B973" s="230"/>
      <c r="C973" s="281"/>
      <c r="D973" s="281"/>
      <c r="E973" s="281"/>
      <c r="F973" s="282"/>
      <c r="G973" s="282"/>
      <c r="H973" s="230"/>
      <c r="I973" s="230"/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  <c r="V973" s="230"/>
      <c r="W973" s="230"/>
      <c r="X973" s="230"/>
      <c r="Y973" s="230"/>
      <c r="Z973" s="230"/>
    </row>
    <row r="974" spans="1:26" ht="21.75" x14ac:dyDescent="0.55000000000000004">
      <c r="A974" s="280"/>
      <c r="B974" s="230"/>
      <c r="C974" s="281"/>
      <c r="D974" s="281"/>
      <c r="E974" s="281"/>
      <c r="F974" s="282"/>
      <c r="G974" s="282"/>
      <c r="H974" s="230"/>
      <c r="I974" s="230"/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  <c r="V974" s="230"/>
      <c r="W974" s="230"/>
      <c r="X974" s="230"/>
      <c r="Y974" s="230"/>
      <c r="Z974" s="230"/>
    </row>
    <row r="975" spans="1:26" ht="21.75" x14ac:dyDescent="0.55000000000000004">
      <c r="A975" s="280"/>
      <c r="B975" s="230"/>
      <c r="C975" s="281"/>
      <c r="D975" s="281"/>
      <c r="E975" s="281"/>
      <c r="F975" s="282"/>
      <c r="G975" s="282"/>
      <c r="H975" s="230"/>
      <c r="I975" s="230"/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  <c r="V975" s="230"/>
      <c r="W975" s="230"/>
      <c r="X975" s="230"/>
      <c r="Y975" s="230"/>
      <c r="Z975" s="230"/>
    </row>
    <row r="976" spans="1:26" ht="21.75" x14ac:dyDescent="0.55000000000000004">
      <c r="A976" s="280"/>
      <c r="B976" s="230"/>
      <c r="C976" s="281"/>
      <c r="D976" s="281"/>
      <c r="E976" s="281"/>
      <c r="F976" s="282"/>
      <c r="G976" s="282"/>
      <c r="H976" s="230"/>
      <c r="I976" s="230"/>
      <c r="J976" s="230"/>
      <c r="K976" s="230"/>
      <c r="L976" s="230"/>
      <c r="M976" s="230"/>
      <c r="N976" s="230"/>
      <c r="O976" s="230"/>
      <c r="P976" s="230"/>
      <c r="Q976" s="230"/>
      <c r="R976" s="230"/>
      <c r="S976" s="230"/>
      <c r="T976" s="230"/>
      <c r="U976" s="230"/>
      <c r="V976" s="230"/>
      <c r="W976" s="230"/>
      <c r="X976" s="230"/>
      <c r="Y976" s="230"/>
      <c r="Z976" s="230"/>
    </row>
    <row r="977" spans="1:26" ht="21.75" x14ac:dyDescent="0.55000000000000004">
      <c r="A977" s="280"/>
      <c r="B977" s="230"/>
      <c r="C977" s="281"/>
      <c r="D977" s="281"/>
      <c r="E977" s="281"/>
      <c r="F977" s="282"/>
      <c r="G977" s="282"/>
      <c r="H977" s="230"/>
      <c r="I977" s="230"/>
      <c r="J977" s="230"/>
      <c r="K977" s="230"/>
      <c r="L977" s="230"/>
      <c r="M977" s="230"/>
      <c r="N977" s="230"/>
      <c r="O977" s="230"/>
      <c r="P977" s="230"/>
      <c r="Q977" s="230"/>
      <c r="R977" s="230"/>
      <c r="S977" s="230"/>
      <c r="T977" s="230"/>
      <c r="U977" s="230"/>
      <c r="V977" s="230"/>
      <c r="W977" s="230"/>
      <c r="X977" s="230"/>
      <c r="Y977" s="230"/>
      <c r="Z977" s="230"/>
    </row>
    <row r="978" spans="1:26" ht="21.75" x14ac:dyDescent="0.55000000000000004">
      <c r="A978" s="280"/>
      <c r="B978" s="230"/>
      <c r="C978" s="281"/>
      <c r="D978" s="281"/>
      <c r="E978" s="281"/>
      <c r="F978" s="282"/>
      <c r="G978" s="282"/>
      <c r="H978" s="230"/>
      <c r="I978" s="230"/>
      <c r="J978" s="230"/>
      <c r="K978" s="230"/>
      <c r="L978" s="230"/>
      <c r="M978" s="230"/>
      <c r="N978" s="230"/>
      <c r="O978" s="230"/>
      <c r="P978" s="230"/>
      <c r="Q978" s="230"/>
      <c r="R978" s="230"/>
      <c r="S978" s="230"/>
      <c r="T978" s="230"/>
      <c r="U978" s="230"/>
      <c r="V978" s="230"/>
      <c r="W978" s="230"/>
      <c r="X978" s="230"/>
      <c r="Y978" s="230"/>
      <c r="Z978" s="230"/>
    </row>
    <row r="979" spans="1:26" ht="21.75" x14ac:dyDescent="0.55000000000000004">
      <c r="A979" s="280"/>
      <c r="B979" s="230"/>
      <c r="C979" s="281"/>
      <c r="D979" s="281"/>
      <c r="E979" s="281"/>
      <c r="F979" s="282"/>
      <c r="G979" s="282"/>
      <c r="H979" s="230"/>
      <c r="I979" s="230"/>
      <c r="J979" s="230"/>
      <c r="K979" s="230"/>
      <c r="L979" s="230"/>
      <c r="M979" s="230"/>
      <c r="N979" s="230"/>
      <c r="O979" s="230"/>
      <c r="P979" s="230"/>
      <c r="Q979" s="230"/>
      <c r="R979" s="230"/>
      <c r="S979" s="230"/>
      <c r="T979" s="230"/>
      <c r="U979" s="230"/>
      <c r="V979" s="230"/>
      <c r="W979" s="230"/>
      <c r="X979" s="230"/>
      <c r="Y979" s="230"/>
      <c r="Z979" s="230"/>
    </row>
    <row r="980" spans="1:26" ht="21.75" x14ac:dyDescent="0.55000000000000004">
      <c r="A980" s="280"/>
      <c r="B980" s="230"/>
      <c r="C980" s="281"/>
      <c r="D980" s="281"/>
      <c r="E980" s="281"/>
      <c r="F980" s="282"/>
      <c r="G980" s="282"/>
      <c r="H980" s="230"/>
      <c r="I980" s="230"/>
      <c r="J980" s="230"/>
      <c r="K980" s="230"/>
      <c r="L980" s="230"/>
      <c r="M980" s="230"/>
      <c r="N980" s="230"/>
      <c r="O980" s="230"/>
      <c r="P980" s="230"/>
      <c r="Q980" s="230"/>
      <c r="R980" s="230"/>
      <c r="S980" s="230"/>
      <c r="T980" s="230"/>
      <c r="U980" s="230"/>
      <c r="V980" s="230"/>
      <c r="W980" s="230"/>
      <c r="X980" s="230"/>
      <c r="Y980" s="230"/>
      <c r="Z980" s="230"/>
    </row>
    <row r="981" spans="1:26" ht="21.75" x14ac:dyDescent="0.55000000000000004">
      <c r="A981" s="280"/>
      <c r="B981" s="230"/>
      <c r="C981" s="281"/>
      <c r="D981" s="281"/>
      <c r="E981" s="281"/>
      <c r="F981" s="282"/>
      <c r="G981" s="282"/>
      <c r="H981" s="230"/>
      <c r="I981" s="230"/>
      <c r="J981" s="230"/>
      <c r="K981" s="230"/>
      <c r="L981" s="230"/>
      <c r="M981" s="230"/>
      <c r="N981" s="230"/>
      <c r="O981" s="230"/>
      <c r="P981" s="230"/>
      <c r="Q981" s="230"/>
      <c r="R981" s="230"/>
      <c r="S981" s="230"/>
      <c r="T981" s="230"/>
      <c r="U981" s="230"/>
      <c r="V981" s="230"/>
      <c r="W981" s="230"/>
      <c r="X981" s="230"/>
      <c r="Y981" s="230"/>
      <c r="Z981" s="230"/>
    </row>
    <row r="982" spans="1:26" ht="21.75" x14ac:dyDescent="0.55000000000000004">
      <c r="A982" s="280"/>
      <c r="B982" s="230"/>
      <c r="C982" s="281"/>
      <c r="D982" s="281"/>
      <c r="E982" s="281"/>
      <c r="F982" s="282"/>
      <c r="G982" s="282"/>
      <c r="H982" s="230"/>
      <c r="I982" s="230"/>
      <c r="J982" s="230"/>
      <c r="K982" s="230"/>
      <c r="L982" s="230"/>
      <c r="M982" s="230"/>
      <c r="N982" s="230"/>
      <c r="O982" s="230"/>
      <c r="P982" s="230"/>
      <c r="Q982" s="230"/>
      <c r="R982" s="230"/>
      <c r="S982" s="230"/>
      <c r="T982" s="230"/>
      <c r="U982" s="230"/>
      <c r="V982" s="230"/>
      <c r="W982" s="230"/>
      <c r="X982" s="230"/>
      <c r="Y982" s="230"/>
      <c r="Z982" s="230"/>
    </row>
    <row r="983" spans="1:26" ht="21.75" x14ac:dyDescent="0.55000000000000004">
      <c r="A983" s="280"/>
      <c r="B983" s="230"/>
      <c r="C983" s="281"/>
      <c r="D983" s="281"/>
      <c r="E983" s="281"/>
      <c r="F983" s="282"/>
      <c r="G983" s="282"/>
      <c r="H983" s="230"/>
      <c r="I983" s="230"/>
      <c r="J983" s="230"/>
      <c r="K983" s="230"/>
      <c r="L983" s="230"/>
      <c r="M983" s="230"/>
      <c r="N983" s="230"/>
      <c r="O983" s="230"/>
      <c r="P983" s="230"/>
      <c r="Q983" s="230"/>
      <c r="R983" s="230"/>
      <c r="S983" s="230"/>
      <c r="T983" s="230"/>
      <c r="U983" s="230"/>
      <c r="V983" s="230"/>
      <c r="W983" s="230"/>
      <c r="X983" s="230"/>
      <c r="Y983" s="230"/>
      <c r="Z983" s="230"/>
    </row>
    <row r="984" spans="1:26" ht="21.75" x14ac:dyDescent="0.55000000000000004">
      <c r="A984" s="280"/>
      <c r="B984" s="230"/>
      <c r="C984" s="281"/>
      <c r="D984" s="281"/>
      <c r="E984" s="281"/>
      <c r="F984" s="282"/>
      <c r="G984" s="282"/>
      <c r="H984" s="230"/>
      <c r="I984" s="230"/>
      <c r="J984" s="230"/>
      <c r="K984" s="230"/>
      <c r="L984" s="230"/>
      <c r="M984" s="230"/>
      <c r="N984" s="230"/>
      <c r="O984" s="230"/>
      <c r="P984" s="230"/>
      <c r="Q984" s="230"/>
      <c r="R984" s="230"/>
      <c r="S984" s="230"/>
      <c r="T984" s="230"/>
      <c r="U984" s="230"/>
      <c r="V984" s="230"/>
      <c r="W984" s="230"/>
      <c r="X984" s="230"/>
      <c r="Y984" s="230"/>
      <c r="Z984" s="230"/>
    </row>
    <row r="985" spans="1:26" ht="21.75" x14ac:dyDescent="0.55000000000000004">
      <c r="A985" s="280"/>
      <c r="B985" s="230"/>
      <c r="C985" s="281"/>
      <c r="D985" s="281"/>
      <c r="E985" s="281"/>
      <c r="F985" s="282"/>
      <c r="G985" s="282"/>
      <c r="H985" s="230"/>
      <c r="I985" s="230"/>
      <c r="J985" s="230"/>
      <c r="K985" s="230"/>
      <c r="L985" s="230"/>
      <c r="M985" s="230"/>
      <c r="N985" s="230"/>
      <c r="O985" s="230"/>
      <c r="P985" s="230"/>
      <c r="Q985" s="230"/>
      <c r="R985" s="230"/>
      <c r="S985" s="230"/>
      <c r="T985" s="230"/>
      <c r="U985" s="230"/>
      <c r="V985" s="230"/>
      <c r="W985" s="230"/>
      <c r="X985" s="230"/>
      <c r="Y985" s="230"/>
      <c r="Z985" s="230"/>
    </row>
    <row r="986" spans="1:26" ht="21.75" x14ac:dyDescent="0.55000000000000004">
      <c r="A986" s="280"/>
      <c r="B986" s="230"/>
      <c r="C986" s="281"/>
      <c r="D986" s="281"/>
      <c r="E986" s="281"/>
      <c r="F986" s="282"/>
      <c r="G986" s="282"/>
      <c r="H986" s="230"/>
      <c r="I986" s="230"/>
      <c r="J986" s="230"/>
      <c r="K986" s="230"/>
      <c r="L986" s="230"/>
      <c r="M986" s="230"/>
      <c r="N986" s="230"/>
      <c r="O986" s="230"/>
      <c r="P986" s="230"/>
      <c r="Q986" s="230"/>
      <c r="R986" s="230"/>
      <c r="S986" s="230"/>
      <c r="T986" s="230"/>
      <c r="U986" s="230"/>
      <c r="V986" s="230"/>
      <c r="W986" s="230"/>
      <c r="X986" s="230"/>
      <c r="Y986" s="230"/>
      <c r="Z986" s="230"/>
    </row>
    <row r="987" spans="1:26" ht="21.75" x14ac:dyDescent="0.55000000000000004">
      <c r="A987" s="280"/>
      <c r="B987" s="230"/>
      <c r="C987" s="281"/>
      <c r="D987" s="281"/>
      <c r="E987" s="281"/>
      <c r="F987" s="282"/>
      <c r="G987" s="282"/>
      <c r="H987" s="230"/>
      <c r="I987" s="230"/>
      <c r="J987" s="230"/>
      <c r="K987" s="230"/>
      <c r="L987" s="230"/>
      <c r="M987" s="230"/>
      <c r="N987" s="230"/>
      <c r="O987" s="230"/>
      <c r="P987" s="230"/>
      <c r="Q987" s="230"/>
      <c r="R987" s="230"/>
      <c r="S987" s="230"/>
      <c r="T987" s="230"/>
      <c r="U987" s="230"/>
      <c r="V987" s="230"/>
      <c r="W987" s="230"/>
      <c r="X987" s="230"/>
      <c r="Y987" s="230"/>
      <c r="Z987" s="230"/>
    </row>
    <row r="988" spans="1:26" ht="21.75" x14ac:dyDescent="0.55000000000000004">
      <c r="A988" s="280"/>
      <c r="B988" s="230"/>
      <c r="C988" s="281"/>
      <c r="D988" s="281"/>
      <c r="E988" s="281"/>
      <c r="F988" s="282"/>
      <c r="G988" s="282"/>
      <c r="H988" s="230"/>
      <c r="I988" s="230"/>
      <c r="J988" s="230"/>
      <c r="K988" s="230"/>
      <c r="L988" s="230"/>
      <c r="M988" s="230"/>
      <c r="N988" s="230"/>
      <c r="O988" s="230"/>
      <c r="P988" s="230"/>
      <c r="Q988" s="230"/>
      <c r="R988" s="230"/>
      <c r="S988" s="230"/>
      <c r="T988" s="230"/>
      <c r="U988" s="230"/>
      <c r="V988" s="230"/>
      <c r="W988" s="230"/>
      <c r="X988" s="230"/>
      <c r="Y988" s="230"/>
      <c r="Z988" s="230"/>
    </row>
    <row r="989" spans="1:26" ht="21.75" x14ac:dyDescent="0.55000000000000004">
      <c r="A989" s="280"/>
      <c r="B989" s="230"/>
      <c r="C989" s="281"/>
      <c r="D989" s="281"/>
      <c r="E989" s="281"/>
      <c r="F989" s="282"/>
      <c r="G989" s="282"/>
      <c r="H989" s="230"/>
      <c r="I989" s="230"/>
      <c r="J989" s="230"/>
      <c r="K989" s="230"/>
      <c r="L989" s="230"/>
      <c r="M989" s="230"/>
      <c r="N989" s="230"/>
      <c r="O989" s="230"/>
      <c r="P989" s="230"/>
      <c r="Q989" s="230"/>
      <c r="R989" s="230"/>
      <c r="S989" s="230"/>
      <c r="T989" s="230"/>
      <c r="U989" s="230"/>
      <c r="V989" s="230"/>
      <c r="W989" s="230"/>
      <c r="X989" s="230"/>
      <c r="Y989" s="230"/>
      <c r="Z989" s="230"/>
    </row>
    <row r="990" spans="1:26" ht="21.75" x14ac:dyDescent="0.55000000000000004">
      <c r="A990" s="280"/>
      <c r="B990" s="230"/>
      <c r="C990" s="281"/>
      <c r="D990" s="281"/>
      <c r="E990" s="281"/>
      <c r="F990" s="282"/>
      <c r="G990" s="282"/>
      <c r="H990" s="230"/>
      <c r="I990" s="230"/>
      <c r="J990" s="230"/>
      <c r="K990" s="230"/>
      <c r="L990" s="230"/>
      <c r="M990" s="230"/>
      <c r="N990" s="230"/>
      <c r="O990" s="230"/>
      <c r="P990" s="230"/>
      <c r="Q990" s="230"/>
      <c r="R990" s="230"/>
      <c r="S990" s="230"/>
      <c r="T990" s="230"/>
      <c r="U990" s="230"/>
      <c r="V990" s="230"/>
      <c r="W990" s="230"/>
      <c r="X990" s="230"/>
      <c r="Y990" s="230"/>
      <c r="Z990" s="230"/>
    </row>
    <row r="991" spans="1:26" ht="21.75" x14ac:dyDescent="0.55000000000000004">
      <c r="A991" s="280"/>
      <c r="B991" s="230"/>
      <c r="C991" s="281"/>
      <c r="D991" s="281"/>
      <c r="E991" s="281"/>
      <c r="F991" s="282"/>
      <c r="G991" s="282"/>
      <c r="H991" s="230"/>
      <c r="I991" s="230"/>
      <c r="J991" s="230"/>
      <c r="K991" s="230"/>
      <c r="L991" s="230"/>
      <c r="M991" s="230"/>
      <c r="N991" s="230"/>
      <c r="O991" s="230"/>
      <c r="P991" s="230"/>
      <c r="Q991" s="230"/>
      <c r="R991" s="230"/>
      <c r="S991" s="230"/>
      <c r="T991" s="230"/>
      <c r="U991" s="230"/>
      <c r="V991" s="230"/>
      <c r="W991" s="230"/>
      <c r="X991" s="230"/>
      <c r="Y991" s="230"/>
      <c r="Z991" s="230"/>
    </row>
    <row r="992" spans="1:26" ht="21.75" x14ac:dyDescent="0.55000000000000004">
      <c r="A992" s="280"/>
      <c r="B992" s="230"/>
      <c r="C992" s="281"/>
      <c r="D992" s="281"/>
      <c r="E992" s="281"/>
      <c r="F992" s="282"/>
      <c r="G992" s="282"/>
      <c r="H992" s="230"/>
      <c r="I992" s="230"/>
      <c r="J992" s="230"/>
      <c r="K992" s="230"/>
      <c r="L992" s="230"/>
      <c r="M992" s="230"/>
      <c r="N992" s="230"/>
      <c r="O992" s="230"/>
      <c r="P992" s="230"/>
      <c r="Q992" s="230"/>
      <c r="R992" s="230"/>
      <c r="S992" s="230"/>
      <c r="T992" s="230"/>
      <c r="U992" s="230"/>
      <c r="V992" s="230"/>
      <c r="W992" s="230"/>
      <c r="X992" s="230"/>
      <c r="Y992" s="230"/>
      <c r="Z992" s="230"/>
    </row>
    <row r="993" spans="1:26" ht="21.75" x14ac:dyDescent="0.55000000000000004">
      <c r="A993" s="280"/>
      <c r="B993" s="230"/>
      <c r="C993" s="281"/>
      <c r="D993" s="281"/>
      <c r="E993" s="281"/>
      <c r="F993" s="282"/>
      <c r="G993" s="282"/>
      <c r="H993" s="230"/>
      <c r="I993" s="230"/>
      <c r="J993" s="230"/>
      <c r="K993" s="230"/>
      <c r="L993" s="230"/>
      <c r="M993" s="230"/>
      <c r="N993" s="230"/>
      <c r="O993" s="230"/>
      <c r="P993" s="230"/>
      <c r="Q993" s="230"/>
      <c r="R993" s="230"/>
      <c r="S993" s="230"/>
      <c r="T993" s="230"/>
      <c r="U993" s="230"/>
      <c r="V993" s="230"/>
      <c r="W993" s="230"/>
      <c r="X993" s="230"/>
      <c r="Y993" s="230"/>
      <c r="Z993" s="230"/>
    </row>
    <row r="994" spans="1:26" ht="21.75" x14ac:dyDescent="0.55000000000000004">
      <c r="A994" s="280"/>
      <c r="B994" s="230"/>
      <c r="C994" s="281"/>
      <c r="D994" s="281"/>
      <c r="E994" s="281"/>
      <c r="F994" s="282"/>
      <c r="G994" s="282"/>
      <c r="H994" s="230"/>
      <c r="I994" s="230"/>
      <c r="J994" s="230"/>
      <c r="K994" s="230"/>
      <c r="L994" s="230"/>
      <c r="M994" s="230"/>
      <c r="N994" s="230"/>
      <c r="O994" s="230"/>
      <c r="P994" s="230"/>
      <c r="Q994" s="230"/>
      <c r="R994" s="230"/>
      <c r="S994" s="230"/>
      <c r="T994" s="230"/>
      <c r="U994" s="230"/>
      <c r="V994" s="230"/>
      <c r="W994" s="230"/>
      <c r="X994" s="230"/>
      <c r="Y994" s="230"/>
      <c r="Z994" s="230"/>
    </row>
    <row r="995" spans="1:26" ht="21.75" x14ac:dyDescent="0.55000000000000004">
      <c r="A995" s="280"/>
      <c r="B995" s="230"/>
      <c r="C995" s="281"/>
      <c r="D995" s="281"/>
      <c r="E995" s="281"/>
      <c r="F995" s="282"/>
      <c r="G995" s="282"/>
      <c r="H995" s="230"/>
      <c r="I995" s="230"/>
      <c r="J995" s="230"/>
      <c r="K995" s="230"/>
      <c r="L995" s="230"/>
      <c r="M995" s="230"/>
      <c r="N995" s="230"/>
      <c r="O995" s="230"/>
      <c r="P995" s="230"/>
      <c r="Q995" s="230"/>
      <c r="R995" s="230"/>
      <c r="S995" s="230"/>
      <c r="T995" s="230"/>
      <c r="U995" s="230"/>
      <c r="V995" s="230"/>
      <c r="W995" s="230"/>
      <c r="X995" s="230"/>
      <c r="Y995" s="230"/>
      <c r="Z995" s="230"/>
    </row>
    <row r="996" spans="1:26" ht="21.75" x14ac:dyDescent="0.55000000000000004">
      <c r="A996" s="280"/>
      <c r="B996" s="230"/>
      <c r="C996" s="281"/>
      <c r="D996" s="281"/>
      <c r="E996" s="281"/>
      <c r="F996" s="282"/>
      <c r="G996" s="282"/>
      <c r="H996" s="230"/>
      <c r="I996" s="230"/>
      <c r="J996" s="230"/>
      <c r="K996" s="230"/>
      <c r="L996" s="230"/>
      <c r="M996" s="230"/>
      <c r="N996" s="230"/>
      <c r="O996" s="230"/>
      <c r="P996" s="230"/>
      <c r="Q996" s="230"/>
      <c r="R996" s="230"/>
      <c r="S996" s="230"/>
      <c r="T996" s="230"/>
      <c r="U996" s="230"/>
      <c r="V996" s="230"/>
      <c r="W996" s="230"/>
      <c r="X996" s="230"/>
      <c r="Y996" s="230"/>
      <c r="Z996" s="230"/>
    </row>
    <row r="997" spans="1:26" ht="21.75" x14ac:dyDescent="0.55000000000000004">
      <c r="A997" s="280"/>
      <c r="B997" s="230"/>
      <c r="C997" s="281"/>
      <c r="D997" s="281"/>
      <c r="E997" s="281"/>
      <c r="F997" s="282"/>
      <c r="G997" s="282"/>
      <c r="H997" s="230"/>
      <c r="I997" s="230"/>
      <c r="J997" s="230"/>
      <c r="K997" s="230"/>
      <c r="L997" s="230"/>
      <c r="M997" s="230"/>
      <c r="N997" s="230"/>
      <c r="O997" s="230"/>
      <c r="P997" s="230"/>
      <c r="Q997" s="230"/>
      <c r="R997" s="230"/>
      <c r="S997" s="230"/>
      <c r="T997" s="230"/>
      <c r="U997" s="230"/>
      <c r="V997" s="230"/>
      <c r="W997" s="230"/>
      <c r="X997" s="230"/>
      <c r="Y997" s="230"/>
      <c r="Z997" s="230"/>
    </row>
    <row r="998" spans="1:26" ht="21.75" x14ac:dyDescent="0.55000000000000004">
      <c r="A998" s="280"/>
      <c r="B998" s="230"/>
      <c r="C998" s="281"/>
      <c r="D998" s="281"/>
      <c r="E998" s="281"/>
      <c r="F998" s="282"/>
      <c r="G998" s="282"/>
      <c r="H998" s="230"/>
      <c r="I998" s="230"/>
      <c r="J998" s="230"/>
      <c r="K998" s="230"/>
      <c r="L998" s="230"/>
      <c r="M998" s="230"/>
      <c r="N998" s="230"/>
      <c r="O998" s="230"/>
      <c r="P998" s="230"/>
      <c r="Q998" s="230"/>
      <c r="R998" s="230"/>
      <c r="S998" s="230"/>
      <c r="T998" s="230"/>
      <c r="U998" s="230"/>
      <c r="V998" s="230"/>
      <c r="W998" s="230"/>
      <c r="X998" s="230"/>
      <c r="Y998" s="230"/>
      <c r="Z998" s="230"/>
    </row>
    <row r="999" spans="1:26" ht="21.75" x14ac:dyDescent="0.55000000000000004">
      <c r="A999" s="280"/>
      <c r="B999" s="230"/>
      <c r="C999" s="281"/>
      <c r="D999" s="281"/>
      <c r="E999" s="281"/>
      <c r="F999" s="282"/>
      <c r="G999" s="282"/>
      <c r="H999" s="230"/>
      <c r="I999" s="230"/>
      <c r="J999" s="230"/>
      <c r="K999" s="230"/>
      <c r="L999" s="230"/>
      <c r="M999" s="230"/>
      <c r="N999" s="230"/>
      <c r="O999" s="230"/>
      <c r="P999" s="230"/>
      <c r="Q999" s="230"/>
      <c r="R999" s="230"/>
      <c r="S999" s="230"/>
      <c r="T999" s="230"/>
      <c r="U999" s="230"/>
      <c r="V999" s="230"/>
      <c r="W999" s="230"/>
      <c r="X999" s="230"/>
      <c r="Y999" s="230"/>
      <c r="Z999" s="230"/>
    </row>
    <row r="1000" spans="1:26" ht="21.75" x14ac:dyDescent="0.55000000000000004">
      <c r="A1000" s="280"/>
      <c r="B1000" s="230"/>
      <c r="C1000" s="281"/>
      <c r="D1000" s="281"/>
      <c r="E1000" s="281"/>
      <c r="F1000" s="282"/>
      <c r="G1000" s="282"/>
      <c r="H1000" s="230"/>
      <c r="I1000" s="230"/>
      <c r="J1000" s="230"/>
      <c r="K1000" s="230"/>
      <c r="L1000" s="230"/>
      <c r="M1000" s="230"/>
      <c r="N1000" s="230"/>
      <c r="O1000" s="230"/>
      <c r="P1000" s="230"/>
      <c r="Q1000" s="230"/>
      <c r="R1000" s="230"/>
      <c r="S1000" s="230"/>
      <c r="T1000" s="230"/>
      <c r="U1000" s="230"/>
      <c r="V1000" s="230"/>
      <c r="W1000" s="230"/>
      <c r="X1000" s="230"/>
      <c r="Y1000" s="230"/>
      <c r="Z1000" s="230"/>
    </row>
    <row r="1001" spans="1:26" ht="21.75" x14ac:dyDescent="0.55000000000000004">
      <c r="A1001" s="280"/>
      <c r="B1001" s="230"/>
      <c r="C1001" s="281"/>
      <c r="D1001" s="281"/>
      <c r="E1001" s="281"/>
      <c r="F1001" s="282"/>
      <c r="G1001" s="282"/>
      <c r="H1001" s="230"/>
      <c r="I1001" s="230"/>
      <c r="J1001" s="230"/>
      <c r="K1001" s="230"/>
      <c r="L1001" s="230"/>
      <c r="M1001" s="230"/>
      <c r="N1001" s="230"/>
      <c r="O1001" s="230"/>
      <c r="P1001" s="230"/>
      <c r="Q1001" s="230"/>
      <c r="R1001" s="230"/>
      <c r="S1001" s="230"/>
      <c r="T1001" s="230"/>
      <c r="U1001" s="230"/>
      <c r="V1001" s="230"/>
      <c r="W1001" s="230"/>
      <c r="X1001" s="230"/>
      <c r="Y1001" s="230"/>
      <c r="Z1001" s="230"/>
    </row>
    <row r="1002" spans="1:26" ht="21.75" x14ac:dyDescent="0.55000000000000004">
      <c r="A1002" s="280"/>
      <c r="B1002" s="230"/>
      <c r="C1002" s="281"/>
      <c r="D1002" s="281"/>
      <c r="E1002" s="281"/>
      <c r="F1002" s="282"/>
      <c r="G1002" s="282"/>
      <c r="H1002" s="230"/>
      <c r="I1002" s="230"/>
      <c r="J1002" s="230"/>
      <c r="K1002" s="230"/>
      <c r="L1002" s="230"/>
      <c r="M1002" s="230"/>
      <c r="N1002" s="230"/>
      <c r="O1002" s="230"/>
      <c r="P1002" s="230"/>
      <c r="Q1002" s="230"/>
      <c r="R1002" s="230"/>
      <c r="S1002" s="230"/>
      <c r="T1002" s="230"/>
      <c r="U1002" s="230"/>
      <c r="V1002" s="230"/>
      <c r="W1002" s="230"/>
      <c r="X1002" s="230"/>
      <c r="Y1002" s="230"/>
      <c r="Z1002" s="230"/>
    </row>
    <row r="1003" spans="1:26" ht="21.75" x14ac:dyDescent="0.55000000000000004">
      <c r="A1003" s="280"/>
      <c r="B1003" s="230"/>
      <c r="C1003" s="281"/>
      <c r="D1003" s="281"/>
      <c r="E1003" s="281"/>
      <c r="F1003" s="282"/>
      <c r="G1003" s="282"/>
      <c r="H1003" s="230"/>
      <c r="I1003" s="230"/>
      <c r="J1003" s="230"/>
      <c r="K1003" s="230"/>
      <c r="L1003" s="230"/>
      <c r="M1003" s="230"/>
      <c r="N1003" s="230"/>
      <c r="O1003" s="230"/>
      <c r="P1003" s="230"/>
      <c r="Q1003" s="230"/>
      <c r="R1003" s="230"/>
      <c r="S1003" s="230"/>
      <c r="T1003" s="230"/>
      <c r="U1003" s="230"/>
      <c r="V1003" s="230"/>
      <c r="W1003" s="230"/>
      <c r="X1003" s="230"/>
      <c r="Y1003" s="230"/>
      <c r="Z1003" s="230"/>
    </row>
    <row r="1004" spans="1:26" ht="21.75" x14ac:dyDescent="0.55000000000000004">
      <c r="A1004" s="280"/>
      <c r="B1004" s="230"/>
      <c r="C1004" s="281"/>
      <c r="D1004" s="281"/>
      <c r="E1004" s="281"/>
      <c r="F1004" s="282"/>
      <c r="G1004" s="282"/>
      <c r="H1004" s="230"/>
      <c r="I1004" s="230"/>
      <c r="J1004" s="230"/>
      <c r="K1004" s="230"/>
      <c r="L1004" s="230"/>
      <c r="M1004" s="230"/>
      <c r="N1004" s="230"/>
      <c r="O1004" s="230"/>
      <c r="P1004" s="230"/>
      <c r="Q1004" s="230"/>
      <c r="R1004" s="230"/>
      <c r="S1004" s="230"/>
      <c r="T1004" s="230"/>
      <c r="U1004" s="230"/>
      <c r="V1004" s="230"/>
      <c r="W1004" s="230"/>
      <c r="X1004" s="230"/>
      <c r="Y1004" s="230"/>
      <c r="Z1004" s="230"/>
    </row>
    <row r="1005" spans="1:26" ht="21.75" x14ac:dyDescent="0.55000000000000004">
      <c r="A1005" s="280"/>
      <c r="B1005" s="230"/>
      <c r="C1005" s="281"/>
      <c r="D1005" s="281"/>
      <c r="E1005" s="281"/>
      <c r="F1005" s="282"/>
      <c r="G1005" s="282"/>
      <c r="H1005" s="230"/>
      <c r="I1005" s="230"/>
      <c r="J1005" s="230"/>
      <c r="K1005" s="230"/>
      <c r="L1005" s="230"/>
      <c r="M1005" s="230"/>
      <c r="N1005" s="230"/>
      <c r="O1005" s="230"/>
      <c r="P1005" s="230"/>
      <c r="Q1005" s="230"/>
      <c r="R1005" s="230"/>
      <c r="S1005" s="230"/>
      <c r="T1005" s="230"/>
      <c r="U1005" s="230"/>
      <c r="V1005" s="230"/>
      <c r="W1005" s="230"/>
      <c r="X1005" s="230"/>
      <c r="Y1005" s="230"/>
      <c r="Z1005" s="230"/>
    </row>
    <row r="1006" spans="1:26" ht="21.75" x14ac:dyDescent="0.55000000000000004">
      <c r="A1006" s="280"/>
      <c r="B1006" s="230"/>
      <c r="C1006" s="281"/>
      <c r="D1006" s="281"/>
      <c r="E1006" s="281"/>
      <c r="F1006" s="282"/>
      <c r="G1006" s="282"/>
      <c r="H1006" s="230"/>
      <c r="I1006" s="230"/>
      <c r="J1006" s="230"/>
      <c r="K1006" s="230"/>
      <c r="L1006" s="230"/>
      <c r="M1006" s="230"/>
      <c r="N1006" s="230"/>
      <c r="O1006" s="230"/>
      <c r="P1006" s="230"/>
      <c r="Q1006" s="230"/>
      <c r="R1006" s="230"/>
      <c r="S1006" s="230"/>
      <c r="T1006" s="230"/>
      <c r="U1006" s="230"/>
      <c r="V1006" s="230"/>
      <c r="W1006" s="230"/>
      <c r="X1006" s="230"/>
      <c r="Y1006" s="230"/>
      <c r="Z1006" s="230"/>
    </row>
    <row r="1007" spans="1:26" ht="21.75" x14ac:dyDescent="0.55000000000000004">
      <c r="A1007" s="280"/>
      <c r="B1007" s="230"/>
      <c r="C1007" s="281"/>
      <c r="D1007" s="281"/>
      <c r="E1007" s="281"/>
      <c r="F1007" s="282"/>
      <c r="G1007" s="282"/>
      <c r="H1007" s="230"/>
      <c r="I1007" s="230"/>
      <c r="J1007" s="230"/>
      <c r="K1007" s="230"/>
      <c r="L1007" s="230"/>
      <c r="M1007" s="230"/>
      <c r="N1007" s="230"/>
      <c r="O1007" s="230"/>
      <c r="P1007" s="230"/>
      <c r="Q1007" s="230"/>
      <c r="R1007" s="230"/>
      <c r="S1007" s="230"/>
      <c r="T1007" s="230"/>
      <c r="U1007" s="230"/>
      <c r="V1007" s="230"/>
      <c r="W1007" s="230"/>
      <c r="X1007" s="230"/>
      <c r="Y1007" s="230"/>
      <c r="Z1007" s="230"/>
    </row>
    <row r="1008" spans="1:26" ht="21.75" x14ac:dyDescent="0.55000000000000004">
      <c r="A1008" s="280"/>
      <c r="B1008" s="230"/>
      <c r="C1008" s="281"/>
      <c r="D1008" s="281"/>
      <c r="E1008" s="281"/>
      <c r="F1008" s="282"/>
      <c r="G1008" s="282"/>
      <c r="H1008" s="230"/>
      <c r="I1008" s="230"/>
      <c r="J1008" s="230"/>
      <c r="K1008" s="230"/>
      <c r="L1008" s="230"/>
      <c r="M1008" s="230"/>
      <c r="N1008" s="230"/>
      <c r="O1008" s="230"/>
      <c r="P1008" s="230"/>
      <c r="Q1008" s="230"/>
      <c r="R1008" s="230"/>
      <c r="S1008" s="230"/>
      <c r="T1008" s="230"/>
      <c r="U1008" s="230"/>
      <c r="V1008" s="230"/>
      <c r="W1008" s="230"/>
      <c r="X1008" s="230"/>
      <c r="Y1008" s="230"/>
      <c r="Z1008" s="230"/>
    </row>
    <row r="1009" spans="1:26" ht="21.75" x14ac:dyDescent="0.55000000000000004">
      <c r="A1009" s="280"/>
      <c r="B1009" s="230"/>
      <c r="C1009" s="281"/>
      <c r="D1009" s="281"/>
      <c r="E1009" s="281"/>
      <c r="F1009" s="282"/>
      <c r="G1009" s="282"/>
      <c r="H1009" s="230"/>
      <c r="I1009" s="230"/>
      <c r="J1009" s="230"/>
      <c r="K1009" s="230"/>
      <c r="L1009" s="230"/>
      <c r="M1009" s="230"/>
      <c r="N1009" s="230"/>
      <c r="O1009" s="230"/>
      <c r="P1009" s="230"/>
      <c r="Q1009" s="230"/>
      <c r="R1009" s="230"/>
      <c r="S1009" s="230"/>
      <c r="T1009" s="230"/>
      <c r="U1009" s="230"/>
      <c r="V1009" s="230"/>
      <c r="W1009" s="230"/>
      <c r="X1009" s="230"/>
      <c r="Y1009" s="230"/>
      <c r="Z1009" s="230"/>
    </row>
    <row r="1010" spans="1:26" ht="21.75" x14ac:dyDescent="0.55000000000000004">
      <c r="A1010" s="280"/>
      <c r="B1010" s="230"/>
      <c r="C1010" s="281"/>
      <c r="D1010" s="281"/>
      <c r="E1010" s="281"/>
      <c r="F1010" s="282"/>
      <c r="G1010" s="282"/>
      <c r="H1010" s="230"/>
      <c r="I1010" s="230"/>
      <c r="J1010" s="230"/>
      <c r="K1010" s="230"/>
      <c r="L1010" s="230"/>
      <c r="M1010" s="230"/>
      <c r="N1010" s="230"/>
      <c r="O1010" s="230"/>
      <c r="P1010" s="230"/>
      <c r="Q1010" s="230"/>
      <c r="R1010" s="230"/>
      <c r="S1010" s="230"/>
      <c r="T1010" s="230"/>
      <c r="U1010" s="230"/>
      <c r="V1010" s="230"/>
      <c r="W1010" s="230"/>
      <c r="X1010" s="230"/>
      <c r="Y1010" s="230"/>
      <c r="Z1010" s="230"/>
    </row>
    <row r="1011" spans="1:26" ht="21.75" x14ac:dyDescent="0.55000000000000004">
      <c r="A1011" s="280"/>
      <c r="B1011" s="230"/>
      <c r="C1011" s="281"/>
      <c r="D1011" s="281"/>
      <c r="E1011" s="281"/>
      <c r="F1011" s="282"/>
      <c r="G1011" s="282"/>
      <c r="H1011" s="230"/>
      <c r="I1011" s="230"/>
      <c r="J1011" s="230"/>
      <c r="K1011" s="230"/>
      <c r="L1011" s="230"/>
      <c r="M1011" s="230"/>
      <c r="N1011" s="230"/>
      <c r="O1011" s="230"/>
      <c r="P1011" s="230"/>
      <c r="Q1011" s="230"/>
      <c r="R1011" s="230"/>
      <c r="S1011" s="230"/>
      <c r="T1011" s="230"/>
      <c r="U1011" s="230"/>
      <c r="V1011" s="230"/>
      <c r="W1011" s="230"/>
      <c r="X1011" s="230"/>
      <c r="Y1011" s="230"/>
      <c r="Z1011" s="230"/>
    </row>
    <row r="1012" spans="1:26" ht="21.75" x14ac:dyDescent="0.55000000000000004">
      <c r="A1012" s="280"/>
      <c r="B1012" s="230"/>
      <c r="C1012" s="281"/>
      <c r="D1012" s="281"/>
      <c r="E1012" s="281"/>
      <c r="F1012" s="282"/>
      <c r="G1012" s="282"/>
      <c r="H1012" s="230"/>
      <c r="I1012" s="230"/>
      <c r="J1012" s="230"/>
      <c r="K1012" s="230"/>
      <c r="L1012" s="230"/>
      <c r="M1012" s="230"/>
      <c r="N1012" s="230"/>
      <c r="O1012" s="230"/>
      <c r="P1012" s="230"/>
      <c r="Q1012" s="230"/>
      <c r="R1012" s="230"/>
      <c r="S1012" s="230"/>
      <c r="T1012" s="230"/>
      <c r="U1012" s="230"/>
      <c r="V1012" s="230"/>
      <c r="W1012" s="230"/>
      <c r="X1012" s="230"/>
      <c r="Y1012" s="230"/>
      <c r="Z1012" s="230"/>
    </row>
    <row r="1013" spans="1:26" ht="21.75" x14ac:dyDescent="0.55000000000000004">
      <c r="A1013" s="280"/>
      <c r="B1013" s="230"/>
      <c r="C1013" s="281"/>
      <c r="D1013" s="281"/>
      <c r="E1013" s="281"/>
      <c r="F1013" s="282"/>
      <c r="G1013" s="282"/>
      <c r="H1013" s="230"/>
      <c r="I1013" s="230"/>
      <c r="J1013" s="230"/>
      <c r="K1013" s="230"/>
      <c r="L1013" s="230"/>
      <c r="M1013" s="230"/>
      <c r="N1013" s="230"/>
      <c r="O1013" s="230"/>
      <c r="P1013" s="230"/>
      <c r="Q1013" s="230"/>
      <c r="R1013" s="230"/>
      <c r="S1013" s="230"/>
      <c r="T1013" s="230"/>
      <c r="U1013" s="230"/>
      <c r="V1013" s="230"/>
      <c r="W1013" s="230"/>
      <c r="X1013" s="230"/>
      <c r="Y1013" s="230"/>
      <c r="Z1013" s="230"/>
    </row>
    <row r="1014" spans="1:26" ht="21.75" x14ac:dyDescent="0.55000000000000004">
      <c r="A1014" s="280"/>
      <c r="B1014" s="230"/>
      <c r="C1014" s="281"/>
      <c r="D1014" s="281"/>
      <c r="E1014" s="281"/>
      <c r="F1014" s="282"/>
      <c r="G1014" s="282"/>
      <c r="H1014" s="230"/>
      <c r="I1014" s="230"/>
      <c r="J1014" s="230"/>
      <c r="K1014" s="230"/>
      <c r="L1014" s="230"/>
      <c r="M1014" s="230"/>
      <c r="N1014" s="230"/>
      <c r="O1014" s="230"/>
      <c r="P1014" s="230"/>
      <c r="Q1014" s="230"/>
      <c r="R1014" s="230"/>
      <c r="S1014" s="230"/>
      <c r="T1014" s="230"/>
      <c r="U1014" s="230"/>
      <c r="V1014" s="230"/>
      <c r="W1014" s="230"/>
      <c r="X1014" s="230"/>
      <c r="Y1014" s="230"/>
      <c r="Z1014" s="230"/>
    </row>
    <row r="1015" spans="1:26" ht="21.75" x14ac:dyDescent="0.55000000000000004">
      <c r="A1015" s="280"/>
      <c r="B1015" s="230"/>
      <c r="C1015" s="281"/>
      <c r="D1015" s="281"/>
      <c r="E1015" s="281"/>
      <c r="F1015" s="282"/>
      <c r="G1015" s="282"/>
      <c r="H1015" s="230"/>
      <c r="I1015" s="230"/>
      <c r="J1015" s="230"/>
      <c r="K1015" s="230"/>
      <c r="L1015" s="230"/>
      <c r="M1015" s="230"/>
      <c r="N1015" s="230"/>
      <c r="O1015" s="230"/>
      <c r="P1015" s="230"/>
      <c r="Q1015" s="230"/>
      <c r="R1015" s="230"/>
      <c r="S1015" s="230"/>
      <c r="T1015" s="230"/>
      <c r="U1015" s="230"/>
      <c r="V1015" s="230"/>
      <c r="W1015" s="230"/>
      <c r="X1015" s="230"/>
      <c r="Y1015" s="230"/>
      <c r="Z1015" s="230"/>
    </row>
    <row r="1016" spans="1:26" ht="21.75" x14ac:dyDescent="0.55000000000000004">
      <c r="A1016" s="280"/>
      <c r="B1016" s="230"/>
      <c r="C1016" s="281"/>
      <c r="D1016" s="281"/>
      <c r="E1016" s="281"/>
      <c r="F1016" s="282"/>
      <c r="G1016" s="282"/>
      <c r="H1016" s="230"/>
      <c r="I1016" s="230"/>
      <c r="J1016" s="230"/>
      <c r="K1016" s="230"/>
      <c r="L1016" s="230"/>
      <c r="M1016" s="230"/>
      <c r="N1016" s="230"/>
      <c r="O1016" s="230"/>
      <c r="P1016" s="230"/>
      <c r="Q1016" s="230"/>
      <c r="R1016" s="230"/>
      <c r="S1016" s="230"/>
      <c r="T1016" s="230"/>
      <c r="U1016" s="230"/>
      <c r="V1016" s="230"/>
      <c r="W1016" s="230"/>
      <c r="X1016" s="230"/>
      <c r="Y1016" s="230"/>
      <c r="Z1016" s="230"/>
    </row>
    <row r="1017" spans="1:26" ht="21.75" x14ac:dyDescent="0.55000000000000004">
      <c r="A1017" s="280"/>
      <c r="B1017" s="230"/>
      <c r="C1017" s="281"/>
      <c r="D1017" s="281"/>
      <c r="E1017" s="281"/>
      <c r="F1017" s="282"/>
      <c r="G1017" s="282"/>
      <c r="H1017" s="230"/>
      <c r="I1017" s="230"/>
      <c r="J1017" s="230"/>
      <c r="K1017" s="230"/>
      <c r="L1017" s="230"/>
      <c r="M1017" s="230"/>
      <c r="N1017" s="230"/>
      <c r="O1017" s="230"/>
      <c r="P1017" s="230"/>
      <c r="Q1017" s="230"/>
      <c r="R1017" s="230"/>
      <c r="S1017" s="230"/>
      <c r="T1017" s="230"/>
      <c r="U1017" s="230"/>
      <c r="V1017" s="230"/>
      <c r="W1017" s="230"/>
      <c r="X1017" s="230"/>
      <c r="Y1017" s="230"/>
      <c r="Z1017" s="230"/>
    </row>
    <row r="1018" spans="1:26" ht="21.75" x14ac:dyDescent="0.55000000000000004">
      <c r="A1018" s="280"/>
      <c r="B1018" s="230"/>
      <c r="C1018" s="281"/>
      <c r="D1018" s="281"/>
      <c r="E1018" s="281"/>
      <c r="F1018" s="282"/>
      <c r="G1018" s="282"/>
      <c r="H1018" s="230"/>
      <c r="I1018" s="230"/>
      <c r="J1018" s="230"/>
      <c r="K1018" s="230"/>
      <c r="L1018" s="230"/>
      <c r="M1018" s="230"/>
      <c r="N1018" s="230"/>
      <c r="O1018" s="230"/>
      <c r="P1018" s="230"/>
      <c r="Q1018" s="230"/>
      <c r="R1018" s="230"/>
      <c r="S1018" s="230"/>
      <c r="T1018" s="230"/>
      <c r="U1018" s="230"/>
      <c r="V1018" s="230"/>
      <c r="W1018" s="230"/>
      <c r="X1018" s="230"/>
      <c r="Y1018" s="230"/>
      <c r="Z1018" s="230"/>
    </row>
    <row r="1019" spans="1:26" ht="21.75" x14ac:dyDescent="0.55000000000000004">
      <c r="A1019" s="280"/>
      <c r="B1019" s="230"/>
      <c r="C1019" s="281"/>
      <c r="D1019" s="281"/>
      <c r="E1019" s="281"/>
      <c r="F1019" s="282"/>
      <c r="G1019" s="282"/>
      <c r="H1019" s="230"/>
      <c r="I1019" s="230"/>
      <c r="J1019" s="230"/>
      <c r="K1019" s="230"/>
      <c r="L1019" s="230"/>
      <c r="M1019" s="230"/>
      <c r="N1019" s="230"/>
      <c r="O1019" s="230"/>
      <c r="P1019" s="230"/>
      <c r="Q1019" s="230"/>
      <c r="R1019" s="230"/>
      <c r="S1019" s="230"/>
      <c r="T1019" s="230"/>
      <c r="U1019" s="230"/>
      <c r="V1019" s="230"/>
      <c r="W1019" s="230"/>
      <c r="X1019" s="230"/>
      <c r="Y1019" s="230"/>
      <c r="Z1019" s="230"/>
    </row>
    <row r="1020" spans="1:26" ht="21.75" x14ac:dyDescent="0.55000000000000004">
      <c r="A1020" s="280"/>
      <c r="B1020" s="230"/>
      <c r="C1020" s="281"/>
      <c r="D1020" s="281"/>
      <c r="E1020" s="281"/>
      <c r="F1020" s="282"/>
      <c r="G1020" s="282"/>
      <c r="H1020" s="230"/>
      <c r="I1020" s="230"/>
      <c r="J1020" s="230"/>
      <c r="K1020" s="230"/>
      <c r="L1020" s="230"/>
      <c r="M1020" s="230"/>
      <c r="N1020" s="230"/>
      <c r="O1020" s="230"/>
      <c r="P1020" s="230"/>
      <c r="Q1020" s="230"/>
      <c r="R1020" s="230"/>
      <c r="S1020" s="230"/>
      <c r="T1020" s="230"/>
      <c r="U1020" s="230"/>
      <c r="V1020" s="230"/>
      <c r="W1020" s="230"/>
      <c r="X1020" s="230"/>
      <c r="Y1020" s="230"/>
      <c r="Z1020" s="230"/>
    </row>
    <row r="1021" spans="1:26" ht="21.75" x14ac:dyDescent="0.55000000000000004">
      <c r="A1021" s="280"/>
      <c r="B1021" s="230"/>
      <c r="C1021" s="281"/>
      <c r="D1021" s="281"/>
      <c r="E1021" s="281"/>
      <c r="F1021" s="282"/>
      <c r="G1021" s="282"/>
      <c r="H1021" s="230"/>
      <c r="I1021" s="230"/>
      <c r="J1021" s="230"/>
      <c r="K1021" s="230"/>
      <c r="L1021" s="230"/>
      <c r="M1021" s="230"/>
      <c r="N1021" s="230"/>
      <c r="O1021" s="230"/>
      <c r="P1021" s="230"/>
      <c r="Q1021" s="230"/>
      <c r="R1021" s="230"/>
      <c r="S1021" s="230"/>
      <c r="T1021" s="230"/>
      <c r="U1021" s="230"/>
      <c r="V1021" s="230"/>
      <c r="W1021" s="230"/>
      <c r="X1021" s="230"/>
      <c r="Y1021" s="230"/>
      <c r="Z1021" s="230"/>
    </row>
    <row r="1022" spans="1:26" ht="21.75" x14ac:dyDescent="0.55000000000000004">
      <c r="A1022" s="280"/>
      <c r="B1022" s="230"/>
      <c r="C1022" s="281"/>
      <c r="D1022" s="281"/>
      <c r="E1022" s="281"/>
      <c r="F1022" s="282"/>
      <c r="G1022" s="282"/>
      <c r="H1022" s="230"/>
      <c r="I1022" s="230"/>
      <c r="J1022" s="230"/>
      <c r="K1022" s="230"/>
      <c r="L1022" s="230"/>
      <c r="M1022" s="230"/>
      <c r="N1022" s="230"/>
      <c r="O1022" s="230"/>
      <c r="P1022" s="230"/>
      <c r="Q1022" s="230"/>
      <c r="R1022" s="230"/>
      <c r="S1022" s="230"/>
      <c r="T1022" s="230"/>
      <c r="U1022" s="230"/>
      <c r="V1022" s="230"/>
      <c r="W1022" s="230"/>
      <c r="X1022" s="230"/>
      <c r="Y1022" s="230"/>
      <c r="Z1022" s="230"/>
    </row>
    <row r="1023" spans="1:26" ht="21.75" x14ac:dyDescent="0.55000000000000004">
      <c r="A1023" s="280"/>
      <c r="B1023" s="230"/>
      <c r="C1023" s="281"/>
      <c r="D1023" s="281"/>
      <c r="E1023" s="281"/>
      <c r="F1023" s="282"/>
      <c r="G1023" s="282"/>
      <c r="H1023" s="230"/>
      <c r="I1023" s="230"/>
      <c r="J1023" s="230"/>
      <c r="K1023" s="230"/>
      <c r="L1023" s="230"/>
      <c r="M1023" s="230"/>
      <c r="N1023" s="230"/>
      <c r="O1023" s="230"/>
      <c r="P1023" s="230"/>
      <c r="Q1023" s="230"/>
      <c r="R1023" s="230"/>
      <c r="S1023" s="230"/>
      <c r="T1023" s="230"/>
      <c r="U1023" s="230"/>
      <c r="V1023" s="230"/>
      <c r="W1023" s="230"/>
      <c r="X1023" s="230"/>
      <c r="Y1023" s="230"/>
      <c r="Z1023" s="230"/>
    </row>
    <row r="1024" spans="1:26" ht="21.75" x14ac:dyDescent="0.55000000000000004">
      <c r="A1024" s="280"/>
      <c r="B1024" s="230"/>
      <c r="C1024" s="281"/>
      <c r="D1024" s="281"/>
      <c r="E1024" s="281"/>
      <c r="F1024" s="282"/>
      <c r="G1024" s="282"/>
      <c r="H1024" s="230"/>
      <c r="I1024" s="230"/>
      <c r="J1024" s="230"/>
      <c r="K1024" s="230"/>
      <c r="L1024" s="230"/>
      <c r="M1024" s="230"/>
      <c r="N1024" s="230"/>
      <c r="O1024" s="230"/>
      <c r="P1024" s="230"/>
      <c r="Q1024" s="230"/>
      <c r="R1024" s="230"/>
      <c r="S1024" s="230"/>
      <c r="T1024" s="230"/>
      <c r="U1024" s="230"/>
      <c r="V1024" s="230"/>
      <c r="W1024" s="230"/>
      <c r="X1024" s="230"/>
      <c r="Y1024" s="230"/>
      <c r="Z1024" s="230"/>
    </row>
    <row r="1025" spans="1:26" ht="21.75" x14ac:dyDescent="0.55000000000000004">
      <c r="A1025" s="280"/>
      <c r="B1025" s="230"/>
      <c r="C1025" s="281"/>
      <c r="D1025" s="281"/>
      <c r="E1025" s="281"/>
      <c r="F1025" s="282"/>
      <c r="G1025" s="282"/>
      <c r="H1025" s="230"/>
      <c r="I1025" s="230"/>
      <c r="J1025" s="230"/>
      <c r="K1025" s="230"/>
      <c r="L1025" s="230"/>
      <c r="M1025" s="230"/>
      <c r="N1025" s="230"/>
      <c r="O1025" s="230"/>
      <c r="P1025" s="230"/>
      <c r="Q1025" s="230"/>
      <c r="R1025" s="230"/>
      <c r="S1025" s="230"/>
      <c r="T1025" s="230"/>
      <c r="U1025" s="230"/>
      <c r="V1025" s="230"/>
      <c r="W1025" s="230"/>
      <c r="X1025" s="230"/>
      <c r="Y1025" s="230"/>
      <c r="Z1025" s="230"/>
    </row>
    <row r="1026" spans="1:26" ht="21.75" x14ac:dyDescent="0.55000000000000004">
      <c r="A1026" s="280"/>
      <c r="B1026" s="230"/>
      <c r="C1026" s="281"/>
      <c r="D1026" s="281"/>
      <c r="E1026" s="281"/>
      <c r="F1026" s="282"/>
      <c r="G1026" s="282"/>
      <c r="H1026" s="230"/>
      <c r="I1026" s="230"/>
      <c r="J1026" s="230"/>
      <c r="K1026" s="230"/>
      <c r="L1026" s="230"/>
      <c r="M1026" s="230"/>
      <c r="N1026" s="230"/>
      <c r="O1026" s="230"/>
      <c r="P1026" s="230"/>
      <c r="Q1026" s="230"/>
      <c r="R1026" s="230"/>
      <c r="S1026" s="230"/>
      <c r="T1026" s="230"/>
      <c r="U1026" s="230"/>
      <c r="V1026" s="230"/>
      <c r="W1026" s="230"/>
      <c r="X1026" s="230"/>
      <c r="Y1026" s="230"/>
      <c r="Z1026" s="230"/>
    </row>
  </sheetData>
  <mergeCells count="6">
    <mergeCell ref="A209:B209"/>
    <mergeCell ref="A1:G5"/>
    <mergeCell ref="B7:G7"/>
    <mergeCell ref="B8:G8"/>
    <mergeCell ref="B9:G9"/>
    <mergeCell ref="B10:G10"/>
  </mergeCells>
  <phoneticPr fontId="24" type="noConversion"/>
  <pageMargins left="0.51181102362204722" right="0.51181102362204722" top="0.78740157480314965" bottom="0.78740157480314965" header="0" footer="0"/>
  <pageSetup paperSize="9" scale="11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CANTEIRO</vt:lpstr>
      <vt:lpstr>EPCs</vt:lpstr>
      <vt:lpstr>CUSTOS_INDIRETOS</vt:lpstr>
      <vt:lpstr>Gerenciamento Executivo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dcterms:created xsi:type="dcterms:W3CDTF">2020-06-25T16:50:19Z</dcterms:created>
  <dcterms:modified xsi:type="dcterms:W3CDTF">2024-08-05T10:27:43Z</dcterms:modified>
</cp:coreProperties>
</file>