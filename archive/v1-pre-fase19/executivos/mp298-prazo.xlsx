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298\04. Custo\03.0 Custo - Orçamento Paramétrico\"/>
    </mc:Choice>
  </mc:AlternateContent>
  <xr:revisionPtr revIDLastSave="0" documentId="13_ncr:1_{01D82544-66A0-4D99-98EA-909B6EBB9EE8}" xr6:coauthVersionLast="47" xr6:coauthVersionMax="47" xr10:uidLastSave="{00000000-0000-0000-0000-000000000000}"/>
  <bookViews>
    <workbookView xWindow="-23148" yWindow="-48" windowWidth="23256" windowHeight="12456" xr2:uid="{7D576F2E-51A1-4758-9615-AD65E0C3CC56}"/>
  </bookViews>
  <sheets>
    <sheet name="PRAZO" sheetId="15" r:id="rId1"/>
    <sheet name="DISTRIBUIÇÃO CUSTO" sheetId="16" r:id="rId2"/>
    <sheet name="CURVA TEÓRICA" sheetId="13" r:id="rId3"/>
  </sheets>
  <definedNames>
    <definedName name="_xlnm._FilterDatabase" localSheetId="1" hidden="1">'DISTRIBUIÇÃO CUSTO'!$B$29:$E$31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P21" i="16" l="1"/>
  <c r="CQ21" i="16" s="1"/>
  <c r="CN21" i="16"/>
  <c r="CO21" i="16" s="1"/>
  <c r="CL21" i="16"/>
  <c r="CM21" i="16" s="1"/>
  <c r="CJ21" i="16"/>
  <c r="CK21" i="16" s="1"/>
  <c r="CH21" i="16"/>
  <c r="CI21" i="16" s="1"/>
  <c r="CF21" i="16"/>
  <c r="CG21" i="16" s="1"/>
  <c r="CD21" i="16"/>
  <c r="CE21" i="16" s="1"/>
  <c r="CB21" i="16"/>
  <c r="CC21" i="16" s="1"/>
  <c r="BZ21" i="16"/>
  <c r="CA21" i="16" s="1"/>
  <c r="BX21" i="16"/>
  <c r="BY21" i="16" s="1"/>
  <c r="BV21" i="16"/>
  <c r="BW21" i="16" s="1"/>
  <c r="BT21" i="16"/>
  <c r="BV22" i="16"/>
  <c r="BW22" i="16" s="1"/>
  <c r="BT22" i="16"/>
  <c r="BU22" i="16" s="1"/>
  <c r="BR22" i="16"/>
  <c r="BS22" i="16" s="1"/>
  <c r="BP22" i="16"/>
  <c r="BQ22" i="16" s="1"/>
  <c r="CQ22" i="16"/>
  <c r="CO22" i="16"/>
  <c r="CM22" i="16"/>
  <c r="CJ23" i="16"/>
  <c r="CK23" i="16" s="1"/>
  <c r="CH23" i="16"/>
  <c r="CI23" i="16" s="1"/>
  <c r="CG23" i="16"/>
  <c r="CF23" i="16"/>
  <c r="CD23" i="16"/>
  <c r="CE23" i="16" s="1"/>
  <c r="CB23" i="16"/>
  <c r="CC23" i="16" s="1"/>
  <c r="BZ23" i="16"/>
  <c r="CA23" i="16" s="1"/>
  <c r="BY23" i="16"/>
  <c r="BX23" i="16"/>
  <c r="BV23" i="16"/>
  <c r="BW23" i="16" s="1"/>
  <c r="BT23" i="16"/>
  <c r="BU23" i="16" s="1"/>
  <c r="BR23" i="16"/>
  <c r="BS23" i="16" s="1"/>
  <c r="BP23" i="16"/>
  <c r="BQ23" i="16" s="1"/>
  <c r="BN23" i="16"/>
  <c r="BO23" i="16" s="1"/>
  <c r="BL23" i="16"/>
  <c r="CQ15" i="16"/>
  <c r="CO15" i="16"/>
  <c r="CM15" i="16"/>
  <c r="CH15" i="16"/>
  <c r="CI15" i="16" s="1"/>
  <c r="CF15" i="16"/>
  <c r="CG15" i="16" s="1"/>
  <c r="CD15" i="16"/>
  <c r="CE15" i="16" s="1"/>
  <c r="CB15" i="16"/>
  <c r="CC15" i="16" s="1"/>
  <c r="BZ15" i="16"/>
  <c r="CA15" i="16" s="1"/>
  <c r="BX15" i="16"/>
  <c r="BY15" i="16" s="1"/>
  <c r="BW15" i="16"/>
  <c r="BV15" i="16"/>
  <c r="BT15" i="16"/>
  <c r="BU15" i="16" s="1"/>
  <c r="BS15" i="16"/>
  <c r="BR15" i="16"/>
  <c r="BP15" i="16"/>
  <c r="BQ15" i="16" s="1"/>
  <c r="BN15" i="16"/>
  <c r="BO15" i="16" s="1"/>
  <c r="BL15" i="16"/>
  <c r="F15" i="16" s="1"/>
  <c r="AJ19" i="16"/>
  <c r="CT24" i="16"/>
  <c r="CU24" i="16" s="1"/>
  <c r="CR24" i="16"/>
  <c r="CS24" i="16" s="1"/>
  <c r="CP24" i="16"/>
  <c r="CQ24" i="16" s="1"/>
  <c r="CN24" i="16"/>
  <c r="CO24" i="16" s="1"/>
  <c r="CM24" i="16"/>
  <c r="CL24" i="16"/>
  <c r="CJ24" i="16"/>
  <c r="CK24" i="16" s="1"/>
  <c r="CH24" i="16"/>
  <c r="CI24" i="16" s="1"/>
  <c r="CF24" i="16"/>
  <c r="CG24" i="16" s="1"/>
  <c r="CD24" i="16"/>
  <c r="CE24" i="16" s="1"/>
  <c r="CB24" i="16"/>
  <c r="F24" i="16" s="1"/>
  <c r="AL19" i="16"/>
  <c r="AM19" i="16" s="1"/>
  <c r="AN19" i="16"/>
  <c r="F19" i="16" s="1"/>
  <c r="AP19" i="16"/>
  <c r="AQ19" i="16" s="1"/>
  <c r="AR19" i="16"/>
  <c r="AS19" i="16"/>
  <c r="AT19" i="16"/>
  <c r="AU19" i="16" s="1"/>
  <c r="AV19" i="16"/>
  <c r="AW19" i="16" s="1"/>
  <c r="AX19" i="16"/>
  <c r="AY19" i="16" s="1"/>
  <c r="AZ19" i="16"/>
  <c r="BA19" i="16"/>
  <c r="BB19" i="16"/>
  <c r="BC19" i="16" s="1"/>
  <c r="BD19" i="16"/>
  <c r="BE19" i="16" s="1"/>
  <c r="BF19" i="16"/>
  <c r="BG19" i="16" s="1"/>
  <c r="BH19" i="16"/>
  <c r="BI19" i="16"/>
  <c r="BJ19" i="16"/>
  <c r="BK19" i="16"/>
  <c r="BL19" i="16"/>
  <c r="BM19" i="16"/>
  <c r="BN19" i="16"/>
  <c r="BO19" i="16"/>
  <c r="BP19" i="16"/>
  <c r="BQ19" i="16"/>
  <c r="BR19" i="16"/>
  <c r="BS19" i="16"/>
  <c r="BT19" i="16"/>
  <c r="BU19" i="16"/>
  <c r="BV19" i="16"/>
  <c r="BW19" i="16"/>
  <c r="BX19" i="16"/>
  <c r="BY19" i="16"/>
  <c r="BZ19" i="16"/>
  <c r="CA19" i="16"/>
  <c r="CB19" i="16"/>
  <c r="CC19" i="16"/>
  <c r="CD19" i="16"/>
  <c r="CE19" i="16"/>
  <c r="CM19" i="16"/>
  <c r="AH16" i="16"/>
  <c r="CT9" i="16"/>
  <c r="CU9" i="16" s="1"/>
  <c r="CR9" i="16"/>
  <c r="CS9" i="16" s="1"/>
  <c r="CP9" i="16"/>
  <c r="CQ9" i="16" s="1"/>
  <c r="CN9" i="16"/>
  <c r="CO9" i="16" s="1"/>
  <c r="CL9" i="16"/>
  <c r="CM9" i="16" s="1"/>
  <c r="CJ9" i="16"/>
  <c r="CK9" i="16" s="1"/>
  <c r="CH9" i="16"/>
  <c r="CI9" i="16" s="1"/>
  <c r="CF9" i="16"/>
  <c r="CG9" i="16" s="1"/>
  <c r="CD9" i="16"/>
  <c r="CE9" i="16" s="1"/>
  <c r="CB9" i="16"/>
  <c r="CC9" i="16" s="1"/>
  <c r="BZ9" i="16"/>
  <c r="CA9" i="16" s="1"/>
  <c r="BX9" i="16"/>
  <c r="BY9" i="16" s="1"/>
  <c r="BV9" i="16"/>
  <c r="BW9" i="16" s="1"/>
  <c r="BT9" i="16"/>
  <c r="BU9" i="16" s="1"/>
  <c r="BR9" i="16"/>
  <c r="BS9" i="16" s="1"/>
  <c r="BP9" i="16"/>
  <c r="BQ9" i="16" s="1"/>
  <c r="BN9" i="16"/>
  <c r="BO9" i="16" s="1"/>
  <c r="BL9" i="16"/>
  <c r="BM9" i="16" s="1"/>
  <c r="BJ9" i="16"/>
  <c r="BK9" i="16" s="1"/>
  <c r="BH9" i="16"/>
  <c r="BI9" i="16" s="1"/>
  <c r="BF9" i="16"/>
  <c r="BG9" i="16" s="1"/>
  <c r="BD9" i="16"/>
  <c r="BE9" i="16" s="1"/>
  <c r="BB9" i="16"/>
  <c r="BC9" i="16" s="1"/>
  <c r="AZ9" i="16"/>
  <c r="BA9" i="16" s="1"/>
  <c r="AX9" i="16"/>
  <c r="AY9" i="16" s="1"/>
  <c r="AV9" i="16"/>
  <c r="AW9" i="16" s="1"/>
  <c r="AT9" i="16"/>
  <c r="AU9" i="16" s="1"/>
  <c r="AR9" i="16"/>
  <c r="AS9" i="16" s="1"/>
  <c r="AP9" i="16"/>
  <c r="AQ9" i="16" s="1"/>
  <c r="AN9" i="16"/>
  <c r="AO9" i="16" s="1"/>
  <c r="AL9" i="16"/>
  <c r="AM9" i="16" s="1"/>
  <c r="AJ9" i="16"/>
  <c r="AK9" i="16" s="1"/>
  <c r="AH9" i="16"/>
  <c r="AI9" i="16" s="1"/>
  <c r="AF9" i="16"/>
  <c r="AG9" i="16" s="1"/>
  <c r="AD9" i="16"/>
  <c r="AE9" i="16" s="1"/>
  <c r="AB9" i="16"/>
  <c r="AC9" i="16" s="1"/>
  <c r="Z9" i="16"/>
  <c r="AA9" i="16" s="1"/>
  <c r="X9" i="16"/>
  <c r="Y9" i="16" s="1"/>
  <c r="V9" i="16"/>
  <c r="W9" i="16" s="1"/>
  <c r="T9" i="16"/>
  <c r="R9" i="16"/>
  <c r="P9" i="16"/>
  <c r="N9" i="16"/>
  <c r="L9" i="16"/>
  <c r="J9" i="16"/>
  <c r="H9" i="16"/>
  <c r="F9" i="16" s="1"/>
  <c r="F22" i="16"/>
  <c r="F21" i="16"/>
  <c r="AO19" i="16" l="1"/>
  <c r="F23" i="16"/>
  <c r="AN20" i="16"/>
  <c r="BZ18" i="16"/>
  <c r="CA18" i="16" s="1"/>
  <c r="BX18" i="16"/>
  <c r="BY18" i="16" s="1"/>
  <c r="BV18" i="16"/>
  <c r="BW18" i="16" s="1"/>
  <c r="BT18" i="16"/>
  <c r="BU18" i="16" s="1"/>
  <c r="BR18" i="16"/>
  <c r="BS18" i="16" s="1"/>
  <c r="BP18" i="16"/>
  <c r="BQ18" i="16" s="1"/>
  <c r="BN18" i="16"/>
  <c r="BO18" i="16" s="1"/>
  <c r="BL18" i="16"/>
  <c r="BM18" i="16" s="1"/>
  <c r="BJ18" i="16"/>
  <c r="BK18" i="16" s="1"/>
  <c r="BH18" i="16"/>
  <c r="BI18" i="16" s="1"/>
  <c r="BF18" i="16"/>
  <c r="BG18" i="16" s="1"/>
  <c r="BD18" i="16"/>
  <c r="BE18" i="16" s="1"/>
  <c r="BB18" i="16"/>
  <c r="BC18" i="16" s="1"/>
  <c r="AZ18" i="16"/>
  <c r="BA18" i="16" s="1"/>
  <c r="AX18" i="16"/>
  <c r="AY18" i="16" s="1"/>
  <c r="AV18" i="16"/>
  <c r="AW18" i="16" s="1"/>
  <c r="AT18" i="16"/>
  <c r="AU18" i="16" s="1"/>
  <c r="AR18" i="16"/>
  <c r="AS18" i="16" s="1"/>
  <c r="AP18" i="16"/>
  <c r="AQ18" i="16" s="1"/>
  <c r="AN18" i="16"/>
  <c r="AO18" i="16" s="1"/>
  <c r="AL18" i="16"/>
  <c r="BT17" i="16"/>
  <c r="BU17" i="16" s="1"/>
  <c r="BR17" i="16"/>
  <c r="BS17" i="16" s="1"/>
  <c r="BP17" i="16"/>
  <c r="BQ17" i="16" s="1"/>
  <c r="BN17" i="16"/>
  <c r="BO17" i="16" s="1"/>
  <c r="BL17" i="16"/>
  <c r="BM17" i="16" s="1"/>
  <c r="BJ17" i="16"/>
  <c r="BK17" i="16" s="1"/>
  <c r="BH17" i="16"/>
  <c r="BI17" i="16" s="1"/>
  <c r="BF17" i="16"/>
  <c r="BG17" i="16" s="1"/>
  <c r="BD17" i="16"/>
  <c r="BE17" i="16" s="1"/>
  <c r="BB17" i="16"/>
  <c r="BC17" i="16" s="1"/>
  <c r="AZ17" i="16"/>
  <c r="BA17" i="16" s="1"/>
  <c r="AX17" i="16"/>
  <c r="AY17" i="16" s="1"/>
  <c r="AV17" i="16"/>
  <c r="AW17" i="16" s="1"/>
  <c r="AT17" i="16"/>
  <c r="AU17" i="16" s="1"/>
  <c r="AR17" i="16"/>
  <c r="AS17" i="16" s="1"/>
  <c r="AP17" i="16"/>
  <c r="AQ17" i="16" s="1"/>
  <c r="AN17" i="16"/>
  <c r="AO17" i="16" s="1"/>
  <c r="AL17" i="16"/>
  <c r="AM17" i="16" s="1"/>
  <c r="AJ17" i="16"/>
  <c r="AK17" i="16" s="1"/>
  <c r="AH17" i="16"/>
  <c r="AI17" i="16" s="1"/>
  <c r="AF17" i="16"/>
  <c r="BV16" i="16"/>
  <c r="BW16" i="16" s="1"/>
  <c r="BT16" i="16"/>
  <c r="BU16" i="16" s="1"/>
  <c r="BR16" i="16"/>
  <c r="BS16" i="16" s="1"/>
  <c r="BP16" i="16"/>
  <c r="BQ16" i="16" s="1"/>
  <c r="BN16" i="16"/>
  <c r="BO16" i="16" s="1"/>
  <c r="BL16" i="16"/>
  <c r="BM16" i="16" s="1"/>
  <c r="BJ16" i="16"/>
  <c r="BK16" i="16" s="1"/>
  <c r="BH16" i="16"/>
  <c r="BI16" i="16" s="1"/>
  <c r="BF16" i="16"/>
  <c r="BG16" i="16" s="1"/>
  <c r="BD16" i="16"/>
  <c r="BE16" i="16" s="1"/>
  <c r="BB16" i="16"/>
  <c r="BC16" i="16" s="1"/>
  <c r="AZ16" i="16"/>
  <c r="BA16" i="16" s="1"/>
  <c r="AX16" i="16"/>
  <c r="AY16" i="16" s="1"/>
  <c r="AV16" i="16"/>
  <c r="AW16" i="16" s="1"/>
  <c r="AT16" i="16"/>
  <c r="AU16" i="16" s="1"/>
  <c r="AR16" i="16"/>
  <c r="AS16" i="16" s="1"/>
  <c r="AP16" i="16"/>
  <c r="AQ16" i="16" s="1"/>
  <c r="AN16" i="16"/>
  <c r="AO16" i="16" s="1"/>
  <c r="AL16" i="16"/>
  <c r="AM16" i="16" s="1"/>
  <c r="AJ16" i="16"/>
  <c r="BY16" i="16"/>
  <c r="CA16" i="16"/>
  <c r="CC16" i="16"/>
  <c r="CS15" i="16"/>
  <c r="BR14" i="16"/>
  <c r="BS14" i="16" s="1"/>
  <c r="BP14" i="16"/>
  <c r="BQ14" i="16" s="1"/>
  <c r="BN14" i="16"/>
  <c r="BO14" i="16" s="1"/>
  <c r="BM12" i="16"/>
  <c r="BY14" i="16"/>
  <c r="BW14" i="16"/>
  <c r="BU14" i="16"/>
  <c r="BY12" i="16"/>
  <c r="BW12" i="16"/>
  <c r="BU12" i="16"/>
  <c r="BS12" i="16"/>
  <c r="BQ12" i="16"/>
  <c r="BO12" i="16"/>
  <c r="BL14" i="16"/>
  <c r="BM14" i="16" s="1"/>
  <c r="BJ14" i="16"/>
  <c r="BK14" i="16" s="1"/>
  <c r="BH14" i="16"/>
  <c r="BI14" i="16" s="1"/>
  <c r="BF14" i="16"/>
  <c r="BG14" i="16" s="1"/>
  <c r="BD14" i="16"/>
  <c r="BE14" i="16" s="1"/>
  <c r="BB14" i="16"/>
  <c r="BC14" i="16" s="1"/>
  <c r="AZ14" i="16"/>
  <c r="BA14" i="16" s="1"/>
  <c r="AX14" i="16"/>
  <c r="AY14" i="16" s="1"/>
  <c r="AV14" i="16"/>
  <c r="AW14" i="16" s="1"/>
  <c r="AT14" i="16"/>
  <c r="AU14" i="16" s="1"/>
  <c r="AR14" i="16"/>
  <c r="AS14" i="16" s="1"/>
  <c r="AP14" i="16"/>
  <c r="AQ14" i="16" s="1"/>
  <c r="AN14" i="16"/>
  <c r="AO14" i="16" s="1"/>
  <c r="AL14" i="16"/>
  <c r="AM14" i="16" s="1"/>
  <c r="AJ14" i="16"/>
  <c r="AK14" i="16" s="1"/>
  <c r="AH14" i="16"/>
  <c r="AI14" i="16" s="1"/>
  <c r="AD14" i="16"/>
  <c r="AF14" i="16"/>
  <c r="BP13" i="16"/>
  <c r="BQ13" i="16" s="1"/>
  <c r="BN13" i="16"/>
  <c r="BO13" i="16" s="1"/>
  <c r="BL13" i="16"/>
  <c r="BM13" i="16" s="1"/>
  <c r="BJ13" i="16"/>
  <c r="BK13" i="16" s="1"/>
  <c r="BH13" i="16"/>
  <c r="BI13" i="16" s="1"/>
  <c r="BF13" i="16"/>
  <c r="BG13" i="16" s="1"/>
  <c r="BD13" i="16"/>
  <c r="BE13" i="16" s="1"/>
  <c r="BB13" i="16"/>
  <c r="BC13" i="16" s="1"/>
  <c r="AZ13" i="16"/>
  <c r="BA13" i="16" s="1"/>
  <c r="AX13" i="16"/>
  <c r="AY13" i="16" s="1"/>
  <c r="AV13" i="16"/>
  <c r="AW13" i="16" s="1"/>
  <c r="AT13" i="16"/>
  <c r="AU13" i="16" s="1"/>
  <c r="AR13" i="16"/>
  <c r="AS13" i="16" s="1"/>
  <c r="AP13" i="16"/>
  <c r="AQ13" i="16" s="1"/>
  <c r="AN13" i="16"/>
  <c r="AO13" i="16" s="1"/>
  <c r="AL13" i="16"/>
  <c r="AM13" i="16" s="1"/>
  <c r="AJ13" i="16"/>
  <c r="AK13" i="16" s="1"/>
  <c r="AH13" i="16"/>
  <c r="AI13" i="16" s="1"/>
  <c r="AF13" i="16"/>
  <c r="AG13" i="16" s="1"/>
  <c r="AD13" i="16"/>
  <c r="AE13" i="16" s="1"/>
  <c r="Z13" i="16"/>
  <c r="AB13" i="16"/>
  <c r="BJ12" i="16"/>
  <c r="BK12" i="16" s="1"/>
  <c r="BH12" i="16"/>
  <c r="BI12" i="16" s="1"/>
  <c r="BF12" i="16"/>
  <c r="BG12" i="16" s="1"/>
  <c r="BD12" i="16"/>
  <c r="BE12" i="16" s="1"/>
  <c r="BB12" i="16"/>
  <c r="BC12" i="16" s="1"/>
  <c r="AZ12" i="16"/>
  <c r="BA12" i="16" s="1"/>
  <c r="AX12" i="16"/>
  <c r="AY12" i="16" s="1"/>
  <c r="AV12" i="16"/>
  <c r="AW12" i="16" s="1"/>
  <c r="AT12" i="16"/>
  <c r="AU12" i="16" s="1"/>
  <c r="AR12" i="16"/>
  <c r="AS12" i="16" s="1"/>
  <c r="AP12" i="16"/>
  <c r="AQ12" i="16" s="1"/>
  <c r="AN12" i="16"/>
  <c r="AO12" i="16" s="1"/>
  <c r="AL12" i="16"/>
  <c r="AM12" i="16" s="1"/>
  <c r="AJ12" i="16"/>
  <c r="AK12" i="16" s="1"/>
  <c r="AH12" i="16"/>
  <c r="AI12" i="16" s="1"/>
  <c r="AF12" i="16"/>
  <c r="AG12" i="16" s="1"/>
  <c r="AD12" i="16"/>
  <c r="AE12" i="16" s="1"/>
  <c r="AB12" i="16"/>
  <c r="AC12" i="16" s="1"/>
  <c r="Z12" i="16"/>
  <c r="AA12" i="16" s="1"/>
  <c r="X12" i="16"/>
  <c r="Y12" i="16" s="1"/>
  <c r="V12" i="16"/>
  <c r="W12" i="16" s="1"/>
  <c r="T12" i="16"/>
  <c r="U11" i="16"/>
  <c r="R11" i="16"/>
  <c r="P11" i="16"/>
  <c r="N11" i="16"/>
  <c r="L11" i="16"/>
  <c r="J11" i="16"/>
  <c r="H11" i="16"/>
  <c r="F13" i="16" l="1"/>
  <c r="F11" i="16"/>
  <c r="F18" i="16"/>
  <c r="F12" i="16"/>
  <c r="F17" i="16"/>
  <c r="F14" i="16"/>
  <c r="AK16" i="16"/>
  <c r="F16" i="16"/>
  <c r="AK19" i="16"/>
  <c r="AO20" i="16"/>
  <c r="AM18" i="16"/>
  <c r="AE14" i="16"/>
  <c r="AG17" i="16"/>
  <c r="AA13" i="16"/>
  <c r="AI16" i="16"/>
  <c r="U12" i="16"/>
  <c r="S9" i="16"/>
  <c r="Q9" i="16"/>
  <c r="O9" i="16"/>
  <c r="CS21" i="16"/>
  <c r="CK15" i="16" l="1"/>
  <c r="CT25" i="16"/>
  <c r="CU25" i="16" s="1"/>
  <c r="CR25" i="16"/>
  <c r="CS25" i="16" s="1"/>
  <c r="CP25" i="16"/>
  <c r="CQ25" i="16" s="1"/>
  <c r="CN25" i="16"/>
  <c r="CO25" i="16" s="1"/>
  <c r="CL25" i="16"/>
  <c r="CM25" i="16" s="1"/>
  <c r="CJ25" i="16"/>
  <c r="CK25" i="16" s="1"/>
  <c r="CH25" i="16"/>
  <c r="CI25" i="16" s="1"/>
  <c r="CF25" i="16"/>
  <c r="CG25" i="16" s="1"/>
  <c r="CD25" i="16"/>
  <c r="CE25" i="16" s="1"/>
  <c r="CB25" i="16"/>
  <c r="CC25" i="16" s="1"/>
  <c r="BZ25" i="16"/>
  <c r="CA25" i="16" s="1"/>
  <c r="BX25" i="16"/>
  <c r="BY25" i="16" s="1"/>
  <c r="BV25" i="16"/>
  <c r="BW25" i="16" s="1"/>
  <c r="BT25" i="16"/>
  <c r="BU25" i="16" s="1"/>
  <c r="BR25" i="16"/>
  <c r="BS25" i="16" s="1"/>
  <c r="BP25" i="16"/>
  <c r="BQ25" i="16" s="1"/>
  <c r="BN25" i="16"/>
  <c r="BO25" i="16" s="1"/>
  <c r="BL25" i="16"/>
  <c r="BM25" i="16" s="1"/>
  <c r="BJ25" i="16"/>
  <c r="BK25" i="16" s="1"/>
  <c r="BH25" i="16"/>
  <c r="BI25" i="16" s="1"/>
  <c r="BF25" i="16"/>
  <c r="BG25" i="16" s="1"/>
  <c r="BD25" i="16"/>
  <c r="BE25" i="16" s="1"/>
  <c r="BB25" i="16"/>
  <c r="BC25" i="16" s="1"/>
  <c r="AZ25" i="16"/>
  <c r="BA25" i="16" s="1"/>
  <c r="AX25" i="16"/>
  <c r="AY25" i="16" s="1"/>
  <c r="AV25" i="16"/>
  <c r="AW25" i="16" s="1"/>
  <c r="AT25" i="16"/>
  <c r="AU25" i="16" s="1"/>
  <c r="AR25" i="16"/>
  <c r="AS25" i="16" s="1"/>
  <c r="AP25" i="16"/>
  <c r="AQ25" i="16" s="1"/>
  <c r="AN25" i="16"/>
  <c r="AO25" i="16" s="1"/>
  <c r="AL25" i="16"/>
  <c r="AM25" i="16" s="1"/>
  <c r="AJ25" i="16"/>
  <c r="AK25" i="16" s="1"/>
  <c r="AH25" i="16"/>
  <c r="AI25" i="16" s="1"/>
  <c r="AF25" i="16"/>
  <c r="AG25" i="16" s="1"/>
  <c r="AD25" i="16"/>
  <c r="AE25" i="16" s="1"/>
  <c r="AB25" i="16"/>
  <c r="AC25" i="16" s="1"/>
  <c r="Z25" i="16"/>
  <c r="AA25" i="16" s="1"/>
  <c r="X25" i="16"/>
  <c r="Y25" i="16" s="1"/>
  <c r="V25" i="16"/>
  <c r="W25" i="16" s="1"/>
  <c r="T25" i="16"/>
  <c r="U25" i="16" s="1"/>
  <c r="R25" i="16"/>
  <c r="S25" i="16" s="1"/>
  <c r="P25" i="16"/>
  <c r="Q25" i="16" s="1"/>
  <c r="N25" i="16"/>
  <c r="O25" i="16" s="1"/>
  <c r="L25" i="16"/>
  <c r="M25" i="16" s="1"/>
  <c r="J25" i="16"/>
  <c r="K25" i="16" s="1"/>
  <c r="H25" i="16"/>
  <c r="CO23" i="16"/>
  <c r="CM23" i="16"/>
  <c r="CR20" i="16"/>
  <c r="CS20" i="16" s="1"/>
  <c r="CP20" i="16"/>
  <c r="CQ20" i="16" s="1"/>
  <c r="CN20" i="16"/>
  <c r="CO20" i="16" s="1"/>
  <c r="CL20" i="16"/>
  <c r="CM20" i="16" s="1"/>
  <c r="CJ20" i="16"/>
  <c r="CK20" i="16" s="1"/>
  <c r="CH20" i="16"/>
  <c r="CI20" i="16" s="1"/>
  <c r="CF20" i="16"/>
  <c r="CG20" i="16" s="1"/>
  <c r="CD20" i="16"/>
  <c r="CE20" i="16" s="1"/>
  <c r="CB20" i="16"/>
  <c r="CC20" i="16" s="1"/>
  <c r="BZ20" i="16"/>
  <c r="CA20" i="16" s="1"/>
  <c r="BX20" i="16"/>
  <c r="BY20" i="16" s="1"/>
  <c r="BV20" i="16"/>
  <c r="BW20" i="16" s="1"/>
  <c r="BT20" i="16"/>
  <c r="BU20" i="16" s="1"/>
  <c r="BR20" i="16"/>
  <c r="BS20" i="16" s="1"/>
  <c r="BP20" i="16"/>
  <c r="BQ20" i="16" s="1"/>
  <c r="BN20" i="16"/>
  <c r="BO20" i="16" s="1"/>
  <c r="BL20" i="16"/>
  <c r="BM20" i="16" s="1"/>
  <c r="BJ20" i="16"/>
  <c r="BK20" i="16" s="1"/>
  <c r="BH20" i="16"/>
  <c r="BI20" i="16" s="1"/>
  <c r="BF20" i="16"/>
  <c r="BG20" i="16" s="1"/>
  <c r="BD20" i="16"/>
  <c r="BE20" i="16" s="1"/>
  <c r="BB20" i="16"/>
  <c r="BC20" i="16" s="1"/>
  <c r="AZ20" i="16"/>
  <c r="BA20" i="16" s="1"/>
  <c r="AX20" i="16"/>
  <c r="AY20" i="16" s="1"/>
  <c r="AV20" i="16"/>
  <c r="AW20" i="16" s="1"/>
  <c r="AT20" i="16"/>
  <c r="AU20" i="16" s="1"/>
  <c r="AR20" i="16"/>
  <c r="AS20" i="16" s="1"/>
  <c r="AP20" i="16"/>
  <c r="BY13" i="16"/>
  <c r="S11" i="16"/>
  <c r="Q11" i="16"/>
  <c r="O11" i="16"/>
  <c r="M11" i="16"/>
  <c r="K11" i="16"/>
  <c r="L10" i="16"/>
  <c r="M10" i="16" s="1"/>
  <c r="J10" i="16"/>
  <c r="K10" i="16" s="1"/>
  <c r="H10" i="16"/>
  <c r="F10" i="16" s="1"/>
  <c r="F20" i="16" l="1"/>
  <c r="F25" i="16"/>
  <c r="AG14" i="16"/>
  <c r="C26" i="16" l="1"/>
  <c r="I25" i="16"/>
  <c r="E25" i="16"/>
  <c r="CC24" i="16"/>
  <c r="CA24" i="16"/>
  <c r="BY24" i="16"/>
  <c r="BW24" i="16"/>
  <c r="BU24" i="16"/>
  <c r="BS24" i="16"/>
  <c r="BQ24" i="16"/>
  <c r="BO24" i="16"/>
  <c r="BM24" i="16"/>
  <c r="BK24" i="16"/>
  <c r="BI24" i="16"/>
  <c r="BG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AG24" i="16"/>
  <c r="AE24" i="16"/>
  <c r="AC24" i="16"/>
  <c r="AA24" i="16"/>
  <c r="Y24" i="16"/>
  <c r="W24" i="16"/>
  <c r="U24" i="16"/>
  <c r="S24" i="16"/>
  <c r="Q24" i="16"/>
  <c r="O24" i="16"/>
  <c r="M24" i="16"/>
  <c r="K24" i="16"/>
  <c r="I24" i="16"/>
  <c r="E24" i="16"/>
  <c r="CU23" i="16"/>
  <c r="CS23" i="16"/>
  <c r="CQ23" i="16"/>
  <c r="BM23" i="16"/>
  <c r="BK23" i="16"/>
  <c r="BI23" i="16"/>
  <c r="BG23" i="16"/>
  <c r="BE23" i="16"/>
  <c r="BC23" i="16"/>
  <c r="BA23" i="16"/>
  <c r="AY23" i="16"/>
  <c r="AW23" i="16"/>
  <c r="AU23" i="16"/>
  <c r="AS23" i="16"/>
  <c r="AQ23" i="16"/>
  <c r="AO23" i="16"/>
  <c r="AM23" i="16"/>
  <c r="AK23" i="16"/>
  <c r="AI23" i="16"/>
  <c r="AG23" i="16"/>
  <c r="AE23" i="16"/>
  <c r="AC23" i="16"/>
  <c r="AA23" i="16"/>
  <c r="Y23" i="16"/>
  <c r="W23" i="16"/>
  <c r="U23" i="16"/>
  <c r="S23" i="16"/>
  <c r="Q23" i="16"/>
  <c r="O23" i="16"/>
  <c r="M23" i="16"/>
  <c r="K23" i="16"/>
  <c r="I23" i="16"/>
  <c r="E23" i="16"/>
  <c r="CU22" i="16"/>
  <c r="CK22" i="16"/>
  <c r="CI22" i="16"/>
  <c r="CG22" i="16"/>
  <c r="CE22" i="16"/>
  <c r="CC22" i="16"/>
  <c r="CA22" i="16"/>
  <c r="BY22" i="16"/>
  <c r="BO22" i="16"/>
  <c r="BM22" i="16"/>
  <c r="BK22" i="16"/>
  <c r="BI22" i="16"/>
  <c r="BG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AG22" i="16"/>
  <c r="AE22" i="16"/>
  <c r="AC22" i="16"/>
  <c r="AA22" i="16"/>
  <c r="Y22" i="16"/>
  <c r="W22" i="16"/>
  <c r="U22" i="16"/>
  <c r="S22" i="16"/>
  <c r="Q22" i="16"/>
  <c r="O22" i="16"/>
  <c r="M22" i="16"/>
  <c r="K22" i="16"/>
  <c r="I22" i="16"/>
  <c r="E22" i="16"/>
  <c r="BU21" i="16"/>
  <c r="BS21" i="16"/>
  <c r="BQ21" i="16"/>
  <c r="BO21" i="16"/>
  <c r="BM21" i="16"/>
  <c r="BK21" i="16"/>
  <c r="BI21" i="16"/>
  <c r="BG21" i="16"/>
  <c r="BE21" i="16"/>
  <c r="BC21" i="16"/>
  <c r="BA21" i="16"/>
  <c r="AY21" i="16"/>
  <c r="AW21" i="16"/>
  <c r="AU21" i="16"/>
  <c r="AS21" i="16"/>
  <c r="AQ21" i="16"/>
  <c r="AO21" i="16"/>
  <c r="AM21" i="16"/>
  <c r="AK21" i="16"/>
  <c r="AI21" i="16"/>
  <c r="AG21" i="16"/>
  <c r="AE21" i="16"/>
  <c r="AC21" i="16"/>
  <c r="AA21" i="16"/>
  <c r="Y21" i="16"/>
  <c r="W21" i="16"/>
  <c r="U21" i="16"/>
  <c r="S21" i="16"/>
  <c r="Q21" i="16"/>
  <c r="O21" i="16"/>
  <c r="M21" i="16"/>
  <c r="K21" i="16"/>
  <c r="I21" i="16"/>
  <c r="E21" i="16"/>
  <c r="AQ20" i="16"/>
  <c r="AM20" i="16"/>
  <c r="AK20" i="16"/>
  <c r="AI20" i="16"/>
  <c r="AG20" i="16"/>
  <c r="AE20" i="16"/>
  <c r="AC20" i="16"/>
  <c r="AA20" i="16"/>
  <c r="Y20" i="16"/>
  <c r="W20" i="16"/>
  <c r="U20" i="16"/>
  <c r="S20" i="16"/>
  <c r="Q20" i="16"/>
  <c r="O20" i="16"/>
  <c r="M20" i="16"/>
  <c r="K20" i="16"/>
  <c r="I20" i="16"/>
  <c r="E20" i="16"/>
  <c r="CU19" i="16"/>
  <c r="CS19" i="16"/>
  <c r="CQ19" i="16"/>
  <c r="CO19" i="16"/>
  <c r="AI19" i="16"/>
  <c r="AG19" i="16"/>
  <c r="AE19" i="16"/>
  <c r="AC19" i="16"/>
  <c r="AA19" i="16"/>
  <c r="Y19" i="16"/>
  <c r="W19" i="16"/>
  <c r="U19" i="16"/>
  <c r="S19" i="16"/>
  <c r="Q19" i="16"/>
  <c r="O19" i="16"/>
  <c r="M19" i="16"/>
  <c r="K19" i="16"/>
  <c r="I19" i="16"/>
  <c r="E19" i="16"/>
  <c r="CU18" i="16"/>
  <c r="CS18" i="16"/>
  <c r="CQ18" i="16"/>
  <c r="CO18" i="16"/>
  <c r="CM18" i="16"/>
  <c r="CK18" i="16"/>
  <c r="CI18" i="16"/>
  <c r="AK18" i="16"/>
  <c r="AI18" i="16"/>
  <c r="AG18" i="16"/>
  <c r="AE18" i="16"/>
  <c r="AC18" i="16"/>
  <c r="AA18" i="16"/>
  <c r="Y18" i="16"/>
  <c r="W18" i="16"/>
  <c r="U18" i="16"/>
  <c r="S18" i="16"/>
  <c r="Q18" i="16"/>
  <c r="O18" i="16"/>
  <c r="M18" i="16"/>
  <c r="K18" i="16"/>
  <c r="I18" i="16"/>
  <c r="E18" i="16"/>
  <c r="CU17" i="16"/>
  <c r="CS17" i="16"/>
  <c r="CQ17" i="16"/>
  <c r="CO17" i="16"/>
  <c r="CM17" i="16"/>
  <c r="CK17" i="16"/>
  <c r="CI17" i="16"/>
  <c r="CG17" i="16"/>
  <c r="CE17" i="16"/>
  <c r="CC17" i="16"/>
  <c r="AE17" i="16"/>
  <c r="AC17" i="16"/>
  <c r="AA17" i="16"/>
  <c r="Y17" i="16"/>
  <c r="W17" i="16"/>
  <c r="U17" i="16"/>
  <c r="S17" i="16"/>
  <c r="Q17" i="16"/>
  <c r="O17" i="16"/>
  <c r="M17" i="16"/>
  <c r="K17" i="16"/>
  <c r="I17" i="16"/>
  <c r="E17" i="16"/>
  <c r="CU16" i="16"/>
  <c r="CS16" i="16"/>
  <c r="CQ16" i="16"/>
  <c r="CO16" i="16"/>
  <c r="CM16" i="16"/>
  <c r="CK16" i="16"/>
  <c r="CI16" i="16"/>
  <c r="CG16" i="16"/>
  <c r="CE16" i="16"/>
  <c r="AG16" i="16"/>
  <c r="AE16" i="16"/>
  <c r="AC16" i="16"/>
  <c r="AA16" i="16"/>
  <c r="Y16" i="16"/>
  <c r="W16" i="16"/>
  <c r="U16" i="16"/>
  <c r="S16" i="16"/>
  <c r="Q16" i="16"/>
  <c r="O16" i="16"/>
  <c r="M16" i="16"/>
  <c r="K16" i="16"/>
  <c r="I16" i="16"/>
  <c r="E16" i="16"/>
  <c r="CU15" i="16"/>
  <c r="BM15" i="16"/>
  <c r="BK15" i="16"/>
  <c r="BI15" i="16"/>
  <c r="BG15" i="16"/>
  <c r="BE15" i="16"/>
  <c r="BC15" i="16"/>
  <c r="BA15" i="16"/>
  <c r="AY15" i="16"/>
  <c r="AW15" i="16"/>
  <c r="AU15" i="16"/>
  <c r="AS15" i="16"/>
  <c r="AQ15" i="16"/>
  <c r="AO15" i="16"/>
  <c r="AM15" i="16"/>
  <c r="AK15" i="16"/>
  <c r="AI15" i="16"/>
  <c r="AG15" i="16"/>
  <c r="AE15" i="16"/>
  <c r="AC15" i="16"/>
  <c r="AA15" i="16"/>
  <c r="Y15" i="16"/>
  <c r="W15" i="16"/>
  <c r="U15" i="16"/>
  <c r="S15" i="16"/>
  <c r="Q15" i="16"/>
  <c r="O15" i="16"/>
  <c r="M15" i="16"/>
  <c r="K15" i="16"/>
  <c r="I15" i="16"/>
  <c r="E15" i="16"/>
  <c r="CU14" i="16"/>
  <c r="CS14" i="16"/>
  <c r="CQ14" i="16"/>
  <c r="CO14" i="16"/>
  <c r="CM14" i="16"/>
  <c r="CK14" i="16"/>
  <c r="CI14" i="16"/>
  <c r="CG14" i="16"/>
  <c r="CE14" i="16"/>
  <c r="CC14" i="16"/>
  <c r="CA14" i="16"/>
  <c r="AC14" i="16"/>
  <c r="AA14" i="16"/>
  <c r="Y14" i="16"/>
  <c r="W14" i="16"/>
  <c r="U14" i="16"/>
  <c r="S14" i="16"/>
  <c r="Q14" i="16"/>
  <c r="O14" i="16"/>
  <c r="M14" i="16"/>
  <c r="K14" i="16"/>
  <c r="I14" i="16"/>
  <c r="E14" i="16"/>
  <c r="CU13" i="16"/>
  <c r="CS13" i="16"/>
  <c r="CQ13" i="16"/>
  <c r="CO13" i="16"/>
  <c r="CM13" i="16"/>
  <c r="CK13" i="16"/>
  <c r="CI13" i="16"/>
  <c r="CG13" i="16"/>
  <c r="CE13" i="16"/>
  <c r="CC13" i="16"/>
  <c r="CA13" i="16"/>
  <c r="AC13" i="16"/>
  <c r="Y13" i="16"/>
  <c r="W13" i="16"/>
  <c r="U13" i="16"/>
  <c r="S13" i="16"/>
  <c r="Q13" i="16"/>
  <c r="O13" i="16"/>
  <c r="M13" i="16"/>
  <c r="K13" i="16"/>
  <c r="I13" i="16"/>
  <c r="E13" i="16"/>
  <c r="CU12" i="16"/>
  <c r="CS12" i="16"/>
  <c r="CQ12" i="16"/>
  <c r="CO12" i="16"/>
  <c r="CM12" i="16"/>
  <c r="CK12" i="16"/>
  <c r="CI12" i="16"/>
  <c r="CG12" i="16"/>
  <c r="CE12" i="16"/>
  <c r="CC12" i="16"/>
  <c r="CA12" i="16"/>
  <c r="S12" i="16"/>
  <c r="Q12" i="16"/>
  <c r="O12" i="16"/>
  <c r="M12" i="16"/>
  <c r="K12" i="16"/>
  <c r="I12" i="16"/>
  <c r="E12" i="16"/>
  <c r="CU11" i="16"/>
  <c r="CS11" i="16"/>
  <c r="CQ11" i="16"/>
  <c r="CO11" i="16"/>
  <c r="CM11" i="16"/>
  <c r="CK11" i="16"/>
  <c r="CI11" i="16"/>
  <c r="CG11" i="16"/>
  <c r="CE11" i="16"/>
  <c r="CC11" i="16"/>
  <c r="CA11" i="16"/>
  <c r="BY11" i="16"/>
  <c r="BW11" i="16"/>
  <c r="BU11" i="16"/>
  <c r="BS11" i="16"/>
  <c r="BQ11" i="16"/>
  <c r="BO11" i="16"/>
  <c r="BM11" i="16"/>
  <c r="BK11" i="16"/>
  <c r="BI11" i="16"/>
  <c r="BG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AG11" i="16"/>
  <c r="AE11" i="16"/>
  <c r="AC11" i="16"/>
  <c r="AA11" i="16"/>
  <c r="Y11" i="16"/>
  <c r="W11" i="16"/>
  <c r="I11" i="16"/>
  <c r="E11" i="16"/>
  <c r="CU10" i="16"/>
  <c r="CS10" i="16"/>
  <c r="CQ10" i="16"/>
  <c r="CO10" i="16"/>
  <c r="CM10" i="16"/>
  <c r="CK10" i="16"/>
  <c r="CI10" i="16"/>
  <c r="CG10" i="16"/>
  <c r="CE10" i="16"/>
  <c r="CC10" i="16"/>
  <c r="CA10" i="16"/>
  <c r="BY10" i="16"/>
  <c r="BW10" i="16"/>
  <c r="BU10" i="16"/>
  <c r="BS10" i="16"/>
  <c r="BQ10" i="16"/>
  <c r="BO10" i="16"/>
  <c r="BM10" i="16"/>
  <c r="BK10" i="16"/>
  <c r="BI10" i="16"/>
  <c r="BG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AG10" i="16"/>
  <c r="AE10" i="16"/>
  <c r="AC10" i="16"/>
  <c r="AA10" i="16"/>
  <c r="Y10" i="16"/>
  <c r="W10" i="16"/>
  <c r="U10" i="16"/>
  <c r="S10" i="16"/>
  <c r="Q10" i="16"/>
  <c r="O10" i="16"/>
  <c r="I10" i="16"/>
  <c r="E10" i="16"/>
  <c r="U9" i="16"/>
  <c r="M9" i="16"/>
  <c r="K9" i="16"/>
  <c r="I9" i="16"/>
  <c r="E9" i="16"/>
  <c r="D13" i="16" l="1"/>
  <c r="F55" i="13"/>
  <c r="D20" i="16"/>
  <c r="D18" i="16"/>
  <c r="D21" i="16"/>
  <c r="U26" i="16"/>
  <c r="U27" i="16" s="1"/>
  <c r="D38" i="16" s="1"/>
  <c r="C15" i="13" s="1"/>
  <c r="AK26" i="16"/>
  <c r="AK27" i="16" s="1"/>
  <c r="D46" i="16" s="1"/>
  <c r="C23" i="13" s="1"/>
  <c r="BA26" i="16"/>
  <c r="BA27" i="16" s="1"/>
  <c r="D54" i="16" s="1"/>
  <c r="C31" i="13" s="1"/>
  <c r="BQ26" i="16"/>
  <c r="BQ27" i="16" s="1"/>
  <c r="D62" i="16" s="1"/>
  <c r="C39" i="13" s="1"/>
  <c r="CG26" i="16"/>
  <c r="CG27" i="16" s="1"/>
  <c r="D70" i="16" s="1"/>
  <c r="C47" i="13" s="1"/>
  <c r="E26" i="16"/>
  <c r="E27" i="16" s="1"/>
  <c r="W26" i="16"/>
  <c r="W27" i="16" s="1"/>
  <c r="D39" i="16" s="1"/>
  <c r="C16" i="13" s="1"/>
  <c r="AM26" i="16"/>
  <c r="AM27" i="16" s="1"/>
  <c r="D47" i="16" s="1"/>
  <c r="C24" i="13" s="1"/>
  <c r="BC26" i="16"/>
  <c r="BC27" i="16" s="1"/>
  <c r="D55" i="16" s="1"/>
  <c r="C32" i="13" s="1"/>
  <c r="BS26" i="16"/>
  <c r="BS27" i="16" s="1"/>
  <c r="D63" i="16" s="1"/>
  <c r="C40" i="13" s="1"/>
  <c r="CI26" i="16"/>
  <c r="CI27" i="16" s="1"/>
  <c r="D71" i="16" s="1"/>
  <c r="C48" i="13" s="1"/>
  <c r="D10" i="16"/>
  <c r="I26" i="16"/>
  <c r="Y26" i="16"/>
  <c r="Y27" i="16" s="1"/>
  <c r="D40" i="16" s="1"/>
  <c r="C17" i="13" s="1"/>
  <c r="AO26" i="16"/>
  <c r="AO27" i="16" s="1"/>
  <c r="D48" i="16" s="1"/>
  <c r="C25" i="13" s="1"/>
  <c r="BE26" i="16"/>
  <c r="BE27" i="16" s="1"/>
  <c r="D56" i="16" s="1"/>
  <c r="C33" i="13" s="1"/>
  <c r="BU26" i="16"/>
  <c r="BU27" i="16" s="1"/>
  <c r="D64" i="16" s="1"/>
  <c r="C41" i="13" s="1"/>
  <c r="CK26" i="16"/>
  <c r="CK27" i="16" s="1"/>
  <c r="D72" i="16" s="1"/>
  <c r="C49" i="13" s="1"/>
  <c r="D11" i="16"/>
  <c r="O26" i="16"/>
  <c r="O27" i="16" s="1"/>
  <c r="D35" i="16" s="1"/>
  <c r="C12" i="13" s="1"/>
  <c r="BK26" i="16"/>
  <c r="BK27" i="16" s="1"/>
  <c r="D59" i="16" s="1"/>
  <c r="C36" i="13" s="1"/>
  <c r="Q26" i="16"/>
  <c r="Q27" i="16" s="1"/>
  <c r="D36" i="16" s="1"/>
  <c r="C13" i="13" s="1"/>
  <c r="AW26" i="16"/>
  <c r="AW27" i="16" s="1"/>
  <c r="D52" i="16" s="1"/>
  <c r="C29" i="13" s="1"/>
  <c r="CC26" i="16"/>
  <c r="CC27" i="16" s="1"/>
  <c r="D68" i="16" s="1"/>
  <c r="C45" i="13" s="1"/>
  <c r="CS26" i="16"/>
  <c r="CS27" i="16" s="1"/>
  <c r="D76" i="16" s="1"/>
  <c r="C53" i="13" s="1"/>
  <c r="S26" i="16"/>
  <c r="S27" i="16" s="1"/>
  <c r="D37" i="16" s="1"/>
  <c r="C14" i="13" s="1"/>
  <c r="AI26" i="16"/>
  <c r="AI27" i="16" s="1"/>
  <c r="D45" i="16" s="1"/>
  <c r="C22" i="13" s="1"/>
  <c r="AY26" i="16"/>
  <c r="AY27" i="16" s="1"/>
  <c r="D53" i="16" s="1"/>
  <c r="C30" i="13" s="1"/>
  <c r="BO26" i="16"/>
  <c r="BO27" i="16" s="1"/>
  <c r="D61" i="16" s="1"/>
  <c r="C38" i="13" s="1"/>
  <c r="CE26" i="16"/>
  <c r="CE27" i="16" s="1"/>
  <c r="D69" i="16" s="1"/>
  <c r="C46" i="13" s="1"/>
  <c r="CU26" i="16"/>
  <c r="CU27" i="16" s="1"/>
  <c r="D77" i="16" s="1"/>
  <c r="C54" i="13" s="1"/>
  <c r="K26" i="16"/>
  <c r="K27" i="16" s="1"/>
  <c r="D33" i="16" s="1"/>
  <c r="C10" i="13" s="1"/>
  <c r="AA26" i="16"/>
  <c r="AA27" i="16" s="1"/>
  <c r="D41" i="16" s="1"/>
  <c r="C18" i="13" s="1"/>
  <c r="AQ26" i="16"/>
  <c r="AQ27" i="16" s="1"/>
  <c r="D49" i="16" s="1"/>
  <c r="C26" i="13" s="1"/>
  <c r="BG26" i="16"/>
  <c r="BG27" i="16" s="1"/>
  <c r="D57" i="16" s="1"/>
  <c r="C34" i="13" s="1"/>
  <c r="BW26" i="16"/>
  <c r="BW27" i="16" s="1"/>
  <c r="D65" i="16" s="1"/>
  <c r="C42" i="13" s="1"/>
  <c r="CM26" i="16"/>
  <c r="CM27" i="16" s="1"/>
  <c r="D73" i="16" s="1"/>
  <c r="C50" i="13" s="1"/>
  <c r="M26" i="16"/>
  <c r="M27" i="16" s="1"/>
  <c r="D34" i="16" s="1"/>
  <c r="C11" i="13" s="1"/>
  <c r="AC26" i="16"/>
  <c r="AC27" i="16" s="1"/>
  <c r="D42" i="16" s="1"/>
  <c r="C19" i="13" s="1"/>
  <c r="AS26" i="16"/>
  <c r="AS27" i="16" s="1"/>
  <c r="D50" i="16" s="1"/>
  <c r="C27" i="13" s="1"/>
  <c r="BI26" i="16"/>
  <c r="BI27" i="16" s="1"/>
  <c r="D58" i="16" s="1"/>
  <c r="C35" i="13" s="1"/>
  <c r="BY26" i="16"/>
  <c r="BY27" i="16" s="1"/>
  <c r="D66" i="16" s="1"/>
  <c r="C43" i="13" s="1"/>
  <c r="CO26" i="16"/>
  <c r="CO27" i="16" s="1"/>
  <c r="D74" i="16" s="1"/>
  <c r="C51" i="13" s="1"/>
  <c r="AU26" i="16"/>
  <c r="AU27" i="16" s="1"/>
  <c r="D51" i="16" s="1"/>
  <c r="C28" i="13" s="1"/>
  <c r="CA26" i="16"/>
  <c r="CA27" i="16" s="1"/>
  <c r="D67" i="16" s="1"/>
  <c r="C44" i="13" s="1"/>
  <c r="CQ26" i="16"/>
  <c r="CQ27" i="16" s="1"/>
  <c r="D75" i="16" s="1"/>
  <c r="C52" i="13" s="1"/>
  <c r="AE26" i="16"/>
  <c r="AE27" i="16" s="1"/>
  <c r="D43" i="16" s="1"/>
  <c r="C20" i="13" s="1"/>
  <c r="AG26" i="16"/>
  <c r="AG27" i="16" s="1"/>
  <c r="D44" i="16" s="1"/>
  <c r="C21" i="13" s="1"/>
  <c r="BM26" i="16"/>
  <c r="BM27" i="16" s="1"/>
  <c r="D60" i="16" s="1"/>
  <c r="C37" i="13" s="1"/>
  <c r="D14" i="16"/>
  <c r="D22" i="16"/>
  <c r="D15" i="16"/>
  <c r="D23" i="16"/>
  <c r="D16" i="16"/>
  <c r="D24" i="16"/>
  <c r="D9" i="16"/>
  <c r="D17" i="16"/>
  <c r="D25" i="16"/>
  <c r="D19" i="16"/>
  <c r="D12" i="16"/>
  <c r="E53" i="13" l="1"/>
  <c r="E54" i="13"/>
  <c r="E52" i="13"/>
  <c r="D26" i="16"/>
  <c r="I27" i="16"/>
  <c r="D32" i="16" s="1"/>
  <c r="C9" i="13" s="1"/>
  <c r="E9" i="13" s="1"/>
  <c r="CV27" i="16"/>
  <c r="E17" i="13" l="1"/>
  <c r="E25" i="13"/>
  <c r="E33" i="13"/>
  <c r="E41" i="13"/>
  <c r="E49" i="13"/>
  <c r="E10" i="13"/>
  <c r="E18" i="13"/>
  <c r="E26" i="13"/>
  <c r="E34" i="13"/>
  <c r="E42" i="13"/>
  <c r="E50" i="13"/>
  <c r="E11" i="13"/>
  <c r="E19" i="13"/>
  <c r="E27" i="13"/>
  <c r="E35" i="13"/>
  <c r="E43" i="13"/>
  <c r="E51" i="13"/>
  <c r="E13" i="13"/>
  <c r="E21" i="13"/>
  <c r="E29" i="13"/>
  <c r="E37" i="13"/>
  <c r="E45" i="13"/>
  <c r="E14" i="13"/>
  <c r="E22" i="13"/>
  <c r="E30" i="13"/>
  <c r="E38" i="13"/>
  <c r="E46" i="13"/>
  <c r="E15" i="13"/>
  <c r="E23" i="13"/>
  <c r="E31" i="13"/>
  <c r="E39" i="13"/>
  <c r="E47" i="13"/>
  <c r="E16" i="13"/>
  <c r="E24" i="13"/>
  <c r="E32" i="13"/>
  <c r="E40" i="13"/>
  <c r="E48" i="13"/>
  <c r="E12" i="13"/>
  <c r="E20" i="13"/>
  <c r="E28" i="13"/>
  <c r="E36" i="13"/>
  <c r="E44" i="13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</calcChain>
</file>

<file path=xl/sharedStrings.xml><?xml version="1.0" encoding="utf-8"?>
<sst xmlns="http://schemas.openxmlformats.org/spreadsheetml/2006/main" count="288" uniqueCount="86">
  <si>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</si>
  <si>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</si>
  <si>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</si>
  <si>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</si>
  <si>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</si>
  <si>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</si>
  <si>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</si>
  <si>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</si>
  <si>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</si>
  <si>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</si>
  <si>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</si>
  <si>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</si>
  <si>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</si>
  <si>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</si>
  <si>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</si>
  <si>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</si>
  <si>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</si>
  <si>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</si>
  <si>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</si>
  <si>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</si>
  <si>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</si>
  <si>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</si>
  <si>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</si>
  <si>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</si>
  <si>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</si>
  <si>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</si>
  <si>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</si>
  <si>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</si>
  <si>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</si>
  <si>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</si>
  <si>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</si>
  <si>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</si>
  <si>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</si>
  <si>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</si>
  <si>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</si>
  <si>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</si>
  <si>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</si>
  <si>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</si>
  <si>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</si>
  <si>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</si>
  <si>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</si>
  <si>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</si>
  <si>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</si>
  <si>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</si>
  <si>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</si>
  <si>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</si>
  <si>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CURVA S | % TEÓRICA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</si>
  <si>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</si>
  <si>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</si>
  <si>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</si>
  <si>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</si>
  <si>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</si>
  <si>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</si>
  <si>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</si>
  <si>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</si>
  <si>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</si>
  <si>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</si>
  <si>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</si>
  <si>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</si>
  <si>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</si>
  <si>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</si>
  <si>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</si>
  <si>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</si>
  <si>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</si>
  <si>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</si>
  <si>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</si>
  <si>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</si>
  <si>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</si>
  <si>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</si>
  <si>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</si>
  <si>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</si>
  <si>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</si>
  <si>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</si>
  <si>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</si>
  <si>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</si>
  <si>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</si>
  <si>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</si>
  <si>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</si>
  <si>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</si>
  <si>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</si>
  <si>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</si>
  <si>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</si>
  <si>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</si>
  <si>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SERVIÇOS</t>
  </si>
  <si>
    <t>% Distribuído</t>
  </si>
  <si>
    <t>MEIA PRAIA EMPREENDIMENTOS - 298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</si>
</sst>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8"/>
      <name val="Calibri"/>
      <family val="2"/>
      <scheme val="minor"/>
    </font>
    <font>
      <sz val="10"/>
      <name val="Poppins"/>
    </font>
    <font>
      <sz val="16"/>
      <name val="Calibri Light"/>
      <family val="2"/>
      <scheme val="major"/>
    </font>
    <font>
      <sz val="20"/>
      <name val="Calibri Light"/>
      <family val="2"/>
      <scheme val="major"/>
    </font>
    <font>
      <sz val="28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DCDCD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45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0" tint="-0.34998626667073579"/>
      </left>
      <right style="thin">
        <color theme="2" tint="-0.249977111117893"/>
      </right>
      <top style="medium">
        <color theme="0" tint="-0.34998626667073579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0" tint="-0.34998626667073579"/>
      </top>
      <bottom style="thin">
        <color theme="2" tint="-0.249977111117893"/>
      </bottom>
      <diagonal/>
    </border>
    <border>
      <left style="medium">
        <color theme="0" tint="-0.34998626667073579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0" tint="-0.34998626667073579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0" tint="-0.34998626667073579"/>
      </left>
      <right style="thin">
        <color theme="2" tint="-0.249977111117893"/>
      </right>
      <top style="thin">
        <color theme="2" tint="-0.249977111117893"/>
      </top>
      <bottom style="medium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0" tint="-0.34998626667073579"/>
      </bottom>
      <diagonal/>
    </border>
    <border>
      <left style="thin">
        <color theme="2" tint="-0.249977111117893"/>
      </left>
      <right style="medium">
        <color theme="0" tint="-0.34998626667073579"/>
      </right>
      <top style="thin">
        <color theme="2" tint="-0.249977111117893"/>
      </top>
      <bottom style="medium">
        <color theme="0" tint="-0.34998626667073579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10" fontId="11" fillId="5" borderId="10" xfId="0" applyNumberFormat="1" applyFont="1" applyFill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20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10" fontId="11" fillId="0" borderId="10" xfId="2" applyNumberFormat="1" applyFont="1" applyFill="1" applyBorder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44" fontId="12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2" xfId="2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0" fontId="12" fillId="2" borderId="15" xfId="2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left" vertical="center"/>
    </xf>
    <xf numFmtId="10" fontId="11" fillId="6" borderId="10" xfId="0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left" vertical="center"/>
    </xf>
    <xf numFmtId="10" fontId="11" fillId="7" borderId="10" xfId="0" applyNumberFormat="1" applyFont="1" applyFill="1" applyBorder="1" applyAlignment="1">
      <alignment horizontal="center" vertical="center"/>
    </xf>
    <xf numFmtId="10" fontId="11" fillId="7" borderId="12" xfId="2" applyNumberFormat="1" applyFont="1" applyFill="1" applyBorder="1" applyAlignment="1">
      <alignment horizontal="center" vertical="center"/>
    </xf>
    <xf numFmtId="44" fontId="11" fillId="7" borderId="10" xfId="0" applyNumberFormat="1" applyFont="1" applyFill="1" applyBorder="1" applyAlignment="1">
      <alignment horizontal="center" vertical="center"/>
    </xf>
    <xf numFmtId="10" fontId="11" fillId="7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164" fontId="12" fillId="4" borderId="27" xfId="0" applyNumberFormat="1" applyFont="1" applyFill="1" applyBorder="1" applyAlignment="1">
      <alignment horizontal="center" vertical="center"/>
    </xf>
    <xf numFmtId="44" fontId="16" fillId="7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6" fillId="6" borderId="10" xfId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1" fillId="7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44" fontId="11" fillId="6" borderId="13" xfId="1" applyFont="1" applyFill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1" fillId="0" borderId="0" xfId="0" applyFont="1"/>
    <xf numFmtId="164" fontId="12" fillId="4" borderId="30" xfId="0" applyNumberFormat="1" applyFont="1" applyFill="1" applyBorder="1" applyAlignment="1">
      <alignment horizontal="center" vertical="center"/>
    </xf>
    <xf numFmtId="164" fontId="12" fillId="4" borderId="31" xfId="0" applyNumberFormat="1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10" fontId="13" fillId="0" borderId="33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64" fontId="12" fillId="4" borderId="22" xfId="0" applyNumberFormat="1" applyFont="1" applyFill="1" applyBorder="1" applyAlignment="1">
      <alignment horizontal="center" vertical="center"/>
    </xf>
    <xf numFmtId="17" fontId="12" fillId="4" borderId="22" xfId="0" applyNumberFormat="1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24" fillId="0" borderId="29" xfId="0" applyFont="1" applyBorder="1" applyAlignment="1">
      <alignment vertical="center"/>
    </xf>
    <xf numFmtId="0" fontId="16" fillId="0" borderId="20" xfId="0" applyFont="1" applyBorder="1" applyAlignment="1">
      <alignment horizontal="center" vertical="center"/>
    </xf>
    <xf numFmtId="165" fontId="11" fillId="7" borderId="36" xfId="2" applyNumberFormat="1" applyFont="1" applyFill="1" applyBorder="1" applyAlignment="1">
      <alignment horizontal="center" vertical="center"/>
    </xf>
    <xf numFmtId="165" fontId="11" fillId="0" borderId="36" xfId="2" applyNumberFormat="1" applyFont="1" applyBorder="1" applyAlignment="1">
      <alignment horizontal="center" vertical="center"/>
    </xf>
    <xf numFmtId="165" fontId="11" fillId="7" borderId="37" xfId="2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9" fillId="2" borderId="38" xfId="0" applyFont="1" applyFill="1" applyBorder="1" applyAlignment="1">
      <alignment horizontal="center" vertical="center"/>
    </xf>
    <xf numFmtId="0" fontId="19" fillId="2" borderId="39" xfId="0" applyFont="1" applyFill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20" fillId="8" borderId="40" xfId="0" applyFont="1" applyFill="1" applyBorder="1" applyAlignment="1">
      <alignment horizontal="center" vertical="center"/>
    </xf>
    <xf numFmtId="0" fontId="20" fillId="7" borderId="40" xfId="0" applyFont="1" applyFill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/>
    </xf>
    <xf numFmtId="0" fontId="12" fillId="4" borderId="23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164" fontId="12" fillId="4" borderId="29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TEÓRICA'!$B$9:$B$54</c:f>
              <c:numCache>
                <c:formatCode>0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xVal>
          <c:yVal>
            <c:numRef>
              <c:f>'CURVA TEÓRICA'!$D$9:$D$54</c:f>
              <c:numCache>
                <c:formatCode>0.00%</c:formatCode>
                <c:ptCount val="46"/>
                <c:pt idx="0">
                  <c:v>1.9732352424783738E-2</c:v>
                </c:pt>
                <c:pt idx="1">
                  <c:v>3.4784586901894114E-2</c:v>
                </c:pt>
                <c:pt idx="2">
                  <c:v>4.9836821379004491E-2</c:v>
                </c:pt>
                <c:pt idx="3">
                  <c:v>6.3326881461441137E-2</c:v>
                </c:pt>
                <c:pt idx="4">
                  <c:v>7.681694154387779E-2</c:v>
                </c:pt>
                <c:pt idx="5">
                  <c:v>9.0307001626314443E-2</c:v>
                </c:pt>
                <c:pt idx="6">
                  <c:v>0.10266515692342408</c:v>
                </c:pt>
                <c:pt idx="7">
                  <c:v>0.11502331222053372</c:v>
                </c:pt>
                <c:pt idx="8">
                  <c:v>0.12738146751764334</c:v>
                </c:pt>
                <c:pt idx="9">
                  <c:v>0.14161526382814474</c:v>
                </c:pt>
                <c:pt idx="10">
                  <c:v>0.15584906013864613</c:v>
                </c:pt>
                <c:pt idx="11">
                  <c:v>0.17532770524632316</c:v>
                </c:pt>
                <c:pt idx="12">
                  <c:v>0.19711543000361864</c:v>
                </c:pt>
                <c:pt idx="13">
                  <c:v>0.2196602240711763</c:v>
                </c:pt>
                <c:pt idx="14">
                  <c:v>0.24412027667410849</c:v>
                </c:pt>
                <c:pt idx="15">
                  <c:v>0.26948117719807807</c:v>
                </c:pt>
                <c:pt idx="16">
                  <c:v>0.29658489603519533</c:v>
                </c:pt>
                <c:pt idx="17">
                  <c:v>0.3236886148723126</c:v>
                </c:pt>
                <c:pt idx="18">
                  <c:v>0.35079233370942986</c:v>
                </c:pt>
                <c:pt idx="19">
                  <c:v>0.37789605254654712</c:v>
                </c:pt>
                <c:pt idx="20">
                  <c:v>0.40499977138366439</c:v>
                </c:pt>
                <c:pt idx="21">
                  <c:v>0.43210349022078165</c:v>
                </c:pt>
                <c:pt idx="22">
                  <c:v>0.45920720905789891</c:v>
                </c:pt>
                <c:pt idx="23">
                  <c:v>0.48631092789501618</c:v>
                </c:pt>
                <c:pt idx="24">
                  <c:v>0.51341464673213344</c:v>
                </c:pt>
                <c:pt idx="25">
                  <c:v>0.5405183655692507</c:v>
                </c:pt>
                <c:pt idx="26">
                  <c:v>0.56762208440636797</c:v>
                </c:pt>
                <c:pt idx="27">
                  <c:v>0.59472580324348523</c:v>
                </c:pt>
                <c:pt idx="28">
                  <c:v>0.61985802289514658</c:v>
                </c:pt>
                <c:pt idx="29">
                  <c:v>0.64499024254680792</c:v>
                </c:pt>
                <c:pt idx="30">
                  <c:v>0.6713532634170114</c:v>
                </c:pt>
                <c:pt idx="31">
                  <c:v>0.69584064327382322</c:v>
                </c:pt>
                <c:pt idx="32">
                  <c:v>0.72409315536988117</c:v>
                </c:pt>
                <c:pt idx="33">
                  <c:v>0.75003658781632065</c:v>
                </c:pt>
                <c:pt idx="34">
                  <c:v>0.7739921497339558</c:v>
                </c:pt>
                <c:pt idx="35">
                  <c:v>0.79794771165159095</c:v>
                </c:pt>
                <c:pt idx="36">
                  <c:v>0.82594984422784801</c:v>
                </c:pt>
                <c:pt idx="37">
                  <c:v>0.85395197680410506</c:v>
                </c:pt>
                <c:pt idx="38">
                  <c:v>0.88003885084498756</c:v>
                </c:pt>
                <c:pt idx="39">
                  <c:v>0.90612572488587007</c:v>
                </c:pt>
                <c:pt idx="40">
                  <c:v>0.92821962195011254</c:v>
                </c:pt>
                <c:pt idx="41">
                  <c:v>0.94652825363728832</c:v>
                </c:pt>
                <c:pt idx="42">
                  <c:v>0.9648368853244641</c:v>
                </c:pt>
                <c:pt idx="43">
                  <c:v>0.98314551701163988</c:v>
                </c:pt>
                <c:pt idx="44">
                  <c:v>0.99244416766239396</c:v>
                </c:pt>
                <c:pt idx="45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TEÓRICA'!$C$8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TEÓRICA'!$B$9:$B$54</c:f>
              <c:numCache>
                <c:formatCode>0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'CURVA TEÓRICA'!$C$9:$C$54</c:f>
              <c:numCache>
                <c:formatCode>0.00%</c:formatCode>
                <c:ptCount val="46"/>
                <c:pt idx="0">
                  <c:v>1.9732352424783738E-2</c:v>
                </c:pt>
                <c:pt idx="1">
                  <c:v>1.5052234477110378E-2</c:v>
                </c:pt>
                <c:pt idx="2">
                  <c:v>1.5052234477110378E-2</c:v>
                </c:pt>
                <c:pt idx="3">
                  <c:v>1.3490060082436648E-2</c:v>
                </c:pt>
                <c:pt idx="4">
                  <c:v>1.3490060082436648E-2</c:v>
                </c:pt>
                <c:pt idx="5">
                  <c:v>1.3490060082436648E-2</c:v>
                </c:pt>
                <c:pt idx="6">
                  <c:v>1.2358155297109636E-2</c:v>
                </c:pt>
                <c:pt idx="7">
                  <c:v>1.2358155297109636E-2</c:v>
                </c:pt>
                <c:pt idx="8">
                  <c:v>1.2358155297109636E-2</c:v>
                </c:pt>
                <c:pt idx="9">
                  <c:v>1.4233796310501392E-2</c:v>
                </c:pt>
                <c:pt idx="10">
                  <c:v>1.4233796310501392E-2</c:v>
                </c:pt>
                <c:pt idx="11">
                  <c:v>1.9478645107677023E-2</c:v>
                </c:pt>
                <c:pt idx="12">
                  <c:v>2.1787724757295474E-2</c:v>
                </c:pt>
                <c:pt idx="13">
                  <c:v>2.2544794067557654E-2</c:v>
                </c:pt>
                <c:pt idx="14">
                  <c:v>2.4460052602932183E-2</c:v>
                </c:pt>
                <c:pt idx="15">
                  <c:v>2.5360900523969571E-2</c:v>
                </c:pt>
                <c:pt idx="16">
                  <c:v>2.7103718837117246E-2</c:v>
                </c:pt>
                <c:pt idx="17">
                  <c:v>2.7103718837117246E-2</c:v>
                </c:pt>
                <c:pt idx="18">
                  <c:v>2.7103718837117246E-2</c:v>
                </c:pt>
                <c:pt idx="19">
                  <c:v>2.7103718837117246E-2</c:v>
                </c:pt>
                <c:pt idx="20">
                  <c:v>2.7103718837117246E-2</c:v>
                </c:pt>
                <c:pt idx="21">
                  <c:v>2.7103718837117246E-2</c:v>
                </c:pt>
                <c:pt idx="22">
                  <c:v>2.7103718837117246E-2</c:v>
                </c:pt>
                <c:pt idx="23">
                  <c:v>2.7103718837117246E-2</c:v>
                </c:pt>
                <c:pt idx="24">
                  <c:v>2.7103718837117246E-2</c:v>
                </c:pt>
                <c:pt idx="25">
                  <c:v>2.7103718837117246E-2</c:v>
                </c:pt>
                <c:pt idx="26">
                  <c:v>2.7103718837117246E-2</c:v>
                </c:pt>
                <c:pt idx="27">
                  <c:v>2.7103718837117246E-2</c:v>
                </c:pt>
                <c:pt idx="28">
                  <c:v>2.5132219651661396E-2</c:v>
                </c:pt>
                <c:pt idx="29">
                  <c:v>2.5132219651661396E-2</c:v>
                </c:pt>
                <c:pt idx="30">
                  <c:v>2.6363020870203532E-2</c:v>
                </c:pt>
                <c:pt idx="31">
                  <c:v>2.4487379856811781E-2</c:v>
                </c:pt>
                <c:pt idx="32">
                  <c:v>2.8252512096057933E-2</c:v>
                </c:pt>
                <c:pt idx="33">
                  <c:v>2.5943432446439485E-2</c:v>
                </c:pt>
                <c:pt idx="34">
                  <c:v>2.3955561917635169E-2</c:v>
                </c:pt>
                <c:pt idx="35">
                  <c:v>2.3955561917635169E-2</c:v>
                </c:pt>
                <c:pt idx="36">
                  <c:v>2.8002132576257013E-2</c:v>
                </c:pt>
                <c:pt idx="37">
                  <c:v>2.8002132576257013E-2</c:v>
                </c:pt>
                <c:pt idx="38">
                  <c:v>2.6086874040882488E-2</c:v>
                </c:pt>
                <c:pt idx="39">
                  <c:v>2.6086874040882488E-2</c:v>
                </c:pt>
                <c:pt idx="40">
                  <c:v>2.2093897064242442E-2</c:v>
                </c:pt>
                <c:pt idx="41">
                  <c:v>1.8308631687175825E-2</c:v>
                </c:pt>
                <c:pt idx="42">
                  <c:v>1.8308631687175825E-2</c:v>
                </c:pt>
                <c:pt idx="43">
                  <c:v>1.8308631687175825E-2</c:v>
                </c:pt>
                <c:pt idx="44">
                  <c:v>9.298650650754036E-3</c:v>
                </c:pt>
                <c:pt idx="45">
                  <c:v>7.5558323376063632E-3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TEÓRICA'!$E$8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TEÓRICA'!$B$9:$B$54</c:f>
              <c:numCache>
                <c:formatCode>0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'CURVA TEÓRICA'!$E$9:$E$54</c:f>
              <c:numCache>
                <c:formatCode>_("R$"* #,##0.00_);_("R$"* \(#,##0.00\);_("R$"* "-"??_);_(@_)</c:formatCode>
                <c:ptCount val="46"/>
                <c:pt idx="0">
                  <c:v>740763.50815551484</c:v>
                </c:pt>
                <c:pt idx="1">
                  <c:v>565069.27186436963</c:v>
                </c:pt>
                <c:pt idx="2">
                  <c:v>565069.27186436963</c:v>
                </c:pt>
                <c:pt idx="3">
                  <c:v>506424.37438646983</c:v>
                </c:pt>
                <c:pt idx="4">
                  <c:v>506424.37438646983</c:v>
                </c:pt>
                <c:pt idx="5">
                  <c:v>506424.37438646983</c:v>
                </c:pt>
                <c:pt idx="6">
                  <c:v>463932.03786080889</c:v>
                </c:pt>
                <c:pt idx="7">
                  <c:v>463932.03786080889</c:v>
                </c:pt>
                <c:pt idx="8">
                  <c:v>463932.03786080889</c:v>
                </c:pt>
                <c:pt idx="9">
                  <c:v>534344.64692080894</c:v>
                </c:pt>
                <c:pt idx="10">
                  <c:v>534344.64692080894</c:v>
                </c:pt>
                <c:pt idx="11">
                  <c:v>731239.19406366604</c:v>
                </c:pt>
                <c:pt idx="12">
                  <c:v>817923.33111128514</c:v>
                </c:pt>
                <c:pt idx="13">
                  <c:v>846344.13498271373</c:v>
                </c:pt>
                <c:pt idx="14">
                  <c:v>918244.00789938041</c:v>
                </c:pt>
                <c:pt idx="15">
                  <c:v>952062.34095652332</c:v>
                </c:pt>
                <c:pt idx="16">
                  <c:v>1017488.7118185924</c:v>
                </c:pt>
                <c:pt idx="17">
                  <c:v>1017488.7118185924</c:v>
                </c:pt>
                <c:pt idx="18">
                  <c:v>1017488.7118185924</c:v>
                </c:pt>
                <c:pt idx="19">
                  <c:v>1017488.7118185924</c:v>
                </c:pt>
                <c:pt idx="20">
                  <c:v>1017488.7118185924</c:v>
                </c:pt>
                <c:pt idx="21">
                  <c:v>1017488.7118185924</c:v>
                </c:pt>
                <c:pt idx="22">
                  <c:v>1017488.7118185924</c:v>
                </c:pt>
                <c:pt idx="23">
                  <c:v>1017488.7118185924</c:v>
                </c:pt>
                <c:pt idx="24">
                  <c:v>1017488.7118185924</c:v>
                </c:pt>
                <c:pt idx="25">
                  <c:v>1017488.7118185924</c:v>
                </c:pt>
                <c:pt idx="26">
                  <c:v>1017488.7118185924</c:v>
                </c:pt>
                <c:pt idx="27">
                  <c:v>1017488.7118185924</c:v>
                </c:pt>
                <c:pt idx="28">
                  <c:v>943477.53355128434</c:v>
                </c:pt>
                <c:pt idx="29">
                  <c:v>943477.53355128434</c:v>
                </c:pt>
                <c:pt idx="30">
                  <c:v>989682.49730128422</c:v>
                </c:pt>
                <c:pt idx="31">
                  <c:v>919269.88824128441</c:v>
                </c:pt>
                <c:pt idx="32">
                  <c:v>1060615.0510567604</c:v>
                </c:pt>
                <c:pt idx="33">
                  <c:v>973930.91400914139</c:v>
                </c:pt>
                <c:pt idx="34">
                  <c:v>899305.14638771291</c:v>
                </c:pt>
                <c:pt idx="35">
                  <c:v>899305.14638771291</c:v>
                </c:pt>
                <c:pt idx="36">
                  <c:v>1051215.66433057</c:v>
                </c:pt>
                <c:pt idx="37">
                  <c:v>1051215.66433057</c:v>
                </c:pt>
                <c:pt idx="38">
                  <c:v>979315.79141390347</c:v>
                </c:pt>
                <c:pt idx="39">
                  <c:v>979315.79141390347</c:v>
                </c:pt>
                <c:pt idx="40">
                  <c:v>829417.21016390342</c:v>
                </c:pt>
                <c:pt idx="41">
                  <c:v>687316.2381331342</c:v>
                </c:pt>
                <c:pt idx="42">
                  <c:v>687316.2381331342</c:v>
                </c:pt>
                <c:pt idx="43">
                  <c:v>687316.2381331342</c:v>
                </c:pt>
                <c:pt idx="44">
                  <c:v>349076.52817480086</c:v>
                </c:pt>
                <c:pt idx="45">
                  <c:v>283650.1573127319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TEÓRICA'!$B$9:$B$54</c:f>
              <c:numCache>
                <c:formatCode>0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xVal>
          <c:yVal>
            <c:numRef>
              <c:f>'CURVA TEÓRICA'!$F$9:$F$54</c:f>
              <c:numCache>
                <c:formatCode>_("R$"* #,##0.00_);_("R$"* \(#,##0.00\);_("R$"* "-"??_);_(@_)</c:formatCode>
                <c:ptCount val="46"/>
                <c:pt idx="0">
                  <c:v>740763.50815551484</c:v>
                </c:pt>
                <c:pt idx="1">
                  <c:v>1305832.7800198845</c:v>
                </c:pt>
                <c:pt idx="2">
                  <c:v>1870902.051884254</c:v>
                </c:pt>
                <c:pt idx="3">
                  <c:v>2377326.4262707238</c:v>
                </c:pt>
                <c:pt idx="4">
                  <c:v>2883750.8006571936</c:v>
                </c:pt>
                <c:pt idx="5">
                  <c:v>3390175.1750436635</c:v>
                </c:pt>
                <c:pt idx="6">
                  <c:v>3854107.2129044724</c:v>
                </c:pt>
                <c:pt idx="7">
                  <c:v>4318039.2507652808</c:v>
                </c:pt>
                <c:pt idx="8">
                  <c:v>4781971.2886260897</c:v>
                </c:pt>
                <c:pt idx="9">
                  <c:v>5316315.9355468983</c:v>
                </c:pt>
                <c:pt idx="10">
                  <c:v>5850660.5824677069</c:v>
                </c:pt>
                <c:pt idx="11">
                  <c:v>6581899.7765313732</c:v>
                </c:pt>
                <c:pt idx="12">
                  <c:v>7399823.1076426581</c:v>
                </c:pt>
                <c:pt idx="13">
                  <c:v>8246167.2426253716</c:v>
                </c:pt>
                <c:pt idx="14">
                  <c:v>9164411.2505247518</c:v>
                </c:pt>
                <c:pt idx="15">
                  <c:v>10116473.591481276</c:v>
                </c:pt>
                <c:pt idx="16">
                  <c:v>11133962.303299868</c:v>
                </c:pt>
                <c:pt idx="17">
                  <c:v>12151451.015118461</c:v>
                </c:pt>
                <c:pt idx="18">
                  <c:v>13168939.726937054</c:v>
                </c:pt>
                <c:pt idx="19">
                  <c:v>14186428.438755646</c:v>
                </c:pt>
                <c:pt idx="20">
                  <c:v>15203917.150574239</c:v>
                </c:pt>
                <c:pt idx="21">
                  <c:v>16221405.862392832</c:v>
                </c:pt>
                <c:pt idx="22">
                  <c:v>17238894.574211422</c:v>
                </c:pt>
                <c:pt idx="23">
                  <c:v>18256383.286030013</c:v>
                </c:pt>
                <c:pt idx="24">
                  <c:v>19273871.997848604</c:v>
                </c:pt>
                <c:pt idx="25">
                  <c:v>20291360.709667195</c:v>
                </c:pt>
                <c:pt idx="26">
                  <c:v>21308849.421485785</c:v>
                </c:pt>
                <c:pt idx="27">
                  <c:v>22326338.133304376</c:v>
                </c:pt>
                <c:pt idx="28">
                  <c:v>23269815.666855659</c:v>
                </c:pt>
                <c:pt idx="29">
                  <c:v>24213293.200406943</c:v>
                </c:pt>
                <c:pt idx="30">
                  <c:v>25202975.697708227</c:v>
                </c:pt>
                <c:pt idx="31">
                  <c:v>26122245.58594951</c:v>
                </c:pt>
                <c:pt idx="32">
                  <c:v>27182860.637006272</c:v>
                </c:pt>
                <c:pt idx="33">
                  <c:v>28156791.551015414</c:v>
                </c:pt>
                <c:pt idx="34">
                  <c:v>29056096.697403125</c:v>
                </c:pt>
                <c:pt idx="35">
                  <c:v>29955401.843790837</c:v>
                </c:pt>
                <c:pt idx="36">
                  <c:v>31006617.508121409</c:v>
                </c:pt>
                <c:pt idx="37">
                  <c:v>32057833.17245198</c:v>
                </c:pt>
                <c:pt idx="38">
                  <c:v>33037148.963865884</c:v>
                </c:pt>
                <c:pt idx="39">
                  <c:v>34016464.755279787</c:v>
                </c:pt>
                <c:pt idx="40">
                  <c:v>34845881.965443693</c:v>
                </c:pt>
                <c:pt idx="41">
                  <c:v>35533198.203576826</c:v>
                </c:pt>
                <c:pt idx="42">
                  <c:v>36220514.441709958</c:v>
                </c:pt>
                <c:pt idx="43">
                  <c:v>36907830.67984309</c:v>
                </c:pt>
                <c:pt idx="44">
                  <c:v>37256907.208017893</c:v>
                </c:pt>
                <c:pt idx="45">
                  <c:v>37540557.365330622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35</xdr:row>
      <xdr:rowOff>76200</xdr:rowOff>
    </xdr:from>
    <xdr:to>
      <xdr:col>45</xdr:col>
      <xdr:colOff>38117</xdr:colOff>
      <xdr:row>53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45</xdr:col>
      <xdr:colOff>38100</xdr:colOff>
      <xdr:row>34</xdr:row>
      <xdr:rowOff>285750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90651</xdr:colOff>
      <xdr:row>7</xdr:row>
      <xdr:rowOff>46431</xdr:rowOff>
    </xdr:from>
    <xdr:to>
      <xdr:col>85</xdr:col>
      <xdr:colOff>0</xdr:colOff>
      <xdr:row>34</xdr:row>
      <xdr:rowOff>285750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95578</xdr:colOff>
      <xdr:row>35</xdr:row>
      <xdr:rowOff>76199</xdr:rowOff>
    </xdr:from>
    <xdr:to>
      <xdr:col>85</xdr:col>
      <xdr:colOff>0</xdr:colOff>
      <xdr:row>53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BA1005"/>
  <sheetViews>
    <sheetView showGridLines="0" tabSelected="1" zoomScale="52" zoomScaleNormal="52" workbookViewId="0">
      <selection activeCell="AC20" sqref="AC20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48" width="6.28515625" customWidth="1"/>
    <col min="49" max="53" width="4.85546875" customWidth="1"/>
    <col min="54" max="54" width="6.5703125" bestFit="1" customWidth="1"/>
  </cols>
  <sheetData>
    <row r="1" spans="1:53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53" ht="9.75" customHeight="1" x14ac:dyDescent="0.6">
      <c r="A2" s="19"/>
      <c r="B2" s="101" t="s">
        <v>75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3"/>
      <c r="AW2" s="71"/>
      <c r="AX2" s="71"/>
      <c r="AY2" s="71"/>
      <c r="AZ2" s="71"/>
      <c r="BA2" s="71"/>
    </row>
    <row r="3" spans="1:53" ht="19.5" customHeight="1" x14ac:dyDescent="0.6">
      <c r="A3" s="19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6"/>
      <c r="AW3" s="71"/>
      <c r="AX3" s="71"/>
      <c r="AY3" s="71"/>
      <c r="AZ3" s="71"/>
      <c r="BA3" s="71"/>
    </row>
    <row r="4" spans="1:53" ht="19.5" customHeight="1" x14ac:dyDescent="0.6">
      <c r="A4" s="19"/>
      <c r="B4" s="107" t="s">
        <v>85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9"/>
      <c r="AW4" s="71"/>
      <c r="AX4" s="71"/>
      <c r="AY4" s="71"/>
      <c r="AZ4" s="71"/>
      <c r="BA4" s="71"/>
    </row>
    <row r="5" spans="1:53" ht="9.75" customHeight="1" x14ac:dyDescent="0.6">
      <c r="A5" s="19"/>
      <c r="B5" s="57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72"/>
      <c r="AW5" s="71"/>
      <c r="AX5" s="71"/>
      <c r="AY5" s="71"/>
      <c r="AZ5" s="71"/>
      <c r="BA5" s="71"/>
    </row>
    <row r="6" spans="1:53" ht="21.75" customHeight="1" thickBot="1" x14ac:dyDescent="0.65">
      <c r="A6" s="1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</row>
    <row r="7" spans="1:53" ht="21.75" customHeight="1" x14ac:dyDescent="0.6">
      <c r="A7" s="19"/>
      <c r="B7" s="91" t="s">
        <v>83</v>
      </c>
      <c r="C7" s="92" t="s">
        <v>1</v>
      </c>
      <c r="D7" s="92" t="s">
        <v>2</v>
      </c>
      <c r="E7" s="92" t="s">
        <v>3</v>
      </c>
      <c r="F7" s="92" t="s">
        <v>4</v>
      </c>
      <c r="G7" s="92" t="s">
        <v>5</v>
      </c>
      <c r="H7" s="92" t="s">
        <v>6</v>
      </c>
      <c r="I7" s="92" t="s">
        <v>7</v>
      </c>
      <c r="J7" s="92" t="s">
        <v>8</v>
      </c>
      <c r="K7" s="92" t="s">
        <v>9</v>
      </c>
      <c r="L7" s="92" t="s">
        <v>10</v>
      </c>
      <c r="M7" s="92" t="s">
        <v>11</v>
      </c>
      <c r="N7" s="92" t="s">
        <v>12</v>
      </c>
      <c r="O7" s="92" t="s">
        <v>13</v>
      </c>
      <c r="P7" s="92" t="s">
        <v>14</v>
      </c>
      <c r="Q7" s="92" t="s">
        <v>15</v>
      </c>
      <c r="R7" s="92" t="s">
        <v>16</v>
      </c>
      <c r="S7" s="92" t="s">
        <v>17</v>
      </c>
      <c r="T7" s="92" t="s">
        <v>18</v>
      </c>
      <c r="U7" s="92" t="s">
        <v>19</v>
      </c>
      <c r="V7" s="92" t="s">
        <v>20</v>
      </c>
      <c r="W7" s="92" t="s">
        <v>21</v>
      </c>
      <c r="X7" s="92" t="s">
        <v>22</v>
      </c>
      <c r="Y7" s="92" t="s">
        <v>23</v>
      </c>
      <c r="Z7" s="92" t="s">
        <v>24</v>
      </c>
      <c r="AA7" s="92" t="s">
        <v>25</v>
      </c>
      <c r="AB7" s="92" t="s">
        <v>26</v>
      </c>
      <c r="AC7" s="92" t="s">
        <v>27</v>
      </c>
      <c r="AD7" s="92" t="s">
        <v>28</v>
      </c>
      <c r="AE7" s="92" t="s">
        <v>29</v>
      </c>
      <c r="AF7" s="92" t="s">
        <v>30</v>
      </c>
      <c r="AG7" s="92" t="s">
        <v>31</v>
      </c>
      <c r="AH7" s="92" t="s">
        <v>32</v>
      </c>
      <c r="AI7" s="92" t="s">
        <v>33</v>
      </c>
      <c r="AJ7" s="92" t="s">
        <v>34</v>
      </c>
      <c r="AK7" s="92" t="s">
        <v>35</v>
      </c>
      <c r="AL7" s="92" t="s">
        <v>36</v>
      </c>
      <c r="AM7" s="92" t="s">
        <v>37</v>
      </c>
      <c r="AN7" s="92" t="s">
        <v>38</v>
      </c>
      <c r="AO7" s="92" t="s">
        <v>39</v>
      </c>
      <c r="AP7" s="92" t="s">
        <v>40</v>
      </c>
      <c r="AQ7" s="92" t="s">
        <v>77</v>
      </c>
      <c r="AR7" s="92" t="s">
        <v>78</v>
      </c>
      <c r="AS7" s="92" t="s">
        <v>79</v>
      </c>
      <c r="AT7" s="92" t="s">
        <v>80</v>
      </c>
      <c r="AU7" s="92" t="s">
        <v>81</v>
      </c>
      <c r="AV7" s="92" t="s">
        <v>82</v>
      </c>
    </row>
    <row r="8" spans="1:53" ht="21.75" customHeight="1" x14ac:dyDescent="0.6">
      <c r="A8" s="19"/>
      <c r="B8" s="93" t="s">
        <v>54</v>
      </c>
      <c r="C8" s="73">
        <v>1</v>
      </c>
      <c r="D8" s="73">
        <v>2</v>
      </c>
      <c r="E8" s="73">
        <v>3</v>
      </c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4"/>
    </row>
    <row r="9" spans="1:53" ht="21.75" customHeight="1" x14ac:dyDescent="0.6">
      <c r="A9" s="19"/>
      <c r="B9" s="95" t="s">
        <v>55</v>
      </c>
      <c r="C9" s="73">
        <v>1</v>
      </c>
      <c r="D9" s="73">
        <v>2</v>
      </c>
      <c r="E9" s="73">
        <v>3</v>
      </c>
      <c r="F9" s="73">
        <v>4</v>
      </c>
      <c r="G9" s="73">
        <v>5</v>
      </c>
      <c r="H9" s="73">
        <v>6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4"/>
    </row>
    <row r="10" spans="1:53" ht="21.75" customHeight="1" x14ac:dyDescent="0.6">
      <c r="A10" s="19"/>
      <c r="B10" s="93" t="s">
        <v>56</v>
      </c>
      <c r="C10" s="90"/>
      <c r="D10" s="90"/>
      <c r="E10" s="90"/>
      <c r="F10" s="90"/>
      <c r="G10" s="90"/>
      <c r="H10" s="90"/>
      <c r="I10" s="73">
        <v>1</v>
      </c>
      <c r="J10" s="73">
        <v>2</v>
      </c>
      <c r="K10" s="73">
        <v>3</v>
      </c>
      <c r="L10" s="73">
        <v>4</v>
      </c>
      <c r="M10" s="73">
        <v>5</v>
      </c>
      <c r="N10" s="73">
        <v>6</v>
      </c>
      <c r="O10" s="73">
        <v>7</v>
      </c>
      <c r="P10" s="73">
        <v>8</v>
      </c>
      <c r="Q10" s="73">
        <v>9</v>
      </c>
      <c r="R10" s="73">
        <v>10</v>
      </c>
      <c r="S10" s="73">
        <v>11</v>
      </c>
      <c r="T10" s="73">
        <v>12</v>
      </c>
      <c r="U10" s="73">
        <v>13</v>
      </c>
      <c r="V10" s="73">
        <v>14</v>
      </c>
      <c r="W10" s="73">
        <v>15</v>
      </c>
      <c r="X10" s="73">
        <v>16</v>
      </c>
      <c r="Y10" s="73">
        <v>17</v>
      </c>
      <c r="Z10" s="73">
        <v>18</v>
      </c>
      <c r="AA10" s="73">
        <v>19</v>
      </c>
      <c r="AB10" s="73">
        <v>20</v>
      </c>
      <c r="AC10" s="73">
        <v>21</v>
      </c>
      <c r="AD10" s="73">
        <v>22</v>
      </c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4"/>
    </row>
    <row r="11" spans="1:53" ht="21.75" customHeight="1" x14ac:dyDescent="0.6">
      <c r="A11" s="19"/>
      <c r="B11" s="96" t="s">
        <v>57</v>
      </c>
      <c r="C11" s="90"/>
      <c r="D11" s="90"/>
      <c r="E11" s="90"/>
      <c r="F11" s="90"/>
      <c r="G11" s="90"/>
      <c r="H11" s="90"/>
      <c r="I11" s="90"/>
      <c r="J11" s="90"/>
      <c r="K11" s="90"/>
      <c r="L11" s="73">
        <v>1</v>
      </c>
      <c r="M11" s="73">
        <v>2</v>
      </c>
      <c r="N11" s="73">
        <v>3</v>
      </c>
      <c r="O11" s="73">
        <v>4</v>
      </c>
      <c r="P11" s="73">
        <v>5</v>
      </c>
      <c r="Q11" s="73">
        <v>6</v>
      </c>
      <c r="R11" s="73">
        <v>7</v>
      </c>
      <c r="S11" s="73">
        <v>8</v>
      </c>
      <c r="T11" s="73">
        <v>9</v>
      </c>
      <c r="U11" s="73">
        <v>10</v>
      </c>
      <c r="V11" s="73">
        <v>11</v>
      </c>
      <c r="W11" s="73">
        <v>12</v>
      </c>
      <c r="X11" s="73">
        <v>13</v>
      </c>
      <c r="Y11" s="73">
        <v>14</v>
      </c>
      <c r="Z11" s="73">
        <v>15</v>
      </c>
      <c r="AA11" s="73">
        <v>16</v>
      </c>
      <c r="AB11" s="73">
        <v>17</v>
      </c>
      <c r="AC11" s="73">
        <v>18</v>
      </c>
      <c r="AD11" s="73">
        <v>19</v>
      </c>
      <c r="AE11" s="73">
        <v>20</v>
      </c>
      <c r="AF11" s="73">
        <v>21</v>
      </c>
      <c r="AG11" s="73">
        <v>22</v>
      </c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4"/>
    </row>
    <row r="12" spans="1:53" ht="21.75" customHeight="1" x14ac:dyDescent="0.6">
      <c r="A12" s="19"/>
      <c r="B12" s="93" t="s">
        <v>58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73">
        <v>1</v>
      </c>
      <c r="O12" s="73">
        <v>2</v>
      </c>
      <c r="P12" s="73">
        <v>3</v>
      </c>
      <c r="Q12" s="73">
        <v>4</v>
      </c>
      <c r="R12" s="73">
        <v>5</v>
      </c>
      <c r="S12" s="73">
        <v>6</v>
      </c>
      <c r="T12" s="73">
        <v>7</v>
      </c>
      <c r="U12" s="73">
        <v>8</v>
      </c>
      <c r="V12" s="73">
        <v>9</v>
      </c>
      <c r="W12" s="73">
        <v>10</v>
      </c>
      <c r="X12" s="73">
        <v>11</v>
      </c>
      <c r="Y12" s="73">
        <v>12</v>
      </c>
      <c r="Z12" s="73">
        <v>13</v>
      </c>
      <c r="AA12" s="73">
        <v>14</v>
      </c>
      <c r="AB12" s="73">
        <v>15</v>
      </c>
      <c r="AC12" s="73">
        <v>16</v>
      </c>
      <c r="AD12" s="73">
        <v>17</v>
      </c>
      <c r="AE12" s="73">
        <v>18</v>
      </c>
      <c r="AF12" s="73">
        <v>19</v>
      </c>
      <c r="AG12" s="73">
        <v>20</v>
      </c>
      <c r="AH12" s="73">
        <v>21</v>
      </c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4"/>
    </row>
    <row r="13" spans="1:53" ht="21.75" customHeight="1" x14ac:dyDescent="0.6">
      <c r="A13" s="19"/>
      <c r="B13" s="96" t="s">
        <v>59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73">
        <v>1</v>
      </c>
      <c r="AF13" s="73">
        <v>2</v>
      </c>
      <c r="AG13" s="73">
        <v>3</v>
      </c>
      <c r="AH13" s="73">
        <v>4</v>
      </c>
      <c r="AI13" s="73">
        <v>5</v>
      </c>
      <c r="AJ13" s="73">
        <v>6</v>
      </c>
      <c r="AK13" s="73">
        <v>7</v>
      </c>
      <c r="AL13" s="73">
        <v>8</v>
      </c>
      <c r="AM13" s="73">
        <v>9</v>
      </c>
      <c r="AN13" s="73">
        <v>10</v>
      </c>
      <c r="AO13" s="73">
        <v>11</v>
      </c>
      <c r="AP13" s="73">
        <v>12</v>
      </c>
      <c r="AQ13" s="90"/>
      <c r="AR13" s="90"/>
      <c r="AS13" s="90"/>
      <c r="AT13" s="90"/>
      <c r="AU13" s="90"/>
      <c r="AV13" s="94"/>
    </row>
    <row r="14" spans="1:53" ht="21.75" customHeight="1" x14ac:dyDescent="0.6">
      <c r="A14" s="19"/>
      <c r="B14" s="93" t="s">
        <v>60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73">
        <v>1</v>
      </c>
      <c r="Q14" s="73">
        <v>2</v>
      </c>
      <c r="R14" s="73">
        <v>3</v>
      </c>
      <c r="S14" s="73">
        <v>4</v>
      </c>
      <c r="T14" s="73">
        <v>5</v>
      </c>
      <c r="U14" s="73">
        <v>6</v>
      </c>
      <c r="V14" s="73">
        <v>7</v>
      </c>
      <c r="W14" s="73">
        <v>8</v>
      </c>
      <c r="X14" s="73">
        <v>9</v>
      </c>
      <c r="Y14" s="73">
        <v>10</v>
      </c>
      <c r="Z14" s="73">
        <v>11</v>
      </c>
      <c r="AA14" s="73">
        <v>12</v>
      </c>
      <c r="AB14" s="73">
        <v>13</v>
      </c>
      <c r="AC14" s="73">
        <v>14</v>
      </c>
      <c r="AD14" s="73">
        <v>15</v>
      </c>
      <c r="AE14" s="73">
        <v>16</v>
      </c>
      <c r="AF14" s="73">
        <v>17</v>
      </c>
      <c r="AG14" s="73">
        <v>18</v>
      </c>
      <c r="AH14" s="73">
        <v>19</v>
      </c>
      <c r="AI14" s="73">
        <v>20</v>
      </c>
      <c r="AJ14" s="73">
        <v>21</v>
      </c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4"/>
    </row>
    <row r="15" spans="1:53" ht="23.25" customHeight="1" x14ac:dyDescent="0.6">
      <c r="A15" s="19"/>
      <c r="B15" s="96" t="s">
        <v>61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73">
        <v>1</v>
      </c>
      <c r="P15" s="73">
        <v>2</v>
      </c>
      <c r="Q15" s="73">
        <v>3</v>
      </c>
      <c r="R15" s="73">
        <v>4</v>
      </c>
      <c r="S15" s="73">
        <v>5</v>
      </c>
      <c r="T15" s="73">
        <v>6</v>
      </c>
      <c r="U15" s="73">
        <v>7</v>
      </c>
      <c r="V15" s="73">
        <v>8</v>
      </c>
      <c r="W15" s="73">
        <v>9</v>
      </c>
      <c r="X15" s="73">
        <v>10</v>
      </c>
      <c r="Y15" s="73">
        <v>11</v>
      </c>
      <c r="Z15" s="73">
        <v>12</v>
      </c>
      <c r="AA15" s="73">
        <v>13</v>
      </c>
      <c r="AB15" s="73">
        <v>14</v>
      </c>
      <c r="AC15" s="73">
        <v>15</v>
      </c>
      <c r="AD15" s="73">
        <v>16</v>
      </c>
      <c r="AE15" s="73">
        <v>17</v>
      </c>
      <c r="AF15" s="73">
        <v>18</v>
      </c>
      <c r="AG15" s="73">
        <v>19</v>
      </c>
      <c r="AH15" s="73">
        <v>20</v>
      </c>
      <c r="AI15" s="73">
        <v>21</v>
      </c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4"/>
    </row>
    <row r="16" spans="1:53" ht="23.25" customHeight="1" x14ac:dyDescent="0.6">
      <c r="A16" s="19"/>
      <c r="B16" s="93" t="s">
        <v>62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73">
        <v>1</v>
      </c>
      <c r="S16" s="73">
        <v>2</v>
      </c>
      <c r="T16" s="73">
        <v>3</v>
      </c>
      <c r="U16" s="73">
        <v>4</v>
      </c>
      <c r="V16" s="73">
        <v>5</v>
      </c>
      <c r="W16" s="73">
        <v>6</v>
      </c>
      <c r="X16" s="73">
        <v>7</v>
      </c>
      <c r="Y16" s="73">
        <v>8</v>
      </c>
      <c r="Z16" s="73">
        <v>9</v>
      </c>
      <c r="AA16" s="73">
        <v>10</v>
      </c>
      <c r="AB16" s="73">
        <v>11</v>
      </c>
      <c r="AC16" s="73">
        <v>12</v>
      </c>
      <c r="AD16" s="73">
        <v>13</v>
      </c>
      <c r="AE16" s="73">
        <v>14</v>
      </c>
      <c r="AF16" s="73">
        <v>15</v>
      </c>
      <c r="AG16" s="73">
        <v>16</v>
      </c>
      <c r="AH16" s="73">
        <v>17</v>
      </c>
      <c r="AI16" s="73">
        <v>18</v>
      </c>
      <c r="AJ16" s="73">
        <v>19</v>
      </c>
      <c r="AK16" s="73">
        <v>20</v>
      </c>
      <c r="AL16" s="73">
        <v>21</v>
      </c>
      <c r="AM16" s="90"/>
      <c r="AN16" s="90"/>
      <c r="AO16" s="90"/>
      <c r="AP16" s="90"/>
      <c r="AQ16" s="90"/>
      <c r="AR16" s="90"/>
      <c r="AS16" s="90"/>
      <c r="AT16" s="90"/>
      <c r="AU16" s="90"/>
      <c r="AV16" s="94"/>
    </row>
    <row r="17" spans="1:48" ht="23.25" customHeight="1" x14ac:dyDescent="0.6">
      <c r="A17" s="19"/>
      <c r="B17" s="96" t="s">
        <v>63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73">
        <v>1</v>
      </c>
      <c r="R17" s="73">
        <v>2</v>
      </c>
      <c r="S17" s="73">
        <v>3</v>
      </c>
      <c r="T17" s="73">
        <v>4</v>
      </c>
      <c r="U17" s="73">
        <v>5</v>
      </c>
      <c r="V17" s="73">
        <v>6</v>
      </c>
      <c r="W17" s="73">
        <v>7</v>
      </c>
      <c r="X17" s="73">
        <v>8</v>
      </c>
      <c r="Y17" s="73">
        <v>9</v>
      </c>
      <c r="Z17" s="73">
        <v>10</v>
      </c>
      <c r="AA17" s="73">
        <v>11</v>
      </c>
      <c r="AB17" s="73">
        <v>12</v>
      </c>
      <c r="AC17" s="73">
        <v>13</v>
      </c>
      <c r="AD17" s="73">
        <v>14</v>
      </c>
      <c r="AE17" s="73">
        <v>15</v>
      </c>
      <c r="AF17" s="73">
        <v>16</v>
      </c>
      <c r="AG17" s="73">
        <v>17</v>
      </c>
      <c r="AH17" s="73">
        <v>18</v>
      </c>
      <c r="AI17" s="73">
        <v>19</v>
      </c>
      <c r="AJ17" s="73">
        <v>20</v>
      </c>
      <c r="AK17" s="73">
        <v>21</v>
      </c>
      <c r="AL17" s="73">
        <v>22</v>
      </c>
      <c r="AM17" s="73">
        <v>23</v>
      </c>
      <c r="AN17" s="73">
        <v>24</v>
      </c>
      <c r="AO17" s="90"/>
      <c r="AP17" s="90"/>
      <c r="AQ17" s="90"/>
      <c r="AR17" s="90"/>
      <c r="AS17" s="90"/>
      <c r="AT17" s="90"/>
      <c r="AU17" s="90"/>
      <c r="AV17" s="94"/>
    </row>
    <row r="18" spans="1:48" ht="23.25" customHeight="1" x14ac:dyDescent="0.6">
      <c r="A18" s="19"/>
      <c r="B18" s="93" t="s">
        <v>64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73">
        <v>1</v>
      </c>
      <c r="T18" s="73">
        <v>2</v>
      </c>
      <c r="U18" s="73">
        <v>3</v>
      </c>
      <c r="V18" s="73">
        <v>4</v>
      </c>
      <c r="W18" s="73">
        <v>5</v>
      </c>
      <c r="X18" s="73">
        <v>6</v>
      </c>
      <c r="Y18" s="73">
        <v>7</v>
      </c>
      <c r="Z18" s="73">
        <v>8</v>
      </c>
      <c r="AA18" s="73">
        <v>9</v>
      </c>
      <c r="AB18" s="73">
        <v>10</v>
      </c>
      <c r="AC18" s="73">
        <v>11</v>
      </c>
      <c r="AD18" s="73">
        <v>12</v>
      </c>
      <c r="AE18" s="73">
        <v>13</v>
      </c>
      <c r="AF18" s="73">
        <v>14</v>
      </c>
      <c r="AG18" s="73">
        <v>15</v>
      </c>
      <c r="AH18" s="73">
        <v>16</v>
      </c>
      <c r="AI18" s="73">
        <v>17</v>
      </c>
      <c r="AJ18" s="73">
        <v>18</v>
      </c>
      <c r="AK18" s="73">
        <v>19</v>
      </c>
      <c r="AL18" s="73">
        <v>20</v>
      </c>
      <c r="AM18" s="73">
        <v>21</v>
      </c>
      <c r="AN18" s="73">
        <v>22</v>
      </c>
      <c r="AO18" s="73">
        <v>23</v>
      </c>
      <c r="AP18" s="73">
        <v>24</v>
      </c>
      <c r="AQ18" s="73">
        <v>25</v>
      </c>
      <c r="AR18" s="73">
        <v>26</v>
      </c>
      <c r="AS18" s="73">
        <v>27</v>
      </c>
      <c r="AT18" s="73">
        <v>28</v>
      </c>
      <c r="AU18" s="73">
        <v>29</v>
      </c>
      <c r="AV18" s="94"/>
    </row>
    <row r="19" spans="1:48" ht="23.25" customHeight="1" x14ac:dyDescent="0.6">
      <c r="A19" s="19"/>
      <c r="B19" s="96" t="s">
        <v>65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73">
        <v>1</v>
      </c>
      <c r="AJ19" s="73">
        <v>2</v>
      </c>
      <c r="AK19" s="73">
        <v>3</v>
      </c>
      <c r="AL19" s="73">
        <v>4</v>
      </c>
      <c r="AM19" s="73">
        <v>5</v>
      </c>
      <c r="AN19" s="73">
        <v>6</v>
      </c>
      <c r="AO19" s="73">
        <v>7</v>
      </c>
      <c r="AP19" s="73">
        <v>8</v>
      </c>
      <c r="AQ19" s="73">
        <v>9</v>
      </c>
      <c r="AR19" s="73">
        <v>10</v>
      </c>
      <c r="AS19" s="73">
        <v>11</v>
      </c>
      <c r="AT19" s="73">
        <v>12</v>
      </c>
      <c r="AU19" s="90"/>
      <c r="AV19" s="94"/>
    </row>
    <row r="20" spans="1:48" ht="23.25" customHeight="1" x14ac:dyDescent="0.6">
      <c r="A20" s="19"/>
      <c r="B20" s="93" t="s">
        <v>66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73">
        <v>1</v>
      </c>
      <c r="AH20" s="73">
        <v>2</v>
      </c>
      <c r="AI20" s="73">
        <v>3</v>
      </c>
      <c r="AJ20" s="73">
        <v>4</v>
      </c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4"/>
    </row>
    <row r="21" spans="1:48" ht="23.25" customHeight="1" x14ac:dyDescent="0.6">
      <c r="A21" s="19"/>
      <c r="B21" s="96" t="s">
        <v>67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73">
        <v>1</v>
      </c>
      <c r="AG21" s="73">
        <v>2</v>
      </c>
      <c r="AH21" s="73">
        <v>3</v>
      </c>
      <c r="AI21" s="73">
        <v>4</v>
      </c>
      <c r="AJ21" s="73">
        <v>5</v>
      </c>
      <c r="AK21" s="73">
        <v>6</v>
      </c>
      <c r="AL21" s="73">
        <v>7</v>
      </c>
      <c r="AM21" s="73">
        <v>8</v>
      </c>
      <c r="AN21" s="73">
        <v>9</v>
      </c>
      <c r="AO21" s="73">
        <v>10</v>
      </c>
      <c r="AP21" s="73">
        <v>11</v>
      </c>
      <c r="AQ21" s="73">
        <v>12</v>
      </c>
      <c r="AR21" s="90"/>
      <c r="AS21" s="90"/>
      <c r="AT21" s="90"/>
      <c r="AU21" s="90"/>
      <c r="AV21" s="94"/>
    </row>
    <row r="22" spans="1:48" ht="23.25" customHeight="1" thickBot="1" x14ac:dyDescent="0.65">
      <c r="A22" s="19"/>
      <c r="B22" s="97" t="s">
        <v>68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9">
        <v>1</v>
      </c>
      <c r="AN22" s="99">
        <v>2</v>
      </c>
      <c r="AO22" s="99">
        <v>3</v>
      </c>
      <c r="AP22" s="99">
        <v>4</v>
      </c>
      <c r="AQ22" s="99">
        <v>5</v>
      </c>
      <c r="AR22" s="99">
        <v>6</v>
      </c>
      <c r="AS22" s="99">
        <v>7</v>
      </c>
      <c r="AT22" s="99">
        <v>8</v>
      </c>
      <c r="AU22" s="99">
        <v>9</v>
      </c>
      <c r="AV22" s="100">
        <v>10</v>
      </c>
    </row>
    <row r="23" spans="1:48" ht="21.75" customHeight="1" x14ac:dyDescent="0.6">
      <c r="A23" s="19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</row>
    <row r="24" spans="1:48" ht="21.75" customHeight="1" x14ac:dyDescent="0.6">
      <c r="A24" s="19"/>
    </row>
    <row r="25" spans="1:48" ht="21.75" customHeight="1" x14ac:dyDescent="0.6">
      <c r="A25" s="19"/>
    </row>
    <row r="26" spans="1:48" ht="21.75" customHeight="1" x14ac:dyDescent="0.6">
      <c r="A26" s="19"/>
    </row>
    <row r="27" spans="1:48" ht="21.75" customHeight="1" x14ac:dyDescent="0.6">
      <c r="A27" s="19"/>
    </row>
    <row r="28" spans="1:48" ht="21.75" customHeight="1" x14ac:dyDescent="0.6">
      <c r="A28" s="19"/>
    </row>
    <row r="29" spans="1:48" ht="21.75" customHeight="1" x14ac:dyDescent="0.6">
      <c r="A29" s="19"/>
    </row>
    <row r="30" spans="1:48" ht="21.75" customHeight="1" x14ac:dyDescent="0.6">
      <c r="A30" s="19"/>
    </row>
    <row r="31" spans="1:48" ht="21.75" customHeight="1" x14ac:dyDescent="0.6">
      <c r="A31" s="19"/>
    </row>
    <row r="32" spans="1:48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1"/>
      <c r="M32" s="21"/>
      <c r="N32" s="21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21"/>
      <c r="N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1"/>
      <c r="O113" s="21"/>
      <c r="P113" s="21"/>
    </row>
    <row r="114" spans="1:19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21.75" customHeight="1" x14ac:dyDescent="0.6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6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21"/>
      <c r="R229" s="21"/>
      <c r="S229" s="21"/>
    </row>
    <row r="230" spans="7:19" ht="15.75" customHeight="1" x14ac:dyDescent="0.25"/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</sheetData>
  <mergeCells count="2">
    <mergeCell ref="B2:AV3"/>
    <mergeCell ref="B4:AV4"/>
  </mergeCells>
  <phoneticPr fontId="2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CV839"/>
  <sheetViews>
    <sheetView showGridLines="0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H29" sqref="H29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6" width="20" style="1" customWidth="1"/>
    <col min="7" max="7" width="3.7109375" customWidth="1"/>
    <col min="8" max="8" width="8.42578125" bestFit="1" customWidth="1"/>
    <col min="9" max="9" width="22.28515625" bestFit="1" customWidth="1"/>
    <col min="10" max="10" width="8.42578125" bestFit="1" customWidth="1"/>
    <col min="11" max="11" width="20.85546875" bestFit="1" customWidth="1"/>
    <col min="12" max="12" width="8" bestFit="1" customWidth="1"/>
    <col min="13" max="13" width="20.85546875" bestFit="1" customWidth="1"/>
    <col min="14" max="14" width="8" bestFit="1" customWidth="1"/>
    <col min="15" max="15" width="20.85546875" bestFit="1" customWidth="1"/>
    <col min="16" max="16" width="8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7.28515625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7.28515625" bestFit="1" customWidth="1"/>
    <col min="67" max="67" width="23.28515625" bestFit="1" customWidth="1"/>
    <col min="68" max="68" width="8.425781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8.140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8" bestFit="1" customWidth="1"/>
    <col min="81" max="81" width="23.28515625" bestFit="1" customWidth="1"/>
    <col min="82" max="82" width="7.28515625" bestFit="1" customWidth="1"/>
    <col min="83" max="83" width="22.7109375" bestFit="1" customWidth="1"/>
    <col min="84" max="84" width="7.28515625" bestFit="1" customWidth="1"/>
    <col min="85" max="85" width="23.28515625" bestFit="1" customWidth="1"/>
    <col min="86" max="86" width="7.28515625" bestFit="1" customWidth="1"/>
    <col min="87" max="87" width="23.28515625" bestFit="1" customWidth="1"/>
    <col min="88" max="88" width="7.28515625" bestFit="1" customWidth="1"/>
    <col min="89" max="89" width="23.28515625" bestFit="1" customWidth="1"/>
    <col min="90" max="90" width="7.28515625" bestFit="1" customWidth="1"/>
    <col min="91" max="91" width="22.7109375" bestFit="1" customWidth="1"/>
    <col min="92" max="92" width="8.42578125" bestFit="1" customWidth="1"/>
    <col min="93" max="93" width="23.7109375" bestFit="1" customWidth="1"/>
    <col min="94" max="94" width="7.28515625" bestFit="1" customWidth="1"/>
    <col min="95" max="95" width="22.7109375" bestFit="1" customWidth="1"/>
    <col min="96" max="96" width="7.28515625" bestFit="1" customWidth="1"/>
    <col min="97" max="97" width="22.7109375" bestFit="1" customWidth="1"/>
    <col min="98" max="98" width="8" bestFit="1" customWidth="1"/>
    <col min="99" max="99" width="23.7109375" bestFit="1" customWidth="1"/>
    <col min="100" max="100" width="20.85546875" bestFit="1" customWidth="1"/>
  </cols>
  <sheetData>
    <row r="2" spans="2:99" ht="15" customHeight="1" x14ac:dyDescent="0.25">
      <c r="B2" s="111" t="s">
        <v>76</v>
      </c>
      <c r="C2" s="112"/>
      <c r="D2" s="112"/>
      <c r="E2" s="112"/>
      <c r="F2" s="112"/>
      <c r="G2" s="112"/>
      <c r="H2" s="113"/>
    </row>
    <row r="3" spans="2:99" ht="22.5" customHeight="1" x14ac:dyDescent="0.25">
      <c r="B3" s="114"/>
      <c r="C3" s="115"/>
      <c r="D3" s="115"/>
      <c r="E3" s="115"/>
      <c r="F3" s="115"/>
      <c r="G3" s="115"/>
      <c r="H3" s="116"/>
    </row>
    <row r="4" spans="2:99" ht="26.25" customHeight="1" x14ac:dyDescent="0.4">
      <c r="B4" s="117" t="s">
        <v>85</v>
      </c>
      <c r="C4" s="118"/>
      <c r="D4" s="118"/>
      <c r="E4" s="118"/>
      <c r="F4" s="118"/>
      <c r="G4" s="118"/>
      <c r="H4" s="119"/>
    </row>
    <row r="5" spans="2:99" ht="13.5" customHeight="1" x14ac:dyDescent="0.25">
      <c r="B5" s="57"/>
      <c r="C5" s="58"/>
      <c r="D5" s="58"/>
      <c r="E5" s="58"/>
      <c r="F5" s="58"/>
      <c r="G5" s="60"/>
      <c r="H5" s="61"/>
    </row>
    <row r="6" spans="2:99" ht="15" customHeight="1" thickBot="1" x14ac:dyDescent="0.3"/>
    <row r="7" spans="2:99" ht="19.5" customHeight="1" x14ac:dyDescent="0.25">
      <c r="B7" s="120" t="s">
        <v>47</v>
      </c>
      <c r="C7" s="122" t="s">
        <v>48</v>
      </c>
      <c r="D7" s="122" t="s">
        <v>49</v>
      </c>
      <c r="E7" s="124" t="s">
        <v>50</v>
      </c>
      <c r="F7" s="127" t="s">
        <v>84</v>
      </c>
      <c r="H7" s="126" t="s">
        <v>1</v>
      </c>
      <c r="I7" s="110"/>
      <c r="J7" s="110" t="s">
        <v>2</v>
      </c>
      <c r="K7" s="110"/>
      <c r="L7" s="110" t="s">
        <v>3</v>
      </c>
      <c r="M7" s="110"/>
      <c r="N7" s="110" t="s">
        <v>4</v>
      </c>
      <c r="O7" s="110"/>
      <c r="P7" s="110" t="s">
        <v>5</v>
      </c>
      <c r="Q7" s="110"/>
      <c r="R7" s="110" t="s">
        <v>6</v>
      </c>
      <c r="S7" s="110"/>
      <c r="T7" s="110" t="s">
        <v>7</v>
      </c>
      <c r="U7" s="110"/>
      <c r="V7" s="110" t="s">
        <v>8</v>
      </c>
      <c r="W7" s="110"/>
      <c r="X7" s="110" t="s">
        <v>9</v>
      </c>
      <c r="Y7" s="110"/>
      <c r="Z7" s="110" t="s">
        <v>10</v>
      </c>
      <c r="AA7" s="110"/>
      <c r="AB7" s="110" t="s">
        <v>11</v>
      </c>
      <c r="AC7" s="110"/>
      <c r="AD7" s="110" t="s">
        <v>12</v>
      </c>
      <c r="AE7" s="110"/>
      <c r="AF7" s="110" t="s">
        <v>13</v>
      </c>
      <c r="AG7" s="110"/>
      <c r="AH7" s="110" t="s">
        <v>14</v>
      </c>
      <c r="AI7" s="110"/>
      <c r="AJ7" s="110" t="s">
        <v>15</v>
      </c>
      <c r="AK7" s="110"/>
      <c r="AL7" s="110" t="s">
        <v>16</v>
      </c>
      <c r="AM7" s="110"/>
      <c r="AN7" s="110" t="s">
        <v>17</v>
      </c>
      <c r="AO7" s="110"/>
      <c r="AP7" s="110" t="s">
        <v>18</v>
      </c>
      <c r="AQ7" s="110"/>
      <c r="AR7" s="110" t="s">
        <v>19</v>
      </c>
      <c r="AS7" s="110"/>
      <c r="AT7" s="110" t="s">
        <v>20</v>
      </c>
      <c r="AU7" s="110"/>
      <c r="AV7" s="110" t="s">
        <v>21</v>
      </c>
      <c r="AW7" s="110"/>
      <c r="AX7" s="110" t="s">
        <v>22</v>
      </c>
      <c r="AY7" s="110"/>
      <c r="AZ7" s="110" t="s">
        <v>23</v>
      </c>
      <c r="BA7" s="110"/>
      <c r="BB7" s="110" t="s">
        <v>24</v>
      </c>
      <c r="BC7" s="110"/>
      <c r="BD7" s="110" t="s">
        <v>25</v>
      </c>
      <c r="BE7" s="110"/>
      <c r="BF7" s="110" t="s">
        <v>26</v>
      </c>
      <c r="BG7" s="110"/>
      <c r="BH7" s="110" t="s">
        <v>27</v>
      </c>
      <c r="BI7" s="110"/>
      <c r="BJ7" s="110" t="s">
        <v>28</v>
      </c>
      <c r="BK7" s="110"/>
      <c r="BL7" s="110" t="s">
        <v>29</v>
      </c>
      <c r="BM7" s="110"/>
      <c r="BN7" s="110" t="s">
        <v>30</v>
      </c>
      <c r="BO7" s="110"/>
      <c r="BP7" s="110" t="s">
        <v>31</v>
      </c>
      <c r="BQ7" s="110"/>
      <c r="BR7" s="110" t="s">
        <v>32</v>
      </c>
      <c r="BS7" s="110"/>
      <c r="BT7" s="110" t="s">
        <v>33</v>
      </c>
      <c r="BU7" s="110"/>
      <c r="BV7" s="110" t="s">
        <v>34</v>
      </c>
      <c r="BW7" s="110"/>
      <c r="BX7" s="110" t="s">
        <v>35</v>
      </c>
      <c r="BY7" s="110"/>
      <c r="BZ7" s="110" t="s">
        <v>36</v>
      </c>
      <c r="CA7" s="110"/>
      <c r="CB7" s="110" t="s">
        <v>37</v>
      </c>
      <c r="CC7" s="110"/>
      <c r="CD7" s="110" t="s">
        <v>38</v>
      </c>
      <c r="CE7" s="110"/>
      <c r="CF7" s="110" t="s">
        <v>39</v>
      </c>
      <c r="CG7" s="110"/>
      <c r="CH7" s="110" t="s">
        <v>40</v>
      </c>
      <c r="CI7" s="129"/>
      <c r="CJ7" s="110" t="s">
        <v>77</v>
      </c>
      <c r="CK7" s="129"/>
      <c r="CL7" s="110" t="s">
        <v>78</v>
      </c>
      <c r="CM7" s="129"/>
      <c r="CN7" s="110" t="s">
        <v>79</v>
      </c>
      <c r="CO7" s="129"/>
      <c r="CP7" s="110" t="s">
        <v>80</v>
      </c>
      <c r="CQ7" s="129"/>
      <c r="CR7" s="110" t="s">
        <v>81</v>
      </c>
      <c r="CS7" s="129"/>
      <c r="CT7" s="110" t="s">
        <v>82</v>
      </c>
      <c r="CU7" s="129"/>
    </row>
    <row r="8" spans="2:99" ht="19.5" customHeight="1" x14ac:dyDescent="0.25">
      <c r="B8" s="121"/>
      <c r="C8" s="123"/>
      <c r="D8" s="123"/>
      <c r="E8" s="125"/>
      <c r="F8" s="128"/>
      <c r="H8" s="25" t="s">
        <v>49</v>
      </c>
      <c r="I8" s="34" t="s">
        <v>72</v>
      </c>
      <c r="J8" s="34" t="s">
        <v>49</v>
      </c>
      <c r="K8" s="34" t="s">
        <v>72</v>
      </c>
      <c r="L8" s="34" t="s">
        <v>49</v>
      </c>
      <c r="M8" s="34" t="s">
        <v>72</v>
      </c>
      <c r="N8" s="34" t="s">
        <v>49</v>
      </c>
      <c r="O8" s="34" t="s">
        <v>72</v>
      </c>
      <c r="P8" s="34" t="s">
        <v>49</v>
      </c>
      <c r="Q8" s="34" t="s">
        <v>72</v>
      </c>
      <c r="R8" s="34" t="s">
        <v>49</v>
      </c>
      <c r="S8" s="34" t="s">
        <v>72</v>
      </c>
      <c r="T8" s="34" t="s">
        <v>49</v>
      </c>
      <c r="U8" s="34" t="s">
        <v>72</v>
      </c>
      <c r="V8" s="34" t="s">
        <v>49</v>
      </c>
      <c r="W8" s="34" t="s">
        <v>72</v>
      </c>
      <c r="X8" s="34" t="s">
        <v>49</v>
      </c>
      <c r="Y8" s="34" t="s">
        <v>72</v>
      </c>
      <c r="Z8" s="34" t="s">
        <v>49</v>
      </c>
      <c r="AA8" s="34" t="s">
        <v>72</v>
      </c>
      <c r="AB8" s="34" t="s">
        <v>49</v>
      </c>
      <c r="AC8" s="34" t="s">
        <v>72</v>
      </c>
      <c r="AD8" s="34" t="s">
        <v>49</v>
      </c>
      <c r="AE8" s="34" t="s">
        <v>72</v>
      </c>
      <c r="AF8" s="34" t="s">
        <v>49</v>
      </c>
      <c r="AG8" s="34" t="s">
        <v>72</v>
      </c>
      <c r="AH8" s="34" t="s">
        <v>49</v>
      </c>
      <c r="AI8" s="34" t="s">
        <v>72</v>
      </c>
      <c r="AJ8" s="34" t="s">
        <v>49</v>
      </c>
      <c r="AK8" s="34" t="s">
        <v>72</v>
      </c>
      <c r="AL8" s="34" t="s">
        <v>49</v>
      </c>
      <c r="AM8" s="34" t="s">
        <v>72</v>
      </c>
      <c r="AN8" s="34" t="s">
        <v>49</v>
      </c>
      <c r="AO8" s="34" t="s">
        <v>72</v>
      </c>
      <c r="AP8" s="34" t="s">
        <v>49</v>
      </c>
      <c r="AQ8" s="34" t="s">
        <v>72</v>
      </c>
      <c r="AR8" s="34" t="s">
        <v>49</v>
      </c>
      <c r="AS8" s="34" t="s">
        <v>72</v>
      </c>
      <c r="AT8" s="34" t="s">
        <v>49</v>
      </c>
      <c r="AU8" s="34" t="s">
        <v>72</v>
      </c>
      <c r="AV8" s="34" t="s">
        <v>49</v>
      </c>
      <c r="AW8" s="34" t="s">
        <v>72</v>
      </c>
      <c r="AX8" s="34" t="s">
        <v>49</v>
      </c>
      <c r="AY8" s="34" t="s">
        <v>72</v>
      </c>
      <c r="AZ8" s="34" t="s">
        <v>49</v>
      </c>
      <c r="BA8" s="34" t="s">
        <v>72</v>
      </c>
      <c r="BB8" s="34" t="s">
        <v>49</v>
      </c>
      <c r="BC8" s="34" t="s">
        <v>72</v>
      </c>
      <c r="BD8" s="34" t="s">
        <v>49</v>
      </c>
      <c r="BE8" s="34" t="s">
        <v>72</v>
      </c>
      <c r="BF8" s="34" t="s">
        <v>49</v>
      </c>
      <c r="BG8" s="34" t="s">
        <v>72</v>
      </c>
      <c r="BH8" s="34" t="s">
        <v>49</v>
      </c>
      <c r="BI8" s="34" t="s">
        <v>72</v>
      </c>
      <c r="BJ8" s="34" t="s">
        <v>49</v>
      </c>
      <c r="BK8" s="34" t="s">
        <v>72</v>
      </c>
      <c r="BL8" s="34" t="s">
        <v>49</v>
      </c>
      <c r="BM8" s="34" t="s">
        <v>72</v>
      </c>
      <c r="BN8" s="34" t="s">
        <v>49</v>
      </c>
      <c r="BO8" s="34" t="s">
        <v>72</v>
      </c>
      <c r="BP8" s="34" t="s">
        <v>49</v>
      </c>
      <c r="BQ8" s="34" t="s">
        <v>72</v>
      </c>
      <c r="BR8" s="34" t="s">
        <v>49</v>
      </c>
      <c r="BS8" s="34" t="s">
        <v>72</v>
      </c>
      <c r="BT8" s="34" t="s">
        <v>49</v>
      </c>
      <c r="BU8" s="34" t="s">
        <v>72</v>
      </c>
      <c r="BV8" s="34" t="s">
        <v>49</v>
      </c>
      <c r="BW8" s="34" t="s">
        <v>72</v>
      </c>
      <c r="BX8" s="34" t="s">
        <v>49</v>
      </c>
      <c r="BY8" s="34" t="s">
        <v>72</v>
      </c>
      <c r="BZ8" s="34" t="s">
        <v>49</v>
      </c>
      <c r="CA8" s="34" t="s">
        <v>72</v>
      </c>
      <c r="CB8" s="34" t="s">
        <v>49</v>
      </c>
      <c r="CC8" s="34" t="s">
        <v>72</v>
      </c>
      <c r="CD8" s="34" t="s">
        <v>49</v>
      </c>
      <c r="CE8" s="34" t="s">
        <v>72</v>
      </c>
      <c r="CF8" s="34" t="s">
        <v>49</v>
      </c>
      <c r="CG8" s="34" t="s">
        <v>72</v>
      </c>
      <c r="CH8" s="34" t="s">
        <v>49</v>
      </c>
      <c r="CI8" s="26" t="s">
        <v>72</v>
      </c>
      <c r="CJ8" s="34" t="s">
        <v>49</v>
      </c>
      <c r="CK8" s="26" t="s">
        <v>72</v>
      </c>
      <c r="CL8" s="34" t="s">
        <v>49</v>
      </c>
      <c r="CM8" s="26" t="s">
        <v>72</v>
      </c>
      <c r="CN8" s="34" t="s">
        <v>49</v>
      </c>
      <c r="CO8" s="26" t="s">
        <v>72</v>
      </c>
      <c r="CP8" s="34" t="s">
        <v>49</v>
      </c>
      <c r="CQ8" s="26" t="s">
        <v>72</v>
      </c>
      <c r="CR8" s="34" t="s">
        <v>49</v>
      </c>
      <c r="CS8" s="26" t="s">
        <v>72</v>
      </c>
      <c r="CT8" s="34" t="s">
        <v>49</v>
      </c>
      <c r="CU8" s="26" t="s">
        <v>72</v>
      </c>
    </row>
    <row r="9" spans="2:99" ht="19.5" customHeight="1" x14ac:dyDescent="0.25">
      <c r="B9" s="52" t="s">
        <v>51</v>
      </c>
      <c r="C9" s="63">
        <v>4306231.2816457134</v>
      </c>
      <c r="D9" s="53">
        <f>C9/$C$26</f>
        <v>0.11470877322728816</v>
      </c>
      <c r="E9" s="67">
        <f>C9/'DISTRIBUIÇÃO CUSTO'!C$30</f>
        <v>405.54618011703451</v>
      </c>
      <c r="F9" s="87">
        <f>SUM(H9,J9,L9,N9,P9,R9,T9,V9,X9,Z9,AB9,AD9,AF9,AH9,AJ9,AL9,,AN9,AP9,AR9,AT9,AV9,AX9,AZ9,BB9,BD9,BF9,BH9,BJ9,BL9,BN9,BP9,BR9,BT9,BV9,BX9,BZ9,CB9,CD9,CF9,CH9,CJ9,CL9,CN9,CP9,CR9,CT9)</f>
        <v>1.0000000000000004</v>
      </c>
      <c r="H9" s="54">
        <f>7.2%+(79.21%/46)</f>
        <v>8.9219565217391314E-2</v>
      </c>
      <c r="I9" s="55">
        <f t="shared" ref="I9:I25" si="0">$C9*H9</f>
        <v>384200.08267396031</v>
      </c>
      <c r="J9" s="54">
        <f>3.12%+(79.21%/46)</f>
        <v>4.8419565217391304E-2</v>
      </c>
      <c r="K9" s="55">
        <f t="shared" ref="K9:K25" si="1">$C9*J9</f>
        <v>208505.84638281516</v>
      </c>
      <c r="L9" s="54">
        <f>3.12%+(79.21%/46)</f>
        <v>4.8419565217391304E-2</v>
      </c>
      <c r="M9" s="55">
        <f t="shared" ref="M9:M25" si="2">$C9*L9</f>
        <v>208505.84638281516</v>
      </c>
      <c r="N9" s="54">
        <f>2.45%+(79.21%/46)</f>
        <v>4.17195652173913E-2</v>
      </c>
      <c r="O9" s="55">
        <f t="shared" ref="O9" si="3">$C9*N9</f>
        <v>179654.09679578885</v>
      </c>
      <c r="P9" s="54">
        <f>2.45%+(79.21%/46)</f>
        <v>4.17195652173913E-2</v>
      </c>
      <c r="Q9" s="55">
        <f t="shared" ref="Q9" si="4">$C9*P9</f>
        <v>179654.09679578885</v>
      </c>
      <c r="R9" s="54">
        <f>2.45%+(79.21%/46)</f>
        <v>4.17195652173913E-2</v>
      </c>
      <c r="S9" s="55">
        <f t="shared" ref="S9" si="5">$C9*R9</f>
        <v>179654.09679578885</v>
      </c>
      <c r="T9" s="54">
        <f>(79.21%/46)</f>
        <v>1.7219565217391302E-2</v>
      </c>
      <c r="U9" s="55">
        <f t="shared" ref="U9:U25" si="6">$C9*T9</f>
        <v>74151.430395468895</v>
      </c>
      <c r="V9" s="54">
        <f t="shared" ref="V9" si="7">(79.21%/46)</f>
        <v>1.7219565217391302E-2</v>
      </c>
      <c r="W9" s="55">
        <f t="shared" ref="W9" si="8">$C9*V9</f>
        <v>74151.430395468895</v>
      </c>
      <c r="X9" s="54">
        <f t="shared" ref="X9" si="9">(79.21%/46)</f>
        <v>1.7219565217391302E-2</v>
      </c>
      <c r="Y9" s="55">
        <f t="shared" ref="Y9" si="10">$C9*X9</f>
        <v>74151.430395468895</v>
      </c>
      <c r="Z9" s="54">
        <f t="shared" ref="Z9" si="11">(79.21%/46)</f>
        <v>1.7219565217391302E-2</v>
      </c>
      <c r="AA9" s="55">
        <f t="shared" ref="AA9" si="12">$C9*Z9</f>
        <v>74151.430395468895</v>
      </c>
      <c r="AB9" s="54">
        <f t="shared" ref="AB9" si="13">(79.21%/46)</f>
        <v>1.7219565217391302E-2</v>
      </c>
      <c r="AC9" s="55">
        <f t="shared" ref="AC9" si="14">$C9*AB9</f>
        <v>74151.430395468895</v>
      </c>
      <c r="AD9" s="54">
        <f t="shared" ref="AD9" si="15">(79.21%/46)</f>
        <v>1.7219565217391302E-2</v>
      </c>
      <c r="AE9" s="55">
        <f t="shared" ref="AE9" si="16">$C9*AD9</f>
        <v>74151.430395468895</v>
      </c>
      <c r="AF9" s="54">
        <f t="shared" ref="AF9" si="17">(79.21%/46)</f>
        <v>1.7219565217391302E-2</v>
      </c>
      <c r="AG9" s="55">
        <f t="shared" ref="AG9" si="18">$C9*AF9</f>
        <v>74151.430395468895</v>
      </c>
      <c r="AH9" s="54">
        <f t="shared" ref="AH9" si="19">(79.21%/46)</f>
        <v>1.7219565217391302E-2</v>
      </c>
      <c r="AI9" s="55">
        <f t="shared" ref="AI9" si="20">$C9*AH9</f>
        <v>74151.430395468895</v>
      </c>
      <c r="AJ9" s="54">
        <f t="shared" ref="AJ9" si="21">(79.21%/46)</f>
        <v>1.7219565217391302E-2</v>
      </c>
      <c r="AK9" s="55">
        <f t="shared" ref="AK9" si="22">$C9*AJ9</f>
        <v>74151.430395468895</v>
      </c>
      <c r="AL9" s="54">
        <f t="shared" ref="AL9" si="23">(79.21%/46)</f>
        <v>1.7219565217391302E-2</v>
      </c>
      <c r="AM9" s="55">
        <f t="shared" ref="AM9" si="24">$C9*AL9</f>
        <v>74151.430395468895</v>
      </c>
      <c r="AN9" s="54">
        <f t="shared" ref="AN9" si="25">(79.21%/46)</f>
        <v>1.7219565217391302E-2</v>
      </c>
      <c r="AO9" s="55">
        <f t="shared" ref="AO9" si="26">$C9*AN9</f>
        <v>74151.430395468895</v>
      </c>
      <c r="AP9" s="54">
        <f t="shared" ref="AP9" si="27">(79.21%/46)</f>
        <v>1.7219565217391302E-2</v>
      </c>
      <c r="AQ9" s="55">
        <f t="shared" ref="AQ9" si="28">$C9*AP9</f>
        <v>74151.430395468895</v>
      </c>
      <c r="AR9" s="54">
        <f t="shared" ref="AR9" si="29">(79.21%/46)</f>
        <v>1.7219565217391302E-2</v>
      </c>
      <c r="AS9" s="55">
        <f t="shared" ref="AS9" si="30">$C9*AR9</f>
        <v>74151.430395468895</v>
      </c>
      <c r="AT9" s="54">
        <f t="shared" ref="AT9" si="31">(79.21%/46)</f>
        <v>1.7219565217391302E-2</v>
      </c>
      <c r="AU9" s="55">
        <f t="shared" ref="AU9" si="32">$C9*AT9</f>
        <v>74151.430395468895</v>
      </c>
      <c r="AV9" s="54">
        <f t="shared" ref="AV9" si="33">(79.21%/46)</f>
        <v>1.7219565217391302E-2</v>
      </c>
      <c r="AW9" s="55">
        <f t="shared" ref="AW9" si="34">$C9*AV9</f>
        <v>74151.430395468895</v>
      </c>
      <c r="AX9" s="54">
        <f t="shared" ref="AX9" si="35">(79.21%/46)</f>
        <v>1.7219565217391302E-2</v>
      </c>
      <c r="AY9" s="55">
        <f t="shared" ref="AY9" si="36">$C9*AX9</f>
        <v>74151.430395468895</v>
      </c>
      <c r="AZ9" s="54">
        <f t="shared" ref="AZ9" si="37">(79.21%/46)</f>
        <v>1.7219565217391302E-2</v>
      </c>
      <c r="BA9" s="55">
        <f t="shared" ref="BA9" si="38">$C9*AZ9</f>
        <v>74151.430395468895</v>
      </c>
      <c r="BB9" s="54">
        <f t="shared" ref="BB9" si="39">(79.21%/46)</f>
        <v>1.7219565217391302E-2</v>
      </c>
      <c r="BC9" s="55">
        <f t="shared" ref="BC9" si="40">$C9*BB9</f>
        <v>74151.430395468895</v>
      </c>
      <c r="BD9" s="54">
        <f t="shared" ref="BD9" si="41">(79.21%/46)</f>
        <v>1.7219565217391302E-2</v>
      </c>
      <c r="BE9" s="55">
        <f t="shared" ref="BE9" si="42">$C9*BD9</f>
        <v>74151.430395468895</v>
      </c>
      <c r="BF9" s="54">
        <f t="shared" ref="BF9" si="43">(79.21%/46)</f>
        <v>1.7219565217391302E-2</v>
      </c>
      <c r="BG9" s="55">
        <f t="shared" ref="BG9" si="44">$C9*BF9</f>
        <v>74151.430395468895</v>
      </c>
      <c r="BH9" s="54">
        <f t="shared" ref="BH9" si="45">(79.21%/46)</f>
        <v>1.7219565217391302E-2</v>
      </c>
      <c r="BI9" s="55">
        <f t="shared" ref="BI9" si="46">$C9*BH9</f>
        <v>74151.430395468895</v>
      </c>
      <c r="BJ9" s="54">
        <f t="shared" ref="BJ9" si="47">(79.21%/46)</f>
        <v>1.7219565217391302E-2</v>
      </c>
      <c r="BK9" s="55">
        <f t="shared" ref="BK9" si="48">$C9*BJ9</f>
        <v>74151.430395468895</v>
      </c>
      <c r="BL9" s="54">
        <f t="shared" ref="BL9" si="49">(79.21%/46)</f>
        <v>1.7219565217391302E-2</v>
      </c>
      <c r="BM9" s="55">
        <f t="shared" ref="BM9" si="50">$C9*BL9</f>
        <v>74151.430395468895</v>
      </c>
      <c r="BN9" s="54">
        <f t="shared" ref="BN9" si="51">(79.21%/46)</f>
        <v>1.7219565217391302E-2</v>
      </c>
      <c r="BO9" s="55">
        <f t="shared" ref="BO9" si="52">$C9*BN9</f>
        <v>74151.430395468895</v>
      </c>
      <c r="BP9" s="54">
        <f t="shared" ref="BP9" si="53">(79.21%/46)</f>
        <v>1.7219565217391302E-2</v>
      </c>
      <c r="BQ9" s="55">
        <f t="shared" ref="BQ9" si="54">$C9*BP9</f>
        <v>74151.430395468895</v>
      </c>
      <c r="BR9" s="54">
        <f t="shared" ref="BR9" si="55">(79.21%/46)</f>
        <v>1.7219565217391302E-2</v>
      </c>
      <c r="BS9" s="55">
        <f t="shared" ref="BS9" si="56">$C9*BR9</f>
        <v>74151.430395468895</v>
      </c>
      <c r="BT9" s="54">
        <f t="shared" ref="BT9" si="57">(79.21%/46)</f>
        <v>1.7219565217391302E-2</v>
      </c>
      <c r="BU9" s="55">
        <f t="shared" ref="BU9" si="58">$C9*BT9</f>
        <v>74151.430395468895</v>
      </c>
      <c r="BV9" s="54">
        <f t="shared" ref="BV9" si="59">(79.21%/46)</f>
        <v>1.7219565217391302E-2</v>
      </c>
      <c r="BW9" s="55">
        <f t="shared" ref="BW9" si="60">$C9*BV9</f>
        <v>74151.430395468895</v>
      </c>
      <c r="BX9" s="54">
        <f t="shared" ref="BX9" si="61">(79.21%/46)</f>
        <v>1.7219565217391302E-2</v>
      </c>
      <c r="BY9" s="55">
        <f t="shared" ref="BY9" si="62">$C9*BX9</f>
        <v>74151.430395468895</v>
      </c>
      <c r="BZ9" s="54">
        <f t="shared" ref="BZ9" si="63">(79.21%/46)</f>
        <v>1.7219565217391302E-2</v>
      </c>
      <c r="CA9" s="55">
        <f t="shared" ref="CA9" si="64">$C9*BZ9</f>
        <v>74151.430395468895</v>
      </c>
      <c r="CB9" s="54">
        <f t="shared" ref="CB9" si="65">(79.21%/46)</f>
        <v>1.7219565217391302E-2</v>
      </c>
      <c r="CC9" s="55">
        <f t="shared" ref="CC9" si="66">$C9*CB9</f>
        <v>74151.430395468895</v>
      </c>
      <c r="CD9" s="54">
        <f t="shared" ref="CD9" si="67">(79.21%/46)</f>
        <v>1.7219565217391302E-2</v>
      </c>
      <c r="CE9" s="55">
        <f t="shared" ref="CE9" si="68">$C9*CD9</f>
        <v>74151.430395468895</v>
      </c>
      <c r="CF9" s="54">
        <f t="shared" ref="CF9" si="69">(79.21%/46)</f>
        <v>1.7219565217391302E-2</v>
      </c>
      <c r="CG9" s="55">
        <f t="shared" ref="CG9" si="70">$C9*CF9</f>
        <v>74151.430395468895</v>
      </c>
      <c r="CH9" s="54">
        <f t="shared" ref="CH9" si="71">(79.21%/46)</f>
        <v>1.7219565217391302E-2</v>
      </c>
      <c r="CI9" s="55">
        <f t="shared" ref="CI9" si="72">$C9*CH9</f>
        <v>74151.430395468895</v>
      </c>
      <c r="CJ9" s="54">
        <f t="shared" ref="CJ9" si="73">(79.21%/46)</f>
        <v>1.7219565217391302E-2</v>
      </c>
      <c r="CK9" s="55">
        <f t="shared" ref="CK9" si="74">$C9*CJ9</f>
        <v>74151.430395468895</v>
      </c>
      <c r="CL9" s="54">
        <f t="shared" ref="CL9" si="75">(79.21%/46)</f>
        <v>1.7219565217391302E-2</v>
      </c>
      <c r="CM9" s="55">
        <f t="shared" ref="CM9" si="76">$C9*CL9</f>
        <v>74151.430395468895</v>
      </c>
      <c r="CN9" s="54">
        <f t="shared" ref="CN9" si="77">(79.21%/46)</f>
        <v>1.7219565217391302E-2</v>
      </c>
      <c r="CO9" s="55">
        <f t="shared" ref="CO9" si="78">$C9*CN9</f>
        <v>74151.430395468895</v>
      </c>
      <c r="CP9" s="54">
        <f t="shared" ref="CP9" si="79">(79.21%/46)</f>
        <v>1.7219565217391302E-2</v>
      </c>
      <c r="CQ9" s="55">
        <f t="shared" ref="CQ9" si="80">$C9*CP9</f>
        <v>74151.430395468895</v>
      </c>
      <c r="CR9" s="54">
        <f t="shared" ref="CR9" si="81">(79.21%/46)</f>
        <v>1.7219565217391302E-2</v>
      </c>
      <c r="CS9" s="55">
        <f t="shared" ref="CS9" si="82">$C9*CR9</f>
        <v>74151.430395468895</v>
      </c>
      <c r="CT9" s="54">
        <f t="shared" ref="CT9" si="83">(79.21%/46)</f>
        <v>1.7219565217391302E-2</v>
      </c>
      <c r="CU9" s="55">
        <f t="shared" ref="CU9" si="84">$C9*CT9</f>
        <v>74151.430395468895</v>
      </c>
    </row>
    <row r="10" spans="2:99" ht="19.5" customHeight="1" x14ac:dyDescent="0.25">
      <c r="B10" s="45" t="s">
        <v>54</v>
      </c>
      <c r="C10" s="64">
        <v>89379.443672620589</v>
      </c>
      <c r="D10" s="28">
        <f t="shared" ref="D10:D25" si="85">C10/$C$26</f>
        <v>2.3808768421526979E-3</v>
      </c>
      <c r="E10" s="68">
        <f>C10/'DISTRIBUIÇÃO CUSTO'!C$30</f>
        <v>8.417451268099148</v>
      </c>
      <c r="F10" s="88">
        <f t="shared" ref="F10:F25" si="86">SUM(H10,J10,L10,N10,P10,R10,T10,V10,X10,Z10,AB10,AD10,AF10,AH10,AJ10,AL10,,AN10,AP10,AR10,AT10,AV10,AX10,AZ10,BB10,BD10,BF10,BH10,BJ10,BL10,BN10,BP10,BR10,BT10,BV10,BX10,BZ10,CB10,CD10,CF10,CH10,CJ10,CL10,CN10,CP10,CR10,CT10)</f>
        <v>1</v>
      </c>
      <c r="H10" s="27">
        <f>100%/3</f>
        <v>0.33333333333333331</v>
      </c>
      <c r="I10" s="36">
        <f t="shared" si="0"/>
        <v>29793.14789087353</v>
      </c>
      <c r="J10" s="27">
        <f t="shared" ref="J10" si="87">100%/3</f>
        <v>0.33333333333333331</v>
      </c>
      <c r="K10" s="36">
        <f t="shared" si="1"/>
        <v>29793.14789087353</v>
      </c>
      <c r="L10" s="27">
        <f t="shared" ref="L10" si="88">100%/3</f>
        <v>0.33333333333333331</v>
      </c>
      <c r="M10" s="36">
        <f t="shared" si="2"/>
        <v>29793.14789087353</v>
      </c>
      <c r="N10" s="35"/>
      <c r="O10" s="36">
        <f t="shared" ref="O10:O25" si="89">$C10*N10</f>
        <v>0</v>
      </c>
      <c r="P10" s="35"/>
      <c r="Q10" s="36">
        <f t="shared" ref="Q10:Q25" si="90">$C10*P10</f>
        <v>0</v>
      </c>
      <c r="R10" s="35"/>
      <c r="S10" s="36">
        <f t="shared" ref="S10:S25" si="91">$C10*R10</f>
        <v>0</v>
      </c>
      <c r="T10" s="35"/>
      <c r="U10" s="36">
        <f t="shared" si="6"/>
        <v>0</v>
      </c>
      <c r="V10" s="35"/>
      <c r="W10" s="36">
        <f t="shared" ref="W10:W25" si="92">$C10*V10</f>
        <v>0</v>
      </c>
      <c r="X10" s="35"/>
      <c r="Y10" s="36">
        <f t="shared" ref="Y10:Y25" si="93">$C10*X10</f>
        <v>0</v>
      </c>
      <c r="Z10" s="35"/>
      <c r="AA10" s="36">
        <f t="shared" ref="AA10:AA25" si="94">$C10*Z10</f>
        <v>0</v>
      </c>
      <c r="AB10" s="35"/>
      <c r="AC10" s="36">
        <f t="shared" ref="AC10:AC25" si="95">$C10*AB10</f>
        <v>0</v>
      </c>
      <c r="AD10" s="35"/>
      <c r="AE10" s="36">
        <f t="shared" ref="AE10:AE25" si="96">$C10*AD10</f>
        <v>0</v>
      </c>
      <c r="AF10" s="35"/>
      <c r="AG10" s="36">
        <f t="shared" ref="AG10:AG25" si="97">$C10*AF10</f>
        <v>0</v>
      </c>
      <c r="AH10" s="35"/>
      <c r="AI10" s="36">
        <f t="shared" ref="AI10:AI25" si="98">$C10*AH10</f>
        <v>0</v>
      </c>
      <c r="AJ10" s="35"/>
      <c r="AK10" s="36">
        <f t="shared" ref="AK10:AK25" si="99">$C10*AJ10</f>
        <v>0</v>
      </c>
      <c r="AL10" s="35"/>
      <c r="AM10" s="36">
        <f t="shared" ref="AM10:AM25" si="100">$C10*AL10</f>
        <v>0</v>
      </c>
      <c r="AN10" s="35"/>
      <c r="AO10" s="36">
        <f t="shared" ref="AO10:AO25" si="101">$C10*AN10</f>
        <v>0</v>
      </c>
      <c r="AP10" s="35"/>
      <c r="AQ10" s="36">
        <f t="shared" ref="AQ10:AQ25" si="102">$C10*AP10</f>
        <v>0</v>
      </c>
      <c r="AR10" s="35"/>
      <c r="AS10" s="36">
        <f t="shared" ref="AS10:AS25" si="103">$C10*AR10</f>
        <v>0</v>
      </c>
      <c r="AT10" s="35"/>
      <c r="AU10" s="36">
        <f t="shared" ref="AU10:AU25" si="104">$C10*AT10</f>
        <v>0</v>
      </c>
      <c r="AV10" s="35"/>
      <c r="AW10" s="36">
        <f t="shared" ref="AW10:AW25" si="105">$C10*AV10</f>
        <v>0</v>
      </c>
      <c r="AX10" s="35"/>
      <c r="AY10" s="36">
        <f t="shared" ref="AY10:AY25" si="106">$C10*AX10</f>
        <v>0</v>
      </c>
      <c r="AZ10" s="35"/>
      <c r="BA10" s="36">
        <f t="shared" ref="BA10:BA25" si="107">$C10*AZ10</f>
        <v>0</v>
      </c>
      <c r="BB10" s="35"/>
      <c r="BC10" s="36">
        <f t="shared" ref="BC10:BC25" si="108">$C10*BB10</f>
        <v>0</v>
      </c>
      <c r="BD10" s="35"/>
      <c r="BE10" s="36">
        <f t="shared" ref="BE10:BE25" si="109">$C10*BD10</f>
        <v>0</v>
      </c>
      <c r="BF10" s="35"/>
      <c r="BG10" s="36">
        <f t="shared" ref="BG10:BG25" si="110">$C10*BF10</f>
        <v>0</v>
      </c>
      <c r="BH10" s="35"/>
      <c r="BI10" s="36">
        <f t="shared" ref="BI10:BI25" si="111">$C10*BH10</f>
        <v>0</v>
      </c>
      <c r="BJ10" s="35"/>
      <c r="BK10" s="36">
        <f t="shared" ref="BK10:BK25" si="112">$C10*BJ10</f>
        <v>0</v>
      </c>
      <c r="BL10" s="35"/>
      <c r="BM10" s="36">
        <f t="shared" ref="BM10:BM25" si="113">$C10*BL10</f>
        <v>0</v>
      </c>
      <c r="BN10" s="35"/>
      <c r="BO10" s="36">
        <f t="shared" ref="BO10:BO25" si="114">$C10*BN10</f>
        <v>0</v>
      </c>
      <c r="BP10" s="35"/>
      <c r="BQ10" s="36">
        <f t="shared" ref="BQ10:BQ25" si="115">$C10*BP10</f>
        <v>0</v>
      </c>
      <c r="BR10" s="35"/>
      <c r="BS10" s="36">
        <f t="shared" ref="BS10:BS25" si="116">$C10*BR10</f>
        <v>0</v>
      </c>
      <c r="BT10" s="35"/>
      <c r="BU10" s="36">
        <f t="shared" ref="BU10:BU25" si="117">$C10*BT10</f>
        <v>0</v>
      </c>
      <c r="BV10" s="35"/>
      <c r="BW10" s="36">
        <f t="shared" ref="BW10:BW25" si="118">$C10*BV10</f>
        <v>0</v>
      </c>
      <c r="BX10" s="35"/>
      <c r="BY10" s="36">
        <f t="shared" ref="BY10:BY25" si="119">$C10*BX10</f>
        <v>0</v>
      </c>
      <c r="BZ10" s="35"/>
      <c r="CA10" s="36">
        <f t="shared" ref="CA10:CA25" si="120">$C10*BZ10</f>
        <v>0</v>
      </c>
      <c r="CB10" s="35"/>
      <c r="CC10" s="36">
        <f t="shared" ref="CC10:CC25" si="121">$C10*CB10</f>
        <v>0</v>
      </c>
      <c r="CD10" s="35"/>
      <c r="CE10" s="36">
        <f t="shared" ref="CE10:CE25" si="122">$C10*CD10</f>
        <v>0</v>
      </c>
      <c r="CF10" s="35"/>
      <c r="CG10" s="36">
        <f t="shared" ref="CG10:CG25" si="123">$C10*CF10</f>
        <v>0</v>
      </c>
      <c r="CH10" s="35"/>
      <c r="CI10" s="36">
        <f t="shared" ref="CI10:CI25" si="124">$C10*CH10</f>
        <v>0</v>
      </c>
      <c r="CJ10" s="35"/>
      <c r="CK10" s="36">
        <f t="shared" ref="CK10:CK25" si="125">$C10*CJ10</f>
        <v>0</v>
      </c>
      <c r="CL10" s="35"/>
      <c r="CM10" s="36">
        <f t="shared" ref="CM10:CM25" si="126">$C10*CL10</f>
        <v>0</v>
      </c>
      <c r="CN10" s="35"/>
      <c r="CO10" s="36">
        <f t="shared" ref="CO10:CO25" si="127">$C10*CN10</f>
        <v>0</v>
      </c>
      <c r="CP10" s="35"/>
      <c r="CQ10" s="36">
        <f t="shared" ref="CQ10:CQ25" si="128">$C10*CP10</f>
        <v>0</v>
      </c>
      <c r="CR10" s="35"/>
      <c r="CS10" s="36">
        <f t="shared" ref="CS10:CS25" si="129">$C10*CR10</f>
        <v>0</v>
      </c>
      <c r="CT10" s="35"/>
      <c r="CU10" s="36">
        <f t="shared" ref="CU10:CU25" si="130">$C10*CT10</f>
        <v>0</v>
      </c>
    </row>
    <row r="11" spans="2:99" ht="19.5" customHeight="1" x14ac:dyDescent="0.25">
      <c r="B11" s="52" t="s">
        <v>55</v>
      </c>
      <c r="C11" s="63">
        <v>1818002.4100405083</v>
      </c>
      <c r="D11" s="53">
        <f t="shared" si="85"/>
        <v>4.8427688282525763E-2</v>
      </c>
      <c r="E11" s="67">
        <f>C11/'DISTRIBUIÇÃO CUSTO'!C$30</f>
        <v>171.21326854365398</v>
      </c>
      <c r="F11" s="87">
        <f t="shared" si="86"/>
        <v>0.99999999999999989</v>
      </c>
      <c r="H11" s="54">
        <f>100%/6</f>
        <v>0.16666666666666666</v>
      </c>
      <c r="I11" s="55">
        <f t="shared" si="0"/>
        <v>303000.401673418</v>
      </c>
      <c r="J11" s="54">
        <f>100%/6</f>
        <v>0.16666666666666666</v>
      </c>
      <c r="K11" s="55">
        <f t="shared" si="1"/>
        <v>303000.401673418</v>
      </c>
      <c r="L11" s="54">
        <f>100%/6</f>
        <v>0.16666666666666666</v>
      </c>
      <c r="M11" s="55">
        <f t="shared" si="2"/>
        <v>303000.401673418</v>
      </c>
      <c r="N11" s="54">
        <f>100%/6</f>
        <v>0.16666666666666666</v>
      </c>
      <c r="O11" s="55">
        <f t="shared" si="89"/>
        <v>303000.401673418</v>
      </c>
      <c r="P11" s="54">
        <f>100%/6</f>
        <v>0.16666666666666666</v>
      </c>
      <c r="Q11" s="55">
        <f t="shared" si="90"/>
        <v>303000.401673418</v>
      </c>
      <c r="R11" s="54">
        <f>100%/6</f>
        <v>0.16666666666666666</v>
      </c>
      <c r="S11" s="55">
        <f t="shared" si="91"/>
        <v>303000.401673418</v>
      </c>
      <c r="T11" s="56"/>
      <c r="U11" s="55">
        <f t="shared" ref="U11:U12" si="131">$C11*T11</f>
        <v>0</v>
      </c>
      <c r="V11" s="56"/>
      <c r="W11" s="55">
        <f t="shared" si="92"/>
        <v>0</v>
      </c>
      <c r="X11" s="56"/>
      <c r="Y11" s="55">
        <f t="shared" si="93"/>
        <v>0</v>
      </c>
      <c r="Z11" s="56"/>
      <c r="AA11" s="55">
        <f t="shared" si="94"/>
        <v>0</v>
      </c>
      <c r="AB11" s="56"/>
      <c r="AC11" s="55">
        <f t="shared" si="95"/>
        <v>0</v>
      </c>
      <c r="AD11" s="56"/>
      <c r="AE11" s="55">
        <f t="shared" si="96"/>
        <v>0</v>
      </c>
      <c r="AF11" s="56"/>
      <c r="AG11" s="55">
        <f t="shared" si="97"/>
        <v>0</v>
      </c>
      <c r="AH11" s="56"/>
      <c r="AI11" s="55">
        <f t="shared" si="98"/>
        <v>0</v>
      </c>
      <c r="AJ11" s="56"/>
      <c r="AK11" s="55">
        <f t="shared" si="99"/>
        <v>0</v>
      </c>
      <c r="AL11" s="56"/>
      <c r="AM11" s="55">
        <f t="shared" si="100"/>
        <v>0</v>
      </c>
      <c r="AN11" s="56"/>
      <c r="AO11" s="55">
        <f t="shared" si="101"/>
        <v>0</v>
      </c>
      <c r="AP11" s="56"/>
      <c r="AQ11" s="55">
        <f t="shared" si="102"/>
        <v>0</v>
      </c>
      <c r="AR11" s="56"/>
      <c r="AS11" s="55">
        <f t="shared" si="103"/>
        <v>0</v>
      </c>
      <c r="AT11" s="56"/>
      <c r="AU11" s="55">
        <f t="shared" si="104"/>
        <v>0</v>
      </c>
      <c r="AV11" s="56"/>
      <c r="AW11" s="55">
        <f t="shared" si="105"/>
        <v>0</v>
      </c>
      <c r="AX11" s="56"/>
      <c r="AY11" s="55">
        <f t="shared" si="106"/>
        <v>0</v>
      </c>
      <c r="AZ11" s="56"/>
      <c r="BA11" s="55">
        <f t="shared" si="107"/>
        <v>0</v>
      </c>
      <c r="BB11" s="56"/>
      <c r="BC11" s="55">
        <f t="shared" si="108"/>
        <v>0</v>
      </c>
      <c r="BD11" s="56"/>
      <c r="BE11" s="55">
        <f t="shared" si="109"/>
        <v>0</v>
      </c>
      <c r="BF11" s="56"/>
      <c r="BG11" s="55">
        <f t="shared" si="110"/>
        <v>0</v>
      </c>
      <c r="BH11" s="56"/>
      <c r="BI11" s="55">
        <f t="shared" si="111"/>
        <v>0</v>
      </c>
      <c r="BJ11" s="56"/>
      <c r="BK11" s="55">
        <f t="shared" si="112"/>
        <v>0</v>
      </c>
      <c r="BL11" s="56"/>
      <c r="BM11" s="55">
        <f t="shared" si="113"/>
        <v>0</v>
      </c>
      <c r="BN11" s="56"/>
      <c r="BO11" s="55">
        <f t="shared" si="114"/>
        <v>0</v>
      </c>
      <c r="BP11" s="56"/>
      <c r="BQ11" s="55">
        <f t="shared" si="115"/>
        <v>0</v>
      </c>
      <c r="BR11" s="56"/>
      <c r="BS11" s="55">
        <f t="shared" si="116"/>
        <v>0</v>
      </c>
      <c r="BT11" s="56"/>
      <c r="BU11" s="55">
        <f t="shared" si="117"/>
        <v>0</v>
      </c>
      <c r="BV11" s="56"/>
      <c r="BW11" s="55">
        <f t="shared" si="118"/>
        <v>0</v>
      </c>
      <c r="BX11" s="56"/>
      <c r="BY11" s="55">
        <f t="shared" si="119"/>
        <v>0</v>
      </c>
      <c r="BZ11" s="56"/>
      <c r="CA11" s="55">
        <f t="shared" si="120"/>
        <v>0</v>
      </c>
      <c r="CB11" s="56"/>
      <c r="CC11" s="55">
        <f t="shared" si="121"/>
        <v>0</v>
      </c>
      <c r="CD11" s="56"/>
      <c r="CE11" s="55">
        <f t="shared" si="122"/>
        <v>0</v>
      </c>
      <c r="CF11" s="56"/>
      <c r="CG11" s="55">
        <f t="shared" si="123"/>
        <v>0</v>
      </c>
      <c r="CH11" s="56"/>
      <c r="CI11" s="55">
        <f t="shared" si="124"/>
        <v>0</v>
      </c>
      <c r="CJ11" s="56"/>
      <c r="CK11" s="55">
        <f t="shared" si="125"/>
        <v>0</v>
      </c>
      <c r="CL11" s="56"/>
      <c r="CM11" s="55">
        <f t="shared" si="126"/>
        <v>0</v>
      </c>
      <c r="CN11" s="56"/>
      <c r="CO11" s="55">
        <f t="shared" si="127"/>
        <v>0</v>
      </c>
      <c r="CP11" s="56"/>
      <c r="CQ11" s="55">
        <f t="shared" si="128"/>
        <v>0</v>
      </c>
      <c r="CR11" s="56"/>
      <c r="CS11" s="55">
        <f t="shared" si="129"/>
        <v>0</v>
      </c>
      <c r="CT11" s="56"/>
      <c r="CU11" s="55">
        <f t="shared" si="130"/>
        <v>0</v>
      </c>
    </row>
    <row r="12" spans="2:99" ht="19.5" customHeight="1" x14ac:dyDescent="0.25">
      <c r="B12" s="45" t="s">
        <v>56</v>
      </c>
      <c r="C12" s="64">
        <v>8052236.0940576941</v>
      </c>
      <c r="D12" s="28">
        <f t="shared" si="85"/>
        <v>0.21449431386157514</v>
      </c>
      <c r="E12" s="68">
        <f>C12/'DISTRIBUIÇÃO CUSTO'!C$30</f>
        <v>758.33214143983707</v>
      </c>
      <c r="F12" s="88">
        <f t="shared" si="86"/>
        <v>0.99999999999999967</v>
      </c>
      <c r="H12" s="27"/>
      <c r="I12" s="36">
        <f t="shared" si="0"/>
        <v>0</v>
      </c>
      <c r="J12" s="35"/>
      <c r="K12" s="36">
        <f t="shared" si="1"/>
        <v>0</v>
      </c>
      <c r="L12" s="35"/>
      <c r="M12" s="36">
        <f t="shared" si="2"/>
        <v>0</v>
      </c>
      <c r="N12" s="35"/>
      <c r="O12" s="36">
        <f t="shared" si="89"/>
        <v>0</v>
      </c>
      <c r="P12" s="35"/>
      <c r="Q12" s="36">
        <f t="shared" si="90"/>
        <v>0</v>
      </c>
      <c r="R12" s="35"/>
      <c r="S12" s="36">
        <f t="shared" si="91"/>
        <v>0</v>
      </c>
      <c r="T12" s="35">
        <f>100%/22</f>
        <v>4.5454545454545456E-2</v>
      </c>
      <c r="U12" s="36">
        <f t="shared" si="131"/>
        <v>366010.73154807702</v>
      </c>
      <c r="V12" s="35">
        <f t="shared" ref="V12" si="132">100%/22</f>
        <v>4.5454545454545456E-2</v>
      </c>
      <c r="W12" s="36">
        <f t="shared" si="92"/>
        <v>366010.73154807702</v>
      </c>
      <c r="X12" s="35">
        <f t="shared" ref="X12" si="133">100%/22</f>
        <v>4.5454545454545456E-2</v>
      </c>
      <c r="Y12" s="36">
        <f t="shared" si="93"/>
        <v>366010.73154807702</v>
      </c>
      <c r="Z12" s="35">
        <f t="shared" ref="Z12" si="134">100%/22</f>
        <v>4.5454545454545456E-2</v>
      </c>
      <c r="AA12" s="36">
        <f t="shared" si="94"/>
        <v>366010.73154807702</v>
      </c>
      <c r="AB12" s="35">
        <f t="shared" ref="AB12" si="135">100%/22</f>
        <v>4.5454545454545456E-2</v>
      </c>
      <c r="AC12" s="36">
        <f t="shared" si="95"/>
        <v>366010.73154807702</v>
      </c>
      <c r="AD12" s="35">
        <f t="shared" ref="AD12:AD13" si="136">100%/22</f>
        <v>4.5454545454545456E-2</v>
      </c>
      <c r="AE12" s="36">
        <f t="shared" si="96"/>
        <v>366010.73154807702</v>
      </c>
      <c r="AF12" s="35">
        <f t="shared" ref="AF12:AF13" si="137">100%/22</f>
        <v>4.5454545454545456E-2</v>
      </c>
      <c r="AG12" s="36">
        <f t="shared" si="97"/>
        <v>366010.73154807702</v>
      </c>
      <c r="AH12" s="35">
        <f t="shared" ref="AH12:AH13" si="138">100%/22</f>
        <v>4.5454545454545456E-2</v>
      </c>
      <c r="AI12" s="36">
        <f t="shared" si="98"/>
        <v>366010.73154807702</v>
      </c>
      <c r="AJ12" s="35">
        <f t="shared" ref="AJ12:AJ13" si="139">100%/22</f>
        <v>4.5454545454545456E-2</v>
      </c>
      <c r="AK12" s="36">
        <f t="shared" si="99"/>
        <v>366010.73154807702</v>
      </c>
      <c r="AL12" s="35">
        <f t="shared" ref="AL12:AL13" si="140">100%/22</f>
        <v>4.5454545454545456E-2</v>
      </c>
      <c r="AM12" s="36">
        <f t="shared" si="100"/>
        <v>366010.73154807702</v>
      </c>
      <c r="AN12" s="35">
        <f t="shared" ref="AN12:AN13" si="141">100%/22</f>
        <v>4.5454545454545456E-2</v>
      </c>
      <c r="AO12" s="36">
        <f t="shared" si="101"/>
        <v>366010.73154807702</v>
      </c>
      <c r="AP12" s="35">
        <f t="shared" ref="AP12:AP13" si="142">100%/22</f>
        <v>4.5454545454545456E-2</v>
      </c>
      <c r="AQ12" s="36">
        <f t="shared" si="102"/>
        <v>366010.73154807702</v>
      </c>
      <c r="AR12" s="35">
        <f t="shared" ref="AR12:AR13" si="143">100%/22</f>
        <v>4.5454545454545456E-2</v>
      </c>
      <c r="AS12" s="36">
        <f t="shared" si="103"/>
        <v>366010.73154807702</v>
      </c>
      <c r="AT12" s="35">
        <f t="shared" ref="AT12:AT13" si="144">100%/22</f>
        <v>4.5454545454545456E-2</v>
      </c>
      <c r="AU12" s="36">
        <f t="shared" si="104"/>
        <v>366010.73154807702</v>
      </c>
      <c r="AV12" s="35">
        <f t="shared" ref="AV12:AV13" si="145">100%/22</f>
        <v>4.5454545454545456E-2</v>
      </c>
      <c r="AW12" s="36">
        <f t="shared" si="105"/>
        <v>366010.73154807702</v>
      </c>
      <c r="AX12" s="35">
        <f t="shared" ref="AX12:AX13" si="146">100%/22</f>
        <v>4.5454545454545456E-2</v>
      </c>
      <c r="AY12" s="36">
        <f t="shared" si="106"/>
        <v>366010.73154807702</v>
      </c>
      <c r="AZ12" s="35">
        <f t="shared" ref="AZ12:AZ13" si="147">100%/22</f>
        <v>4.5454545454545456E-2</v>
      </c>
      <c r="BA12" s="36">
        <f t="shared" si="107"/>
        <v>366010.73154807702</v>
      </c>
      <c r="BB12" s="35">
        <f t="shared" ref="BB12:BB13" si="148">100%/22</f>
        <v>4.5454545454545456E-2</v>
      </c>
      <c r="BC12" s="36">
        <f t="shared" si="108"/>
        <v>366010.73154807702</v>
      </c>
      <c r="BD12" s="35">
        <f t="shared" ref="BD12:BD13" si="149">100%/22</f>
        <v>4.5454545454545456E-2</v>
      </c>
      <c r="BE12" s="36">
        <f t="shared" si="109"/>
        <v>366010.73154807702</v>
      </c>
      <c r="BF12" s="35">
        <f t="shared" ref="BF12:BF13" si="150">100%/22</f>
        <v>4.5454545454545456E-2</v>
      </c>
      <c r="BG12" s="36">
        <f t="shared" si="110"/>
        <v>366010.73154807702</v>
      </c>
      <c r="BH12" s="35">
        <f t="shared" ref="BH12:BH13" si="151">100%/22</f>
        <v>4.5454545454545456E-2</v>
      </c>
      <c r="BI12" s="36">
        <f t="shared" si="111"/>
        <v>366010.73154807702</v>
      </c>
      <c r="BJ12" s="35">
        <f t="shared" ref="BJ12:BJ13" si="152">100%/22</f>
        <v>4.5454545454545456E-2</v>
      </c>
      <c r="BK12" s="36">
        <f t="shared" si="112"/>
        <v>366010.73154807702</v>
      </c>
      <c r="BL12" s="35"/>
      <c r="BM12" s="36">
        <f t="shared" si="113"/>
        <v>0</v>
      </c>
      <c r="BN12" s="35"/>
      <c r="BO12" s="36">
        <f t="shared" ref="BO12" si="153">$C12*BN12</f>
        <v>0</v>
      </c>
      <c r="BP12" s="35"/>
      <c r="BQ12" s="36">
        <f t="shared" ref="BQ12" si="154">$C12*BP12</f>
        <v>0</v>
      </c>
      <c r="BR12" s="35"/>
      <c r="BS12" s="36">
        <f t="shared" ref="BS12" si="155">$C12*BR12</f>
        <v>0</v>
      </c>
      <c r="BT12" s="35"/>
      <c r="BU12" s="36">
        <f t="shared" ref="BU12" si="156">$C12*BT12</f>
        <v>0</v>
      </c>
      <c r="BV12" s="35"/>
      <c r="BW12" s="36">
        <f t="shared" ref="BW12" si="157">$C12*BV12</f>
        <v>0</v>
      </c>
      <c r="BX12" s="35"/>
      <c r="BY12" s="36">
        <f t="shared" ref="BY12" si="158">$C12*BX12</f>
        <v>0</v>
      </c>
      <c r="BZ12" s="35"/>
      <c r="CA12" s="36">
        <f t="shared" si="120"/>
        <v>0</v>
      </c>
      <c r="CB12" s="35"/>
      <c r="CC12" s="36">
        <f t="shared" si="121"/>
        <v>0</v>
      </c>
      <c r="CD12" s="35"/>
      <c r="CE12" s="36">
        <f t="shared" si="122"/>
        <v>0</v>
      </c>
      <c r="CF12" s="35"/>
      <c r="CG12" s="36">
        <f t="shared" si="123"/>
        <v>0</v>
      </c>
      <c r="CH12" s="35"/>
      <c r="CI12" s="36">
        <f t="shared" si="124"/>
        <v>0</v>
      </c>
      <c r="CJ12" s="35"/>
      <c r="CK12" s="36">
        <f t="shared" si="125"/>
        <v>0</v>
      </c>
      <c r="CL12" s="35"/>
      <c r="CM12" s="36">
        <f t="shared" si="126"/>
        <v>0</v>
      </c>
      <c r="CN12" s="35"/>
      <c r="CO12" s="36">
        <f t="shared" si="127"/>
        <v>0</v>
      </c>
      <c r="CP12" s="35"/>
      <c r="CQ12" s="36">
        <f t="shared" si="128"/>
        <v>0</v>
      </c>
      <c r="CR12" s="35"/>
      <c r="CS12" s="36">
        <f t="shared" si="129"/>
        <v>0</v>
      </c>
      <c r="CT12" s="35"/>
      <c r="CU12" s="36">
        <f t="shared" si="130"/>
        <v>0</v>
      </c>
    </row>
    <row r="13" spans="2:99" ht="19.5" customHeight="1" x14ac:dyDescent="0.25">
      <c r="B13" s="52" t="s">
        <v>57</v>
      </c>
      <c r="C13" s="63">
        <v>1549077.3993200003</v>
      </c>
      <c r="D13" s="53">
        <f t="shared" si="85"/>
        <v>4.126410229461859E-2</v>
      </c>
      <c r="E13" s="67">
        <f>C13/'DISTRIBUIÇÃO CUSTO'!C$30</f>
        <v>145.88682792712618</v>
      </c>
      <c r="F13" s="87">
        <f t="shared" si="86"/>
        <v>0.99999999999999967</v>
      </c>
      <c r="H13" s="54"/>
      <c r="I13" s="55">
        <f t="shared" si="0"/>
        <v>0</v>
      </c>
      <c r="J13" s="56"/>
      <c r="K13" s="55">
        <f t="shared" si="1"/>
        <v>0</v>
      </c>
      <c r="L13" s="56"/>
      <c r="M13" s="55">
        <f t="shared" si="2"/>
        <v>0</v>
      </c>
      <c r="N13" s="56"/>
      <c r="O13" s="55">
        <f t="shared" si="89"/>
        <v>0</v>
      </c>
      <c r="P13" s="56"/>
      <c r="Q13" s="55">
        <f t="shared" si="90"/>
        <v>0</v>
      </c>
      <c r="R13" s="56"/>
      <c r="S13" s="55">
        <f t="shared" si="91"/>
        <v>0</v>
      </c>
      <c r="T13" s="56"/>
      <c r="U13" s="55">
        <f t="shared" si="6"/>
        <v>0</v>
      </c>
      <c r="V13" s="56"/>
      <c r="W13" s="55">
        <f t="shared" si="92"/>
        <v>0</v>
      </c>
      <c r="X13" s="56"/>
      <c r="Y13" s="55">
        <f t="shared" si="93"/>
        <v>0</v>
      </c>
      <c r="Z13" s="56">
        <f>100%/22</f>
        <v>4.5454545454545456E-2</v>
      </c>
      <c r="AA13" s="55">
        <f t="shared" si="94"/>
        <v>70412.609060000017</v>
      </c>
      <c r="AB13" s="56">
        <f>100%/22</f>
        <v>4.5454545454545456E-2</v>
      </c>
      <c r="AC13" s="55">
        <f t="shared" si="95"/>
        <v>70412.609060000017</v>
      </c>
      <c r="AD13" s="56">
        <f t="shared" si="136"/>
        <v>4.5454545454545456E-2</v>
      </c>
      <c r="AE13" s="55">
        <f t="shared" si="96"/>
        <v>70412.609060000017</v>
      </c>
      <c r="AF13" s="56">
        <f t="shared" si="137"/>
        <v>4.5454545454545456E-2</v>
      </c>
      <c r="AG13" s="55">
        <f t="shared" si="97"/>
        <v>70412.609060000017</v>
      </c>
      <c r="AH13" s="56">
        <f t="shared" si="138"/>
        <v>4.5454545454545456E-2</v>
      </c>
      <c r="AI13" s="55">
        <f t="shared" si="98"/>
        <v>70412.609060000017</v>
      </c>
      <c r="AJ13" s="56">
        <f t="shared" si="139"/>
        <v>4.5454545454545456E-2</v>
      </c>
      <c r="AK13" s="55">
        <f t="shared" si="99"/>
        <v>70412.609060000017</v>
      </c>
      <c r="AL13" s="56">
        <f t="shared" si="140"/>
        <v>4.5454545454545456E-2</v>
      </c>
      <c r="AM13" s="55">
        <f t="shared" si="100"/>
        <v>70412.609060000017</v>
      </c>
      <c r="AN13" s="56">
        <f t="shared" si="141"/>
        <v>4.5454545454545456E-2</v>
      </c>
      <c r="AO13" s="55">
        <f t="shared" si="101"/>
        <v>70412.609060000017</v>
      </c>
      <c r="AP13" s="56">
        <f t="shared" si="142"/>
        <v>4.5454545454545456E-2</v>
      </c>
      <c r="AQ13" s="55">
        <f t="shared" si="102"/>
        <v>70412.609060000017</v>
      </c>
      <c r="AR13" s="56">
        <f t="shared" si="143"/>
        <v>4.5454545454545456E-2</v>
      </c>
      <c r="AS13" s="55">
        <f t="shared" si="103"/>
        <v>70412.609060000017</v>
      </c>
      <c r="AT13" s="56">
        <f t="shared" si="144"/>
        <v>4.5454545454545456E-2</v>
      </c>
      <c r="AU13" s="55">
        <f t="shared" si="104"/>
        <v>70412.609060000017</v>
      </c>
      <c r="AV13" s="56">
        <f t="shared" si="145"/>
        <v>4.5454545454545456E-2</v>
      </c>
      <c r="AW13" s="55">
        <f t="shared" si="105"/>
        <v>70412.609060000017</v>
      </c>
      <c r="AX13" s="56">
        <f t="shared" si="146"/>
        <v>4.5454545454545456E-2</v>
      </c>
      <c r="AY13" s="55">
        <f t="shared" si="106"/>
        <v>70412.609060000017</v>
      </c>
      <c r="AZ13" s="56">
        <f t="shared" si="147"/>
        <v>4.5454545454545456E-2</v>
      </c>
      <c r="BA13" s="55">
        <f t="shared" si="107"/>
        <v>70412.609060000017</v>
      </c>
      <c r="BB13" s="56">
        <f t="shared" si="148"/>
        <v>4.5454545454545456E-2</v>
      </c>
      <c r="BC13" s="55">
        <f t="shared" si="108"/>
        <v>70412.609060000017</v>
      </c>
      <c r="BD13" s="56">
        <f t="shared" si="149"/>
        <v>4.5454545454545456E-2</v>
      </c>
      <c r="BE13" s="55">
        <f t="shared" si="109"/>
        <v>70412.609060000017</v>
      </c>
      <c r="BF13" s="56">
        <f t="shared" si="150"/>
        <v>4.5454545454545456E-2</v>
      </c>
      <c r="BG13" s="55">
        <f t="shared" si="110"/>
        <v>70412.609060000017</v>
      </c>
      <c r="BH13" s="56">
        <f t="shared" si="151"/>
        <v>4.5454545454545456E-2</v>
      </c>
      <c r="BI13" s="55">
        <f t="shared" si="111"/>
        <v>70412.609060000017</v>
      </c>
      <c r="BJ13" s="56">
        <f t="shared" si="152"/>
        <v>4.5454545454545456E-2</v>
      </c>
      <c r="BK13" s="55">
        <f t="shared" si="112"/>
        <v>70412.609060000017</v>
      </c>
      <c r="BL13" s="56">
        <f t="shared" ref="BL13" si="159">100%/22</f>
        <v>4.5454545454545456E-2</v>
      </c>
      <c r="BM13" s="55">
        <f t="shared" ref="BM13:BM14" si="160">$C13*BL13</f>
        <v>70412.609060000017</v>
      </c>
      <c r="BN13" s="56">
        <f t="shared" ref="BN13" si="161">100%/22</f>
        <v>4.5454545454545456E-2</v>
      </c>
      <c r="BO13" s="55">
        <f t="shared" ref="BO13:BO15" si="162">$C13*BN13</f>
        <v>70412.609060000017</v>
      </c>
      <c r="BP13" s="56">
        <f t="shared" ref="BP13" si="163">100%/22</f>
        <v>4.5454545454545456E-2</v>
      </c>
      <c r="BQ13" s="55">
        <f t="shared" ref="BQ13:BQ19" si="164">$C13*BP13</f>
        <v>70412.609060000017</v>
      </c>
      <c r="BR13" s="56"/>
      <c r="BS13" s="55"/>
      <c r="BT13" s="56"/>
      <c r="BU13" s="55"/>
      <c r="BV13" s="56"/>
      <c r="BW13" s="55"/>
      <c r="BX13" s="56"/>
      <c r="BY13" s="55">
        <f t="shared" si="119"/>
        <v>0</v>
      </c>
      <c r="BZ13" s="56"/>
      <c r="CA13" s="55">
        <f t="shared" si="120"/>
        <v>0</v>
      </c>
      <c r="CB13" s="56"/>
      <c r="CC13" s="55">
        <f t="shared" si="121"/>
        <v>0</v>
      </c>
      <c r="CD13" s="56"/>
      <c r="CE13" s="55">
        <f t="shared" si="122"/>
        <v>0</v>
      </c>
      <c r="CF13" s="56"/>
      <c r="CG13" s="55">
        <f t="shared" si="123"/>
        <v>0</v>
      </c>
      <c r="CH13" s="56"/>
      <c r="CI13" s="55">
        <f t="shared" si="124"/>
        <v>0</v>
      </c>
      <c r="CJ13" s="56"/>
      <c r="CK13" s="55">
        <f t="shared" si="125"/>
        <v>0</v>
      </c>
      <c r="CL13" s="56"/>
      <c r="CM13" s="55">
        <f t="shared" si="126"/>
        <v>0</v>
      </c>
      <c r="CN13" s="56"/>
      <c r="CO13" s="55">
        <f t="shared" si="127"/>
        <v>0</v>
      </c>
      <c r="CP13" s="56"/>
      <c r="CQ13" s="55">
        <f t="shared" si="128"/>
        <v>0</v>
      </c>
      <c r="CR13" s="56"/>
      <c r="CS13" s="55">
        <f t="shared" si="129"/>
        <v>0</v>
      </c>
      <c r="CT13" s="56"/>
      <c r="CU13" s="55">
        <f t="shared" si="130"/>
        <v>0</v>
      </c>
    </row>
    <row r="14" spans="2:99" ht="19.5" customHeight="1" x14ac:dyDescent="0.25">
      <c r="B14" s="45" t="s">
        <v>58</v>
      </c>
      <c r="C14" s="64">
        <v>4134785.49</v>
      </c>
      <c r="D14" s="28">
        <f t="shared" si="85"/>
        <v>0.11014182474068827</v>
      </c>
      <c r="E14" s="68">
        <f>C14/'DISTRIBUIÇÃO CUSTO'!C$30</f>
        <v>389.40000000000003</v>
      </c>
      <c r="F14" s="88">
        <f t="shared" si="86"/>
        <v>1.0000000000000004</v>
      </c>
      <c r="H14" s="27"/>
      <c r="I14" s="36">
        <f t="shared" si="0"/>
        <v>0</v>
      </c>
      <c r="J14" s="35"/>
      <c r="K14" s="36">
        <f t="shared" si="1"/>
        <v>0</v>
      </c>
      <c r="L14" s="35"/>
      <c r="M14" s="36">
        <f t="shared" si="2"/>
        <v>0</v>
      </c>
      <c r="N14" s="35"/>
      <c r="O14" s="36">
        <f t="shared" si="89"/>
        <v>0</v>
      </c>
      <c r="P14" s="35"/>
      <c r="Q14" s="36">
        <f t="shared" si="90"/>
        <v>0</v>
      </c>
      <c r="R14" s="35"/>
      <c r="S14" s="36">
        <f t="shared" si="91"/>
        <v>0</v>
      </c>
      <c r="T14" s="35"/>
      <c r="U14" s="36">
        <f t="shared" si="6"/>
        <v>0</v>
      </c>
      <c r="V14" s="35"/>
      <c r="W14" s="36">
        <f t="shared" si="92"/>
        <v>0</v>
      </c>
      <c r="X14" s="35"/>
      <c r="Y14" s="36">
        <f t="shared" si="93"/>
        <v>0</v>
      </c>
      <c r="Z14" s="35"/>
      <c r="AA14" s="36">
        <f t="shared" si="94"/>
        <v>0</v>
      </c>
      <c r="AB14" s="35"/>
      <c r="AC14" s="36">
        <f t="shared" si="95"/>
        <v>0</v>
      </c>
      <c r="AD14" s="35">
        <f>100%/21</f>
        <v>4.7619047619047616E-2</v>
      </c>
      <c r="AE14" s="36">
        <f t="shared" si="96"/>
        <v>196894.54714285713</v>
      </c>
      <c r="AF14" s="35">
        <f>100%/21</f>
        <v>4.7619047619047616E-2</v>
      </c>
      <c r="AG14" s="36">
        <f t="shared" ref="AG14" si="165">$C14*AF14</f>
        <v>196894.54714285713</v>
      </c>
      <c r="AH14" s="35">
        <f t="shared" ref="AH14" si="166">100%/21</f>
        <v>4.7619047619047616E-2</v>
      </c>
      <c r="AI14" s="36">
        <f t="shared" si="98"/>
        <v>196894.54714285713</v>
      </c>
      <c r="AJ14" s="35">
        <f t="shared" ref="AJ14" si="167">100%/21</f>
        <v>4.7619047619047616E-2</v>
      </c>
      <c r="AK14" s="36">
        <f t="shared" si="99"/>
        <v>196894.54714285713</v>
      </c>
      <c r="AL14" s="35">
        <f t="shared" ref="AL14" si="168">100%/21</f>
        <v>4.7619047619047616E-2</v>
      </c>
      <c r="AM14" s="36">
        <f t="shared" si="100"/>
        <v>196894.54714285713</v>
      </c>
      <c r="AN14" s="35">
        <f t="shared" ref="AN14" si="169">100%/21</f>
        <v>4.7619047619047616E-2</v>
      </c>
      <c r="AO14" s="36">
        <f t="shared" si="101"/>
        <v>196894.54714285713</v>
      </c>
      <c r="AP14" s="35">
        <f t="shared" ref="AP14" si="170">100%/21</f>
        <v>4.7619047619047616E-2</v>
      </c>
      <c r="AQ14" s="36">
        <f t="shared" si="102"/>
        <v>196894.54714285713</v>
      </c>
      <c r="AR14" s="35">
        <f t="shared" ref="AR14" si="171">100%/21</f>
        <v>4.7619047619047616E-2</v>
      </c>
      <c r="AS14" s="36">
        <f t="shared" si="103"/>
        <v>196894.54714285713</v>
      </c>
      <c r="AT14" s="35">
        <f t="shared" ref="AT14" si="172">100%/21</f>
        <v>4.7619047619047616E-2</v>
      </c>
      <c r="AU14" s="36">
        <f t="shared" si="104"/>
        <v>196894.54714285713</v>
      </c>
      <c r="AV14" s="35">
        <f t="shared" ref="AV14" si="173">100%/21</f>
        <v>4.7619047619047616E-2</v>
      </c>
      <c r="AW14" s="36">
        <f t="shared" si="105"/>
        <v>196894.54714285713</v>
      </c>
      <c r="AX14" s="35">
        <f t="shared" ref="AX14" si="174">100%/21</f>
        <v>4.7619047619047616E-2</v>
      </c>
      <c r="AY14" s="36">
        <f t="shared" si="106"/>
        <v>196894.54714285713</v>
      </c>
      <c r="AZ14" s="35">
        <f t="shared" ref="AZ14" si="175">100%/21</f>
        <v>4.7619047619047616E-2</v>
      </c>
      <c r="BA14" s="36">
        <f t="shared" si="107"/>
        <v>196894.54714285713</v>
      </c>
      <c r="BB14" s="35">
        <f t="shared" ref="BB14" si="176">100%/21</f>
        <v>4.7619047619047616E-2</v>
      </c>
      <c r="BC14" s="36">
        <f t="shared" si="108"/>
        <v>196894.54714285713</v>
      </c>
      <c r="BD14" s="35">
        <f t="shared" ref="BD14" si="177">100%/21</f>
        <v>4.7619047619047616E-2</v>
      </c>
      <c r="BE14" s="36">
        <f t="shared" si="109"/>
        <v>196894.54714285713</v>
      </c>
      <c r="BF14" s="35">
        <f t="shared" ref="BF14" si="178">100%/21</f>
        <v>4.7619047619047616E-2</v>
      </c>
      <c r="BG14" s="36">
        <f t="shared" si="110"/>
        <v>196894.54714285713</v>
      </c>
      <c r="BH14" s="35">
        <f t="shared" ref="BH14" si="179">100%/21</f>
        <v>4.7619047619047616E-2</v>
      </c>
      <c r="BI14" s="36">
        <f t="shared" si="111"/>
        <v>196894.54714285713</v>
      </c>
      <c r="BJ14" s="35">
        <f t="shared" ref="BJ14" si="180">100%/21</f>
        <v>4.7619047619047616E-2</v>
      </c>
      <c r="BK14" s="36">
        <f t="shared" si="112"/>
        <v>196894.54714285713</v>
      </c>
      <c r="BL14" s="35">
        <f t="shared" ref="BL14:BR14" si="181">100%/21</f>
        <v>4.7619047619047616E-2</v>
      </c>
      <c r="BM14" s="36">
        <f t="shared" si="160"/>
        <v>196894.54714285713</v>
      </c>
      <c r="BN14" s="35">
        <f t="shared" si="181"/>
        <v>4.7619047619047616E-2</v>
      </c>
      <c r="BO14" s="36">
        <f t="shared" si="162"/>
        <v>196894.54714285713</v>
      </c>
      <c r="BP14" s="35">
        <f t="shared" si="181"/>
        <v>4.7619047619047616E-2</v>
      </c>
      <c r="BQ14" s="36">
        <f t="shared" si="164"/>
        <v>196894.54714285713</v>
      </c>
      <c r="BR14" s="35">
        <f t="shared" si="181"/>
        <v>4.7619047619047616E-2</v>
      </c>
      <c r="BS14" s="36">
        <f t="shared" ref="BS14:BS15" si="182">$C14*BR14</f>
        <v>196894.54714285713</v>
      </c>
      <c r="BT14" s="35"/>
      <c r="BU14" s="36">
        <f t="shared" ref="BU14:BU15" si="183">$C14*BT14</f>
        <v>0</v>
      </c>
      <c r="BV14" s="35"/>
      <c r="BW14" s="36">
        <f t="shared" ref="BW14:BW15" si="184">$C14*BV14</f>
        <v>0</v>
      </c>
      <c r="BX14" s="35"/>
      <c r="BY14" s="36">
        <f t="shared" ref="BY14:BY15" si="185">$C14*BX14</f>
        <v>0</v>
      </c>
      <c r="BZ14" s="35"/>
      <c r="CA14" s="36">
        <f t="shared" si="120"/>
        <v>0</v>
      </c>
      <c r="CB14" s="35"/>
      <c r="CC14" s="36">
        <f t="shared" si="121"/>
        <v>0</v>
      </c>
      <c r="CD14" s="35"/>
      <c r="CE14" s="36">
        <f t="shared" si="122"/>
        <v>0</v>
      </c>
      <c r="CF14" s="35"/>
      <c r="CG14" s="36">
        <f t="shared" si="123"/>
        <v>0</v>
      </c>
      <c r="CH14" s="35"/>
      <c r="CI14" s="36">
        <f t="shared" si="124"/>
        <v>0</v>
      </c>
      <c r="CJ14" s="35"/>
      <c r="CK14" s="36">
        <f t="shared" si="125"/>
        <v>0</v>
      </c>
      <c r="CL14" s="35"/>
      <c r="CM14" s="36">
        <f t="shared" si="126"/>
        <v>0</v>
      </c>
      <c r="CN14" s="35"/>
      <c r="CO14" s="36">
        <f t="shared" si="127"/>
        <v>0</v>
      </c>
      <c r="CP14" s="35"/>
      <c r="CQ14" s="36">
        <f t="shared" si="128"/>
        <v>0</v>
      </c>
      <c r="CR14" s="35"/>
      <c r="CS14" s="36">
        <f t="shared" si="129"/>
        <v>0</v>
      </c>
      <c r="CT14" s="35"/>
      <c r="CU14" s="36">
        <f t="shared" si="130"/>
        <v>0</v>
      </c>
    </row>
    <row r="15" spans="2:99" ht="19.5" customHeight="1" x14ac:dyDescent="0.25">
      <c r="B15" s="52" t="s">
        <v>59</v>
      </c>
      <c r="C15" s="63">
        <v>1798782.9750000001</v>
      </c>
      <c r="D15" s="53">
        <f t="shared" si="85"/>
        <v>4.7915723719680524E-2</v>
      </c>
      <c r="E15" s="67">
        <f>C15/'DISTRIBUIÇÃO CUSTO'!C$30</f>
        <v>169.40324767972425</v>
      </c>
      <c r="F15" s="87">
        <f t="shared" si="86"/>
        <v>1</v>
      </c>
      <c r="H15" s="54"/>
      <c r="I15" s="55">
        <f t="shared" si="0"/>
        <v>0</v>
      </c>
      <c r="J15" s="56"/>
      <c r="K15" s="55">
        <f t="shared" si="1"/>
        <v>0</v>
      </c>
      <c r="L15" s="56"/>
      <c r="M15" s="55">
        <f t="shared" si="2"/>
        <v>0</v>
      </c>
      <c r="N15" s="56"/>
      <c r="O15" s="55">
        <f t="shared" si="89"/>
        <v>0</v>
      </c>
      <c r="P15" s="56"/>
      <c r="Q15" s="55">
        <f t="shared" si="90"/>
        <v>0</v>
      </c>
      <c r="R15" s="56"/>
      <c r="S15" s="55">
        <f t="shared" si="91"/>
        <v>0</v>
      </c>
      <c r="T15" s="56"/>
      <c r="U15" s="55">
        <f t="shared" si="6"/>
        <v>0</v>
      </c>
      <c r="V15" s="56"/>
      <c r="W15" s="55">
        <f t="shared" si="92"/>
        <v>0</v>
      </c>
      <c r="X15" s="56"/>
      <c r="Y15" s="55">
        <f t="shared" si="93"/>
        <v>0</v>
      </c>
      <c r="Z15" s="56"/>
      <c r="AA15" s="55">
        <f t="shared" si="94"/>
        <v>0</v>
      </c>
      <c r="AB15" s="56"/>
      <c r="AC15" s="55">
        <f t="shared" si="95"/>
        <v>0</v>
      </c>
      <c r="AD15" s="56"/>
      <c r="AE15" s="55">
        <f t="shared" si="96"/>
        <v>0</v>
      </c>
      <c r="AF15" s="56"/>
      <c r="AG15" s="55">
        <f t="shared" si="97"/>
        <v>0</v>
      </c>
      <c r="AH15" s="56"/>
      <c r="AI15" s="55">
        <f t="shared" si="98"/>
        <v>0</v>
      </c>
      <c r="AJ15" s="56"/>
      <c r="AK15" s="55">
        <f t="shared" si="99"/>
        <v>0</v>
      </c>
      <c r="AL15" s="56"/>
      <c r="AM15" s="55">
        <f t="shared" si="100"/>
        <v>0</v>
      </c>
      <c r="AN15" s="56"/>
      <c r="AO15" s="55">
        <f t="shared" si="101"/>
        <v>0</v>
      </c>
      <c r="AP15" s="56"/>
      <c r="AQ15" s="55">
        <f t="shared" si="102"/>
        <v>0</v>
      </c>
      <c r="AR15" s="56"/>
      <c r="AS15" s="55">
        <f t="shared" si="103"/>
        <v>0</v>
      </c>
      <c r="AT15" s="56"/>
      <c r="AU15" s="55">
        <f t="shared" si="104"/>
        <v>0</v>
      </c>
      <c r="AV15" s="56"/>
      <c r="AW15" s="55">
        <f t="shared" si="105"/>
        <v>0</v>
      </c>
      <c r="AX15" s="56"/>
      <c r="AY15" s="55">
        <f t="shared" si="106"/>
        <v>0</v>
      </c>
      <c r="AZ15" s="56"/>
      <c r="BA15" s="55">
        <f t="shared" si="107"/>
        <v>0</v>
      </c>
      <c r="BB15" s="56"/>
      <c r="BC15" s="55">
        <f t="shared" si="108"/>
        <v>0</v>
      </c>
      <c r="BD15" s="56"/>
      <c r="BE15" s="55">
        <f t="shared" si="109"/>
        <v>0</v>
      </c>
      <c r="BF15" s="56"/>
      <c r="BG15" s="55">
        <f t="shared" si="110"/>
        <v>0</v>
      </c>
      <c r="BH15" s="56"/>
      <c r="BI15" s="55">
        <f t="shared" si="111"/>
        <v>0</v>
      </c>
      <c r="BJ15" s="56"/>
      <c r="BK15" s="55">
        <f t="shared" si="112"/>
        <v>0</v>
      </c>
      <c r="BL15" s="56">
        <f>100%/12</f>
        <v>8.3333333333333329E-2</v>
      </c>
      <c r="BM15" s="55">
        <f t="shared" si="113"/>
        <v>149898.58124999999</v>
      </c>
      <c r="BN15" s="56">
        <f t="shared" ref="BN15" si="186">100%/12</f>
        <v>8.3333333333333329E-2</v>
      </c>
      <c r="BO15" s="55">
        <f t="shared" si="162"/>
        <v>149898.58124999999</v>
      </c>
      <c r="BP15" s="56">
        <f t="shared" ref="BP15" si="187">100%/12</f>
        <v>8.3333333333333329E-2</v>
      </c>
      <c r="BQ15" s="55">
        <f t="shared" si="164"/>
        <v>149898.58124999999</v>
      </c>
      <c r="BR15" s="56">
        <f t="shared" ref="BR15" si="188">100%/12</f>
        <v>8.3333333333333329E-2</v>
      </c>
      <c r="BS15" s="55">
        <f t="shared" si="182"/>
        <v>149898.58124999999</v>
      </c>
      <c r="BT15" s="56">
        <f t="shared" ref="BT15" si="189">100%/12</f>
        <v>8.3333333333333329E-2</v>
      </c>
      <c r="BU15" s="55">
        <f t="shared" si="183"/>
        <v>149898.58124999999</v>
      </c>
      <c r="BV15" s="56">
        <f t="shared" ref="BV15" si="190">100%/12</f>
        <v>8.3333333333333329E-2</v>
      </c>
      <c r="BW15" s="55">
        <f t="shared" si="184"/>
        <v>149898.58124999999</v>
      </c>
      <c r="BX15" s="56">
        <f t="shared" ref="BX15" si="191">100%/12</f>
        <v>8.3333333333333329E-2</v>
      </c>
      <c r="BY15" s="55">
        <f t="shared" si="185"/>
        <v>149898.58124999999</v>
      </c>
      <c r="BZ15" s="56">
        <f t="shared" ref="BZ15" si="192">100%/12</f>
        <v>8.3333333333333329E-2</v>
      </c>
      <c r="CA15" s="55">
        <f t="shared" si="120"/>
        <v>149898.58124999999</v>
      </c>
      <c r="CB15" s="56">
        <f t="shared" ref="CB15" si="193">100%/12</f>
        <v>8.3333333333333329E-2</v>
      </c>
      <c r="CC15" s="55">
        <f t="shared" si="121"/>
        <v>149898.58124999999</v>
      </c>
      <c r="CD15" s="56">
        <f t="shared" ref="CD15" si="194">100%/12</f>
        <v>8.3333333333333329E-2</v>
      </c>
      <c r="CE15" s="55">
        <f t="shared" si="122"/>
        <v>149898.58124999999</v>
      </c>
      <c r="CF15" s="56">
        <f t="shared" ref="CF15" si="195">100%/12</f>
        <v>8.3333333333333329E-2</v>
      </c>
      <c r="CG15" s="55">
        <f t="shared" si="123"/>
        <v>149898.58124999999</v>
      </c>
      <c r="CH15" s="56">
        <f t="shared" ref="CH15" si="196">100%/12</f>
        <v>8.3333333333333329E-2</v>
      </c>
      <c r="CI15" s="55">
        <f t="shared" si="124"/>
        <v>149898.58124999999</v>
      </c>
      <c r="CJ15" s="56"/>
      <c r="CK15" s="55">
        <f t="shared" si="125"/>
        <v>0</v>
      </c>
      <c r="CL15" s="56"/>
      <c r="CM15" s="55">
        <f t="shared" si="126"/>
        <v>0</v>
      </c>
      <c r="CN15" s="56"/>
      <c r="CO15" s="55">
        <f t="shared" si="127"/>
        <v>0</v>
      </c>
      <c r="CP15" s="56"/>
      <c r="CQ15" s="55">
        <f t="shared" si="128"/>
        <v>0</v>
      </c>
      <c r="CR15" s="56"/>
      <c r="CS15" s="55">
        <f t="shared" si="129"/>
        <v>0</v>
      </c>
      <c r="CT15" s="56"/>
      <c r="CU15" s="55">
        <f t="shared" si="130"/>
        <v>0</v>
      </c>
    </row>
    <row r="16" spans="2:99" ht="19.5" customHeight="1" x14ac:dyDescent="0.25">
      <c r="B16" s="45" t="s">
        <v>60</v>
      </c>
      <c r="C16" s="64">
        <v>596836.88130000001</v>
      </c>
      <c r="D16" s="28">
        <f t="shared" si="85"/>
        <v>1.5898455515505731E-2</v>
      </c>
      <c r="E16" s="68">
        <f>C16/'DISTRIBUIÇÃO CUSTO'!C$30</f>
        <v>56.208062580344404</v>
      </c>
      <c r="F16" s="88">
        <f t="shared" si="86"/>
        <v>1.0000000000000004</v>
      </c>
      <c r="H16" s="27"/>
      <c r="I16" s="36">
        <f t="shared" si="0"/>
        <v>0</v>
      </c>
      <c r="J16" s="35"/>
      <c r="K16" s="36">
        <f t="shared" si="1"/>
        <v>0</v>
      </c>
      <c r="L16" s="35"/>
      <c r="M16" s="36">
        <f t="shared" si="2"/>
        <v>0</v>
      </c>
      <c r="N16" s="35"/>
      <c r="O16" s="36">
        <f t="shared" si="89"/>
        <v>0</v>
      </c>
      <c r="P16" s="35"/>
      <c r="Q16" s="36">
        <f t="shared" si="90"/>
        <v>0</v>
      </c>
      <c r="R16" s="35"/>
      <c r="S16" s="36">
        <f t="shared" si="91"/>
        <v>0</v>
      </c>
      <c r="T16" s="35"/>
      <c r="U16" s="36">
        <f t="shared" si="6"/>
        <v>0</v>
      </c>
      <c r="V16" s="35"/>
      <c r="W16" s="36">
        <f t="shared" si="92"/>
        <v>0</v>
      </c>
      <c r="X16" s="35"/>
      <c r="Y16" s="36">
        <f t="shared" si="93"/>
        <v>0</v>
      </c>
      <c r="Z16" s="35"/>
      <c r="AA16" s="36">
        <f t="shared" si="94"/>
        <v>0</v>
      </c>
      <c r="AB16" s="35"/>
      <c r="AC16" s="36">
        <f t="shared" si="95"/>
        <v>0</v>
      </c>
      <c r="AD16" s="35"/>
      <c r="AE16" s="36">
        <f t="shared" si="96"/>
        <v>0</v>
      </c>
      <c r="AF16" s="35"/>
      <c r="AG16" s="36">
        <f t="shared" si="97"/>
        <v>0</v>
      </c>
      <c r="AH16" s="35">
        <f>100%/21</f>
        <v>4.7619047619047616E-2</v>
      </c>
      <c r="AI16" s="36">
        <f t="shared" si="98"/>
        <v>28420.803871428569</v>
      </c>
      <c r="AJ16" s="35">
        <f t="shared" ref="AJ16:AJ17" si="197">100%/21</f>
        <v>4.7619047619047616E-2</v>
      </c>
      <c r="AK16" s="36">
        <f t="shared" si="99"/>
        <v>28420.803871428569</v>
      </c>
      <c r="AL16" s="35">
        <f t="shared" ref="AL16:AL17" si="198">100%/21</f>
        <v>4.7619047619047616E-2</v>
      </c>
      <c r="AM16" s="36">
        <f t="shared" si="100"/>
        <v>28420.803871428569</v>
      </c>
      <c r="AN16" s="35">
        <f t="shared" ref="AN16:AN18" si="199">100%/21</f>
        <v>4.7619047619047616E-2</v>
      </c>
      <c r="AO16" s="36">
        <f t="shared" si="101"/>
        <v>28420.803871428569</v>
      </c>
      <c r="AP16" s="35">
        <f t="shared" ref="AP16:AP18" si="200">100%/21</f>
        <v>4.7619047619047616E-2</v>
      </c>
      <c r="AQ16" s="36">
        <f t="shared" si="102"/>
        <v>28420.803871428569</v>
      </c>
      <c r="AR16" s="35">
        <f t="shared" ref="AR16:AR18" si="201">100%/21</f>
        <v>4.7619047619047616E-2</v>
      </c>
      <c r="AS16" s="36">
        <f t="shared" si="103"/>
        <v>28420.803871428569</v>
      </c>
      <c r="AT16" s="35">
        <f t="shared" ref="AT16:AT18" si="202">100%/21</f>
        <v>4.7619047619047616E-2</v>
      </c>
      <c r="AU16" s="36">
        <f t="shared" si="104"/>
        <v>28420.803871428569</v>
      </c>
      <c r="AV16" s="35">
        <f t="shared" ref="AV16:AV18" si="203">100%/21</f>
        <v>4.7619047619047616E-2</v>
      </c>
      <c r="AW16" s="36">
        <f t="shared" si="105"/>
        <v>28420.803871428569</v>
      </c>
      <c r="AX16" s="35">
        <f t="shared" ref="AX16:AX18" si="204">100%/21</f>
        <v>4.7619047619047616E-2</v>
      </c>
      <c r="AY16" s="36">
        <f t="shared" si="106"/>
        <v>28420.803871428569</v>
      </c>
      <c r="AZ16" s="35">
        <f t="shared" ref="AZ16:AZ18" si="205">100%/21</f>
        <v>4.7619047619047616E-2</v>
      </c>
      <c r="BA16" s="36">
        <f t="shared" si="107"/>
        <v>28420.803871428569</v>
      </c>
      <c r="BB16" s="35">
        <f t="shared" ref="BB16:BB18" si="206">100%/21</f>
        <v>4.7619047619047616E-2</v>
      </c>
      <c r="BC16" s="36">
        <f t="shared" si="108"/>
        <v>28420.803871428569</v>
      </c>
      <c r="BD16" s="35">
        <f t="shared" ref="BD16:BD18" si="207">100%/21</f>
        <v>4.7619047619047616E-2</v>
      </c>
      <c r="BE16" s="36">
        <f t="shared" si="109"/>
        <v>28420.803871428569</v>
      </c>
      <c r="BF16" s="35">
        <f t="shared" ref="BF16:BF18" si="208">100%/21</f>
        <v>4.7619047619047616E-2</v>
      </c>
      <c r="BG16" s="36">
        <f t="shared" si="110"/>
        <v>28420.803871428569</v>
      </c>
      <c r="BH16" s="35">
        <f t="shared" ref="BH16:BH18" si="209">100%/21</f>
        <v>4.7619047619047616E-2</v>
      </c>
      <c r="BI16" s="36">
        <f t="shared" si="111"/>
        <v>28420.803871428569</v>
      </c>
      <c r="BJ16" s="35">
        <f t="shared" ref="BJ16:BJ18" si="210">100%/21</f>
        <v>4.7619047619047616E-2</v>
      </c>
      <c r="BK16" s="36">
        <f t="shared" si="112"/>
        <v>28420.803871428569</v>
      </c>
      <c r="BL16" s="35">
        <f t="shared" ref="BL16:BL18" si="211">100%/21</f>
        <v>4.7619047619047616E-2</v>
      </c>
      <c r="BM16" s="36">
        <f t="shared" si="113"/>
        <v>28420.803871428569</v>
      </c>
      <c r="BN16" s="35">
        <f t="shared" ref="BN16:BN18" si="212">100%/21</f>
        <v>4.7619047619047616E-2</v>
      </c>
      <c r="BO16" s="36">
        <f t="shared" si="114"/>
        <v>28420.803871428569</v>
      </c>
      <c r="BP16" s="35">
        <f t="shared" ref="BP16:BP18" si="213">100%/21</f>
        <v>4.7619047619047616E-2</v>
      </c>
      <c r="BQ16" s="36">
        <f t="shared" si="164"/>
        <v>28420.803871428569</v>
      </c>
      <c r="BR16" s="35">
        <f t="shared" ref="BR16:BR18" si="214">100%/21</f>
        <v>4.7619047619047616E-2</v>
      </c>
      <c r="BS16" s="36">
        <f t="shared" si="116"/>
        <v>28420.803871428569</v>
      </c>
      <c r="BT16" s="35">
        <f t="shared" ref="BT16:BT18" si="215">100%/21</f>
        <v>4.7619047619047616E-2</v>
      </c>
      <c r="BU16" s="36">
        <f t="shared" ref="BU16:BU19" si="216">$C16*BT16</f>
        <v>28420.803871428569</v>
      </c>
      <c r="BV16" s="35">
        <f t="shared" ref="BV16" si="217">100%/21</f>
        <v>4.7619047619047616E-2</v>
      </c>
      <c r="BW16" s="36">
        <f t="shared" ref="BW16" si="218">$C16*BV16</f>
        <v>28420.803871428569</v>
      </c>
      <c r="BX16" s="35"/>
      <c r="BY16" s="36">
        <f t="shared" ref="BY16" si="219">$C16*BX16</f>
        <v>0</v>
      </c>
      <c r="BZ16" s="35"/>
      <c r="CA16" s="36">
        <f t="shared" si="120"/>
        <v>0</v>
      </c>
      <c r="CB16" s="35"/>
      <c r="CC16" s="36">
        <f t="shared" si="121"/>
        <v>0</v>
      </c>
      <c r="CD16" s="35"/>
      <c r="CE16" s="36">
        <f t="shared" si="122"/>
        <v>0</v>
      </c>
      <c r="CF16" s="35"/>
      <c r="CG16" s="36">
        <f t="shared" si="123"/>
        <v>0</v>
      </c>
      <c r="CH16" s="35"/>
      <c r="CI16" s="36">
        <f t="shared" si="124"/>
        <v>0</v>
      </c>
      <c r="CJ16" s="35"/>
      <c r="CK16" s="36">
        <f t="shared" si="125"/>
        <v>0</v>
      </c>
      <c r="CL16" s="35"/>
      <c r="CM16" s="36">
        <f t="shared" si="126"/>
        <v>0</v>
      </c>
      <c r="CN16" s="35"/>
      <c r="CO16" s="36">
        <f t="shared" si="127"/>
        <v>0</v>
      </c>
      <c r="CP16" s="35"/>
      <c r="CQ16" s="36">
        <f t="shared" si="128"/>
        <v>0</v>
      </c>
      <c r="CR16" s="35"/>
      <c r="CS16" s="36">
        <f t="shared" si="129"/>
        <v>0</v>
      </c>
      <c r="CT16" s="35"/>
      <c r="CU16" s="36">
        <f t="shared" si="130"/>
        <v>0</v>
      </c>
    </row>
    <row r="17" spans="2:100" ht="19.5" customHeight="1" x14ac:dyDescent="0.25">
      <c r="B17" s="50" t="s">
        <v>61</v>
      </c>
      <c r="C17" s="65">
        <v>1820366.878</v>
      </c>
      <c r="D17" s="51">
        <f t="shared" si="85"/>
        <v>4.8490672641987496E-2</v>
      </c>
      <c r="E17" s="69">
        <f>C17/'DISTRIBUIÇÃO CUSTO'!C$30</f>
        <v>171.43594607448426</v>
      </c>
      <c r="F17" s="87">
        <f t="shared" si="86"/>
        <v>1.0000000000000004</v>
      </c>
      <c r="H17" s="54"/>
      <c r="I17" s="55">
        <f t="shared" si="0"/>
        <v>0</v>
      </c>
      <c r="J17" s="56"/>
      <c r="K17" s="55">
        <f t="shared" si="1"/>
        <v>0</v>
      </c>
      <c r="L17" s="56"/>
      <c r="M17" s="55">
        <f t="shared" si="2"/>
        <v>0</v>
      </c>
      <c r="N17" s="56"/>
      <c r="O17" s="55">
        <f t="shared" si="89"/>
        <v>0</v>
      </c>
      <c r="P17" s="56"/>
      <c r="Q17" s="55">
        <f t="shared" si="90"/>
        <v>0</v>
      </c>
      <c r="R17" s="56"/>
      <c r="S17" s="55">
        <f t="shared" si="91"/>
        <v>0</v>
      </c>
      <c r="T17" s="56"/>
      <c r="U17" s="55">
        <f t="shared" si="6"/>
        <v>0</v>
      </c>
      <c r="V17" s="56"/>
      <c r="W17" s="55">
        <f t="shared" si="92"/>
        <v>0</v>
      </c>
      <c r="X17" s="56"/>
      <c r="Y17" s="55">
        <f t="shared" si="93"/>
        <v>0</v>
      </c>
      <c r="Z17" s="56"/>
      <c r="AA17" s="55">
        <f t="shared" si="94"/>
        <v>0</v>
      </c>
      <c r="AB17" s="56"/>
      <c r="AC17" s="55">
        <f t="shared" si="95"/>
        <v>0</v>
      </c>
      <c r="AD17" s="56"/>
      <c r="AE17" s="55">
        <f t="shared" si="96"/>
        <v>0</v>
      </c>
      <c r="AF17" s="56">
        <f>100%/21</f>
        <v>4.7619047619047616E-2</v>
      </c>
      <c r="AG17" s="55">
        <f t="shared" si="97"/>
        <v>86684.13704761905</v>
      </c>
      <c r="AH17" s="56">
        <f t="shared" ref="AH17" si="220">100%/21</f>
        <v>4.7619047619047616E-2</v>
      </c>
      <c r="AI17" s="55">
        <f t="shared" si="98"/>
        <v>86684.13704761905</v>
      </c>
      <c r="AJ17" s="56">
        <f t="shared" si="197"/>
        <v>4.7619047619047616E-2</v>
      </c>
      <c r="AK17" s="55">
        <f t="shared" si="99"/>
        <v>86684.13704761905</v>
      </c>
      <c r="AL17" s="56">
        <f t="shared" si="198"/>
        <v>4.7619047619047616E-2</v>
      </c>
      <c r="AM17" s="55">
        <f t="shared" si="100"/>
        <v>86684.13704761905</v>
      </c>
      <c r="AN17" s="56">
        <f t="shared" si="199"/>
        <v>4.7619047619047616E-2</v>
      </c>
      <c r="AO17" s="55">
        <f t="shared" si="101"/>
        <v>86684.13704761905</v>
      </c>
      <c r="AP17" s="56">
        <f t="shared" si="200"/>
        <v>4.7619047619047616E-2</v>
      </c>
      <c r="AQ17" s="55">
        <f t="shared" si="102"/>
        <v>86684.13704761905</v>
      </c>
      <c r="AR17" s="56">
        <f t="shared" si="201"/>
        <v>4.7619047619047616E-2</v>
      </c>
      <c r="AS17" s="55">
        <f t="shared" si="103"/>
        <v>86684.13704761905</v>
      </c>
      <c r="AT17" s="56">
        <f t="shared" si="202"/>
        <v>4.7619047619047616E-2</v>
      </c>
      <c r="AU17" s="55">
        <f t="shared" si="104"/>
        <v>86684.13704761905</v>
      </c>
      <c r="AV17" s="56">
        <f t="shared" si="203"/>
        <v>4.7619047619047616E-2</v>
      </c>
      <c r="AW17" s="55">
        <f t="shared" si="105"/>
        <v>86684.13704761905</v>
      </c>
      <c r="AX17" s="56">
        <f t="shared" si="204"/>
        <v>4.7619047619047616E-2</v>
      </c>
      <c r="AY17" s="55">
        <f t="shared" si="106"/>
        <v>86684.13704761905</v>
      </c>
      <c r="AZ17" s="56">
        <f t="shared" si="205"/>
        <v>4.7619047619047616E-2</v>
      </c>
      <c r="BA17" s="55">
        <f t="shared" si="107"/>
        <v>86684.13704761905</v>
      </c>
      <c r="BB17" s="56">
        <f t="shared" si="206"/>
        <v>4.7619047619047616E-2</v>
      </c>
      <c r="BC17" s="55">
        <f t="shared" si="108"/>
        <v>86684.13704761905</v>
      </c>
      <c r="BD17" s="56">
        <f t="shared" si="207"/>
        <v>4.7619047619047616E-2</v>
      </c>
      <c r="BE17" s="55">
        <f t="shared" si="109"/>
        <v>86684.13704761905</v>
      </c>
      <c r="BF17" s="56">
        <f t="shared" si="208"/>
        <v>4.7619047619047616E-2</v>
      </c>
      <c r="BG17" s="55">
        <f t="shared" si="110"/>
        <v>86684.13704761905</v>
      </c>
      <c r="BH17" s="56">
        <f t="shared" si="209"/>
        <v>4.7619047619047616E-2</v>
      </c>
      <c r="BI17" s="55">
        <f t="shared" si="111"/>
        <v>86684.13704761905</v>
      </c>
      <c r="BJ17" s="56">
        <f t="shared" si="210"/>
        <v>4.7619047619047616E-2</v>
      </c>
      <c r="BK17" s="55">
        <f t="shared" si="112"/>
        <v>86684.13704761905</v>
      </c>
      <c r="BL17" s="56">
        <f t="shared" si="211"/>
        <v>4.7619047619047616E-2</v>
      </c>
      <c r="BM17" s="55">
        <f t="shared" si="113"/>
        <v>86684.13704761905</v>
      </c>
      <c r="BN17" s="56">
        <f t="shared" si="212"/>
        <v>4.7619047619047616E-2</v>
      </c>
      <c r="BO17" s="55">
        <f t="shared" si="114"/>
        <v>86684.13704761905</v>
      </c>
      <c r="BP17" s="56">
        <f t="shared" si="213"/>
        <v>4.7619047619047616E-2</v>
      </c>
      <c r="BQ17" s="55">
        <f t="shared" si="164"/>
        <v>86684.13704761905</v>
      </c>
      <c r="BR17" s="56">
        <f t="shared" si="214"/>
        <v>4.7619047619047616E-2</v>
      </c>
      <c r="BS17" s="55">
        <f t="shared" si="116"/>
        <v>86684.13704761905</v>
      </c>
      <c r="BT17" s="56">
        <f t="shared" si="215"/>
        <v>4.7619047619047616E-2</v>
      </c>
      <c r="BU17" s="55">
        <f t="shared" si="216"/>
        <v>86684.13704761905</v>
      </c>
      <c r="BV17" s="56"/>
      <c r="BW17" s="55"/>
      <c r="BX17" s="56"/>
      <c r="BY17" s="55"/>
      <c r="BZ17" s="56"/>
      <c r="CA17" s="55"/>
      <c r="CB17" s="56"/>
      <c r="CC17" s="55">
        <f t="shared" si="121"/>
        <v>0</v>
      </c>
      <c r="CD17" s="56"/>
      <c r="CE17" s="55">
        <f t="shared" si="122"/>
        <v>0</v>
      </c>
      <c r="CF17" s="56"/>
      <c r="CG17" s="55">
        <f t="shared" si="123"/>
        <v>0</v>
      </c>
      <c r="CH17" s="56"/>
      <c r="CI17" s="55">
        <f t="shared" si="124"/>
        <v>0</v>
      </c>
      <c r="CJ17" s="56"/>
      <c r="CK17" s="55">
        <f t="shared" si="125"/>
        <v>0</v>
      </c>
      <c r="CL17" s="56"/>
      <c r="CM17" s="55">
        <f t="shared" si="126"/>
        <v>0</v>
      </c>
      <c r="CN17" s="56"/>
      <c r="CO17" s="55">
        <f t="shared" si="127"/>
        <v>0</v>
      </c>
      <c r="CP17" s="56"/>
      <c r="CQ17" s="55">
        <f t="shared" si="128"/>
        <v>0</v>
      </c>
      <c r="CR17" s="56"/>
      <c r="CS17" s="55">
        <f t="shared" si="129"/>
        <v>0</v>
      </c>
      <c r="CT17" s="56"/>
      <c r="CU17" s="55">
        <f t="shared" si="130"/>
        <v>0</v>
      </c>
    </row>
    <row r="18" spans="2:100" ht="19.5" customHeight="1" x14ac:dyDescent="0.25">
      <c r="B18" s="46" t="s">
        <v>62</v>
      </c>
      <c r="C18" s="66">
        <v>710184.99419999996</v>
      </c>
      <c r="D18" s="29">
        <f t="shared" si="85"/>
        <v>1.8917806341785123E-2</v>
      </c>
      <c r="E18" s="70">
        <f>C18/'DISTRIBUIÇÃO CUSTO'!C$30</f>
        <v>66.882801395697072</v>
      </c>
      <c r="F18" s="88">
        <f t="shared" si="86"/>
        <v>1.0000000000000004</v>
      </c>
      <c r="H18" s="27"/>
      <c r="I18" s="36">
        <f t="shared" si="0"/>
        <v>0</v>
      </c>
      <c r="J18" s="35"/>
      <c r="K18" s="36">
        <f t="shared" si="1"/>
        <v>0</v>
      </c>
      <c r="L18" s="35"/>
      <c r="M18" s="36">
        <f t="shared" si="2"/>
        <v>0</v>
      </c>
      <c r="N18" s="35"/>
      <c r="O18" s="36">
        <f t="shared" si="89"/>
        <v>0</v>
      </c>
      <c r="P18" s="35"/>
      <c r="Q18" s="36">
        <f t="shared" si="90"/>
        <v>0</v>
      </c>
      <c r="R18" s="35"/>
      <c r="S18" s="36">
        <f t="shared" si="91"/>
        <v>0</v>
      </c>
      <c r="T18" s="35"/>
      <c r="U18" s="36">
        <f t="shared" si="6"/>
        <v>0</v>
      </c>
      <c r="V18" s="35"/>
      <c r="W18" s="36">
        <f t="shared" si="92"/>
        <v>0</v>
      </c>
      <c r="X18" s="35"/>
      <c r="Y18" s="36">
        <f t="shared" si="93"/>
        <v>0</v>
      </c>
      <c r="Z18" s="35"/>
      <c r="AA18" s="36">
        <f t="shared" si="94"/>
        <v>0</v>
      </c>
      <c r="AB18" s="35"/>
      <c r="AC18" s="36">
        <f t="shared" si="95"/>
        <v>0</v>
      </c>
      <c r="AD18" s="35"/>
      <c r="AE18" s="36">
        <f t="shared" si="96"/>
        <v>0</v>
      </c>
      <c r="AF18" s="35"/>
      <c r="AG18" s="36">
        <f t="shared" si="97"/>
        <v>0</v>
      </c>
      <c r="AH18" s="35"/>
      <c r="AI18" s="36">
        <f t="shared" si="98"/>
        <v>0</v>
      </c>
      <c r="AJ18" s="35"/>
      <c r="AK18" s="36">
        <f t="shared" si="99"/>
        <v>0</v>
      </c>
      <c r="AL18" s="35">
        <f>100%/21</f>
        <v>4.7619047619047616E-2</v>
      </c>
      <c r="AM18" s="36">
        <f t="shared" si="100"/>
        <v>33818.333057142852</v>
      </c>
      <c r="AN18" s="35">
        <f t="shared" si="199"/>
        <v>4.7619047619047616E-2</v>
      </c>
      <c r="AO18" s="36">
        <f t="shared" si="101"/>
        <v>33818.333057142852</v>
      </c>
      <c r="AP18" s="35">
        <f t="shared" si="200"/>
        <v>4.7619047619047616E-2</v>
      </c>
      <c r="AQ18" s="36">
        <f t="shared" si="102"/>
        <v>33818.333057142852</v>
      </c>
      <c r="AR18" s="35">
        <f t="shared" si="201"/>
        <v>4.7619047619047616E-2</v>
      </c>
      <c r="AS18" s="36">
        <f t="shared" si="103"/>
        <v>33818.333057142852</v>
      </c>
      <c r="AT18" s="35">
        <f t="shared" si="202"/>
        <v>4.7619047619047616E-2</v>
      </c>
      <c r="AU18" s="36">
        <f t="shared" si="104"/>
        <v>33818.333057142852</v>
      </c>
      <c r="AV18" s="35">
        <f t="shared" si="203"/>
        <v>4.7619047619047616E-2</v>
      </c>
      <c r="AW18" s="36">
        <f t="shared" si="105"/>
        <v>33818.333057142852</v>
      </c>
      <c r="AX18" s="35">
        <f t="shared" si="204"/>
        <v>4.7619047619047616E-2</v>
      </c>
      <c r="AY18" s="36">
        <f t="shared" si="106"/>
        <v>33818.333057142852</v>
      </c>
      <c r="AZ18" s="35">
        <f t="shared" si="205"/>
        <v>4.7619047619047616E-2</v>
      </c>
      <c r="BA18" s="36">
        <f t="shared" si="107"/>
        <v>33818.333057142852</v>
      </c>
      <c r="BB18" s="35">
        <f t="shared" si="206"/>
        <v>4.7619047619047616E-2</v>
      </c>
      <c r="BC18" s="36">
        <f t="shared" si="108"/>
        <v>33818.333057142852</v>
      </c>
      <c r="BD18" s="35">
        <f t="shared" si="207"/>
        <v>4.7619047619047616E-2</v>
      </c>
      <c r="BE18" s="36">
        <f t="shared" si="109"/>
        <v>33818.333057142852</v>
      </c>
      <c r="BF18" s="35">
        <f t="shared" si="208"/>
        <v>4.7619047619047616E-2</v>
      </c>
      <c r="BG18" s="36">
        <f t="shared" si="110"/>
        <v>33818.333057142852</v>
      </c>
      <c r="BH18" s="35">
        <f t="shared" si="209"/>
        <v>4.7619047619047616E-2</v>
      </c>
      <c r="BI18" s="36">
        <f t="shared" si="111"/>
        <v>33818.333057142852</v>
      </c>
      <c r="BJ18" s="35">
        <f t="shared" si="210"/>
        <v>4.7619047619047616E-2</v>
      </c>
      <c r="BK18" s="36">
        <f t="shared" si="112"/>
        <v>33818.333057142852</v>
      </c>
      <c r="BL18" s="35">
        <f t="shared" si="211"/>
        <v>4.7619047619047616E-2</v>
      </c>
      <c r="BM18" s="36">
        <f t="shared" si="113"/>
        <v>33818.333057142852</v>
      </c>
      <c r="BN18" s="35">
        <f t="shared" si="212"/>
        <v>4.7619047619047616E-2</v>
      </c>
      <c r="BO18" s="36">
        <f t="shared" si="114"/>
        <v>33818.333057142852</v>
      </c>
      <c r="BP18" s="35">
        <f t="shared" si="213"/>
        <v>4.7619047619047616E-2</v>
      </c>
      <c r="BQ18" s="36">
        <f t="shared" si="164"/>
        <v>33818.333057142852</v>
      </c>
      <c r="BR18" s="35">
        <f t="shared" si="214"/>
        <v>4.7619047619047616E-2</v>
      </c>
      <c r="BS18" s="36">
        <f t="shared" si="116"/>
        <v>33818.333057142852</v>
      </c>
      <c r="BT18" s="35">
        <f t="shared" si="215"/>
        <v>4.7619047619047616E-2</v>
      </c>
      <c r="BU18" s="36">
        <f t="shared" si="216"/>
        <v>33818.333057142852</v>
      </c>
      <c r="BV18" s="35">
        <f t="shared" ref="BV18" si="221">100%/21</f>
        <v>4.7619047619047616E-2</v>
      </c>
      <c r="BW18" s="36">
        <f t="shared" ref="BW18:BW19" si="222">$C18*BV18</f>
        <v>33818.333057142852</v>
      </c>
      <c r="BX18" s="35">
        <f t="shared" ref="BX18" si="223">100%/21</f>
        <v>4.7619047619047616E-2</v>
      </c>
      <c r="BY18" s="36">
        <f t="shared" ref="BY18:BY19" si="224">$C18*BX18</f>
        <v>33818.333057142852</v>
      </c>
      <c r="BZ18" s="35">
        <f t="shared" ref="BZ18" si="225">100%/21</f>
        <v>4.7619047619047616E-2</v>
      </c>
      <c r="CA18" s="36">
        <f t="shared" ref="CA18:CA19" si="226">$C18*BZ18</f>
        <v>33818.333057142852</v>
      </c>
      <c r="CB18" s="35"/>
      <c r="CC18" s="36"/>
      <c r="CD18" s="35"/>
      <c r="CE18" s="36"/>
      <c r="CF18" s="35"/>
      <c r="CG18" s="36"/>
      <c r="CH18" s="35"/>
      <c r="CI18" s="36">
        <f t="shared" si="124"/>
        <v>0</v>
      </c>
      <c r="CJ18" s="35"/>
      <c r="CK18" s="36">
        <f t="shared" si="125"/>
        <v>0</v>
      </c>
      <c r="CL18" s="35"/>
      <c r="CM18" s="36">
        <f t="shared" si="126"/>
        <v>0</v>
      </c>
      <c r="CN18" s="35"/>
      <c r="CO18" s="36">
        <f t="shared" si="127"/>
        <v>0</v>
      </c>
      <c r="CP18" s="35"/>
      <c r="CQ18" s="36">
        <f t="shared" si="128"/>
        <v>0</v>
      </c>
      <c r="CR18" s="35"/>
      <c r="CS18" s="36">
        <f t="shared" si="129"/>
        <v>0</v>
      </c>
      <c r="CT18" s="35"/>
      <c r="CU18" s="36">
        <f t="shared" si="130"/>
        <v>0</v>
      </c>
    </row>
    <row r="19" spans="2:100" ht="19.5" customHeight="1" x14ac:dyDescent="0.25">
      <c r="B19" s="50" t="s">
        <v>63</v>
      </c>
      <c r="C19" s="65">
        <v>1725596.9500000002</v>
      </c>
      <c r="D19" s="51">
        <f t="shared" si="85"/>
        <v>4.5966204848988723E-2</v>
      </c>
      <c r="E19" s="69">
        <f>C19/'DISTRIBUIÇÃO CUSTO'!C$30</f>
        <v>162.51083737115465</v>
      </c>
      <c r="F19" s="87">
        <f t="shared" si="86"/>
        <v>0.99999999999999956</v>
      </c>
      <c r="H19" s="54"/>
      <c r="I19" s="55">
        <f t="shared" si="0"/>
        <v>0</v>
      </c>
      <c r="J19" s="56"/>
      <c r="K19" s="55">
        <f t="shared" si="1"/>
        <v>0</v>
      </c>
      <c r="L19" s="56"/>
      <c r="M19" s="55">
        <f t="shared" si="2"/>
        <v>0</v>
      </c>
      <c r="N19" s="56"/>
      <c r="O19" s="55">
        <f t="shared" si="89"/>
        <v>0</v>
      </c>
      <c r="P19" s="56"/>
      <c r="Q19" s="55">
        <f t="shared" si="90"/>
        <v>0</v>
      </c>
      <c r="R19" s="56"/>
      <c r="S19" s="55">
        <f t="shared" si="91"/>
        <v>0</v>
      </c>
      <c r="T19" s="56"/>
      <c r="U19" s="55">
        <f t="shared" si="6"/>
        <v>0</v>
      </c>
      <c r="V19" s="56"/>
      <c r="W19" s="55">
        <f t="shared" si="92"/>
        <v>0</v>
      </c>
      <c r="X19" s="56"/>
      <c r="Y19" s="55">
        <f t="shared" si="93"/>
        <v>0</v>
      </c>
      <c r="Z19" s="56"/>
      <c r="AA19" s="55">
        <f t="shared" si="94"/>
        <v>0</v>
      </c>
      <c r="AB19" s="56"/>
      <c r="AC19" s="55">
        <f t="shared" si="95"/>
        <v>0</v>
      </c>
      <c r="AD19" s="56"/>
      <c r="AE19" s="55">
        <f t="shared" si="96"/>
        <v>0</v>
      </c>
      <c r="AF19" s="56"/>
      <c r="AG19" s="55">
        <f t="shared" si="97"/>
        <v>0</v>
      </c>
      <c r="AH19" s="56"/>
      <c r="AI19" s="55">
        <f t="shared" si="98"/>
        <v>0</v>
      </c>
      <c r="AJ19" s="56">
        <f t="shared" ref="AJ19:AL19" si="227">100%/24</f>
        <v>4.1666666666666664E-2</v>
      </c>
      <c r="AK19" s="55">
        <f t="shared" si="99"/>
        <v>71899.872916666674</v>
      </c>
      <c r="AL19" s="56">
        <f t="shared" si="227"/>
        <v>4.1666666666666664E-2</v>
      </c>
      <c r="AM19" s="55">
        <f t="shared" si="100"/>
        <v>71899.872916666674</v>
      </c>
      <c r="AN19" s="56">
        <f t="shared" ref="AN19" si="228">100%/24</f>
        <v>4.1666666666666664E-2</v>
      </c>
      <c r="AO19" s="55">
        <f t="shared" si="101"/>
        <v>71899.872916666674</v>
      </c>
      <c r="AP19" s="56">
        <f t="shared" ref="AP19" si="229">100%/24</f>
        <v>4.1666666666666664E-2</v>
      </c>
      <c r="AQ19" s="55">
        <f t="shared" si="102"/>
        <v>71899.872916666674</v>
      </c>
      <c r="AR19" s="56">
        <f t="shared" ref="AR19" si="230">100%/24</f>
        <v>4.1666666666666664E-2</v>
      </c>
      <c r="AS19" s="55">
        <f t="shared" si="103"/>
        <v>71899.872916666674</v>
      </c>
      <c r="AT19" s="56">
        <f t="shared" ref="AT19" si="231">100%/24</f>
        <v>4.1666666666666664E-2</v>
      </c>
      <c r="AU19" s="55">
        <f t="shared" si="104"/>
        <v>71899.872916666674</v>
      </c>
      <c r="AV19" s="56">
        <f t="shared" ref="AV19" si="232">100%/24</f>
        <v>4.1666666666666664E-2</v>
      </c>
      <c r="AW19" s="55">
        <f t="shared" si="105"/>
        <v>71899.872916666674</v>
      </c>
      <c r="AX19" s="56">
        <f t="shared" ref="AX19" si="233">100%/24</f>
        <v>4.1666666666666664E-2</v>
      </c>
      <c r="AY19" s="55">
        <f t="shared" si="106"/>
        <v>71899.872916666674</v>
      </c>
      <c r="AZ19" s="56">
        <f t="shared" ref="AZ19" si="234">100%/24</f>
        <v>4.1666666666666664E-2</v>
      </c>
      <c r="BA19" s="55">
        <f t="shared" si="107"/>
        <v>71899.872916666674</v>
      </c>
      <c r="BB19" s="56">
        <f t="shared" ref="BB19" si="235">100%/24</f>
        <v>4.1666666666666664E-2</v>
      </c>
      <c r="BC19" s="55">
        <f t="shared" si="108"/>
        <v>71899.872916666674</v>
      </c>
      <c r="BD19" s="56">
        <f t="shared" ref="BD19" si="236">100%/24</f>
        <v>4.1666666666666664E-2</v>
      </c>
      <c r="BE19" s="55">
        <f t="shared" si="109"/>
        <v>71899.872916666674</v>
      </c>
      <c r="BF19" s="56">
        <f t="shared" ref="BF19" si="237">100%/24</f>
        <v>4.1666666666666664E-2</v>
      </c>
      <c r="BG19" s="55">
        <f t="shared" si="110"/>
        <v>71899.872916666674</v>
      </c>
      <c r="BH19" s="56">
        <f t="shared" ref="BH19" si="238">100%/24</f>
        <v>4.1666666666666664E-2</v>
      </c>
      <c r="BI19" s="55">
        <f t="shared" si="111"/>
        <v>71899.872916666674</v>
      </c>
      <c r="BJ19" s="56">
        <f t="shared" ref="BJ19" si="239">100%/24</f>
        <v>4.1666666666666664E-2</v>
      </c>
      <c r="BK19" s="55">
        <f t="shared" si="112"/>
        <v>71899.872916666674</v>
      </c>
      <c r="BL19" s="56">
        <f t="shared" ref="BL19" si="240">100%/24</f>
        <v>4.1666666666666664E-2</v>
      </c>
      <c r="BM19" s="55">
        <f t="shared" si="113"/>
        <v>71899.872916666674</v>
      </c>
      <c r="BN19" s="56">
        <f t="shared" ref="BN19" si="241">100%/24</f>
        <v>4.1666666666666664E-2</v>
      </c>
      <c r="BO19" s="55">
        <f t="shared" si="114"/>
        <v>71899.872916666674</v>
      </c>
      <c r="BP19" s="56">
        <f t="shared" ref="BP19" si="242">100%/24</f>
        <v>4.1666666666666664E-2</v>
      </c>
      <c r="BQ19" s="55">
        <f t="shared" si="164"/>
        <v>71899.872916666674</v>
      </c>
      <c r="BR19" s="56">
        <f t="shared" ref="BR19" si="243">100%/24</f>
        <v>4.1666666666666664E-2</v>
      </c>
      <c r="BS19" s="55">
        <f t="shared" si="116"/>
        <v>71899.872916666674</v>
      </c>
      <c r="BT19" s="56">
        <f t="shared" ref="BT19" si="244">100%/24</f>
        <v>4.1666666666666664E-2</v>
      </c>
      <c r="BU19" s="55">
        <f t="shared" si="216"/>
        <v>71899.872916666674</v>
      </c>
      <c r="BV19" s="56">
        <f t="shared" ref="BV19" si="245">100%/24</f>
        <v>4.1666666666666664E-2</v>
      </c>
      <c r="BW19" s="55">
        <f t="shared" si="222"/>
        <v>71899.872916666674</v>
      </c>
      <c r="BX19" s="56">
        <f t="shared" ref="BX19" si="246">100%/24</f>
        <v>4.1666666666666664E-2</v>
      </c>
      <c r="BY19" s="55">
        <f t="shared" si="224"/>
        <v>71899.872916666674</v>
      </c>
      <c r="BZ19" s="56">
        <f t="shared" ref="BZ19" si="247">100%/24</f>
        <v>4.1666666666666664E-2</v>
      </c>
      <c r="CA19" s="55">
        <f t="shared" si="226"/>
        <v>71899.872916666674</v>
      </c>
      <c r="CB19" s="56">
        <f t="shared" ref="CB19" si="248">100%/24</f>
        <v>4.1666666666666664E-2</v>
      </c>
      <c r="CC19" s="55">
        <f t="shared" ref="CC19" si="249">$C19*CB19</f>
        <v>71899.872916666674</v>
      </c>
      <c r="CD19" s="56">
        <f t="shared" ref="CD19" si="250">100%/24</f>
        <v>4.1666666666666664E-2</v>
      </c>
      <c r="CE19" s="55">
        <f t="shared" ref="CE19" si="251">$C19*CD19</f>
        <v>71899.872916666674</v>
      </c>
      <c r="CF19" s="56"/>
      <c r="CG19" s="55"/>
      <c r="CH19" s="56"/>
      <c r="CI19" s="55"/>
      <c r="CJ19" s="56"/>
      <c r="CK19" s="55"/>
      <c r="CL19" s="56"/>
      <c r="CM19" s="55">
        <f t="shared" si="126"/>
        <v>0</v>
      </c>
      <c r="CN19" s="56"/>
      <c r="CO19" s="55">
        <f t="shared" si="127"/>
        <v>0</v>
      </c>
      <c r="CP19" s="56"/>
      <c r="CQ19" s="55">
        <f t="shared" si="128"/>
        <v>0</v>
      </c>
      <c r="CR19" s="56"/>
      <c r="CS19" s="55">
        <f t="shared" si="129"/>
        <v>0</v>
      </c>
      <c r="CT19" s="56"/>
      <c r="CU19" s="55">
        <f t="shared" si="130"/>
        <v>0</v>
      </c>
    </row>
    <row r="20" spans="2:100" ht="19.5" customHeight="1" x14ac:dyDescent="0.25">
      <c r="B20" s="46" t="s">
        <v>64</v>
      </c>
      <c r="C20" s="66">
        <v>1897364.7549999999</v>
      </c>
      <c r="D20" s="29">
        <f t="shared" si="85"/>
        <v>5.0541731081282501E-2</v>
      </c>
      <c r="E20" s="70">
        <f>C20/'DISTRIBUIÇÃO CUSTO'!C$30</f>
        <v>178.68734360799934</v>
      </c>
      <c r="F20" s="88">
        <f t="shared" si="86"/>
        <v>0.99999999999999956</v>
      </c>
      <c r="H20" s="27"/>
      <c r="I20" s="36">
        <f t="shared" si="0"/>
        <v>0</v>
      </c>
      <c r="J20" s="35"/>
      <c r="K20" s="36">
        <f t="shared" si="1"/>
        <v>0</v>
      </c>
      <c r="L20" s="35"/>
      <c r="M20" s="36">
        <f t="shared" si="2"/>
        <v>0</v>
      </c>
      <c r="N20" s="35"/>
      <c r="O20" s="36">
        <f t="shared" si="89"/>
        <v>0</v>
      </c>
      <c r="P20" s="35"/>
      <c r="Q20" s="36">
        <f t="shared" si="90"/>
        <v>0</v>
      </c>
      <c r="R20" s="35"/>
      <c r="S20" s="36">
        <f t="shared" si="91"/>
        <v>0</v>
      </c>
      <c r="T20" s="35"/>
      <c r="U20" s="36">
        <f t="shared" si="6"/>
        <v>0</v>
      </c>
      <c r="V20" s="35"/>
      <c r="W20" s="36">
        <f t="shared" si="92"/>
        <v>0</v>
      </c>
      <c r="X20" s="35"/>
      <c r="Y20" s="36">
        <f t="shared" si="93"/>
        <v>0</v>
      </c>
      <c r="Z20" s="35"/>
      <c r="AA20" s="36">
        <f t="shared" si="94"/>
        <v>0</v>
      </c>
      <c r="AB20" s="35"/>
      <c r="AC20" s="36">
        <f t="shared" si="95"/>
        <v>0</v>
      </c>
      <c r="AD20" s="35"/>
      <c r="AE20" s="36">
        <f t="shared" si="96"/>
        <v>0</v>
      </c>
      <c r="AF20" s="35"/>
      <c r="AG20" s="36">
        <f t="shared" si="97"/>
        <v>0</v>
      </c>
      <c r="AH20" s="35"/>
      <c r="AI20" s="36">
        <f t="shared" si="98"/>
        <v>0</v>
      </c>
      <c r="AJ20" s="35"/>
      <c r="AK20" s="36">
        <f t="shared" si="99"/>
        <v>0</v>
      </c>
      <c r="AL20" s="35"/>
      <c r="AM20" s="36">
        <f t="shared" si="100"/>
        <v>0</v>
      </c>
      <c r="AN20" s="35">
        <f>100%/29</f>
        <v>3.4482758620689655E-2</v>
      </c>
      <c r="AO20" s="36">
        <f t="shared" si="101"/>
        <v>65426.370862068958</v>
      </c>
      <c r="AP20" s="35">
        <f>100%/29</f>
        <v>3.4482758620689655E-2</v>
      </c>
      <c r="AQ20" s="36">
        <f t="shared" si="102"/>
        <v>65426.370862068958</v>
      </c>
      <c r="AR20" s="35">
        <f t="shared" ref="AR20" si="252">100%/29</f>
        <v>3.4482758620689655E-2</v>
      </c>
      <c r="AS20" s="36">
        <f t="shared" si="103"/>
        <v>65426.370862068958</v>
      </c>
      <c r="AT20" s="35">
        <f t="shared" ref="AT20" si="253">100%/29</f>
        <v>3.4482758620689655E-2</v>
      </c>
      <c r="AU20" s="36">
        <f t="shared" si="104"/>
        <v>65426.370862068958</v>
      </c>
      <c r="AV20" s="35">
        <f t="shared" ref="AV20" si="254">100%/29</f>
        <v>3.4482758620689655E-2</v>
      </c>
      <c r="AW20" s="36">
        <f t="shared" si="105"/>
        <v>65426.370862068958</v>
      </c>
      <c r="AX20" s="35">
        <f t="shared" ref="AX20" si="255">100%/29</f>
        <v>3.4482758620689655E-2</v>
      </c>
      <c r="AY20" s="36">
        <f t="shared" si="106"/>
        <v>65426.370862068958</v>
      </c>
      <c r="AZ20" s="35">
        <f t="shared" ref="AZ20" si="256">100%/29</f>
        <v>3.4482758620689655E-2</v>
      </c>
      <c r="BA20" s="36">
        <f t="shared" si="107"/>
        <v>65426.370862068958</v>
      </c>
      <c r="BB20" s="35">
        <f t="shared" ref="BB20" si="257">100%/29</f>
        <v>3.4482758620689655E-2</v>
      </c>
      <c r="BC20" s="36">
        <f t="shared" si="108"/>
        <v>65426.370862068958</v>
      </c>
      <c r="BD20" s="35">
        <f t="shared" ref="BD20" si="258">100%/29</f>
        <v>3.4482758620689655E-2</v>
      </c>
      <c r="BE20" s="36">
        <f t="shared" si="109"/>
        <v>65426.370862068958</v>
      </c>
      <c r="BF20" s="35">
        <f t="shared" ref="BF20" si="259">100%/29</f>
        <v>3.4482758620689655E-2</v>
      </c>
      <c r="BG20" s="36">
        <f t="shared" si="110"/>
        <v>65426.370862068958</v>
      </c>
      <c r="BH20" s="35">
        <f t="shared" ref="BH20" si="260">100%/29</f>
        <v>3.4482758620689655E-2</v>
      </c>
      <c r="BI20" s="36">
        <f t="shared" si="111"/>
        <v>65426.370862068958</v>
      </c>
      <c r="BJ20" s="35">
        <f t="shared" ref="BJ20" si="261">100%/29</f>
        <v>3.4482758620689655E-2</v>
      </c>
      <c r="BK20" s="36">
        <f t="shared" si="112"/>
        <v>65426.370862068958</v>
      </c>
      <c r="BL20" s="35">
        <f t="shared" ref="BL20" si="262">100%/29</f>
        <v>3.4482758620689655E-2</v>
      </c>
      <c r="BM20" s="36">
        <f t="shared" si="113"/>
        <v>65426.370862068958</v>
      </c>
      <c r="BN20" s="35">
        <f t="shared" ref="BN20" si="263">100%/29</f>
        <v>3.4482758620689655E-2</v>
      </c>
      <c r="BO20" s="36">
        <f t="shared" si="114"/>
        <v>65426.370862068958</v>
      </c>
      <c r="BP20" s="35">
        <f t="shared" ref="BP20" si="264">100%/29</f>
        <v>3.4482758620689655E-2</v>
      </c>
      <c r="BQ20" s="36">
        <f t="shared" si="115"/>
        <v>65426.370862068958</v>
      </c>
      <c r="BR20" s="35">
        <f t="shared" ref="BR20" si="265">100%/29</f>
        <v>3.4482758620689655E-2</v>
      </c>
      <c r="BS20" s="36">
        <f t="shared" si="116"/>
        <v>65426.370862068958</v>
      </c>
      <c r="BT20" s="35">
        <f t="shared" ref="BT20" si="266">100%/29</f>
        <v>3.4482758620689655E-2</v>
      </c>
      <c r="BU20" s="36">
        <f t="shared" si="117"/>
        <v>65426.370862068958</v>
      </c>
      <c r="BV20" s="35">
        <f t="shared" ref="BV20" si="267">100%/29</f>
        <v>3.4482758620689655E-2</v>
      </c>
      <c r="BW20" s="36">
        <f t="shared" si="118"/>
        <v>65426.370862068958</v>
      </c>
      <c r="BX20" s="35">
        <f t="shared" ref="BX20" si="268">100%/29</f>
        <v>3.4482758620689655E-2</v>
      </c>
      <c r="BY20" s="36">
        <f t="shared" si="119"/>
        <v>65426.370862068958</v>
      </c>
      <c r="BZ20" s="35">
        <f t="shared" ref="BZ20" si="269">100%/29</f>
        <v>3.4482758620689655E-2</v>
      </c>
      <c r="CA20" s="36">
        <f t="shared" si="120"/>
        <v>65426.370862068958</v>
      </c>
      <c r="CB20" s="35">
        <f t="shared" ref="CB20" si="270">100%/29</f>
        <v>3.4482758620689655E-2</v>
      </c>
      <c r="CC20" s="36">
        <f t="shared" si="121"/>
        <v>65426.370862068958</v>
      </c>
      <c r="CD20" s="35">
        <f t="shared" ref="CD20" si="271">100%/29</f>
        <v>3.4482758620689655E-2</v>
      </c>
      <c r="CE20" s="36">
        <f t="shared" si="122"/>
        <v>65426.370862068958</v>
      </c>
      <c r="CF20" s="35">
        <f t="shared" ref="CF20" si="272">100%/29</f>
        <v>3.4482758620689655E-2</v>
      </c>
      <c r="CG20" s="36">
        <f t="shared" si="123"/>
        <v>65426.370862068958</v>
      </c>
      <c r="CH20" s="35">
        <f t="shared" ref="CH20" si="273">100%/29</f>
        <v>3.4482758620689655E-2</v>
      </c>
      <c r="CI20" s="36">
        <f t="shared" si="124"/>
        <v>65426.370862068958</v>
      </c>
      <c r="CJ20" s="35">
        <f t="shared" ref="CJ20" si="274">100%/29</f>
        <v>3.4482758620689655E-2</v>
      </c>
      <c r="CK20" s="36">
        <f t="shared" si="125"/>
        <v>65426.370862068958</v>
      </c>
      <c r="CL20" s="35">
        <f t="shared" ref="CL20" si="275">100%/29</f>
        <v>3.4482758620689655E-2</v>
      </c>
      <c r="CM20" s="36">
        <f t="shared" si="126"/>
        <v>65426.370862068958</v>
      </c>
      <c r="CN20" s="35">
        <f t="shared" ref="CN20" si="276">100%/29</f>
        <v>3.4482758620689655E-2</v>
      </c>
      <c r="CO20" s="36">
        <f t="shared" si="127"/>
        <v>65426.370862068958</v>
      </c>
      <c r="CP20" s="35">
        <f t="shared" ref="CP20" si="277">100%/29</f>
        <v>3.4482758620689655E-2</v>
      </c>
      <c r="CQ20" s="36">
        <f t="shared" si="128"/>
        <v>65426.370862068958</v>
      </c>
      <c r="CR20" s="35">
        <f t="shared" ref="CR20" si="278">100%/29</f>
        <v>3.4482758620689655E-2</v>
      </c>
      <c r="CS20" s="36">
        <f t="shared" si="129"/>
        <v>65426.370862068958</v>
      </c>
      <c r="CT20" s="35"/>
      <c r="CU20" s="36"/>
    </row>
    <row r="21" spans="2:100" ht="19.5" customHeight="1" x14ac:dyDescent="0.25">
      <c r="B21" s="50" t="s">
        <v>65</v>
      </c>
      <c r="C21" s="65">
        <v>4058876.5195000004</v>
      </c>
      <c r="D21" s="51">
        <f t="shared" si="85"/>
        <v>0.10811977243706149</v>
      </c>
      <c r="E21" s="69">
        <f>C21/'DISTRIBUIÇÃO CUSTO'!C$30</f>
        <v>382.25115196805535</v>
      </c>
      <c r="F21" s="87">
        <f t="shared" si="86"/>
        <v>1</v>
      </c>
      <c r="H21" s="54"/>
      <c r="I21" s="55">
        <f t="shared" si="0"/>
        <v>0</v>
      </c>
      <c r="J21" s="56"/>
      <c r="K21" s="55">
        <f t="shared" si="1"/>
        <v>0</v>
      </c>
      <c r="L21" s="56"/>
      <c r="M21" s="55">
        <f t="shared" si="2"/>
        <v>0</v>
      </c>
      <c r="N21" s="56"/>
      <c r="O21" s="55">
        <f t="shared" si="89"/>
        <v>0</v>
      </c>
      <c r="P21" s="56"/>
      <c r="Q21" s="55">
        <f t="shared" si="90"/>
        <v>0</v>
      </c>
      <c r="R21" s="56"/>
      <c r="S21" s="55">
        <f t="shared" si="91"/>
        <v>0</v>
      </c>
      <c r="T21" s="56"/>
      <c r="U21" s="55">
        <f t="shared" si="6"/>
        <v>0</v>
      </c>
      <c r="V21" s="56"/>
      <c r="W21" s="55">
        <f t="shared" si="92"/>
        <v>0</v>
      </c>
      <c r="X21" s="56"/>
      <c r="Y21" s="55">
        <f t="shared" si="93"/>
        <v>0</v>
      </c>
      <c r="Z21" s="56"/>
      <c r="AA21" s="55">
        <f t="shared" si="94"/>
        <v>0</v>
      </c>
      <c r="AB21" s="56"/>
      <c r="AC21" s="55">
        <f t="shared" si="95"/>
        <v>0</v>
      </c>
      <c r="AD21" s="56"/>
      <c r="AE21" s="55">
        <f t="shared" si="96"/>
        <v>0</v>
      </c>
      <c r="AF21" s="56"/>
      <c r="AG21" s="55">
        <f t="shared" si="97"/>
        <v>0</v>
      </c>
      <c r="AH21" s="56"/>
      <c r="AI21" s="55">
        <f t="shared" si="98"/>
        <v>0</v>
      </c>
      <c r="AJ21" s="56"/>
      <c r="AK21" s="55">
        <f t="shared" si="99"/>
        <v>0</v>
      </c>
      <c r="AL21" s="56"/>
      <c r="AM21" s="55">
        <f t="shared" si="100"/>
        <v>0</v>
      </c>
      <c r="AN21" s="56"/>
      <c r="AO21" s="55">
        <f t="shared" si="101"/>
        <v>0</v>
      </c>
      <c r="AP21" s="56"/>
      <c r="AQ21" s="55">
        <f t="shared" si="102"/>
        <v>0</v>
      </c>
      <c r="AR21" s="56"/>
      <c r="AS21" s="55">
        <f t="shared" si="103"/>
        <v>0</v>
      </c>
      <c r="AT21" s="56"/>
      <c r="AU21" s="55">
        <f t="shared" si="104"/>
        <v>0</v>
      </c>
      <c r="AV21" s="56"/>
      <c r="AW21" s="55">
        <f t="shared" si="105"/>
        <v>0</v>
      </c>
      <c r="AX21" s="56"/>
      <c r="AY21" s="55">
        <f t="shared" si="106"/>
        <v>0</v>
      </c>
      <c r="AZ21" s="56"/>
      <c r="BA21" s="55">
        <f t="shared" si="107"/>
        <v>0</v>
      </c>
      <c r="BB21" s="56"/>
      <c r="BC21" s="55">
        <f t="shared" si="108"/>
        <v>0</v>
      </c>
      <c r="BD21" s="56"/>
      <c r="BE21" s="55">
        <f t="shared" si="109"/>
        <v>0</v>
      </c>
      <c r="BF21" s="56"/>
      <c r="BG21" s="55">
        <f t="shared" si="110"/>
        <v>0</v>
      </c>
      <c r="BH21" s="56"/>
      <c r="BI21" s="55">
        <f t="shared" si="111"/>
        <v>0</v>
      </c>
      <c r="BJ21" s="56"/>
      <c r="BK21" s="55">
        <f t="shared" si="112"/>
        <v>0</v>
      </c>
      <c r="BL21" s="56"/>
      <c r="BM21" s="55">
        <f t="shared" si="113"/>
        <v>0</v>
      </c>
      <c r="BN21" s="56"/>
      <c r="BO21" s="55">
        <f t="shared" si="114"/>
        <v>0</v>
      </c>
      <c r="BP21" s="56"/>
      <c r="BQ21" s="55">
        <f t="shared" si="115"/>
        <v>0</v>
      </c>
      <c r="BR21" s="56"/>
      <c r="BS21" s="55">
        <f t="shared" si="116"/>
        <v>0</v>
      </c>
      <c r="BT21" s="56">
        <f>100%/12</f>
        <v>8.3333333333333329E-2</v>
      </c>
      <c r="BU21" s="55">
        <f t="shared" si="117"/>
        <v>338239.70995833335</v>
      </c>
      <c r="BV21" s="56">
        <f t="shared" ref="BV21" si="279">100%/12</f>
        <v>8.3333333333333329E-2</v>
      </c>
      <c r="BW21" s="55">
        <f t="shared" si="118"/>
        <v>338239.70995833335</v>
      </c>
      <c r="BX21" s="56">
        <f t="shared" ref="BX21" si="280">100%/12</f>
        <v>8.3333333333333329E-2</v>
      </c>
      <c r="BY21" s="55">
        <f t="shared" si="119"/>
        <v>338239.70995833335</v>
      </c>
      <c r="BZ21" s="56">
        <f t="shared" ref="BZ21" si="281">100%/12</f>
        <v>8.3333333333333329E-2</v>
      </c>
      <c r="CA21" s="55">
        <f t="shared" si="120"/>
        <v>338239.70995833335</v>
      </c>
      <c r="CB21" s="56">
        <f t="shared" ref="CB21" si="282">100%/12</f>
        <v>8.3333333333333329E-2</v>
      </c>
      <c r="CC21" s="55">
        <f t="shared" si="121"/>
        <v>338239.70995833335</v>
      </c>
      <c r="CD21" s="56">
        <f t="shared" ref="CD21" si="283">100%/12</f>
        <v>8.3333333333333329E-2</v>
      </c>
      <c r="CE21" s="55">
        <f t="shared" si="122"/>
        <v>338239.70995833335</v>
      </c>
      <c r="CF21" s="56">
        <f t="shared" ref="CF21" si="284">100%/12</f>
        <v>8.3333333333333329E-2</v>
      </c>
      <c r="CG21" s="55">
        <f t="shared" si="123"/>
        <v>338239.70995833335</v>
      </c>
      <c r="CH21" s="56">
        <f t="shared" ref="CH21" si="285">100%/12</f>
        <v>8.3333333333333329E-2</v>
      </c>
      <c r="CI21" s="55">
        <f t="shared" si="124"/>
        <v>338239.70995833335</v>
      </c>
      <c r="CJ21" s="56">
        <f t="shared" ref="CJ21" si="286">100%/12</f>
        <v>8.3333333333333329E-2</v>
      </c>
      <c r="CK21" s="55">
        <f t="shared" si="125"/>
        <v>338239.70995833335</v>
      </c>
      <c r="CL21" s="56">
        <f t="shared" ref="CL21" si="287">100%/12</f>
        <v>8.3333333333333329E-2</v>
      </c>
      <c r="CM21" s="55">
        <f t="shared" si="126"/>
        <v>338239.70995833335</v>
      </c>
      <c r="CN21" s="56">
        <f t="shared" ref="CN21" si="288">100%/12</f>
        <v>8.3333333333333329E-2</v>
      </c>
      <c r="CO21" s="55">
        <f t="shared" si="127"/>
        <v>338239.70995833335</v>
      </c>
      <c r="CP21" s="56">
        <f t="shared" ref="CP21" si="289">100%/12</f>
        <v>8.3333333333333329E-2</v>
      </c>
      <c r="CQ21" s="55">
        <f t="shared" si="128"/>
        <v>338239.70995833335</v>
      </c>
      <c r="CR21" s="56"/>
      <c r="CS21" s="55">
        <f t="shared" si="129"/>
        <v>0</v>
      </c>
      <c r="CT21" s="56"/>
      <c r="CU21" s="55"/>
    </row>
    <row r="22" spans="2:100" ht="19.5" customHeight="1" x14ac:dyDescent="0.25">
      <c r="B22" s="46" t="s">
        <v>66</v>
      </c>
      <c r="C22" s="66">
        <v>184819.85500000001</v>
      </c>
      <c r="D22" s="29">
        <f t="shared" si="85"/>
        <v>4.9232048741685549E-3</v>
      </c>
      <c r="E22" s="70">
        <f>C22/'DISTRIBUIÇÃO CUSTO'!C$30</f>
        <v>17.405703805205139</v>
      </c>
      <c r="F22" s="88">
        <f t="shared" si="86"/>
        <v>1</v>
      </c>
      <c r="H22" s="27"/>
      <c r="I22" s="36">
        <f t="shared" si="0"/>
        <v>0</v>
      </c>
      <c r="J22" s="35"/>
      <c r="K22" s="36">
        <f t="shared" si="1"/>
        <v>0</v>
      </c>
      <c r="L22" s="35"/>
      <c r="M22" s="36">
        <f t="shared" si="2"/>
        <v>0</v>
      </c>
      <c r="N22" s="35"/>
      <c r="O22" s="36">
        <f t="shared" si="89"/>
        <v>0</v>
      </c>
      <c r="P22" s="35"/>
      <c r="Q22" s="36">
        <f t="shared" si="90"/>
        <v>0</v>
      </c>
      <c r="R22" s="35"/>
      <c r="S22" s="36">
        <f t="shared" si="91"/>
        <v>0</v>
      </c>
      <c r="T22" s="35"/>
      <c r="U22" s="36">
        <f t="shared" si="6"/>
        <v>0</v>
      </c>
      <c r="V22" s="35"/>
      <c r="W22" s="36">
        <f t="shared" si="92"/>
        <v>0</v>
      </c>
      <c r="X22" s="35"/>
      <c r="Y22" s="36">
        <f t="shared" si="93"/>
        <v>0</v>
      </c>
      <c r="Z22" s="35"/>
      <c r="AA22" s="36">
        <f t="shared" si="94"/>
        <v>0</v>
      </c>
      <c r="AB22" s="35"/>
      <c r="AC22" s="36">
        <f t="shared" si="95"/>
        <v>0</v>
      </c>
      <c r="AD22" s="35"/>
      <c r="AE22" s="36">
        <f t="shared" si="96"/>
        <v>0</v>
      </c>
      <c r="AF22" s="35"/>
      <c r="AG22" s="36">
        <f t="shared" si="97"/>
        <v>0</v>
      </c>
      <c r="AH22" s="35"/>
      <c r="AI22" s="36">
        <f t="shared" si="98"/>
        <v>0</v>
      </c>
      <c r="AJ22" s="35"/>
      <c r="AK22" s="36">
        <f t="shared" si="99"/>
        <v>0</v>
      </c>
      <c r="AL22" s="35"/>
      <c r="AM22" s="36">
        <f t="shared" si="100"/>
        <v>0</v>
      </c>
      <c r="AN22" s="35"/>
      <c r="AO22" s="36">
        <f t="shared" si="101"/>
        <v>0</v>
      </c>
      <c r="AP22" s="35"/>
      <c r="AQ22" s="36">
        <f t="shared" si="102"/>
        <v>0</v>
      </c>
      <c r="AR22" s="35"/>
      <c r="AS22" s="36">
        <f t="shared" si="103"/>
        <v>0</v>
      </c>
      <c r="AT22" s="35"/>
      <c r="AU22" s="36">
        <f t="shared" si="104"/>
        <v>0</v>
      </c>
      <c r="AV22" s="35"/>
      <c r="AW22" s="36">
        <f t="shared" si="105"/>
        <v>0</v>
      </c>
      <c r="AX22" s="35"/>
      <c r="AY22" s="36">
        <f t="shared" si="106"/>
        <v>0</v>
      </c>
      <c r="AZ22" s="35"/>
      <c r="BA22" s="36">
        <f t="shared" si="107"/>
        <v>0</v>
      </c>
      <c r="BB22" s="35"/>
      <c r="BC22" s="36">
        <f t="shared" si="108"/>
        <v>0</v>
      </c>
      <c r="BD22" s="35"/>
      <c r="BE22" s="36">
        <f t="shared" si="109"/>
        <v>0</v>
      </c>
      <c r="BF22" s="35"/>
      <c r="BG22" s="36">
        <f t="shared" si="110"/>
        <v>0</v>
      </c>
      <c r="BH22" s="35"/>
      <c r="BI22" s="36">
        <f t="shared" si="111"/>
        <v>0</v>
      </c>
      <c r="BJ22" s="35"/>
      <c r="BK22" s="36">
        <f t="shared" si="112"/>
        <v>0</v>
      </c>
      <c r="BL22" s="35"/>
      <c r="BM22" s="36">
        <f t="shared" si="113"/>
        <v>0</v>
      </c>
      <c r="BN22" s="35"/>
      <c r="BO22" s="36">
        <f t="shared" si="114"/>
        <v>0</v>
      </c>
      <c r="BP22" s="35">
        <f>100%/4</f>
        <v>0.25</v>
      </c>
      <c r="BQ22" s="36">
        <f t="shared" si="115"/>
        <v>46204.963750000003</v>
      </c>
      <c r="BR22" s="35">
        <f t="shared" ref="BR22" si="290">100%/4</f>
        <v>0.25</v>
      </c>
      <c r="BS22" s="36">
        <f t="shared" si="116"/>
        <v>46204.963750000003</v>
      </c>
      <c r="BT22" s="35">
        <f t="shared" ref="BT22" si="291">100%/4</f>
        <v>0.25</v>
      </c>
      <c r="BU22" s="36">
        <f t="shared" si="117"/>
        <v>46204.963750000003</v>
      </c>
      <c r="BV22" s="35">
        <f t="shared" ref="BV22" si="292">100%/4</f>
        <v>0.25</v>
      </c>
      <c r="BW22" s="36">
        <f t="shared" si="118"/>
        <v>46204.963750000003</v>
      </c>
      <c r="BX22" s="35"/>
      <c r="BY22" s="36">
        <f t="shared" si="119"/>
        <v>0</v>
      </c>
      <c r="BZ22" s="35"/>
      <c r="CA22" s="36">
        <f t="shared" si="120"/>
        <v>0</v>
      </c>
      <c r="CB22" s="35"/>
      <c r="CC22" s="36">
        <f t="shared" si="121"/>
        <v>0</v>
      </c>
      <c r="CD22" s="35"/>
      <c r="CE22" s="36">
        <f t="shared" si="122"/>
        <v>0</v>
      </c>
      <c r="CF22" s="35"/>
      <c r="CG22" s="36">
        <f t="shared" si="123"/>
        <v>0</v>
      </c>
      <c r="CH22" s="35"/>
      <c r="CI22" s="36">
        <f t="shared" si="124"/>
        <v>0</v>
      </c>
      <c r="CJ22" s="35"/>
      <c r="CK22" s="36">
        <f t="shared" si="125"/>
        <v>0</v>
      </c>
      <c r="CL22" s="35"/>
      <c r="CM22" s="36">
        <f t="shared" si="126"/>
        <v>0</v>
      </c>
      <c r="CN22" s="35"/>
      <c r="CO22" s="36">
        <f t="shared" si="127"/>
        <v>0</v>
      </c>
      <c r="CP22" s="35"/>
      <c r="CQ22" s="36">
        <f t="shared" si="128"/>
        <v>0</v>
      </c>
      <c r="CR22" s="35"/>
      <c r="CS22" s="36"/>
      <c r="CT22" s="35"/>
      <c r="CU22" s="36">
        <f t="shared" si="130"/>
        <v>0</v>
      </c>
    </row>
    <row r="23" spans="2:100" ht="19.5" customHeight="1" x14ac:dyDescent="0.25">
      <c r="B23" s="50" t="s">
        <v>67</v>
      </c>
      <c r="C23" s="65">
        <v>1847312.6364000002</v>
      </c>
      <c r="D23" s="51">
        <f t="shared" si="85"/>
        <v>4.9208449901866035E-2</v>
      </c>
      <c r="E23" s="69">
        <f>C23/'DISTRIBUIÇÃO CUSTO'!C$30</f>
        <v>173.97360572970379</v>
      </c>
      <c r="F23" s="87">
        <f t="shared" si="86"/>
        <v>0.99999999999999978</v>
      </c>
      <c r="H23" s="54"/>
      <c r="I23" s="55">
        <f t="shared" si="0"/>
        <v>0</v>
      </c>
      <c r="J23" s="56"/>
      <c r="K23" s="55">
        <f t="shared" si="1"/>
        <v>0</v>
      </c>
      <c r="L23" s="56"/>
      <c r="M23" s="55">
        <f t="shared" si="2"/>
        <v>0</v>
      </c>
      <c r="N23" s="56"/>
      <c r="O23" s="55">
        <f t="shared" si="89"/>
        <v>0</v>
      </c>
      <c r="P23" s="56"/>
      <c r="Q23" s="55">
        <f t="shared" si="90"/>
        <v>0</v>
      </c>
      <c r="R23" s="56"/>
      <c r="S23" s="55">
        <f t="shared" si="91"/>
        <v>0</v>
      </c>
      <c r="T23" s="56"/>
      <c r="U23" s="55">
        <f t="shared" si="6"/>
        <v>0</v>
      </c>
      <c r="V23" s="56"/>
      <c r="W23" s="55">
        <f t="shared" si="92"/>
        <v>0</v>
      </c>
      <c r="X23" s="56"/>
      <c r="Y23" s="55">
        <f t="shared" si="93"/>
        <v>0</v>
      </c>
      <c r="Z23" s="56"/>
      <c r="AA23" s="55">
        <f t="shared" si="94"/>
        <v>0</v>
      </c>
      <c r="AB23" s="56"/>
      <c r="AC23" s="55">
        <f t="shared" si="95"/>
        <v>0</v>
      </c>
      <c r="AD23" s="56"/>
      <c r="AE23" s="55">
        <f t="shared" si="96"/>
        <v>0</v>
      </c>
      <c r="AF23" s="56"/>
      <c r="AG23" s="55">
        <f t="shared" si="97"/>
        <v>0</v>
      </c>
      <c r="AH23" s="56"/>
      <c r="AI23" s="55">
        <f t="shared" si="98"/>
        <v>0</v>
      </c>
      <c r="AJ23" s="56"/>
      <c r="AK23" s="55">
        <f t="shared" si="99"/>
        <v>0</v>
      </c>
      <c r="AL23" s="56"/>
      <c r="AM23" s="55">
        <f t="shared" si="100"/>
        <v>0</v>
      </c>
      <c r="AN23" s="56"/>
      <c r="AO23" s="55">
        <f t="shared" si="101"/>
        <v>0</v>
      </c>
      <c r="AP23" s="56"/>
      <c r="AQ23" s="55">
        <f t="shared" si="102"/>
        <v>0</v>
      </c>
      <c r="AR23" s="56"/>
      <c r="AS23" s="55">
        <f t="shared" si="103"/>
        <v>0</v>
      </c>
      <c r="AT23" s="56"/>
      <c r="AU23" s="55">
        <f t="shared" si="104"/>
        <v>0</v>
      </c>
      <c r="AV23" s="56"/>
      <c r="AW23" s="55">
        <f t="shared" si="105"/>
        <v>0</v>
      </c>
      <c r="AX23" s="56"/>
      <c r="AY23" s="55">
        <f t="shared" si="106"/>
        <v>0</v>
      </c>
      <c r="AZ23" s="56"/>
      <c r="BA23" s="55">
        <f t="shared" si="107"/>
        <v>0</v>
      </c>
      <c r="BB23" s="56"/>
      <c r="BC23" s="55">
        <f t="shared" si="108"/>
        <v>0</v>
      </c>
      <c r="BD23" s="56"/>
      <c r="BE23" s="55">
        <f t="shared" si="109"/>
        <v>0</v>
      </c>
      <c r="BF23" s="56"/>
      <c r="BG23" s="55">
        <f t="shared" si="110"/>
        <v>0</v>
      </c>
      <c r="BH23" s="56"/>
      <c r="BI23" s="55">
        <f t="shared" si="111"/>
        <v>0</v>
      </c>
      <c r="BJ23" s="56"/>
      <c r="BK23" s="55">
        <f t="shared" si="112"/>
        <v>0</v>
      </c>
      <c r="BL23" s="56">
        <f>100%/13</f>
        <v>7.6923076923076927E-2</v>
      </c>
      <c r="BM23" s="55">
        <f t="shared" si="113"/>
        <v>142100.97203076925</v>
      </c>
      <c r="BN23" s="56">
        <f t="shared" ref="BN23" si="293">100%/13</f>
        <v>7.6923076923076927E-2</v>
      </c>
      <c r="BO23" s="55">
        <f t="shared" si="114"/>
        <v>142100.97203076925</v>
      </c>
      <c r="BP23" s="56">
        <f t="shared" ref="BP23" si="294">100%/13</f>
        <v>7.6923076923076927E-2</v>
      </c>
      <c r="BQ23" s="55">
        <f t="shared" si="115"/>
        <v>142100.97203076925</v>
      </c>
      <c r="BR23" s="56">
        <f t="shared" ref="BR23" si="295">100%/13</f>
        <v>7.6923076923076927E-2</v>
      </c>
      <c r="BS23" s="55">
        <f t="shared" si="116"/>
        <v>142100.97203076925</v>
      </c>
      <c r="BT23" s="56">
        <f t="shared" ref="BT23" si="296">100%/13</f>
        <v>7.6923076923076927E-2</v>
      </c>
      <c r="BU23" s="55">
        <f t="shared" si="117"/>
        <v>142100.97203076925</v>
      </c>
      <c r="BV23" s="56">
        <f t="shared" ref="BV23" si="297">100%/13</f>
        <v>7.6923076923076927E-2</v>
      </c>
      <c r="BW23" s="55">
        <f t="shared" si="118"/>
        <v>142100.97203076925</v>
      </c>
      <c r="BX23" s="56">
        <f t="shared" ref="BX23" si="298">100%/13</f>
        <v>7.6923076923076927E-2</v>
      </c>
      <c r="BY23" s="55">
        <f t="shared" si="119"/>
        <v>142100.97203076925</v>
      </c>
      <c r="BZ23" s="56">
        <f t="shared" ref="BZ23" si="299">100%/13</f>
        <v>7.6923076923076927E-2</v>
      </c>
      <c r="CA23" s="55">
        <f t="shared" si="120"/>
        <v>142100.97203076925</v>
      </c>
      <c r="CB23" s="56">
        <f t="shared" ref="CB23" si="300">100%/13</f>
        <v>7.6923076923076927E-2</v>
      </c>
      <c r="CC23" s="55">
        <f t="shared" si="121"/>
        <v>142100.97203076925</v>
      </c>
      <c r="CD23" s="56">
        <f t="shared" ref="CD23" si="301">100%/13</f>
        <v>7.6923076923076927E-2</v>
      </c>
      <c r="CE23" s="55">
        <f t="shared" si="122"/>
        <v>142100.97203076925</v>
      </c>
      <c r="CF23" s="56">
        <f t="shared" ref="CF23" si="302">100%/13</f>
        <v>7.6923076923076927E-2</v>
      </c>
      <c r="CG23" s="55">
        <f t="shared" si="123"/>
        <v>142100.97203076925</v>
      </c>
      <c r="CH23" s="56">
        <f t="shared" ref="CH23" si="303">100%/13</f>
        <v>7.6923076923076927E-2</v>
      </c>
      <c r="CI23" s="55">
        <f t="shared" si="124"/>
        <v>142100.97203076925</v>
      </c>
      <c r="CJ23" s="56">
        <f t="shared" ref="CJ23" si="304">100%/13</f>
        <v>7.6923076923076927E-2</v>
      </c>
      <c r="CK23" s="55">
        <f t="shared" si="125"/>
        <v>142100.97203076925</v>
      </c>
      <c r="CL23" s="56"/>
      <c r="CM23" s="55">
        <f t="shared" si="126"/>
        <v>0</v>
      </c>
      <c r="CN23" s="56"/>
      <c r="CO23" s="55">
        <f t="shared" si="127"/>
        <v>0</v>
      </c>
      <c r="CP23" s="56"/>
      <c r="CQ23" s="55">
        <f t="shared" si="128"/>
        <v>0</v>
      </c>
      <c r="CR23" s="56"/>
      <c r="CS23" s="55">
        <f t="shared" si="129"/>
        <v>0</v>
      </c>
      <c r="CT23" s="56"/>
      <c r="CU23" s="55">
        <f t="shared" si="130"/>
        <v>0</v>
      </c>
    </row>
    <row r="24" spans="2:100" ht="19.5" customHeight="1" x14ac:dyDescent="0.25">
      <c r="B24" s="46" t="s">
        <v>68</v>
      </c>
      <c r="C24" s="66">
        <v>1857288.5100000002</v>
      </c>
      <c r="D24" s="29">
        <f t="shared" si="85"/>
        <v>4.9474185796592331E-2</v>
      </c>
      <c r="E24" s="70">
        <f>C24/'DISTRIBUIÇÃO CUSTO'!C$30</f>
        <v>174.91309949285909</v>
      </c>
      <c r="F24" s="88">
        <f t="shared" si="86"/>
        <v>0.99999999999999989</v>
      </c>
      <c r="H24" s="27"/>
      <c r="I24" s="36">
        <f t="shared" si="0"/>
        <v>0</v>
      </c>
      <c r="J24" s="35"/>
      <c r="K24" s="36">
        <f t="shared" si="1"/>
        <v>0</v>
      </c>
      <c r="L24" s="35"/>
      <c r="M24" s="36">
        <f t="shared" si="2"/>
        <v>0</v>
      </c>
      <c r="N24" s="35"/>
      <c r="O24" s="36">
        <f t="shared" si="89"/>
        <v>0</v>
      </c>
      <c r="P24" s="35"/>
      <c r="Q24" s="36">
        <f t="shared" si="90"/>
        <v>0</v>
      </c>
      <c r="R24" s="35"/>
      <c r="S24" s="36">
        <f t="shared" si="91"/>
        <v>0</v>
      </c>
      <c r="T24" s="35"/>
      <c r="U24" s="36">
        <f t="shared" si="6"/>
        <v>0</v>
      </c>
      <c r="V24" s="35"/>
      <c r="W24" s="36">
        <f t="shared" si="92"/>
        <v>0</v>
      </c>
      <c r="X24" s="35"/>
      <c r="Y24" s="36">
        <f t="shared" si="93"/>
        <v>0</v>
      </c>
      <c r="Z24" s="35"/>
      <c r="AA24" s="36">
        <f t="shared" si="94"/>
        <v>0</v>
      </c>
      <c r="AB24" s="35"/>
      <c r="AC24" s="36">
        <f t="shared" si="95"/>
        <v>0</v>
      </c>
      <c r="AD24" s="35"/>
      <c r="AE24" s="36">
        <f t="shared" si="96"/>
        <v>0</v>
      </c>
      <c r="AF24" s="35"/>
      <c r="AG24" s="36">
        <f t="shared" si="97"/>
        <v>0</v>
      </c>
      <c r="AH24" s="35"/>
      <c r="AI24" s="36">
        <f t="shared" si="98"/>
        <v>0</v>
      </c>
      <c r="AJ24" s="35"/>
      <c r="AK24" s="36">
        <f t="shared" si="99"/>
        <v>0</v>
      </c>
      <c r="AL24" s="35"/>
      <c r="AM24" s="36">
        <f t="shared" si="100"/>
        <v>0</v>
      </c>
      <c r="AN24" s="35"/>
      <c r="AO24" s="36">
        <f t="shared" si="101"/>
        <v>0</v>
      </c>
      <c r="AP24" s="35"/>
      <c r="AQ24" s="36">
        <f t="shared" si="102"/>
        <v>0</v>
      </c>
      <c r="AR24" s="35"/>
      <c r="AS24" s="36">
        <f t="shared" si="103"/>
        <v>0</v>
      </c>
      <c r="AT24" s="35"/>
      <c r="AU24" s="36">
        <f t="shared" si="104"/>
        <v>0</v>
      </c>
      <c r="AV24" s="35"/>
      <c r="AW24" s="36">
        <f t="shared" si="105"/>
        <v>0</v>
      </c>
      <c r="AX24" s="35"/>
      <c r="AY24" s="36">
        <f t="shared" si="106"/>
        <v>0</v>
      </c>
      <c r="AZ24" s="35"/>
      <c r="BA24" s="36">
        <f t="shared" si="107"/>
        <v>0</v>
      </c>
      <c r="BB24" s="35"/>
      <c r="BC24" s="36">
        <f t="shared" si="108"/>
        <v>0</v>
      </c>
      <c r="BD24" s="35"/>
      <c r="BE24" s="36">
        <f t="shared" si="109"/>
        <v>0</v>
      </c>
      <c r="BF24" s="35"/>
      <c r="BG24" s="36">
        <f t="shared" si="110"/>
        <v>0</v>
      </c>
      <c r="BH24" s="35"/>
      <c r="BI24" s="36">
        <f t="shared" si="111"/>
        <v>0</v>
      </c>
      <c r="BJ24" s="35"/>
      <c r="BK24" s="36">
        <f t="shared" si="112"/>
        <v>0</v>
      </c>
      <c r="BL24" s="35"/>
      <c r="BM24" s="36">
        <f t="shared" si="113"/>
        <v>0</v>
      </c>
      <c r="BN24" s="35"/>
      <c r="BO24" s="36">
        <f t="shared" si="114"/>
        <v>0</v>
      </c>
      <c r="BP24" s="35"/>
      <c r="BQ24" s="36">
        <f t="shared" si="115"/>
        <v>0</v>
      </c>
      <c r="BR24" s="35"/>
      <c r="BS24" s="36">
        <f t="shared" si="116"/>
        <v>0</v>
      </c>
      <c r="BT24" s="35"/>
      <c r="BU24" s="36">
        <f t="shared" si="117"/>
        <v>0</v>
      </c>
      <c r="BV24" s="35"/>
      <c r="BW24" s="36">
        <f t="shared" si="118"/>
        <v>0</v>
      </c>
      <c r="BX24" s="35"/>
      <c r="BY24" s="36">
        <f t="shared" si="119"/>
        <v>0</v>
      </c>
      <c r="BZ24" s="35"/>
      <c r="CA24" s="36">
        <f t="shared" si="120"/>
        <v>0</v>
      </c>
      <c r="CB24" s="35">
        <f>100%/10</f>
        <v>0.1</v>
      </c>
      <c r="CC24" s="36">
        <f t="shared" si="121"/>
        <v>185728.85100000002</v>
      </c>
      <c r="CD24" s="35">
        <f t="shared" ref="CD24" si="305">100%/10</f>
        <v>0.1</v>
      </c>
      <c r="CE24" s="36">
        <f t="shared" si="122"/>
        <v>185728.85100000002</v>
      </c>
      <c r="CF24" s="35">
        <f t="shared" ref="CF24" si="306">100%/10</f>
        <v>0.1</v>
      </c>
      <c r="CG24" s="36">
        <f t="shared" si="123"/>
        <v>185728.85100000002</v>
      </c>
      <c r="CH24" s="35">
        <f t="shared" ref="CH24" si="307">100%/10</f>
        <v>0.1</v>
      </c>
      <c r="CI24" s="36">
        <f t="shared" si="124"/>
        <v>185728.85100000002</v>
      </c>
      <c r="CJ24" s="35">
        <f t="shared" ref="CJ24" si="308">100%/10</f>
        <v>0.1</v>
      </c>
      <c r="CK24" s="36">
        <f t="shared" si="125"/>
        <v>185728.85100000002</v>
      </c>
      <c r="CL24" s="35">
        <f t="shared" ref="CL24" si="309">100%/10</f>
        <v>0.1</v>
      </c>
      <c r="CM24" s="36">
        <f t="shared" si="126"/>
        <v>185728.85100000002</v>
      </c>
      <c r="CN24" s="35">
        <f t="shared" ref="CN24" si="310">100%/10</f>
        <v>0.1</v>
      </c>
      <c r="CO24" s="36">
        <f t="shared" si="127"/>
        <v>185728.85100000002</v>
      </c>
      <c r="CP24" s="35">
        <f t="shared" ref="CP24" si="311">100%/10</f>
        <v>0.1</v>
      </c>
      <c r="CQ24" s="36">
        <f t="shared" si="128"/>
        <v>185728.85100000002</v>
      </c>
      <c r="CR24" s="35">
        <f t="shared" ref="CR24" si="312">100%/10</f>
        <v>0.1</v>
      </c>
      <c r="CS24" s="36">
        <f t="shared" si="129"/>
        <v>185728.85100000002</v>
      </c>
      <c r="CT24" s="35">
        <f t="shared" ref="CT24" si="313">100%/10</f>
        <v>0.1</v>
      </c>
      <c r="CU24" s="36">
        <f t="shared" si="130"/>
        <v>185728.85100000002</v>
      </c>
    </row>
    <row r="25" spans="2:100" ht="19.5" customHeight="1" thickBot="1" x14ac:dyDescent="0.3">
      <c r="B25" s="50" t="s">
        <v>69</v>
      </c>
      <c r="C25" s="65">
        <v>1093414.2921940961</v>
      </c>
      <c r="D25" s="51">
        <f t="shared" si="85"/>
        <v>2.9126213592233014E-2</v>
      </c>
      <c r="E25" s="69">
        <f>C25/'DISTRIBUIÇÃO CUSTO'!C$30</f>
        <v>102.97403007002934</v>
      </c>
      <c r="F25" s="89">
        <f t="shared" si="86"/>
        <v>0.99999999999999944</v>
      </c>
      <c r="H25" s="54">
        <f>100%/$E$30</f>
        <v>2.1739130434782608E-2</v>
      </c>
      <c r="I25" s="55">
        <f t="shared" si="0"/>
        <v>23769.875917262958</v>
      </c>
      <c r="J25" s="54">
        <f t="shared" ref="J25" si="314">100%/$E$30</f>
        <v>2.1739130434782608E-2</v>
      </c>
      <c r="K25" s="55">
        <f t="shared" si="1"/>
        <v>23769.875917262958</v>
      </c>
      <c r="L25" s="54">
        <f t="shared" ref="L25" si="315">100%/$E$30</f>
        <v>2.1739130434782608E-2</v>
      </c>
      <c r="M25" s="55">
        <f t="shared" si="2"/>
        <v>23769.875917262958</v>
      </c>
      <c r="N25" s="54">
        <f t="shared" ref="N25" si="316">100%/$E$30</f>
        <v>2.1739130434782608E-2</v>
      </c>
      <c r="O25" s="55">
        <f t="shared" si="89"/>
        <v>23769.875917262958</v>
      </c>
      <c r="P25" s="54">
        <f t="shared" ref="P25" si="317">100%/$E$30</f>
        <v>2.1739130434782608E-2</v>
      </c>
      <c r="Q25" s="55">
        <f t="shared" si="90"/>
        <v>23769.875917262958</v>
      </c>
      <c r="R25" s="54">
        <f t="shared" ref="R25" si="318">100%/$E$30</f>
        <v>2.1739130434782608E-2</v>
      </c>
      <c r="S25" s="55">
        <f t="shared" si="91"/>
        <v>23769.875917262958</v>
      </c>
      <c r="T25" s="54">
        <f t="shared" ref="T25" si="319">100%/$E$30</f>
        <v>2.1739130434782608E-2</v>
      </c>
      <c r="U25" s="55">
        <f t="shared" si="6"/>
        <v>23769.875917262958</v>
      </c>
      <c r="V25" s="54">
        <f t="shared" ref="V25" si="320">100%/$E$30</f>
        <v>2.1739130434782608E-2</v>
      </c>
      <c r="W25" s="55">
        <f t="shared" si="92"/>
        <v>23769.875917262958</v>
      </c>
      <c r="X25" s="54">
        <f t="shared" ref="X25" si="321">100%/$E$30</f>
        <v>2.1739130434782608E-2</v>
      </c>
      <c r="Y25" s="55">
        <f t="shared" si="93"/>
        <v>23769.875917262958</v>
      </c>
      <c r="Z25" s="54">
        <f t="shared" ref="Z25" si="322">100%/$E$30</f>
        <v>2.1739130434782608E-2</v>
      </c>
      <c r="AA25" s="55">
        <f t="shared" si="94"/>
        <v>23769.875917262958</v>
      </c>
      <c r="AB25" s="54">
        <f t="shared" ref="AB25" si="323">100%/$E$30</f>
        <v>2.1739130434782608E-2</v>
      </c>
      <c r="AC25" s="55">
        <f t="shared" si="95"/>
        <v>23769.875917262958</v>
      </c>
      <c r="AD25" s="54">
        <f t="shared" ref="AD25" si="324">100%/$E$30</f>
        <v>2.1739130434782608E-2</v>
      </c>
      <c r="AE25" s="55">
        <f t="shared" si="96"/>
        <v>23769.875917262958</v>
      </c>
      <c r="AF25" s="54">
        <f t="shared" ref="AF25" si="325">100%/$E$30</f>
        <v>2.1739130434782608E-2</v>
      </c>
      <c r="AG25" s="55">
        <f t="shared" si="97"/>
        <v>23769.875917262958</v>
      </c>
      <c r="AH25" s="54">
        <f t="shared" ref="AH25" si="326">100%/$E$30</f>
        <v>2.1739130434782608E-2</v>
      </c>
      <c r="AI25" s="55">
        <f t="shared" si="98"/>
        <v>23769.875917262958</v>
      </c>
      <c r="AJ25" s="54">
        <f t="shared" ref="AJ25" si="327">100%/$E$30</f>
        <v>2.1739130434782608E-2</v>
      </c>
      <c r="AK25" s="55">
        <f t="shared" si="99"/>
        <v>23769.875917262958</v>
      </c>
      <c r="AL25" s="54">
        <f t="shared" ref="AL25" si="328">100%/$E$30</f>
        <v>2.1739130434782608E-2</v>
      </c>
      <c r="AM25" s="55">
        <f t="shared" si="100"/>
        <v>23769.875917262958</v>
      </c>
      <c r="AN25" s="54">
        <f t="shared" ref="AN25" si="329">100%/$E$30</f>
        <v>2.1739130434782608E-2</v>
      </c>
      <c r="AO25" s="55">
        <f t="shared" si="101"/>
        <v>23769.875917262958</v>
      </c>
      <c r="AP25" s="54">
        <f t="shared" ref="AP25" si="330">100%/$E$30</f>
        <v>2.1739130434782608E-2</v>
      </c>
      <c r="AQ25" s="55">
        <f t="shared" si="102"/>
        <v>23769.875917262958</v>
      </c>
      <c r="AR25" s="54">
        <f t="shared" ref="AR25" si="331">100%/$E$30</f>
        <v>2.1739130434782608E-2</v>
      </c>
      <c r="AS25" s="55">
        <f t="shared" si="103"/>
        <v>23769.875917262958</v>
      </c>
      <c r="AT25" s="54">
        <f t="shared" ref="AT25" si="332">100%/$E$30</f>
        <v>2.1739130434782608E-2</v>
      </c>
      <c r="AU25" s="55">
        <f t="shared" si="104"/>
        <v>23769.875917262958</v>
      </c>
      <c r="AV25" s="54">
        <f t="shared" ref="AV25" si="333">100%/$E$30</f>
        <v>2.1739130434782608E-2</v>
      </c>
      <c r="AW25" s="55">
        <f t="shared" si="105"/>
        <v>23769.875917262958</v>
      </c>
      <c r="AX25" s="54">
        <f t="shared" ref="AX25" si="334">100%/$E$30</f>
        <v>2.1739130434782608E-2</v>
      </c>
      <c r="AY25" s="55">
        <f t="shared" si="106"/>
        <v>23769.875917262958</v>
      </c>
      <c r="AZ25" s="54">
        <f t="shared" ref="AZ25" si="335">100%/$E$30</f>
        <v>2.1739130434782608E-2</v>
      </c>
      <c r="BA25" s="55">
        <f t="shared" si="107"/>
        <v>23769.875917262958</v>
      </c>
      <c r="BB25" s="54">
        <f t="shared" ref="BB25" si="336">100%/$E$30</f>
        <v>2.1739130434782608E-2</v>
      </c>
      <c r="BC25" s="55">
        <f t="shared" si="108"/>
        <v>23769.875917262958</v>
      </c>
      <c r="BD25" s="54">
        <f t="shared" ref="BD25" si="337">100%/$E$30</f>
        <v>2.1739130434782608E-2</v>
      </c>
      <c r="BE25" s="55">
        <f t="shared" si="109"/>
        <v>23769.875917262958</v>
      </c>
      <c r="BF25" s="54">
        <f t="shared" ref="BF25" si="338">100%/$E$30</f>
        <v>2.1739130434782608E-2</v>
      </c>
      <c r="BG25" s="55">
        <f t="shared" si="110"/>
        <v>23769.875917262958</v>
      </c>
      <c r="BH25" s="54">
        <f t="shared" ref="BH25" si="339">100%/$E$30</f>
        <v>2.1739130434782608E-2</v>
      </c>
      <c r="BI25" s="55">
        <f t="shared" si="111"/>
        <v>23769.875917262958</v>
      </c>
      <c r="BJ25" s="54">
        <f t="shared" ref="BJ25" si="340">100%/$E$30</f>
        <v>2.1739130434782608E-2</v>
      </c>
      <c r="BK25" s="55">
        <f t="shared" si="112"/>
        <v>23769.875917262958</v>
      </c>
      <c r="BL25" s="54">
        <f t="shared" ref="BL25" si="341">100%/$E$30</f>
        <v>2.1739130434782608E-2</v>
      </c>
      <c r="BM25" s="55">
        <f t="shared" si="113"/>
        <v>23769.875917262958</v>
      </c>
      <c r="BN25" s="54">
        <f t="shared" ref="BN25" si="342">100%/$E$30</f>
        <v>2.1739130434782608E-2</v>
      </c>
      <c r="BO25" s="55">
        <f t="shared" si="114"/>
        <v>23769.875917262958</v>
      </c>
      <c r="BP25" s="54">
        <f t="shared" ref="BP25" si="343">100%/$E$30</f>
        <v>2.1739130434782608E-2</v>
      </c>
      <c r="BQ25" s="55">
        <f t="shared" si="115"/>
        <v>23769.875917262958</v>
      </c>
      <c r="BR25" s="54">
        <f t="shared" ref="BR25" si="344">100%/$E$30</f>
        <v>2.1739130434782608E-2</v>
      </c>
      <c r="BS25" s="55">
        <f t="shared" si="116"/>
        <v>23769.875917262958</v>
      </c>
      <c r="BT25" s="54">
        <f t="shared" ref="BT25" si="345">100%/$E$30</f>
        <v>2.1739130434782608E-2</v>
      </c>
      <c r="BU25" s="55">
        <f t="shared" si="117"/>
        <v>23769.875917262958</v>
      </c>
      <c r="BV25" s="54">
        <f t="shared" ref="BV25" si="346">100%/$E$30</f>
        <v>2.1739130434782608E-2</v>
      </c>
      <c r="BW25" s="55">
        <f t="shared" si="118"/>
        <v>23769.875917262958</v>
      </c>
      <c r="BX25" s="54">
        <f t="shared" ref="BX25" si="347">100%/$E$30</f>
        <v>2.1739130434782608E-2</v>
      </c>
      <c r="BY25" s="55">
        <f t="shared" si="119"/>
        <v>23769.875917262958</v>
      </c>
      <c r="BZ25" s="54">
        <f t="shared" ref="BZ25" si="348">100%/$E$30</f>
        <v>2.1739130434782608E-2</v>
      </c>
      <c r="CA25" s="55">
        <f t="shared" si="120"/>
        <v>23769.875917262958</v>
      </c>
      <c r="CB25" s="54">
        <f t="shared" ref="CB25" si="349">100%/$E$30</f>
        <v>2.1739130434782608E-2</v>
      </c>
      <c r="CC25" s="55">
        <f t="shared" si="121"/>
        <v>23769.875917262958</v>
      </c>
      <c r="CD25" s="54">
        <f t="shared" ref="CD25" si="350">100%/$E$30</f>
        <v>2.1739130434782608E-2</v>
      </c>
      <c r="CE25" s="55">
        <f t="shared" si="122"/>
        <v>23769.875917262958</v>
      </c>
      <c r="CF25" s="54">
        <f t="shared" ref="CF25" si="351">100%/$E$30</f>
        <v>2.1739130434782608E-2</v>
      </c>
      <c r="CG25" s="55">
        <f t="shared" si="123"/>
        <v>23769.875917262958</v>
      </c>
      <c r="CH25" s="54">
        <f t="shared" ref="CH25" si="352">100%/$E$30</f>
        <v>2.1739130434782608E-2</v>
      </c>
      <c r="CI25" s="55">
        <f t="shared" si="124"/>
        <v>23769.875917262958</v>
      </c>
      <c r="CJ25" s="54">
        <f t="shared" ref="CJ25" si="353">100%/$E$30</f>
        <v>2.1739130434782608E-2</v>
      </c>
      <c r="CK25" s="55">
        <f t="shared" si="125"/>
        <v>23769.875917262958</v>
      </c>
      <c r="CL25" s="54">
        <f t="shared" ref="CL25" si="354">100%/$E$30</f>
        <v>2.1739130434782608E-2</v>
      </c>
      <c r="CM25" s="55">
        <f t="shared" si="126"/>
        <v>23769.875917262958</v>
      </c>
      <c r="CN25" s="54">
        <f t="shared" ref="CN25" si="355">100%/$E$30</f>
        <v>2.1739130434782608E-2</v>
      </c>
      <c r="CO25" s="55">
        <f t="shared" si="127"/>
        <v>23769.875917262958</v>
      </c>
      <c r="CP25" s="54">
        <f t="shared" ref="CP25" si="356">100%/$E$30</f>
        <v>2.1739130434782608E-2</v>
      </c>
      <c r="CQ25" s="55">
        <f t="shared" si="128"/>
        <v>23769.875917262958</v>
      </c>
      <c r="CR25" s="54">
        <f t="shared" ref="CR25" si="357">100%/$E$30</f>
        <v>2.1739130434782608E-2</v>
      </c>
      <c r="CS25" s="55">
        <f t="shared" si="129"/>
        <v>23769.875917262958</v>
      </c>
      <c r="CT25" s="54">
        <f t="shared" ref="CT25" si="358">100%/$E$30</f>
        <v>2.1739130434782608E-2</v>
      </c>
      <c r="CU25" s="55">
        <f t="shared" si="130"/>
        <v>23769.875917262958</v>
      </c>
    </row>
    <row r="26" spans="2:100" ht="19.5" customHeight="1" x14ac:dyDescent="0.25">
      <c r="B26" s="44" t="s">
        <v>70</v>
      </c>
      <c r="C26" s="30">
        <f>SUM(C9:C25)</f>
        <v>37540557.365330629</v>
      </c>
      <c r="D26" s="31">
        <f t="shared" ref="D26" si="359">SUM(D9:D25)</f>
        <v>1</v>
      </c>
      <c r="E26" s="47">
        <f>SUM(E9:E25)</f>
        <v>3535.4416990710083</v>
      </c>
      <c r="F26" s="80"/>
      <c r="H26" s="25"/>
      <c r="I26" s="37">
        <f>SUM(I9:I25)</f>
        <v>740763.50815551484</v>
      </c>
      <c r="J26" s="34"/>
      <c r="K26" s="37">
        <f>SUM(K9:K25)</f>
        <v>565069.27186436963</v>
      </c>
      <c r="L26" s="34"/>
      <c r="M26" s="37">
        <f>SUM(M9:M25)</f>
        <v>565069.27186436963</v>
      </c>
      <c r="N26" s="34"/>
      <c r="O26" s="37">
        <f>SUM(O9:O25)</f>
        <v>506424.37438646983</v>
      </c>
      <c r="P26" s="34"/>
      <c r="Q26" s="37">
        <f>SUM(Q9:Q25)</f>
        <v>506424.37438646983</v>
      </c>
      <c r="R26" s="34"/>
      <c r="S26" s="37">
        <f>SUM(S9:S25)</f>
        <v>506424.37438646983</v>
      </c>
      <c r="T26" s="34"/>
      <c r="U26" s="37">
        <f>SUM(U9:U25)</f>
        <v>463932.03786080889</v>
      </c>
      <c r="V26" s="34"/>
      <c r="W26" s="37">
        <f>SUM(W9:W25)</f>
        <v>463932.03786080889</v>
      </c>
      <c r="X26" s="34"/>
      <c r="Y26" s="37">
        <f>SUM(Y9:Y25)</f>
        <v>463932.03786080889</v>
      </c>
      <c r="Z26" s="34"/>
      <c r="AA26" s="37">
        <f>SUM(AA9:AA25)</f>
        <v>534344.64692080894</v>
      </c>
      <c r="AB26" s="34"/>
      <c r="AC26" s="37">
        <f>SUM(AC9:AC25)</f>
        <v>534344.64692080894</v>
      </c>
      <c r="AD26" s="34"/>
      <c r="AE26" s="37">
        <f>SUM(AE9:AE25)</f>
        <v>731239.19406366604</v>
      </c>
      <c r="AF26" s="34"/>
      <c r="AG26" s="37">
        <f>SUM(AG9:AG25)</f>
        <v>817923.33111128514</v>
      </c>
      <c r="AH26" s="34"/>
      <c r="AI26" s="37">
        <f>SUM(AI9:AI25)</f>
        <v>846344.13498271373</v>
      </c>
      <c r="AJ26" s="34"/>
      <c r="AK26" s="37">
        <f>SUM(AK9:AK25)</f>
        <v>918244.00789938041</v>
      </c>
      <c r="AL26" s="34"/>
      <c r="AM26" s="37">
        <f>SUM(AM9:AM25)</f>
        <v>952062.34095652332</v>
      </c>
      <c r="AN26" s="34"/>
      <c r="AO26" s="37">
        <f>SUM(AO9:AO25)</f>
        <v>1017488.7118185923</v>
      </c>
      <c r="AP26" s="34"/>
      <c r="AQ26" s="37">
        <f>SUM(AQ9:AQ25)</f>
        <v>1017488.7118185923</v>
      </c>
      <c r="AR26" s="34"/>
      <c r="AS26" s="37">
        <f>SUM(AS9:AS25)</f>
        <v>1017488.7118185923</v>
      </c>
      <c r="AT26" s="34"/>
      <c r="AU26" s="37">
        <f>SUM(AU9:AU25)</f>
        <v>1017488.7118185923</v>
      </c>
      <c r="AV26" s="34"/>
      <c r="AW26" s="37">
        <f>SUM(AW9:AW25)</f>
        <v>1017488.7118185923</v>
      </c>
      <c r="AX26" s="34"/>
      <c r="AY26" s="37">
        <f>SUM(AY9:AY25)</f>
        <v>1017488.7118185923</v>
      </c>
      <c r="AZ26" s="34"/>
      <c r="BA26" s="37">
        <f>SUM(BA9:BA25)</f>
        <v>1017488.7118185923</v>
      </c>
      <c r="BB26" s="34"/>
      <c r="BC26" s="37">
        <f>SUM(BC9:BC25)</f>
        <v>1017488.7118185923</v>
      </c>
      <c r="BD26" s="34"/>
      <c r="BE26" s="37">
        <f>SUM(BE9:BE25)</f>
        <v>1017488.7118185923</v>
      </c>
      <c r="BF26" s="34"/>
      <c r="BG26" s="37">
        <f>SUM(BG9:BG25)</f>
        <v>1017488.7118185923</v>
      </c>
      <c r="BH26" s="34"/>
      <c r="BI26" s="37">
        <f>SUM(BI9:BI25)</f>
        <v>1017488.7118185923</v>
      </c>
      <c r="BJ26" s="34"/>
      <c r="BK26" s="37">
        <f>SUM(BK9:BK25)</f>
        <v>1017488.7118185923</v>
      </c>
      <c r="BL26" s="34"/>
      <c r="BM26" s="37">
        <f>SUM(BM9:BM25)</f>
        <v>943477.53355128434</v>
      </c>
      <c r="BN26" s="34"/>
      <c r="BO26" s="37">
        <f>SUM(BO9:BO25)</f>
        <v>943477.53355128434</v>
      </c>
      <c r="BP26" s="34"/>
      <c r="BQ26" s="37">
        <f>SUM(BQ9:BQ25)</f>
        <v>989682.49730128434</v>
      </c>
      <c r="BR26" s="34"/>
      <c r="BS26" s="37">
        <f>SUM(BS9:BS25)</f>
        <v>919269.88824128441</v>
      </c>
      <c r="BT26" s="34"/>
      <c r="BU26" s="37">
        <f>SUM(BU9:BU25)</f>
        <v>1060615.0510567604</v>
      </c>
      <c r="BV26" s="34"/>
      <c r="BW26" s="37">
        <f>SUM(BW9:BW25)</f>
        <v>973930.91400914139</v>
      </c>
      <c r="BX26" s="34"/>
      <c r="BY26" s="37">
        <f>SUM(BY9:BY25)</f>
        <v>899305.14638771291</v>
      </c>
      <c r="BZ26" s="34"/>
      <c r="CA26" s="37">
        <f>SUM(CA9:CA25)</f>
        <v>899305.14638771291</v>
      </c>
      <c r="CB26" s="34"/>
      <c r="CC26" s="37">
        <f>SUM(CC9:CC25)</f>
        <v>1051215.66433057</v>
      </c>
      <c r="CD26" s="34"/>
      <c r="CE26" s="37">
        <f>SUM(CE9:CE25)</f>
        <v>1051215.66433057</v>
      </c>
      <c r="CF26" s="34"/>
      <c r="CG26" s="37">
        <f>SUM(CG9:CG25)</f>
        <v>979315.79141390347</v>
      </c>
      <c r="CH26" s="34"/>
      <c r="CI26" s="38">
        <f>SUM(CI9:CI25)</f>
        <v>979315.79141390347</v>
      </c>
      <c r="CJ26" s="34"/>
      <c r="CK26" s="38">
        <f t="shared" ref="CK26" si="360">SUM(CK9:CK25)</f>
        <v>829417.21016390342</v>
      </c>
      <c r="CL26" s="34"/>
      <c r="CM26" s="38">
        <f t="shared" ref="CM26" si="361">SUM(CM9:CM25)</f>
        <v>687316.2381331342</v>
      </c>
      <c r="CN26" s="34"/>
      <c r="CO26" s="38">
        <f t="shared" ref="CO26" si="362">SUM(CO9:CO25)</f>
        <v>687316.2381331342</v>
      </c>
      <c r="CP26" s="34"/>
      <c r="CQ26" s="38">
        <f t="shared" ref="CQ26" si="363">SUM(CQ9:CQ25)</f>
        <v>687316.2381331342</v>
      </c>
      <c r="CR26" s="34"/>
      <c r="CS26" s="38">
        <f t="shared" ref="CS26" si="364">SUM(CS9:CS25)</f>
        <v>349076.52817480086</v>
      </c>
      <c r="CT26" s="34"/>
      <c r="CU26" s="38">
        <f t="shared" ref="CU26" si="365">SUM(CU9:CU25)</f>
        <v>283650.1573127319</v>
      </c>
      <c r="CV26" s="32" t="s">
        <v>73</v>
      </c>
    </row>
    <row r="27" spans="2:100" ht="22.5" customHeight="1" thickBot="1" x14ac:dyDescent="0.3">
      <c r="B27" s="48" t="s">
        <v>71</v>
      </c>
      <c r="C27" s="82">
        <v>2725.79</v>
      </c>
      <c r="D27" s="83">
        <v>45078</v>
      </c>
      <c r="E27" s="49">
        <f>+E26/C27</f>
        <v>1.2970337770228111</v>
      </c>
      <c r="F27" s="81"/>
      <c r="H27" s="39"/>
      <c r="I27" s="40">
        <f>I26/$C$26</f>
        <v>1.9732352424783738E-2</v>
      </c>
      <c r="J27" s="41"/>
      <c r="K27" s="40">
        <f>K26/$C$26</f>
        <v>1.5052234477110378E-2</v>
      </c>
      <c r="L27" s="41"/>
      <c r="M27" s="40">
        <f>M26/$C$26</f>
        <v>1.5052234477110378E-2</v>
      </c>
      <c r="N27" s="41"/>
      <c r="O27" s="40">
        <f>O26/$C$26</f>
        <v>1.3490060082436648E-2</v>
      </c>
      <c r="P27" s="41"/>
      <c r="Q27" s="40">
        <f>Q26/$C$26</f>
        <v>1.3490060082436648E-2</v>
      </c>
      <c r="R27" s="41"/>
      <c r="S27" s="40">
        <f>S26/$C$26</f>
        <v>1.3490060082436648E-2</v>
      </c>
      <c r="T27" s="41"/>
      <c r="U27" s="40">
        <f>U26/$C$26</f>
        <v>1.2358155297109636E-2</v>
      </c>
      <c r="V27" s="42"/>
      <c r="W27" s="40">
        <f>W26/$C$26</f>
        <v>1.2358155297109636E-2</v>
      </c>
      <c r="X27" s="42"/>
      <c r="Y27" s="40">
        <f>Y26/$C$26</f>
        <v>1.2358155297109636E-2</v>
      </c>
      <c r="Z27" s="42"/>
      <c r="AA27" s="40">
        <f>AA26/$C$26</f>
        <v>1.4233796310501392E-2</v>
      </c>
      <c r="AB27" s="42"/>
      <c r="AC27" s="40">
        <f>AC26/$C$26</f>
        <v>1.4233796310501392E-2</v>
      </c>
      <c r="AD27" s="42"/>
      <c r="AE27" s="40">
        <f>AE26/$C$26</f>
        <v>1.9478645107677023E-2</v>
      </c>
      <c r="AF27" s="42"/>
      <c r="AG27" s="40">
        <f>AG26/$C$26</f>
        <v>2.1787724757295474E-2</v>
      </c>
      <c r="AH27" s="42"/>
      <c r="AI27" s="40">
        <f>AI26/$C$26</f>
        <v>2.2544794067557654E-2</v>
      </c>
      <c r="AJ27" s="42"/>
      <c r="AK27" s="40">
        <f>AK26/$C$26</f>
        <v>2.4460052602932183E-2</v>
      </c>
      <c r="AL27" s="42"/>
      <c r="AM27" s="40">
        <f>AM26/$C$26</f>
        <v>2.5360900523969571E-2</v>
      </c>
      <c r="AN27" s="42"/>
      <c r="AO27" s="40">
        <f>AO26/$C$26</f>
        <v>2.7103718837117246E-2</v>
      </c>
      <c r="AP27" s="42"/>
      <c r="AQ27" s="40">
        <f>AQ26/$C$26</f>
        <v>2.7103718837117246E-2</v>
      </c>
      <c r="AR27" s="42"/>
      <c r="AS27" s="40">
        <f>AS26/$C$26</f>
        <v>2.7103718837117246E-2</v>
      </c>
      <c r="AT27" s="42"/>
      <c r="AU27" s="40">
        <f>AU26/$C$26</f>
        <v>2.7103718837117246E-2</v>
      </c>
      <c r="AV27" s="42"/>
      <c r="AW27" s="40">
        <f>AW26/$C$26</f>
        <v>2.7103718837117246E-2</v>
      </c>
      <c r="AX27" s="42"/>
      <c r="AY27" s="40">
        <f>AY26/$C$26</f>
        <v>2.7103718837117246E-2</v>
      </c>
      <c r="AZ27" s="42"/>
      <c r="BA27" s="40">
        <f>BA26/$C$26</f>
        <v>2.7103718837117246E-2</v>
      </c>
      <c r="BB27" s="42"/>
      <c r="BC27" s="40">
        <f>BC26/$C$26</f>
        <v>2.7103718837117246E-2</v>
      </c>
      <c r="BD27" s="42"/>
      <c r="BE27" s="40">
        <f>BE26/$C$26</f>
        <v>2.7103718837117246E-2</v>
      </c>
      <c r="BF27" s="42"/>
      <c r="BG27" s="40">
        <f>BG26/$C$26</f>
        <v>2.7103718837117246E-2</v>
      </c>
      <c r="BH27" s="42"/>
      <c r="BI27" s="40">
        <f>BI26/$C$26</f>
        <v>2.7103718837117246E-2</v>
      </c>
      <c r="BJ27" s="42"/>
      <c r="BK27" s="40">
        <f>BK26/$C$26</f>
        <v>2.7103718837117246E-2</v>
      </c>
      <c r="BL27" s="42"/>
      <c r="BM27" s="40">
        <f>BM26/$C$26</f>
        <v>2.5132219651661396E-2</v>
      </c>
      <c r="BN27" s="42"/>
      <c r="BO27" s="40">
        <f>BO26/$C$26</f>
        <v>2.5132219651661396E-2</v>
      </c>
      <c r="BP27" s="42"/>
      <c r="BQ27" s="40">
        <f>BQ26/$C$26</f>
        <v>2.6363020870203532E-2</v>
      </c>
      <c r="BR27" s="42"/>
      <c r="BS27" s="40">
        <f>BS26/$C$26</f>
        <v>2.4487379856811781E-2</v>
      </c>
      <c r="BT27" s="42"/>
      <c r="BU27" s="40">
        <f>BU26/$C$26</f>
        <v>2.8252512096057933E-2</v>
      </c>
      <c r="BV27" s="42"/>
      <c r="BW27" s="40">
        <f>BW26/$C$26</f>
        <v>2.5943432446439485E-2</v>
      </c>
      <c r="BX27" s="42"/>
      <c r="BY27" s="40">
        <f>BY26/$C$26</f>
        <v>2.3955561917635169E-2</v>
      </c>
      <c r="BZ27" s="42"/>
      <c r="CA27" s="40">
        <f>CA26/$C$26</f>
        <v>2.3955561917635169E-2</v>
      </c>
      <c r="CB27" s="42"/>
      <c r="CC27" s="40">
        <f>CC26/$C$26</f>
        <v>2.8002132576257013E-2</v>
      </c>
      <c r="CD27" s="42"/>
      <c r="CE27" s="40">
        <f>CE26/$C$26</f>
        <v>2.8002132576257013E-2</v>
      </c>
      <c r="CF27" s="42"/>
      <c r="CG27" s="40">
        <f>CG26/$C$26</f>
        <v>2.6086874040882488E-2</v>
      </c>
      <c r="CH27" s="42"/>
      <c r="CI27" s="43">
        <f>CI26/$C$26</f>
        <v>2.6086874040882488E-2</v>
      </c>
      <c r="CJ27" s="42"/>
      <c r="CK27" s="43">
        <f t="shared" ref="CK27" si="366">CK26/$C$26</f>
        <v>2.2093897064242442E-2</v>
      </c>
      <c r="CL27" s="42"/>
      <c r="CM27" s="43">
        <f t="shared" ref="CM27" si="367">CM26/$C$26</f>
        <v>1.8308631687175825E-2</v>
      </c>
      <c r="CN27" s="42"/>
      <c r="CO27" s="43">
        <f t="shared" ref="CO27" si="368">CO26/$C$26</f>
        <v>1.8308631687175825E-2</v>
      </c>
      <c r="CP27" s="42"/>
      <c r="CQ27" s="43">
        <f t="shared" ref="CQ27" si="369">CQ26/$C$26</f>
        <v>1.8308631687175825E-2</v>
      </c>
      <c r="CR27" s="42"/>
      <c r="CS27" s="43">
        <f t="shared" ref="CS27" si="370">CS26/$C$26</f>
        <v>9.298650650754036E-3</v>
      </c>
      <c r="CT27" s="42"/>
      <c r="CU27" s="43">
        <f t="shared" ref="CU27" si="371">CU26/$C$26</f>
        <v>7.5558323376063632E-3</v>
      </c>
      <c r="CV27" s="33">
        <f>SUM(I26:CU26)</f>
        <v>37540557.365330622</v>
      </c>
    </row>
    <row r="28" spans="2:100" ht="10.5" customHeight="1" thickBot="1" x14ac:dyDescent="0.3">
      <c r="B28" s="22"/>
      <c r="C28" s="22"/>
      <c r="D28" s="23"/>
      <c r="E28" s="23"/>
      <c r="F28" s="23"/>
      <c r="H28" s="24"/>
      <c r="I28" s="24"/>
      <c r="J28" s="22"/>
      <c r="K28" s="22"/>
      <c r="L28" s="22"/>
      <c r="M28" s="24"/>
      <c r="N28" s="22"/>
      <c r="O28" s="22"/>
      <c r="P28" s="24"/>
      <c r="Q28" s="24"/>
      <c r="R28" s="22"/>
      <c r="S28" s="22"/>
      <c r="T28" s="24"/>
      <c r="U28" s="24"/>
      <c r="V28" s="22"/>
      <c r="W28" s="22"/>
      <c r="X28" s="24"/>
      <c r="Y28" s="24"/>
      <c r="Z28" s="22"/>
      <c r="AA28" s="22"/>
      <c r="AB28" s="24"/>
      <c r="AC28" s="24"/>
      <c r="AD28" s="22"/>
      <c r="AE28" s="22"/>
      <c r="AF28" s="24"/>
      <c r="AG28" s="24"/>
      <c r="AH28" s="22"/>
      <c r="AI28" s="22"/>
      <c r="AJ28" s="24"/>
      <c r="AK28" s="24"/>
      <c r="AL28" s="22"/>
      <c r="AM28" s="22"/>
      <c r="AN28" s="24"/>
      <c r="AO28" s="24"/>
      <c r="AP28" s="22"/>
      <c r="AQ28" s="22"/>
      <c r="AR28" s="24"/>
      <c r="AS28" s="24"/>
      <c r="AT28" s="22"/>
      <c r="AU28" s="22"/>
      <c r="AV28" s="24"/>
      <c r="AW28" s="24"/>
      <c r="AX28" s="22"/>
      <c r="AY28" s="22"/>
      <c r="AZ28" s="24"/>
      <c r="BA28" s="24"/>
      <c r="BB28" s="22"/>
      <c r="BC28" s="22"/>
      <c r="BD28" s="24"/>
      <c r="BE28" s="24"/>
      <c r="BF28" s="22"/>
      <c r="BG28" s="22"/>
      <c r="BH28" s="24"/>
      <c r="BI28" s="24"/>
      <c r="BJ28" s="22"/>
      <c r="BK28" s="22"/>
      <c r="BL28" s="24"/>
      <c r="BM28" s="24"/>
      <c r="BN28" s="22"/>
      <c r="BO28" s="22"/>
      <c r="BP28" s="24"/>
      <c r="BQ28" s="24"/>
      <c r="BR28" s="22"/>
      <c r="BS28" s="22"/>
      <c r="BT28" s="24"/>
      <c r="BU28" s="24"/>
      <c r="BV28" s="22"/>
      <c r="BW28" s="22"/>
      <c r="BX28" s="24"/>
      <c r="BY28" s="24"/>
      <c r="BZ28" s="22"/>
      <c r="CA28" s="22"/>
      <c r="CB28" s="24"/>
      <c r="CC28" s="24"/>
      <c r="CD28" s="22"/>
      <c r="CE28" s="22"/>
      <c r="CF28" s="24"/>
      <c r="CG28" s="24"/>
      <c r="CH28" s="22"/>
      <c r="CI28" s="22"/>
    </row>
    <row r="29" spans="2:100" ht="22.5" thickBot="1" x14ac:dyDescent="0.3">
      <c r="B29" s="22"/>
      <c r="C29" s="130" t="s">
        <v>52</v>
      </c>
      <c r="D29" s="131"/>
      <c r="E29" s="62" t="s">
        <v>74</v>
      </c>
      <c r="F29" s="80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</row>
    <row r="30" spans="2:100" ht="19.5" customHeight="1" thickBot="1" x14ac:dyDescent="0.3">
      <c r="C30" s="84">
        <v>10618.35</v>
      </c>
      <c r="D30" s="85" t="s">
        <v>53</v>
      </c>
      <c r="E30" s="86">
        <v>46</v>
      </c>
      <c r="F30" s="79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2:100" ht="19.5" customHeight="1" x14ac:dyDescent="0.25">
      <c r="C31" s="75" t="s">
        <v>0</v>
      </c>
      <c r="D31" s="76" t="s">
        <v>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100" ht="19.5" customHeight="1" x14ac:dyDescent="0.25">
      <c r="B32" s="22"/>
      <c r="C32" s="77" t="s">
        <v>1</v>
      </c>
      <c r="D32" s="78">
        <f>I27</f>
        <v>1.9732352424783738E-2</v>
      </c>
      <c r="E32" s="23"/>
      <c r="F32" s="23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B33" s="22"/>
      <c r="C33" s="77" t="s">
        <v>2</v>
      </c>
      <c r="D33" s="78">
        <f>K27</f>
        <v>1.5052234477110378E-2</v>
      </c>
      <c r="E33" s="23"/>
      <c r="F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77" t="s">
        <v>3</v>
      </c>
      <c r="D34" s="78">
        <f>M27</f>
        <v>1.5052234477110378E-2</v>
      </c>
      <c r="E34" s="23"/>
      <c r="F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77" t="s">
        <v>4</v>
      </c>
      <c r="D35" s="78">
        <f>O27</f>
        <v>1.3490060082436648E-2</v>
      </c>
      <c r="E35" s="23"/>
      <c r="F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77" t="s">
        <v>5</v>
      </c>
      <c r="D36" s="78">
        <f>Q27</f>
        <v>1.3490060082436648E-2</v>
      </c>
      <c r="E36" s="23"/>
      <c r="F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77" t="s">
        <v>6</v>
      </c>
      <c r="D37" s="78">
        <f>S27</f>
        <v>1.3490060082436648E-2</v>
      </c>
      <c r="E37" s="23"/>
      <c r="F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77" t="s">
        <v>7</v>
      </c>
      <c r="D38" s="78">
        <f>U27</f>
        <v>1.2358155297109636E-2</v>
      </c>
      <c r="E38" s="23"/>
      <c r="F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77" t="s">
        <v>8</v>
      </c>
      <c r="D39" s="78">
        <f>W27</f>
        <v>1.2358155297109636E-2</v>
      </c>
      <c r="E39" s="23"/>
      <c r="F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77" t="s">
        <v>9</v>
      </c>
      <c r="D40" s="78">
        <f>Y27</f>
        <v>1.2358155297109636E-2</v>
      </c>
      <c r="E40" s="23"/>
      <c r="F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77" t="s">
        <v>10</v>
      </c>
      <c r="D41" s="78">
        <f>AA27</f>
        <v>1.4233796310501392E-2</v>
      </c>
      <c r="E41" s="23"/>
      <c r="F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77" t="s">
        <v>11</v>
      </c>
      <c r="D42" s="78">
        <f>AC27</f>
        <v>1.4233796310501392E-2</v>
      </c>
      <c r="E42" s="23"/>
      <c r="F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77" t="s">
        <v>12</v>
      </c>
      <c r="D43" s="78">
        <f>AE27</f>
        <v>1.9478645107677023E-2</v>
      </c>
      <c r="E43" s="23"/>
      <c r="F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77" t="s">
        <v>13</v>
      </c>
      <c r="D44" s="78">
        <f>AG27</f>
        <v>2.1787724757295474E-2</v>
      </c>
      <c r="E44" s="23"/>
      <c r="F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77" t="s">
        <v>14</v>
      </c>
      <c r="D45" s="78">
        <f>AI27</f>
        <v>2.2544794067557654E-2</v>
      </c>
      <c r="E45" s="23"/>
      <c r="F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77" t="s">
        <v>15</v>
      </c>
      <c r="D46" s="78">
        <f>AK27</f>
        <v>2.4460052602932183E-2</v>
      </c>
      <c r="E46" s="23"/>
      <c r="F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77" t="s">
        <v>16</v>
      </c>
      <c r="D47" s="78">
        <f>AM27</f>
        <v>2.5360900523969571E-2</v>
      </c>
      <c r="E47" s="23"/>
      <c r="F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77" t="s">
        <v>17</v>
      </c>
      <c r="D48" s="78">
        <f>AO27</f>
        <v>2.7103718837117246E-2</v>
      </c>
      <c r="E48" s="23"/>
      <c r="F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77" t="s">
        <v>18</v>
      </c>
      <c r="D49" s="78">
        <f>AQ27</f>
        <v>2.7103718837117246E-2</v>
      </c>
      <c r="E49" s="23"/>
      <c r="F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77" t="s">
        <v>19</v>
      </c>
      <c r="D50" s="78">
        <f>AS27</f>
        <v>2.7103718837117246E-2</v>
      </c>
      <c r="E50" s="23"/>
      <c r="F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77" t="s">
        <v>20</v>
      </c>
      <c r="D51" s="78">
        <f>AU27</f>
        <v>2.7103718837117246E-2</v>
      </c>
      <c r="E51" s="23"/>
      <c r="F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77" t="s">
        <v>21</v>
      </c>
      <c r="D52" s="78">
        <f>AW27</f>
        <v>2.7103718837117246E-2</v>
      </c>
      <c r="E52" s="23"/>
      <c r="F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77" t="s">
        <v>22</v>
      </c>
      <c r="D53" s="78">
        <f>AY27</f>
        <v>2.7103718837117246E-2</v>
      </c>
      <c r="E53" s="23"/>
      <c r="F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77" t="s">
        <v>23</v>
      </c>
      <c r="D54" s="78">
        <f>BA27</f>
        <v>2.7103718837117246E-2</v>
      </c>
      <c r="E54" s="23"/>
      <c r="F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77" t="s">
        <v>24</v>
      </c>
      <c r="D55" s="78">
        <f>BC27</f>
        <v>2.7103718837117246E-2</v>
      </c>
      <c r="E55" s="23"/>
      <c r="F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77" t="s">
        <v>25</v>
      </c>
      <c r="D56" s="78">
        <f>BE27</f>
        <v>2.7103718837117246E-2</v>
      </c>
      <c r="E56" s="23"/>
      <c r="F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77" t="s">
        <v>26</v>
      </c>
      <c r="D57" s="78">
        <f>BG27</f>
        <v>2.7103718837117246E-2</v>
      </c>
      <c r="E57" s="23"/>
      <c r="F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77" t="s">
        <v>27</v>
      </c>
      <c r="D58" s="78">
        <f>BI27</f>
        <v>2.7103718837117246E-2</v>
      </c>
      <c r="E58" s="23"/>
      <c r="F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77" t="s">
        <v>28</v>
      </c>
      <c r="D59" s="78">
        <f>BK27</f>
        <v>2.7103718837117246E-2</v>
      </c>
      <c r="E59" s="23"/>
      <c r="F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77" t="s">
        <v>29</v>
      </c>
      <c r="D60" s="78">
        <f>BM27</f>
        <v>2.5132219651661396E-2</v>
      </c>
      <c r="E60" s="23"/>
      <c r="F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77" t="s">
        <v>30</v>
      </c>
      <c r="D61" s="78">
        <f>BO27</f>
        <v>2.5132219651661396E-2</v>
      </c>
      <c r="E61" s="23"/>
      <c r="F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77" t="s">
        <v>31</v>
      </c>
      <c r="D62" s="78">
        <f>BQ27</f>
        <v>2.6363020870203532E-2</v>
      </c>
      <c r="E62" s="23"/>
      <c r="F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77" t="s">
        <v>32</v>
      </c>
      <c r="D63" s="78">
        <f>BS27</f>
        <v>2.4487379856811781E-2</v>
      </c>
      <c r="E63" s="23"/>
      <c r="F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77" t="s">
        <v>33</v>
      </c>
      <c r="D64" s="78">
        <f>BU27</f>
        <v>2.8252512096057933E-2</v>
      </c>
      <c r="E64" s="23"/>
      <c r="F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77" t="s">
        <v>34</v>
      </c>
      <c r="D65" s="78">
        <f>BW27</f>
        <v>2.5943432446439485E-2</v>
      </c>
      <c r="E65" s="23"/>
      <c r="F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77" t="s">
        <v>35</v>
      </c>
      <c r="D66" s="78">
        <f>BY27</f>
        <v>2.3955561917635169E-2</v>
      </c>
      <c r="E66" s="23"/>
      <c r="F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77" t="s">
        <v>36</v>
      </c>
      <c r="D67" s="78">
        <f>CA27</f>
        <v>2.3955561917635169E-2</v>
      </c>
      <c r="E67" s="23"/>
      <c r="F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77" t="s">
        <v>37</v>
      </c>
      <c r="D68" s="78">
        <f>CC27</f>
        <v>2.8002132576257013E-2</v>
      </c>
      <c r="E68" s="23"/>
      <c r="F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77" t="s">
        <v>38</v>
      </c>
      <c r="D69" s="78">
        <f>CE27</f>
        <v>2.8002132576257013E-2</v>
      </c>
      <c r="E69" s="23"/>
      <c r="F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77" t="s">
        <v>39</v>
      </c>
      <c r="D70" s="78">
        <f>CG27</f>
        <v>2.6086874040882488E-2</v>
      </c>
      <c r="E70" s="23"/>
      <c r="F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77" t="s">
        <v>40</v>
      </c>
      <c r="D71" s="78">
        <f>CI27</f>
        <v>2.6086874040882488E-2</v>
      </c>
      <c r="E71" s="23"/>
      <c r="F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77" t="s">
        <v>77</v>
      </c>
      <c r="D72" s="78">
        <f>+CK27</f>
        <v>2.2093897064242442E-2</v>
      </c>
      <c r="E72" s="23"/>
      <c r="F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77" t="s">
        <v>78</v>
      </c>
      <c r="D73" s="78">
        <f>+CM27</f>
        <v>1.8308631687175825E-2</v>
      </c>
      <c r="E73" s="23"/>
      <c r="F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77" t="s">
        <v>79</v>
      </c>
      <c r="D74" s="78">
        <f>+CO27</f>
        <v>1.8308631687175825E-2</v>
      </c>
      <c r="E74" s="23"/>
      <c r="F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77" t="s">
        <v>80</v>
      </c>
      <c r="D75" s="78">
        <f>+CQ27</f>
        <v>1.8308631687175825E-2</v>
      </c>
      <c r="E75" s="23"/>
      <c r="F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77" t="s">
        <v>81</v>
      </c>
      <c r="D76" s="78">
        <f>CS27</f>
        <v>9.298650650754036E-3</v>
      </c>
      <c r="E76" s="23"/>
      <c r="F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77" t="s">
        <v>82</v>
      </c>
      <c r="D77" s="78">
        <f>CU27</f>
        <v>7.5558323376063632E-3</v>
      </c>
      <c r="E77" s="23"/>
      <c r="F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22"/>
      <c r="D78" s="23"/>
      <c r="E78" s="23"/>
      <c r="F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22"/>
      <c r="D79" s="23"/>
      <c r="E79" s="23"/>
      <c r="F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22"/>
      <c r="D80" s="23"/>
      <c r="E80" s="23"/>
      <c r="F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22"/>
      <c r="D81" s="23"/>
      <c r="E81" s="23"/>
      <c r="F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22"/>
      <c r="D82" s="23"/>
      <c r="E82" s="23"/>
      <c r="F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22"/>
      <c r="D83" s="23"/>
      <c r="E83" s="23"/>
      <c r="F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22"/>
      <c r="D84" s="23"/>
      <c r="E84" s="23"/>
      <c r="F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22"/>
      <c r="D85" s="23"/>
      <c r="E85" s="23"/>
      <c r="F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22"/>
      <c r="D86" s="23"/>
      <c r="E86" s="23"/>
      <c r="F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22"/>
      <c r="D87" s="23"/>
      <c r="E87" s="23"/>
      <c r="F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22"/>
      <c r="D88" s="23"/>
      <c r="E88" s="23"/>
      <c r="F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22"/>
      <c r="D89" s="23"/>
      <c r="E89" s="23"/>
      <c r="F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22"/>
      <c r="D90" s="23"/>
      <c r="E90" s="23"/>
      <c r="F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22"/>
      <c r="D91" s="23"/>
      <c r="E91" s="23"/>
      <c r="F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22"/>
      <c r="D92" s="23"/>
      <c r="E92" s="23"/>
      <c r="F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22"/>
      <c r="D93" s="23"/>
      <c r="E93" s="23"/>
      <c r="F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22"/>
      <c r="D94" s="23"/>
      <c r="E94" s="23"/>
      <c r="F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22"/>
      <c r="D95" s="23"/>
      <c r="E95" s="23"/>
      <c r="F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x14ac:dyDescent="0.25">
      <c r="B96" s="22"/>
      <c r="C96" s="22"/>
      <c r="D96" s="23"/>
      <c r="E96" s="23"/>
      <c r="F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F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F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F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F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F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F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F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F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F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F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F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F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F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F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F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F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F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F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F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F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F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F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F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F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F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F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F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F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F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F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F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F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F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F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F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F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F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F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F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F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F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F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F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F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F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F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F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F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F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F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F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F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F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F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F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F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F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F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F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F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F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F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F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F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F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F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F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F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F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F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F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F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F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F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F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F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F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F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F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F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F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F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F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F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F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F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F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F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F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F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F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F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F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F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F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F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F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F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F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F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F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F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F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F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F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F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F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F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F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F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F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F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F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F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F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F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F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F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F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F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F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F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F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F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F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F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F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F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F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F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F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F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F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F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F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F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F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F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F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F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F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F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F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F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F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F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F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F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F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F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F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F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F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F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F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F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F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F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F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F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F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F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F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F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F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F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F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F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F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F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F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F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F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F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F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F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F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F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F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F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F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F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F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F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F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F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F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F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F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F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F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F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F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F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F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F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F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F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F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F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F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F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F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F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F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F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F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F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F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F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F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F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F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F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F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F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F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F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F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F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F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F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F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F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F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F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F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F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F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F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F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F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F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F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F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F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F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F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F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F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F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F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F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F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F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F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F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F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F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F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F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F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F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F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F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F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F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F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F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F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F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F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F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F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F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F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F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F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F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F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F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F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F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F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F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F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F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F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F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F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F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F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F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F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F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F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F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F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F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F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F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F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F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F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F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F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F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F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F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F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F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F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F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F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F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F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F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F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F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F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F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F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F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F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F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F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F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F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F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F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F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F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F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F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F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F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F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F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F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F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F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F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F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F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F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F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F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F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F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F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F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F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F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F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F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F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F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F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F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F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F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F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F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F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F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F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F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F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F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F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F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F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F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F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F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F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F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F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F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F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F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F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F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F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F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F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F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F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F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F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F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F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F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F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F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F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F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F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F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F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F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F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F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F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F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F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F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F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F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F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F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F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F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F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F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F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F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F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F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F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F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F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F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F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F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F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F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F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F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F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F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F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F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F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F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F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F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F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F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F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F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F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F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F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F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F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F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F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F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F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F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F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F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F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F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F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F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F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F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F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F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F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F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F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F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F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F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F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F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F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F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F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F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F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F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F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F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F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F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F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F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F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F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F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F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F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F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F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F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F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F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F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F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F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F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F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F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F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F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F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F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F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F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F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F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F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F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F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F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F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F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F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F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F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F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F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F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F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F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F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F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F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F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F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F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F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F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F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F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F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F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F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F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F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F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F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F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F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F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F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F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F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F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F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F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F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F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F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F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F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F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F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F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F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F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F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F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F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F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F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F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F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F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F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F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F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F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F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F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F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F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F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F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F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F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F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F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F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F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F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F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F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F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F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F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F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F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F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F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F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F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F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F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F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F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F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F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F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F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F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F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F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F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F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F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F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F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F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F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F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F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F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F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F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F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F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F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F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F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F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F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F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F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F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F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F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F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F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F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F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F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F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F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F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F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F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F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F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F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F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F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F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F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F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F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F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F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F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F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F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F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F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F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F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F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F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F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F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F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F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F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F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F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F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F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F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F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F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F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F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F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F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F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F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F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F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F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F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F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F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F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F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F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F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F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F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F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F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F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F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F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F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F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F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F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F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F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F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F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F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F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F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F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F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F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F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F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F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F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F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F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F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E799" s="23"/>
      <c r="F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E800" s="23"/>
      <c r="F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E801" s="23"/>
      <c r="F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E802" s="23"/>
      <c r="F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E803" s="23"/>
      <c r="F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E804" s="23"/>
      <c r="F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E805" s="23"/>
      <c r="F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E806" s="23"/>
      <c r="F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E807" s="23"/>
      <c r="F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E808" s="23"/>
      <c r="F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E809" s="23"/>
      <c r="F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E810" s="23"/>
      <c r="F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E811" s="23"/>
      <c r="F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E812" s="23"/>
      <c r="F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E813" s="23"/>
      <c r="F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E814" s="23"/>
      <c r="F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E815" s="23"/>
      <c r="F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E816" s="23"/>
      <c r="F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E817" s="23"/>
      <c r="F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F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F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F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F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F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F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F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F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F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F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F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F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F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F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F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F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F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F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F836" s="23"/>
    </row>
    <row r="837" spans="2:20" ht="19.5" customHeight="1" x14ac:dyDescent="0.25">
      <c r="B837" s="22"/>
      <c r="E837" s="23"/>
      <c r="F837" s="23"/>
    </row>
    <row r="838" spans="2:20" ht="19.5" customHeight="1" x14ac:dyDescent="0.25">
      <c r="B838" s="22"/>
      <c r="E838" s="23"/>
      <c r="F838" s="23"/>
    </row>
    <row r="839" spans="2:20" ht="15" customHeight="1" x14ac:dyDescent="0.25">
      <c r="B839" s="22"/>
      <c r="E839" s="23"/>
      <c r="F839" s="23"/>
    </row>
  </sheetData>
  <mergeCells count="54">
    <mergeCell ref="C29:D29"/>
    <mergeCell ref="CP7:CQ7"/>
    <mergeCell ref="CR7:CS7"/>
    <mergeCell ref="CT7:CU7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CN7:CO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62"/>
  <sheetViews>
    <sheetView showGridLines="0" zoomScale="50" zoomScaleNormal="50" workbookViewId="0">
      <selection activeCell="B2" sqref="B2:CH4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32" t="s">
        <v>46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4"/>
    </row>
    <row r="3" spans="2:86" ht="10.5" customHeight="1" x14ac:dyDescent="0.25">
      <c r="B3" s="135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7"/>
    </row>
    <row r="4" spans="2:86" ht="51.75" customHeight="1" x14ac:dyDescent="0.25">
      <c r="B4" s="135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7"/>
    </row>
    <row r="5" spans="2:86" ht="49.5" customHeight="1" x14ac:dyDescent="0.25">
      <c r="B5" s="138" t="s">
        <v>85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40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f>'DISTRIBUIÇÃO CUSTO'!D32</f>
        <v>1.9732352424783738E-2</v>
      </c>
      <c r="D9" s="10">
        <f>C9</f>
        <v>1.9732352424783738E-2</v>
      </c>
      <c r="E9" s="11">
        <f t="shared" ref="E9:E51" si="0">C9*$F$55</f>
        <v>740763.50815551484</v>
      </c>
      <c r="F9" s="11">
        <f>E9</f>
        <v>740763.50815551484</v>
      </c>
      <c r="G9" s="2"/>
    </row>
    <row r="10" spans="2:86" ht="27" customHeight="1" x14ac:dyDescent="0.25">
      <c r="B10" s="8">
        <v>2</v>
      </c>
      <c r="C10" s="9">
        <f>'DISTRIBUIÇÃO CUSTO'!D33</f>
        <v>1.5052234477110378E-2</v>
      </c>
      <c r="D10" s="10">
        <f>C10+D9</f>
        <v>3.4784586901894114E-2</v>
      </c>
      <c r="E10" s="11">
        <f t="shared" si="0"/>
        <v>565069.27186436963</v>
      </c>
      <c r="F10" s="11">
        <f>F9+E10</f>
        <v>1305832.7800198845</v>
      </c>
      <c r="G10" s="2"/>
    </row>
    <row r="11" spans="2:86" ht="27" customHeight="1" x14ac:dyDescent="0.25">
      <c r="B11" s="8">
        <v>3</v>
      </c>
      <c r="C11" s="9">
        <f>'DISTRIBUIÇÃO CUSTO'!D34</f>
        <v>1.5052234477110378E-2</v>
      </c>
      <c r="D11" s="10">
        <f t="shared" ref="D11:D51" si="1">C11+D10</f>
        <v>4.9836821379004491E-2</v>
      </c>
      <c r="E11" s="11">
        <f t="shared" si="0"/>
        <v>565069.27186436963</v>
      </c>
      <c r="F11" s="11">
        <f>F10+E11</f>
        <v>1870902.051884254</v>
      </c>
      <c r="G11" s="2"/>
    </row>
    <row r="12" spans="2:86" ht="27" customHeight="1" x14ac:dyDescent="0.25">
      <c r="B12" s="8">
        <v>4</v>
      </c>
      <c r="C12" s="9">
        <f>'DISTRIBUIÇÃO CUSTO'!D35</f>
        <v>1.3490060082436648E-2</v>
      </c>
      <c r="D12" s="10">
        <f t="shared" si="1"/>
        <v>6.3326881461441137E-2</v>
      </c>
      <c r="E12" s="11">
        <f t="shared" si="0"/>
        <v>506424.37438646983</v>
      </c>
      <c r="F12" s="11">
        <f t="shared" ref="F12:F51" si="2">F11+E12</f>
        <v>2377326.4262707238</v>
      </c>
      <c r="G12" s="2"/>
    </row>
    <row r="13" spans="2:86" ht="27" customHeight="1" x14ac:dyDescent="0.25">
      <c r="B13" s="8">
        <v>5</v>
      </c>
      <c r="C13" s="9">
        <f>'DISTRIBUIÇÃO CUSTO'!D36</f>
        <v>1.3490060082436648E-2</v>
      </c>
      <c r="D13" s="10">
        <f t="shared" si="1"/>
        <v>7.681694154387779E-2</v>
      </c>
      <c r="E13" s="11">
        <f t="shared" si="0"/>
        <v>506424.37438646983</v>
      </c>
      <c r="F13" s="11">
        <f t="shared" si="2"/>
        <v>2883750.8006571936</v>
      </c>
      <c r="G13" s="2"/>
    </row>
    <row r="14" spans="2:86" ht="27" customHeight="1" x14ac:dyDescent="0.25">
      <c r="B14" s="8">
        <v>6</v>
      </c>
      <c r="C14" s="9">
        <f>'DISTRIBUIÇÃO CUSTO'!D37</f>
        <v>1.3490060082436648E-2</v>
      </c>
      <c r="D14" s="10">
        <f t="shared" si="1"/>
        <v>9.0307001626314443E-2</v>
      </c>
      <c r="E14" s="11">
        <f t="shared" si="0"/>
        <v>506424.37438646983</v>
      </c>
      <c r="F14" s="11">
        <f t="shared" si="2"/>
        <v>3390175.1750436635</v>
      </c>
      <c r="G14" s="2"/>
    </row>
    <row r="15" spans="2:86" ht="27" customHeight="1" x14ac:dyDescent="0.25">
      <c r="B15" s="8">
        <v>7</v>
      </c>
      <c r="C15" s="9">
        <f>'DISTRIBUIÇÃO CUSTO'!D38</f>
        <v>1.2358155297109636E-2</v>
      </c>
      <c r="D15" s="10">
        <f t="shared" si="1"/>
        <v>0.10266515692342408</v>
      </c>
      <c r="E15" s="11">
        <f t="shared" si="0"/>
        <v>463932.03786080889</v>
      </c>
      <c r="F15" s="11">
        <f t="shared" si="2"/>
        <v>3854107.2129044724</v>
      </c>
      <c r="G15" s="2"/>
    </row>
    <row r="16" spans="2:86" ht="27" customHeight="1" x14ac:dyDescent="0.25">
      <c r="B16" s="8">
        <v>8</v>
      </c>
      <c r="C16" s="9">
        <f>'DISTRIBUIÇÃO CUSTO'!D39</f>
        <v>1.2358155297109636E-2</v>
      </c>
      <c r="D16" s="10">
        <f t="shared" si="1"/>
        <v>0.11502331222053372</v>
      </c>
      <c r="E16" s="11">
        <f t="shared" si="0"/>
        <v>463932.03786080889</v>
      </c>
      <c r="F16" s="11">
        <f t="shared" si="2"/>
        <v>4318039.2507652808</v>
      </c>
      <c r="G16" s="2"/>
    </row>
    <row r="17" spans="2:7" ht="27" customHeight="1" x14ac:dyDescent="0.25">
      <c r="B17" s="8">
        <v>9</v>
      </c>
      <c r="C17" s="9">
        <f>'DISTRIBUIÇÃO CUSTO'!D40</f>
        <v>1.2358155297109636E-2</v>
      </c>
      <c r="D17" s="10">
        <f t="shared" si="1"/>
        <v>0.12738146751764334</v>
      </c>
      <c r="E17" s="11">
        <f t="shared" si="0"/>
        <v>463932.03786080889</v>
      </c>
      <c r="F17" s="11">
        <f t="shared" si="2"/>
        <v>4781971.2886260897</v>
      </c>
      <c r="G17" s="2"/>
    </row>
    <row r="18" spans="2:7" ht="27" customHeight="1" x14ac:dyDescent="0.25">
      <c r="B18" s="8">
        <v>10</v>
      </c>
      <c r="C18" s="9">
        <f>'DISTRIBUIÇÃO CUSTO'!D41</f>
        <v>1.4233796310501392E-2</v>
      </c>
      <c r="D18" s="10">
        <f t="shared" si="1"/>
        <v>0.14161526382814474</v>
      </c>
      <c r="E18" s="11">
        <f t="shared" si="0"/>
        <v>534344.64692080894</v>
      </c>
      <c r="F18" s="11">
        <f t="shared" si="2"/>
        <v>5316315.9355468983</v>
      </c>
      <c r="G18" s="2"/>
    </row>
    <row r="19" spans="2:7" ht="27" customHeight="1" x14ac:dyDescent="0.25">
      <c r="B19" s="8">
        <v>11</v>
      </c>
      <c r="C19" s="9">
        <f>'DISTRIBUIÇÃO CUSTO'!D42</f>
        <v>1.4233796310501392E-2</v>
      </c>
      <c r="D19" s="10">
        <f t="shared" si="1"/>
        <v>0.15584906013864613</v>
      </c>
      <c r="E19" s="11">
        <f t="shared" si="0"/>
        <v>534344.64692080894</v>
      </c>
      <c r="F19" s="11">
        <f t="shared" si="2"/>
        <v>5850660.5824677069</v>
      </c>
      <c r="G19" s="2"/>
    </row>
    <row r="20" spans="2:7" ht="27" customHeight="1" x14ac:dyDescent="0.25">
      <c r="B20" s="8">
        <v>12</v>
      </c>
      <c r="C20" s="9">
        <f>'DISTRIBUIÇÃO CUSTO'!D43</f>
        <v>1.9478645107677023E-2</v>
      </c>
      <c r="D20" s="10">
        <f t="shared" si="1"/>
        <v>0.17532770524632316</v>
      </c>
      <c r="E20" s="11">
        <f t="shared" si="0"/>
        <v>731239.19406366604</v>
      </c>
      <c r="F20" s="11">
        <f t="shared" si="2"/>
        <v>6581899.7765313732</v>
      </c>
      <c r="G20" s="2"/>
    </row>
    <row r="21" spans="2:7" ht="27" customHeight="1" x14ac:dyDescent="0.25">
      <c r="B21" s="8">
        <v>13</v>
      </c>
      <c r="C21" s="9">
        <f>'DISTRIBUIÇÃO CUSTO'!D44</f>
        <v>2.1787724757295474E-2</v>
      </c>
      <c r="D21" s="10">
        <f t="shared" si="1"/>
        <v>0.19711543000361864</v>
      </c>
      <c r="E21" s="11">
        <f t="shared" si="0"/>
        <v>817923.33111128514</v>
      </c>
      <c r="F21" s="11">
        <f t="shared" si="2"/>
        <v>7399823.1076426581</v>
      </c>
      <c r="G21" s="2"/>
    </row>
    <row r="22" spans="2:7" ht="27" customHeight="1" x14ac:dyDescent="0.25">
      <c r="B22" s="8">
        <v>14</v>
      </c>
      <c r="C22" s="9">
        <f>'DISTRIBUIÇÃO CUSTO'!D45</f>
        <v>2.2544794067557654E-2</v>
      </c>
      <c r="D22" s="10">
        <f t="shared" si="1"/>
        <v>0.2196602240711763</v>
      </c>
      <c r="E22" s="11">
        <f t="shared" si="0"/>
        <v>846344.13498271373</v>
      </c>
      <c r="F22" s="11">
        <f t="shared" si="2"/>
        <v>8246167.2426253716</v>
      </c>
      <c r="G22" s="2"/>
    </row>
    <row r="23" spans="2:7" ht="27" customHeight="1" x14ac:dyDescent="0.25">
      <c r="B23" s="8">
        <v>15</v>
      </c>
      <c r="C23" s="9">
        <f>'DISTRIBUIÇÃO CUSTO'!D46</f>
        <v>2.4460052602932183E-2</v>
      </c>
      <c r="D23" s="10">
        <f t="shared" si="1"/>
        <v>0.24412027667410849</v>
      </c>
      <c r="E23" s="11">
        <f t="shared" si="0"/>
        <v>918244.00789938041</v>
      </c>
      <c r="F23" s="11">
        <f t="shared" si="2"/>
        <v>9164411.2505247518</v>
      </c>
      <c r="G23" s="2"/>
    </row>
    <row r="24" spans="2:7" ht="27" customHeight="1" x14ac:dyDescent="0.25">
      <c r="B24" s="8">
        <v>16</v>
      </c>
      <c r="C24" s="9">
        <f>'DISTRIBUIÇÃO CUSTO'!D47</f>
        <v>2.5360900523969571E-2</v>
      </c>
      <c r="D24" s="10">
        <f t="shared" si="1"/>
        <v>0.26948117719807807</v>
      </c>
      <c r="E24" s="11">
        <f t="shared" si="0"/>
        <v>952062.34095652332</v>
      </c>
      <c r="F24" s="11">
        <f t="shared" si="2"/>
        <v>10116473.591481276</v>
      </c>
      <c r="G24" s="2"/>
    </row>
    <row r="25" spans="2:7" ht="27" customHeight="1" x14ac:dyDescent="0.25">
      <c r="B25" s="8">
        <v>17</v>
      </c>
      <c r="C25" s="9">
        <f>'DISTRIBUIÇÃO CUSTO'!D48</f>
        <v>2.7103718837117246E-2</v>
      </c>
      <c r="D25" s="10">
        <f t="shared" si="1"/>
        <v>0.29658489603519533</v>
      </c>
      <c r="E25" s="11">
        <f t="shared" si="0"/>
        <v>1017488.7118185924</v>
      </c>
      <c r="F25" s="11">
        <f t="shared" si="2"/>
        <v>11133962.303299868</v>
      </c>
      <c r="G25" s="2"/>
    </row>
    <row r="26" spans="2:7" ht="27" customHeight="1" x14ac:dyDescent="0.25">
      <c r="B26" s="8">
        <v>18</v>
      </c>
      <c r="C26" s="9">
        <f>'DISTRIBUIÇÃO CUSTO'!D49</f>
        <v>2.7103718837117246E-2</v>
      </c>
      <c r="D26" s="10">
        <f t="shared" si="1"/>
        <v>0.3236886148723126</v>
      </c>
      <c r="E26" s="11">
        <f t="shared" si="0"/>
        <v>1017488.7118185924</v>
      </c>
      <c r="F26" s="11">
        <f t="shared" si="2"/>
        <v>12151451.015118461</v>
      </c>
      <c r="G26" s="2"/>
    </row>
    <row r="27" spans="2:7" ht="27" customHeight="1" x14ac:dyDescent="0.25">
      <c r="B27" s="8">
        <v>19</v>
      </c>
      <c r="C27" s="9">
        <f>'DISTRIBUIÇÃO CUSTO'!D50</f>
        <v>2.7103718837117246E-2</v>
      </c>
      <c r="D27" s="10">
        <f t="shared" si="1"/>
        <v>0.35079233370942986</v>
      </c>
      <c r="E27" s="11">
        <f t="shared" si="0"/>
        <v>1017488.7118185924</v>
      </c>
      <c r="F27" s="11">
        <f>F26+E27</f>
        <v>13168939.726937054</v>
      </c>
      <c r="G27" s="2"/>
    </row>
    <row r="28" spans="2:7" ht="27" customHeight="1" x14ac:dyDescent="0.25">
      <c r="B28" s="8">
        <v>20</v>
      </c>
      <c r="C28" s="9">
        <f>'DISTRIBUIÇÃO CUSTO'!D51</f>
        <v>2.7103718837117246E-2</v>
      </c>
      <c r="D28" s="10">
        <f t="shared" si="1"/>
        <v>0.37789605254654712</v>
      </c>
      <c r="E28" s="11">
        <f t="shared" si="0"/>
        <v>1017488.7118185924</v>
      </c>
      <c r="F28" s="11">
        <f t="shared" si="2"/>
        <v>14186428.438755646</v>
      </c>
      <c r="G28" s="2"/>
    </row>
    <row r="29" spans="2:7" ht="27" customHeight="1" x14ac:dyDescent="0.25">
      <c r="B29" s="8">
        <v>21</v>
      </c>
      <c r="C29" s="9">
        <f>'DISTRIBUIÇÃO CUSTO'!D52</f>
        <v>2.7103718837117246E-2</v>
      </c>
      <c r="D29" s="10">
        <f t="shared" si="1"/>
        <v>0.40499977138366439</v>
      </c>
      <c r="E29" s="11">
        <f t="shared" si="0"/>
        <v>1017488.7118185924</v>
      </c>
      <c r="F29" s="11">
        <f t="shared" si="2"/>
        <v>15203917.150574239</v>
      </c>
      <c r="G29" s="2"/>
    </row>
    <row r="30" spans="2:7" ht="27" customHeight="1" x14ac:dyDescent="0.25">
      <c r="B30" s="8">
        <v>22</v>
      </c>
      <c r="C30" s="9">
        <f>'DISTRIBUIÇÃO CUSTO'!D53</f>
        <v>2.7103718837117246E-2</v>
      </c>
      <c r="D30" s="10">
        <f t="shared" si="1"/>
        <v>0.43210349022078165</v>
      </c>
      <c r="E30" s="11">
        <f t="shared" si="0"/>
        <v>1017488.7118185924</v>
      </c>
      <c r="F30" s="11">
        <f t="shared" si="2"/>
        <v>16221405.862392832</v>
      </c>
      <c r="G30" s="2"/>
    </row>
    <row r="31" spans="2:7" ht="27" customHeight="1" x14ac:dyDescent="0.25">
      <c r="B31" s="8">
        <v>23</v>
      </c>
      <c r="C31" s="9">
        <f>'DISTRIBUIÇÃO CUSTO'!D54</f>
        <v>2.7103718837117246E-2</v>
      </c>
      <c r="D31" s="10">
        <f t="shared" si="1"/>
        <v>0.45920720905789891</v>
      </c>
      <c r="E31" s="11">
        <f t="shared" si="0"/>
        <v>1017488.7118185924</v>
      </c>
      <c r="F31" s="11">
        <f t="shared" si="2"/>
        <v>17238894.574211422</v>
      </c>
      <c r="G31" s="2"/>
    </row>
    <row r="32" spans="2:7" ht="27" customHeight="1" x14ac:dyDescent="0.25">
      <c r="B32" s="8">
        <v>24</v>
      </c>
      <c r="C32" s="9">
        <f>'DISTRIBUIÇÃO CUSTO'!D55</f>
        <v>2.7103718837117246E-2</v>
      </c>
      <c r="D32" s="10">
        <f t="shared" si="1"/>
        <v>0.48631092789501618</v>
      </c>
      <c r="E32" s="11">
        <f t="shared" si="0"/>
        <v>1017488.7118185924</v>
      </c>
      <c r="F32" s="11">
        <f t="shared" si="2"/>
        <v>18256383.286030013</v>
      </c>
      <c r="G32" s="2"/>
    </row>
    <row r="33" spans="2:7" ht="27" customHeight="1" x14ac:dyDescent="0.25">
      <c r="B33" s="8">
        <v>25</v>
      </c>
      <c r="C33" s="9">
        <f>'DISTRIBUIÇÃO CUSTO'!D56</f>
        <v>2.7103718837117246E-2</v>
      </c>
      <c r="D33" s="10">
        <f t="shared" si="1"/>
        <v>0.51341464673213344</v>
      </c>
      <c r="E33" s="11">
        <f t="shared" si="0"/>
        <v>1017488.7118185924</v>
      </c>
      <c r="F33" s="11">
        <f t="shared" si="2"/>
        <v>19273871.997848604</v>
      </c>
      <c r="G33" s="2"/>
    </row>
    <row r="34" spans="2:7" ht="27" customHeight="1" x14ac:dyDescent="0.25">
      <c r="B34" s="8">
        <v>26</v>
      </c>
      <c r="C34" s="9">
        <f>'DISTRIBUIÇÃO CUSTO'!D57</f>
        <v>2.7103718837117246E-2</v>
      </c>
      <c r="D34" s="10">
        <f t="shared" si="1"/>
        <v>0.5405183655692507</v>
      </c>
      <c r="E34" s="11">
        <f t="shared" si="0"/>
        <v>1017488.7118185924</v>
      </c>
      <c r="F34" s="11">
        <f t="shared" si="2"/>
        <v>20291360.709667195</v>
      </c>
      <c r="G34" s="2"/>
    </row>
    <row r="35" spans="2:7" ht="27" customHeight="1" x14ac:dyDescent="0.25">
      <c r="B35" s="8">
        <v>27</v>
      </c>
      <c r="C35" s="9">
        <f>'DISTRIBUIÇÃO CUSTO'!D58</f>
        <v>2.7103718837117246E-2</v>
      </c>
      <c r="D35" s="10">
        <f t="shared" si="1"/>
        <v>0.56762208440636797</v>
      </c>
      <c r="E35" s="11">
        <f t="shared" si="0"/>
        <v>1017488.7118185924</v>
      </c>
      <c r="F35" s="11">
        <f t="shared" si="2"/>
        <v>21308849.421485785</v>
      </c>
      <c r="G35" s="2"/>
    </row>
    <row r="36" spans="2:7" ht="27" customHeight="1" x14ac:dyDescent="0.25">
      <c r="B36" s="8">
        <v>28</v>
      </c>
      <c r="C36" s="9">
        <f>'DISTRIBUIÇÃO CUSTO'!D59</f>
        <v>2.7103718837117246E-2</v>
      </c>
      <c r="D36" s="10">
        <f t="shared" si="1"/>
        <v>0.59472580324348523</v>
      </c>
      <c r="E36" s="11">
        <f t="shared" si="0"/>
        <v>1017488.7118185924</v>
      </c>
      <c r="F36" s="11">
        <f t="shared" si="2"/>
        <v>22326338.133304376</v>
      </c>
      <c r="G36" s="2"/>
    </row>
    <row r="37" spans="2:7" ht="27" customHeight="1" x14ac:dyDescent="0.25">
      <c r="B37" s="8">
        <v>29</v>
      </c>
      <c r="C37" s="9">
        <f>'DISTRIBUIÇÃO CUSTO'!D60</f>
        <v>2.5132219651661396E-2</v>
      </c>
      <c r="D37" s="10">
        <f t="shared" si="1"/>
        <v>0.61985802289514658</v>
      </c>
      <c r="E37" s="11">
        <f t="shared" si="0"/>
        <v>943477.53355128434</v>
      </c>
      <c r="F37" s="11">
        <f t="shared" si="2"/>
        <v>23269815.666855659</v>
      </c>
      <c r="G37" s="2"/>
    </row>
    <row r="38" spans="2:7" ht="27" customHeight="1" x14ac:dyDescent="0.25">
      <c r="B38" s="8">
        <v>30</v>
      </c>
      <c r="C38" s="9">
        <f>'DISTRIBUIÇÃO CUSTO'!D61</f>
        <v>2.5132219651661396E-2</v>
      </c>
      <c r="D38" s="10">
        <f t="shared" si="1"/>
        <v>0.64499024254680792</v>
      </c>
      <c r="E38" s="11">
        <f t="shared" si="0"/>
        <v>943477.53355128434</v>
      </c>
      <c r="F38" s="11">
        <f t="shared" si="2"/>
        <v>24213293.200406943</v>
      </c>
      <c r="G38" s="2"/>
    </row>
    <row r="39" spans="2:7" ht="27" customHeight="1" x14ac:dyDescent="0.25">
      <c r="B39" s="8">
        <v>31</v>
      </c>
      <c r="C39" s="9">
        <f>'DISTRIBUIÇÃO CUSTO'!D62</f>
        <v>2.6363020870203532E-2</v>
      </c>
      <c r="D39" s="10">
        <f t="shared" si="1"/>
        <v>0.6713532634170114</v>
      </c>
      <c r="E39" s="11">
        <f t="shared" si="0"/>
        <v>989682.49730128422</v>
      </c>
      <c r="F39" s="11">
        <f t="shared" si="2"/>
        <v>25202975.697708227</v>
      </c>
      <c r="G39" s="2"/>
    </row>
    <row r="40" spans="2:7" ht="27" customHeight="1" x14ac:dyDescent="0.25">
      <c r="B40" s="8">
        <v>32</v>
      </c>
      <c r="C40" s="9">
        <f>'DISTRIBUIÇÃO CUSTO'!D63</f>
        <v>2.4487379856811781E-2</v>
      </c>
      <c r="D40" s="10">
        <f t="shared" si="1"/>
        <v>0.69584064327382322</v>
      </c>
      <c r="E40" s="11">
        <f t="shared" si="0"/>
        <v>919269.88824128441</v>
      </c>
      <c r="F40" s="11">
        <f t="shared" si="2"/>
        <v>26122245.58594951</v>
      </c>
      <c r="G40" s="2"/>
    </row>
    <row r="41" spans="2:7" ht="27" customHeight="1" x14ac:dyDescent="0.25">
      <c r="B41" s="8">
        <v>33</v>
      </c>
      <c r="C41" s="9">
        <f>'DISTRIBUIÇÃO CUSTO'!D64</f>
        <v>2.8252512096057933E-2</v>
      </c>
      <c r="D41" s="10">
        <f t="shared" si="1"/>
        <v>0.72409315536988117</v>
      </c>
      <c r="E41" s="11">
        <f t="shared" si="0"/>
        <v>1060615.0510567604</v>
      </c>
      <c r="F41" s="11">
        <f t="shared" si="2"/>
        <v>27182860.637006272</v>
      </c>
      <c r="G41" s="2"/>
    </row>
    <row r="42" spans="2:7" ht="27" customHeight="1" x14ac:dyDescent="0.25">
      <c r="B42" s="8">
        <v>34</v>
      </c>
      <c r="C42" s="9">
        <f>'DISTRIBUIÇÃO CUSTO'!D65</f>
        <v>2.5943432446439485E-2</v>
      </c>
      <c r="D42" s="10">
        <f t="shared" si="1"/>
        <v>0.75003658781632065</v>
      </c>
      <c r="E42" s="11">
        <f t="shared" si="0"/>
        <v>973930.91400914139</v>
      </c>
      <c r="F42" s="11">
        <f t="shared" si="2"/>
        <v>28156791.551015414</v>
      </c>
      <c r="G42" s="2"/>
    </row>
    <row r="43" spans="2:7" ht="27" customHeight="1" x14ac:dyDescent="0.25">
      <c r="B43" s="8">
        <v>35</v>
      </c>
      <c r="C43" s="9">
        <f>'DISTRIBUIÇÃO CUSTO'!D66</f>
        <v>2.3955561917635169E-2</v>
      </c>
      <c r="D43" s="10">
        <f t="shared" si="1"/>
        <v>0.7739921497339558</v>
      </c>
      <c r="E43" s="11">
        <f t="shared" si="0"/>
        <v>899305.14638771291</v>
      </c>
      <c r="F43" s="11">
        <f t="shared" si="2"/>
        <v>29056096.697403125</v>
      </c>
      <c r="G43" s="2"/>
    </row>
    <row r="44" spans="2:7" ht="27" customHeight="1" x14ac:dyDescent="0.25">
      <c r="B44" s="8">
        <v>36</v>
      </c>
      <c r="C44" s="9">
        <f>'DISTRIBUIÇÃO CUSTO'!D67</f>
        <v>2.3955561917635169E-2</v>
      </c>
      <c r="D44" s="10">
        <f t="shared" si="1"/>
        <v>0.79794771165159095</v>
      </c>
      <c r="E44" s="11">
        <f t="shared" si="0"/>
        <v>899305.14638771291</v>
      </c>
      <c r="F44" s="11">
        <f t="shared" si="2"/>
        <v>29955401.843790837</v>
      </c>
      <c r="G44" s="2"/>
    </row>
    <row r="45" spans="2:7" ht="27" customHeight="1" x14ac:dyDescent="0.25">
      <c r="B45" s="8">
        <v>37</v>
      </c>
      <c r="C45" s="9">
        <f>'DISTRIBUIÇÃO CUSTO'!D68</f>
        <v>2.8002132576257013E-2</v>
      </c>
      <c r="D45" s="10">
        <f t="shared" si="1"/>
        <v>0.82594984422784801</v>
      </c>
      <c r="E45" s="11">
        <f t="shared" si="0"/>
        <v>1051215.66433057</v>
      </c>
      <c r="F45" s="11">
        <f t="shared" si="2"/>
        <v>31006617.508121409</v>
      </c>
      <c r="G45" s="2"/>
    </row>
    <row r="46" spans="2:7" ht="27" customHeight="1" x14ac:dyDescent="0.25">
      <c r="B46" s="8">
        <v>38</v>
      </c>
      <c r="C46" s="9">
        <f>'DISTRIBUIÇÃO CUSTO'!D69</f>
        <v>2.8002132576257013E-2</v>
      </c>
      <c r="D46" s="10">
        <f t="shared" si="1"/>
        <v>0.85395197680410506</v>
      </c>
      <c r="E46" s="11">
        <f t="shared" si="0"/>
        <v>1051215.66433057</v>
      </c>
      <c r="F46" s="11">
        <f t="shared" si="2"/>
        <v>32057833.17245198</v>
      </c>
      <c r="G46" s="2"/>
    </row>
    <row r="47" spans="2:7" ht="27" customHeight="1" x14ac:dyDescent="0.25">
      <c r="B47" s="8">
        <v>39</v>
      </c>
      <c r="C47" s="9">
        <f>'DISTRIBUIÇÃO CUSTO'!D70</f>
        <v>2.6086874040882488E-2</v>
      </c>
      <c r="D47" s="10">
        <f t="shared" si="1"/>
        <v>0.88003885084498756</v>
      </c>
      <c r="E47" s="11">
        <f t="shared" si="0"/>
        <v>979315.79141390347</v>
      </c>
      <c r="F47" s="11">
        <f t="shared" si="2"/>
        <v>33037148.963865884</v>
      </c>
      <c r="G47" s="2"/>
    </row>
    <row r="48" spans="2:7" ht="27" customHeight="1" x14ac:dyDescent="0.25">
      <c r="B48" s="8">
        <v>40</v>
      </c>
      <c r="C48" s="9">
        <f>'DISTRIBUIÇÃO CUSTO'!D71</f>
        <v>2.6086874040882488E-2</v>
      </c>
      <c r="D48" s="10">
        <f t="shared" si="1"/>
        <v>0.90612572488587007</v>
      </c>
      <c r="E48" s="11">
        <f t="shared" si="0"/>
        <v>979315.79141390347</v>
      </c>
      <c r="F48" s="11">
        <f t="shared" si="2"/>
        <v>34016464.755279787</v>
      </c>
      <c r="G48" s="2"/>
    </row>
    <row r="49" spans="2:86" ht="27" customHeight="1" x14ac:dyDescent="0.25">
      <c r="B49" s="8">
        <v>41</v>
      </c>
      <c r="C49" s="9">
        <f>'DISTRIBUIÇÃO CUSTO'!D72</f>
        <v>2.2093897064242442E-2</v>
      </c>
      <c r="D49" s="10">
        <f t="shared" si="1"/>
        <v>0.92821962195011254</v>
      </c>
      <c r="E49" s="11">
        <f t="shared" si="0"/>
        <v>829417.21016390342</v>
      </c>
      <c r="F49" s="11">
        <f t="shared" si="2"/>
        <v>34845881.965443693</v>
      </c>
      <c r="G49" s="2"/>
    </row>
    <row r="50" spans="2:86" ht="27" customHeight="1" x14ac:dyDescent="0.25">
      <c r="B50" s="8">
        <v>42</v>
      </c>
      <c r="C50" s="9">
        <f>'DISTRIBUIÇÃO CUSTO'!D73</f>
        <v>1.8308631687175825E-2</v>
      </c>
      <c r="D50" s="10">
        <f t="shared" si="1"/>
        <v>0.94652825363728832</v>
      </c>
      <c r="E50" s="11">
        <f t="shared" si="0"/>
        <v>687316.2381331342</v>
      </c>
      <c r="F50" s="11">
        <f t="shared" si="2"/>
        <v>35533198.203576826</v>
      </c>
      <c r="G50" s="2"/>
    </row>
    <row r="51" spans="2:86" ht="27" customHeight="1" x14ac:dyDescent="0.25">
      <c r="B51" s="8">
        <v>43</v>
      </c>
      <c r="C51" s="9">
        <f>'DISTRIBUIÇÃO CUSTO'!D74</f>
        <v>1.8308631687175825E-2</v>
      </c>
      <c r="D51" s="10">
        <f t="shared" si="1"/>
        <v>0.9648368853244641</v>
      </c>
      <c r="E51" s="11">
        <f t="shared" si="0"/>
        <v>687316.2381331342</v>
      </c>
      <c r="F51" s="11">
        <f t="shared" si="2"/>
        <v>36220514.441709958</v>
      </c>
      <c r="G51" s="2"/>
    </row>
    <row r="52" spans="2:86" ht="27" customHeight="1" x14ac:dyDescent="0.25">
      <c r="B52" s="8">
        <v>44</v>
      </c>
      <c r="C52" s="9">
        <f>'DISTRIBUIÇÃO CUSTO'!D75</f>
        <v>1.8308631687175825E-2</v>
      </c>
      <c r="D52" s="10">
        <f t="shared" ref="D52:D53" si="3">C52+D51</f>
        <v>0.98314551701163988</v>
      </c>
      <c r="E52" s="11">
        <f t="shared" ref="E52:E53" si="4">C52*$F$55</f>
        <v>687316.2381331342</v>
      </c>
      <c r="F52" s="11">
        <f t="shared" ref="F52:F53" si="5">F51+E52</f>
        <v>36907830.67984309</v>
      </c>
      <c r="G52" s="2"/>
    </row>
    <row r="53" spans="2:86" ht="27" customHeight="1" x14ac:dyDescent="0.25">
      <c r="B53" s="8">
        <v>45</v>
      </c>
      <c r="C53" s="9">
        <f>'DISTRIBUIÇÃO CUSTO'!D76</f>
        <v>9.298650650754036E-3</v>
      </c>
      <c r="D53" s="10">
        <f t="shared" si="3"/>
        <v>0.99244416766239396</v>
      </c>
      <c r="E53" s="11">
        <f t="shared" si="4"/>
        <v>349076.52817480086</v>
      </c>
      <c r="F53" s="11">
        <f t="shared" si="5"/>
        <v>37256907.208017893</v>
      </c>
      <c r="G53" s="2"/>
    </row>
    <row r="54" spans="2:86" ht="28.5" customHeight="1" x14ac:dyDescent="0.25">
      <c r="B54" s="8">
        <v>46</v>
      </c>
      <c r="C54" s="9">
        <f>'DISTRIBUIÇÃO CUSTO'!D77</f>
        <v>7.5558323376063632E-3</v>
      </c>
      <c r="D54" s="10">
        <f t="shared" ref="D54" si="6">C54+D53</f>
        <v>1.0000000000000002</v>
      </c>
      <c r="E54" s="11">
        <f t="shared" ref="E54" si="7">C54*$F$55</f>
        <v>283650.1573127319</v>
      </c>
      <c r="F54" s="12">
        <f t="shared" ref="F54" si="8">F53+E54</f>
        <v>37540557.365330622</v>
      </c>
    </row>
    <row r="55" spans="2:86" ht="27" customHeight="1" x14ac:dyDescent="0.25">
      <c r="B55" s="13"/>
      <c r="C55" s="14"/>
      <c r="D55" s="15"/>
      <c r="E55" s="16" t="s">
        <v>45</v>
      </c>
      <c r="F55" s="12">
        <f>'DISTRIBUIÇÃO CUSTO'!C26</f>
        <v>37540557.365330629</v>
      </c>
    </row>
    <row r="56" spans="2:86" ht="15" customHeight="1" x14ac:dyDescent="0.25">
      <c r="B56" s="17"/>
    </row>
    <row r="57" spans="2:86" ht="15" customHeight="1" x14ac:dyDescent="0.25"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1"/>
      <c r="CG57" s="141"/>
      <c r="CH57" s="141"/>
    </row>
    <row r="58" spans="2:86" ht="9.9499999999999993" customHeight="1" x14ac:dyDescent="0.25">
      <c r="H58" s="18"/>
      <c r="I58" s="18"/>
    </row>
    <row r="59" spans="2:86" x14ac:dyDescent="0.25">
      <c r="H59" s="18"/>
    </row>
    <row r="62" spans="2:86" ht="65.45" customHeight="1" x14ac:dyDescent="0.25"/>
  </sheetData>
  <mergeCells count="3">
    <mergeCell ref="B2:CH4"/>
    <mergeCell ref="B5:CH5"/>
    <mergeCell ref="B57:CH57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DISTRIBUIÇÃO CUSTO</vt:lpstr>
      <vt:lpstr>CURVA TEÓRICA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Patricia Bragatto</cp:lastModifiedBy>
  <dcterms:created xsi:type="dcterms:W3CDTF">2023-09-12T11:23:37Z</dcterms:created>
  <dcterms:modified xsi:type="dcterms:W3CDTF">2024-08-05T10:37:21Z</dcterms:modified>
</cp:coreProperties>
</file>