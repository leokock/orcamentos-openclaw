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DOS" sheetId="1" state="visible" r:id="rId3"/>
    <sheet name="PRODUTO" sheetId="2" state="visible" r:id="rId4"/>
    <sheet name="ÍNDICES" sheetId="3" state="visible" r:id="rId5"/>
    <sheet name="PARAMÉTRICO" sheetId="4" state="visible" r:id="rId6"/>
    <sheet name="BENCHMARK" sheetId="5" state="visible" r:id="rId7"/>
    <sheet name="RESUM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<sst xmlns="http://schemas.openxmlformats.org/spreadsheetml/2006/main" count="593" uniqueCount="398">
  <si>
    <t xml:space="preserve">ORÇAMENTO PARAMÉTRICO — DADOS DE ENTRADA</t>
  </si>
  <si>
    <t xml:space="preserve">1. IDENTIFICAÇÃO DO PROJETO</t>
  </si>
  <si>
    <t xml:space="preserve">Nome do Projeto</t>
  </si>
  <si>
    <t xml:space="preserve">Maison Beach 2 Residence</t>
  </si>
  <si>
    <t xml:space="preserve">Construtora/Cliente</t>
  </si>
  <si>
    <t xml:space="preserve">Nobria Construtora LTDA</t>
  </si>
  <si>
    <t xml:space="preserve">Cidade</t>
  </si>
  <si>
    <t xml:space="preserve">Bombinhas</t>
  </si>
  <si>
    <t xml:space="preserve">Estado</t>
  </si>
  <si>
    <t xml:space="preserve">SC</t>
  </si>
  <si>
    <t xml:space="preserve">Data-base dos preços</t>
  </si>
  <si>
    <t xml:space="preserve">mês/ano</t>
  </si>
  <si>
    <t xml:space="preserve">Ex: mar/2026</t>
  </si>
  <si>
    <t xml:space="preserve">CUB Referência (R$/m²)</t>
  </si>
  <si>
    <t xml:space="preserve">R$/m²</t>
  </si>
  <si>
    <t xml:space="preserve">CUB-SC R8N do mês</t>
  </si>
  <si>
    <t xml:space="preserve">2. DADOS DO PROGRAMA (ÁREAS E QUANTIDADES)</t>
  </si>
  <si>
    <t xml:space="preserve">Variável</t>
  </si>
  <si>
    <t xml:space="preserve">Valor</t>
  </si>
  <si>
    <t xml:space="preserve">Unidade</t>
  </si>
  <si>
    <t xml:space="preserve">Observação</t>
  </si>
  <si>
    <t xml:space="preserve">Área do Terreno (AT)</t>
  </si>
  <si>
    <t xml:space="preserve">m²</t>
  </si>
  <si>
    <t xml:space="preserve">Extraído do PDF</t>
  </si>
  <si>
    <t xml:space="preserve">Área Construída Total (AC)</t>
  </si>
  <si>
    <t xml:space="preserve">Extraído do PDF — DRIVER PRINCIPAL</t>
  </si>
  <si>
    <t xml:space="preserve">Nº Total Pavimentos (NP)</t>
  </si>
  <si>
    <t xml:space="preserve">un</t>
  </si>
  <si>
    <t xml:space="preserve">Subsolo + Térreo + Mezanino + Lazer + 4 tipos + Cobertura + Barrilete</t>
  </si>
  <si>
    <t xml:space="preserve">Nº Pavimentos Tipo (NPT)</t>
  </si>
  <si>
    <t xml:space="preserve">4°, 5°, 6° (iguais) + 7° (diferenciado)</t>
  </si>
  <si>
    <t xml:space="preserve">Nº Pav. Tipo Diferenciados (NPD)</t>
  </si>
  <si>
    <t xml:space="preserve">7° pavimento com 8 apts</t>
  </si>
  <si>
    <t xml:space="preserve">Nº Pavimentos Duplex (ND)</t>
  </si>
  <si>
    <t xml:space="preserve">Unidades Residenciais (UR)</t>
  </si>
  <si>
    <t xml:space="preserve">16+16+16+8 = 56 apts</t>
  </si>
  <si>
    <t xml:space="preserve">Unidades Comerciais</t>
  </si>
  <si>
    <t xml:space="preserve">Térreo</t>
  </si>
  <si>
    <t xml:space="preserve">Churrasqueiras (CHU)</t>
  </si>
  <si>
    <t xml:space="preserve">Preencher se houver nas unidades</t>
  </si>
  <si>
    <t xml:space="preserve">Área de Lazer (AL)</t>
  </si>
  <si>
    <t xml:space="preserve">Preencher — 3° pav inteiro é lazer</t>
  </si>
  <si>
    <t xml:space="preserve">Área Projeção Torre (APT)</t>
  </si>
  <si>
    <t xml:space="preserve">Estimado: ~70.1m × 25.6m</t>
  </si>
  <si>
    <t xml:space="preserve">Perímetro Projeção Torre (PPT)</t>
  </si>
  <si>
    <t xml:space="preserve">m</t>
  </si>
  <si>
    <t xml:space="preserve">Estimado: 2×(70.1+25.6)</t>
  </si>
  <si>
    <t xml:space="preserve">Área Projeção Embasamento (APE)</t>
  </si>
  <si>
    <t xml:space="preserve">Estimado: ~69m × ~35m (ajustar)</t>
  </si>
  <si>
    <t xml:space="preserve">Perímetro Projeção Embasamento (PPE)</t>
  </si>
  <si>
    <t xml:space="preserve">Estimado (ajustar)</t>
  </si>
  <si>
    <t xml:space="preserve">Nº de Subsolos (NS)</t>
  </si>
  <si>
    <t xml:space="preserve">Subsolo garagem</t>
  </si>
  <si>
    <t xml:space="preserve">Área Subsolos (AS)</t>
  </si>
  <si>
    <t xml:space="preserve">Preencher</t>
  </si>
  <si>
    <t xml:space="preserve">Nº Pav. Embasamento (NPE)</t>
  </si>
  <si>
    <t xml:space="preserve">Subsolo + Térreo + Mezanino</t>
  </si>
  <si>
    <t xml:space="preserve">Área Embasamento (AE)</t>
  </si>
  <si>
    <t xml:space="preserve">Nº Elevadores</t>
  </si>
  <si>
    <t xml:space="preserve">Nº Vagas</t>
  </si>
  <si>
    <t xml:space="preserve">Locação da Obra (LC)</t>
  </si>
  <si>
    <t xml:space="preserve">Perímetro da escavação</t>
  </si>
  <si>
    <t xml:space="preserve">3. BRIEFING — PERGUNTAS DECISIVAS (❓ Maior impacto no resultado)</t>
  </si>
  <si>
    <t xml:space="preserve">Pergunta</t>
  </si>
  <si>
    <t xml:space="preserve">Resposta</t>
  </si>
  <si>
    <t xml:space="preserve">Impacto</t>
  </si>
  <si>
    <t xml:space="preserve">Afeta qual Macrogrupo</t>
  </si>
  <si>
    <t xml:space="preserve">Tipo de Laje</t>
  </si>
  <si>
    <t xml:space="preserve">Cubetas</t>
  </si>
  <si>
    <t xml:space="preserve">~15% supraestrutura</t>
  </si>
  <si>
    <t xml:space="preserve">Cubetas | Protendida | Maciça | Cub.Protendida | Treliçada</t>
  </si>
  <si>
    <t xml:space="preserve">→ Supraestrutura (R$/m²)</t>
  </si>
  <si>
    <t xml:space="preserve">Padrão de Acabamento</t>
  </si>
  <si>
    <t xml:space="preserve">Standard</t>
  </si>
  <si>
    <t xml:space="preserve">30-40% esquadrias</t>
  </si>
  <si>
    <t xml:space="preserve">Standard | Alto Padrão | Super Alto Padrão</t>
  </si>
  <si>
    <t xml:space="preserve">→ Esquadrias, Rev.Int, Pisos, Teto, Pintura, Louças</t>
  </si>
  <si>
    <t xml:space="preserve">Tem Contenção?</t>
  </si>
  <si>
    <t xml:space="preserve">Não</t>
  </si>
  <si>
    <t xml:space="preserve">5-8% do total</t>
  </si>
  <si>
    <t xml:space="preserve">Sim | Não</t>
  </si>
  <si>
    <t xml:space="preserve">→ Infraestrutura (+/-40 R$/m²)</t>
  </si>
  <si>
    <t xml:space="preserve">Tipo Contenção (se sim)</t>
  </si>
  <si>
    <t xml:space="preserve">Cortina estacas, muro arrimo, etc.</t>
  </si>
  <si>
    <t xml:space="preserve">Extensão Contenção (m)</t>
  </si>
  <si>
    <t xml:space="preserve">Metros lineares</t>
  </si>
  <si>
    <t xml:space="preserve">Vedação Interna</t>
  </si>
  <si>
    <t xml:space="preserve">Alvenaria</t>
  </si>
  <si>
    <t xml:space="preserve">Drywall = 3x custo</t>
  </si>
  <si>
    <t xml:space="preserve">Alvenaria | Drywall | Misto</t>
  </si>
  <si>
    <t xml:space="preserve">→ Alvenaria (Drywall=3x)</t>
  </si>
  <si>
    <t xml:space="preserve">MO Fachada</t>
  </si>
  <si>
    <t xml:space="preserve">Empreitada</t>
  </si>
  <si>
    <t xml:space="preserve">+50-60 R$/m²</t>
  </si>
  <si>
    <t xml:space="preserve">Empreitada | Equipe Própria</t>
  </si>
  <si>
    <t xml:space="preserve">→ Fachada (-30% equipe própria)</t>
  </si>
  <si>
    <t xml:space="preserve">Cobertura Habitável?</t>
  </si>
  <si>
    <t xml:space="preserve">5-10x cobertura simples</t>
  </si>
  <si>
    <t xml:space="preserve">→ Complementares (+50 R$/m²)</t>
  </si>
  <si>
    <t xml:space="preserve">Descrição Cobertura (se sim)</t>
  </si>
  <si>
    <t xml:space="preserve">Pergolados, deck, piscina, etc.</t>
  </si>
  <si>
    <t xml:space="preserve">Nível de Lazer</t>
  </si>
  <si>
    <t xml:space="preserve">Completo</t>
  </si>
  <si>
    <t xml:space="preserve">800-2500 R$/m² AL</t>
  </si>
  <si>
    <t xml:space="preserve">Básico | Completo | Premium</t>
  </si>
  <si>
    <t xml:space="preserve">→ Complementares (Lazer)</t>
  </si>
  <si>
    <t xml:space="preserve">Prazo de Obra (meses)</t>
  </si>
  <si>
    <t xml:space="preserve">~50-80k/mês CI</t>
  </si>
  <si>
    <t xml:space="preserve">Meses totais previstos</t>
  </si>
  <si>
    <t xml:space="preserve">Pele de Vidro na Fachada?</t>
  </si>
  <si>
    <t xml:space="preserve">Alto impacto esquadrias</t>
  </si>
  <si>
    <t xml:space="preserve">→ Esquadrias (+120 R$/m²)</t>
  </si>
  <si>
    <t xml:space="preserve">Brises/Elementos Especiais?</t>
  </si>
  <si>
    <t xml:space="preserve">Sim</t>
  </si>
  <si>
    <t xml:space="preserve">→ Fachada (+25 R$/m²)</t>
  </si>
  <si>
    <t xml:space="preserve">Tipo Esquadria</t>
  </si>
  <si>
    <t xml:space="preserve">Alumínio Anodizado</t>
  </si>
  <si>
    <t xml:space="preserve">Alumínio anodizado | Pintura eletrostática | PVC</t>
  </si>
  <si>
    <t xml:space="preserve">Fachada Especial?</t>
  </si>
  <si>
    <t xml:space="preserve">Convencional</t>
  </si>
  <si>
    <t xml:space="preserve">Tipo: ACM, cerâmica, pedra, neoclássica</t>
  </si>
  <si>
    <t xml:space="preserve">Gerador?</t>
  </si>
  <si>
    <t xml:space="preserve">Subestação?</t>
  </si>
  <si>
    <t xml:space="preserve">Placas Fotovoltaicas?</t>
  </si>
  <si>
    <t xml:space="preserve">Sim | Não — Área m²</t>
  </si>
  <si>
    <t xml:space="preserve">Infra Carro Elétrico?</t>
  </si>
  <si>
    <t xml:space="preserve">Sim | Não — Nº pontos</t>
  </si>
  <si>
    <t xml:space="preserve">Pressurização Escada?</t>
  </si>
  <si>
    <t xml:space="preserve">ÍNDICES DE PRODUTO IMOBILIÁRIO — MAISON BEACH 2</t>
  </si>
  <si>
    <t xml:space="preserve">1. EFICIÊNCIA DO TERRENO</t>
  </si>
  <si>
    <t xml:space="preserve">Índice</t>
  </si>
  <si>
    <t xml:space="preserve">Fórmula</t>
  </si>
  <si>
    <t xml:space="preserve">Mín (Base)</t>
  </si>
  <si>
    <t xml:space="preserve">Mediana</t>
  </si>
  <si>
    <t xml:space="preserve">Máx (Base)</t>
  </si>
  <si>
    <t xml:space="preserve">Posição</t>
  </si>
  <si>
    <t xml:space="preserve">Coeficiente de Aproveitamento (CA)</t>
  </si>
  <si>
    <t xml:space="preserve">×</t>
  </si>
  <si>
    <t xml:space="preserve">AC / AT</t>
  </si>
  <si>
    <t xml:space="preserve">Área Construída por Unidade (AC/UR)</t>
  </si>
  <si>
    <t xml:space="preserve">m²/un</t>
  </si>
  <si>
    <t xml:space="preserve">AC / UR</t>
  </si>
  <si>
    <t xml:space="preserve">Unidades por Terreno (UR/AT)</t>
  </si>
  <si>
    <t xml:space="preserve">un/m²</t>
  </si>
  <si>
    <t xml:space="preserve">UR / AT</t>
  </si>
  <si>
    <t xml:space="preserve">Área Projeção / Terreno</t>
  </si>
  <si>
    <t xml:space="preserve">APT / AT</t>
  </si>
  <si>
    <t xml:space="preserve">2. INFRAESTRUTURA DE APOIO</t>
  </si>
  <si>
    <t xml:space="preserve">Vagas por Unidade (VAG/UR)</t>
  </si>
  <si>
    <t xml:space="preserve">vag/un</t>
  </si>
  <si>
    <t xml:space="preserve">VAG / UR</t>
  </si>
  <si>
    <t xml:space="preserve">UR por Elevador</t>
  </si>
  <si>
    <t xml:space="preserve">un/elev</t>
  </si>
  <si>
    <t xml:space="preserve">UR / ELEV</t>
  </si>
  <si>
    <t xml:space="preserve">Elevadores por Pavimento</t>
  </si>
  <si>
    <t xml:space="preserve">elev/pav</t>
  </si>
  <si>
    <t xml:space="preserve">ELEV / NP</t>
  </si>
  <si>
    <t xml:space="preserve">Pavimentos Tipo / Total</t>
  </si>
  <si>
    <t xml:space="preserve">NPT / NP</t>
  </si>
  <si>
    <t xml:space="preserve">UR por Pavimento Tipo</t>
  </si>
  <si>
    <t xml:space="preserve">un/pav</t>
  </si>
  <si>
    <t xml:space="preserve">UR / NPT</t>
  </si>
  <si>
    <t xml:space="preserve">3. DENSIDADE E VERTICALIZAÇÃO</t>
  </si>
  <si>
    <t xml:space="preserve">Nº Total Pavimentos</t>
  </si>
  <si>
    <t xml:space="preserve">pav</t>
  </si>
  <si>
    <t xml:space="preserve">NP</t>
  </si>
  <si>
    <t xml:space="preserve">Nº Pavimentos Tipo</t>
  </si>
  <si>
    <t xml:space="preserve">NPT</t>
  </si>
  <si>
    <t xml:space="preserve">Nº Subsolos</t>
  </si>
  <si>
    <t xml:space="preserve">NS</t>
  </si>
  <si>
    <t xml:space="preserve">Nº Pav. Embasamento</t>
  </si>
  <si>
    <t xml:space="preserve">NPE</t>
  </si>
  <si>
    <t xml:space="preserve">AC por Pavimento</t>
  </si>
  <si>
    <t xml:space="preserve">m²/pav</t>
  </si>
  <si>
    <t xml:space="preserve">AC / NP</t>
  </si>
  <si>
    <t xml:space="preserve">Taxa de Ocupação (estimada)</t>
  </si>
  <si>
    <t xml:space="preserve">4. CUSTO POR UNIDADE</t>
  </si>
  <si>
    <t xml:space="preserve">R$/m² AC (total)</t>
  </si>
  <si>
    <t xml:space="preserve">Total / AC</t>
  </si>
  <si>
    <t xml:space="preserve">R$ Total por Unidade (R$/UR)</t>
  </si>
  <si>
    <t xml:space="preserve">R$/un</t>
  </si>
  <si>
    <t xml:space="preserve">Total / UR</t>
  </si>
  <si>
    <t xml:space="preserve">CUB Ratio</t>
  </si>
  <si>
    <t xml:space="preserve">×CUB</t>
  </si>
  <si>
    <t xml:space="preserve">R$/m² / CUB</t>
  </si>
  <si>
    <t xml:space="preserve">5. BENCHMARK — PROJETOS COMPARÁVEIS (SC, 7.000-16.000 m², Alto Padrão)</t>
  </si>
  <si>
    <t xml:space="preserve">Projeto</t>
  </si>
  <si>
    <t xml:space="preserve">AC (m²)</t>
  </si>
  <si>
    <t xml:space="preserve">UR</t>
  </si>
  <si>
    <t xml:space="preserve">AC/UR</t>
  </si>
  <si>
    <t xml:space="preserve">Maison Beach 2</t>
  </si>
  <si>
    <t xml:space="preserve">Kirchner West Village</t>
  </si>
  <si>
    <t xml:space="preserve">Itapema</t>
  </si>
  <si>
    <t xml:space="preserve">Meia Praia 298</t>
  </si>
  <si>
    <t xml:space="preserve">Meia Praia Eternity</t>
  </si>
  <si>
    <t xml:space="preserve">Lorenzo Gabriel</t>
  </si>
  <si>
    <t xml:space="preserve">Amalfi Maiori</t>
  </si>
  <si>
    <t xml:space="preserve">Itajaí</t>
  </si>
  <si>
    <t xml:space="preserve">Be Brave Meraki</t>
  </si>
  <si>
    <t xml:space="preserve">Catena</t>
  </si>
  <si>
    <t xml:space="preserve">Ferrazzo Perequê</t>
  </si>
  <si>
    <t xml:space="preserve">Porto Belo</t>
  </si>
  <si>
    <t xml:space="preserve">D'Lohn Estreito</t>
  </si>
  <si>
    <t xml:space="preserve">Florianópolis</t>
  </si>
  <si>
    <t xml:space="preserve">6. MIX DE TIPOLOGIAS</t>
  </si>
  <si>
    <t xml:space="preserve">Pavimento / Tipologia</t>
  </si>
  <si>
    <t xml:space="preserve">Qtd Unidades</t>
  </si>
  <si>
    <t xml:space="preserve">% do Total</t>
  </si>
  <si>
    <t xml:space="preserve">Área por Pav (m²)</t>
  </si>
  <si>
    <t xml:space="preserve">4° Pavimento (Tipo)</t>
  </si>
  <si>
    <t xml:space="preserve">16 apts por andar (tipo)</t>
  </si>
  <si>
    <t xml:space="preserve">5° Pavimento (Tipo)</t>
  </si>
  <si>
    <t xml:space="preserve">Idêntico ao 4°</t>
  </si>
  <si>
    <t xml:space="preserve">6° Pavimento (Tipo)</t>
  </si>
  <si>
    <t xml:space="preserve">7° Pavimento (Diferenciado)</t>
  </si>
  <si>
    <t xml:space="preserve">8 apts maiores</t>
  </si>
  <si>
    <t xml:space="preserve">Comercial (Térreo)</t>
  </si>
  <si>
    <t xml:space="preserve">Lojas no térreo</t>
  </si>
  <si>
    <t xml:space="preserve">TOTAL</t>
  </si>
  <si>
    <t xml:space="preserve">7. DISTRIBUIÇÃO DE ÁREAS POR PAVIMENTO</t>
  </si>
  <si>
    <t xml:space="preserve">Pavimento</t>
  </si>
  <si>
    <t xml:space="preserve">Área (m²)</t>
  </si>
  <si>
    <t xml:space="preserve">% da AC</t>
  </si>
  <si>
    <t xml:space="preserve">Função</t>
  </si>
  <si>
    <t xml:space="preserve">Subsolo</t>
  </si>
  <si>
    <t xml:space="preserve">Garagem</t>
  </si>
  <si>
    <t xml:space="preserve">Acesso + Comércio + Hall</t>
  </si>
  <si>
    <t xml:space="preserve">Mezanino</t>
  </si>
  <si>
    <t xml:space="preserve">Garagem coberta</t>
  </si>
  <si>
    <t xml:space="preserve">3° Pavimento (Lazer)</t>
  </si>
  <si>
    <t xml:space="preserve">Área de lazer completa</t>
  </si>
  <si>
    <t xml:space="preserve">16 apartamentos</t>
  </si>
  <si>
    <t xml:space="preserve">8 apartamentos</t>
  </si>
  <si>
    <t xml:space="preserve">Cobertura / Barrilete</t>
  </si>
  <si>
    <t xml:space="preserve">Reservatório + Barrilete</t>
  </si>
  <si>
    <t xml:space="preserve">NOTAS</t>
  </si>
  <si>
    <t xml:space="preserve">• Benchmarks baseados em 25+ projetos da base paramétrica Cartesian (SC, 2022-2026)</t>
  </si>
  <si>
    <t xml:space="preserve">• Valores Mín/Mediana/Máx consideram apenas projetos padrão Alto e Super Alto</t>
  </si>
  <si>
    <t xml:space="preserve">• AC/UR do Maison Beach 2 (230 m²/un) está próximo à mediana (198 m²/un) — projeto equilibrado</t>
  </si>
  <si>
    <t xml:space="preserve">• UR/NPT alto (14 un/pav) indica pavimentos tipo densos — muitas unidades compactas por andar</t>
  </si>
  <si>
    <t xml:space="preserve">• Índices calculam automaticamente a partir dos dados preenchidos na aba DADOS</t>
  </si>
  <si>
    <t xml:space="preserve">ÍNDICES PARAMÉTRICOS POR TIPO DE LAJE</t>
  </si>
  <si>
    <t xml:space="preserve">Parâmetro</t>
  </si>
  <si>
    <t xml:space="preserve">Maciça</t>
  </si>
  <si>
    <t xml:space="preserve">Cub.Protend.</t>
  </si>
  <si>
    <t xml:space="preserve">Treliçada</t>
  </si>
  <si>
    <t xml:space="preserve">Protendida</t>
  </si>
  <si>
    <t xml:space="preserve">Jogos de Fôrma</t>
  </si>
  <si>
    <t xml:space="preserve">jogos</t>
  </si>
  <si>
    <t xml:space="preserve">Montagem Fôrma (m²/AC)</t>
  </si>
  <si>
    <t xml:space="preserve">m²/m²AC</t>
  </si>
  <si>
    <t xml:space="preserve">Concreto (m³/AC)</t>
  </si>
  <si>
    <t xml:space="preserve">m³/m²AC</t>
  </si>
  <si>
    <t xml:space="preserve">Armadura (kg/m³)</t>
  </si>
  <si>
    <t xml:space="preserve">kg/m³</t>
  </si>
  <si>
    <t xml:space="preserve">MO Estrutura (R$/AC)</t>
  </si>
  <si>
    <t xml:space="preserve">R$/m²AC</t>
  </si>
  <si>
    <t xml:space="preserve">Supraestrutura R$/m² AC</t>
  </si>
  <si>
    <t xml:space="preserve">ÍNDICES GERAIS (independentes do tipo de laje)</t>
  </si>
  <si>
    <t xml:space="preserve">Serviço</t>
  </si>
  <si>
    <t xml:space="preserve">Base</t>
  </si>
  <si>
    <t xml:space="preserve">Obs</t>
  </si>
  <si>
    <t xml:space="preserve">Nº Estacas (fundação)</t>
  </si>
  <si>
    <t xml:space="preserve">APE</t>
  </si>
  <si>
    <t xml:space="preserve">Nº Estacas (cortina)</t>
  </si>
  <si>
    <t xml:space="preserve">Forma Blocos/Baldrames</t>
  </si>
  <si>
    <t xml:space="preserve">m²/m²</t>
  </si>
  <si>
    <t xml:space="preserve">Concreto Blocos/Baldrames</t>
  </si>
  <si>
    <t xml:space="preserve">m³/m²</t>
  </si>
  <si>
    <t xml:space="preserve">Armação Blocos/Baldrames</t>
  </si>
  <si>
    <t xml:space="preserve">Vol.concreto</t>
  </si>
  <si>
    <t xml:space="preserve">Forma Parede Contenção</t>
  </si>
  <si>
    <t xml:space="preserve">Concreto Parede Contenção</t>
  </si>
  <si>
    <t xml:space="preserve">Lastro Concreto Magro</t>
  </si>
  <si>
    <t xml:space="preserve">Escavação Valas</t>
  </si>
  <si>
    <t xml:space="preserve">m³/m³</t>
  </si>
  <si>
    <t xml:space="preserve">Vol.infra</t>
  </si>
  <si>
    <t xml:space="preserve">Alvenaria Externa</t>
  </si>
  <si>
    <t xml:space="preserve">AC</t>
  </si>
  <si>
    <t xml:space="preserve">Alvenaria Interna</t>
  </si>
  <si>
    <t xml:space="preserve">Contrapiso</t>
  </si>
  <si>
    <t xml:space="preserve">Manta Acústica</t>
  </si>
  <si>
    <t xml:space="preserve">× contrapiso</t>
  </si>
  <si>
    <t xml:space="preserve">Forro Total</t>
  </si>
  <si>
    <t xml:space="preserve">Estucamento</t>
  </si>
  <si>
    <t xml:space="preserve">Esquadrias Alumínio</t>
  </si>
  <si>
    <t xml:space="preserve">PCF</t>
  </si>
  <si>
    <t xml:space="preserve">un/NP</t>
  </si>
  <si>
    <t xml:space="preserve">Corrimão</t>
  </si>
  <si>
    <t xml:space="preserve">m/NP</t>
  </si>
  <si>
    <t xml:space="preserve">Elétrica</t>
  </si>
  <si>
    <t xml:space="preserve">Hidrossanitária</t>
  </si>
  <si>
    <t xml:space="preserve">Preventivas + GLP</t>
  </si>
  <si>
    <t xml:space="preserve">VERBAS PARAMÉTRICAS (R$/m² AC)</t>
  </si>
  <si>
    <t xml:space="preserve">Pintura Interna Geral</t>
  </si>
  <si>
    <t xml:space="preserve">Rev. Parede (acabamento)</t>
  </si>
  <si>
    <t xml:space="preserve">Rodapés</t>
  </si>
  <si>
    <t xml:space="preserve">Textura Escadas</t>
  </si>
  <si>
    <t xml:space="preserve">Soleiras e Peitoris</t>
  </si>
  <si>
    <t xml:space="preserve">Limpeza</t>
  </si>
  <si>
    <t xml:space="preserve">Paisagismo</t>
  </si>
  <si>
    <t xml:space="preserve">Comunicação Visual</t>
  </si>
  <si>
    <t xml:space="preserve">Serralheria</t>
  </si>
  <si>
    <t xml:space="preserve">Desmobilização</t>
  </si>
  <si>
    <t xml:space="preserve">Ligações Definitivas</t>
  </si>
  <si>
    <t xml:space="preserve">FATORES DE CUSTO</t>
  </si>
  <si>
    <t xml:space="preserve">BDI</t>
  </si>
  <si>
    <t xml:space="preserve">Universal — todos os itens</t>
  </si>
  <si>
    <t xml:space="preserve">Perda Concreto (estacas)</t>
  </si>
  <si>
    <t xml:space="preserve">Fundação profunda</t>
  </si>
  <si>
    <t xml:space="preserve">Perda Concreto (fund. rasa)</t>
  </si>
  <si>
    <t xml:space="preserve">Blocos e baldrames</t>
  </si>
  <si>
    <t xml:space="preserve">Perda Concreto (supra)</t>
  </si>
  <si>
    <t xml:space="preserve">Todas variantes de laje</t>
  </si>
  <si>
    <t xml:space="preserve">Empolamento Terra</t>
  </si>
  <si>
    <t xml:space="preserve">Bota-fora</t>
  </si>
  <si>
    <t xml:space="preserve">Fator Dificuldade MO</t>
  </si>
  <si>
    <t xml:space="preserve">Contenção e infra vs supra</t>
  </si>
  <si>
    <t xml:space="preserve">AJUSTES POR PADRÃO DE ACABAMENTO (R$/m² AC)</t>
  </si>
  <si>
    <t xml:space="preserve">Macrogrupo</t>
  </si>
  <si>
    <t xml:space="preserve">Alto Padrão</t>
  </si>
  <si>
    <t xml:space="preserve">Super Alto Padrão</t>
  </si>
  <si>
    <t xml:space="preserve">Esquadrias</t>
  </si>
  <si>
    <t xml:space="preserve">Rev. Internos Parede</t>
  </si>
  <si>
    <t xml:space="preserve">Pisos e Pavimentações</t>
  </si>
  <si>
    <t xml:space="preserve">Louças e Metais</t>
  </si>
  <si>
    <t xml:space="preserve">Teto</t>
  </si>
  <si>
    <t xml:space="preserve">Pintura</t>
  </si>
  <si>
    <t xml:space="preserve">MULTIPLICADOR TIPO ESQUADRIA</t>
  </si>
  <si>
    <t xml:space="preserve">Pintura Eletrostática</t>
  </si>
  <si>
    <t xml:space="preserve">PVC</t>
  </si>
  <si>
    <t xml:space="preserve">MULTIPLICADOR ESTILO FACHADA</t>
  </si>
  <si>
    <t xml:space="preserve">Neoclássica</t>
  </si>
  <si>
    <t xml:space="preserve">Moderna</t>
  </si>
  <si>
    <t xml:space="preserve">Minimalista</t>
  </si>
  <si>
    <t xml:space="preserve">ORÇAMENTO PARAMÉTRICO — CÁLCULO</t>
  </si>
  <si>
    <t xml:space="preserve">AC:</t>
  </si>
  <si>
    <t xml:space="preserve">BDI:</t>
  </si>
  <si>
    <t xml:space="preserve">#</t>
  </si>
  <si>
    <t xml:space="preserve">R$/m² AC</t>
  </si>
  <si>
    <t xml:space="preserve">Valor Total (R$)</t>
  </si>
  <si>
    <t xml:space="preserve">Benchmark Médio</t>
  </si>
  <si>
    <t xml:space="preserve">Status</t>
  </si>
  <si>
    <t xml:space="preserve">Fonte</t>
  </si>
  <si>
    <t xml:space="preserve">Gerenciamento Técnico/Admin</t>
  </si>
  <si>
    <t xml:space="preserve">Manual</t>
  </si>
  <si>
    <t xml:space="preserve">Movimentação de Terra</t>
  </si>
  <si>
    <t xml:space="preserve">Infraestrutura</t>
  </si>
  <si>
    <t xml:space="preserve">← Contenção (DADOS!B39)</t>
  </si>
  <si>
    <t xml:space="preserve">Supraestrutura</t>
  </si>
  <si>
    <t xml:space="preserve">← Tipo Laje (DADOS!B37)</t>
  </si>
  <si>
    <t xml:space="preserve">← Vedação (DADOS!B42)</t>
  </si>
  <si>
    <t xml:space="preserve">Impermeabilização</t>
  </si>
  <si>
    <t xml:space="preserve">Instalações</t>
  </si>
  <si>
    <t xml:space="preserve">Sistemas Especiais</t>
  </si>
  <si>
    <t xml:space="preserve">Climatização</t>
  </si>
  <si>
    <t xml:space="preserve">← Acabamento (DADOS!B38)</t>
  </si>
  <si>
    <t xml:space="preserve">← Acabamento + Pele Vidro</t>
  </si>
  <si>
    <t xml:space="preserve">Fachada</t>
  </si>
  <si>
    <t xml:space="preserve">← MO Fachada + Brises</t>
  </si>
  <si>
    <t xml:space="preserve">Complementares</t>
  </si>
  <si>
    <t xml:space="preserve">← Lazer + Cobertura</t>
  </si>
  <si>
    <t xml:space="preserve">Imprevistos</t>
  </si>
  <si>
    <t xml:space="preserve">TOTAL GERAL</t>
  </si>
  <si>
    <t xml:space="preserve">INDICADORES</t>
  </si>
  <si>
    <t xml:space="preserve">R$/m² AC Total</t>
  </si>
  <si>
    <t xml:space="preserve">Custo Total (R$)</t>
  </si>
  <si>
    <t xml:space="preserve">CUBs Equivalentes</t>
  </si>
  <si>
    <t xml:space="preserve">R$/UR</t>
  </si>
  <si>
    <t xml:space="preserve">AC/UR (m²/un)</t>
  </si>
  <si>
    <t xml:space="preserve">BENCHMARK — FAIXAS DE REFERÊNCIA (R$/m² AC)</t>
  </si>
  <si>
    <t xml:space="preserve">Base: 6 projetos similares (7.000-12.900 m² AC) — Cartesian Engenharia</t>
  </si>
  <si>
    <t xml:space="preserve">Mín</t>
  </si>
  <si>
    <t xml:space="preserve">Máx</t>
  </si>
  <si>
    <t xml:space="preserve">Seu Projeto</t>
  </si>
  <si>
    <t xml:space="preserve">PROJETOS DE REFERÊNCIA</t>
  </si>
  <si>
    <t xml:space="preserve">CUBs</t>
  </si>
  <si>
    <t xml:space="preserve">Localização</t>
  </si>
  <si>
    <t xml:space="preserve">Amalfi San Felice</t>
  </si>
  <si>
    <t xml:space="preserve">Itajaí/SC</t>
  </si>
  <si>
    <t xml:space="preserve">Adore Level UP</t>
  </si>
  <si>
    <t xml:space="preserve">2cinco4 Edition</t>
  </si>
  <si>
    <t xml:space="preserve">BD Jardim Campeche</t>
  </si>
  <si>
    <t xml:space="preserve">Florianópolis/SC</t>
  </si>
  <si>
    <t xml:space="preserve">RESUMO EXECUTIVO</t>
  </si>
  <si>
    <t xml:space="preserve">Área Construída (m²)</t>
  </si>
  <si>
    <t xml:space="preserve">Unidades Residenciais</t>
  </si>
  <si>
    <t xml:space="preserve">RESULTADO</t>
  </si>
  <si>
    <t xml:space="preserve">Custo por Unidade (R$/UR)</t>
  </si>
  <si>
    <t xml:space="preserve">COMPOSIÇÃO DO CUSTO (TOP 5 MACROGRUPOS)</t>
  </si>
  <si>
    <t xml:space="preserve">Valor (R$)</t>
  </si>
  <si>
    <t xml:space="preserve">Gerenciamento</t>
  </si>
  <si>
    <t xml:space="preserve">• Valores em R$/m² AC incluem BDI de 10%</t>
  </si>
  <si>
    <t xml:space="preserve">• Benchmark baseado em 6 projetos similares (7.000-12.900 m² AC) em SC</t>
  </si>
  <si>
    <t xml:space="preserve">• Para ajustar: altere os R$/m² na aba PARAMÉTRICO (células azuis)</t>
  </si>
  <si>
    <t xml:space="preserve">• Perguntas do briefing (aba DADOS) impactam diretamente nos índices</t>
  </si>
  <si>
    <t xml:space="preserve">• Fórmula universal: Valor = R$/m² × AC × BDI</t>
  </si>
  <si>
    <t xml:space="preserve">• Status ⚠ indica valor &gt;15% acima do benchmark; ↓ indica &gt;15% abaixo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</si>
</sst>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#,##0"/>
    <numFmt numFmtId="167" formatCode="&quot;R$ &quot;#,##0"/>
    <numFmt numFmtId="168" formatCode="#,##0.0"/>
    <numFmt numFmtId="169" formatCode="0.0%"/>
    <numFmt numFmtId="170" formatCode="0"/>
    <numFmt numFmtId="171" formatCode="0.00"/>
    <numFmt numFmtId="172" formatCode="#,##0.00&quot; m²&quot;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9"/>
      <color rgb="FF808080"/>
      <name val="Arial"/>
      <family val="2"/>
      <charset val="1"/>
    </font>
    <font>
      <i val="true"/>
      <sz val="9"/>
      <color rgb="FF80808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9"/>
      <name val="Cambria"/>
      <family val="1"/>
      <charset val="1"/>
    </font>
    <font>
      <b val="true"/>
      <sz val="11"/>
      <color rgb="FF0000FF"/>
      <name val="Arial"/>
      <family val="2"/>
      <charset val="1"/>
    </font>
    <font>
      <sz val="9"/>
      <color rgb="FFC00000"/>
      <name val="Arial"/>
      <family val="2"/>
      <charset val="1"/>
    </font>
    <font>
      <i val="true"/>
      <sz val="9"/>
      <color rgb="FF006600"/>
      <name val="Cambria"/>
      <family val="1"/>
      <charset val="1"/>
    </font>
    <font>
      <sz val="11"/>
      <color rgb="FF003366"/>
      <name val="Calibri"/>
      <family val="2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333333"/>
      <name val="Calibri"/>
      <family val="0"/>
      <charset val="1"/>
    </font>
    <font>
      <b val="true"/>
      <sz val="10"/>
      <color rgb="FF003366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1"/>
      <name val="Cambria"/>
      <family val="1"/>
      <charset val="1"/>
    </font>
    <font>
      <sz val="9"/>
      <name val="Arial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sz val="10"/>
      <color rgb="FF003366"/>
      <name val="Calibri"/>
      <family val="2"/>
      <charset val="1"/>
    </font>
    <font>
      <b val="true"/>
      <sz val="9"/>
      <name val="Arial"/>
      <family val="2"/>
      <charset val="1"/>
    </font>
    <font>
      <sz val="11"/>
      <color rgb="FF008000"/>
      <name val="Arial"/>
      <family val="2"/>
      <charset val="1"/>
    </font>
    <font>
      <i val="true"/>
      <sz val="9"/>
      <color rgb="FF888888"/>
      <name val="Cambria"/>
      <family val="1"/>
      <charset val="1"/>
    </font>
    <font>
      <b val="true"/>
      <sz val="11"/>
      <color rgb="FF006600"/>
      <name val="Cambria"/>
      <family val="1"/>
      <charset val="1"/>
    </font>
    <font>
      <b val="true"/>
      <sz val="9"/>
      <color rgb="FF808080"/>
      <name val="Arial"/>
      <family val="2"/>
      <charset val="1"/>
    </font>
    <font>
      <i val="true"/>
      <sz val="9"/>
      <name val="Arial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D6E4F0"/>
        <bgColor rgb="FFDAEEF3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FCE4EC"/>
        <bgColor rgb="FFF2F2F2"/>
      </patternFill>
    </fill>
    <fill>
      <patternFill patternType="solid">
        <fgColor rgb="FFDAEEF3"/>
        <bgColor rgb="FFD6E4F0"/>
      </patternFill>
    </fill>
    <fill>
      <patternFill patternType="solid">
        <fgColor rgb="FF1F4E79"/>
        <bgColor rgb="FF2F5496"/>
      </patternFill>
    </fill>
    <fill>
      <patternFill patternType="solid">
        <fgColor rgb="FF2E75B6"/>
        <bgColor rgb="FF4472C4"/>
      </patternFill>
    </fill>
    <fill>
      <patternFill patternType="solid">
        <fgColor rgb="FFE8F5E9"/>
        <bgColor rgb="FFF2F2F2"/>
      </patternFill>
    </fill>
    <fill>
      <patternFill patternType="solid">
        <fgColor rgb="FF008000"/>
        <bgColor rgb="FF006600"/>
      </patternFill>
    </fill>
    <fill>
      <patternFill patternType="solid">
        <fgColor rgb="FFE2EFDA"/>
        <bgColor rgb="FFE8F5E9"/>
      </patternFill>
    </fill>
    <fill>
      <patternFill patternType="solid">
        <fgColor rgb="FFC00000"/>
        <bgColor rgb="FF800000"/>
      </patternFill>
    </fill>
    <fill>
      <patternFill patternType="solid">
        <fgColor rgb="FFE8F0FE"/>
        <bgColor rgb="FFF2F2F2"/>
      </patternFill>
    </fill>
    <fill>
      <patternFill patternType="solid">
        <fgColor rgb="FFF2F2F2"/>
        <bgColor rgb="FFE8F5E9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79"/>
      <rgbColor rgb="FFE8F0FE"/>
      <rgbColor rgb="FF808080"/>
      <rgbColor rgb="FF9999FF"/>
      <rgbColor rgb="FF7030A0"/>
      <rgbColor rgb="FFFFF2CC"/>
      <rgbColor rgb="FFDAEEF3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2F2F2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ED7D31"/>
      <rgbColor rgb="FF666666"/>
      <rgbColor rgb="FF888888"/>
      <rgbColor rgb="FF003366"/>
      <rgbColor rgb="FF339966"/>
      <rgbColor rgb="FF0066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pane xSplit="0" ySplit="2" topLeftCell="A21" activePane="bottomLeft" state="frozen"/>
      <selection pane="topLeft" activeCell="A1" activeCellId="0" sqref="A1"/>
      <selection pane="bottomLeft" activeCell="B51" activeCellId="0" sqref="B5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17.2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true" outlineLevel="0" collapsed="false">
      <c r="A3" s="2" t="s">
        <v>1</v>
      </c>
      <c r="B3" s="2"/>
      <c r="C3" s="2"/>
      <c r="D3" s="2"/>
    </row>
    <row r="4" customFormat="false" ht="15" hidden="false" customHeight="true" outlineLevel="0" collapsed="false">
      <c r="A4" s="3" t="s">
        <v>2</v>
      </c>
      <c r="B4" s="4" t="s">
        <v>3</v>
      </c>
      <c r="C4" s="5"/>
      <c r="D4" s="6"/>
    </row>
    <row r="5" customFormat="false" ht="15" hidden="false" customHeight="true" outlineLevel="0" collapsed="false">
      <c r="A5" s="3" t="s">
        <v>4</v>
      </c>
      <c r="B5" s="4" t="s">
        <v>5</v>
      </c>
      <c r="C5" s="5"/>
      <c r="D5" s="6"/>
    </row>
    <row r="6" customFormat="false" ht="15" hidden="false" customHeight="true" outlineLevel="0" collapsed="false">
      <c r="A6" s="3" t="s">
        <v>6</v>
      </c>
      <c r="B6" s="4" t="s">
        <v>7</v>
      </c>
      <c r="C6" s="5"/>
      <c r="D6" s="6"/>
    </row>
    <row r="7" customFormat="false" ht="15" hidden="false" customHeight="true" outlineLevel="0" collapsed="false">
      <c r="A7" s="3" t="s">
        <v>8</v>
      </c>
      <c r="B7" s="4" t="s">
        <v>9</v>
      </c>
      <c r="C7" s="5"/>
      <c r="D7" s="6"/>
    </row>
    <row r="8" customFormat="false" ht="15" hidden="false" customHeight="true" outlineLevel="0" collapsed="false">
      <c r="A8" s="3" t="s">
        <v>10</v>
      </c>
      <c r="B8" s="4"/>
      <c r="C8" s="5" t="s">
        <v>11</v>
      </c>
      <c r="D8" s="6" t="s">
        <v>12</v>
      </c>
    </row>
    <row r="9" customFormat="false" ht="15" hidden="false" customHeight="true" outlineLevel="0" collapsed="false">
      <c r="A9" s="3" t="s">
        <v>13</v>
      </c>
      <c r="B9" s="4"/>
      <c r="C9" s="5" t="s">
        <v>14</v>
      </c>
      <c r="D9" s="6" t="s">
        <v>15</v>
      </c>
    </row>
    <row r="11" customFormat="false" ht="15" hidden="false" customHeight="true" outlineLevel="0" collapsed="false">
      <c r="A11" s="2" t="s">
        <v>16</v>
      </c>
      <c r="B11" s="2"/>
      <c r="C11" s="2"/>
      <c r="D11" s="2"/>
    </row>
    <row r="12" customFormat="false" ht="15" hidden="false" customHeight="true" outlineLevel="0" collapsed="false">
      <c r="A12" s="7" t="s">
        <v>17</v>
      </c>
      <c r="B12" s="7" t="s">
        <v>18</v>
      </c>
      <c r="C12" s="7" t="s">
        <v>19</v>
      </c>
      <c r="D12" s="7" t="s">
        <v>20</v>
      </c>
    </row>
    <row r="13" customFormat="false" ht="15" hidden="false" customHeight="true" outlineLevel="0" collapsed="false">
      <c r="A13" s="3" t="s">
        <v>21</v>
      </c>
      <c r="B13" s="8" t="n">
        <v>2723.26</v>
      </c>
      <c r="C13" s="9" t="s">
        <v>22</v>
      </c>
      <c r="D13" s="6" t="s">
        <v>23</v>
      </c>
    </row>
    <row r="14" customFormat="false" ht="15" hidden="false" customHeight="true" outlineLevel="0" collapsed="false">
      <c r="A14" s="3" t="s">
        <v>24</v>
      </c>
      <c r="B14" s="8" t="n">
        <v>12879.93</v>
      </c>
      <c r="C14" s="9" t="s">
        <v>22</v>
      </c>
      <c r="D14" s="6" t="s">
        <v>25</v>
      </c>
    </row>
    <row r="15" customFormat="false" ht="15" hidden="false" customHeight="true" outlineLevel="0" collapsed="false">
      <c r="A15" s="3" t="s">
        <v>26</v>
      </c>
      <c r="B15" s="10" t="n">
        <v>10</v>
      </c>
      <c r="C15" s="9" t="s">
        <v>27</v>
      </c>
      <c r="D15" s="6" t="s">
        <v>28</v>
      </c>
    </row>
    <row r="16" customFormat="false" ht="15" hidden="false" customHeight="true" outlineLevel="0" collapsed="false">
      <c r="A16" s="3" t="s">
        <v>29</v>
      </c>
      <c r="B16" s="10" t="n">
        <v>4</v>
      </c>
      <c r="C16" s="9" t="s">
        <v>27</v>
      </c>
      <c r="D16" s="6" t="s">
        <v>30</v>
      </c>
    </row>
    <row r="17" customFormat="false" ht="15" hidden="false" customHeight="true" outlineLevel="0" collapsed="false">
      <c r="A17" s="3" t="s">
        <v>31</v>
      </c>
      <c r="B17" s="10" t="n">
        <v>1</v>
      </c>
      <c r="C17" s="9" t="s">
        <v>27</v>
      </c>
      <c r="D17" s="6" t="s">
        <v>32</v>
      </c>
    </row>
    <row r="18" customFormat="false" ht="15" hidden="false" customHeight="true" outlineLevel="0" collapsed="false">
      <c r="A18" s="3" t="s">
        <v>33</v>
      </c>
      <c r="B18" s="10" t="n">
        <v>0</v>
      </c>
      <c r="C18" s="9" t="s">
        <v>27</v>
      </c>
      <c r="D18" s="6"/>
    </row>
    <row r="19" customFormat="false" ht="15" hidden="false" customHeight="true" outlineLevel="0" collapsed="false">
      <c r="A19" s="3" t="s">
        <v>34</v>
      </c>
      <c r="B19" s="10" t="n">
        <v>56</v>
      </c>
      <c r="C19" s="9" t="s">
        <v>27</v>
      </c>
      <c r="D19" s="6" t="s">
        <v>35</v>
      </c>
    </row>
    <row r="20" customFormat="false" ht="15" hidden="false" customHeight="true" outlineLevel="0" collapsed="false">
      <c r="A20" s="3" t="s">
        <v>36</v>
      </c>
      <c r="B20" s="10" t="n">
        <v>2</v>
      </c>
      <c r="C20" s="9" t="s">
        <v>27</v>
      </c>
      <c r="D20" s="6" t="s">
        <v>37</v>
      </c>
    </row>
    <row r="21" customFormat="false" ht="15" hidden="false" customHeight="true" outlineLevel="0" collapsed="false">
      <c r="A21" s="3" t="s">
        <v>38</v>
      </c>
      <c r="B21" s="10" t="n">
        <v>0</v>
      </c>
      <c r="C21" s="9" t="s">
        <v>27</v>
      </c>
      <c r="D21" s="6" t="s">
        <v>39</v>
      </c>
    </row>
    <row r="22" customFormat="false" ht="15" hidden="false" customHeight="true" outlineLevel="0" collapsed="false">
      <c r="A22" s="3" t="s">
        <v>40</v>
      </c>
      <c r="B22" s="8" t="n">
        <v>0</v>
      </c>
      <c r="C22" s="9" t="s">
        <v>22</v>
      </c>
      <c r="D22" s="6" t="s">
        <v>41</v>
      </c>
    </row>
    <row r="23" customFormat="false" ht="15" hidden="false" customHeight="true" outlineLevel="0" collapsed="false">
      <c r="A23" s="3" t="s">
        <v>42</v>
      </c>
      <c r="B23" s="8" t="n">
        <v>1795</v>
      </c>
      <c r="C23" s="9" t="s">
        <v>22</v>
      </c>
      <c r="D23" s="6" t="s">
        <v>43</v>
      </c>
    </row>
    <row r="24" customFormat="false" ht="15" hidden="false" customHeight="true" outlineLevel="0" collapsed="false">
      <c r="A24" s="3" t="s">
        <v>44</v>
      </c>
      <c r="B24" s="8" t="n">
        <v>191.4</v>
      </c>
      <c r="C24" s="9" t="s">
        <v>45</v>
      </c>
      <c r="D24" s="6" t="s">
        <v>46</v>
      </c>
    </row>
    <row r="25" customFormat="false" ht="15" hidden="false" customHeight="true" outlineLevel="0" collapsed="false">
      <c r="A25" s="3" t="s">
        <v>47</v>
      </c>
      <c r="B25" s="8" t="n">
        <v>2400</v>
      </c>
      <c r="C25" s="9" t="s">
        <v>22</v>
      </c>
      <c r="D25" s="6" t="s">
        <v>48</v>
      </c>
    </row>
    <row r="26" customFormat="false" ht="15" hidden="false" customHeight="true" outlineLevel="0" collapsed="false">
      <c r="A26" s="3" t="s">
        <v>49</v>
      </c>
      <c r="B26" s="8" t="n">
        <v>208</v>
      </c>
      <c r="C26" s="9" t="s">
        <v>45</v>
      </c>
      <c r="D26" s="6" t="s">
        <v>50</v>
      </c>
    </row>
    <row r="27" customFormat="false" ht="15" hidden="false" customHeight="true" outlineLevel="0" collapsed="false">
      <c r="A27" s="3" t="s">
        <v>51</v>
      </c>
      <c r="B27" s="10" t="n">
        <v>1</v>
      </c>
      <c r="C27" s="9" t="s">
        <v>27</v>
      </c>
      <c r="D27" s="6" t="s">
        <v>52</v>
      </c>
    </row>
    <row r="28" customFormat="false" ht="15" hidden="false" customHeight="true" outlineLevel="0" collapsed="false">
      <c r="A28" s="3" t="s">
        <v>53</v>
      </c>
      <c r="B28" s="8" t="n">
        <v>0</v>
      </c>
      <c r="C28" s="9" t="s">
        <v>22</v>
      </c>
      <c r="D28" s="6" t="s">
        <v>54</v>
      </c>
    </row>
    <row r="29" customFormat="false" ht="15" hidden="false" customHeight="true" outlineLevel="0" collapsed="false">
      <c r="A29" s="3" t="s">
        <v>55</v>
      </c>
      <c r="B29" s="10" t="n">
        <v>3</v>
      </c>
      <c r="C29" s="9" t="s">
        <v>27</v>
      </c>
      <c r="D29" s="6" t="s">
        <v>56</v>
      </c>
    </row>
    <row r="30" customFormat="false" ht="15" hidden="false" customHeight="true" outlineLevel="0" collapsed="false">
      <c r="A30" s="3" t="s">
        <v>57</v>
      </c>
      <c r="B30" s="8" t="n">
        <v>0</v>
      </c>
      <c r="C30" s="9" t="s">
        <v>22</v>
      </c>
      <c r="D30" s="6" t="s">
        <v>54</v>
      </c>
    </row>
    <row r="31" customFormat="false" ht="15" hidden="false" customHeight="true" outlineLevel="0" collapsed="false">
      <c r="A31" s="3" t="s">
        <v>58</v>
      </c>
      <c r="B31" s="10" t="n">
        <v>2</v>
      </c>
      <c r="C31" s="9" t="s">
        <v>27</v>
      </c>
      <c r="D31" s="6" t="s">
        <v>23</v>
      </c>
    </row>
    <row r="32" customFormat="false" ht="15" hidden="false" customHeight="true" outlineLevel="0" collapsed="false">
      <c r="A32" s="3" t="s">
        <v>59</v>
      </c>
      <c r="B32" s="10" t="n">
        <v>76</v>
      </c>
      <c r="C32" s="9" t="s">
        <v>27</v>
      </c>
      <c r="D32" s="6" t="s">
        <v>23</v>
      </c>
    </row>
    <row r="33" customFormat="false" ht="15" hidden="false" customHeight="true" outlineLevel="0" collapsed="false">
      <c r="A33" s="3" t="s">
        <v>60</v>
      </c>
      <c r="B33" s="8" t="n">
        <v>0</v>
      </c>
      <c r="C33" s="9" t="s">
        <v>45</v>
      </c>
      <c r="D33" s="6" t="s">
        <v>61</v>
      </c>
    </row>
    <row r="35" customFormat="false" ht="15" hidden="false" customHeight="true" outlineLevel="0" collapsed="false">
      <c r="A35" s="11" t="s">
        <v>62</v>
      </c>
      <c r="B35" s="11"/>
      <c r="C35" s="11"/>
      <c r="D35" s="11"/>
    </row>
    <row r="36" customFormat="false" ht="15" hidden="false" customHeight="true" outlineLevel="0" collapsed="false">
      <c r="A36" s="7" t="s">
        <v>63</v>
      </c>
      <c r="B36" s="7" t="s">
        <v>64</v>
      </c>
      <c r="C36" s="7" t="s">
        <v>65</v>
      </c>
      <c r="D36" s="7" t="s">
        <v>20</v>
      </c>
      <c r="E36" s="12" t="s">
        <v>66</v>
      </c>
    </row>
    <row r="37" customFormat="false" ht="15" hidden="false" customHeight="true" outlineLevel="0" collapsed="false">
      <c r="A37" s="3" t="s">
        <v>67</v>
      </c>
      <c r="B37" s="13" t="s">
        <v>68</v>
      </c>
      <c r="C37" s="14" t="s">
        <v>69</v>
      </c>
      <c r="D37" s="6" t="s">
        <v>70</v>
      </c>
      <c r="E37" s="15" t="s">
        <v>71</v>
      </c>
    </row>
    <row r="38" customFormat="false" ht="15" hidden="false" customHeight="true" outlineLevel="0" collapsed="false">
      <c r="A38" s="3" t="s">
        <v>72</v>
      </c>
      <c r="B38" s="13" t="s">
        <v>73</v>
      </c>
      <c r="C38" s="14" t="s">
        <v>74</v>
      </c>
      <c r="D38" s="6" t="s">
        <v>75</v>
      </c>
      <c r="E38" s="15" t="s">
        <v>76</v>
      </c>
    </row>
    <row r="39" customFormat="false" ht="15" hidden="false" customHeight="true" outlineLevel="0" collapsed="false">
      <c r="A39" s="3" t="s">
        <v>77</v>
      </c>
      <c r="B39" s="13" t="s">
        <v>78</v>
      </c>
      <c r="C39" s="14" t="s">
        <v>79</v>
      </c>
      <c r="D39" s="6" t="s">
        <v>80</v>
      </c>
      <c r="E39" s="15" t="s">
        <v>81</v>
      </c>
    </row>
    <row r="40" customFormat="false" ht="15" hidden="false" customHeight="true" outlineLevel="0" collapsed="false">
      <c r="A40" s="3" t="s">
        <v>82</v>
      </c>
      <c r="B40" s="13"/>
      <c r="C40" s="14"/>
      <c r="D40" s="6" t="s">
        <v>83</v>
      </c>
    </row>
    <row r="41" customFormat="false" ht="15" hidden="false" customHeight="true" outlineLevel="0" collapsed="false">
      <c r="A41" s="3" t="s">
        <v>84</v>
      </c>
      <c r="B41" s="13"/>
      <c r="C41" s="14"/>
      <c r="D41" s="6" t="s">
        <v>85</v>
      </c>
    </row>
    <row r="42" customFormat="false" ht="15" hidden="false" customHeight="true" outlineLevel="0" collapsed="false">
      <c r="A42" s="3" t="s">
        <v>86</v>
      </c>
      <c r="B42" s="13" t="s">
        <v>87</v>
      </c>
      <c r="C42" s="14" t="s">
        <v>88</v>
      </c>
      <c r="D42" s="6" t="s">
        <v>89</v>
      </c>
      <c r="E42" s="15" t="s">
        <v>90</v>
      </c>
    </row>
    <row r="43" customFormat="false" ht="15" hidden="false" customHeight="true" outlineLevel="0" collapsed="false">
      <c r="A43" s="3" t="s">
        <v>91</v>
      </c>
      <c r="B43" s="13" t="s">
        <v>92</v>
      </c>
      <c r="C43" s="14" t="s">
        <v>93</v>
      </c>
      <c r="D43" s="6" t="s">
        <v>94</v>
      </c>
      <c r="E43" s="15" t="s">
        <v>95</v>
      </c>
    </row>
    <row r="44" customFormat="false" ht="15" hidden="false" customHeight="true" outlineLevel="0" collapsed="false">
      <c r="A44" s="3" t="s">
        <v>96</v>
      </c>
      <c r="B44" s="13" t="s">
        <v>78</v>
      </c>
      <c r="C44" s="14" t="s">
        <v>97</v>
      </c>
      <c r="D44" s="6" t="s">
        <v>80</v>
      </c>
      <c r="E44" s="15" t="s">
        <v>98</v>
      </c>
    </row>
    <row r="45" customFormat="false" ht="15" hidden="false" customHeight="true" outlineLevel="0" collapsed="false">
      <c r="A45" s="3" t="s">
        <v>99</v>
      </c>
      <c r="B45" s="13"/>
      <c r="C45" s="14"/>
      <c r="D45" s="6" t="s">
        <v>100</v>
      </c>
    </row>
    <row r="46" customFormat="false" ht="15" hidden="false" customHeight="true" outlineLevel="0" collapsed="false">
      <c r="A46" s="3" t="s">
        <v>101</v>
      </c>
      <c r="B46" s="13" t="s">
        <v>102</v>
      </c>
      <c r="C46" s="14" t="s">
        <v>103</v>
      </c>
      <c r="D46" s="6" t="s">
        <v>104</v>
      </c>
      <c r="E46" s="15" t="s">
        <v>105</v>
      </c>
    </row>
    <row r="47" customFormat="false" ht="15" hidden="false" customHeight="true" outlineLevel="0" collapsed="false">
      <c r="A47" s="3" t="s">
        <v>106</v>
      </c>
      <c r="B47" s="13" t="n">
        <v>36</v>
      </c>
      <c r="C47" s="14" t="s">
        <v>107</v>
      </c>
      <c r="D47" s="6" t="s">
        <v>108</v>
      </c>
    </row>
    <row r="48" customFormat="false" ht="15" hidden="false" customHeight="true" outlineLevel="0" collapsed="false">
      <c r="A48" s="3" t="s">
        <v>109</v>
      </c>
      <c r="B48" s="13" t="s">
        <v>78</v>
      </c>
      <c r="C48" s="14" t="s">
        <v>110</v>
      </c>
      <c r="D48" s="6" t="s">
        <v>80</v>
      </c>
      <c r="E48" s="15" t="s">
        <v>111</v>
      </c>
    </row>
    <row r="49" customFormat="false" ht="15" hidden="false" customHeight="true" outlineLevel="0" collapsed="false">
      <c r="A49" s="3" t="s">
        <v>112</v>
      </c>
      <c r="B49" s="13" t="s">
        <v>113</v>
      </c>
      <c r="C49" s="14"/>
      <c r="D49" s="6" t="s">
        <v>80</v>
      </c>
      <c r="E49" s="15" t="s">
        <v>114</v>
      </c>
    </row>
    <row r="50" customFormat="false" ht="15" hidden="false" customHeight="true" outlineLevel="0" collapsed="false">
      <c r="A50" s="3" t="s">
        <v>115</v>
      </c>
      <c r="B50" s="16" t="s">
        <v>116</v>
      </c>
      <c r="C50" s="14"/>
      <c r="D50" s="6" t="s">
        <v>117</v>
      </c>
    </row>
    <row r="51" customFormat="false" ht="15" hidden="false" customHeight="true" outlineLevel="0" collapsed="false">
      <c r="A51" s="3" t="s">
        <v>118</v>
      </c>
      <c r="B51" s="16" t="s">
        <v>119</v>
      </c>
      <c r="C51" s="14"/>
      <c r="D51" s="6" t="s">
        <v>120</v>
      </c>
    </row>
    <row r="52" customFormat="false" ht="15" hidden="false" customHeight="true" outlineLevel="0" collapsed="false">
      <c r="A52" s="3" t="s">
        <v>121</v>
      </c>
      <c r="B52" s="13" t="s">
        <v>78</v>
      </c>
      <c r="C52" s="14"/>
      <c r="D52" s="6" t="s">
        <v>80</v>
      </c>
    </row>
    <row r="53" customFormat="false" ht="15" hidden="false" customHeight="true" outlineLevel="0" collapsed="false">
      <c r="A53" s="3" t="s">
        <v>122</v>
      </c>
      <c r="B53" s="13" t="s">
        <v>78</v>
      </c>
      <c r="C53" s="14"/>
      <c r="D53" s="6" t="s">
        <v>80</v>
      </c>
    </row>
    <row r="54" customFormat="false" ht="15" hidden="false" customHeight="true" outlineLevel="0" collapsed="false">
      <c r="A54" s="3" t="s">
        <v>123</v>
      </c>
      <c r="B54" s="13" t="s">
        <v>78</v>
      </c>
      <c r="C54" s="14"/>
      <c r="D54" s="6" t="s">
        <v>124</v>
      </c>
    </row>
    <row r="55" customFormat="false" ht="15" hidden="false" customHeight="true" outlineLevel="0" collapsed="false">
      <c r="A55" s="3" t="s">
        <v>125</v>
      </c>
      <c r="B55" s="13" t="s">
        <v>78</v>
      </c>
      <c r="C55" s="14"/>
      <c r="D55" s="6" t="s">
        <v>126</v>
      </c>
    </row>
    <row r="56" customFormat="false" ht="15" hidden="false" customHeight="true" outlineLevel="0" collapsed="false">
      <c r="A56" s="3" t="s">
        <v>127</v>
      </c>
      <c r="B56" s="13" t="s">
        <v>78</v>
      </c>
      <c r="C56" s="14"/>
      <c r="D56" s="6" t="s">
        <v>80</v>
      </c>
    </row>
  </sheetData>
  <mergeCells count="4">
    <mergeCell ref="A1:D1"/>
    <mergeCell ref="A3:D3"/>
    <mergeCell ref="A11:D11"/>
    <mergeCell ref="A35:D35"/>
  </mergeCells>
  <dataValidations count="8">
    <dataValidation allowBlank="true" errorStyle="stop" operator="between" showDropDown="false" showErrorMessage="false" showInputMessage="false" sqref="B37" type="list">
      <formula1>"Cubetas,Protendida,Maciça,Cub.Protendida,Treliçada"</formula1>
      <formula2>0</formula2>
    </dataValidation>
    <dataValidation allowBlank="true" errorStyle="stop" operator="between" showDropDown="false" showErrorMessage="false" showInputMessage="false" sqref="B38" type="list">
      <formula1>"Standard,Alto Padrão,Super Alto Padrão"</formula1>
      <formula2>0</formula2>
    </dataValidation>
    <dataValidation allowBlank="true" errorStyle="stop" operator="between" showDropDown="false" showErrorMessage="false" showInputMessage="false" sqref="B39 B44 B48:B49 B52:B56" type="list">
      <formula1>"Sim,Não"</formula1>
      <formula2>0</formula2>
    </dataValidation>
    <dataValidation allowBlank="true" errorStyle="stop" operator="between" showDropDown="false" showErrorMessage="false" showInputMessage="false" sqref="B42" type="list">
      <formula1>"Alvenaria,Drywall,Misto"</formula1>
      <formula2>0</formula2>
    </dataValidation>
    <dataValidation allowBlank="true" errorStyle="stop" operator="between" showDropDown="false" showErrorMessage="false" showInputMessage="false" sqref="B43" type="list">
      <formula1>"Empreitada,Equipe Própria"</formula1>
      <formula2>0</formula2>
    </dataValidation>
    <dataValidation allowBlank="true" errorStyle="stop" operator="between" showDropDown="false" showErrorMessage="false" showInputMessage="false" sqref="B46" type="list">
      <formula1>"Básico,Completo,Premium"</formula1>
      <formula2>0</formula2>
    </dataValidation>
    <dataValidation allowBlank="true" errorStyle="stop" operator="between" prompt="Selecione o tipo de esquadria" promptTitle="Tipo Esquadria" showDropDown="false" showErrorMessage="false" showInputMessage="false" sqref="B50" type="list">
      <formula1>"Alumínio Anodizado,Pintura Eletrostática,PVC"</formula1>
      <formula2>0</formula2>
    </dataValidation>
    <dataValidation allowBlank="true" errorStyle="stop" operator="between" prompt="Selecione o estilo de fachada" promptTitle="Estilo Fachada" showDropDown="false" showErrorMessage="false" showInputMessage="false" sqref="B51" type="list">
      <formula1>"Convencional,Neoclássica,Moderna,Minimalista"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7" t="s">
        <v>128</v>
      </c>
      <c r="B1" s="17"/>
      <c r="C1" s="17"/>
      <c r="D1" s="17"/>
      <c r="E1" s="17"/>
      <c r="F1" s="17"/>
      <c r="G1" s="17"/>
      <c r="H1" s="17"/>
    </row>
    <row r="3" customFormat="false" ht="15" hidden="false" customHeight="false" outlineLevel="0" collapsed="false">
      <c r="A3" s="18" t="s">
        <v>129</v>
      </c>
      <c r="B3" s="18"/>
      <c r="C3" s="18"/>
      <c r="D3" s="18"/>
      <c r="E3" s="18"/>
      <c r="F3" s="18"/>
      <c r="G3" s="18"/>
      <c r="H3" s="18"/>
    </row>
    <row r="4" customFormat="false" ht="15" hidden="false" customHeight="false" outlineLevel="0" collapsed="false">
      <c r="A4" s="19" t="s">
        <v>130</v>
      </c>
      <c r="B4" s="19" t="s">
        <v>18</v>
      </c>
      <c r="C4" s="19" t="s">
        <v>19</v>
      </c>
      <c r="D4" s="19" t="s">
        <v>131</v>
      </c>
      <c r="E4" s="19" t="s">
        <v>132</v>
      </c>
      <c r="F4" s="19" t="s">
        <v>133</v>
      </c>
      <c r="G4" s="19" t="s">
        <v>134</v>
      </c>
      <c r="H4" s="19" t="s">
        <v>135</v>
      </c>
    </row>
    <row r="5" customFormat="false" ht="15" hidden="false" customHeight="false" outlineLevel="0" collapsed="false">
      <c r="A5" s="20" t="s">
        <v>136</v>
      </c>
      <c r="B5" s="21" t="n">
        <f aca="false">DADOS!B14/DADOS!B13</f>
        <v>4.72959981786535</v>
      </c>
      <c r="C5" s="22" t="s">
        <v>137</v>
      </c>
      <c r="D5" s="22" t="s">
        <v>138</v>
      </c>
      <c r="E5" s="23" t="n">
        <v>1.5</v>
      </c>
      <c r="F5" s="23" t="n">
        <v>3.5</v>
      </c>
      <c r="G5" s="23" t="n">
        <v>14</v>
      </c>
      <c r="H5" s="24"/>
    </row>
    <row r="6" customFormat="false" ht="15" hidden="false" customHeight="false" outlineLevel="0" collapsed="false">
      <c r="A6" s="20" t="s">
        <v>139</v>
      </c>
      <c r="B6" s="21" t="n">
        <f aca="false">DADOS!B14/DADOS!B19</f>
        <v>229.99875</v>
      </c>
      <c r="C6" s="22" t="s">
        <v>140</v>
      </c>
      <c r="D6" s="22" t="s">
        <v>141</v>
      </c>
      <c r="E6" s="23" t="n">
        <v>78.7</v>
      </c>
      <c r="F6" s="23" t="n">
        <v>198.2</v>
      </c>
      <c r="G6" s="23" t="n">
        <v>612.2</v>
      </c>
      <c r="H6" s="24"/>
    </row>
    <row r="7" customFormat="false" ht="15" hidden="false" customHeight="false" outlineLevel="0" collapsed="false">
      <c r="A7" s="20" t="s">
        <v>142</v>
      </c>
      <c r="B7" s="21" t="n">
        <f aca="false">DADOS!B19/DADOS!B13</f>
        <v>0.0205635892276169</v>
      </c>
      <c r="C7" s="22" t="s">
        <v>143</v>
      </c>
      <c r="D7" s="22" t="s">
        <v>144</v>
      </c>
      <c r="E7" s="23" t="n">
        <v>0.003</v>
      </c>
      <c r="F7" s="23" t="n">
        <v>0.02</v>
      </c>
      <c r="G7" s="23" t="n">
        <v>0.1</v>
      </c>
      <c r="H7" s="24"/>
    </row>
    <row r="8" customFormat="false" ht="15" hidden="false" customHeight="false" outlineLevel="0" collapsed="false">
      <c r="A8" s="20" t="s">
        <v>145</v>
      </c>
      <c r="B8" s="21" t="n">
        <f aca="false">DADOS!B23/DADOS!B13</f>
        <v>0.65913647613522</v>
      </c>
      <c r="C8" s="22" t="s">
        <v>137</v>
      </c>
      <c r="D8" s="22" t="s">
        <v>146</v>
      </c>
      <c r="E8" s="24"/>
      <c r="F8" s="24"/>
      <c r="G8" s="24"/>
      <c r="H8" s="24"/>
    </row>
    <row r="10" customFormat="false" ht="15" hidden="false" customHeight="false" outlineLevel="0" collapsed="false">
      <c r="A10" s="18" t="s">
        <v>147</v>
      </c>
      <c r="B10" s="18"/>
      <c r="C10" s="18"/>
      <c r="D10" s="18"/>
      <c r="E10" s="18"/>
      <c r="F10" s="18"/>
      <c r="G10" s="18"/>
      <c r="H10" s="18"/>
    </row>
    <row r="11" customFormat="false" ht="15" hidden="false" customHeight="false" outlineLevel="0" collapsed="false">
      <c r="A11" s="19" t="s">
        <v>130</v>
      </c>
      <c r="B11" s="19" t="s">
        <v>18</v>
      </c>
      <c r="C11" s="19" t="s">
        <v>19</v>
      </c>
      <c r="D11" s="19" t="s">
        <v>131</v>
      </c>
      <c r="E11" s="19" t="s">
        <v>132</v>
      </c>
      <c r="F11" s="19" t="s">
        <v>133</v>
      </c>
      <c r="G11" s="19" t="s">
        <v>134</v>
      </c>
      <c r="H11" s="19" t="s">
        <v>135</v>
      </c>
    </row>
    <row r="12" customFormat="false" ht="15" hidden="false" customHeight="false" outlineLevel="0" collapsed="false">
      <c r="A12" s="20" t="s">
        <v>148</v>
      </c>
      <c r="B12" s="21" t="n">
        <f aca="false">DADOS!B32/DADOS!B19</f>
        <v>1.35714285714286</v>
      </c>
      <c r="C12" s="22" t="s">
        <v>149</v>
      </c>
      <c r="D12" s="22" t="s">
        <v>150</v>
      </c>
      <c r="E12" s="23" t="n">
        <v>0.67</v>
      </c>
      <c r="F12" s="23" t="n">
        <v>1.5</v>
      </c>
      <c r="G12" s="23" t="n">
        <v>2.45</v>
      </c>
      <c r="H12" s="24"/>
    </row>
    <row r="13" customFormat="false" ht="15" hidden="false" customHeight="false" outlineLevel="0" collapsed="false">
      <c r="A13" s="20" t="s">
        <v>151</v>
      </c>
      <c r="B13" s="21" t="n">
        <f aca="false">DADOS!B19/DADOS!B31</f>
        <v>28</v>
      </c>
      <c r="C13" s="22" t="s">
        <v>152</v>
      </c>
      <c r="D13" s="22" t="s">
        <v>153</v>
      </c>
      <c r="E13" s="23" t="n">
        <v>12</v>
      </c>
      <c r="F13" s="23" t="n">
        <v>28</v>
      </c>
      <c r="G13" s="23" t="n">
        <v>47</v>
      </c>
      <c r="H13" s="24"/>
    </row>
    <row r="14" customFormat="false" ht="15" hidden="false" customHeight="false" outlineLevel="0" collapsed="false">
      <c r="A14" s="20" t="s">
        <v>154</v>
      </c>
      <c r="B14" s="21" t="n">
        <f aca="false">DADOS!B31/DADOS!B15</f>
        <v>0.2</v>
      </c>
      <c r="C14" s="22" t="s">
        <v>155</v>
      </c>
      <c r="D14" s="22" t="s">
        <v>156</v>
      </c>
      <c r="E14" s="23" t="n">
        <v>0.05</v>
      </c>
      <c r="F14" s="23" t="n">
        <v>0.15</v>
      </c>
      <c r="G14" s="23" t="n">
        <v>0.43</v>
      </c>
      <c r="H14" s="24"/>
    </row>
    <row r="15" customFormat="false" ht="15" hidden="false" customHeight="false" outlineLevel="0" collapsed="false">
      <c r="A15" s="20" t="s">
        <v>157</v>
      </c>
      <c r="B15" s="21" t="n">
        <f aca="false">DADOS!B16/DADOS!B15</f>
        <v>0.4</v>
      </c>
      <c r="C15" s="22" t="s">
        <v>137</v>
      </c>
      <c r="D15" s="22" t="s">
        <v>158</v>
      </c>
      <c r="E15" s="23" t="n">
        <v>0.4</v>
      </c>
      <c r="F15" s="23" t="n">
        <v>0.6</v>
      </c>
      <c r="G15" s="23" t="n">
        <v>0.8</v>
      </c>
      <c r="H15" s="24"/>
    </row>
    <row r="16" customFormat="false" ht="15" hidden="false" customHeight="false" outlineLevel="0" collapsed="false">
      <c r="A16" s="20" t="s">
        <v>159</v>
      </c>
      <c r="B16" s="21" t="n">
        <f aca="false">DADOS!B19/DADOS!B16</f>
        <v>14</v>
      </c>
      <c r="C16" s="22" t="s">
        <v>160</v>
      </c>
      <c r="D16" s="22" t="s">
        <v>161</v>
      </c>
      <c r="E16" s="23" t="n">
        <v>1.2</v>
      </c>
      <c r="F16" s="23" t="n">
        <v>5</v>
      </c>
      <c r="G16" s="23" t="n">
        <v>35.2</v>
      </c>
      <c r="H16" s="24"/>
    </row>
    <row r="18" customFormat="false" ht="15" hidden="false" customHeight="false" outlineLevel="0" collapsed="false">
      <c r="A18" s="18" t="s">
        <v>162</v>
      </c>
      <c r="B18" s="18"/>
      <c r="C18" s="18"/>
      <c r="D18" s="18"/>
      <c r="E18" s="18"/>
      <c r="F18" s="18"/>
      <c r="G18" s="18"/>
      <c r="H18" s="18"/>
    </row>
    <row r="19" customFormat="false" ht="15" hidden="false" customHeight="false" outlineLevel="0" collapsed="false">
      <c r="A19" s="19" t="s">
        <v>130</v>
      </c>
      <c r="B19" s="19" t="s">
        <v>18</v>
      </c>
      <c r="C19" s="19" t="s">
        <v>19</v>
      </c>
      <c r="D19" s="19" t="s">
        <v>131</v>
      </c>
      <c r="E19" s="19" t="s">
        <v>132</v>
      </c>
      <c r="F19" s="19" t="s">
        <v>133</v>
      </c>
      <c r="G19" s="19" t="s">
        <v>134</v>
      </c>
      <c r="H19" s="19" t="s">
        <v>135</v>
      </c>
    </row>
    <row r="20" customFormat="false" ht="15" hidden="false" customHeight="false" outlineLevel="0" collapsed="false">
      <c r="A20" s="20" t="s">
        <v>163</v>
      </c>
      <c r="B20" s="21" t="n">
        <f aca="false">DADOS!B15</f>
        <v>10</v>
      </c>
      <c r="C20" s="22" t="s">
        <v>164</v>
      </c>
      <c r="D20" s="22" t="s">
        <v>165</v>
      </c>
      <c r="E20" s="23" t="n">
        <v>4</v>
      </c>
      <c r="F20" s="23" t="n">
        <v>18</v>
      </c>
      <c r="G20" s="23" t="n">
        <v>43</v>
      </c>
      <c r="H20" s="24"/>
    </row>
    <row r="21" customFormat="false" ht="15" hidden="false" customHeight="false" outlineLevel="0" collapsed="false">
      <c r="A21" s="20" t="s">
        <v>166</v>
      </c>
      <c r="B21" s="21" t="n">
        <f aca="false">DADOS!B16</f>
        <v>4</v>
      </c>
      <c r="C21" s="22" t="s">
        <v>164</v>
      </c>
      <c r="D21" s="22" t="s">
        <v>167</v>
      </c>
      <c r="E21" s="23" t="n">
        <v>3</v>
      </c>
      <c r="F21" s="23" t="n">
        <v>11</v>
      </c>
      <c r="G21" s="23" t="n">
        <v>32</v>
      </c>
      <c r="H21" s="24"/>
    </row>
    <row r="22" customFormat="false" ht="15" hidden="false" customHeight="false" outlineLevel="0" collapsed="false">
      <c r="A22" s="20" t="s">
        <v>168</v>
      </c>
      <c r="B22" s="21" t="n">
        <f aca="false">DADOS!B27</f>
        <v>1</v>
      </c>
      <c r="C22" s="22" t="s">
        <v>164</v>
      </c>
      <c r="D22" s="22" t="s">
        <v>169</v>
      </c>
      <c r="E22" s="23" t="n">
        <v>0</v>
      </c>
      <c r="F22" s="23" t="n">
        <v>1</v>
      </c>
      <c r="G22" s="23" t="n">
        <v>3</v>
      </c>
      <c r="H22" s="24"/>
    </row>
    <row r="23" customFormat="false" ht="15" hidden="false" customHeight="false" outlineLevel="0" collapsed="false">
      <c r="A23" s="20" t="s">
        <v>170</v>
      </c>
      <c r="B23" s="21" t="n">
        <f aca="false">DADOS!B29</f>
        <v>3</v>
      </c>
      <c r="C23" s="22" t="s">
        <v>164</v>
      </c>
      <c r="D23" s="22" t="s">
        <v>171</v>
      </c>
      <c r="E23" s="23" t="n">
        <v>1</v>
      </c>
      <c r="F23" s="23" t="n">
        <v>3</v>
      </c>
      <c r="G23" s="23" t="n">
        <v>6</v>
      </c>
      <c r="H23" s="24"/>
    </row>
    <row r="24" customFormat="false" ht="15" hidden="false" customHeight="false" outlineLevel="0" collapsed="false">
      <c r="A24" s="20" t="s">
        <v>172</v>
      </c>
      <c r="B24" s="21" t="n">
        <f aca="false">DADOS!B14/DADOS!B15</f>
        <v>1287.993</v>
      </c>
      <c r="C24" s="22" t="s">
        <v>173</v>
      </c>
      <c r="D24" s="22" t="s">
        <v>174</v>
      </c>
      <c r="E24" s="23" t="n">
        <v>200</v>
      </c>
      <c r="F24" s="23" t="n">
        <v>700</v>
      </c>
      <c r="G24" s="23" t="n">
        <v>1500</v>
      </c>
      <c r="H24" s="24"/>
    </row>
    <row r="25" customFormat="false" ht="15" hidden="false" customHeight="false" outlineLevel="0" collapsed="false">
      <c r="A25" s="20" t="s">
        <v>175</v>
      </c>
      <c r="B25" s="21" t="n">
        <f aca="false">DADOS!B23/DADOS!B13</f>
        <v>0.65913647613522</v>
      </c>
      <c r="C25" s="22" t="s">
        <v>137</v>
      </c>
      <c r="D25" s="22" t="s">
        <v>146</v>
      </c>
      <c r="E25" s="23" t="n">
        <v>0.3</v>
      </c>
      <c r="F25" s="23" t="n">
        <v>0.55</v>
      </c>
      <c r="G25" s="23" t="n">
        <v>0.8</v>
      </c>
      <c r="H25" s="24"/>
    </row>
    <row r="27" customFormat="false" ht="15" hidden="false" customHeight="false" outlineLevel="0" collapsed="false">
      <c r="A27" s="18" t="s">
        <v>176</v>
      </c>
      <c r="B27" s="18"/>
      <c r="C27" s="18"/>
      <c r="D27" s="18"/>
      <c r="E27" s="18"/>
      <c r="F27" s="18"/>
      <c r="G27" s="18"/>
      <c r="H27" s="18"/>
    </row>
    <row r="28" customFormat="false" ht="15" hidden="false" customHeight="false" outlineLevel="0" collapsed="false">
      <c r="A28" s="19" t="s">
        <v>130</v>
      </c>
      <c r="B28" s="19" t="s">
        <v>18</v>
      </c>
      <c r="C28" s="19" t="s">
        <v>19</v>
      </c>
      <c r="D28" s="19" t="s">
        <v>131</v>
      </c>
      <c r="E28" s="19" t="s">
        <v>132</v>
      </c>
      <c r="F28" s="19" t="s">
        <v>133</v>
      </c>
      <c r="G28" s="19" t="s">
        <v>134</v>
      </c>
      <c r="H28" s="19" t="s">
        <v>135</v>
      </c>
    </row>
    <row r="29" customFormat="false" ht="15" hidden="false" customHeight="false" outlineLevel="0" collapsed="false">
      <c r="A29" s="20" t="s">
        <v>177</v>
      </c>
      <c r="B29" s="25" t="n">
        <f aca="false">RESUMO!B8</f>
        <v>0</v>
      </c>
      <c r="C29" s="22" t="s">
        <v>14</v>
      </c>
      <c r="D29" s="22" t="s">
        <v>178</v>
      </c>
      <c r="E29" s="23" t="n">
        <v>2370</v>
      </c>
      <c r="F29" s="23" t="n">
        <v>3600</v>
      </c>
      <c r="G29" s="23" t="n">
        <v>9534</v>
      </c>
      <c r="H29" s="24"/>
    </row>
    <row r="30" customFormat="false" ht="15" hidden="false" customHeight="false" outlineLevel="0" collapsed="false">
      <c r="A30" s="20" t="s">
        <v>179</v>
      </c>
      <c r="B30" s="25" t="n">
        <f aca="false">RESUMO!B10/DADOS!B19</f>
        <v>835401.45975</v>
      </c>
      <c r="C30" s="22" t="s">
        <v>180</v>
      </c>
      <c r="D30" s="22" t="s">
        <v>181</v>
      </c>
      <c r="E30" s="24"/>
      <c r="F30" s="24"/>
      <c r="G30" s="24"/>
      <c r="H30" s="24"/>
    </row>
    <row r="31" customFormat="false" ht="15" hidden="false" customHeight="false" outlineLevel="0" collapsed="false">
      <c r="A31" s="20" t="s">
        <v>182</v>
      </c>
      <c r="B31" s="21" t="str">
        <f aca="false">IF(DADOS!B9&gt;0,RESUMO!B8/DADOS!B9,"Preencher CUB")</f>
        <v>Preencher CUB</v>
      </c>
      <c r="C31" s="22" t="s">
        <v>183</v>
      </c>
      <c r="D31" s="22" t="s">
        <v>184</v>
      </c>
      <c r="E31" s="23" t="n">
        <v>0.94</v>
      </c>
      <c r="F31" s="23" t="n">
        <v>1.3</v>
      </c>
      <c r="G31" s="23" t="n">
        <v>3.39</v>
      </c>
      <c r="H31" s="24"/>
    </row>
    <row r="33" customFormat="false" ht="15" hidden="false" customHeight="false" outlineLevel="0" collapsed="false">
      <c r="A33" s="18" t="s">
        <v>185</v>
      </c>
      <c r="B33" s="18"/>
      <c r="C33" s="18"/>
      <c r="D33" s="18"/>
      <c r="E33" s="18"/>
      <c r="F33" s="18"/>
      <c r="G33" s="18"/>
      <c r="H33" s="18"/>
    </row>
    <row r="34" customFormat="false" ht="15" hidden="false" customHeight="false" outlineLevel="0" collapsed="false">
      <c r="A34" s="19" t="s">
        <v>186</v>
      </c>
      <c r="B34" s="19" t="s">
        <v>187</v>
      </c>
      <c r="C34" s="19" t="s">
        <v>188</v>
      </c>
      <c r="D34" s="19" t="s">
        <v>165</v>
      </c>
      <c r="E34" s="19" t="s">
        <v>167</v>
      </c>
      <c r="F34" s="19" t="s">
        <v>189</v>
      </c>
      <c r="G34" s="19" t="s">
        <v>14</v>
      </c>
      <c r="H34" s="19" t="s">
        <v>6</v>
      </c>
    </row>
    <row r="35" customFormat="false" ht="15" hidden="false" customHeight="false" outlineLevel="0" collapsed="false">
      <c r="A35" s="26" t="s">
        <v>190</v>
      </c>
      <c r="B35" s="27" t="n">
        <v>12880</v>
      </c>
      <c r="C35" s="28" t="n">
        <v>56</v>
      </c>
      <c r="D35" s="28" t="n">
        <v>10</v>
      </c>
      <c r="E35" s="28" t="n">
        <v>4</v>
      </c>
      <c r="F35" s="29" t="n">
        <f aca="false">B35/C35</f>
        <v>230</v>
      </c>
      <c r="G35" s="30" t="n">
        <f aca="false">RESUMO!B8</f>
        <v>0</v>
      </c>
      <c r="H35" s="31" t="s">
        <v>7</v>
      </c>
    </row>
    <row r="36" customFormat="false" ht="15" hidden="false" customHeight="false" outlineLevel="0" collapsed="false">
      <c r="A36" s="32" t="s">
        <v>191</v>
      </c>
      <c r="B36" s="33" t="n">
        <v>10723</v>
      </c>
      <c r="C36" s="34" t="n">
        <v>44</v>
      </c>
      <c r="D36" s="34" t="n">
        <v>21</v>
      </c>
      <c r="E36" s="34" t="n">
        <v>15</v>
      </c>
      <c r="F36" s="35" t="n">
        <f aca="false">B36/C36</f>
        <v>243.704545454545</v>
      </c>
      <c r="G36" s="33" t="n">
        <v>2816</v>
      </c>
      <c r="H36" s="32" t="s">
        <v>192</v>
      </c>
    </row>
    <row r="37" customFormat="false" ht="15" hidden="false" customHeight="false" outlineLevel="0" collapsed="false">
      <c r="A37" s="32" t="s">
        <v>193</v>
      </c>
      <c r="B37" s="33" t="n">
        <v>10618</v>
      </c>
      <c r="C37" s="34" t="n">
        <v>41</v>
      </c>
      <c r="D37" s="34" t="n">
        <v>26</v>
      </c>
      <c r="E37" s="34" t="n">
        <v>18</v>
      </c>
      <c r="F37" s="35" t="n">
        <f aca="false">B37/C37</f>
        <v>258.975609756098</v>
      </c>
      <c r="G37" s="33" t="n">
        <v>3535</v>
      </c>
      <c r="H37" s="32" t="s">
        <v>192</v>
      </c>
    </row>
    <row r="38" customFormat="false" ht="15" hidden="false" customHeight="false" outlineLevel="0" collapsed="false">
      <c r="A38" s="32" t="s">
        <v>194</v>
      </c>
      <c r="B38" s="33" t="n">
        <v>11893</v>
      </c>
      <c r="C38" s="34" t="n">
        <v>51</v>
      </c>
      <c r="D38" s="34" t="n">
        <v>28</v>
      </c>
      <c r="E38" s="34" t="n">
        <v>23</v>
      </c>
      <c r="F38" s="35" t="n">
        <f aca="false">B38/C38</f>
        <v>233.196078431373</v>
      </c>
      <c r="G38" s="33" t="n">
        <v>3482</v>
      </c>
      <c r="H38" s="32" t="s">
        <v>192</v>
      </c>
    </row>
    <row r="39" customFormat="false" ht="15" hidden="false" customHeight="false" outlineLevel="0" collapsed="false">
      <c r="A39" s="32" t="s">
        <v>195</v>
      </c>
      <c r="B39" s="33" t="n">
        <v>8525</v>
      </c>
      <c r="C39" s="34" t="n">
        <v>73</v>
      </c>
      <c r="D39" s="34" t="n">
        <v>19</v>
      </c>
      <c r="E39" s="34" t="n">
        <v>14</v>
      </c>
      <c r="F39" s="35" t="n">
        <f aca="false">B39/C39</f>
        <v>116.780821917808</v>
      </c>
      <c r="G39" s="33" t="n">
        <v>3778</v>
      </c>
      <c r="H39" s="32" t="s">
        <v>192</v>
      </c>
    </row>
    <row r="40" customFormat="false" ht="15" hidden="false" customHeight="false" outlineLevel="0" collapsed="false">
      <c r="A40" s="32" t="s">
        <v>196</v>
      </c>
      <c r="B40" s="33" t="n">
        <v>8367</v>
      </c>
      <c r="C40" s="34" t="n">
        <v>60</v>
      </c>
      <c r="D40" s="34" t="n">
        <v>18</v>
      </c>
      <c r="E40" s="34" t="n">
        <v>11</v>
      </c>
      <c r="F40" s="35" t="n">
        <f aca="false">B40/C40</f>
        <v>139.45</v>
      </c>
      <c r="G40" s="33" t="n">
        <v>3010</v>
      </c>
      <c r="H40" s="32" t="s">
        <v>197</v>
      </c>
    </row>
    <row r="41" customFormat="false" ht="15" hidden="false" customHeight="false" outlineLevel="0" collapsed="false">
      <c r="A41" s="32" t="s">
        <v>198</v>
      </c>
      <c r="B41" s="33" t="n">
        <v>22461</v>
      </c>
      <c r="C41" s="34" t="n">
        <v>110</v>
      </c>
      <c r="D41" s="34" t="n">
        <v>32</v>
      </c>
      <c r="E41" s="34" t="n">
        <v>25</v>
      </c>
      <c r="F41" s="35" t="n">
        <f aca="false">B41/C41</f>
        <v>204.190909090909</v>
      </c>
      <c r="G41" s="33" t="n">
        <v>3720</v>
      </c>
      <c r="H41" s="32" t="s">
        <v>197</v>
      </c>
    </row>
    <row r="42" customFormat="false" ht="15" hidden="false" customHeight="false" outlineLevel="0" collapsed="false">
      <c r="A42" s="32" t="s">
        <v>199</v>
      </c>
      <c r="B42" s="33" t="n">
        <v>9242</v>
      </c>
      <c r="C42" s="34" t="n">
        <v>48</v>
      </c>
      <c r="D42" s="34" t="n">
        <v>30</v>
      </c>
      <c r="E42" s="34"/>
      <c r="F42" s="35" t="n">
        <f aca="false">B42/C42</f>
        <v>192.541666666667</v>
      </c>
      <c r="G42" s="33" t="n">
        <v>3376</v>
      </c>
      <c r="H42" s="32" t="s">
        <v>9</v>
      </c>
    </row>
    <row r="43" customFormat="false" ht="15" hidden="false" customHeight="false" outlineLevel="0" collapsed="false">
      <c r="A43" s="32" t="s">
        <v>200</v>
      </c>
      <c r="B43" s="33" t="n">
        <v>5576</v>
      </c>
      <c r="C43" s="34" t="n">
        <v>38</v>
      </c>
      <c r="D43" s="34" t="n">
        <v>15</v>
      </c>
      <c r="E43" s="34" t="n">
        <v>8</v>
      </c>
      <c r="F43" s="35" t="n">
        <f aca="false">B43/C43</f>
        <v>146.736842105263</v>
      </c>
      <c r="G43" s="33" t="n">
        <v>4129</v>
      </c>
      <c r="H43" s="32" t="s">
        <v>201</v>
      </c>
    </row>
    <row r="44" customFormat="false" ht="15" hidden="false" customHeight="false" outlineLevel="0" collapsed="false">
      <c r="A44" s="32" t="s">
        <v>202</v>
      </c>
      <c r="B44" s="33" t="n">
        <v>13148</v>
      </c>
      <c r="C44" s="34" t="n">
        <v>89</v>
      </c>
      <c r="D44" s="34" t="n">
        <v>13</v>
      </c>
      <c r="E44" s="34" t="n">
        <v>8</v>
      </c>
      <c r="F44" s="35" t="n">
        <f aca="false">B44/C44</f>
        <v>147.730337078652</v>
      </c>
      <c r="G44" s="33" t="n">
        <v>3728</v>
      </c>
      <c r="H44" s="32" t="s">
        <v>203</v>
      </c>
    </row>
    <row r="46" customFormat="false" ht="15" hidden="false" customHeight="false" outlineLevel="0" collapsed="false">
      <c r="A46" s="18" t="s">
        <v>204</v>
      </c>
      <c r="B46" s="18"/>
      <c r="C46" s="18"/>
      <c r="D46" s="18"/>
      <c r="E46" s="18"/>
      <c r="F46" s="18"/>
      <c r="G46" s="18"/>
      <c r="H46" s="18"/>
    </row>
    <row r="47" customFormat="false" ht="15" hidden="false" customHeight="false" outlineLevel="0" collapsed="false">
      <c r="A47" s="19" t="s">
        <v>205</v>
      </c>
      <c r="B47" s="19" t="s">
        <v>206</v>
      </c>
      <c r="C47" s="19" t="s">
        <v>207</v>
      </c>
      <c r="D47" s="19" t="s">
        <v>208</v>
      </c>
      <c r="E47" s="19"/>
      <c r="F47" s="19"/>
      <c r="G47" s="19"/>
      <c r="H47" s="19" t="s">
        <v>20</v>
      </c>
    </row>
    <row r="48" customFormat="false" ht="15" hidden="false" customHeight="false" outlineLevel="0" collapsed="false">
      <c r="A48" s="20" t="s">
        <v>209</v>
      </c>
      <c r="B48" s="34" t="n">
        <v>16</v>
      </c>
      <c r="C48" s="36" t="n">
        <f aca="false">B48/DADOS!B19</f>
        <v>0.285714285714286</v>
      </c>
      <c r="D48" s="33" t="n">
        <v>1556</v>
      </c>
      <c r="E48" s="24"/>
      <c r="F48" s="24"/>
      <c r="G48" s="24"/>
      <c r="H48" s="37" t="s">
        <v>210</v>
      </c>
    </row>
    <row r="49" customFormat="false" ht="15" hidden="false" customHeight="false" outlineLevel="0" collapsed="false">
      <c r="A49" s="20" t="s">
        <v>211</v>
      </c>
      <c r="B49" s="34" t="n">
        <v>16</v>
      </c>
      <c r="C49" s="36" t="n">
        <f aca="false">B49/DADOS!B19</f>
        <v>0.285714285714286</v>
      </c>
      <c r="D49" s="33" t="n">
        <v>1556</v>
      </c>
      <c r="E49" s="24"/>
      <c r="F49" s="24"/>
      <c r="G49" s="24"/>
      <c r="H49" s="37" t="s">
        <v>212</v>
      </c>
    </row>
    <row r="50" customFormat="false" ht="15" hidden="false" customHeight="false" outlineLevel="0" collapsed="false">
      <c r="A50" s="20" t="s">
        <v>213</v>
      </c>
      <c r="B50" s="34" t="n">
        <v>16</v>
      </c>
      <c r="C50" s="36" t="n">
        <f aca="false">B50/DADOS!B19</f>
        <v>0.285714285714286</v>
      </c>
      <c r="D50" s="33" t="n">
        <v>1556</v>
      </c>
      <c r="E50" s="24"/>
      <c r="F50" s="24"/>
      <c r="G50" s="24"/>
      <c r="H50" s="37" t="s">
        <v>212</v>
      </c>
    </row>
    <row r="51" customFormat="false" ht="15" hidden="false" customHeight="false" outlineLevel="0" collapsed="false">
      <c r="A51" s="20" t="s">
        <v>214</v>
      </c>
      <c r="B51" s="34" t="n">
        <v>8</v>
      </c>
      <c r="C51" s="36" t="n">
        <f aca="false">B51/DADOS!B19</f>
        <v>0.142857142857143</v>
      </c>
      <c r="D51" s="33" t="n">
        <v>1232</v>
      </c>
      <c r="E51" s="24"/>
      <c r="F51" s="24"/>
      <c r="G51" s="24"/>
      <c r="H51" s="37" t="s">
        <v>215</v>
      </c>
    </row>
    <row r="52" customFormat="false" ht="15" hidden="false" customHeight="false" outlineLevel="0" collapsed="false">
      <c r="A52" s="20" t="s">
        <v>216</v>
      </c>
      <c r="B52" s="34" t="n">
        <v>2</v>
      </c>
      <c r="C52" s="36" t="n">
        <f aca="false">B52/DADOS!B19</f>
        <v>0.0357142857142857</v>
      </c>
      <c r="D52" s="38"/>
      <c r="E52" s="24"/>
      <c r="F52" s="24"/>
      <c r="G52" s="24"/>
      <c r="H52" s="37" t="s">
        <v>217</v>
      </c>
    </row>
    <row r="53" customFormat="false" ht="15" hidden="false" customHeight="false" outlineLevel="0" collapsed="false">
      <c r="A53" s="39" t="s">
        <v>218</v>
      </c>
      <c r="B53" s="40" t="n">
        <f aca="false">SUM(B48:B52)</f>
        <v>58</v>
      </c>
      <c r="C53" s="38"/>
      <c r="D53" s="38"/>
      <c r="E53" s="24"/>
      <c r="F53" s="24"/>
      <c r="G53" s="24"/>
      <c r="H53" s="37"/>
    </row>
    <row r="55" customFormat="false" ht="15" hidden="false" customHeight="false" outlineLevel="0" collapsed="false">
      <c r="A55" s="18" t="s">
        <v>219</v>
      </c>
      <c r="B55" s="18"/>
      <c r="C55" s="18"/>
      <c r="D55" s="18"/>
      <c r="E55" s="18"/>
      <c r="F55" s="18"/>
      <c r="G55" s="18"/>
      <c r="H55" s="18"/>
    </row>
    <row r="56" customFormat="false" ht="15" hidden="false" customHeight="false" outlineLevel="0" collapsed="false">
      <c r="A56" s="19" t="s">
        <v>220</v>
      </c>
      <c r="B56" s="19" t="s">
        <v>221</v>
      </c>
      <c r="C56" s="19" t="s">
        <v>222</v>
      </c>
      <c r="D56" s="19"/>
      <c r="E56" s="19"/>
      <c r="F56" s="19"/>
      <c r="G56" s="19"/>
      <c r="H56" s="19" t="s">
        <v>223</v>
      </c>
    </row>
    <row r="57" customFormat="false" ht="15" hidden="false" customHeight="false" outlineLevel="0" collapsed="false">
      <c r="A57" s="20" t="s">
        <v>224</v>
      </c>
      <c r="B57" s="33" t="n">
        <v>2400</v>
      </c>
      <c r="C57" s="36" t="n">
        <f aca="false">B57/DADOS!B14</f>
        <v>0.186336416424623</v>
      </c>
      <c r="D57" s="24"/>
      <c r="E57" s="24"/>
      <c r="F57" s="24"/>
      <c r="G57" s="24"/>
      <c r="H57" s="37" t="s">
        <v>225</v>
      </c>
    </row>
    <row r="58" customFormat="false" ht="15" hidden="false" customHeight="false" outlineLevel="0" collapsed="false">
      <c r="A58" s="20" t="s">
        <v>37</v>
      </c>
      <c r="B58" s="33" t="n">
        <v>1795</v>
      </c>
      <c r="C58" s="36" t="n">
        <f aca="false">B58/DADOS!B14</f>
        <v>0.139364111450916</v>
      </c>
      <c r="D58" s="24"/>
      <c r="E58" s="24"/>
      <c r="F58" s="24"/>
      <c r="G58" s="24"/>
      <c r="H58" s="37" t="s">
        <v>226</v>
      </c>
    </row>
    <row r="59" customFormat="false" ht="15" hidden="false" customHeight="false" outlineLevel="0" collapsed="false">
      <c r="A59" s="20" t="s">
        <v>227</v>
      </c>
      <c r="B59" s="33" t="n">
        <v>1795</v>
      </c>
      <c r="C59" s="36" t="n">
        <f aca="false">B59/DADOS!B14</f>
        <v>0.139364111450916</v>
      </c>
      <c r="D59" s="24"/>
      <c r="E59" s="24"/>
      <c r="F59" s="24"/>
      <c r="G59" s="24"/>
      <c r="H59" s="37" t="s">
        <v>228</v>
      </c>
    </row>
    <row r="60" customFormat="false" ht="15" hidden="false" customHeight="false" outlineLevel="0" collapsed="false">
      <c r="A60" s="20" t="s">
        <v>229</v>
      </c>
      <c r="B60" s="33" t="n">
        <v>1795</v>
      </c>
      <c r="C60" s="36" t="n">
        <f aca="false">B60/DADOS!B14</f>
        <v>0.139364111450916</v>
      </c>
      <c r="D60" s="24"/>
      <c r="E60" s="24"/>
      <c r="F60" s="24"/>
      <c r="G60" s="24"/>
      <c r="H60" s="37" t="s">
        <v>230</v>
      </c>
    </row>
    <row r="61" customFormat="false" ht="15" hidden="false" customHeight="false" outlineLevel="0" collapsed="false">
      <c r="A61" s="20" t="s">
        <v>209</v>
      </c>
      <c r="B61" s="33" t="n">
        <v>1556</v>
      </c>
      <c r="C61" s="36" t="n">
        <f aca="false">B61/DADOS!B14</f>
        <v>0.120808109981964</v>
      </c>
      <c r="D61" s="24"/>
      <c r="E61" s="24"/>
      <c r="F61" s="24"/>
      <c r="G61" s="24"/>
      <c r="H61" s="37" t="s">
        <v>231</v>
      </c>
    </row>
    <row r="62" customFormat="false" ht="15" hidden="false" customHeight="false" outlineLevel="0" collapsed="false">
      <c r="A62" s="20" t="s">
        <v>211</v>
      </c>
      <c r="B62" s="33" t="n">
        <v>1556</v>
      </c>
      <c r="C62" s="36" t="n">
        <f aca="false">B62/DADOS!B14</f>
        <v>0.120808109981964</v>
      </c>
      <c r="D62" s="24"/>
      <c r="E62" s="24"/>
      <c r="F62" s="24"/>
      <c r="G62" s="24"/>
      <c r="H62" s="37" t="s">
        <v>231</v>
      </c>
    </row>
    <row r="63" customFormat="false" ht="15" hidden="false" customHeight="false" outlineLevel="0" collapsed="false">
      <c r="A63" s="20" t="s">
        <v>213</v>
      </c>
      <c r="B63" s="33" t="n">
        <v>1556</v>
      </c>
      <c r="C63" s="36" t="n">
        <f aca="false">B63/DADOS!B14</f>
        <v>0.120808109981964</v>
      </c>
      <c r="D63" s="24"/>
      <c r="E63" s="24"/>
      <c r="F63" s="24"/>
      <c r="G63" s="24"/>
      <c r="H63" s="37" t="s">
        <v>231</v>
      </c>
    </row>
    <row r="64" customFormat="false" ht="15" hidden="false" customHeight="false" outlineLevel="0" collapsed="false">
      <c r="A64" s="20" t="s">
        <v>214</v>
      </c>
      <c r="B64" s="33" t="n">
        <v>1232</v>
      </c>
      <c r="C64" s="36" t="n">
        <f aca="false">B64/DADOS!B14</f>
        <v>0.09565269376464</v>
      </c>
      <c r="D64" s="24"/>
      <c r="E64" s="24"/>
      <c r="F64" s="24"/>
      <c r="G64" s="24"/>
      <c r="H64" s="37" t="s">
        <v>232</v>
      </c>
    </row>
    <row r="65" customFormat="false" ht="15" hidden="false" customHeight="false" outlineLevel="0" collapsed="false">
      <c r="A65" s="20" t="s">
        <v>233</v>
      </c>
      <c r="B65" s="33" t="n">
        <v>195</v>
      </c>
      <c r="C65" s="36" t="n">
        <f aca="false">B65/DADOS!B14</f>
        <v>0.0151398338345007</v>
      </c>
      <c r="D65" s="24"/>
      <c r="E65" s="24"/>
      <c r="F65" s="24"/>
      <c r="G65" s="24"/>
      <c r="H65" s="37" t="s">
        <v>234</v>
      </c>
    </row>
    <row r="66" customFormat="false" ht="15" hidden="false" customHeight="false" outlineLevel="0" collapsed="false">
      <c r="A66" s="39" t="s">
        <v>218</v>
      </c>
      <c r="B66" s="41" t="n">
        <f aca="false">SUM(B57:B65)</f>
        <v>13880</v>
      </c>
      <c r="C66" s="42" t="n">
        <f aca="false">B66/DADOS!B14</f>
        <v>1.07764560832241</v>
      </c>
      <c r="D66" s="24"/>
      <c r="E66" s="24"/>
      <c r="F66" s="24"/>
      <c r="G66" s="24"/>
      <c r="H66" s="24"/>
    </row>
    <row r="68" customFormat="false" ht="15" hidden="false" customHeight="false" outlineLevel="0" collapsed="false">
      <c r="A68" s="43" t="s">
        <v>235</v>
      </c>
      <c r="B68" s="43"/>
      <c r="C68" s="43"/>
      <c r="D68" s="43"/>
      <c r="E68" s="43"/>
      <c r="F68" s="43"/>
      <c r="G68" s="43"/>
      <c r="H68" s="43"/>
    </row>
    <row r="69" customFormat="false" ht="15" hidden="false" customHeight="false" outlineLevel="0" collapsed="false">
      <c r="A69" s="44" t="s">
        <v>236</v>
      </c>
      <c r="B69" s="44"/>
      <c r="C69" s="44"/>
      <c r="D69" s="44"/>
      <c r="E69" s="44"/>
      <c r="F69" s="44"/>
      <c r="G69" s="44"/>
      <c r="H69" s="44"/>
    </row>
    <row r="70" customFormat="false" ht="15" hidden="false" customHeight="false" outlineLevel="0" collapsed="false">
      <c r="A70" s="44" t="s">
        <v>237</v>
      </c>
      <c r="B70" s="44"/>
      <c r="C70" s="44"/>
      <c r="D70" s="44"/>
      <c r="E70" s="44"/>
      <c r="F70" s="44"/>
      <c r="G70" s="44"/>
      <c r="H70" s="44"/>
    </row>
    <row r="71" customFormat="false" ht="15" hidden="false" customHeight="false" outlineLevel="0" collapsed="false">
      <c r="A71" s="44" t="s">
        <v>238</v>
      </c>
      <c r="B71" s="44"/>
      <c r="C71" s="44"/>
      <c r="D71" s="44"/>
      <c r="E71" s="44"/>
      <c r="F71" s="44"/>
      <c r="G71" s="44"/>
      <c r="H71" s="44"/>
    </row>
    <row r="72" customFormat="false" ht="15" hidden="false" customHeight="false" outlineLevel="0" collapsed="false">
      <c r="A72" s="44" t="s">
        <v>239</v>
      </c>
      <c r="B72" s="44"/>
      <c r="C72" s="44"/>
      <c r="D72" s="44"/>
      <c r="E72" s="44"/>
      <c r="F72" s="44"/>
      <c r="G72" s="44"/>
      <c r="H72" s="44"/>
    </row>
    <row r="73" customFormat="false" ht="15" hidden="false" customHeight="false" outlineLevel="0" collapsed="false">
      <c r="A73" s="44" t="s">
        <v>240</v>
      </c>
      <c r="B73" s="44"/>
      <c r="C73" s="44"/>
      <c r="D73" s="44"/>
      <c r="E73" s="44"/>
      <c r="F73" s="44"/>
      <c r="G73" s="44"/>
      <c r="H73" s="44"/>
    </row>
  </sheetData>
  <mergeCells count="14">
    <mergeCell ref="A1:H1"/>
    <mergeCell ref="A3:H3"/>
    <mergeCell ref="A10:H10"/>
    <mergeCell ref="A18:H18"/>
    <mergeCell ref="A27:H27"/>
    <mergeCell ref="A33:H33"/>
    <mergeCell ref="A46:H46"/>
    <mergeCell ref="A55:H55"/>
    <mergeCell ref="A68:H68"/>
    <mergeCell ref="A69:H69"/>
    <mergeCell ref="A70:H70"/>
    <mergeCell ref="A71:H71"/>
    <mergeCell ref="A72:H72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  <col collapsed="false" customWidth="true" hidden="false" outlineLevel="0" max="7" min="7" style="0" width="15"/>
  </cols>
  <sheetData>
    <row r="1" customFormat="false" ht="17.25" hidden="false" customHeight="true" outlineLevel="0" collapsed="false">
      <c r="A1" s="45" t="s">
        <v>241</v>
      </c>
      <c r="B1" s="45"/>
      <c r="C1" s="45"/>
      <c r="D1" s="45"/>
      <c r="E1" s="45"/>
      <c r="F1" s="45"/>
      <c r="G1" s="45"/>
    </row>
    <row r="3" customFormat="false" ht="26.25" hidden="false" customHeight="true" outlineLevel="0" collapsed="false">
      <c r="A3" s="46" t="s">
        <v>242</v>
      </c>
      <c r="B3" s="46" t="s">
        <v>243</v>
      </c>
      <c r="C3" s="46" t="s">
        <v>68</v>
      </c>
      <c r="D3" s="46" t="s">
        <v>244</v>
      </c>
      <c r="E3" s="46" t="s">
        <v>245</v>
      </c>
      <c r="F3" s="46" t="s">
        <v>246</v>
      </c>
      <c r="G3" s="46" t="s">
        <v>19</v>
      </c>
    </row>
    <row r="4" customFormat="false" ht="15" hidden="false" customHeight="true" outlineLevel="0" collapsed="false">
      <c r="A4" s="3" t="s">
        <v>247</v>
      </c>
      <c r="B4" s="47" t="n">
        <v>1</v>
      </c>
      <c r="C4" s="47" t="n">
        <v>3</v>
      </c>
      <c r="D4" s="47" t="n">
        <v>3</v>
      </c>
      <c r="E4" s="47" t="n">
        <v>2</v>
      </c>
      <c r="F4" s="47" t="n">
        <v>3</v>
      </c>
      <c r="G4" s="5" t="s">
        <v>248</v>
      </c>
    </row>
    <row r="5" customFormat="false" ht="15" hidden="false" customHeight="true" outlineLevel="0" collapsed="false">
      <c r="A5" s="3" t="s">
        <v>249</v>
      </c>
      <c r="B5" s="48" t="n">
        <v>1.2</v>
      </c>
      <c r="C5" s="48" t="n">
        <v>1.1</v>
      </c>
      <c r="D5" s="48" t="n">
        <v>1.1</v>
      </c>
      <c r="E5" s="48" t="n">
        <v>2.1</v>
      </c>
      <c r="F5" s="48" t="n">
        <v>2.1</v>
      </c>
      <c r="G5" s="5" t="s">
        <v>250</v>
      </c>
    </row>
    <row r="6" customFormat="false" ht="15" hidden="false" customHeight="true" outlineLevel="0" collapsed="false">
      <c r="A6" s="3" t="s">
        <v>251</v>
      </c>
      <c r="B6" s="48" t="n">
        <v>0.22</v>
      </c>
      <c r="C6" s="48" t="n">
        <v>0.23</v>
      </c>
      <c r="D6" s="48" t="n">
        <v>0.25</v>
      </c>
      <c r="E6" s="48" t="n">
        <v>0.25</v>
      </c>
      <c r="F6" s="48" t="n">
        <v>0.25</v>
      </c>
      <c r="G6" s="5" t="s">
        <v>252</v>
      </c>
    </row>
    <row r="7" customFormat="false" ht="15" hidden="false" customHeight="true" outlineLevel="0" collapsed="false">
      <c r="A7" s="3" t="s">
        <v>253</v>
      </c>
      <c r="B7" s="47" t="n">
        <v>78</v>
      </c>
      <c r="C7" s="47" t="n">
        <v>78</v>
      </c>
      <c r="D7" s="47" t="n">
        <v>100</v>
      </c>
      <c r="E7" s="47" t="n">
        <v>110</v>
      </c>
      <c r="F7" s="47" t="n">
        <v>90</v>
      </c>
      <c r="G7" s="5" t="s">
        <v>254</v>
      </c>
    </row>
    <row r="8" customFormat="false" ht="15" hidden="false" customHeight="true" outlineLevel="0" collapsed="false">
      <c r="A8" s="3" t="s">
        <v>255</v>
      </c>
      <c r="B8" s="47" t="n">
        <v>240</v>
      </c>
      <c r="C8" s="47" t="n">
        <v>290</v>
      </c>
      <c r="D8" s="47" t="n">
        <v>280</v>
      </c>
      <c r="E8" s="47" t="n">
        <v>240</v>
      </c>
      <c r="F8" s="47" t="n">
        <v>240</v>
      </c>
      <c r="G8" s="5" t="s">
        <v>256</v>
      </c>
    </row>
    <row r="9" customFormat="false" ht="15" hidden="false" customHeight="false" outlineLevel="0" collapsed="false">
      <c r="A9" s="49" t="s">
        <v>257</v>
      </c>
      <c r="B9" s="50" t="n">
        <v>580</v>
      </c>
      <c r="C9" s="50" t="n">
        <v>640</v>
      </c>
      <c r="D9" s="50" t="n">
        <v>700</v>
      </c>
      <c r="E9" s="50" t="n">
        <v>720</v>
      </c>
      <c r="F9" s="50" t="n">
        <v>670</v>
      </c>
      <c r="G9" s="50" t="s">
        <v>256</v>
      </c>
    </row>
    <row r="10" customFormat="false" ht="15" hidden="false" customHeight="true" outlineLevel="0" collapsed="false">
      <c r="A10" s="51" t="s">
        <v>258</v>
      </c>
      <c r="B10" s="51"/>
      <c r="C10" s="51"/>
      <c r="D10" s="51"/>
      <c r="E10" s="51"/>
      <c r="F10" s="51"/>
      <c r="G10" s="51"/>
    </row>
    <row r="11" customFormat="false" ht="15" hidden="false" customHeight="true" outlineLevel="0" collapsed="false">
      <c r="A11" s="46" t="s">
        <v>259</v>
      </c>
      <c r="B11" s="46" t="s">
        <v>130</v>
      </c>
      <c r="C11" s="46" t="s">
        <v>19</v>
      </c>
      <c r="D11" s="46" t="s">
        <v>260</v>
      </c>
      <c r="E11" s="46"/>
      <c r="F11" s="46"/>
      <c r="G11" s="46" t="s">
        <v>261</v>
      </c>
    </row>
    <row r="12" customFormat="false" ht="15" hidden="false" customHeight="true" outlineLevel="0" collapsed="false">
      <c r="A12" s="3" t="s">
        <v>262</v>
      </c>
      <c r="B12" s="48" t="n">
        <v>0.14</v>
      </c>
      <c r="C12" s="52" t="s">
        <v>143</v>
      </c>
      <c r="D12" s="52" t="s">
        <v>263</v>
      </c>
    </row>
    <row r="13" customFormat="false" ht="15" hidden="false" customHeight="true" outlineLevel="0" collapsed="false">
      <c r="A13" s="3" t="s">
        <v>264</v>
      </c>
      <c r="B13" s="48" t="n">
        <v>0.15</v>
      </c>
      <c r="C13" s="52" t="s">
        <v>143</v>
      </c>
      <c r="D13" s="52" t="s">
        <v>263</v>
      </c>
    </row>
    <row r="14" customFormat="false" ht="15" hidden="false" customHeight="true" outlineLevel="0" collapsed="false">
      <c r="A14" s="3" t="s">
        <v>265</v>
      </c>
      <c r="B14" s="48" t="n">
        <v>1.1</v>
      </c>
      <c r="C14" s="52" t="s">
        <v>266</v>
      </c>
      <c r="D14" s="52" t="s">
        <v>263</v>
      </c>
    </row>
    <row r="15" customFormat="false" ht="15" hidden="false" customHeight="true" outlineLevel="0" collapsed="false">
      <c r="A15" s="3" t="s">
        <v>267</v>
      </c>
      <c r="B15" s="48" t="n">
        <v>0.6</v>
      </c>
      <c r="C15" s="52" t="s">
        <v>268</v>
      </c>
      <c r="D15" s="52" t="s">
        <v>263</v>
      </c>
    </row>
    <row r="16" customFormat="false" ht="15" hidden="false" customHeight="true" outlineLevel="0" collapsed="false">
      <c r="A16" s="3" t="s">
        <v>269</v>
      </c>
      <c r="B16" s="47" t="n">
        <v>70</v>
      </c>
      <c r="C16" s="52" t="s">
        <v>254</v>
      </c>
      <c r="D16" s="52" t="s">
        <v>270</v>
      </c>
    </row>
    <row r="17" customFormat="false" ht="15" hidden="false" customHeight="true" outlineLevel="0" collapsed="false">
      <c r="A17" s="3" t="s">
        <v>271</v>
      </c>
      <c r="B17" s="48" t="n">
        <v>2.1</v>
      </c>
      <c r="C17" s="52" t="s">
        <v>266</v>
      </c>
      <c r="D17" s="52" t="s">
        <v>263</v>
      </c>
    </row>
    <row r="18" customFormat="false" ht="15" hidden="false" customHeight="true" outlineLevel="0" collapsed="false">
      <c r="A18" s="3" t="s">
        <v>272</v>
      </c>
      <c r="B18" s="48" t="n">
        <v>0.65</v>
      </c>
      <c r="C18" s="52" t="s">
        <v>268</v>
      </c>
      <c r="D18" s="52" t="s">
        <v>263</v>
      </c>
    </row>
    <row r="19" customFormat="false" ht="15" hidden="false" customHeight="true" outlineLevel="0" collapsed="false">
      <c r="A19" s="3" t="s">
        <v>273</v>
      </c>
      <c r="B19" s="48" t="n">
        <v>0.8</v>
      </c>
      <c r="C19" s="52" t="s">
        <v>266</v>
      </c>
      <c r="D19" s="52" t="s">
        <v>263</v>
      </c>
    </row>
    <row r="20" customFormat="false" ht="15" hidden="false" customHeight="true" outlineLevel="0" collapsed="false">
      <c r="A20" s="3" t="s">
        <v>274</v>
      </c>
      <c r="B20" s="48" t="n">
        <v>1.3</v>
      </c>
      <c r="C20" s="52" t="s">
        <v>275</v>
      </c>
      <c r="D20" s="52" t="s">
        <v>276</v>
      </c>
    </row>
    <row r="21" customFormat="false" ht="15" hidden="false" customHeight="true" outlineLevel="0" collapsed="false">
      <c r="A21" s="3" t="s">
        <v>277</v>
      </c>
      <c r="B21" s="48" t="n">
        <v>0.6</v>
      </c>
      <c r="C21" s="52" t="s">
        <v>250</v>
      </c>
      <c r="D21" s="52" t="s">
        <v>278</v>
      </c>
    </row>
    <row r="22" customFormat="false" ht="15" hidden="false" customHeight="true" outlineLevel="0" collapsed="false">
      <c r="A22" s="3" t="s">
        <v>279</v>
      </c>
      <c r="B22" s="48" t="n">
        <v>0.8</v>
      </c>
      <c r="C22" s="52" t="s">
        <v>250</v>
      </c>
      <c r="D22" s="52" t="s">
        <v>278</v>
      </c>
    </row>
    <row r="23" customFormat="false" ht="15" hidden="false" customHeight="true" outlineLevel="0" collapsed="false">
      <c r="A23" s="3" t="s">
        <v>280</v>
      </c>
      <c r="B23" s="48" t="n">
        <v>0.62</v>
      </c>
      <c r="C23" s="52" t="s">
        <v>250</v>
      </c>
      <c r="D23" s="52" t="s">
        <v>278</v>
      </c>
    </row>
    <row r="24" customFormat="false" ht="15" hidden="false" customHeight="true" outlineLevel="0" collapsed="false">
      <c r="A24" s="3" t="s">
        <v>281</v>
      </c>
      <c r="B24" s="48" t="n">
        <v>0.8</v>
      </c>
      <c r="C24" s="52" t="s">
        <v>282</v>
      </c>
      <c r="D24" s="52" t="s">
        <v>280</v>
      </c>
    </row>
    <row r="25" customFormat="false" ht="15" hidden="false" customHeight="true" outlineLevel="0" collapsed="false">
      <c r="A25" s="3" t="s">
        <v>283</v>
      </c>
      <c r="B25" s="48" t="n">
        <v>0.6</v>
      </c>
      <c r="C25" s="52" t="s">
        <v>250</v>
      </c>
      <c r="D25" s="52" t="s">
        <v>278</v>
      </c>
    </row>
    <row r="26" customFormat="false" ht="15" hidden="false" customHeight="true" outlineLevel="0" collapsed="false">
      <c r="A26" s="3" t="s">
        <v>284</v>
      </c>
      <c r="B26" s="48" t="n">
        <v>0.2</v>
      </c>
      <c r="C26" s="52" t="s">
        <v>250</v>
      </c>
      <c r="D26" s="52" t="s">
        <v>278</v>
      </c>
    </row>
    <row r="27" customFormat="false" ht="15" hidden="false" customHeight="true" outlineLevel="0" collapsed="false">
      <c r="A27" s="3" t="s">
        <v>285</v>
      </c>
      <c r="B27" s="48" t="n">
        <v>0.15</v>
      </c>
      <c r="C27" s="52" t="s">
        <v>250</v>
      </c>
      <c r="D27" s="52" t="s">
        <v>278</v>
      </c>
    </row>
    <row r="28" customFormat="false" ht="15" hidden="false" customHeight="true" outlineLevel="0" collapsed="false">
      <c r="A28" s="3" t="s">
        <v>286</v>
      </c>
      <c r="B28" s="47" t="n">
        <v>2</v>
      </c>
      <c r="C28" s="52" t="s">
        <v>287</v>
      </c>
      <c r="D28" s="52" t="s">
        <v>165</v>
      </c>
    </row>
    <row r="29" customFormat="false" ht="15" hidden="false" customHeight="true" outlineLevel="0" collapsed="false">
      <c r="A29" s="3" t="s">
        <v>288</v>
      </c>
      <c r="B29" s="47" t="n">
        <v>11</v>
      </c>
      <c r="C29" s="52" t="s">
        <v>289</v>
      </c>
      <c r="D29" s="52" t="s">
        <v>165</v>
      </c>
    </row>
    <row r="30" customFormat="false" ht="15" hidden="false" customHeight="true" outlineLevel="0" collapsed="false">
      <c r="A30" s="3" t="s">
        <v>290</v>
      </c>
      <c r="B30" s="48" t="n">
        <v>153.5</v>
      </c>
      <c r="C30" s="52" t="s">
        <v>256</v>
      </c>
      <c r="D30" s="52" t="s">
        <v>278</v>
      </c>
    </row>
    <row r="31" customFormat="false" ht="15" hidden="false" customHeight="true" outlineLevel="0" collapsed="false">
      <c r="A31" s="3" t="s">
        <v>291</v>
      </c>
      <c r="B31" s="48" t="n">
        <v>145</v>
      </c>
      <c r="C31" s="52" t="s">
        <v>256</v>
      </c>
      <c r="D31" s="52" t="s">
        <v>278</v>
      </c>
    </row>
    <row r="32" customFormat="false" ht="15" hidden="false" customHeight="true" outlineLevel="0" collapsed="false">
      <c r="A32" s="3" t="s">
        <v>292</v>
      </c>
      <c r="B32" s="48" t="n">
        <v>41</v>
      </c>
      <c r="C32" s="52" t="s">
        <v>256</v>
      </c>
      <c r="D32" s="52" t="s">
        <v>278</v>
      </c>
    </row>
    <row r="35" customFormat="false" ht="15" hidden="false" customHeight="true" outlineLevel="0" collapsed="false">
      <c r="A35" s="51" t="s">
        <v>293</v>
      </c>
      <c r="B35" s="51"/>
      <c r="C35" s="51"/>
      <c r="D35" s="51"/>
      <c r="E35" s="51"/>
      <c r="F35" s="51"/>
      <c r="G35" s="51"/>
    </row>
    <row r="36" customFormat="false" ht="15" hidden="false" customHeight="true" outlineLevel="0" collapsed="false">
      <c r="A36" s="3" t="s">
        <v>294</v>
      </c>
      <c r="B36" s="47" t="n">
        <v>75</v>
      </c>
    </row>
    <row r="37" customFormat="false" ht="15" hidden="false" customHeight="true" outlineLevel="0" collapsed="false">
      <c r="A37" s="3" t="s">
        <v>295</v>
      </c>
      <c r="B37" s="47" t="n">
        <v>45</v>
      </c>
    </row>
    <row r="38" customFormat="false" ht="15" hidden="false" customHeight="true" outlineLevel="0" collapsed="false">
      <c r="A38" s="3" t="s">
        <v>296</v>
      </c>
      <c r="B38" s="47" t="n">
        <v>30</v>
      </c>
    </row>
    <row r="39" customFormat="false" ht="15" hidden="false" customHeight="true" outlineLevel="0" collapsed="false">
      <c r="A39" s="3" t="s">
        <v>297</v>
      </c>
      <c r="B39" s="47" t="n">
        <v>25</v>
      </c>
    </row>
    <row r="40" customFormat="false" ht="15" hidden="false" customHeight="true" outlineLevel="0" collapsed="false">
      <c r="A40" s="3" t="s">
        <v>298</v>
      </c>
      <c r="B40" s="47" t="n">
        <v>20</v>
      </c>
    </row>
    <row r="41" customFormat="false" ht="15" hidden="false" customHeight="true" outlineLevel="0" collapsed="false">
      <c r="A41" s="3" t="s">
        <v>299</v>
      </c>
      <c r="B41" s="47" t="n">
        <v>15</v>
      </c>
    </row>
    <row r="42" customFormat="false" ht="15" hidden="false" customHeight="true" outlineLevel="0" collapsed="false">
      <c r="A42" s="3" t="s">
        <v>300</v>
      </c>
      <c r="B42" s="47" t="n">
        <v>11</v>
      </c>
    </row>
    <row r="43" customFormat="false" ht="15" hidden="false" customHeight="true" outlineLevel="0" collapsed="false">
      <c r="A43" s="3" t="s">
        <v>301</v>
      </c>
      <c r="B43" s="47" t="n">
        <v>10</v>
      </c>
    </row>
    <row r="44" customFormat="false" ht="15" hidden="false" customHeight="true" outlineLevel="0" collapsed="false">
      <c r="A44" s="3" t="s">
        <v>302</v>
      </c>
      <c r="B44" s="47" t="n">
        <v>5</v>
      </c>
    </row>
    <row r="45" customFormat="false" ht="15" hidden="false" customHeight="true" outlineLevel="0" collapsed="false">
      <c r="A45" s="3" t="s">
        <v>303</v>
      </c>
      <c r="B45" s="47" t="n">
        <v>5</v>
      </c>
    </row>
    <row r="46" customFormat="false" ht="15" hidden="false" customHeight="true" outlineLevel="0" collapsed="false">
      <c r="A46" s="3" t="s">
        <v>304</v>
      </c>
      <c r="B46" s="47" t="n">
        <v>4</v>
      </c>
    </row>
    <row r="48" customFormat="false" ht="15" hidden="false" customHeight="true" outlineLevel="0" collapsed="false">
      <c r="A48" s="51" t="s">
        <v>305</v>
      </c>
      <c r="B48" s="51"/>
      <c r="C48" s="51"/>
      <c r="D48" s="51"/>
      <c r="E48" s="51"/>
      <c r="F48" s="51"/>
      <c r="G48" s="51"/>
    </row>
    <row r="49" customFormat="false" ht="15" hidden="false" customHeight="true" outlineLevel="0" collapsed="false">
      <c r="A49" s="3" t="s">
        <v>306</v>
      </c>
      <c r="B49" s="53" t="n">
        <v>1.1</v>
      </c>
      <c r="C49" s="5" t="s">
        <v>307</v>
      </c>
    </row>
    <row r="50" customFormat="false" ht="15" hidden="false" customHeight="true" outlineLevel="0" collapsed="false">
      <c r="A50" s="3" t="s">
        <v>308</v>
      </c>
      <c r="B50" s="53" t="n">
        <v>1.3</v>
      </c>
      <c r="C50" s="5" t="s">
        <v>309</v>
      </c>
    </row>
    <row r="51" customFormat="false" ht="15" hidden="false" customHeight="true" outlineLevel="0" collapsed="false">
      <c r="A51" s="3" t="s">
        <v>310</v>
      </c>
      <c r="B51" s="53" t="n">
        <v>1.05</v>
      </c>
      <c r="C51" s="5" t="s">
        <v>311</v>
      </c>
    </row>
    <row r="52" customFormat="false" ht="15" hidden="false" customHeight="true" outlineLevel="0" collapsed="false">
      <c r="A52" s="3" t="s">
        <v>312</v>
      </c>
      <c r="B52" s="53" t="n">
        <v>1.05</v>
      </c>
      <c r="C52" s="5" t="s">
        <v>313</v>
      </c>
    </row>
    <row r="53" customFormat="false" ht="15" hidden="false" customHeight="true" outlineLevel="0" collapsed="false">
      <c r="A53" s="3" t="s">
        <v>314</v>
      </c>
      <c r="B53" s="53" t="n">
        <v>1.3</v>
      </c>
      <c r="C53" s="5" t="s">
        <v>315</v>
      </c>
    </row>
    <row r="54" customFormat="false" ht="15" hidden="false" customHeight="true" outlineLevel="0" collapsed="false">
      <c r="A54" s="3" t="s">
        <v>316</v>
      </c>
      <c r="B54" s="53" t="n">
        <v>1.5</v>
      </c>
      <c r="C54" s="5" t="s">
        <v>317</v>
      </c>
    </row>
    <row r="56" customFormat="false" ht="15" hidden="false" customHeight="false" outlineLevel="0" collapsed="false">
      <c r="A56" s="54" t="s">
        <v>318</v>
      </c>
    </row>
    <row r="57" customFormat="false" ht="15" hidden="false" customHeight="false" outlineLevel="0" collapsed="false">
      <c r="A57" s="55" t="s">
        <v>319</v>
      </c>
      <c r="B57" s="55" t="s">
        <v>73</v>
      </c>
      <c r="C57" s="55" t="s">
        <v>320</v>
      </c>
      <c r="D57" s="55" t="s">
        <v>321</v>
      </c>
    </row>
    <row r="58" customFormat="false" ht="15" hidden="false" customHeight="false" outlineLevel="0" collapsed="false">
      <c r="A58" s="56" t="s">
        <v>322</v>
      </c>
      <c r="B58" s="50" t="n">
        <v>211</v>
      </c>
      <c r="C58" s="50" t="n">
        <v>300</v>
      </c>
      <c r="D58" s="50" t="n">
        <v>417</v>
      </c>
    </row>
    <row r="59" customFormat="false" ht="15" hidden="false" customHeight="false" outlineLevel="0" collapsed="false">
      <c r="A59" s="56" t="s">
        <v>323</v>
      </c>
      <c r="B59" s="50" t="n">
        <v>140</v>
      </c>
      <c r="C59" s="50" t="n">
        <v>200</v>
      </c>
      <c r="D59" s="50" t="n">
        <v>290</v>
      </c>
    </row>
    <row r="60" customFormat="false" ht="15" hidden="false" customHeight="false" outlineLevel="0" collapsed="false">
      <c r="A60" s="56" t="s">
        <v>324</v>
      </c>
      <c r="B60" s="50" t="n">
        <v>133</v>
      </c>
      <c r="C60" s="50" t="n">
        <v>250</v>
      </c>
      <c r="D60" s="50" t="n">
        <v>389</v>
      </c>
    </row>
    <row r="61" customFormat="false" ht="15" hidden="false" customHeight="false" outlineLevel="0" collapsed="false">
      <c r="A61" s="56" t="s">
        <v>325</v>
      </c>
      <c r="B61" s="50" t="n">
        <v>25</v>
      </c>
      <c r="C61" s="50" t="n">
        <v>30</v>
      </c>
      <c r="D61" s="50" t="n">
        <v>33</v>
      </c>
    </row>
    <row r="62" customFormat="false" ht="15" hidden="false" customHeight="false" outlineLevel="0" collapsed="false">
      <c r="A62" s="56" t="s">
        <v>326</v>
      </c>
      <c r="B62" s="50" t="n">
        <v>53</v>
      </c>
      <c r="C62" s="50" t="n">
        <v>75</v>
      </c>
      <c r="D62" s="50" t="n">
        <v>100</v>
      </c>
    </row>
    <row r="63" customFormat="false" ht="15" hidden="false" customHeight="false" outlineLevel="0" collapsed="false">
      <c r="A63" s="56" t="s">
        <v>327</v>
      </c>
      <c r="B63" s="50" t="n">
        <v>115</v>
      </c>
      <c r="C63" s="50" t="n">
        <v>155</v>
      </c>
      <c r="D63" s="50" t="n">
        <v>199</v>
      </c>
    </row>
    <row r="65" customFormat="false" ht="15" hidden="false" customHeight="false" outlineLevel="0" collapsed="false">
      <c r="A65" s="57" t="s">
        <v>328</v>
      </c>
    </row>
    <row r="66" customFormat="false" ht="15" hidden="false" customHeight="false" outlineLevel="0" collapsed="false">
      <c r="A66" s="58" t="s">
        <v>116</v>
      </c>
      <c r="B66" s="59" t="n">
        <v>1</v>
      </c>
    </row>
    <row r="67" customFormat="false" ht="15" hidden="false" customHeight="false" outlineLevel="0" collapsed="false">
      <c r="A67" s="58" t="s">
        <v>329</v>
      </c>
      <c r="B67" s="59" t="n">
        <v>1.08</v>
      </c>
    </row>
    <row r="68" customFormat="false" ht="15" hidden="false" customHeight="false" outlineLevel="0" collapsed="false">
      <c r="A68" s="58" t="s">
        <v>330</v>
      </c>
      <c r="B68" s="59" t="n">
        <v>0.85</v>
      </c>
    </row>
    <row r="70" customFormat="false" ht="15" hidden="false" customHeight="false" outlineLevel="0" collapsed="false">
      <c r="A70" s="57" t="s">
        <v>331</v>
      </c>
    </row>
    <row r="71" customFormat="false" ht="15" hidden="false" customHeight="false" outlineLevel="0" collapsed="false">
      <c r="A71" s="58" t="s">
        <v>119</v>
      </c>
      <c r="B71" s="59" t="n">
        <v>1</v>
      </c>
    </row>
    <row r="72" customFormat="false" ht="15" hidden="false" customHeight="false" outlineLevel="0" collapsed="false">
      <c r="A72" s="58" t="s">
        <v>332</v>
      </c>
      <c r="B72" s="59" t="n">
        <v>1.15</v>
      </c>
    </row>
    <row r="73" customFormat="false" ht="15" hidden="false" customHeight="false" outlineLevel="0" collapsed="false">
      <c r="A73" s="58" t="s">
        <v>333</v>
      </c>
      <c r="B73" s="59" t="n">
        <v>1.05</v>
      </c>
    </row>
    <row r="74" customFormat="false" ht="15" hidden="false" customHeight="false" outlineLevel="0" collapsed="false">
      <c r="A74" s="58" t="s">
        <v>334</v>
      </c>
      <c r="B74" s="59" t="n">
        <v>0.95</v>
      </c>
    </row>
  </sheetData>
  <mergeCells count="4">
    <mergeCell ref="A1:G1"/>
    <mergeCell ref="A10:G10"/>
    <mergeCell ref="A35:G35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6" min="3" style="0" width="18"/>
    <col collapsed="false" customWidth="true" hidden="false" outlineLevel="0" max="7" min="7" style="0" width="12"/>
    <col collapsed="false" customWidth="true" hidden="false" outlineLevel="0" max="8" min="8" style="0" width="28"/>
  </cols>
  <sheetData>
    <row r="1" customFormat="false" ht="17.25" hidden="false" customHeight="true" outlineLevel="0" collapsed="false">
      <c r="A1" s="60" t="s">
        <v>335</v>
      </c>
      <c r="B1" s="60"/>
      <c r="C1" s="60"/>
      <c r="D1" s="60"/>
      <c r="E1" s="60"/>
      <c r="F1" s="60"/>
      <c r="G1" s="60"/>
    </row>
    <row r="2" customFormat="false" ht="15" hidden="false" customHeight="true" outlineLevel="0" collapsed="false">
      <c r="A2" s="61" t="s">
        <v>336</v>
      </c>
      <c r="B2" s="62" t="n">
        <f aca="false">DADOS!B14</f>
        <v>12879.93</v>
      </c>
      <c r="C2" s="61" t="s">
        <v>337</v>
      </c>
      <c r="D2" s="63" t="n">
        <v>1.1</v>
      </c>
    </row>
    <row r="4" customFormat="false" ht="26.25" hidden="false" customHeight="true" outlineLevel="0" collapsed="false">
      <c r="A4" s="64" t="s">
        <v>338</v>
      </c>
      <c r="B4" s="64" t="s">
        <v>319</v>
      </c>
      <c r="C4" s="64" t="s">
        <v>339</v>
      </c>
      <c r="D4" s="64" t="s">
        <v>340</v>
      </c>
      <c r="E4" s="64" t="s">
        <v>207</v>
      </c>
      <c r="F4" s="64" t="s">
        <v>341</v>
      </c>
      <c r="G4" s="64" t="s">
        <v>342</v>
      </c>
      <c r="H4" s="12" t="s">
        <v>343</v>
      </c>
    </row>
    <row r="5" customFormat="false" ht="15" hidden="false" customHeight="true" outlineLevel="0" collapsed="false">
      <c r="A5" s="65" t="n">
        <v>1</v>
      </c>
      <c r="B5" s="66" t="s">
        <v>344</v>
      </c>
      <c r="C5" s="67" t="n">
        <v>450</v>
      </c>
      <c r="D5" s="68" t="n">
        <f aca="false">C5*$B$2*$D$2</f>
        <v>6375565.35</v>
      </c>
      <c r="E5" s="69" t="n">
        <f aca="false">IF($D$23=0,"",D5/$D$23)</f>
        <v>0.136281041792853</v>
      </c>
      <c r="F5" s="70" t="n">
        <v>450</v>
      </c>
      <c r="G5" s="65" t="str">
        <f aca="false">IF(C5="","",IF(C5&gt;F5*1.15,"⚠ ACIMA",IF(C5&lt;F5*0.85,"↓ ABAIXO","✓ OK")))</f>
        <v>✓ OK</v>
      </c>
      <c r="H5" s="71" t="s">
        <v>345</v>
      </c>
    </row>
    <row r="6" customFormat="false" ht="15" hidden="false" customHeight="true" outlineLevel="0" collapsed="false">
      <c r="A6" s="65" t="n">
        <v>2</v>
      </c>
      <c r="B6" s="66" t="s">
        <v>346</v>
      </c>
      <c r="C6" s="67" t="n">
        <v>15</v>
      </c>
      <c r="D6" s="68" t="n">
        <f aca="false">C6*$B$2*$D$2</f>
        <v>212518.845</v>
      </c>
      <c r="E6" s="69" t="n">
        <f aca="false">IF($D$23=0,"",D6/$D$23)</f>
        <v>0.00454270139309509</v>
      </c>
      <c r="F6" s="70" t="n">
        <v>15</v>
      </c>
      <c r="G6" s="65" t="str">
        <f aca="false">IF(C6="","",IF(C6&gt;F6*1.15,"⚠ ACIMA",IF(C6&lt;F6*0.85,"↓ ABAIXO","✓ OK")))</f>
        <v>✓ OK</v>
      </c>
      <c r="H6" s="71" t="s">
        <v>345</v>
      </c>
    </row>
    <row r="7" customFormat="false" ht="15" hidden="false" customHeight="true" outlineLevel="0" collapsed="false">
      <c r="A7" s="65" t="n">
        <v>3</v>
      </c>
      <c r="B7" s="66" t="s">
        <v>347</v>
      </c>
      <c r="C7" s="72" t="n">
        <f aca="false">IF(DADOS!B39="Sim",260,IF(DADOS!B39="Não",195,220))</f>
        <v>195</v>
      </c>
      <c r="D7" s="68" t="n">
        <f aca="false">C7*$B$2*$D$2</f>
        <v>2762744.985</v>
      </c>
      <c r="E7" s="69" t="n">
        <f aca="false">IF($D$23=0,"",D7/$D$23)</f>
        <v>0.0590551181102362</v>
      </c>
      <c r="F7" s="70" t="n">
        <v>220</v>
      </c>
      <c r="G7" s="65" t="str">
        <f aca="false">IF(C7="","",IF(C7&gt;F7*1.15,"⚠ ACIMA",IF(C7&lt;F7*0.85,"↓ ABAIXO","✓ OK")))</f>
        <v>✓ OK</v>
      </c>
      <c r="H7" s="15" t="s">
        <v>348</v>
      </c>
    </row>
    <row r="8" customFormat="false" ht="15" hidden="false" customHeight="true" outlineLevel="0" collapsed="false">
      <c r="A8" s="65" t="n">
        <v>4</v>
      </c>
      <c r="B8" s="66" t="s">
        <v>349</v>
      </c>
      <c r="C8" s="72" t="n">
        <f aca="false">IF(DADOS!B37="Maciça",ÍNDICES!B9,IF(DADOS!B37="Cubetas",ÍNDICES!C9,IF(DADOS!B37="Cub.Protendida",ÍNDICES!D9,IF(DADOS!B37="Treliçada",ÍNDICES!E9,IF(DADOS!B37="Protendida",ÍNDICES!F9,670)))))</f>
        <v>640</v>
      </c>
      <c r="D8" s="68" t="n">
        <f aca="false">C8*$B$2*$D$2</f>
        <v>9067470.72</v>
      </c>
      <c r="E8" s="69" t="n">
        <f aca="false">IF($D$23=0,"",D8/$D$23)</f>
        <v>0.193821926105391</v>
      </c>
      <c r="F8" s="70" t="n">
        <v>670</v>
      </c>
      <c r="G8" s="65" t="str">
        <f aca="false">IF(C8="","",IF(C8&gt;F8*1.15,"⚠ ACIMA",IF(C8&lt;F8*0.85,"↓ ABAIXO","✓ OK")))</f>
        <v>✓ OK</v>
      </c>
      <c r="H8" s="15" t="s">
        <v>350</v>
      </c>
    </row>
    <row r="9" customFormat="false" ht="15" hidden="false" customHeight="true" outlineLevel="0" collapsed="false">
      <c r="A9" s="65" t="n">
        <v>5</v>
      </c>
      <c r="B9" s="3" t="s">
        <v>87</v>
      </c>
      <c r="C9" s="72" t="n">
        <f aca="false">IF(DADOS!B42="Alvenaria",145,IF(DADOS!B42="Drywall",208,IF(DADOS!B42="Misto",185,160)))</f>
        <v>145</v>
      </c>
      <c r="D9" s="68" t="n">
        <f aca="false">C9*$B$2*$D$2</f>
        <v>2054348.835</v>
      </c>
      <c r="E9" s="69" t="n">
        <f aca="false">IF($D$23=0,"",D9/$D$23)</f>
        <v>0.0439127801332526</v>
      </c>
      <c r="F9" s="70" t="n">
        <v>160</v>
      </c>
      <c r="G9" s="65" t="str">
        <f aca="false">IF(C9="","",IF(C9&gt;F9*1.15,"⚠ ACIMA",IF(C9&lt;F9*0.85,"↓ ABAIXO","✓ OK")))</f>
        <v>✓ OK</v>
      </c>
      <c r="H9" s="15" t="s">
        <v>351</v>
      </c>
    </row>
    <row r="10" customFormat="false" ht="15" hidden="false" customHeight="true" outlineLevel="0" collapsed="false">
      <c r="A10" s="65" t="n">
        <v>6</v>
      </c>
      <c r="B10" s="3" t="s">
        <v>352</v>
      </c>
      <c r="C10" s="67" t="n">
        <v>75</v>
      </c>
      <c r="D10" s="68" t="n">
        <f aca="false">C10*$B$2*$D$2</f>
        <v>1062594.225</v>
      </c>
      <c r="E10" s="69" t="n">
        <f aca="false">IF($D$23=0,"",D10/$D$23)</f>
        <v>0.0227135069654755</v>
      </c>
      <c r="F10" s="70" t="n">
        <v>75</v>
      </c>
      <c r="G10" s="65" t="str">
        <f aca="false">IF(C10="","",IF(C10&gt;F10*1.15,"⚠ ACIMA",IF(C10&lt;F10*0.85,"↓ ABAIXO","✓ OK")))</f>
        <v>✓ OK</v>
      </c>
      <c r="H10" s="71" t="s">
        <v>345</v>
      </c>
    </row>
    <row r="11" customFormat="false" ht="15" hidden="false" customHeight="true" outlineLevel="0" collapsed="false">
      <c r="A11" s="65" t="n">
        <v>7</v>
      </c>
      <c r="B11" s="3" t="s">
        <v>353</v>
      </c>
      <c r="C11" s="67" t="n">
        <v>340</v>
      </c>
      <c r="D11" s="68" t="n">
        <f aca="false">C11*$B$2*$D$2</f>
        <v>4817093.82</v>
      </c>
      <c r="E11" s="69" t="n">
        <f aca="false">IF($D$23=0,"",D11/$D$23)</f>
        <v>0.102967898243489</v>
      </c>
      <c r="F11" s="70" t="n">
        <v>340</v>
      </c>
      <c r="G11" s="65" t="str">
        <f aca="false">IF(C11="","",IF(C11&gt;F11*1.15,"⚠ ACIMA",IF(C11&lt;F11*0.85,"↓ ABAIXO","✓ OK")))</f>
        <v>✓ OK</v>
      </c>
      <c r="H11" s="71" t="s">
        <v>345</v>
      </c>
    </row>
    <row r="12" customFormat="false" ht="15" hidden="false" customHeight="true" outlineLevel="0" collapsed="false">
      <c r="A12" s="65" t="n">
        <v>8</v>
      </c>
      <c r="B12" s="3" t="s">
        <v>354</v>
      </c>
      <c r="C12" s="67" t="n">
        <v>150</v>
      </c>
      <c r="D12" s="68" t="n">
        <f aca="false">C12*$B$2*$D$2</f>
        <v>2125188.45</v>
      </c>
      <c r="E12" s="69" t="n">
        <f aca="false">IF($D$23=0,"",D12/$D$23)</f>
        <v>0.0454270139309509</v>
      </c>
      <c r="F12" s="70" t="n">
        <v>150</v>
      </c>
      <c r="G12" s="65" t="str">
        <f aca="false">IF(C12="","",IF(C12&gt;F12*1.15,"⚠ ACIMA",IF(C12&lt;F12*0.85,"↓ ABAIXO","✓ OK")))</f>
        <v>✓ OK</v>
      </c>
      <c r="H12" s="71" t="s">
        <v>345</v>
      </c>
    </row>
    <row r="13" customFormat="false" ht="15" hidden="false" customHeight="true" outlineLevel="0" collapsed="false">
      <c r="A13" s="65" t="n">
        <v>9</v>
      </c>
      <c r="B13" s="3" t="s">
        <v>355</v>
      </c>
      <c r="C13" s="67" t="n">
        <v>45</v>
      </c>
      <c r="D13" s="68" t="n">
        <f aca="false">C13*$B$2*$D$2</f>
        <v>637556.535</v>
      </c>
      <c r="E13" s="69" t="n">
        <f aca="false">IF($D$23=0,"",D13/$D$23)</f>
        <v>0.0136281041792853</v>
      </c>
      <c r="F13" s="70" t="n">
        <v>45</v>
      </c>
      <c r="G13" s="65" t="str">
        <f aca="false">IF(C13="","",IF(C13&gt;F13*1.15,"⚠ ACIMA",IF(C13&lt;F13*0.85,"↓ ABAIXO","✓ OK")))</f>
        <v>✓ OK</v>
      </c>
      <c r="H13" s="71" t="s">
        <v>345</v>
      </c>
    </row>
    <row r="14" customFormat="false" ht="15" hidden="false" customHeight="true" outlineLevel="0" collapsed="false">
      <c r="A14" s="65" t="n">
        <v>10</v>
      </c>
      <c r="B14" s="3" t="s">
        <v>323</v>
      </c>
      <c r="C14" s="72" t="n">
        <f aca="false">IF(DADOS!B38="Standard",ÍNDICES!B59,IF(DADOS!B38="Alto Padrão",ÍNDICES!C59,IF(DADOS!B38="Super Alto Padrão",ÍNDICES!D59,200)))</f>
        <v>140</v>
      </c>
      <c r="D14" s="68" t="n">
        <f aca="false">C14*$B$2*$D$2</f>
        <v>1983509.22</v>
      </c>
      <c r="E14" s="69" t="n">
        <f aca="false">IF($D$23=0,"",D14/$D$23)</f>
        <v>0.0423985463355542</v>
      </c>
      <c r="F14" s="70" t="n">
        <v>200</v>
      </c>
      <c r="G14" s="65" t="str">
        <f aca="false">IF(C14="","",IF(C14&gt;F14*1.15,"⚠ ACIMA",IF(C14&lt;F14*0.85,"↓ ABAIXO","✓ OK")))</f>
        <v>↓ ABAIXO</v>
      </c>
      <c r="H14" s="15" t="s">
        <v>356</v>
      </c>
    </row>
    <row r="15" customFormat="false" ht="15" hidden="false" customHeight="true" outlineLevel="0" collapsed="false">
      <c r="A15" s="65" t="n">
        <v>11</v>
      </c>
      <c r="B15" s="3" t="s">
        <v>326</v>
      </c>
      <c r="C15" s="72" t="n">
        <f aca="false">IF(DADOS!B38="Standard",ÍNDICES!B62,IF(DADOS!B38="Alto Padrão",ÍNDICES!C62,IF(DADOS!B38="Super Alto Padrão",ÍNDICES!D62,75)))</f>
        <v>53</v>
      </c>
      <c r="D15" s="68" t="n">
        <f aca="false">C15*$B$2*$D$2</f>
        <v>750899.919</v>
      </c>
      <c r="E15" s="69" t="n">
        <f aca="false">IF($D$23=0,"",D15/$D$23)</f>
        <v>0.0160508782556027</v>
      </c>
      <c r="F15" s="70" t="n">
        <v>75</v>
      </c>
      <c r="G15" s="65" t="str">
        <f aca="false">IF(C15="","",IF(C15&gt;F15*1.15,"⚠ ACIMA",IF(C15&lt;F15*0.85,"↓ ABAIXO","✓ OK")))</f>
        <v>↓ ABAIXO</v>
      </c>
      <c r="H15" s="15" t="s">
        <v>356</v>
      </c>
    </row>
    <row r="16" customFormat="false" ht="15" hidden="false" customHeight="true" outlineLevel="0" collapsed="false">
      <c r="A16" s="65" t="n">
        <v>12</v>
      </c>
      <c r="B16" s="3" t="s">
        <v>324</v>
      </c>
      <c r="C16" s="72" t="n">
        <f aca="false">IF(DADOS!B38="Standard",ÍNDICES!B60,IF(DADOS!B38="Alto Padrão",ÍNDICES!C60,IF(DADOS!B38="Super Alto Padrão",ÍNDICES!D60,250)))</f>
        <v>133</v>
      </c>
      <c r="D16" s="68" t="n">
        <f aca="false">C16*$B$2*$D$2</f>
        <v>1884333.759</v>
      </c>
      <c r="E16" s="69" t="n">
        <f aca="false">IF($D$23=0,"",D16/$D$23)</f>
        <v>0.0402786190187765</v>
      </c>
      <c r="F16" s="70" t="n">
        <v>250</v>
      </c>
      <c r="G16" s="65" t="str">
        <f aca="false">IF(C16="","",IF(C16&gt;F16*1.15,"⚠ ACIMA",IF(C16&lt;F16*0.85,"↓ ABAIXO","✓ OK")))</f>
        <v>↓ ABAIXO</v>
      </c>
      <c r="H16" s="15" t="s">
        <v>356</v>
      </c>
    </row>
    <row r="17" customFormat="false" ht="15" hidden="false" customHeight="true" outlineLevel="0" collapsed="false">
      <c r="A17" s="65" t="n">
        <v>13</v>
      </c>
      <c r="B17" s="3" t="s">
        <v>327</v>
      </c>
      <c r="C17" s="72" t="n">
        <f aca="false">IF(DADOS!B38="Standard",ÍNDICES!B63,IF(DADOS!B38="Alto Padrão",ÍNDICES!C63,IF(DADOS!B38="Super Alto Padrão",ÍNDICES!D63,155)))</f>
        <v>115</v>
      </c>
      <c r="D17" s="68" t="n">
        <f aca="false">C17*$B$2*$D$2</f>
        <v>1629311.145</v>
      </c>
      <c r="E17" s="69" t="n">
        <f aca="false">IF($D$23=0,"",D17/$D$23)</f>
        <v>0.0348273773470624</v>
      </c>
      <c r="F17" s="70" t="n">
        <v>155</v>
      </c>
      <c r="G17" s="65" t="str">
        <f aca="false">IF(C17="","",IF(C17&gt;F17*1.15,"⚠ ACIMA",IF(C17&lt;F17*0.85,"↓ ABAIXO","✓ OK")))</f>
        <v>↓ ABAIXO</v>
      </c>
      <c r="H17" s="15" t="s">
        <v>356</v>
      </c>
    </row>
    <row r="18" customFormat="false" ht="15" hidden="false" customHeight="true" outlineLevel="0" collapsed="false">
      <c r="A18" s="65" t="n">
        <v>14</v>
      </c>
      <c r="B18" s="3" t="s">
        <v>322</v>
      </c>
      <c r="C18" s="72" t="n">
        <f aca="false">(IF(DADOS!B38="Standard",ÍNDICES!B58,IF(DADOS!B38="Alto Padrão",ÍNDICES!C58,IF(DADOS!B38="Super Alto Padrão",ÍNDICES!D58,300)))+IF(DADOS!B48="Sim",120,0))*IF(DADOS!B50="Alumínio Anodizado",ÍNDICES!B66,IF(DADOS!B50="Pintura Eletrostática",ÍNDICES!B67,IF(DADOS!B50="PVC",ÍNDICES!B68,1)))</f>
        <v>211</v>
      </c>
      <c r="D18" s="68" t="n">
        <f aca="false">C18*$B$2*$D$2</f>
        <v>2989431.753</v>
      </c>
      <c r="E18" s="69" t="n">
        <f aca="false">IF($D$23=0,"",D18/$D$23)</f>
        <v>0.063900666262871</v>
      </c>
      <c r="F18" s="70" t="n">
        <v>300</v>
      </c>
      <c r="G18" s="65" t="str">
        <f aca="false">IF(C18="","",IF(C18&gt;F18*1.15,"⚠ ACIMA",IF(C18&lt;F18*0.85,"↓ ABAIXO","✓ OK")))</f>
        <v>↓ ABAIXO</v>
      </c>
      <c r="H18" s="15" t="s">
        <v>357</v>
      </c>
    </row>
    <row r="19" customFormat="false" ht="15" hidden="false" customHeight="true" outlineLevel="0" collapsed="false">
      <c r="A19" s="65" t="n">
        <v>15</v>
      </c>
      <c r="B19" s="3" t="s">
        <v>325</v>
      </c>
      <c r="C19" s="72" t="n">
        <f aca="false">IF(DADOS!B38="Standard",ÍNDICES!B61,IF(DADOS!B38="Alto Padrão",ÍNDICES!C61,IF(DADOS!B38="Super Alto Padrão",ÍNDICES!D61,30)))</f>
        <v>25</v>
      </c>
      <c r="D19" s="68" t="n">
        <f aca="false">C19*$B$2*$D$2</f>
        <v>354198.075</v>
      </c>
      <c r="E19" s="69" t="n">
        <f aca="false">IF($D$23=0,"",D19/$D$23)</f>
        <v>0.00757116898849182</v>
      </c>
      <c r="F19" s="70" t="n">
        <v>30</v>
      </c>
      <c r="G19" s="65" t="str">
        <f aca="false">IF(C19="","",IF(C19&gt;F19*1.15,"⚠ ACIMA",IF(C19&lt;F19*0.85,"↓ ABAIXO","✓ OK")))</f>
        <v>↓ ABAIXO</v>
      </c>
      <c r="H19" s="15" t="s">
        <v>356</v>
      </c>
    </row>
    <row r="20" customFormat="false" ht="15" hidden="false" customHeight="true" outlineLevel="0" collapsed="false">
      <c r="A20" s="65" t="n">
        <v>16</v>
      </c>
      <c r="B20" s="3" t="s">
        <v>358</v>
      </c>
      <c r="C20" s="72" t="n">
        <f aca="false">(IF(DADOS!B43="Empreitada",280,IF(DADOS!B43="Equipe Própria",220,250))+IF(DADOS!B49="Sim",25,0))*IF(DADOS!B51="Convencional",ÍNDICES!B71,IF(DADOS!B51="Neoclássica",ÍNDICES!B72,IF(DADOS!B51="Moderna",ÍNDICES!B73,IF(DADOS!B51="Minimalista",ÍNDICES!B74,1))))</f>
        <v>305</v>
      </c>
      <c r="D20" s="68" t="n">
        <f aca="false">C20*$B$2*$D$2</f>
        <v>4321216.515</v>
      </c>
      <c r="E20" s="69" t="n">
        <f aca="false">IF($D$23=0,"",D20/$D$23)</f>
        <v>0.0923682616596002</v>
      </c>
      <c r="F20" s="70" t="n">
        <v>140</v>
      </c>
      <c r="G20" s="65" t="str">
        <f aca="false">IF(C20="","",IF(C20&gt;F20*1.15,"⚠ ACIMA",IF(C20&lt;F20*0.85,"↓ ABAIXO","✓ OK")))</f>
        <v>⚠ ACIMA</v>
      </c>
      <c r="H20" s="15" t="s">
        <v>359</v>
      </c>
    </row>
    <row r="21" customFormat="false" ht="15" hidden="false" customHeight="true" outlineLevel="0" collapsed="false">
      <c r="A21" s="65" t="n">
        <v>17</v>
      </c>
      <c r="B21" s="3" t="s">
        <v>360</v>
      </c>
      <c r="C21" s="72" t="n">
        <f aca="false">(IF(DADOS!B46="Básico",160,IF(DADOS!B46="Completo",200,IF(DADOS!B46="Premium",260,200))))+IF(DADOS!B44="Sim",50,0)</f>
        <v>200</v>
      </c>
      <c r="D21" s="68" t="n">
        <f aca="false">C21*$B$2*$D$2</f>
        <v>2833584.6</v>
      </c>
      <c r="E21" s="69" t="n">
        <f aca="false">IF($D$23=0,"",D21/$D$23)</f>
        <v>0.0605693519079346</v>
      </c>
      <c r="F21" s="70" t="n">
        <v>200</v>
      </c>
      <c r="G21" s="65" t="str">
        <f aca="false">IF(C21="","",IF(C21&gt;F21*1.15,"⚠ ACIMA",IF(C21&lt;F21*0.85,"↓ ABAIXO","✓ OK")))</f>
        <v>✓ OK</v>
      </c>
      <c r="H21" s="15" t="s">
        <v>361</v>
      </c>
    </row>
    <row r="22" customFormat="false" ht="15" hidden="false" customHeight="true" outlineLevel="0" collapsed="false">
      <c r="A22" s="65" t="n">
        <v>18</v>
      </c>
      <c r="B22" s="3" t="s">
        <v>362</v>
      </c>
      <c r="C22" s="67" t="n">
        <v>65</v>
      </c>
      <c r="D22" s="68" t="n">
        <f aca="false">C22*$B$2*$D$2</f>
        <v>920914.995</v>
      </c>
      <c r="E22" s="69" t="n">
        <f aca="false">IF($D$23=0,"",D22/$D$23)</f>
        <v>0.0196850393700787</v>
      </c>
      <c r="F22" s="70" t="n">
        <v>65</v>
      </c>
      <c r="G22" s="65" t="str">
        <f aca="false">IF(C22="","",IF(C22&gt;F22*1.15,"⚠ ACIMA",IF(C22&lt;F22*0.85,"↓ ABAIXO","✓ OK")))</f>
        <v>✓ OK</v>
      </c>
      <c r="H22" s="71" t="s">
        <v>345</v>
      </c>
    </row>
    <row r="23" customFormat="false" ht="15" hidden="false" customHeight="true" outlineLevel="0" collapsed="false">
      <c r="A23" s="73" t="s">
        <v>363</v>
      </c>
      <c r="B23" s="73"/>
      <c r="C23" s="74" t="n">
        <f aca="false">SUM(C5:C22)</f>
        <v>3302</v>
      </c>
      <c r="D23" s="74" t="n">
        <f aca="false">SUM(D5:D22)</f>
        <v>46782481.746</v>
      </c>
      <c r="E23" s="75" t="n">
        <f aca="false">SUM(E5:E22)</f>
        <v>1</v>
      </c>
      <c r="F23" s="76" t="n">
        <f aca="false">SUM(F5:F22)</f>
        <v>3540</v>
      </c>
    </row>
    <row r="25" customFormat="false" ht="15" hidden="false" customHeight="true" outlineLevel="0" collapsed="false">
      <c r="A25" s="77" t="s">
        <v>364</v>
      </c>
      <c r="B25" s="77"/>
    </row>
    <row r="26" customFormat="false" ht="15" hidden="false" customHeight="true" outlineLevel="0" collapsed="false">
      <c r="A26" s="3" t="s">
        <v>365</v>
      </c>
      <c r="B26" s="3"/>
      <c r="C26" s="78" t="n">
        <f aca="false">C23</f>
        <v>3302</v>
      </c>
    </row>
    <row r="27" customFormat="false" ht="15" hidden="false" customHeight="true" outlineLevel="0" collapsed="false">
      <c r="A27" s="3" t="s">
        <v>366</v>
      </c>
      <c r="B27" s="3"/>
      <c r="C27" s="78" t="n">
        <f aca="false">D23</f>
        <v>46782481.746</v>
      </c>
    </row>
    <row r="28" customFormat="false" ht="15" hidden="false" customHeight="true" outlineLevel="0" collapsed="false">
      <c r="A28" s="3" t="s">
        <v>367</v>
      </c>
      <c r="B28" s="3"/>
      <c r="C28" s="79" t="str">
        <f aca="false">IF(DADOS!B9=0,"Preencher CUB",C23/DADOS!B9)</f>
        <v>Preencher CUB</v>
      </c>
    </row>
    <row r="29" customFormat="false" ht="15" hidden="false" customHeight="true" outlineLevel="0" collapsed="false">
      <c r="A29" s="3" t="s">
        <v>368</v>
      </c>
      <c r="B29" s="3"/>
      <c r="C29" s="78" t="n">
        <f aca="false">IF(DADOS!B19=0,"",D23/DADOS!B19)</f>
        <v>835401.45975</v>
      </c>
    </row>
    <row r="30" customFormat="false" ht="15" hidden="false" customHeight="true" outlineLevel="0" collapsed="false">
      <c r="A30" s="3" t="s">
        <v>369</v>
      </c>
      <c r="B30" s="3"/>
      <c r="C30" s="79" t="n">
        <f aca="false">IF(DADOS!B19=0,"",DADOS!B14/DADOS!B19)</f>
        <v>229.99875</v>
      </c>
    </row>
    <row r="36" customFormat="false" ht="15" hidden="false" customHeight="true" outlineLevel="0" collapsed="false">
      <c r="E36" s="80"/>
    </row>
  </sheetData>
  <mergeCells count="8">
    <mergeCell ref="A1:G1"/>
    <mergeCell ref="A23:B23"/>
    <mergeCell ref="A25:B25"/>
    <mergeCell ref="A26:B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5" min="3" style="0" width="15"/>
    <col collapsed="false" customWidth="true" hidden="false" outlineLevel="0" max="6" min="6" style="0" width="18"/>
    <col collapsed="false" customWidth="true" hidden="false" outlineLevel="0" max="7" min="7" style="0" width="15"/>
  </cols>
  <sheetData>
    <row r="1" customFormat="false" ht="17.25" hidden="false" customHeight="true" outlineLevel="0" collapsed="false">
      <c r="A1" s="81" t="s">
        <v>370</v>
      </c>
      <c r="B1" s="81"/>
      <c r="C1" s="81"/>
      <c r="D1" s="81"/>
      <c r="E1" s="81"/>
      <c r="F1" s="81"/>
      <c r="G1" s="81"/>
    </row>
    <row r="2" customFormat="false" ht="15" hidden="false" customHeight="true" outlineLevel="0" collapsed="false">
      <c r="A2" s="82" t="s">
        <v>371</v>
      </c>
    </row>
    <row r="4" customFormat="false" ht="15" hidden="false" customHeight="true" outlineLevel="0" collapsed="false">
      <c r="A4" s="83" t="s">
        <v>338</v>
      </c>
      <c r="B4" s="83" t="s">
        <v>319</v>
      </c>
      <c r="C4" s="83" t="s">
        <v>372</v>
      </c>
      <c r="D4" s="83" t="s">
        <v>133</v>
      </c>
      <c r="E4" s="83" t="s">
        <v>373</v>
      </c>
      <c r="F4" s="83" t="s">
        <v>374</v>
      </c>
      <c r="G4" s="83" t="s">
        <v>135</v>
      </c>
    </row>
    <row r="5" customFormat="false" ht="15" hidden="false" customHeight="true" outlineLevel="0" collapsed="false">
      <c r="A5" s="65" t="n">
        <v>1</v>
      </c>
      <c r="B5" s="3" t="s">
        <v>344</v>
      </c>
      <c r="C5" s="84" t="n">
        <v>260</v>
      </c>
      <c r="D5" s="84" t="n">
        <v>450</v>
      </c>
      <c r="E5" s="84" t="n">
        <v>702</v>
      </c>
      <c r="F5" s="85" t="n">
        <f aca="false">PARAMÉTRICO!C5</f>
        <v>450</v>
      </c>
      <c r="G5" s="65" t="str">
        <f aca="false">IF(F5="","",IF(F5&lt;C5,"↓ Abaixo Mín",IF(F5&gt;E5,"⚠ Acima Máx",IF(F5&lt;D5,"Abaixo Média","Acima Média"))))</f>
        <v>Acima Média</v>
      </c>
    </row>
    <row r="6" customFormat="false" ht="15" hidden="false" customHeight="true" outlineLevel="0" collapsed="false">
      <c r="A6" s="65" t="n">
        <v>2</v>
      </c>
      <c r="B6" s="3" t="s">
        <v>346</v>
      </c>
      <c r="C6" s="84" t="n">
        <v>7</v>
      </c>
      <c r="D6" s="84" t="n">
        <v>15</v>
      </c>
      <c r="E6" s="84" t="n">
        <v>23</v>
      </c>
      <c r="F6" s="85" t="n">
        <f aca="false">PARAMÉTRICO!C6</f>
        <v>15</v>
      </c>
      <c r="G6" s="65" t="str">
        <f aca="false">IF(F6="","",IF(F6&lt;C6,"↓ Abaixo Mín",IF(F6&gt;E6,"⚠ Acima Máx",IF(F6&lt;D6,"Abaixo Média","Acima Média"))))</f>
        <v>Acima Média</v>
      </c>
    </row>
    <row r="7" customFormat="false" ht="15" hidden="false" customHeight="true" outlineLevel="0" collapsed="false">
      <c r="A7" s="65" t="n">
        <v>3</v>
      </c>
      <c r="B7" s="3" t="s">
        <v>347</v>
      </c>
      <c r="C7" s="84" t="n">
        <v>174</v>
      </c>
      <c r="D7" s="84" t="n">
        <v>220</v>
      </c>
      <c r="E7" s="84" t="n">
        <v>270</v>
      </c>
      <c r="F7" s="85" t="n">
        <f aca="false">PARAMÉTRICO!C7</f>
        <v>195</v>
      </c>
      <c r="G7" s="65" t="str">
        <f aca="false">IF(F7="","",IF(F7&lt;C7,"↓ Abaixo Mín",IF(F7&gt;E7,"⚠ Acima Máx",IF(F7&lt;D7,"Abaixo Média","Acima Média"))))</f>
        <v>Abaixo Média</v>
      </c>
    </row>
    <row r="8" customFormat="false" ht="15" hidden="false" customHeight="true" outlineLevel="0" collapsed="false">
      <c r="A8" s="65" t="n">
        <v>4</v>
      </c>
      <c r="B8" s="3" t="s">
        <v>349</v>
      </c>
      <c r="C8" s="84" t="n">
        <v>549</v>
      </c>
      <c r="D8" s="84" t="n">
        <v>670</v>
      </c>
      <c r="E8" s="84" t="n">
        <v>799</v>
      </c>
      <c r="F8" s="85" t="n">
        <f aca="false">PARAMÉTRICO!C8</f>
        <v>640</v>
      </c>
      <c r="G8" s="65" t="str">
        <f aca="false">IF(F8="","",IF(F8&lt;C8,"↓ Abaixo Mín",IF(F8&gt;E8,"⚠ Acima Máx",IF(F8&lt;D8,"Abaixo Média","Acima Média"))))</f>
        <v>Abaixo Média</v>
      </c>
    </row>
    <row r="9" customFormat="false" ht="15" hidden="false" customHeight="true" outlineLevel="0" collapsed="false">
      <c r="A9" s="65" t="n">
        <v>5</v>
      </c>
      <c r="B9" s="3" t="s">
        <v>87</v>
      </c>
      <c r="C9" s="84" t="n">
        <v>114</v>
      </c>
      <c r="D9" s="84" t="n">
        <v>160</v>
      </c>
      <c r="E9" s="84" t="n">
        <v>208</v>
      </c>
      <c r="F9" s="85" t="n">
        <f aca="false">PARAMÉTRICO!C9</f>
        <v>145</v>
      </c>
      <c r="G9" s="65" t="str">
        <f aca="false">IF(F9="","",IF(F9&lt;C9,"↓ Abaixo Mín",IF(F9&gt;E9,"⚠ Acima Máx",IF(F9&lt;D9,"Abaixo Média","Acima Média"))))</f>
        <v>Abaixo Média</v>
      </c>
    </row>
    <row r="10" customFormat="false" ht="15" hidden="false" customHeight="true" outlineLevel="0" collapsed="false">
      <c r="A10" s="65" t="n">
        <v>6</v>
      </c>
      <c r="B10" s="3" t="s">
        <v>352</v>
      </c>
      <c r="C10" s="84" t="n">
        <v>64</v>
      </c>
      <c r="D10" s="84" t="n">
        <v>75</v>
      </c>
      <c r="E10" s="84" t="n">
        <v>86</v>
      </c>
      <c r="F10" s="85" t="n">
        <f aca="false">PARAMÉTRICO!C10</f>
        <v>75</v>
      </c>
      <c r="G10" s="65" t="str">
        <f aca="false">IF(F10="","",IF(F10&lt;C10,"↓ Abaixo Mín",IF(F10&gt;E10,"⚠ Acima Máx",IF(F10&lt;D10,"Abaixo Média","Acima Média"))))</f>
        <v>Acima Média</v>
      </c>
    </row>
    <row r="11" customFormat="false" ht="15" hidden="false" customHeight="true" outlineLevel="0" collapsed="false">
      <c r="A11" s="65" t="n">
        <v>7</v>
      </c>
      <c r="B11" s="3" t="s">
        <v>353</v>
      </c>
      <c r="C11" s="84" t="n">
        <v>241</v>
      </c>
      <c r="D11" s="84" t="n">
        <v>340</v>
      </c>
      <c r="E11" s="84" t="n">
        <v>432</v>
      </c>
      <c r="F11" s="85" t="n">
        <f aca="false">PARAMÉTRICO!C11</f>
        <v>340</v>
      </c>
      <c r="G11" s="65" t="str">
        <f aca="false">IF(F11="","",IF(F11&lt;C11,"↓ Abaixo Mín",IF(F11&gt;E11,"⚠ Acima Máx",IF(F11&lt;D11,"Abaixo Média","Acima Média"))))</f>
        <v>Acima Média</v>
      </c>
    </row>
    <row r="12" customFormat="false" ht="15" hidden="false" customHeight="true" outlineLevel="0" collapsed="false">
      <c r="A12" s="65" t="n">
        <v>8</v>
      </c>
      <c r="B12" s="3" t="s">
        <v>354</v>
      </c>
      <c r="C12" s="84" t="n">
        <v>97</v>
      </c>
      <c r="D12" s="84" t="n">
        <v>150</v>
      </c>
      <c r="E12" s="84" t="n">
        <v>215</v>
      </c>
      <c r="F12" s="85" t="n">
        <f aca="false">PARAMÉTRICO!C12</f>
        <v>150</v>
      </c>
      <c r="G12" s="65" t="str">
        <f aca="false">IF(F12="","",IF(F12&lt;C12,"↓ Abaixo Mín",IF(F12&gt;E12,"⚠ Acima Máx",IF(F12&lt;D12,"Abaixo Média","Acima Média"))))</f>
        <v>Acima Média</v>
      </c>
    </row>
    <row r="13" customFormat="false" ht="15" hidden="false" customHeight="true" outlineLevel="0" collapsed="false">
      <c r="A13" s="65" t="n">
        <v>9</v>
      </c>
      <c r="B13" s="3" t="s">
        <v>355</v>
      </c>
      <c r="C13" s="84" t="n">
        <v>25</v>
      </c>
      <c r="D13" s="84" t="n">
        <v>45</v>
      </c>
      <c r="E13" s="84" t="n">
        <v>72</v>
      </c>
      <c r="F13" s="85" t="n">
        <f aca="false">PARAMÉTRICO!C13</f>
        <v>45</v>
      </c>
      <c r="G13" s="65" t="str">
        <f aca="false">IF(F13="","",IF(F13&lt;C13,"↓ Abaixo Mín",IF(F13&gt;E13,"⚠ Acima Máx",IF(F13&lt;D13,"Abaixo Média","Acima Média"))))</f>
        <v>Acima Média</v>
      </c>
    </row>
    <row r="14" customFormat="false" ht="15" hidden="false" customHeight="true" outlineLevel="0" collapsed="false">
      <c r="A14" s="65" t="n">
        <v>10</v>
      </c>
      <c r="B14" s="3" t="s">
        <v>323</v>
      </c>
      <c r="C14" s="84" t="n">
        <v>140</v>
      </c>
      <c r="D14" s="84" t="n">
        <v>200</v>
      </c>
      <c r="E14" s="84" t="n">
        <v>290</v>
      </c>
      <c r="F14" s="85" t="n">
        <f aca="false">PARAMÉTRICO!C14</f>
        <v>140</v>
      </c>
      <c r="G14" s="65" t="str">
        <f aca="false">IF(F14="","",IF(F14&lt;C14,"↓ Abaixo Mín",IF(F14&gt;E14,"⚠ Acima Máx",IF(F14&lt;D14,"Abaixo Média","Acima Média"))))</f>
        <v>Abaixo Média</v>
      </c>
    </row>
    <row r="15" customFormat="false" ht="15" hidden="false" customHeight="true" outlineLevel="0" collapsed="false">
      <c r="A15" s="65" t="n">
        <v>11</v>
      </c>
      <c r="B15" s="3" t="s">
        <v>326</v>
      </c>
      <c r="C15" s="84" t="n">
        <v>53</v>
      </c>
      <c r="D15" s="84" t="n">
        <v>75</v>
      </c>
      <c r="E15" s="84" t="n">
        <v>100</v>
      </c>
      <c r="F15" s="85" t="n">
        <f aca="false">PARAMÉTRICO!C15</f>
        <v>53</v>
      </c>
      <c r="G15" s="65" t="str">
        <f aca="false">IF(F15="","",IF(F15&lt;C15,"↓ Abaixo Mín",IF(F15&gt;E15,"⚠ Acima Máx",IF(F15&lt;D15,"Abaixo Média","Acima Média"))))</f>
        <v>Abaixo Média</v>
      </c>
    </row>
    <row r="16" customFormat="false" ht="15" hidden="false" customHeight="true" outlineLevel="0" collapsed="false">
      <c r="A16" s="65" t="n">
        <v>12</v>
      </c>
      <c r="B16" s="3" t="s">
        <v>324</v>
      </c>
      <c r="C16" s="84" t="n">
        <v>133</v>
      </c>
      <c r="D16" s="84" t="n">
        <v>250</v>
      </c>
      <c r="E16" s="84" t="n">
        <v>389</v>
      </c>
      <c r="F16" s="85" t="n">
        <f aca="false">PARAMÉTRICO!C16</f>
        <v>133</v>
      </c>
      <c r="G16" s="65" t="str">
        <f aca="false">IF(F16="","",IF(F16&lt;C16,"↓ Abaixo Mín",IF(F16&gt;E16,"⚠ Acima Máx",IF(F16&lt;D16,"Abaixo Média","Acima Média"))))</f>
        <v>Abaixo Média</v>
      </c>
    </row>
    <row r="17" customFormat="false" ht="15" hidden="false" customHeight="true" outlineLevel="0" collapsed="false">
      <c r="A17" s="65" t="n">
        <v>13</v>
      </c>
      <c r="B17" s="3" t="s">
        <v>327</v>
      </c>
      <c r="C17" s="84" t="n">
        <v>115</v>
      </c>
      <c r="D17" s="84" t="n">
        <v>155</v>
      </c>
      <c r="E17" s="84" t="n">
        <v>199</v>
      </c>
      <c r="F17" s="85" t="n">
        <f aca="false">PARAMÉTRICO!C17</f>
        <v>115</v>
      </c>
      <c r="G17" s="65" t="str">
        <f aca="false">IF(F17="","",IF(F17&lt;C17,"↓ Abaixo Mín",IF(F17&gt;E17,"⚠ Acima Máx",IF(F17&lt;D17,"Abaixo Média","Acima Média"))))</f>
        <v>Abaixo Média</v>
      </c>
    </row>
    <row r="18" customFormat="false" ht="15" hidden="false" customHeight="true" outlineLevel="0" collapsed="false">
      <c r="A18" s="65" t="n">
        <v>14</v>
      </c>
      <c r="B18" s="3" t="s">
        <v>322</v>
      </c>
      <c r="C18" s="84" t="n">
        <v>211</v>
      </c>
      <c r="D18" s="84" t="n">
        <v>300</v>
      </c>
      <c r="E18" s="84" t="n">
        <v>417</v>
      </c>
      <c r="F18" s="85" t="n">
        <f aca="false">PARAMÉTRICO!C18</f>
        <v>211</v>
      </c>
      <c r="G18" s="65" t="str">
        <f aca="false">IF(F18="","",IF(F18&lt;C18,"↓ Abaixo Mín",IF(F18&gt;E18,"⚠ Acima Máx",IF(F18&lt;D18,"Abaixo Média","Acima Média"))))</f>
        <v>Abaixo Média</v>
      </c>
    </row>
    <row r="19" customFormat="false" ht="15" hidden="false" customHeight="true" outlineLevel="0" collapsed="false">
      <c r="A19" s="65" t="n">
        <v>15</v>
      </c>
      <c r="B19" s="3" t="s">
        <v>325</v>
      </c>
      <c r="C19" s="84" t="n">
        <v>25</v>
      </c>
      <c r="D19" s="84" t="n">
        <v>30</v>
      </c>
      <c r="E19" s="84" t="n">
        <v>33</v>
      </c>
      <c r="F19" s="85" t="n">
        <f aca="false">PARAMÉTRICO!C19</f>
        <v>25</v>
      </c>
      <c r="G19" s="65" t="str">
        <f aca="false">IF(F19="","",IF(F19&lt;C19,"↓ Abaixo Mín",IF(F19&gt;E19,"⚠ Acima Máx",IF(F19&lt;D19,"Abaixo Média","Acima Média"))))</f>
        <v>Abaixo Média</v>
      </c>
    </row>
    <row r="20" customFormat="false" ht="15" hidden="false" customHeight="true" outlineLevel="0" collapsed="false">
      <c r="A20" s="65" t="n">
        <v>16</v>
      </c>
      <c r="B20" s="3" t="s">
        <v>358</v>
      </c>
      <c r="C20" s="84" t="n">
        <v>112</v>
      </c>
      <c r="D20" s="84" t="n">
        <v>140</v>
      </c>
      <c r="E20" s="84" t="n">
        <v>174</v>
      </c>
      <c r="F20" s="85" t="n">
        <f aca="false">PARAMÉTRICO!C20</f>
        <v>305</v>
      </c>
      <c r="G20" s="65" t="str">
        <f aca="false">IF(F20="","",IF(F20&lt;C20,"↓ Abaixo Mín",IF(F20&gt;E20,"⚠ Acima Máx",IF(F20&lt;D20,"Abaixo Média","Acima Média"))))</f>
        <v>⚠ Acima Máx</v>
      </c>
    </row>
    <row r="21" customFormat="false" ht="15" hidden="false" customHeight="true" outlineLevel="0" collapsed="false">
      <c r="A21" s="65" t="n">
        <v>17</v>
      </c>
      <c r="B21" s="3" t="s">
        <v>360</v>
      </c>
      <c r="C21" s="84" t="n">
        <v>123</v>
      </c>
      <c r="D21" s="84" t="n">
        <v>200</v>
      </c>
      <c r="E21" s="84" t="n">
        <v>294</v>
      </c>
      <c r="F21" s="85" t="n">
        <f aca="false">PARAMÉTRICO!C21</f>
        <v>200</v>
      </c>
      <c r="G21" s="65" t="str">
        <f aca="false">IF(F21="","",IF(F21&lt;C21,"↓ Abaixo Mín",IF(F21&gt;E21,"⚠ Acima Máx",IF(F21&lt;D21,"Abaixo Média","Acima Média"))))</f>
        <v>Acima Média</v>
      </c>
    </row>
    <row r="22" customFormat="false" ht="15" hidden="false" customHeight="true" outlineLevel="0" collapsed="false">
      <c r="A22" s="65" t="n">
        <v>18</v>
      </c>
      <c r="B22" s="3" t="s">
        <v>362</v>
      </c>
      <c r="C22" s="84" t="n">
        <v>42</v>
      </c>
      <c r="D22" s="84" t="n">
        <v>65</v>
      </c>
      <c r="E22" s="84" t="n">
        <v>92</v>
      </c>
      <c r="F22" s="85" t="n">
        <f aca="false">PARAMÉTRICO!C22</f>
        <v>65</v>
      </c>
      <c r="G22" s="65" t="str">
        <f aca="false">IF(F22="","",IF(F22&lt;C22,"↓ Abaixo Mín",IF(F22&gt;E22,"⚠ Acima Máx",IF(F22&lt;D22,"Abaixo Média","Acima Média"))))</f>
        <v>Acima Média</v>
      </c>
    </row>
    <row r="23" customFormat="false" ht="15" hidden="false" customHeight="true" outlineLevel="0" collapsed="false">
      <c r="A23" s="86" t="s">
        <v>218</v>
      </c>
      <c r="B23" s="86"/>
      <c r="C23" s="87" t="n">
        <f aca="false">SUM(C5:C22)</f>
        <v>2485</v>
      </c>
      <c r="D23" s="87" t="n">
        <f aca="false">SUM(D5:D22)</f>
        <v>3540</v>
      </c>
      <c r="E23" s="87" t="n">
        <f aca="false">SUM(E5:E22)</f>
        <v>4795</v>
      </c>
      <c r="F23" s="87" t="n">
        <f aca="false">SUM(F5:F22)</f>
        <v>3302</v>
      </c>
    </row>
    <row r="26" customFormat="false" ht="15" hidden="false" customHeight="true" outlineLevel="0" collapsed="false">
      <c r="A26" s="2" t="s">
        <v>375</v>
      </c>
      <c r="B26" s="2"/>
      <c r="C26" s="2"/>
      <c r="D26" s="2"/>
      <c r="E26" s="2"/>
      <c r="F26" s="2"/>
      <c r="G26" s="2"/>
    </row>
    <row r="27" customFormat="false" ht="15" hidden="false" customHeight="true" outlineLevel="0" collapsed="false">
      <c r="A27" s="7"/>
      <c r="B27" s="7" t="s">
        <v>186</v>
      </c>
      <c r="C27" s="7" t="s">
        <v>187</v>
      </c>
      <c r="D27" s="7" t="s">
        <v>188</v>
      </c>
      <c r="E27" s="7" t="s">
        <v>339</v>
      </c>
      <c r="F27" s="7" t="s">
        <v>376</v>
      </c>
      <c r="G27" s="7" t="s">
        <v>377</v>
      </c>
    </row>
    <row r="28" customFormat="false" ht="15" hidden="false" customHeight="true" outlineLevel="0" collapsed="false">
      <c r="A28" s="52" t="n">
        <v>1</v>
      </c>
      <c r="B28" s="3" t="s">
        <v>378</v>
      </c>
      <c r="C28" s="88" t="n">
        <v>7457</v>
      </c>
      <c r="D28" s="3" t="n">
        <v>30</v>
      </c>
      <c r="E28" s="88" t="n">
        <v>3292</v>
      </c>
      <c r="F28" s="89" t="n">
        <v>1.64</v>
      </c>
      <c r="G28" s="52" t="s">
        <v>379</v>
      </c>
    </row>
    <row r="29" customFormat="false" ht="15" hidden="false" customHeight="true" outlineLevel="0" collapsed="false">
      <c r="A29" s="52" t="n">
        <v>2</v>
      </c>
      <c r="B29" s="3" t="s">
        <v>191</v>
      </c>
      <c r="C29" s="88" t="n">
        <v>10723</v>
      </c>
      <c r="D29" s="3" t="n">
        <v>48</v>
      </c>
      <c r="E29" s="88" t="n">
        <v>2816</v>
      </c>
      <c r="F29" s="89" t="n">
        <v>1.39</v>
      </c>
      <c r="G29" s="52" t="s">
        <v>379</v>
      </c>
    </row>
    <row r="30" customFormat="false" ht="15" hidden="false" customHeight="true" outlineLevel="0" collapsed="false">
      <c r="A30" s="52" t="n">
        <v>3</v>
      </c>
      <c r="B30" s="3" t="s">
        <v>380</v>
      </c>
      <c r="C30" s="88" t="n">
        <v>11103</v>
      </c>
      <c r="D30" s="3" t="n">
        <v>44</v>
      </c>
      <c r="E30" s="88" t="n">
        <v>3629</v>
      </c>
      <c r="F30" s="89" t="n">
        <v>1.8</v>
      </c>
      <c r="G30" s="52" t="s">
        <v>379</v>
      </c>
    </row>
    <row r="31" customFormat="false" ht="15" hidden="false" customHeight="true" outlineLevel="0" collapsed="false">
      <c r="A31" s="52" t="n">
        <v>4</v>
      </c>
      <c r="B31" s="3" t="s">
        <v>196</v>
      </c>
      <c r="C31" s="88" t="n">
        <v>8367</v>
      </c>
      <c r="D31" s="3" t="n">
        <v>20</v>
      </c>
      <c r="E31" s="88" t="n">
        <v>3010</v>
      </c>
      <c r="F31" s="89" t="n">
        <v>1.5</v>
      </c>
      <c r="G31" s="52" t="s">
        <v>379</v>
      </c>
    </row>
    <row r="32" customFormat="false" ht="15" hidden="false" customHeight="true" outlineLevel="0" collapsed="false">
      <c r="A32" s="52" t="n">
        <v>5</v>
      </c>
      <c r="B32" s="3" t="s">
        <v>381</v>
      </c>
      <c r="C32" s="88" t="n">
        <v>7698</v>
      </c>
      <c r="D32" s="3" t="n">
        <v>28</v>
      </c>
      <c r="E32" s="88" t="n">
        <v>3063</v>
      </c>
      <c r="F32" s="89" t="n">
        <v>1.52</v>
      </c>
      <c r="G32" s="52" t="s">
        <v>379</v>
      </c>
    </row>
    <row r="33" customFormat="false" ht="15" hidden="false" customHeight="true" outlineLevel="0" collapsed="false">
      <c r="A33" s="52" t="n">
        <v>6</v>
      </c>
      <c r="B33" s="3" t="s">
        <v>382</v>
      </c>
      <c r="C33" s="88" t="n">
        <v>3633</v>
      </c>
      <c r="D33" s="3" t="n">
        <v>6</v>
      </c>
      <c r="E33" s="88" t="n">
        <v>0</v>
      </c>
      <c r="F33" s="89" t="n">
        <v>0</v>
      </c>
      <c r="G33" s="52" t="s">
        <v>383</v>
      </c>
    </row>
  </sheetData>
  <mergeCells count="3">
    <mergeCell ref="A1:G1"/>
    <mergeCell ref="A23:B23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5"/>
    <col collapsed="false" customWidth="true" hidden="false" outlineLevel="0" max="4" min="3" style="0" width="20"/>
  </cols>
  <sheetData>
    <row r="1" customFormat="false" ht="17.25" hidden="false" customHeight="true" outlineLevel="0" collapsed="false">
      <c r="A1" s="90" t="s">
        <v>384</v>
      </c>
      <c r="B1" s="90"/>
      <c r="C1" s="90"/>
      <c r="D1" s="90"/>
    </row>
    <row r="3" customFormat="false" ht="15" hidden="false" customHeight="true" outlineLevel="0" collapsed="false">
      <c r="A3" s="3" t="s">
        <v>186</v>
      </c>
      <c r="B3" s="91" t="str">
        <f aca="false">DADOS!B4</f>
        <v>Maison Beach 2 Residence</v>
      </c>
    </row>
    <row r="4" customFormat="false" ht="15" hidden="false" customHeight="true" outlineLevel="0" collapsed="false">
      <c r="A4" s="3" t="s">
        <v>377</v>
      </c>
      <c r="B4" s="91" t="str">
        <f aca="false">DADOS!B6&amp;"/"&amp;DADOS!B7</f>
        <v>Bombinhas/SC</v>
      </c>
    </row>
    <row r="5" customFormat="false" ht="15" hidden="false" customHeight="true" outlineLevel="0" collapsed="false">
      <c r="A5" s="3" t="s">
        <v>385</v>
      </c>
      <c r="B5" s="92" t="n">
        <f aca="false">DADOS!B14</f>
        <v>12879.93</v>
      </c>
    </row>
    <row r="6" customFormat="false" ht="15" hidden="false" customHeight="true" outlineLevel="0" collapsed="false">
      <c r="A6" s="3" t="s">
        <v>386</v>
      </c>
      <c r="B6" s="91" t="n">
        <f aca="false">DADOS!B19</f>
        <v>56</v>
      </c>
    </row>
    <row r="8" customFormat="false" ht="15" hidden="false" customHeight="true" outlineLevel="0" collapsed="false">
      <c r="A8" s="93" t="s">
        <v>387</v>
      </c>
      <c r="B8" s="93"/>
      <c r="C8" s="93"/>
      <c r="D8" s="93"/>
    </row>
    <row r="9" customFormat="false" ht="15" hidden="false" customHeight="true" outlineLevel="0" collapsed="false">
      <c r="A9" s="66" t="s">
        <v>365</v>
      </c>
      <c r="B9" s="92" t="n">
        <f aca="false">PARAMÉTRICO!C23</f>
        <v>3302</v>
      </c>
    </row>
    <row r="10" customFormat="false" ht="15" hidden="false" customHeight="true" outlineLevel="0" collapsed="false">
      <c r="A10" s="66" t="s">
        <v>366</v>
      </c>
      <c r="B10" s="92" t="n">
        <f aca="false">PARAMÉTRICO!D23</f>
        <v>46782481.746</v>
      </c>
    </row>
    <row r="11" customFormat="false" ht="15" hidden="false" customHeight="true" outlineLevel="0" collapsed="false">
      <c r="A11" s="66" t="s">
        <v>367</v>
      </c>
      <c r="B11" s="94" t="n">
        <f aca="false">PARAMÉTRICO!C26</f>
        <v>3302</v>
      </c>
    </row>
    <row r="12" customFormat="false" ht="15" hidden="false" customHeight="true" outlineLevel="0" collapsed="false">
      <c r="A12" s="3" t="s">
        <v>388</v>
      </c>
      <c r="B12" s="92" t="n">
        <f aca="false">PARAMÉTRICO!C29</f>
        <v>835401.45975</v>
      </c>
    </row>
    <row r="13" customFormat="false" ht="15" hidden="false" customHeight="true" outlineLevel="0" collapsed="false">
      <c r="A13" s="3" t="s">
        <v>369</v>
      </c>
      <c r="B13" s="92" t="n">
        <f aca="false">PARAMÉTRICO!C30</f>
        <v>229.99875</v>
      </c>
    </row>
    <row r="16" customFormat="false" ht="15" hidden="false" customHeight="true" outlineLevel="0" collapsed="false">
      <c r="A16" s="2" t="s">
        <v>389</v>
      </c>
      <c r="B16" s="2"/>
      <c r="C16" s="2"/>
      <c r="D16" s="2"/>
    </row>
    <row r="17" customFormat="false" ht="15" hidden="false" customHeight="true" outlineLevel="0" collapsed="false">
      <c r="A17" s="7" t="s">
        <v>319</v>
      </c>
      <c r="B17" s="7" t="s">
        <v>14</v>
      </c>
      <c r="C17" s="7" t="s">
        <v>207</v>
      </c>
      <c r="D17" s="7" t="s">
        <v>390</v>
      </c>
    </row>
    <row r="18" customFormat="false" ht="15" hidden="false" customHeight="true" outlineLevel="0" collapsed="false">
      <c r="A18" s="3" t="s">
        <v>349</v>
      </c>
      <c r="B18" s="92" t="n">
        <f aca="false">PARAMÉTRICO!C9</f>
        <v>145</v>
      </c>
      <c r="C18" s="95" t="n">
        <f aca="false">PARAMÉTRICO!E9</f>
        <v>0.0439127801332526</v>
      </c>
      <c r="D18" s="92" t="n">
        <f aca="false">PARAMÉTRICO!D9</f>
        <v>2054348.835</v>
      </c>
    </row>
    <row r="19" customFormat="false" ht="15" hidden="false" customHeight="true" outlineLevel="0" collapsed="false">
      <c r="A19" s="3" t="s">
        <v>391</v>
      </c>
      <c r="B19" s="92" t="n">
        <f aca="false">PARAMÉTRICO!C5</f>
        <v>450</v>
      </c>
      <c r="C19" s="95" t="n">
        <f aca="false">PARAMÉTRICO!E5</f>
        <v>0.136281041792853</v>
      </c>
      <c r="D19" s="92" t="n">
        <f aca="false">PARAMÉTRICO!D5</f>
        <v>6375565.35</v>
      </c>
    </row>
    <row r="20" customFormat="false" ht="15" hidden="false" customHeight="true" outlineLevel="0" collapsed="false">
      <c r="A20" s="3" t="s">
        <v>353</v>
      </c>
      <c r="B20" s="92" t="n">
        <f aca="false">PARAMÉTRICO!C11</f>
        <v>340</v>
      </c>
      <c r="C20" s="95" t="n">
        <f aca="false">PARAMÉTRICO!E11</f>
        <v>0.102967898243489</v>
      </c>
      <c r="D20" s="92" t="n">
        <f aca="false">PARAMÉTRICO!D11</f>
        <v>4817093.82</v>
      </c>
    </row>
    <row r="21" customFormat="false" ht="15" hidden="false" customHeight="true" outlineLevel="0" collapsed="false">
      <c r="A21" s="3" t="s">
        <v>322</v>
      </c>
      <c r="B21" s="92" t="n">
        <f aca="false">PARAMÉTRICO!C18</f>
        <v>211</v>
      </c>
      <c r="C21" s="95" t="n">
        <f aca="false">PARAMÉTRICO!E18</f>
        <v>0.063900666262871</v>
      </c>
      <c r="D21" s="92" t="n">
        <f aca="false">PARAMÉTRICO!D18</f>
        <v>2989431.753</v>
      </c>
    </row>
    <row r="22" customFormat="false" ht="15" hidden="false" customHeight="true" outlineLevel="0" collapsed="false">
      <c r="A22" s="3" t="s">
        <v>324</v>
      </c>
      <c r="B22" s="92" t="n">
        <f aca="false">PARAMÉTRICO!C16</f>
        <v>133</v>
      </c>
      <c r="C22" s="95" t="n">
        <f aca="false">PARAMÉTRICO!E16</f>
        <v>0.0402786190187765</v>
      </c>
      <c r="D22" s="92" t="n">
        <f aca="false">PARAMÉTRICO!D16</f>
        <v>1884333.759</v>
      </c>
    </row>
    <row r="25" customFormat="false" ht="15" hidden="false" customHeight="true" outlineLevel="0" collapsed="false">
      <c r="A25" s="77" t="s">
        <v>235</v>
      </c>
      <c r="B25" s="77"/>
      <c r="C25" s="77"/>
      <c r="D25" s="77"/>
    </row>
    <row r="26" customFormat="false" ht="15" hidden="false" customHeight="true" outlineLevel="0" collapsed="false">
      <c r="A26" s="96" t="s">
        <v>392</v>
      </c>
      <c r="B26" s="96"/>
      <c r="C26" s="96"/>
      <c r="D26" s="96"/>
    </row>
    <row r="27" customFormat="false" ht="15" hidden="false" customHeight="true" outlineLevel="0" collapsed="false">
      <c r="A27" s="96" t="s">
        <v>393</v>
      </c>
      <c r="B27" s="96"/>
      <c r="C27" s="96"/>
      <c r="D27" s="96"/>
    </row>
    <row r="28" customFormat="false" ht="15" hidden="false" customHeight="true" outlineLevel="0" collapsed="false">
      <c r="A28" s="96" t="s">
        <v>394</v>
      </c>
      <c r="B28" s="96"/>
      <c r="C28" s="96"/>
      <c r="D28" s="96"/>
    </row>
    <row r="29" customFormat="false" ht="15" hidden="false" customHeight="true" outlineLevel="0" collapsed="false">
      <c r="A29" s="96" t="s">
        <v>395</v>
      </c>
      <c r="B29" s="96"/>
      <c r="C29" s="96"/>
      <c r="D29" s="96"/>
    </row>
    <row r="30" customFormat="false" ht="15" hidden="false" customHeight="true" outlineLevel="0" collapsed="false">
      <c r="A30" s="96" t="s">
        <v>396</v>
      </c>
      <c r="B30" s="96"/>
      <c r="C30" s="96"/>
      <c r="D30" s="96"/>
    </row>
    <row r="31" customFormat="false" ht="15" hidden="false" customHeight="true" outlineLevel="0" collapsed="false">
      <c r="A31" s="96" t="s">
        <v>397</v>
      </c>
      <c r="B31" s="96"/>
      <c r="C31" s="96"/>
      <c r="D31" s="96"/>
    </row>
  </sheetData>
  <mergeCells count="10">
    <mergeCell ref="A1:D1"/>
    <mergeCell ref="A8:D8"/>
    <mergeCell ref="A16:D16"/>
    <mergeCell ref="A25:D25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2026-03-05T17:03:01Z</dcterms:created>
  <dc:creator>openpyxl</dc:creator>
  <dc:description/>
  <dc:language>en-US</dc:language>
  <cp:lastModifiedBy>Leonardo Kock</cp:lastModifiedBy>
  <dcterms:modified xsi:type="dcterms:W3CDTF">2026-03-05T17:32:04Z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