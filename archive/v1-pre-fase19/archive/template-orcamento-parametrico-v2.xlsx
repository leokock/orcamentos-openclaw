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PROJETO" sheetId="1" state="visible" r:id="rId1"/>
    <sheet xmlns:r="http://schemas.openxmlformats.org/officeDocument/2006/relationships" name="BRIEFING" sheetId="2" state="visible" r:id="rId2"/>
    <sheet xmlns:r="http://schemas.openxmlformats.org/officeDocument/2006/relationships" name="FATORES" sheetId="3" state="visible" r:id="rId3"/>
    <sheet xmlns:r="http://schemas.openxmlformats.org/officeDocument/2006/relationships" name="CUSTOS_MACROGRUPO" sheetId="4" state="visible" r:id="rId4"/>
    <sheet xmlns:r="http://schemas.openxmlformats.org/officeDocument/2006/relationships" name="PAINEL" sheetId="5" state="visible" r:id="rId5"/>
    <sheet xmlns:r="http://schemas.openxmlformats.org/officeDocument/2006/relationships" name="ALERTAS" sheetId="6" state="visible" r:id="rId6"/>
    <sheet xmlns:r="http://schemas.openxmlformats.org/officeDocument/2006/relationships" name="NO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b val="1"/>
      <color rgb="00FFFFFF"/>
      <sz val="14"/>
    </font>
    <font>
      <sz val="11"/>
    </font>
    <font>
      <b val="1"/>
      <sz val="13"/>
    </font>
    <font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3" fillId="0" borderId="0" pivotButton="0" quotePrefix="0" xfId="0"/>
    <xf numFmtId="4" fontId="3" fillId="5" borderId="0" pivotButton="0" quotePrefix="0" xfId="0"/>
    <xf numFmtId="0" fontId="3" fillId="5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4" fontId="6" fillId="0" borderId="0" pivotButton="0" quotePrefix="0" xfId="0"/>
    <xf numFmtId="4" fontId="5" fillId="0" borderId="0" pivotButton="0" quotePrefix="0" xfId="0"/>
    <xf numFmtId="4" fontId="0" fillId="0" borderId="0" pivotButton="0" quotePrefix="0" xfId="0"/>
    <xf numFmtId="0" fontId="7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DADOS DO PROJETO</t>
        </is>
      </c>
    </row>
    <row r="2">
      <c r="A2" s="2" t="inlineStr">
        <is>
          <t>Nome do Projeto</t>
        </is>
      </c>
      <c r="B2" t="inlineStr"/>
    </row>
    <row r="3">
      <c r="A3" s="2" t="inlineStr">
        <is>
          <t>Código</t>
        </is>
      </c>
      <c r="B3" t="inlineStr"/>
    </row>
    <row r="4">
      <c r="A4" s="2" t="inlineStr">
        <is>
          <t>Cidade</t>
        </is>
      </c>
      <c r="B4" t="inlineStr"/>
    </row>
    <row r="5">
      <c r="A5" t="inlineStr"/>
      <c r="B5" t="inlineStr"/>
    </row>
    <row r="6">
      <c r="A6" s="2" t="inlineStr">
        <is>
          <t>Área Construída (m²)</t>
        </is>
      </c>
      <c r="B6" t="inlineStr"/>
    </row>
    <row r="7">
      <c r="A7" s="2" t="inlineStr">
        <is>
          <t>Unidades Residenciais</t>
        </is>
      </c>
      <c r="B7" t="inlineStr"/>
    </row>
    <row r="8">
      <c r="A8" s="2" t="inlineStr">
        <is>
          <t>Unidades Comerciais</t>
        </is>
      </c>
      <c r="B8" t="inlineStr"/>
    </row>
    <row r="9">
      <c r="A9" s="2" t="inlineStr">
        <is>
          <t>Número de Pavimentos</t>
        </is>
      </c>
      <c r="B9" t="inlineStr"/>
    </row>
    <row r="10">
      <c r="A10" s="2" t="inlineStr">
        <is>
          <t>Pavimentos Tipo</t>
        </is>
      </c>
      <c r="B10" t="inlineStr"/>
    </row>
    <row r="11">
      <c r="A11" s="2" t="inlineStr">
        <is>
          <t>Pavimentos Garagem</t>
        </is>
      </c>
      <c r="B11" t="inlineStr"/>
    </row>
    <row r="12">
      <c r="A12" s="2" t="inlineStr">
        <is>
          <t>Elevadores</t>
        </is>
      </c>
      <c r="B12" t="inlineStr"/>
    </row>
    <row r="13">
      <c r="A13" s="2" t="inlineStr">
        <is>
          <t>Vagas</t>
        </is>
      </c>
      <c r="B13" t="inlineStr"/>
    </row>
    <row r="14">
      <c r="A14" s="2" t="inlineStr">
        <is>
          <t>Área Terreno (m²)</t>
        </is>
      </c>
      <c r="B14" t="inlineStr"/>
    </row>
    <row r="15">
      <c r="A15" s="2" t="inlineStr">
        <is>
          <t>Número de Subsolos</t>
        </is>
      </c>
      <c r="B15" t="inlineStr"/>
    </row>
    <row r="16">
      <c r="A16" t="inlineStr"/>
      <c r="B16" t="inlineStr"/>
    </row>
    <row r="17">
      <c r="A17" s="2" t="inlineStr">
        <is>
          <t>Prazo (meses)</t>
        </is>
      </c>
      <c r="B17" t="inlineStr"/>
    </row>
    <row r="18">
      <c r="A18" t="inlineStr"/>
      <c r="B18" t="inlineStr"/>
    </row>
    <row r="19">
      <c r="A19" s="2" t="inlineStr">
        <is>
          <t>CUB Atual (R$/m²)</t>
        </is>
      </c>
      <c r="B19" t="inlineStr"/>
    </row>
    <row r="20">
      <c r="A20" s="2" t="inlineStr">
        <is>
          <t>CUB Base dez/23 (R$/m²)</t>
        </is>
      </c>
      <c r="B20" s="3" t="n">
        <v>2752.67</v>
      </c>
    </row>
    <row r="21">
      <c r="A21" s="2" t="inlineStr">
        <is>
          <t>Data-base</t>
        </is>
      </c>
      <c r="B21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500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35" customWidth="1" min="4" max="4"/>
  </cols>
  <sheetData>
    <row r="1">
      <c r="A1" s="1" t="inlineStr">
        <is>
          <t>#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Macrogrupos Afetados</t>
        </is>
      </c>
    </row>
    <row r="2">
      <c r="A2" s="4" t="inlineStr">
        <is>
          <t>Q1</t>
        </is>
      </c>
      <c r="B2" s="2" t="inlineStr">
        <is>
          <t>Tipo de Fundação</t>
        </is>
      </c>
      <c r="C2" s="5" t="n"/>
      <c r="D2" s="6" t="inlineStr">
        <is>
          <t>Infraestrutura</t>
        </is>
      </c>
    </row>
    <row r="3">
      <c r="A3" s="4" t="inlineStr">
        <is>
          <t>Q2</t>
        </is>
      </c>
      <c r="B3" s="2" t="inlineStr">
        <is>
          <t>Tipo de Laje</t>
        </is>
      </c>
      <c r="C3" s="5" t="n"/>
      <c r="D3" s="6" t="inlineStr">
        <is>
          <t>Supraestrutura</t>
        </is>
      </c>
    </row>
    <row r="4">
      <c r="A4" s="4" t="inlineStr">
        <is>
          <t>Q3</t>
        </is>
      </c>
      <c r="B4" s="2" t="inlineStr">
        <is>
          <t>Contenção</t>
        </is>
      </c>
      <c r="C4" s="5" t="n"/>
      <c r="D4" s="6" t="inlineStr">
        <is>
          <t>Infraestrutura</t>
        </is>
      </c>
    </row>
    <row r="5">
      <c r="A5" s="4" t="inlineStr">
        <is>
          <t>Q4</t>
        </is>
      </c>
      <c r="B5" s="2" t="inlineStr">
        <is>
          <t>Subsolos</t>
        </is>
      </c>
      <c r="C5" s="5" t="n"/>
      <c r="D5" s="6" t="inlineStr">
        <is>
          <t>Mov. Terra, Infraestrutura, Impermeabilização</t>
        </is>
      </c>
    </row>
    <row r="6">
      <c r="A6" s="4" t="inlineStr">
        <is>
          <t>Q5</t>
        </is>
      </c>
      <c r="B6" s="2" t="inlineStr">
        <is>
          <t>Padrão</t>
        </is>
      </c>
      <c r="C6" s="5" t="n"/>
      <c r="D6" s="6" t="inlineStr">
        <is>
          <t>Rev. Int. Parede, Teto, Pisos, Pintura, Esquadrias, Fachada, Complementares</t>
        </is>
      </c>
    </row>
    <row r="7">
      <c r="A7" s="4" t="inlineStr">
        <is>
          <t>Q6</t>
        </is>
      </c>
      <c r="B7" s="2" t="inlineStr">
        <is>
          <t>Esquadria</t>
        </is>
      </c>
      <c r="C7" s="5" t="n"/>
      <c r="D7" s="6" t="inlineStr">
        <is>
          <t>Esquadrias</t>
        </is>
      </c>
    </row>
    <row r="8">
      <c r="A8" s="4" t="inlineStr">
        <is>
          <t>Q7</t>
        </is>
      </c>
      <c r="B8" s="2" t="inlineStr">
        <is>
          <t>Piso</t>
        </is>
      </c>
      <c r="C8" s="5" t="n"/>
      <c r="D8" s="6" t="inlineStr">
        <is>
          <t>Pisos</t>
        </is>
      </c>
    </row>
    <row r="9">
      <c r="A9" s="4" t="inlineStr">
        <is>
          <t>Q8</t>
        </is>
      </c>
      <c r="B9" s="2" t="inlineStr">
        <is>
          <t>Vedação</t>
        </is>
      </c>
      <c r="C9" s="5" t="n"/>
      <c r="D9" s="6" t="inlineStr">
        <is>
          <t>Alvenaria</t>
        </is>
      </c>
    </row>
    <row r="10">
      <c r="A10" s="4" t="inlineStr">
        <is>
          <t>Q9</t>
        </is>
      </c>
      <c r="B10" s="2" t="inlineStr">
        <is>
          <t>Forro</t>
        </is>
      </c>
      <c r="C10" s="5" t="n"/>
      <c r="D10" s="6" t="inlineStr">
        <is>
          <t>Teto</t>
        </is>
      </c>
    </row>
    <row r="11">
      <c r="A11" s="4" t="inlineStr">
        <is>
          <t>Q10</t>
        </is>
      </c>
      <c r="B11" s="2" t="inlineStr">
        <is>
          <t>Fachada</t>
        </is>
      </c>
      <c r="C11" s="5" t="n"/>
      <c r="D11" s="6" t="inlineStr">
        <is>
          <t>Fachada</t>
        </is>
      </c>
    </row>
    <row r="12">
      <c r="A12" s="4" t="inlineStr">
        <is>
          <t>Q11</t>
        </is>
      </c>
      <c r="B12" s="2" t="inlineStr">
        <is>
          <t>MO Fachada</t>
        </is>
      </c>
      <c r="C12" s="5" t="n"/>
      <c r="D12" s="6" t="inlineStr">
        <is>
          <t>Fachada</t>
        </is>
      </c>
    </row>
    <row r="13">
      <c r="A13" s="4" t="inlineStr">
        <is>
          <t>Q12</t>
        </is>
      </c>
      <c r="B13" s="2" t="inlineStr">
        <is>
          <t>Cobertura Habitável</t>
        </is>
      </c>
      <c r="C13" s="5" t="n"/>
      <c r="D13" s="6" t="inlineStr">
        <is>
          <t>Complementares</t>
        </is>
      </c>
    </row>
    <row r="14">
      <c r="A14" s="4" t="inlineStr">
        <is>
          <t>Q13</t>
        </is>
      </c>
      <c r="B14" s="2" t="inlineStr">
        <is>
          <t>Aquecimento</t>
        </is>
      </c>
      <c r="C14" s="5" t="n"/>
      <c r="D14" s="6" t="inlineStr">
        <is>
          <t>Instalações</t>
        </is>
      </c>
    </row>
    <row r="15">
      <c r="A15" s="4" t="inlineStr">
        <is>
          <t>Q14</t>
        </is>
      </c>
      <c r="B15" s="2" t="inlineStr">
        <is>
          <t>Automação</t>
        </is>
      </c>
      <c r="C15" s="5" t="n"/>
      <c r="D15" s="6" t="inlineStr">
        <is>
          <t>Sist. Especiais</t>
        </is>
      </c>
    </row>
    <row r="16">
      <c r="A16" s="4" t="inlineStr">
        <is>
          <t>Q15</t>
        </is>
      </c>
      <c r="B16" s="2" t="inlineStr">
        <is>
          <t>Energia</t>
        </is>
      </c>
      <c r="C16" s="5" t="n"/>
      <c r="D16" s="6" t="inlineStr">
        <is>
          <t>Sist. Especiais</t>
        </is>
      </c>
    </row>
    <row r="17">
      <c r="A17" s="4" t="inlineStr">
        <is>
          <t>Q16</t>
        </is>
      </c>
      <c r="B17" s="2" t="inlineStr">
        <is>
          <t>Lazer</t>
        </is>
      </c>
      <c r="C17" s="5" t="n"/>
      <c r="D17" s="6" t="inlineStr">
        <is>
          <t>Complementares</t>
        </is>
      </c>
    </row>
    <row r="18">
      <c r="A18" s="4" t="inlineStr">
        <is>
          <t>Q17</t>
        </is>
      </c>
      <c r="B18" s="2" t="inlineStr">
        <is>
          <t>Paisagismo</t>
        </is>
      </c>
      <c r="C18" s="5" t="n"/>
      <c r="D18" s="6" t="inlineStr">
        <is>
          <t>Complementares</t>
        </is>
      </c>
    </row>
    <row r="19">
      <c r="A19" s="4" t="inlineStr">
        <is>
          <t>Q18</t>
        </is>
      </c>
      <c r="B19" s="2" t="inlineStr">
        <is>
          <t>Mobiliário</t>
        </is>
      </c>
      <c r="C19" s="5" t="n"/>
      <c r="D19" s="6" t="inlineStr">
        <is>
          <t>Complementares</t>
        </is>
      </c>
    </row>
    <row r="20">
      <c r="A20" s="4" t="inlineStr">
        <is>
          <t>Q19</t>
        </is>
      </c>
      <c r="B20" s="2" t="inlineStr">
        <is>
          <t>Prazo</t>
        </is>
      </c>
      <c r="C20" s="5" t="n"/>
      <c r="D20" s="6" t="inlineStr">
        <is>
          <t>Gerenciamento</t>
        </is>
      </c>
    </row>
    <row r="21">
      <c r="A21" s="4" t="inlineStr">
        <is>
          <t>Q20</t>
        </is>
      </c>
      <c r="B21" s="2" t="inlineStr">
        <is>
          <t>Região</t>
        </is>
      </c>
      <c r="C21" s="5" t="n"/>
      <c r="D21" s="6" t="inlineStr">
        <is>
          <t>Todos os macrogrupos</t>
        </is>
      </c>
    </row>
    <row r="22">
      <c r="A22" s="4" t="inlineStr">
        <is>
          <t>Q21</t>
        </is>
      </c>
      <c r="B22" s="2" t="inlineStr">
        <is>
          <t>Gerador</t>
        </is>
      </c>
      <c r="C22" s="5" t="n"/>
      <c r="D22" s="6" t="inlineStr">
        <is>
          <t>Sist. Especiais</t>
        </is>
      </c>
    </row>
    <row r="23">
      <c r="A23" s="4" t="inlineStr">
        <is>
          <t>Q22</t>
        </is>
      </c>
      <c r="B23" s="2" t="inlineStr">
        <is>
          <t>Subestação</t>
        </is>
      </c>
      <c r="C23" s="5" t="n"/>
      <c r="D23" s="6" t="inlineStr">
        <is>
          <t>Sist. Especiais</t>
        </is>
      </c>
    </row>
    <row r="24">
      <c r="A24" s="4" t="inlineStr">
        <is>
          <t>Q23</t>
        </is>
      </c>
      <c r="B24" s="2" t="inlineStr">
        <is>
          <t>Fotovoltaicas</t>
        </is>
      </c>
      <c r="C24" s="5" t="n"/>
      <c r="D24" s="6" t="inlineStr">
        <is>
          <t>Sist. Especiais</t>
        </is>
      </c>
    </row>
    <row r="25">
      <c r="A25" s="4" t="inlineStr">
        <is>
          <t>Q24</t>
        </is>
      </c>
      <c r="B25" s="2" t="inlineStr">
        <is>
          <t>Carro Elétrico</t>
        </is>
      </c>
      <c r="C25" s="5" t="n"/>
      <c r="D25" s="6" t="inlineStr">
        <is>
          <t>Instalações</t>
        </is>
      </c>
    </row>
    <row r="26">
      <c r="A26" s="4" t="inlineStr">
        <is>
          <t>Q25</t>
        </is>
      </c>
      <c r="B26" s="2" t="inlineStr">
        <is>
          <t>Pressurização</t>
        </is>
      </c>
      <c r="C26" s="5" t="n"/>
      <c r="D26" s="6" t="inlineStr">
        <is>
          <t>Instalações</t>
        </is>
      </c>
    </row>
  </sheetData>
  <dataValidations count="25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" showDropDown="0" showInputMessage="0" showErrorMessage="0" allowBlank="0" errorTitle="Entrada Inválida" error="Selecione uma opção válida" type="list">
      <formula1>"Sim,Não"</formula1>
    </dataValidation>
    <dataValidation sqref="C23" showDropDown="0" showInputMessage="0" showErrorMessage="0" allowBlank="0" errorTitle="Entrada Inválida" error="Selecione uma opção válida" type="list">
      <formula1>"Sim,Não"</formula1>
    </dataValidation>
    <dataValidation sqref="C24" showDropDown="0" showInputMessage="0" showErrorMessage="0" allowBlank="0" errorTitle="Entrada Inválida" error="Selecione uma opção válida" type="list">
      <formula1>"Sim,Não"</formula1>
    </dataValidation>
    <dataValidation sqref="C25" showDropDown="0" showInputMessage="0" showErrorMessage="0" allowBlank="0" errorTitle="Entrada Inválida" error="Selecione uma opção válida" type="list">
      <formula1>"Sim,Não"</formula1>
    </dataValidation>
    <dataValidation sqref="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2" customWidth="1" min="27" max="27"/>
  </cols>
  <sheetData>
    <row r="1">
      <c r="A1" s="1" t="inlineStr">
        <is>
          <t>MATRIZ DE FATORES</t>
        </is>
      </c>
    </row>
    <row r="2">
      <c r="A2" s="1" t="inlineStr">
        <is>
          <t>Macrogrupo</t>
        </is>
      </c>
      <c r="B2" s="1" t="inlineStr">
        <is>
          <t>Q1</t>
        </is>
      </c>
      <c r="C2" s="1" t="inlineStr">
        <is>
          <t>Q2</t>
        </is>
      </c>
      <c r="D2" s="1" t="inlineStr">
        <is>
          <t>Q3</t>
        </is>
      </c>
      <c r="E2" s="1" t="inlineStr">
        <is>
          <t>Q4</t>
        </is>
      </c>
      <c r="F2" s="1" t="inlineStr">
        <is>
          <t>Q5</t>
        </is>
      </c>
      <c r="G2" s="1" t="inlineStr">
        <is>
          <t>Q6</t>
        </is>
      </c>
      <c r="H2" s="1" t="inlineStr">
        <is>
          <t>Q7</t>
        </is>
      </c>
      <c r="I2" s="1" t="inlineStr">
        <is>
          <t>Q8</t>
        </is>
      </c>
      <c r="J2" s="1" t="inlineStr">
        <is>
          <t>Q9</t>
        </is>
      </c>
      <c r="K2" s="1" t="inlineStr">
        <is>
          <t>Q10</t>
        </is>
      </c>
      <c r="L2" s="1" t="inlineStr">
        <is>
          <t>Q11</t>
        </is>
      </c>
      <c r="M2" s="1" t="inlineStr">
        <is>
          <t>Q12</t>
        </is>
      </c>
      <c r="N2" s="1" t="inlineStr">
        <is>
          <t>Q13</t>
        </is>
      </c>
      <c r="O2" s="1" t="inlineStr">
        <is>
          <t>Q14</t>
        </is>
      </c>
      <c r="P2" s="1" t="inlineStr">
        <is>
          <t>Q15</t>
        </is>
      </c>
      <c r="Q2" s="1" t="inlineStr">
        <is>
          <t>Q16</t>
        </is>
      </c>
      <c r="R2" s="1" t="inlineStr">
        <is>
          <t>Q17</t>
        </is>
      </c>
      <c r="S2" s="1" t="inlineStr">
        <is>
          <t>Q18</t>
        </is>
      </c>
      <c r="T2" s="1" t="inlineStr">
        <is>
          <t>Q19</t>
        </is>
      </c>
      <c r="U2" s="1" t="inlineStr">
        <is>
          <t>Q20</t>
        </is>
      </c>
      <c r="V2" s="1" t="inlineStr">
        <is>
          <t>Q21</t>
        </is>
      </c>
      <c r="W2" s="1" t="inlineStr">
        <is>
          <t>Q22</t>
        </is>
      </c>
      <c r="X2" s="1" t="inlineStr">
        <is>
          <t>Q23</t>
        </is>
      </c>
      <c r="Y2" s="1" t="inlineStr">
        <is>
          <t>Q24</t>
        </is>
      </c>
      <c r="Z2" s="1" t="inlineStr">
        <is>
          <t>Q25</t>
        </is>
      </c>
      <c r="AA2" s="1" t="inlineStr">
        <is>
          <t>Fator Briefing</t>
        </is>
      </c>
    </row>
    <row r="3">
      <c r="A3" s="2" t="inlineStr">
        <is>
          <t>Gerenciamento</t>
        </is>
      </c>
      <c r="B3" s="7">
        <f>1</f>
        <v/>
      </c>
      <c r="C3" s="7">
        <f>1</f>
        <v/>
      </c>
      <c r="D3" s="7">
        <f>1</f>
        <v/>
      </c>
      <c r="E3" s="7">
        <f>1</f>
        <v/>
      </c>
      <c r="F3" s="7">
        <f>1</f>
        <v/>
      </c>
      <c r="G3" s="7">
        <f>1</f>
        <v/>
      </c>
      <c r="H3" s="7">
        <f>1</f>
        <v/>
      </c>
      <c r="I3" s="7">
        <f>1</f>
        <v/>
      </c>
      <c r="J3" s="7">
        <f>1</f>
        <v/>
      </c>
      <c r="K3" s="7">
        <f>1</f>
        <v/>
      </c>
      <c r="L3" s="7">
        <f>1</f>
        <v/>
      </c>
      <c r="M3" s="7">
        <f>1</f>
        <v/>
      </c>
      <c r="N3" s="7">
        <f>1</f>
        <v/>
      </c>
      <c r="O3" s="7">
        <f>1</f>
        <v/>
      </c>
      <c r="P3" s="7">
        <f>1</f>
        <v/>
      </c>
      <c r="Q3" s="7">
        <f>1</f>
        <v/>
      </c>
      <c r="R3" s="7">
        <f>1</f>
        <v/>
      </c>
      <c r="S3" s="7">
        <f>1</f>
        <v/>
      </c>
      <c r="T3" s="7">
        <f>IFS(BRIEFING!$C$20="18",0.6,BRIEFING!$C$20="24",0.75,BRIEFING!$C$20="30",0.88,BRIEFING!$C$20="36",1.0,BRIEFING!$C$20="42",1.15,BRIEFING!$C$20="48",1.3,TRUE,1)</f>
        <v/>
      </c>
      <c r="U3" s="7">
        <f>IFS(BRIEFING!$C$21="Interior SC",0.95,BRIEFING!$C$21="Litoral SC",1.0,BRIEFING!$C$21="Capital Floripa",1.05,BRIEFING!$C$21="Litoral SP",1.15,BRIEFING!$C$21="Capital SP-RJ",1.25,TRUE,1)</f>
        <v/>
      </c>
      <c r="V3" s="7">
        <f>1</f>
        <v/>
      </c>
      <c r="W3" s="7">
        <f>1</f>
        <v/>
      </c>
      <c r="X3" s="7">
        <f>1</f>
        <v/>
      </c>
      <c r="Y3" s="7">
        <f>1</f>
        <v/>
      </c>
      <c r="Z3" s="7">
        <f>1</f>
        <v/>
      </c>
      <c r="AA3" s="8">
        <f>PRODUCT(B3:Z3)</f>
        <v/>
      </c>
    </row>
    <row r="4">
      <c r="A4" s="2" t="inlineStr">
        <is>
          <t>Mov. Terra</t>
        </is>
      </c>
      <c r="B4" s="7">
        <f>1</f>
        <v/>
      </c>
      <c r="C4" s="7">
        <f>1</f>
        <v/>
      </c>
      <c r="D4" s="7">
        <f>1</f>
        <v/>
      </c>
      <c r="E4" s="7">
        <f>IFS(BRIEFING!$C$5="0",1.0,BRIEFING!$C$5="1",2.0,BRIEFING!$C$5="2",3.5,BRIEFING!$C$5="3+",5.0,TRUE,1)</f>
        <v/>
      </c>
      <c r="F4" s="7">
        <f>1</f>
        <v/>
      </c>
      <c r="G4" s="7">
        <f>1</f>
        <v/>
      </c>
      <c r="H4" s="7">
        <f>1</f>
        <v/>
      </c>
      <c r="I4" s="7">
        <f>1</f>
        <v/>
      </c>
      <c r="J4" s="7">
        <f>1</f>
        <v/>
      </c>
      <c r="K4" s="7">
        <f>1</f>
        <v/>
      </c>
      <c r="L4" s="7">
        <f>1</f>
        <v/>
      </c>
      <c r="M4" s="7">
        <f>1</f>
        <v/>
      </c>
      <c r="N4" s="7">
        <f>1</f>
        <v/>
      </c>
      <c r="O4" s="7">
        <f>1</f>
        <v/>
      </c>
      <c r="P4" s="7">
        <f>1</f>
        <v/>
      </c>
      <c r="Q4" s="7">
        <f>1</f>
        <v/>
      </c>
      <c r="R4" s="7">
        <f>1</f>
        <v/>
      </c>
      <c r="S4" s="7">
        <f>1</f>
        <v/>
      </c>
      <c r="T4" s="7">
        <f>1</f>
        <v/>
      </c>
      <c r="U4" s="7">
        <f>IFS(BRIEFING!$C$21="Interior SC",0.95,BRIEFING!$C$21="Litoral SC",1.0,BRIEFING!$C$21="Capital Floripa",1.05,BRIEFING!$C$21="Litoral SP",1.15,BRIEFING!$C$21="Capital SP-RJ",1.25,TRUE,1)</f>
        <v/>
      </c>
      <c r="V4" s="7">
        <f>1</f>
        <v/>
      </c>
      <c r="W4" s="7">
        <f>1</f>
        <v/>
      </c>
      <c r="X4" s="7">
        <f>1</f>
        <v/>
      </c>
      <c r="Y4" s="7">
        <f>1</f>
        <v/>
      </c>
      <c r="Z4" s="7">
        <f>1</f>
        <v/>
      </c>
      <c r="AA4" s="8">
        <f>PRODUCT(B4:Z4)</f>
        <v/>
      </c>
    </row>
    <row r="5">
      <c r="A5" s="2" t="inlineStr">
        <is>
          <t>Infraestrutura</t>
        </is>
      </c>
      <c r="B5" s="7">
        <f>IFS(BRIEFING!$C$2="Hélice Contínua",1.0,BRIEFING!$C$2="Estaca Franki",0.9,BRIEFING!$C$2="Tubulão",1.15,BRIEFING!$C$2="Sapata/Radier",0.75,BRIEFING!$C$2="Estaca raiz",1.1,TRUE,1)</f>
        <v/>
      </c>
      <c r="C5" s="7">
        <f>1</f>
        <v/>
      </c>
      <c r="D5" s="7">
        <f>IFS(BRIEFING!$C$4="Não",1.0,BRIEFING!$C$4="Cortina de estacas",1.4,BRIEFING!$C$4="Muro de arrimo",1.2,BRIEFING!$C$4="Solo grampeado",1.3,BRIEFING!$C$4="Tirantes",1.35,TRUE,1)</f>
        <v/>
      </c>
      <c r="E5" s="7">
        <f>IFS(BRIEFING!$C$5="0",1.0,BRIEFING!$C$5="1",1.2,BRIEFING!$C$5="2",1.4,BRIEFING!$C$5="3+",1.6,TRUE,1)</f>
        <v/>
      </c>
      <c r="F5" s="7">
        <f>1</f>
        <v/>
      </c>
      <c r="G5" s="7">
        <f>1</f>
        <v/>
      </c>
      <c r="H5" s="7">
        <f>1</f>
        <v/>
      </c>
      <c r="I5" s="7">
        <f>1</f>
        <v/>
      </c>
      <c r="J5" s="7">
        <f>1</f>
        <v/>
      </c>
      <c r="K5" s="7">
        <f>1</f>
        <v/>
      </c>
      <c r="L5" s="7">
        <f>1</f>
        <v/>
      </c>
      <c r="M5" s="7">
        <f>1</f>
        <v/>
      </c>
      <c r="N5" s="7">
        <f>1</f>
        <v/>
      </c>
      <c r="O5" s="7">
        <f>1</f>
        <v/>
      </c>
      <c r="P5" s="7">
        <f>1</f>
        <v/>
      </c>
      <c r="Q5" s="7">
        <f>1</f>
        <v/>
      </c>
      <c r="R5" s="7">
        <f>1</f>
        <v/>
      </c>
      <c r="S5" s="7">
        <f>1</f>
        <v/>
      </c>
      <c r="T5" s="7">
        <f>1</f>
        <v/>
      </c>
      <c r="U5" s="7">
        <f>IFS(BRIEFING!$C$21="Interior SC",0.95,BRIEFING!$C$21="Litoral SC",1.0,BRIEFING!$C$21="Capital Floripa",1.05,BRIEFING!$C$21="Litoral SP",1.15,BRIEFING!$C$21="Capital SP-RJ",1.25,TRUE,1)</f>
        <v/>
      </c>
      <c r="V5" s="7">
        <f>1</f>
        <v/>
      </c>
      <c r="W5" s="7">
        <f>1</f>
        <v/>
      </c>
      <c r="X5" s="7">
        <f>1</f>
        <v/>
      </c>
      <c r="Y5" s="7">
        <f>1</f>
        <v/>
      </c>
      <c r="Z5" s="7">
        <f>1</f>
        <v/>
      </c>
      <c r="AA5" s="8">
        <f>PRODUCT(B5:Z5)</f>
        <v/>
      </c>
    </row>
    <row r="6">
      <c r="A6" s="2" t="inlineStr">
        <is>
          <t>Supraestrutura</t>
        </is>
      </c>
      <c r="B6" s="7">
        <f>1</f>
        <v/>
      </c>
      <c r="C6" s="7">
        <f>IFS(BRIEFING!$C$3="Cubetas",1.0,BRIEFING!$C$3="Protendida",1.05,BRIEFING!$C$3="Maciça",1.1,BRIEFING!$C$3="Mista",1.03,BRIEFING!$C$3="Treliçada",0.95,TRUE,1)</f>
        <v/>
      </c>
      <c r="D6" s="7">
        <f>1</f>
        <v/>
      </c>
      <c r="E6" s="7">
        <f>1</f>
        <v/>
      </c>
      <c r="F6" s="7">
        <f>1</f>
        <v/>
      </c>
      <c r="G6" s="7">
        <f>1</f>
        <v/>
      </c>
      <c r="H6" s="7">
        <f>1</f>
        <v/>
      </c>
      <c r="I6" s="7">
        <f>1</f>
        <v/>
      </c>
      <c r="J6" s="7">
        <f>1</f>
        <v/>
      </c>
      <c r="K6" s="7">
        <f>1</f>
        <v/>
      </c>
      <c r="L6" s="7">
        <f>1</f>
        <v/>
      </c>
      <c r="M6" s="7">
        <f>1</f>
        <v/>
      </c>
      <c r="N6" s="7">
        <f>1</f>
        <v/>
      </c>
      <c r="O6" s="7">
        <f>1</f>
        <v/>
      </c>
      <c r="P6" s="7">
        <f>1</f>
        <v/>
      </c>
      <c r="Q6" s="7">
        <f>1</f>
        <v/>
      </c>
      <c r="R6" s="7">
        <f>1</f>
        <v/>
      </c>
      <c r="S6" s="7">
        <f>1</f>
        <v/>
      </c>
      <c r="T6" s="7">
        <f>1</f>
        <v/>
      </c>
      <c r="U6" s="7">
        <f>IFS(BRIEFING!$C$21="Interior SC",0.95,BRIEFING!$C$21="Litoral SC",1.0,BRIEFING!$C$21="Capital Floripa",1.05,BRIEFING!$C$21="Litoral SP",1.15,BRIEFING!$C$21="Capital SP-RJ",1.25,TRUE,1)</f>
        <v/>
      </c>
      <c r="V6" s="7">
        <f>1</f>
        <v/>
      </c>
      <c r="W6" s="7">
        <f>1</f>
        <v/>
      </c>
      <c r="X6" s="7">
        <f>1</f>
        <v/>
      </c>
      <c r="Y6" s="7">
        <f>1</f>
        <v/>
      </c>
      <c r="Z6" s="7">
        <f>1</f>
        <v/>
      </c>
      <c r="AA6" s="8">
        <f>PRODUCT(B6:Z6)</f>
        <v/>
      </c>
    </row>
    <row r="7">
      <c r="A7" s="2" t="inlineStr">
        <is>
          <t>Alvenaria</t>
        </is>
      </c>
      <c r="B7" s="7">
        <f>1</f>
        <v/>
      </c>
      <c r="C7" s="7">
        <f>1</f>
        <v/>
      </c>
      <c r="D7" s="7">
        <f>1</f>
        <v/>
      </c>
      <c r="E7" s="7">
        <f>1</f>
        <v/>
      </c>
      <c r="F7" s="7">
        <f>1</f>
        <v/>
      </c>
      <c r="G7" s="7">
        <f>1</f>
        <v/>
      </c>
      <c r="H7" s="7">
        <f>1</f>
        <v/>
      </c>
      <c r="I7" s="7">
        <f>IFS(BRIEFING!$C$9="Alvenaria",1.0,BRIEFING!$C$9="Drywall",1.8,BRIEFING!$C$9="Misto",1.3,TRUE,1)</f>
        <v/>
      </c>
      <c r="J7" s="7">
        <f>1</f>
        <v/>
      </c>
      <c r="K7" s="7">
        <f>1</f>
        <v/>
      </c>
      <c r="L7" s="7">
        <f>1</f>
        <v/>
      </c>
      <c r="M7" s="7">
        <f>1</f>
        <v/>
      </c>
      <c r="N7" s="7">
        <f>1</f>
        <v/>
      </c>
      <c r="O7" s="7">
        <f>1</f>
        <v/>
      </c>
      <c r="P7" s="7">
        <f>1</f>
        <v/>
      </c>
      <c r="Q7" s="7">
        <f>1</f>
        <v/>
      </c>
      <c r="R7" s="7">
        <f>1</f>
        <v/>
      </c>
      <c r="S7" s="7">
        <f>1</f>
        <v/>
      </c>
      <c r="T7" s="7">
        <f>1</f>
        <v/>
      </c>
      <c r="U7" s="7">
        <f>IFS(BRIEFING!$C$21="Interior SC",0.95,BRIEFING!$C$21="Litoral SC",1.0,BRIEFING!$C$21="Capital Floripa",1.05,BRIEFING!$C$21="Litoral SP",1.15,BRIEFING!$C$21="Capital SP-RJ",1.25,TRUE,1)</f>
        <v/>
      </c>
      <c r="V7" s="7">
        <f>1</f>
        <v/>
      </c>
      <c r="W7" s="7">
        <f>1</f>
        <v/>
      </c>
      <c r="X7" s="7">
        <f>1</f>
        <v/>
      </c>
      <c r="Y7" s="7">
        <f>1</f>
        <v/>
      </c>
      <c r="Z7" s="7">
        <f>1</f>
        <v/>
      </c>
      <c r="AA7" s="8">
        <f>PRODUCT(B7:Z7)</f>
        <v/>
      </c>
    </row>
    <row r="8">
      <c r="A8" s="2" t="inlineStr">
        <is>
          <t>Impermeabilização</t>
        </is>
      </c>
      <c r="B8" s="7">
        <f>1</f>
        <v/>
      </c>
      <c r="C8" s="7">
        <f>1</f>
        <v/>
      </c>
      <c r="D8" s="7">
        <f>1</f>
        <v/>
      </c>
      <c r="E8" s="7">
        <f>IFS(BRIEFING!$C$5="0",1.0,BRIEFING!$C$5="1",1.3,BRIEFING!$C$5="2",1.6,BRIEFING!$C$5="3+",1.9,TRUE,1)</f>
        <v/>
      </c>
      <c r="F8" s="7">
        <f>1</f>
        <v/>
      </c>
      <c r="G8" s="7">
        <f>1</f>
        <v/>
      </c>
      <c r="H8" s="7">
        <f>1</f>
        <v/>
      </c>
      <c r="I8" s="7">
        <f>1</f>
        <v/>
      </c>
      <c r="J8" s="7">
        <f>1</f>
        <v/>
      </c>
      <c r="K8" s="7">
        <f>1</f>
        <v/>
      </c>
      <c r="L8" s="7">
        <f>1</f>
        <v/>
      </c>
      <c r="M8" s="7">
        <f>1</f>
        <v/>
      </c>
      <c r="N8" s="7">
        <f>1</f>
        <v/>
      </c>
      <c r="O8" s="7">
        <f>1</f>
        <v/>
      </c>
      <c r="P8" s="7">
        <f>1</f>
        <v/>
      </c>
      <c r="Q8" s="7">
        <f>1</f>
        <v/>
      </c>
      <c r="R8" s="7">
        <f>1</f>
        <v/>
      </c>
      <c r="S8" s="7">
        <f>1</f>
        <v/>
      </c>
      <c r="T8" s="7">
        <f>1</f>
        <v/>
      </c>
      <c r="U8" s="7">
        <f>IFS(BRIEFING!$C$21="Interior SC",0.95,BRIEFING!$C$21="Litoral SC",1.0,BRIEFING!$C$21="Capital Floripa",1.05,BRIEFING!$C$21="Litoral SP",1.15,BRIEFING!$C$21="Capital SP-RJ",1.25,TRUE,1)</f>
        <v/>
      </c>
      <c r="V8" s="7">
        <f>1</f>
        <v/>
      </c>
      <c r="W8" s="7">
        <f>1</f>
        <v/>
      </c>
      <c r="X8" s="7">
        <f>1</f>
        <v/>
      </c>
      <c r="Y8" s="7">
        <f>1</f>
        <v/>
      </c>
      <c r="Z8" s="7">
        <f>1</f>
        <v/>
      </c>
      <c r="AA8" s="8">
        <f>PRODUCT(B8:Z8)</f>
        <v/>
      </c>
    </row>
    <row r="9">
      <c r="A9" s="2" t="inlineStr">
        <is>
          <t>Instalações</t>
        </is>
      </c>
      <c r="B9" s="7">
        <f>1</f>
        <v/>
      </c>
      <c r="C9" s="7">
        <f>1</f>
        <v/>
      </c>
      <c r="D9" s="7">
        <f>1</f>
        <v/>
      </c>
      <c r="E9" s="7">
        <f>1</f>
        <v/>
      </c>
      <c r="F9" s="7">
        <f>1</f>
        <v/>
      </c>
      <c r="G9" s="7">
        <f>1</f>
        <v/>
      </c>
      <c r="H9" s="7">
        <f>1</f>
        <v/>
      </c>
      <c r="I9" s="7">
        <f>1</f>
        <v/>
      </c>
      <c r="J9" s="7">
        <f>1</f>
        <v/>
      </c>
      <c r="K9" s="7">
        <f>1</f>
        <v/>
      </c>
      <c r="L9" s="7">
        <f>1</f>
        <v/>
      </c>
      <c r="M9" s="7">
        <f>1</f>
        <v/>
      </c>
      <c r="N9" s="7">
        <f>IFS(BRIEFING!$C$14="Gás individual",1.0,BRIEFING!$C$14="Central",1.15,BRIEFING!$C$14="Solar",1.2,BRIEFING!$C$14="Bomba calor",1.25,BRIEFING!$C$14="Sem",0.9,TRUE,1)</f>
        <v/>
      </c>
      <c r="O9" s="7">
        <f>1</f>
        <v/>
      </c>
      <c r="P9" s="7">
        <f>1</f>
        <v/>
      </c>
      <c r="Q9" s="7">
        <f>1</f>
        <v/>
      </c>
      <c r="R9" s="7">
        <f>1</f>
        <v/>
      </c>
      <c r="S9" s="7">
        <f>1</f>
        <v/>
      </c>
      <c r="T9" s="7">
        <f>1</f>
        <v/>
      </c>
      <c r="U9" s="7">
        <f>IFS(BRIEFING!$C$21="Interior SC",0.95,BRIEFING!$C$21="Litoral SC",1.0,BRIEFING!$C$21="Capital Floripa",1.05,BRIEFING!$C$21="Litoral SP",1.15,BRIEFING!$C$21="Capital SP-RJ",1.25,TRUE,1)</f>
        <v/>
      </c>
      <c r="V9" s="7">
        <f>1</f>
        <v/>
      </c>
      <c r="W9" s="7">
        <f>1</f>
        <v/>
      </c>
      <c r="X9" s="7">
        <f>1</f>
        <v/>
      </c>
      <c r="Y9" s="7">
        <f>IFS(BRIEFING!$C$25="Sim",1.05,BRIEFING!$C$25="Não",1.0,TRUE,1)</f>
        <v/>
      </c>
      <c r="Z9" s="7">
        <f>IFS(BRIEFING!$C$26="Sim",1.08,BRIEFING!$C$26="Não",1.0,TRUE,1)</f>
        <v/>
      </c>
      <c r="AA9" s="8">
        <f>PRODUCT(B9:Z9)</f>
        <v/>
      </c>
    </row>
    <row r="10">
      <c r="A10" s="2" t="inlineStr">
        <is>
          <t>Sist. Especiais</t>
        </is>
      </c>
      <c r="B10" s="7">
        <f>1</f>
        <v/>
      </c>
      <c r="C10" s="7">
        <f>1</f>
        <v/>
      </c>
      <c r="D10" s="7">
        <f>1</f>
        <v/>
      </c>
      <c r="E10" s="7">
        <f>1</f>
        <v/>
      </c>
      <c r="F10" s="7">
        <f>1</f>
        <v/>
      </c>
      <c r="G10" s="7">
        <f>1</f>
        <v/>
      </c>
      <c r="H10" s="7">
        <f>1</f>
        <v/>
      </c>
      <c r="I10" s="7">
        <f>1</f>
        <v/>
      </c>
      <c r="J10" s="7">
        <f>1</f>
        <v/>
      </c>
      <c r="K10" s="7">
        <f>1</f>
        <v/>
      </c>
      <c r="L10" s="7">
        <f>1</f>
        <v/>
      </c>
      <c r="M10" s="7">
        <f>1</f>
        <v/>
      </c>
      <c r="N10" s="7">
        <f>1</f>
        <v/>
      </c>
      <c r="O10" s="7">
        <f>IFS(BRIEFING!$C$15="Mínimo",0.85,BRIEFING!$C$15="Básico",1.0,BRIEFING!$C$15="Completo",1.3,BRIEFING!$C$15="Premium",1.6,TRUE,1)</f>
        <v/>
      </c>
      <c r="P10" s="7">
        <f>IFS(BRIEFING!$C$16="Sem",1.0,BRIEFING!$C$16="Solar comum",1.1,BRIEFING!$C$16="Solar completo",1.2,TRUE,1)</f>
        <v/>
      </c>
      <c r="Q10" s="7">
        <f>1</f>
        <v/>
      </c>
      <c r="R10" s="7">
        <f>1</f>
        <v/>
      </c>
      <c r="S10" s="7">
        <f>1</f>
        <v/>
      </c>
      <c r="T10" s="7">
        <f>1</f>
        <v/>
      </c>
      <c r="U10" s="7">
        <f>IFS(BRIEFING!$C$21="Interior SC",0.95,BRIEFING!$C$21="Litoral SC",1.0,BRIEFING!$C$21="Capital Floripa",1.05,BRIEFING!$C$21="Litoral SP",1.15,BRIEFING!$C$21="Capital SP-RJ",1.25,TRUE,1)</f>
        <v/>
      </c>
      <c r="V10" s="7">
        <f>IFS(BRIEFING!$C$22="Sim",1.15,BRIEFING!$C$22="Não",1.0,TRUE,1)</f>
        <v/>
      </c>
      <c r="W10" s="7">
        <f>IFS(BRIEFING!$C$23="Sim",1.1,BRIEFING!$C$23="Não",1.0,TRUE,1)</f>
        <v/>
      </c>
      <c r="X10" s="7">
        <f>IFS(BRIEFING!$C$24="Sim",1.1,BRIEFING!$C$24="Não",1.0,TRUE,1)</f>
        <v/>
      </c>
      <c r="Y10" s="7">
        <f>1</f>
        <v/>
      </c>
      <c r="Z10" s="7">
        <f>1</f>
        <v/>
      </c>
      <c r="AA10" s="8">
        <f>PRODUCT(B10:Z10)</f>
        <v/>
      </c>
    </row>
    <row r="11">
      <c r="A11" s="2" t="inlineStr">
        <is>
          <t>Climatização</t>
        </is>
      </c>
      <c r="B11" s="7">
        <f>1</f>
        <v/>
      </c>
      <c r="C11" s="7">
        <f>1</f>
        <v/>
      </c>
      <c r="D11" s="7">
        <f>1</f>
        <v/>
      </c>
      <c r="E11" s="7">
        <f>1</f>
        <v/>
      </c>
      <c r="F11" s="7">
        <f>1</f>
        <v/>
      </c>
      <c r="G11" s="7">
        <f>1</f>
        <v/>
      </c>
      <c r="H11" s="7">
        <f>1</f>
        <v/>
      </c>
      <c r="I11" s="7">
        <f>1</f>
        <v/>
      </c>
      <c r="J11" s="7">
        <f>1</f>
        <v/>
      </c>
      <c r="K11" s="7">
        <f>1</f>
        <v/>
      </c>
      <c r="L11" s="7">
        <f>1</f>
        <v/>
      </c>
      <c r="M11" s="7">
        <f>1</f>
        <v/>
      </c>
      <c r="N11" s="7">
        <f>1</f>
        <v/>
      </c>
      <c r="O11" s="7">
        <f>1</f>
        <v/>
      </c>
      <c r="P11" s="7">
        <f>1</f>
        <v/>
      </c>
      <c r="Q11" s="7">
        <f>1</f>
        <v/>
      </c>
      <c r="R11" s="7">
        <f>1</f>
        <v/>
      </c>
      <c r="S11" s="7">
        <f>1</f>
        <v/>
      </c>
      <c r="T11" s="7">
        <f>1</f>
        <v/>
      </c>
      <c r="U11" s="7">
        <f>IFS(BRIEFING!$C$21="Interior SC",0.95,BRIEFING!$C$21="Litoral SC",1.0,BRIEFING!$C$21="Capital Floripa",1.05,BRIEFING!$C$21="Litoral SP",1.15,BRIEFING!$C$21="Capital SP-RJ",1.25,TRUE,1)</f>
        <v/>
      </c>
      <c r="V11" s="7">
        <f>1</f>
        <v/>
      </c>
      <c r="W11" s="7">
        <f>1</f>
        <v/>
      </c>
      <c r="X11" s="7">
        <f>1</f>
        <v/>
      </c>
      <c r="Y11" s="7">
        <f>1</f>
        <v/>
      </c>
      <c r="Z11" s="7">
        <f>1</f>
        <v/>
      </c>
      <c r="AA11" s="8">
        <f>PRODUCT(B11:Z11)</f>
        <v/>
      </c>
    </row>
    <row r="12">
      <c r="A12" s="2" t="inlineStr">
        <is>
          <t>Rev. Int. Parede</t>
        </is>
      </c>
      <c r="B12" s="7">
        <f>1</f>
        <v/>
      </c>
      <c r="C12" s="7">
        <f>1</f>
        <v/>
      </c>
      <c r="D12" s="7">
        <f>1</f>
        <v/>
      </c>
      <c r="E12" s="7">
        <f>1</f>
        <v/>
      </c>
      <c r="F12" s="7">
        <f>IFS(BRIEFING!$C$6="Econômico",0.65,BRIEFING!$C$6="Standard",0.8,BRIEFING!$C$6="Alto",1.0,BRIEFING!$C$6="Super Alto",1.2,BRIEFING!$C$6="Luxo",1.45,TRUE,1)</f>
        <v/>
      </c>
      <c r="G12" s="7">
        <f>1</f>
        <v/>
      </c>
      <c r="H12" s="7">
        <f>1</f>
        <v/>
      </c>
      <c r="I12" s="7">
        <f>1</f>
        <v/>
      </c>
      <c r="J12" s="7">
        <f>1</f>
        <v/>
      </c>
      <c r="K12" s="7">
        <f>1</f>
        <v/>
      </c>
      <c r="L12" s="7">
        <f>1</f>
        <v/>
      </c>
      <c r="M12" s="7">
        <f>1</f>
        <v/>
      </c>
      <c r="N12" s="7">
        <f>1</f>
        <v/>
      </c>
      <c r="O12" s="7">
        <f>1</f>
        <v/>
      </c>
      <c r="P12" s="7">
        <f>1</f>
        <v/>
      </c>
      <c r="Q12" s="7">
        <f>1</f>
        <v/>
      </c>
      <c r="R12" s="7">
        <f>1</f>
        <v/>
      </c>
      <c r="S12" s="7">
        <f>1</f>
        <v/>
      </c>
      <c r="T12" s="7">
        <f>1</f>
        <v/>
      </c>
      <c r="U12" s="7">
        <f>IFS(BRIEFING!$C$21="Interior SC",0.95,BRIEFING!$C$21="Litoral SC",1.0,BRIEFING!$C$21="Capital Floripa",1.05,BRIEFING!$C$21="Litoral SP",1.15,BRIEFING!$C$21="Capital SP-RJ",1.25,TRUE,1)</f>
        <v/>
      </c>
      <c r="V12" s="7">
        <f>1</f>
        <v/>
      </c>
      <c r="W12" s="7">
        <f>1</f>
        <v/>
      </c>
      <c r="X12" s="7">
        <f>1</f>
        <v/>
      </c>
      <c r="Y12" s="7">
        <f>1</f>
        <v/>
      </c>
      <c r="Z12" s="7">
        <f>1</f>
        <v/>
      </c>
      <c r="AA12" s="8">
        <f>PRODUCT(B12:Z12)</f>
        <v/>
      </c>
    </row>
    <row r="13">
      <c r="A13" s="2" t="inlineStr">
        <is>
          <t>Teto</t>
        </is>
      </c>
      <c r="B13" s="7">
        <f>1</f>
        <v/>
      </c>
      <c r="C13" s="7">
        <f>1</f>
        <v/>
      </c>
      <c r="D13" s="7">
        <f>1</f>
        <v/>
      </c>
      <c r="E13" s="7">
        <f>1</f>
        <v/>
      </c>
      <c r="F13" s="7">
        <f>IFS(BRIEFING!$C$6="Econômico",0.7,BRIEFING!$C$6="Standard",0.8,BRIEFING!$C$6="Alto",1.0,BRIEFING!$C$6="Super Alto",1.2,BRIEFING!$C$6="Luxo",1.4,TRUE,1)</f>
        <v/>
      </c>
      <c r="G13" s="7">
        <f>1</f>
        <v/>
      </c>
      <c r="H13" s="7">
        <f>1</f>
        <v/>
      </c>
      <c r="I13" s="7">
        <f>1</f>
        <v/>
      </c>
      <c r="J13" s="7">
        <f>IFS(BRIEFING!$C$10="Estucamento",0.8,BRIEFING!$C$10="Gesso liso",1.0,BRIEFING!$C$10="Gesso negativo",1.15,BRIEFING!$C$10="Gesso sanca",1.2,BRIEFING!$C$10="Mineral",1.1,TRUE,1)</f>
        <v/>
      </c>
      <c r="K13" s="7">
        <f>1</f>
        <v/>
      </c>
      <c r="L13" s="7">
        <f>1</f>
        <v/>
      </c>
      <c r="M13" s="7">
        <f>1</f>
        <v/>
      </c>
      <c r="N13" s="7">
        <f>1</f>
        <v/>
      </c>
      <c r="O13" s="7">
        <f>1</f>
        <v/>
      </c>
      <c r="P13" s="7">
        <f>1</f>
        <v/>
      </c>
      <c r="Q13" s="7">
        <f>1</f>
        <v/>
      </c>
      <c r="R13" s="7">
        <f>1</f>
        <v/>
      </c>
      <c r="S13" s="7">
        <f>1</f>
        <v/>
      </c>
      <c r="T13" s="7">
        <f>1</f>
        <v/>
      </c>
      <c r="U13" s="7">
        <f>IFS(BRIEFING!$C$21="Interior SC",0.95,BRIEFING!$C$21="Litoral SC",1.0,BRIEFING!$C$21="Capital Floripa",1.05,BRIEFING!$C$21="Litoral SP",1.15,BRIEFING!$C$21="Capital SP-RJ",1.25,TRUE,1)</f>
        <v/>
      </c>
      <c r="V13" s="7">
        <f>1</f>
        <v/>
      </c>
      <c r="W13" s="7">
        <f>1</f>
        <v/>
      </c>
      <c r="X13" s="7">
        <f>1</f>
        <v/>
      </c>
      <c r="Y13" s="7">
        <f>1</f>
        <v/>
      </c>
      <c r="Z13" s="7">
        <f>1</f>
        <v/>
      </c>
      <c r="AA13" s="8">
        <f>PRODUCT(B13:Z13)</f>
        <v/>
      </c>
    </row>
    <row r="14">
      <c r="A14" s="2" t="inlineStr">
        <is>
          <t>Pisos</t>
        </is>
      </c>
      <c r="B14" s="7">
        <f>1</f>
        <v/>
      </c>
      <c r="C14" s="7">
        <f>1</f>
        <v/>
      </c>
      <c r="D14" s="7">
        <f>1</f>
        <v/>
      </c>
      <c r="E14" s="7">
        <f>1</f>
        <v/>
      </c>
      <c r="F14" s="7">
        <f>IFS(BRIEFING!$C$6="Econômico",0.6,BRIEFING!$C$6="Standard",0.75,BRIEFING!$C$6="Alto",1.0,BRIEFING!$C$6="Super Alto",1.3,BRIEFING!$C$6="Luxo",1.7,TRUE,1)</f>
        <v/>
      </c>
      <c r="G14" s="7">
        <f>1</f>
        <v/>
      </c>
      <c r="H14" s="7">
        <f>IFS(BRIEFING!$C$8="Porcelanato padrão",1.0,BRIEFING!$C$8="Cerâmica",0.75,BRIEFING!$C$8="Vinílico",0.85,BRIEFING!$C$8="Importado",1.5,BRIEFING!$C$8="Mármore",2.0,TRUE,1)</f>
        <v/>
      </c>
      <c r="I14" s="7">
        <f>1</f>
        <v/>
      </c>
      <c r="J14" s="7">
        <f>1</f>
        <v/>
      </c>
      <c r="K14" s="7">
        <f>1</f>
        <v/>
      </c>
      <c r="L14" s="7">
        <f>1</f>
        <v/>
      </c>
      <c r="M14" s="7">
        <f>1</f>
        <v/>
      </c>
      <c r="N14" s="7">
        <f>1</f>
        <v/>
      </c>
      <c r="O14" s="7">
        <f>1</f>
        <v/>
      </c>
      <c r="P14" s="7">
        <f>1</f>
        <v/>
      </c>
      <c r="Q14" s="7">
        <f>1</f>
        <v/>
      </c>
      <c r="R14" s="7">
        <f>1</f>
        <v/>
      </c>
      <c r="S14" s="7">
        <f>1</f>
        <v/>
      </c>
      <c r="T14" s="7">
        <f>1</f>
        <v/>
      </c>
      <c r="U14" s="7">
        <f>IFS(BRIEFING!$C$21="Interior SC",0.95,BRIEFING!$C$21="Litoral SC",1.0,BRIEFING!$C$21="Capital Floripa",1.05,BRIEFING!$C$21="Litoral SP",1.15,BRIEFING!$C$21="Capital SP-RJ",1.25,TRUE,1)</f>
        <v/>
      </c>
      <c r="V14" s="7">
        <f>1</f>
        <v/>
      </c>
      <c r="W14" s="7">
        <f>1</f>
        <v/>
      </c>
      <c r="X14" s="7">
        <f>1</f>
        <v/>
      </c>
      <c r="Y14" s="7">
        <f>1</f>
        <v/>
      </c>
      <c r="Z14" s="7">
        <f>1</f>
        <v/>
      </c>
      <c r="AA14" s="8">
        <f>PRODUCT(B14:Z14)</f>
        <v/>
      </c>
    </row>
    <row r="15">
      <c r="A15" s="2" t="inlineStr">
        <is>
          <t>Pintura</t>
        </is>
      </c>
      <c r="B15" s="7">
        <f>1</f>
        <v/>
      </c>
      <c r="C15" s="7">
        <f>1</f>
        <v/>
      </c>
      <c r="D15" s="7">
        <f>1</f>
        <v/>
      </c>
      <c r="E15" s="7">
        <f>1</f>
        <v/>
      </c>
      <c r="F15" s="7">
        <f>IFS(BRIEFING!$C$6="Econômico",0.85,BRIEFING!$C$6="Standard",0.9,BRIEFING!$C$6="Alto",1.0,BRIEFING!$C$6="Super Alto",1.1,BRIEFING!$C$6="Luxo",1.2,TRUE,1)</f>
        <v/>
      </c>
      <c r="G15" s="7">
        <f>1</f>
        <v/>
      </c>
      <c r="H15" s="7">
        <f>1</f>
        <v/>
      </c>
      <c r="I15" s="7">
        <f>1</f>
        <v/>
      </c>
      <c r="J15" s="7">
        <f>1</f>
        <v/>
      </c>
      <c r="K15" s="7">
        <f>1</f>
        <v/>
      </c>
      <c r="L15" s="7">
        <f>1</f>
        <v/>
      </c>
      <c r="M15" s="7">
        <f>1</f>
        <v/>
      </c>
      <c r="N15" s="7">
        <f>1</f>
        <v/>
      </c>
      <c r="O15" s="7">
        <f>1</f>
        <v/>
      </c>
      <c r="P15" s="7">
        <f>1</f>
        <v/>
      </c>
      <c r="Q15" s="7">
        <f>1</f>
        <v/>
      </c>
      <c r="R15" s="7">
        <f>1</f>
        <v/>
      </c>
      <c r="S15" s="7">
        <f>1</f>
        <v/>
      </c>
      <c r="T15" s="7">
        <f>1</f>
        <v/>
      </c>
      <c r="U15" s="7">
        <f>IFS(BRIEFING!$C$21="Interior SC",0.95,BRIEFING!$C$21="Litoral SC",1.0,BRIEFING!$C$21="Capital Floripa",1.05,BRIEFING!$C$21="Litoral SP",1.15,BRIEFING!$C$21="Capital SP-RJ",1.25,TRUE,1)</f>
        <v/>
      </c>
      <c r="V15" s="7">
        <f>1</f>
        <v/>
      </c>
      <c r="W15" s="7">
        <f>1</f>
        <v/>
      </c>
      <c r="X15" s="7">
        <f>1</f>
        <v/>
      </c>
      <c r="Y15" s="7">
        <f>1</f>
        <v/>
      </c>
      <c r="Z15" s="7">
        <f>1</f>
        <v/>
      </c>
      <c r="AA15" s="8">
        <f>PRODUCT(B15:Z15)</f>
        <v/>
      </c>
    </row>
    <row r="16">
      <c r="A16" s="2" t="inlineStr">
        <is>
          <t>Esquadrias</t>
        </is>
      </c>
      <c r="B16" s="7">
        <f>1</f>
        <v/>
      </c>
      <c r="C16" s="7">
        <f>1</f>
        <v/>
      </c>
      <c r="D16" s="7">
        <f>1</f>
        <v/>
      </c>
      <c r="E16" s="7">
        <f>1</f>
        <v/>
      </c>
      <c r="F16" s="7">
        <f>IFS(BRIEFING!$C$6="Econômico",0.55,BRIEFING!$C$6="Standard",0.7,BRIEFING!$C$6="Alto",1.0,BRIEFING!$C$6="Super Alto",1.35,BRIEFING!$C$6="Luxo",1.6,TRUE,1)</f>
        <v/>
      </c>
      <c r="G16" s="7">
        <f>IFS(BRIEFING!$C$7="Alumínio anodizado",1.0,BRIEFING!$C$7="Pintura eletrostática",1.15,BRIEFING!$C$7="PVC",0.9,BRIEFING!$C$7="Alto desempenho",1.4,TRUE,1)</f>
        <v/>
      </c>
      <c r="H16" s="7">
        <f>1</f>
        <v/>
      </c>
      <c r="I16" s="7">
        <f>1</f>
        <v/>
      </c>
      <c r="J16" s="7">
        <f>1</f>
        <v/>
      </c>
      <c r="K16" s="7">
        <f>1</f>
        <v/>
      </c>
      <c r="L16" s="7">
        <f>1</f>
        <v/>
      </c>
      <c r="M16" s="7">
        <f>1</f>
        <v/>
      </c>
      <c r="N16" s="7">
        <f>1</f>
        <v/>
      </c>
      <c r="O16" s="7">
        <f>1</f>
        <v/>
      </c>
      <c r="P16" s="7">
        <f>1</f>
        <v/>
      </c>
      <c r="Q16" s="7">
        <f>1</f>
        <v/>
      </c>
      <c r="R16" s="7">
        <f>1</f>
        <v/>
      </c>
      <c r="S16" s="7">
        <f>1</f>
        <v/>
      </c>
      <c r="T16" s="7">
        <f>1</f>
        <v/>
      </c>
      <c r="U16" s="7">
        <f>IFS(BRIEFING!$C$21="Interior SC",0.95,BRIEFING!$C$21="Litoral SC",1.0,BRIEFING!$C$21="Capital Floripa",1.05,BRIEFING!$C$21="Litoral SP",1.15,BRIEFING!$C$21="Capital SP-RJ",1.25,TRUE,1)</f>
        <v/>
      </c>
      <c r="V16" s="7">
        <f>1</f>
        <v/>
      </c>
      <c r="W16" s="7">
        <f>1</f>
        <v/>
      </c>
      <c r="X16" s="7">
        <f>1</f>
        <v/>
      </c>
      <c r="Y16" s="7">
        <f>1</f>
        <v/>
      </c>
      <c r="Z16" s="7">
        <f>1</f>
        <v/>
      </c>
      <c r="AA16" s="8">
        <f>PRODUCT(B16:Z16)</f>
        <v/>
      </c>
    </row>
    <row r="17">
      <c r="A17" s="2" t="inlineStr">
        <is>
          <t>Louças e Metais</t>
        </is>
      </c>
      <c r="B17" s="7">
        <f>1</f>
        <v/>
      </c>
      <c r="C17" s="7">
        <f>1</f>
        <v/>
      </c>
      <c r="D17" s="7">
        <f>1</f>
        <v/>
      </c>
      <c r="E17" s="7">
        <f>1</f>
        <v/>
      </c>
      <c r="F17" s="7">
        <f>1</f>
        <v/>
      </c>
      <c r="G17" s="7">
        <f>1</f>
        <v/>
      </c>
      <c r="H17" s="7">
        <f>1</f>
        <v/>
      </c>
      <c r="I17" s="7">
        <f>1</f>
        <v/>
      </c>
      <c r="J17" s="7">
        <f>1</f>
        <v/>
      </c>
      <c r="K17" s="7">
        <f>1</f>
        <v/>
      </c>
      <c r="L17" s="7">
        <f>1</f>
        <v/>
      </c>
      <c r="M17" s="7">
        <f>1</f>
        <v/>
      </c>
      <c r="N17" s="7">
        <f>1</f>
        <v/>
      </c>
      <c r="O17" s="7">
        <f>1</f>
        <v/>
      </c>
      <c r="P17" s="7">
        <f>1</f>
        <v/>
      </c>
      <c r="Q17" s="7">
        <f>1</f>
        <v/>
      </c>
      <c r="R17" s="7">
        <f>1</f>
        <v/>
      </c>
      <c r="S17" s="7">
        <f>1</f>
        <v/>
      </c>
      <c r="T17" s="7">
        <f>1</f>
        <v/>
      </c>
      <c r="U17" s="7">
        <f>IFS(BRIEFING!$C$21="Interior SC",0.95,BRIEFING!$C$21="Litoral SC",1.0,BRIEFING!$C$21="Capital Floripa",1.05,BRIEFING!$C$21="Litoral SP",1.15,BRIEFING!$C$21="Capital SP-RJ",1.25,TRUE,1)</f>
        <v/>
      </c>
      <c r="V17" s="7">
        <f>1</f>
        <v/>
      </c>
      <c r="W17" s="7">
        <f>1</f>
        <v/>
      </c>
      <c r="X17" s="7">
        <f>1</f>
        <v/>
      </c>
      <c r="Y17" s="7">
        <f>1</f>
        <v/>
      </c>
      <c r="Z17" s="7">
        <f>1</f>
        <v/>
      </c>
      <c r="AA17" s="8">
        <f>PRODUCT(B17:Z17)</f>
        <v/>
      </c>
    </row>
    <row r="18">
      <c r="A18" s="2" t="inlineStr">
        <is>
          <t>Fachada</t>
        </is>
      </c>
      <c r="B18" s="7">
        <f>1</f>
        <v/>
      </c>
      <c r="C18" s="7">
        <f>1</f>
        <v/>
      </c>
      <c r="D18" s="7">
        <f>1</f>
        <v/>
      </c>
      <c r="E18" s="7">
        <f>1</f>
        <v/>
      </c>
      <c r="F18" s="7">
        <f>IFS(BRIEFING!$C$6="Econômico",0.8,BRIEFING!$C$6="Standard",0.85,BRIEFING!$C$6="Alto",1.0,BRIEFING!$C$6="Super Alto",1.25,BRIEFING!$C$6="Luxo",1.5,TRUE,1)</f>
        <v/>
      </c>
      <c r="G18" s="7">
        <f>1</f>
        <v/>
      </c>
      <c r="H18" s="7">
        <f>1</f>
        <v/>
      </c>
      <c r="I18" s="7">
        <f>1</f>
        <v/>
      </c>
      <c r="J18" s="7">
        <f>1</f>
        <v/>
      </c>
      <c r="K18" s="7">
        <f>IFS(BRIEFING!$C$11="Textura + pintura",1.0,BRIEFING!$C$11="Cerâmica/Pastilha",1.4,BRIEFING!$C$11="ACM",1.8,BRIEFING!$C$11="Pele de vidro",2.5,BRIEFING!$C$11="Misto",1.3,TRUE,1)</f>
        <v/>
      </c>
      <c r="L18" s="7">
        <f>IFS(BRIEFING!$C$12="Equipe própria",1.0,BRIEFING!$C$12="Empreitada",1.2,TRUE,1)</f>
        <v/>
      </c>
      <c r="M18" s="7">
        <f>1</f>
        <v/>
      </c>
      <c r="N18" s="7">
        <f>1</f>
        <v/>
      </c>
      <c r="O18" s="7">
        <f>1</f>
        <v/>
      </c>
      <c r="P18" s="7">
        <f>1</f>
        <v/>
      </c>
      <c r="Q18" s="7">
        <f>1</f>
        <v/>
      </c>
      <c r="R18" s="7">
        <f>1</f>
        <v/>
      </c>
      <c r="S18" s="7">
        <f>1</f>
        <v/>
      </c>
      <c r="T18" s="7">
        <f>1</f>
        <v/>
      </c>
      <c r="U18" s="7">
        <f>IFS(BRIEFING!$C$21="Interior SC",0.95,BRIEFING!$C$21="Litoral SC",1.0,BRIEFING!$C$21="Capital Floripa",1.05,BRIEFING!$C$21="Litoral SP",1.15,BRIEFING!$C$21="Capital SP-RJ",1.25,TRUE,1)</f>
        <v/>
      </c>
      <c r="V18" s="7">
        <f>1</f>
        <v/>
      </c>
      <c r="W18" s="7">
        <f>1</f>
        <v/>
      </c>
      <c r="X18" s="7">
        <f>1</f>
        <v/>
      </c>
      <c r="Y18" s="7">
        <f>1</f>
        <v/>
      </c>
      <c r="Z18" s="7">
        <f>1</f>
        <v/>
      </c>
      <c r="AA18" s="8">
        <f>PRODUCT(B18:Z18)</f>
        <v/>
      </c>
    </row>
    <row r="19">
      <c r="A19" s="2" t="inlineStr">
        <is>
          <t>Complementares</t>
        </is>
      </c>
      <c r="B19" s="7">
        <f>1</f>
        <v/>
      </c>
      <c r="C19" s="7">
        <f>1</f>
        <v/>
      </c>
      <c r="D19" s="7">
        <f>1</f>
        <v/>
      </c>
      <c r="E19" s="7">
        <f>1</f>
        <v/>
      </c>
      <c r="F19" s="7">
        <f>IFS(BRIEFING!$C$6="Econômico",0.7,BRIEFING!$C$6="Standard",0.85,BRIEFING!$C$6="Alto",1.0,BRIEFING!$C$6="Super Alto",1.2,BRIEFING!$C$6="Luxo",1.5,TRUE,1)</f>
        <v/>
      </c>
      <c r="G19" s="7">
        <f>1</f>
        <v/>
      </c>
      <c r="H19" s="7">
        <f>1</f>
        <v/>
      </c>
      <c r="I19" s="7">
        <f>1</f>
        <v/>
      </c>
      <c r="J19" s="7">
        <f>1</f>
        <v/>
      </c>
      <c r="K19" s="7">
        <f>1</f>
        <v/>
      </c>
      <c r="L19" s="7">
        <f>1</f>
        <v/>
      </c>
      <c r="M19" s="7">
        <f>IFS(BRIEFING!$C$13="Não",1.0,BRIEFING!$C$13="Básica",1.1,BRIEFING!$C$13="Completa",1.25,TRUE,1)</f>
        <v/>
      </c>
      <c r="N19" s="7">
        <f>1</f>
        <v/>
      </c>
      <c r="O19" s="7">
        <f>1</f>
        <v/>
      </c>
      <c r="P19" s="7">
        <f>1</f>
        <v/>
      </c>
      <c r="Q19" s="7">
        <f>IFS(BRIEFING!$C$17="Básico",0.7,BRIEFING!$C$17="Completo",1.0,BRIEFING!$C$17="Premium",1.4,TRUE,1)</f>
        <v/>
      </c>
      <c r="R19" s="7">
        <f>IFS(BRIEFING!$C$18="Sem",0.85,BRIEFING!$C$18="Básico",1.0,BRIEFING!$C$18="Elaborado",1.2,BRIEFING!$C$18="Premium",1.5,TRUE,1)</f>
        <v/>
      </c>
      <c r="S19" s="7">
        <f>IFS(BRIEFING!$C$19="Sem",0.85,BRIEFING!$C$19="Básico",1.0,BRIEFING!$C$19="Completo",1.25,BRIEFING!$C$19="Decorado",1.5,TRUE,1)</f>
        <v/>
      </c>
      <c r="T19" s="7">
        <f>1</f>
        <v/>
      </c>
      <c r="U19" s="7">
        <f>IFS(BRIEFING!$C$21="Interior SC",0.95,BRIEFING!$C$21="Litoral SC",1.0,BRIEFING!$C$21="Capital Floripa",1.05,BRIEFING!$C$21="Litoral SP",1.15,BRIEFING!$C$21="Capital SP-RJ",1.25,TRUE,1)</f>
        <v/>
      </c>
      <c r="V19" s="7">
        <f>1</f>
        <v/>
      </c>
      <c r="W19" s="7">
        <f>1</f>
        <v/>
      </c>
      <c r="X19" s="7">
        <f>1</f>
        <v/>
      </c>
      <c r="Y19" s="7">
        <f>1</f>
        <v/>
      </c>
      <c r="Z19" s="7">
        <f>1</f>
        <v/>
      </c>
      <c r="AA19" s="8">
        <f>PRODUCT(B19:Z19)</f>
        <v/>
      </c>
    </row>
    <row r="20">
      <c r="A20" s="2" t="inlineStr">
        <is>
          <t>Imprevistos</t>
        </is>
      </c>
      <c r="B20" s="7">
        <f>1</f>
        <v/>
      </c>
      <c r="C20" s="7">
        <f>1</f>
        <v/>
      </c>
      <c r="D20" s="7">
        <f>1</f>
        <v/>
      </c>
      <c r="E20" s="7">
        <f>1</f>
        <v/>
      </c>
      <c r="F20" s="7">
        <f>1</f>
        <v/>
      </c>
      <c r="G20" s="7">
        <f>1</f>
        <v/>
      </c>
      <c r="H20" s="7">
        <f>1</f>
        <v/>
      </c>
      <c r="I20" s="7">
        <f>1</f>
        <v/>
      </c>
      <c r="J20" s="7">
        <f>1</f>
        <v/>
      </c>
      <c r="K20" s="7">
        <f>1</f>
        <v/>
      </c>
      <c r="L20" s="7">
        <f>1</f>
        <v/>
      </c>
      <c r="M20" s="7">
        <f>1</f>
        <v/>
      </c>
      <c r="N20" s="7">
        <f>1</f>
        <v/>
      </c>
      <c r="O20" s="7">
        <f>1</f>
        <v/>
      </c>
      <c r="P20" s="7">
        <f>1</f>
        <v/>
      </c>
      <c r="Q20" s="7">
        <f>1</f>
        <v/>
      </c>
      <c r="R20" s="7">
        <f>1</f>
        <v/>
      </c>
      <c r="S20" s="7">
        <f>1</f>
        <v/>
      </c>
      <c r="T20" s="7">
        <f>1</f>
        <v/>
      </c>
      <c r="U20" s="7">
        <f>IFS(BRIEFING!$C$21="Interior SC",0.95,BRIEFING!$C$21="Litoral SC",1.0,BRIEFING!$C$21="Capital Floripa",1.05,BRIEFING!$C$21="Litoral SP",1.15,BRIEFING!$C$21="Capital SP-RJ",1.25,TRUE,1)</f>
        <v/>
      </c>
      <c r="V20" s="7">
        <f>1</f>
        <v/>
      </c>
      <c r="W20" s="7">
        <f>1</f>
        <v/>
      </c>
      <c r="X20" s="7">
        <f>1</f>
        <v/>
      </c>
      <c r="Y20" s="7">
        <f>1</f>
        <v/>
      </c>
      <c r="Z20" s="7">
        <f>1</f>
        <v/>
      </c>
      <c r="AA20" s="8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2" customWidth="1" min="5" max="5"/>
    <col width="14" customWidth="1" min="6" max="6"/>
    <col width="15" customWidth="1" min="7" max="7"/>
    <col width="8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#</t>
        </is>
      </c>
      <c r="B1" s="1" t="inlineStr">
        <is>
          <t>Macrogrupo</t>
        </is>
      </c>
      <c r="C1" s="1" t="inlineStr">
        <is>
          <t>Base R$/m²</t>
        </is>
      </c>
      <c r="D1" s="1" t="inlineStr">
        <is>
          <t>Fator CUB</t>
        </is>
      </c>
      <c r="E1" s="1" t="inlineStr">
        <is>
          <t>Fator Briefing</t>
        </is>
      </c>
      <c r="F1" s="1" t="inlineStr">
        <is>
          <t>R$/m² Ajustado</t>
        </is>
      </c>
      <c r="G1" s="1" t="inlineStr">
        <is>
          <t>Valor Total</t>
        </is>
      </c>
      <c r="H1" s="1" t="inlineStr">
        <is>
          <t>%</t>
        </is>
      </c>
      <c r="I1" s="1" t="inlineStr">
        <is>
          <t>Faixa Min</t>
        </is>
      </c>
      <c r="J1" s="1" t="inlineStr">
        <is>
          <t>Faixa Max</t>
        </is>
      </c>
      <c r="K1" s="1" t="inlineStr">
        <is>
          <t>Status</t>
        </is>
      </c>
    </row>
    <row r="2">
      <c r="A2" s="4" t="n">
        <v>1</v>
      </c>
      <c r="B2" s="2" t="inlineStr">
        <is>
          <t>Gerenciamento</t>
        </is>
      </c>
      <c r="C2" s="9" t="n">
        <v>407.07</v>
      </c>
      <c r="D2" s="7">
        <f>DADOS_PROJETO!$B$19/DADOS_PROJETO!$B$20</f>
        <v/>
      </c>
      <c r="E2" s="7">
        <f>FATORES!$AA$3</f>
        <v/>
      </c>
      <c r="F2" s="10">
        <f>C2*D2*E2</f>
        <v/>
      </c>
      <c r="G2" s="10">
        <f>F2*DADOS_PROJETO!$B$6</f>
        <v/>
      </c>
      <c r="H2" s="11">
        <f>G2/SUM($G$2:$G$19)</f>
        <v/>
      </c>
      <c r="I2" s="9" t="n">
        <v>200</v>
      </c>
      <c r="J2" s="9" t="n">
        <v>550</v>
      </c>
      <c r="K2" s="12">
        <f>IF(AND(F2&gt;=I2,F2&lt;=J2),"✓",IF(OR(F2&lt;I2*0.8,F2&gt;J2*1.2),"✗","⚠"))</f>
        <v/>
      </c>
    </row>
    <row r="3">
      <c r="A3" s="4" t="n">
        <v>2</v>
      </c>
      <c r="B3" s="2" t="inlineStr">
        <is>
          <t>Mov. Terra</t>
        </is>
      </c>
      <c r="C3" s="9" t="n">
        <v>12.47</v>
      </c>
      <c r="D3" s="7">
        <f>DADOS_PROJETO!$B$19/DADOS_PROJETO!$B$20</f>
        <v/>
      </c>
      <c r="E3" s="7">
        <f>FATORES!$AA$4</f>
        <v/>
      </c>
      <c r="F3" s="10">
        <f>C3*D3*E3</f>
        <v/>
      </c>
      <c r="G3" s="10">
        <f>F3*DADOS_PROJETO!$B$6</f>
        <v/>
      </c>
      <c r="H3" s="11">
        <f>G3/SUM($G$2:$G$19)</f>
        <v/>
      </c>
      <c r="I3" s="9" t="n">
        <v>7</v>
      </c>
      <c r="J3" s="9" t="n">
        <v>60</v>
      </c>
      <c r="K3" s="12">
        <f>IF(AND(F3&gt;=I3,F3&lt;=J3),"✓",IF(OR(F3&lt;I3*0.8,F3&gt;J3*1.2),"✗","⚠"))</f>
        <v/>
      </c>
    </row>
    <row r="4">
      <c r="A4" s="4" t="n">
        <v>3</v>
      </c>
      <c r="B4" s="2" t="inlineStr">
        <is>
          <t>Infraestrutura</t>
        </is>
      </c>
      <c r="C4" s="9" t="n">
        <v>230.4</v>
      </c>
      <c r="D4" s="7">
        <f>DADOS_PROJETO!$B$19/DADOS_PROJETO!$B$20</f>
        <v/>
      </c>
      <c r="E4" s="7">
        <f>FATORES!$AA$5</f>
        <v/>
      </c>
      <c r="F4" s="10">
        <f>C4*D4*E4</f>
        <v/>
      </c>
      <c r="G4" s="10">
        <f>F4*DADOS_PROJETO!$B$6</f>
        <v/>
      </c>
      <c r="H4" s="11">
        <f>G4/SUM($G$2:$G$19)</f>
        <v/>
      </c>
      <c r="I4" s="9" t="n">
        <v>120</v>
      </c>
      <c r="J4" s="9" t="n">
        <v>280</v>
      </c>
      <c r="K4" s="12">
        <f>IF(AND(F4&gt;=I4,F4&lt;=J4),"✓",IF(OR(F4&lt;I4*0.8,F4&gt;J4*1.2),"✗","⚠"))</f>
        <v/>
      </c>
    </row>
    <row r="5">
      <c r="A5" s="4" t="n">
        <v>4</v>
      </c>
      <c r="B5" s="2" t="inlineStr">
        <is>
          <t>Supraestrutura</t>
        </is>
      </c>
      <c r="C5" s="9" t="n">
        <v>722.66</v>
      </c>
      <c r="D5" s="7">
        <f>DADOS_PROJETO!$B$19/DADOS_PROJETO!$B$20</f>
        <v/>
      </c>
      <c r="E5" s="7">
        <f>FATORES!$AA$6</f>
        <v/>
      </c>
      <c r="F5" s="10">
        <f>C5*D5*E5</f>
        <v/>
      </c>
      <c r="G5" s="10">
        <f>F5*DADOS_PROJETO!$B$6</f>
        <v/>
      </c>
      <c r="H5" s="11">
        <f>G5/SUM($G$2:$G$19)</f>
        <v/>
      </c>
      <c r="I5" s="9" t="n">
        <v>450</v>
      </c>
      <c r="J5" s="9" t="n">
        <v>950</v>
      </c>
      <c r="K5" s="12">
        <f>IF(AND(F5&gt;=I5,F5&lt;=J5),"✓",IF(OR(F5&lt;I5*0.8,F5&gt;J5*1.2),"✗","⚠"))</f>
        <v/>
      </c>
    </row>
    <row r="6">
      <c r="A6" s="4" t="n">
        <v>5</v>
      </c>
      <c r="B6" s="2" t="inlineStr">
        <is>
          <t>Alvenaria</t>
        </is>
      </c>
      <c r="C6" s="9" t="n">
        <v>148.7</v>
      </c>
      <c r="D6" s="7">
        <f>DADOS_PROJETO!$B$19/DADOS_PROJETO!$B$20</f>
        <v/>
      </c>
      <c r="E6" s="7">
        <f>FATORES!$AA$7</f>
        <v/>
      </c>
      <c r="F6" s="10">
        <f>C6*D6*E6</f>
        <v/>
      </c>
      <c r="G6" s="10">
        <f>F6*DADOS_PROJETO!$B$6</f>
        <v/>
      </c>
      <c r="H6" s="11">
        <f>G6/SUM($G$2:$G$19)</f>
        <v/>
      </c>
      <c r="I6" s="9" t="n">
        <v>60</v>
      </c>
      <c r="J6" s="9" t="n">
        <v>300</v>
      </c>
      <c r="K6" s="12">
        <f>IF(AND(F6&gt;=I6,F6&lt;=J6),"✓",IF(OR(F6&lt;I6*0.8,F6&gt;J6*1.2),"✗","⚠"))</f>
        <v/>
      </c>
    </row>
    <row r="7">
      <c r="A7" s="4" t="n">
        <v>6</v>
      </c>
      <c r="B7" s="2" t="inlineStr">
        <is>
          <t>Impermeabilização</t>
        </is>
      </c>
      <c r="C7" s="9" t="n">
        <v>56.43</v>
      </c>
      <c r="D7" s="7">
        <f>DADOS_PROJETO!$B$19/DADOS_PROJETO!$B$20</f>
        <v/>
      </c>
      <c r="E7" s="7">
        <f>FATORES!$AA$8</f>
        <v/>
      </c>
      <c r="F7" s="10">
        <f>C7*D7*E7</f>
        <v/>
      </c>
      <c r="G7" s="10">
        <f>F7*DADOS_PROJETO!$B$6</f>
        <v/>
      </c>
      <c r="H7" s="11">
        <f>G7/SUM($G$2:$G$19)</f>
        <v/>
      </c>
      <c r="I7" s="9" t="n">
        <v>36</v>
      </c>
      <c r="J7" s="9" t="n">
        <v>86</v>
      </c>
      <c r="K7" s="12">
        <f>IF(AND(F7&gt;=I7,F7&lt;=J7),"✓",IF(OR(F7&lt;I7*0.8,F7&gt;J7*1.2),"✗","⚠"))</f>
        <v/>
      </c>
    </row>
    <row r="8">
      <c r="A8" s="4" t="n">
        <v>7</v>
      </c>
      <c r="B8" s="2" t="inlineStr">
        <is>
          <t>Instalações</t>
        </is>
      </c>
      <c r="C8" s="9" t="n">
        <v>366.96</v>
      </c>
      <c r="D8" s="7">
        <f>DADOS_PROJETO!$B$19/DADOS_PROJETO!$B$20</f>
        <v/>
      </c>
      <c r="E8" s="7">
        <f>FATORES!$AA$9</f>
        <v/>
      </c>
      <c r="F8" s="10">
        <f>C8*D8*E8</f>
        <v/>
      </c>
      <c r="G8" s="10">
        <f>F8*DADOS_PROJETO!$B$6</f>
        <v/>
      </c>
      <c r="H8" s="11">
        <f>G8/SUM($G$2:$G$19)</f>
        <v/>
      </c>
      <c r="I8" s="9" t="n">
        <v>315</v>
      </c>
      <c r="J8" s="9" t="n">
        <v>500</v>
      </c>
      <c r="K8" s="12">
        <f>IF(AND(F8&gt;=I8,F8&lt;=J8),"✓",IF(OR(F8&lt;I8*0.8,F8&gt;J8*1.2),"✗","⚠"))</f>
        <v/>
      </c>
    </row>
    <row r="9">
      <c r="A9" s="4" t="n">
        <v>8</v>
      </c>
      <c r="B9" s="2" t="inlineStr">
        <is>
          <t>Sist. Especiais</t>
        </is>
      </c>
      <c r="C9" s="9" t="n">
        <v>193.39</v>
      </c>
      <c r="D9" s="7">
        <f>DADOS_PROJETO!$B$19/DADOS_PROJETO!$B$20</f>
        <v/>
      </c>
      <c r="E9" s="7">
        <f>FATORES!$AA$10</f>
        <v/>
      </c>
      <c r="F9" s="10">
        <f>C9*D9*E9</f>
        <v/>
      </c>
      <c r="G9" s="10">
        <f>F9*DADOS_PROJETO!$B$6</f>
        <v/>
      </c>
      <c r="H9" s="11">
        <f>G9/SUM($G$2:$G$19)</f>
        <v/>
      </c>
      <c r="I9" s="9" t="n">
        <v>100</v>
      </c>
      <c r="J9" s="9" t="n">
        <v>400</v>
      </c>
      <c r="K9" s="12">
        <f>IF(AND(F9&gt;=I9,F9&lt;=J9),"✓",IF(OR(F9&lt;I9*0.8,F9&gt;J9*1.2),"✗","⚠"))</f>
        <v/>
      </c>
    </row>
    <row r="10">
      <c r="A10" s="4" t="n">
        <v>9</v>
      </c>
      <c r="B10" s="2" t="inlineStr">
        <is>
          <t>Climatização</t>
        </is>
      </c>
      <c r="C10" s="9" t="n">
        <v>0</v>
      </c>
      <c r="D10" s="7">
        <f>DADOS_PROJETO!$B$19/DADOS_PROJETO!$B$20</f>
        <v/>
      </c>
      <c r="E10" s="7">
        <f>FATORES!$AA$11</f>
        <v/>
      </c>
      <c r="F10" s="10">
        <f>C10*D10*E10</f>
        <v/>
      </c>
      <c r="G10" s="10">
        <f>F10*DADOS_PROJETO!$B$6</f>
        <v/>
      </c>
      <c r="H10" s="11">
        <f>G10/SUM($G$2:$G$19)</f>
        <v/>
      </c>
      <c r="I10" s="9" t="n">
        <v>0</v>
      </c>
      <c r="J10" s="9" t="n">
        <v>80</v>
      </c>
      <c r="K10" s="12">
        <f>IF(AND(F10&gt;=I10,F10&lt;=J10),"✓",IF(OR(F10&lt;I10*0.8,F10&gt;J10*1.2),"✗","⚠"))</f>
        <v/>
      </c>
    </row>
    <row r="11">
      <c r="A11" s="4" t="n">
        <v>10</v>
      </c>
      <c r="B11" s="2" t="inlineStr">
        <is>
          <t>Rev. Int. Parede</t>
        </is>
      </c>
      <c r="C11" s="9" t="n">
        <v>171.85</v>
      </c>
      <c r="D11" s="7">
        <f>DADOS_PROJETO!$B$19/DADOS_PROJETO!$B$20</f>
        <v/>
      </c>
      <c r="E11" s="7">
        <f>FATORES!$AA$12</f>
        <v/>
      </c>
      <c r="F11" s="10">
        <f>C11*D11*E11</f>
        <v/>
      </c>
      <c r="G11" s="10">
        <f>F11*DADOS_PROJETO!$B$6</f>
        <v/>
      </c>
      <c r="H11" s="11">
        <f>G11/SUM($G$2:$G$19)</f>
        <v/>
      </c>
      <c r="I11" s="9" t="n">
        <v>100</v>
      </c>
      <c r="J11" s="9" t="n">
        <v>240</v>
      </c>
      <c r="K11" s="12">
        <f>IF(AND(F11&gt;=I11,F11&lt;=J11),"✓",IF(OR(F11&lt;I11*0.8,F11&gt;J11*1.2),"✗","⚠"))</f>
        <v/>
      </c>
    </row>
    <row r="12">
      <c r="A12" s="4" t="n">
        <v>11</v>
      </c>
      <c r="B12" s="2" t="inlineStr">
        <is>
          <t>Teto</t>
        </is>
      </c>
      <c r="C12" s="9" t="n">
        <v>68.65000000000001</v>
      </c>
      <c r="D12" s="7">
        <f>DADOS_PROJETO!$B$19/DADOS_PROJETO!$B$20</f>
        <v/>
      </c>
      <c r="E12" s="7">
        <f>FATORES!$AA$13</f>
        <v/>
      </c>
      <c r="F12" s="10">
        <f>C12*D12*E12</f>
        <v/>
      </c>
      <c r="G12" s="10">
        <f>F12*DADOS_PROJETO!$B$6</f>
        <v/>
      </c>
      <c r="H12" s="11">
        <f>G12/SUM($G$2:$G$19)</f>
        <v/>
      </c>
      <c r="I12" s="9" t="n">
        <v>45</v>
      </c>
      <c r="J12" s="9" t="n">
        <v>140</v>
      </c>
      <c r="K12" s="12">
        <f>IF(AND(F12&gt;=I12,F12&lt;=J12),"✓",IF(OR(F12&lt;I12*0.8,F12&gt;J12*1.2),"✗","⚠"))</f>
        <v/>
      </c>
    </row>
    <row r="13">
      <c r="A13" s="4" t="n">
        <v>12</v>
      </c>
      <c r="B13" s="2" t="inlineStr">
        <is>
          <t>Pisos</t>
        </is>
      </c>
      <c r="C13" s="9" t="n">
        <v>193.69</v>
      </c>
      <c r="D13" s="7">
        <f>DADOS_PROJETO!$B$19/DADOS_PROJETO!$B$20</f>
        <v/>
      </c>
      <c r="E13" s="7">
        <f>FATORES!$AA$14</f>
        <v/>
      </c>
      <c r="F13" s="10">
        <f>C13*D13*E13</f>
        <v/>
      </c>
      <c r="G13" s="10">
        <f>F13*DADOS_PROJETO!$B$6</f>
        <v/>
      </c>
      <c r="H13" s="11">
        <f>G13/SUM($G$2:$G$19)</f>
        <v/>
      </c>
      <c r="I13" s="9" t="n">
        <v>125</v>
      </c>
      <c r="J13" s="9" t="n">
        <v>350</v>
      </c>
      <c r="K13" s="12">
        <f>IF(AND(F13&gt;=I13,F13&lt;=J13),"✓",IF(OR(F13&lt;I13*0.8,F13&gt;J13*1.2),"✗","⚠"))</f>
        <v/>
      </c>
    </row>
    <row r="14">
      <c r="A14" s="4" t="n">
        <v>13</v>
      </c>
      <c r="B14" s="2" t="inlineStr">
        <is>
          <t>Pintura</t>
        </is>
      </c>
      <c r="C14" s="9" t="n">
        <v>133.12</v>
      </c>
      <c r="D14" s="7">
        <f>DADOS_PROJETO!$B$19/DADOS_PROJETO!$B$20</f>
        <v/>
      </c>
      <c r="E14" s="7">
        <f>FATORES!$AA$15</f>
        <v/>
      </c>
      <c r="F14" s="10">
        <f>C14*D14*E14</f>
        <v/>
      </c>
      <c r="G14" s="10">
        <f>F14*DADOS_PROJETO!$B$6</f>
        <v/>
      </c>
      <c r="H14" s="11">
        <f>G14/SUM($G$2:$G$19)</f>
        <v/>
      </c>
      <c r="I14" s="9" t="n">
        <v>96</v>
      </c>
      <c r="J14" s="9" t="n">
        <v>200</v>
      </c>
      <c r="K14" s="12">
        <f>IF(AND(F14&gt;=I14,F14&lt;=J14),"✓",IF(OR(F14&lt;I14*0.8,F14&gt;J14*1.2),"✗","⚠"))</f>
        <v/>
      </c>
    </row>
    <row r="15">
      <c r="A15" s="4" t="n">
        <v>14</v>
      </c>
      <c r="B15" s="2" t="inlineStr">
        <is>
          <t>Esquadrias</t>
        </is>
      </c>
      <c r="C15" s="9" t="n">
        <v>367.23</v>
      </c>
      <c r="D15" s="7">
        <f>DADOS_PROJETO!$B$19/DADOS_PROJETO!$B$20</f>
        <v/>
      </c>
      <c r="E15" s="7">
        <f>FATORES!$AA$16</f>
        <v/>
      </c>
      <c r="F15" s="10">
        <f>C15*D15*E15</f>
        <v/>
      </c>
      <c r="G15" s="10">
        <f>F15*DADOS_PROJETO!$B$6</f>
        <v/>
      </c>
      <c r="H15" s="11">
        <f>G15/SUM($G$2:$G$19)</f>
        <v/>
      </c>
      <c r="I15" s="9" t="n">
        <v>200</v>
      </c>
      <c r="J15" s="9" t="n">
        <v>700</v>
      </c>
      <c r="K15" s="12">
        <f>IF(AND(F15&gt;=I15,F15&lt;=J15),"✓",IF(OR(F15&lt;I15*0.8,F15&gt;J15*1.2),"✗","⚠"))</f>
        <v/>
      </c>
    </row>
    <row r="16">
      <c r="A16" s="4" t="n">
        <v>15</v>
      </c>
      <c r="B16" s="2" t="inlineStr">
        <is>
          <t>Louças e Metais</t>
        </is>
      </c>
      <c r="C16" s="9" t="n">
        <v>0</v>
      </c>
      <c r="D16" s="7">
        <f>DADOS_PROJETO!$B$19/DADOS_PROJETO!$B$20</f>
        <v/>
      </c>
      <c r="E16" s="7">
        <f>FATORES!$AA$17</f>
        <v/>
      </c>
      <c r="F16" s="10">
        <f>C16*D16*E16</f>
        <v/>
      </c>
      <c r="G16" s="10">
        <f>F16*DADOS_PROJETO!$B$6</f>
        <v/>
      </c>
      <c r="H16" s="11">
        <f>G16/SUM($G$2:$G$19)</f>
        <v/>
      </c>
      <c r="I16" s="9" t="n">
        <v>30</v>
      </c>
      <c r="J16" s="9" t="n">
        <v>120</v>
      </c>
      <c r="K16" s="12">
        <f>IF(AND(F16&gt;=I16,F16&lt;=J16),"✓",IF(OR(F16&lt;I16*0.8,F16&gt;J16*1.2),"✗","⚠"))</f>
        <v/>
      </c>
    </row>
    <row r="17">
      <c r="A17" s="4" t="n">
        <v>16</v>
      </c>
      <c r="B17" s="2" t="inlineStr">
        <is>
          <t>Fachada</t>
        </is>
      </c>
      <c r="C17" s="9" t="n">
        <v>170.21</v>
      </c>
      <c r="D17" s="7">
        <f>DADOS_PROJETO!$B$19/DADOS_PROJETO!$B$20</f>
        <v/>
      </c>
      <c r="E17" s="7">
        <f>FATORES!$AA$18</f>
        <v/>
      </c>
      <c r="F17" s="10">
        <f>C17*D17*E17</f>
        <v/>
      </c>
      <c r="G17" s="10">
        <f>F17*DADOS_PROJETO!$B$6</f>
        <v/>
      </c>
      <c r="H17" s="11">
        <f>G17/SUM($G$2:$G$19)</f>
        <v/>
      </c>
      <c r="I17" s="9" t="n">
        <v>55</v>
      </c>
      <c r="J17" s="9" t="n">
        <v>275</v>
      </c>
      <c r="K17" s="12">
        <f>IF(AND(F17&gt;=I17,F17&lt;=J17),"✓",IF(OR(F17&lt;I17*0.8,F17&gt;J17*1.2),"✗","⚠"))</f>
        <v/>
      </c>
    </row>
    <row r="18">
      <c r="A18" s="4" t="n">
        <v>17</v>
      </c>
      <c r="B18" s="2" t="inlineStr">
        <is>
          <t>Complementares</t>
        </is>
      </c>
      <c r="C18" s="9" t="n">
        <v>214.32</v>
      </c>
      <c r="D18" s="7">
        <f>DADOS_PROJETO!$B$19/DADOS_PROJETO!$B$20</f>
        <v/>
      </c>
      <c r="E18" s="7">
        <f>FATORES!$AA$19</f>
        <v/>
      </c>
      <c r="F18" s="10">
        <f>C18*D18*E18</f>
        <v/>
      </c>
      <c r="G18" s="10">
        <f>F18*DADOS_PROJETO!$B$6</f>
        <v/>
      </c>
      <c r="H18" s="11">
        <f>G18/SUM($G$2:$G$19)</f>
        <v/>
      </c>
      <c r="I18" s="9" t="n">
        <v>100</v>
      </c>
      <c r="J18" s="9" t="n">
        <v>500</v>
      </c>
      <c r="K18" s="12">
        <f>IF(AND(F18&gt;=I18,F18&lt;=J18),"✓",IF(OR(F18&lt;I18*0.8,F18&gt;J18*1.2),"✗","⚠"))</f>
        <v/>
      </c>
    </row>
    <row r="19">
      <c r="A19" s="4" t="n">
        <v>18</v>
      </c>
      <c r="B19" s="2" t="inlineStr">
        <is>
          <t>Imprevistos</t>
        </is>
      </c>
      <c r="C19" s="9" t="n">
        <v>97.79000000000001</v>
      </c>
      <c r="D19" s="7">
        <f>DADOS_PROJETO!$B$19/DADOS_PROJETO!$B$20</f>
        <v/>
      </c>
      <c r="E19" s="7">
        <f>FATORES!$AA$20</f>
        <v/>
      </c>
      <c r="F19" s="10">
        <f>C19*D19*E19</f>
        <v/>
      </c>
      <c r="G19" s="10">
        <f>F19*DADOS_PROJETO!$B$6</f>
        <v/>
      </c>
      <c r="H19" s="11">
        <f>G19/SUM($G$2:$G$19)</f>
        <v/>
      </c>
      <c r="I19" s="9" t="n">
        <v>35</v>
      </c>
      <c r="J19" s="9" t="n">
        <v>120</v>
      </c>
      <c r="K19" s="12">
        <f>IF(AND(F19&gt;=I19,F19&lt;=J19),"✓",IF(OR(F19&lt;I19*0.8,F19&gt;J19*1.2),"✗","⚠"))</f>
        <v/>
      </c>
    </row>
    <row r="20">
      <c r="A20" t="inlineStr"/>
      <c r="B20" s="13" t="inlineStr">
        <is>
          <t>TOTAL</t>
        </is>
      </c>
      <c r="G20" s="14">
        <f>SUM(G2:G19)</f>
        <v/>
      </c>
      <c r="H20" s="1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</cols>
  <sheetData>
    <row r="1">
      <c r="A1" s="16" t="inlineStr">
        <is>
          <t>PAINEL DE CONTROLE</t>
        </is>
      </c>
    </row>
    <row r="3">
      <c r="A3" t="inlineStr"/>
      <c r="B3" t="inlineStr"/>
    </row>
    <row r="4">
      <c r="A4" s="2" t="inlineStr">
        <is>
          <t>Projeto:</t>
        </is>
      </c>
      <c r="B4" s="17">
        <f>DADOS_PROJETO!B2</f>
        <v/>
      </c>
    </row>
    <row r="5">
      <c r="A5" s="2" t="inlineStr">
        <is>
          <t>Área Construída:</t>
        </is>
      </c>
      <c r="B5" s="17">
        <f>DADOS_PROJETO!B6&amp;" m²"</f>
        <v/>
      </c>
    </row>
    <row r="6">
      <c r="A6" s="2" t="inlineStr">
        <is>
          <t>Unidades:</t>
        </is>
      </c>
      <c r="B6" s="17">
        <f>DADOS_PROJETO!B7+DADOS_PROJETO!B8</f>
        <v/>
      </c>
    </row>
    <row r="7">
      <c r="A7" t="inlineStr"/>
      <c r="B7" t="inlineStr"/>
    </row>
    <row r="8">
      <c r="A8" s="2" t="inlineStr">
        <is>
          <t>Custo Total:</t>
        </is>
      </c>
      <c r="B8" s="18">
        <f>CUSTOS_MACROGRUPO!G20</f>
        <v/>
      </c>
    </row>
    <row r="9">
      <c r="A9" s="2" t="inlineStr">
        <is>
          <t>Custo/m²:</t>
        </is>
      </c>
      <c r="B9" s="19">
        <f>CUSTOS_MACROGRUPO!G20/DADOS_PROJETO!B6</f>
        <v/>
      </c>
    </row>
    <row r="10">
      <c r="A10" s="2" t="inlineStr">
        <is>
          <t>Custo/Unidade:</t>
        </is>
      </c>
      <c r="B10" s="19">
        <f>CUSTOS_MACROGRUPO!G20/(DADOS_PROJETO!B7+DADOS_PROJETO!B8)</f>
        <v/>
      </c>
    </row>
    <row r="11">
      <c r="A11" t="inlineStr"/>
      <c r="B11" t="inlineStr"/>
    </row>
    <row r="12">
      <c r="A12" s="2" t="inlineStr">
        <is>
          <t>CUB Atual:</t>
        </is>
      </c>
      <c r="B12" s="19">
        <f>DADOS_PROJETO!B19</f>
        <v/>
      </c>
    </row>
    <row r="13">
      <c r="A13" s="2" t="inlineStr">
        <is>
          <t>Fator CUB:</t>
        </is>
      </c>
      <c r="B13" s="19">
        <f>DADOS_PROJETO!B19/DADOS_PROJETO!B20</f>
        <v/>
      </c>
    </row>
    <row r="14">
      <c r="A14" t="inlineStr"/>
      <c r="B14" t="inlineStr"/>
    </row>
    <row r="15">
      <c r="A15" s="2" t="inlineStr">
        <is>
          <t>Top 3 Macrogrupos:</t>
        </is>
      </c>
      <c r="B15" t="inlineStr"/>
    </row>
    <row r="16">
      <c r="A16" s="2" t="inlineStr">
        <is>
          <t>1º</t>
        </is>
      </c>
      <c r="B16" s="17">
        <f>INDEX(CUSTOS_MACROGRUPO!B:B,MATCH(LARGE(CUSTOS_MACROGRUPO!H:H,1),CUSTOS_MACROGRUPO!H:H,0))&amp;" ("&amp;TEXT(LARGE(CUSTOS_MACROGRUPO!H:H,1),"0.0%")&amp;")"</f>
        <v/>
      </c>
    </row>
    <row r="17">
      <c r="A17" s="2" t="inlineStr">
        <is>
          <t>2º</t>
        </is>
      </c>
      <c r="B17" s="17">
        <f>INDEX(CUSTOS_MACROGRUPO!B:B,MATCH(LARGE(CUSTOS_MACROGRUPO!H:H,2),CUSTOS_MACROGRUPO!H:H,0))&amp;" ("&amp;TEXT(LARGE(CUSTOS_MACROGRUPO!H:H,2),"0.0%")&amp;")"</f>
        <v/>
      </c>
    </row>
    <row r="18">
      <c r="A18" s="2" t="inlineStr">
        <is>
          <t>3º</t>
        </is>
      </c>
      <c r="B18" s="17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0" customWidth="1" min="4" max="4"/>
  </cols>
  <sheetData>
    <row r="1">
      <c r="A1" s="1" t="inlineStr">
        <is>
          <t>ALERTAS E VALIDAÇÕES</t>
        </is>
      </c>
    </row>
    <row r="2">
      <c r="A2" s="1" t="inlineStr">
        <is>
          <t>Macrogrupo</t>
        </is>
      </c>
      <c r="B2" s="1" t="inlineStr">
        <is>
          <t>R$/m² Calculado</t>
        </is>
      </c>
      <c r="C2" s="1" t="inlineStr">
        <is>
          <t>Faixa Esperada</t>
        </is>
      </c>
      <c r="D2" s="1" t="inlineStr">
        <is>
          <t>Status</t>
        </is>
      </c>
    </row>
    <row r="3">
      <c r="A3">
        <f>CUSTOS_MACROGRUPO!B2</f>
        <v/>
      </c>
      <c r="B3" s="20">
        <f>CUSTOS_MACROGRUPO!F2</f>
        <v/>
      </c>
      <c r="C3">
        <f>CUSTOS_MACROGRUPO!I2&amp;" - "&amp;CUSTOS_MACROGRUPO!J2</f>
        <v/>
      </c>
      <c r="D3" s="21">
        <f>CUSTOS_MACROGRUPO!K2</f>
        <v/>
      </c>
    </row>
    <row r="4">
      <c r="A4">
        <f>CUSTOS_MACROGRUPO!B3</f>
        <v/>
      </c>
      <c r="B4" s="20">
        <f>CUSTOS_MACROGRUPO!F3</f>
        <v/>
      </c>
      <c r="C4">
        <f>CUSTOS_MACROGRUPO!I3&amp;" - "&amp;CUSTOS_MACROGRUPO!J3</f>
        <v/>
      </c>
      <c r="D4" s="21">
        <f>CUSTOS_MACROGRUPO!K3</f>
        <v/>
      </c>
    </row>
    <row r="5">
      <c r="A5">
        <f>CUSTOS_MACROGRUPO!B4</f>
        <v/>
      </c>
      <c r="B5" s="20">
        <f>CUSTOS_MACROGRUPO!F4</f>
        <v/>
      </c>
      <c r="C5">
        <f>CUSTOS_MACROGRUPO!I4&amp;" - "&amp;CUSTOS_MACROGRUPO!J4</f>
        <v/>
      </c>
      <c r="D5" s="21">
        <f>CUSTOS_MACROGRUPO!K4</f>
        <v/>
      </c>
    </row>
    <row r="6">
      <c r="A6">
        <f>CUSTOS_MACROGRUPO!B5</f>
        <v/>
      </c>
      <c r="B6" s="20">
        <f>CUSTOS_MACROGRUPO!F5</f>
        <v/>
      </c>
      <c r="C6">
        <f>CUSTOS_MACROGRUPO!I5&amp;" - "&amp;CUSTOS_MACROGRUPO!J5</f>
        <v/>
      </c>
      <c r="D6" s="21">
        <f>CUSTOS_MACROGRUPO!K5</f>
        <v/>
      </c>
    </row>
    <row r="7">
      <c r="A7">
        <f>CUSTOS_MACROGRUPO!B6</f>
        <v/>
      </c>
      <c r="B7" s="20">
        <f>CUSTOS_MACROGRUPO!F6</f>
        <v/>
      </c>
      <c r="C7">
        <f>CUSTOS_MACROGRUPO!I6&amp;" - "&amp;CUSTOS_MACROGRUPO!J6</f>
        <v/>
      </c>
      <c r="D7" s="21">
        <f>CUSTOS_MACROGRUPO!K6</f>
        <v/>
      </c>
    </row>
    <row r="8">
      <c r="A8">
        <f>CUSTOS_MACROGRUPO!B7</f>
        <v/>
      </c>
      <c r="B8" s="20">
        <f>CUSTOS_MACROGRUPO!F7</f>
        <v/>
      </c>
      <c r="C8">
        <f>CUSTOS_MACROGRUPO!I7&amp;" - "&amp;CUSTOS_MACROGRUPO!J7</f>
        <v/>
      </c>
      <c r="D8" s="21">
        <f>CUSTOS_MACROGRUPO!K7</f>
        <v/>
      </c>
    </row>
    <row r="9">
      <c r="A9">
        <f>CUSTOS_MACROGRUPO!B8</f>
        <v/>
      </c>
      <c r="B9" s="20">
        <f>CUSTOS_MACROGRUPO!F8</f>
        <v/>
      </c>
      <c r="C9">
        <f>CUSTOS_MACROGRUPO!I8&amp;" - "&amp;CUSTOS_MACROGRUPO!J8</f>
        <v/>
      </c>
      <c r="D9" s="21">
        <f>CUSTOS_MACROGRUPO!K8</f>
        <v/>
      </c>
    </row>
    <row r="10">
      <c r="A10">
        <f>CUSTOS_MACROGRUPO!B9</f>
        <v/>
      </c>
      <c r="B10" s="20">
        <f>CUSTOS_MACROGRUPO!F9</f>
        <v/>
      </c>
      <c r="C10">
        <f>CUSTOS_MACROGRUPO!I9&amp;" - "&amp;CUSTOS_MACROGRUPO!J9</f>
        <v/>
      </c>
      <c r="D10" s="21">
        <f>CUSTOS_MACROGRUPO!K9</f>
        <v/>
      </c>
    </row>
    <row r="11">
      <c r="A11">
        <f>CUSTOS_MACROGRUPO!B10</f>
        <v/>
      </c>
      <c r="B11" s="20">
        <f>CUSTOS_MACROGRUPO!F10</f>
        <v/>
      </c>
      <c r="C11">
        <f>CUSTOS_MACROGRUPO!I10&amp;" - "&amp;CUSTOS_MACROGRUPO!J10</f>
        <v/>
      </c>
      <c r="D11" s="21">
        <f>CUSTOS_MACROGRUPO!K10</f>
        <v/>
      </c>
    </row>
    <row r="12">
      <c r="A12">
        <f>CUSTOS_MACROGRUPO!B11</f>
        <v/>
      </c>
      <c r="B12" s="20">
        <f>CUSTOS_MACROGRUPO!F11</f>
        <v/>
      </c>
      <c r="C12">
        <f>CUSTOS_MACROGRUPO!I11&amp;" - "&amp;CUSTOS_MACROGRUPO!J11</f>
        <v/>
      </c>
      <c r="D12" s="21">
        <f>CUSTOS_MACROGRUPO!K11</f>
        <v/>
      </c>
    </row>
    <row r="13">
      <c r="A13">
        <f>CUSTOS_MACROGRUPO!B12</f>
        <v/>
      </c>
      <c r="B13" s="20">
        <f>CUSTOS_MACROGRUPO!F12</f>
        <v/>
      </c>
      <c r="C13">
        <f>CUSTOS_MACROGRUPO!I12&amp;" - "&amp;CUSTOS_MACROGRUPO!J12</f>
        <v/>
      </c>
      <c r="D13" s="21">
        <f>CUSTOS_MACROGRUPO!K12</f>
        <v/>
      </c>
    </row>
    <row r="14">
      <c r="A14">
        <f>CUSTOS_MACROGRUPO!B13</f>
        <v/>
      </c>
      <c r="B14" s="20">
        <f>CUSTOS_MACROGRUPO!F13</f>
        <v/>
      </c>
      <c r="C14">
        <f>CUSTOS_MACROGRUPO!I13&amp;" - "&amp;CUSTOS_MACROGRUPO!J13</f>
        <v/>
      </c>
      <c r="D14" s="21">
        <f>CUSTOS_MACROGRUPO!K13</f>
        <v/>
      </c>
    </row>
    <row r="15">
      <c r="A15">
        <f>CUSTOS_MACROGRUPO!B14</f>
        <v/>
      </c>
      <c r="B15" s="20">
        <f>CUSTOS_MACROGRUPO!F14</f>
        <v/>
      </c>
      <c r="C15">
        <f>CUSTOS_MACROGRUPO!I14&amp;" - "&amp;CUSTOS_MACROGRUPO!J14</f>
        <v/>
      </c>
      <c r="D15" s="21">
        <f>CUSTOS_MACROGRUPO!K14</f>
        <v/>
      </c>
    </row>
    <row r="16">
      <c r="A16">
        <f>CUSTOS_MACROGRUPO!B15</f>
        <v/>
      </c>
      <c r="B16" s="20">
        <f>CUSTOS_MACROGRUPO!F15</f>
        <v/>
      </c>
      <c r="C16">
        <f>CUSTOS_MACROGRUPO!I15&amp;" - "&amp;CUSTOS_MACROGRUPO!J15</f>
        <v/>
      </c>
      <c r="D16" s="21">
        <f>CUSTOS_MACROGRUPO!K15</f>
        <v/>
      </c>
    </row>
    <row r="17">
      <c r="A17">
        <f>CUSTOS_MACROGRUPO!B16</f>
        <v/>
      </c>
      <c r="B17" s="20">
        <f>CUSTOS_MACROGRUPO!F16</f>
        <v/>
      </c>
      <c r="C17">
        <f>CUSTOS_MACROGRUPO!I16&amp;" - "&amp;CUSTOS_MACROGRUPO!J16</f>
        <v/>
      </c>
      <c r="D17" s="21">
        <f>CUSTOS_MACROGRUPO!K16</f>
        <v/>
      </c>
    </row>
    <row r="18">
      <c r="A18">
        <f>CUSTOS_MACROGRUPO!B17</f>
        <v/>
      </c>
      <c r="B18" s="20">
        <f>CUSTOS_MACROGRUPO!F17</f>
        <v/>
      </c>
      <c r="C18">
        <f>CUSTOS_MACROGRUPO!I17&amp;" - "&amp;CUSTOS_MACROGRUPO!J17</f>
        <v/>
      </c>
      <c r="D18" s="21">
        <f>CUSTOS_MACROGRUPO!K17</f>
        <v/>
      </c>
    </row>
    <row r="19">
      <c r="A19">
        <f>CUSTOS_MACROGRUPO!B18</f>
        <v/>
      </c>
      <c r="B19" s="20">
        <f>CUSTOS_MACROGRUPO!F18</f>
        <v/>
      </c>
      <c r="C19">
        <f>CUSTOS_MACROGRUPO!I18&amp;" - "&amp;CUSTOS_MACROGRUPO!J18</f>
        <v/>
      </c>
      <c r="D19" s="21">
        <f>CUSTOS_MACROGRUPO!K18</f>
        <v/>
      </c>
    </row>
    <row r="20">
      <c r="A20">
        <f>CUSTOS_MACROGRUPO!B19</f>
        <v/>
      </c>
      <c r="B20" s="20">
        <f>CUSTOS_MACROGRUPO!F19</f>
        <v/>
      </c>
      <c r="C20">
        <f>CUSTOS_MACROGRUPO!I19&amp;" - "&amp;CUSTOS_MACROGRUPO!J19</f>
        <v/>
      </c>
      <c r="D20" s="21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PREMISSAS E LIMITAÇÕES</t>
        </is>
      </c>
    </row>
    <row r="2">
      <c r="A2" s="22" t="inlineStr"/>
    </row>
    <row r="3">
      <c r="A3" s="23" t="inlineStr">
        <is>
          <t>SOBRE ESTE TEMPLATE:</t>
        </is>
      </c>
    </row>
    <row r="4">
      <c r="A4" s="22" t="inlineStr">
        <is>
          <t>Este orçamento paramétrico foi desenvolvido pela Cartesian Engenharia para estimativas rápidas de custos de obras residenciais/comerciais.</t>
        </is>
      </c>
    </row>
    <row r="5">
      <c r="A5" s="22" t="inlineStr"/>
    </row>
    <row r="6">
      <c r="A6" s="23" t="inlineStr">
        <is>
          <t>BASE DE CALIBRAÇÃO:</t>
        </is>
      </c>
    </row>
    <row r="7">
      <c r="A7" s="22" t="inlineStr">
        <is>
          <t>- Mediana calibrada com 18 projetos reais executados entre 2022-2024</t>
        </is>
      </c>
    </row>
    <row r="8">
      <c r="A8" s="22" t="inlineStr">
        <is>
          <t>- CUB base: R$ 2.752,67 (dez/2023)</t>
        </is>
      </c>
    </row>
    <row r="9">
      <c r="A9" s="22" t="inlineStr">
        <is>
          <t>- Faixas P10-P90 representam variação observada nos projetos da base</t>
        </is>
      </c>
    </row>
    <row r="10">
      <c r="A10" s="22" t="inlineStr"/>
    </row>
    <row r="11">
      <c r="A11" s="23" t="inlineStr">
        <is>
          <t>COMO USAR:</t>
        </is>
      </c>
    </row>
    <row r="12">
      <c r="A12" s="22" t="inlineStr">
        <is>
          <t>1. Preencha DADOS_PROJETO com informações do empreendimento</t>
        </is>
      </c>
    </row>
    <row r="13">
      <c r="A13" s="22" t="inlineStr">
        <is>
          <t>2. Responda as 25 perguntas do BRIEFING (use os dropdowns)</t>
        </is>
      </c>
    </row>
    <row r="14">
      <c r="A14" s="22" t="inlineStr">
        <is>
          <t>3. Os custos em CUSTOS_MACROGRUPO são calculados automaticamente</t>
        </is>
      </c>
    </row>
    <row r="15">
      <c r="A15" s="22" t="inlineStr">
        <is>
          <t>4. Verifique ALERTAS para validar se os valores estão dentro das faixas esperadas</t>
        </is>
      </c>
    </row>
    <row r="16">
      <c r="A16" s="22" t="inlineStr">
        <is>
          <t>5. Use PAINEL para visualização rápida dos principais indicadores</t>
        </is>
      </c>
    </row>
    <row r="17">
      <c r="A17" s="22" t="inlineStr"/>
    </row>
    <row r="18">
      <c r="A18" s="23" t="inlineStr">
        <is>
          <t>MODELO DE CÁLCULO:</t>
        </is>
      </c>
    </row>
    <row r="19">
      <c r="A19" s="22" t="inlineStr">
        <is>
          <t>Valor Final (R$/m²) = Base × Fator CUB × Fator Briefing Composto</t>
        </is>
      </c>
    </row>
    <row r="20">
      <c r="A20" s="22" t="inlineStr"/>
    </row>
    <row r="21">
      <c r="A21" s="22" t="inlineStr">
        <is>
          <t>Onde:</t>
        </is>
      </c>
    </row>
    <row r="22">
      <c r="A22" s="22" t="inlineStr">
        <is>
          <t>- Base = Mediana calibrada do macrogrupo (dez/2023)</t>
        </is>
      </c>
    </row>
    <row r="23">
      <c r="A23" s="22" t="inlineStr">
        <is>
          <t>- Fator CUB = CUB Atual / CUB Base (ajuste inflação)</t>
        </is>
      </c>
    </row>
    <row r="24">
      <c r="A24" s="22" t="inlineStr">
        <is>
          <t>- Fator Briefing Composto = Produto de todos os fatores das 25 perguntas</t>
        </is>
      </c>
    </row>
    <row r="25">
      <c r="A25" s="22" t="inlineStr"/>
    </row>
    <row r="26">
      <c r="A26" s="23" t="inlineStr">
        <is>
          <t>LIMITAÇÕES:</t>
        </is>
      </c>
    </row>
    <row r="27">
      <c r="A27" s="22" t="inlineStr">
        <is>
          <t>- Estimativa preliminar, não substitui orçamento executivo</t>
        </is>
      </c>
    </row>
    <row r="28">
      <c r="A28" s="22" t="inlineStr">
        <is>
          <t>- Não inclui: terreno, projetos, aprovações, marketing, impostos</t>
        </is>
      </c>
    </row>
    <row r="29">
      <c r="A29" s="22" t="inlineStr">
        <is>
          <t>- Climatização e Louças/Metais são placeholders (valor 0)</t>
        </is>
      </c>
    </row>
    <row r="30">
      <c r="A30" s="22" t="inlineStr">
        <is>
          <t>- Faixas podem variar conforme região e características específicas</t>
        </is>
      </c>
    </row>
    <row r="31">
      <c r="A31" s="22" t="inlineStr"/>
    </row>
    <row r="32">
      <c r="A32" s="23" t="inlineStr">
        <is>
          <t>ATENÇÃO:</t>
        </is>
      </c>
    </row>
    <row r="33">
      <c r="A33" s="22" t="inlineStr">
        <is>
          <t>- Semáforo verde: dentro da faixa P10-P90</t>
        </is>
      </c>
    </row>
    <row r="34">
      <c r="A34" s="22" t="inlineStr">
        <is>
          <t>- Semáforo amarelo: fora da faixa, mas dentro de ±20%</t>
        </is>
      </c>
    </row>
    <row r="35">
      <c r="A35" s="22" t="inlineStr">
        <is>
          <t>- Semáforo vermelho: &gt;20% fora da faixa (revisar premissas)</t>
        </is>
      </c>
    </row>
    <row r="36">
      <c r="A36" s="22" t="inlineStr"/>
    </row>
    <row r="37">
      <c r="A37" s="23" t="inlineStr">
        <is>
          <t>CONTATO:</t>
        </is>
      </c>
    </row>
    <row r="38">
      <c r="A38" s="22" t="inlineStr">
        <is>
          <t>Cartesian Engenharia</t>
        </is>
      </c>
    </row>
    <row r="39">
      <c r="A39" s="22" t="inlineStr">
        <is>
          <t>leonardo@cartesianengenharia.com</t>
        </is>
      </c>
    </row>
    <row r="40">
      <c r="A40" s="22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2026-03-05T20:41:09Z</dcterms:created>
  <dcterms:modified xmlns:dcterms="http://purl.org/dc/terms/" xmlns:xsi="http://www.w3.org/2001/XMLSchema-instance" xsi:type="dcterms:W3CDTF">2026-03-05T20:41:09Z</dcterms:modified>
</cp:coreProperties>
</file>