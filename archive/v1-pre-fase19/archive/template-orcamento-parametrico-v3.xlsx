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i val="1"/>
      <color rgb="007F8C8D"/>
      <sz val="10"/>
    </font>
    <font/>
    <font>
      <b val="1"/>
      <sz val="11"/>
    </font>
    <font>
      <sz val="14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FFA500"/>
        <bgColor rgb="00FFA500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6" fillId="6" borderId="0" pivotButton="0" quotePrefix="0" xfId="0"/>
    <xf numFmtId="165" fontId="0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7" borderId="0" pivotButton="0" quotePrefix="0" xfId="0"/>
    <xf numFmtId="0" fontId="8" fillId="0" borderId="0" pivotButton="0" quotePrefix="0" xfId="0"/>
    <xf numFmtId="0" fontId="9" fillId="8" borderId="0" pivotButton="0" quotePrefix="0" xfId="0"/>
    <xf numFmtId="0" fontId="6" fillId="9" borderId="0" pivotButton="0" quotePrefix="0" xfId="0"/>
    <xf numFmtId="4" fontId="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t="inlineStr"/>
    </row>
    <row r="3">
      <c r="A3" s="2" t="inlineStr">
        <is>
          <t>Código</t>
        </is>
      </c>
      <c r="B3" t="inlineStr"/>
    </row>
    <row r="4">
      <c r="A4" s="2" t="inlineStr">
        <is>
          <t>Cidade</t>
        </is>
      </c>
      <c r="B4" t="inlineStr"/>
    </row>
    <row r="5">
      <c r="A5" t="inlineStr"/>
      <c r="B5" t="inlineStr"/>
    </row>
    <row r="6">
      <c r="A6" s="2" t="inlineStr">
        <is>
          <t>Área Construída (m²)</t>
        </is>
      </c>
      <c r="B6" t="inlineStr"/>
    </row>
    <row r="7">
      <c r="A7" s="2" t="inlineStr">
        <is>
          <t>Unidades Residenciais</t>
        </is>
      </c>
      <c r="B7" t="inlineStr"/>
    </row>
    <row r="8">
      <c r="A8" s="2" t="inlineStr">
        <is>
          <t>Unidades Comerciais</t>
        </is>
      </c>
      <c r="B8" t="inlineStr"/>
    </row>
    <row r="9">
      <c r="A9" s="2" t="inlineStr">
        <is>
          <t>Número de Pavimentos</t>
        </is>
      </c>
      <c r="B9" t="inlineStr"/>
    </row>
    <row r="10">
      <c r="A10" s="2" t="inlineStr">
        <is>
          <t>Pavimentos Tipo</t>
        </is>
      </c>
      <c r="B10" t="inlineStr"/>
    </row>
    <row r="11">
      <c r="A11" s="2" t="inlineStr">
        <is>
          <t>Pavimentos Garagem</t>
        </is>
      </c>
      <c r="B11" t="inlineStr"/>
    </row>
    <row r="12">
      <c r="A12" s="2" t="inlineStr">
        <is>
          <t>Elevadores</t>
        </is>
      </c>
      <c r="B12" t="inlineStr"/>
    </row>
    <row r="13">
      <c r="A13" s="2" t="inlineStr">
        <is>
          <t>Vagas</t>
        </is>
      </c>
      <c r="B13" t="inlineStr"/>
    </row>
    <row r="14">
      <c r="A14" s="2" t="inlineStr">
        <is>
          <t>Área Terreno (m²)</t>
        </is>
      </c>
      <c r="B14" t="inlineStr"/>
    </row>
    <row r="15">
      <c r="A15" s="2" t="inlineStr">
        <is>
          <t>Número de Subsolos</t>
        </is>
      </c>
      <c r="B15" t="inlineStr"/>
    </row>
    <row r="16">
      <c r="A16" t="inlineStr"/>
      <c r="B16" t="inlineStr"/>
    </row>
    <row r="17">
      <c r="A17" s="2" t="inlineStr">
        <is>
          <t>Prazo (meses)</t>
        </is>
      </c>
      <c r="B17" t="inlineStr"/>
    </row>
    <row r="18">
      <c r="A18" t="inlineStr"/>
      <c r="B18" t="inlineStr"/>
    </row>
    <row r="19">
      <c r="A19" s="2" t="inlineStr">
        <is>
          <t>CUB Atual (R$/m²)</t>
        </is>
      </c>
      <c r="B19" t="inlineStr"/>
    </row>
    <row r="20">
      <c r="A20" s="2" t="inlineStr">
        <is>
          <t>CUB Base dez/23 (R$/m²)</t>
        </is>
      </c>
      <c r="B20" s="7" t="n">
        <v>2752.67</v>
      </c>
    </row>
    <row r="21">
      <c r="A21" s="2" t="inlineStr">
        <is>
          <t>Data-base</t>
        </is>
      </c>
      <c r="B21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8" t="inlineStr">
        <is>
          <t>Q1</t>
        </is>
      </c>
      <c r="B2" s="2" t="inlineStr">
        <is>
          <t>Tipo de Fundação</t>
        </is>
      </c>
      <c r="C2" s="9" t="n"/>
      <c r="D2" s="10" t="inlineStr">
        <is>
          <t>Infraestrutura</t>
        </is>
      </c>
    </row>
    <row r="3">
      <c r="A3" s="8" t="inlineStr">
        <is>
          <t>Q2</t>
        </is>
      </c>
      <c r="B3" s="2" t="inlineStr">
        <is>
          <t>Tipo de Laje</t>
        </is>
      </c>
      <c r="C3" s="9" t="n"/>
      <c r="D3" s="10" t="inlineStr">
        <is>
          <t>Supraestrutura</t>
        </is>
      </c>
    </row>
    <row r="4">
      <c r="A4" s="8" t="inlineStr">
        <is>
          <t>Q3</t>
        </is>
      </c>
      <c r="B4" s="2" t="inlineStr">
        <is>
          <t>Contenção</t>
        </is>
      </c>
      <c r="C4" s="9" t="n"/>
      <c r="D4" s="10" t="inlineStr">
        <is>
          <t>Infraestrutura</t>
        </is>
      </c>
    </row>
    <row r="5">
      <c r="A5" s="8" t="inlineStr">
        <is>
          <t>Q4</t>
        </is>
      </c>
      <c r="B5" s="2" t="inlineStr">
        <is>
          <t>Subsolos</t>
        </is>
      </c>
      <c r="C5" s="9" t="n"/>
      <c r="D5" s="10" t="inlineStr">
        <is>
          <t>Mov. Terra, Infraestrutura, Impermeabilização</t>
        </is>
      </c>
    </row>
    <row r="6">
      <c r="A6" s="8" t="inlineStr">
        <is>
          <t>Q5</t>
        </is>
      </c>
      <c r="B6" s="2" t="inlineStr">
        <is>
          <t>Padrão</t>
        </is>
      </c>
      <c r="C6" s="9" t="n"/>
      <c r="D6" s="10" t="inlineStr">
        <is>
          <t>Rev. Int. Parede, Teto, Pisos, Pintura, Esquadrias, Fachada, Complementares</t>
        </is>
      </c>
    </row>
    <row r="7">
      <c r="A7" s="8" t="inlineStr">
        <is>
          <t>Q6</t>
        </is>
      </c>
      <c r="B7" s="2" t="inlineStr">
        <is>
          <t>Esquadria</t>
        </is>
      </c>
      <c r="C7" s="9" t="n"/>
      <c r="D7" s="10" t="inlineStr">
        <is>
          <t>Esquadrias</t>
        </is>
      </c>
    </row>
    <row r="8">
      <c r="A8" s="8" t="inlineStr">
        <is>
          <t>Q7</t>
        </is>
      </c>
      <c r="B8" s="2" t="inlineStr">
        <is>
          <t>Piso</t>
        </is>
      </c>
      <c r="C8" s="9" t="n"/>
      <c r="D8" s="10" t="inlineStr">
        <is>
          <t>Pisos</t>
        </is>
      </c>
    </row>
    <row r="9">
      <c r="A9" s="8" t="inlineStr">
        <is>
          <t>Q8</t>
        </is>
      </c>
      <c r="B9" s="2" t="inlineStr">
        <is>
          <t>Vedação</t>
        </is>
      </c>
      <c r="C9" s="9" t="n"/>
      <c r="D9" s="10" t="inlineStr">
        <is>
          <t>Alvenaria</t>
        </is>
      </c>
    </row>
    <row r="10">
      <c r="A10" s="8" t="inlineStr">
        <is>
          <t>Q9</t>
        </is>
      </c>
      <c r="B10" s="2" t="inlineStr">
        <is>
          <t>Forro</t>
        </is>
      </c>
      <c r="C10" s="9" t="n"/>
      <c r="D10" s="10" t="inlineStr">
        <is>
          <t>Teto</t>
        </is>
      </c>
    </row>
    <row r="11">
      <c r="A11" s="8" t="inlineStr">
        <is>
          <t>Q10</t>
        </is>
      </c>
      <c r="B11" s="2" t="inlineStr">
        <is>
          <t>Fachada</t>
        </is>
      </c>
      <c r="C11" s="9" t="n"/>
      <c r="D11" s="10" t="inlineStr">
        <is>
          <t>Fachada</t>
        </is>
      </c>
    </row>
    <row r="12">
      <c r="A12" s="8" t="inlineStr">
        <is>
          <t>Q11</t>
        </is>
      </c>
      <c r="B12" s="2" t="inlineStr">
        <is>
          <t>MO Fachada</t>
        </is>
      </c>
      <c r="C12" s="9" t="n"/>
      <c r="D12" s="10" t="inlineStr">
        <is>
          <t>Fachada</t>
        </is>
      </c>
    </row>
    <row r="13">
      <c r="A13" s="8" t="inlineStr">
        <is>
          <t>Q12</t>
        </is>
      </c>
      <c r="B13" s="2" t="inlineStr">
        <is>
          <t>Cobertura Habitável</t>
        </is>
      </c>
      <c r="C13" s="9" t="n"/>
      <c r="D13" s="10" t="inlineStr">
        <is>
          <t>Complementares</t>
        </is>
      </c>
    </row>
    <row r="14">
      <c r="A14" s="8" t="inlineStr">
        <is>
          <t>Q13</t>
        </is>
      </c>
      <c r="B14" s="2" t="inlineStr">
        <is>
          <t>Aquecimento</t>
        </is>
      </c>
      <c r="C14" s="9" t="n"/>
      <c r="D14" s="10" t="inlineStr">
        <is>
          <t>Instalações</t>
        </is>
      </c>
    </row>
    <row r="15">
      <c r="A15" s="8" t="inlineStr">
        <is>
          <t>Q14</t>
        </is>
      </c>
      <c r="B15" s="2" t="inlineStr">
        <is>
          <t>Automação</t>
        </is>
      </c>
      <c r="C15" s="9" t="n"/>
      <c r="D15" s="10" t="inlineStr">
        <is>
          <t>Sist. Especiais</t>
        </is>
      </c>
    </row>
    <row r="16">
      <c r="A16" s="8" t="inlineStr">
        <is>
          <t>Q15</t>
        </is>
      </c>
      <c r="B16" s="2" t="inlineStr">
        <is>
          <t>Energia</t>
        </is>
      </c>
      <c r="C16" s="9" t="n"/>
      <c r="D16" s="10" t="inlineStr">
        <is>
          <t>Sist. Especiais</t>
        </is>
      </c>
    </row>
    <row r="17">
      <c r="A17" s="8" t="inlineStr">
        <is>
          <t>Q16</t>
        </is>
      </c>
      <c r="B17" s="2" t="inlineStr">
        <is>
          <t>Lazer</t>
        </is>
      </c>
      <c r="C17" s="9" t="n"/>
      <c r="D17" s="10" t="inlineStr">
        <is>
          <t>Complementares</t>
        </is>
      </c>
    </row>
    <row r="18">
      <c r="A18" s="8" t="inlineStr">
        <is>
          <t>Q17</t>
        </is>
      </c>
      <c r="B18" s="2" t="inlineStr">
        <is>
          <t>Paisagismo</t>
        </is>
      </c>
      <c r="C18" s="9" t="n"/>
      <c r="D18" s="10" t="inlineStr">
        <is>
          <t>Complementares</t>
        </is>
      </c>
    </row>
    <row r="19">
      <c r="A19" s="8" t="inlineStr">
        <is>
          <t>Q18</t>
        </is>
      </c>
      <c r="B19" s="2" t="inlineStr">
        <is>
          <t>Mobiliário</t>
        </is>
      </c>
      <c r="C19" s="9" t="n"/>
      <c r="D19" s="10" t="inlineStr">
        <is>
          <t>Complementares</t>
        </is>
      </c>
    </row>
    <row r="20">
      <c r="A20" s="8" t="inlineStr">
        <is>
          <t>Q19</t>
        </is>
      </c>
      <c r="B20" s="2" t="inlineStr">
        <is>
          <t>Prazo</t>
        </is>
      </c>
      <c r="C20" s="9" t="n"/>
      <c r="D20" s="10" t="inlineStr">
        <is>
          <t>Gerenciamento</t>
        </is>
      </c>
    </row>
    <row r="21">
      <c r="A21" s="8" t="inlineStr">
        <is>
          <t>Q20</t>
        </is>
      </c>
      <c r="B21" s="2" t="inlineStr">
        <is>
          <t>Região</t>
        </is>
      </c>
      <c r="C21" s="9" t="n"/>
      <c r="D21" s="10" t="inlineStr">
        <is>
          <t>Todos os macrogrupos</t>
        </is>
      </c>
    </row>
    <row r="22">
      <c r="A22" s="8" t="inlineStr">
        <is>
          <t>Q21</t>
        </is>
      </c>
      <c r="B22" s="2" t="inlineStr">
        <is>
          <t>Gerador</t>
        </is>
      </c>
      <c r="C22" s="9" t="n"/>
      <c r="D22" s="10" t="inlineStr">
        <is>
          <t>Sist. Especiais</t>
        </is>
      </c>
    </row>
    <row r="23">
      <c r="A23" s="8" t="inlineStr">
        <is>
          <t>Q22</t>
        </is>
      </c>
      <c r="B23" s="2" t="inlineStr">
        <is>
          <t>Subestação</t>
        </is>
      </c>
      <c r="C23" s="9" t="n"/>
      <c r="D23" s="10" t="inlineStr">
        <is>
          <t>Sist. Especiais</t>
        </is>
      </c>
    </row>
    <row r="24">
      <c r="A24" s="8" t="inlineStr">
        <is>
          <t>Q23</t>
        </is>
      </c>
      <c r="B24" s="2" t="inlineStr">
        <is>
          <t>Fotovoltaicas</t>
        </is>
      </c>
      <c r="C24" s="9" t="n"/>
      <c r="D24" s="10" t="inlineStr">
        <is>
          <t>Sist. Especiais</t>
        </is>
      </c>
    </row>
    <row r="25">
      <c r="A25" s="8" t="inlineStr">
        <is>
          <t>Q24</t>
        </is>
      </c>
      <c r="B25" s="2" t="inlineStr">
        <is>
          <t>Carro Elétrico</t>
        </is>
      </c>
      <c r="C25" s="9" t="n"/>
      <c r="D25" s="10" t="inlineStr">
        <is>
          <t>Instalações</t>
        </is>
      </c>
    </row>
    <row r="26">
      <c r="A26" s="8" t="inlineStr">
        <is>
          <t>Q25</t>
        </is>
      </c>
      <c r="B26" s="2" t="inlineStr">
        <is>
          <t>Pressurização</t>
        </is>
      </c>
      <c r="C26" s="9" t="n"/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8" t="n">
        <v>1</v>
      </c>
      <c r="B2" s="2" t="inlineStr">
        <is>
          <t>Gerenciamento</t>
        </is>
      </c>
      <c r="C2" s="13" t="n">
        <v>407.07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200</v>
      </c>
      <c r="J2" s="13" t="n">
        <v>550</v>
      </c>
      <c r="K2" s="16">
        <f>IF(AND(F2&gt;=I2,F2&lt;=J2),"✓",IF(OR(F2&lt;I2*0.8,F2&gt;J2*1.2),"✗","⚠"))</f>
        <v/>
      </c>
    </row>
    <row r="3">
      <c r="A3" s="8" t="n">
        <v>2</v>
      </c>
      <c r="B3" s="2" t="inlineStr">
        <is>
          <t>Mov. Terra</t>
        </is>
      </c>
      <c r="C3" s="13" t="n">
        <v>12.47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7</v>
      </c>
      <c r="J3" s="13" t="n">
        <v>60</v>
      </c>
      <c r="K3" s="16">
        <f>IF(AND(F3&gt;=I3,F3&lt;=J3),"✓",IF(OR(F3&lt;I3*0.8,F3&gt;J3*1.2),"✗","⚠"))</f>
        <v/>
      </c>
    </row>
    <row r="4">
      <c r="A4" s="8" t="n">
        <v>3</v>
      </c>
      <c r="B4" s="2" t="inlineStr">
        <is>
          <t>Infraestrutura</t>
        </is>
      </c>
      <c r="C4" s="13" t="n">
        <v>230.4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120</v>
      </c>
      <c r="J4" s="13" t="n">
        <v>280</v>
      </c>
      <c r="K4" s="16">
        <f>IF(AND(F4&gt;=I4,F4&lt;=J4),"✓",IF(OR(F4&lt;I4*0.8,F4&gt;J4*1.2),"✗","⚠"))</f>
        <v/>
      </c>
    </row>
    <row r="5">
      <c r="A5" s="8" t="n">
        <v>4</v>
      </c>
      <c r="B5" s="2" t="inlineStr">
        <is>
          <t>Supraestrutura</t>
        </is>
      </c>
      <c r="C5" s="13" t="n">
        <v>722.66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450</v>
      </c>
      <c r="J5" s="13" t="n">
        <v>950</v>
      </c>
      <c r="K5" s="16">
        <f>IF(AND(F5&gt;=I5,F5&lt;=J5),"✓",IF(OR(F5&lt;I5*0.8,F5&gt;J5*1.2),"✗","⚠"))</f>
        <v/>
      </c>
    </row>
    <row r="6">
      <c r="A6" s="8" t="n">
        <v>5</v>
      </c>
      <c r="B6" s="2" t="inlineStr">
        <is>
          <t>Alvenaria</t>
        </is>
      </c>
      <c r="C6" s="13" t="n">
        <v>148.7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60</v>
      </c>
      <c r="J6" s="13" t="n">
        <v>300</v>
      </c>
      <c r="K6" s="16">
        <f>IF(AND(F6&gt;=I6,F6&lt;=J6),"✓",IF(OR(F6&lt;I6*0.8,F6&gt;J6*1.2),"✗","⚠"))</f>
        <v/>
      </c>
    </row>
    <row r="7">
      <c r="A7" s="8" t="n">
        <v>6</v>
      </c>
      <c r="B7" s="2" t="inlineStr">
        <is>
          <t>Impermeabilização</t>
        </is>
      </c>
      <c r="C7" s="13" t="n">
        <v>56.43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36</v>
      </c>
      <c r="J7" s="13" t="n">
        <v>86</v>
      </c>
      <c r="K7" s="16">
        <f>IF(AND(F7&gt;=I7,F7&lt;=J7),"✓",IF(OR(F7&lt;I7*0.8,F7&gt;J7*1.2),"✗","⚠"))</f>
        <v/>
      </c>
    </row>
    <row r="8">
      <c r="A8" s="8" t="n">
        <v>7</v>
      </c>
      <c r="B8" s="2" t="inlineStr">
        <is>
          <t>Instalações</t>
        </is>
      </c>
      <c r="C8" s="13" t="n">
        <v>366.96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315</v>
      </c>
      <c r="J8" s="13" t="n">
        <v>500</v>
      </c>
      <c r="K8" s="16">
        <f>IF(AND(F8&gt;=I8,F8&lt;=J8),"✓",IF(OR(F8&lt;I8*0.8,F8&gt;J8*1.2),"✗","⚠"))</f>
        <v/>
      </c>
    </row>
    <row r="9">
      <c r="A9" s="8" t="n">
        <v>8</v>
      </c>
      <c r="B9" s="2" t="inlineStr">
        <is>
          <t>Sist. Especiais</t>
        </is>
      </c>
      <c r="C9" s="13" t="n">
        <v>193.39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100</v>
      </c>
      <c r="J9" s="13" t="n">
        <v>400</v>
      </c>
      <c r="K9" s="16">
        <f>IF(AND(F9&gt;=I9,F9&lt;=J9),"✓",IF(OR(F9&lt;I9*0.8,F9&gt;J9*1.2),"✗","⚠"))</f>
        <v/>
      </c>
    </row>
    <row r="10">
      <c r="A10" s="8" t="n">
        <v>9</v>
      </c>
      <c r="B10" s="2" t="inlineStr">
        <is>
          <t>Climatização</t>
        </is>
      </c>
      <c r="C10" s="13" t="n">
        <v>0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0</v>
      </c>
      <c r="J10" s="13" t="n">
        <v>80</v>
      </c>
      <c r="K10" s="16">
        <f>IF(AND(F10&gt;=I10,F10&lt;=J10),"✓",IF(OR(F10&lt;I10*0.8,F10&gt;J10*1.2),"✗","⚠"))</f>
        <v/>
      </c>
    </row>
    <row r="11">
      <c r="A11" s="8" t="n">
        <v>10</v>
      </c>
      <c r="B11" s="2" t="inlineStr">
        <is>
          <t>Rev. Int. Parede</t>
        </is>
      </c>
      <c r="C11" s="13" t="n">
        <v>171.85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100</v>
      </c>
      <c r="J11" s="13" t="n">
        <v>240</v>
      </c>
      <c r="K11" s="16">
        <f>IF(AND(F11&gt;=I11,F11&lt;=J11),"✓",IF(OR(F11&lt;I11*0.8,F11&gt;J11*1.2),"✗","⚠"))</f>
        <v/>
      </c>
    </row>
    <row r="12">
      <c r="A12" s="8" t="n">
        <v>11</v>
      </c>
      <c r="B12" s="2" t="inlineStr">
        <is>
          <t>Teto</t>
        </is>
      </c>
      <c r="C12" s="13" t="n">
        <v>68.65000000000001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45</v>
      </c>
      <c r="J12" s="13" t="n">
        <v>140</v>
      </c>
      <c r="K12" s="16">
        <f>IF(AND(F12&gt;=I12,F12&lt;=J12),"✓",IF(OR(F12&lt;I12*0.8,F12&gt;J12*1.2),"✗","⚠"))</f>
        <v/>
      </c>
    </row>
    <row r="13">
      <c r="A13" s="8" t="n">
        <v>12</v>
      </c>
      <c r="B13" s="2" t="inlineStr">
        <is>
          <t>Pisos</t>
        </is>
      </c>
      <c r="C13" s="13" t="n">
        <v>193.69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125</v>
      </c>
      <c r="J13" s="13" t="n">
        <v>350</v>
      </c>
      <c r="K13" s="16">
        <f>IF(AND(F13&gt;=I13,F13&lt;=J13),"✓",IF(OR(F13&lt;I13*0.8,F13&gt;J13*1.2),"✗","⚠"))</f>
        <v/>
      </c>
    </row>
    <row r="14">
      <c r="A14" s="8" t="n">
        <v>13</v>
      </c>
      <c r="B14" s="2" t="inlineStr">
        <is>
          <t>Pintura</t>
        </is>
      </c>
      <c r="C14" s="13" t="n">
        <v>133.12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96</v>
      </c>
      <c r="J14" s="13" t="n">
        <v>200</v>
      </c>
      <c r="K14" s="16">
        <f>IF(AND(F14&gt;=I14,F14&lt;=J14),"✓",IF(OR(F14&lt;I14*0.8,F14&gt;J14*1.2),"✗","⚠"))</f>
        <v/>
      </c>
    </row>
    <row r="15">
      <c r="A15" s="8" t="n">
        <v>14</v>
      </c>
      <c r="B15" s="2" t="inlineStr">
        <is>
          <t>Esquadrias</t>
        </is>
      </c>
      <c r="C15" s="13" t="n">
        <v>367.23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200</v>
      </c>
      <c r="J15" s="13" t="n">
        <v>700</v>
      </c>
      <c r="K15" s="16">
        <f>IF(AND(F15&gt;=I15,F15&lt;=J15),"✓",IF(OR(F15&lt;I15*0.8,F15&gt;J15*1.2),"✗","⚠"))</f>
        <v/>
      </c>
    </row>
    <row r="16">
      <c r="A16" s="8" t="n">
        <v>15</v>
      </c>
      <c r="B16" s="2" t="inlineStr">
        <is>
          <t>Louças e Metais</t>
        </is>
      </c>
      <c r="C16" s="13" t="n">
        <v>0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30</v>
      </c>
      <c r="J16" s="13" t="n">
        <v>120</v>
      </c>
      <c r="K16" s="16">
        <f>IF(AND(F16&gt;=I16,F16&lt;=J16),"✓",IF(OR(F16&lt;I16*0.8,F16&gt;J16*1.2),"✗","⚠"))</f>
        <v/>
      </c>
    </row>
    <row r="17">
      <c r="A17" s="8" t="n">
        <v>16</v>
      </c>
      <c r="B17" s="2" t="inlineStr">
        <is>
          <t>Fachada</t>
        </is>
      </c>
      <c r="C17" s="13" t="n">
        <v>170.21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55</v>
      </c>
      <c r="J17" s="13" t="n">
        <v>275</v>
      </c>
      <c r="K17" s="16">
        <f>IF(AND(F17&gt;=I17,F17&lt;=J17),"✓",IF(OR(F17&lt;I17*0.8,F17&gt;J17*1.2),"✗","⚠"))</f>
        <v/>
      </c>
    </row>
    <row r="18">
      <c r="A18" s="8" t="n">
        <v>17</v>
      </c>
      <c r="B18" s="2" t="inlineStr">
        <is>
          <t>Complementares</t>
        </is>
      </c>
      <c r="C18" s="13" t="n">
        <v>214.32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100</v>
      </c>
      <c r="J18" s="13" t="n">
        <v>500</v>
      </c>
      <c r="K18" s="16">
        <f>IF(AND(F18&gt;=I18,F18&lt;=J18),"✓",IF(OR(F18&lt;I18*0.8,F18&gt;J18*1.2),"✗","⚠"))</f>
        <v/>
      </c>
    </row>
    <row r="19">
      <c r="A19" s="8" t="n">
        <v>18</v>
      </c>
      <c r="B19" s="2" t="inlineStr">
        <is>
          <t>Imprevistos</t>
        </is>
      </c>
      <c r="C19" s="13" t="n">
        <v>97.79000000000001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35</v>
      </c>
      <c r="J19" s="13" t="n">
        <v>120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ÍNDICES DE REFERÊNCIA</t>
        </is>
      </c>
    </row>
    <row r="3">
      <c r="A3" s="20" t="inlineStr">
        <is>
          <t>ÍNDICES POR TIPO DE LAJE</t>
        </is>
      </c>
    </row>
    <row r="4">
      <c r="A4" s="6" t="inlineStr">
        <is>
          <t>Tipo de Laje</t>
        </is>
      </c>
      <c r="B4" s="6" t="inlineStr">
        <is>
          <t>Concreto (m³/m²)</t>
        </is>
      </c>
      <c r="C4" s="6" t="inlineStr">
        <is>
          <t>Aço (kg/m²)</t>
        </is>
      </c>
      <c r="D4" s="6" t="inlineStr">
        <is>
          <t>Forma (m²/m²)</t>
        </is>
      </c>
    </row>
    <row r="5">
      <c r="A5" t="inlineStr">
        <is>
          <t>Cubetas</t>
        </is>
      </c>
      <c r="B5" s="11" t="n">
        <v>0.2</v>
      </c>
      <c r="C5" s="21" t="n">
        <v>15</v>
      </c>
      <c r="D5" s="11" t="n">
        <v>1.2</v>
      </c>
    </row>
    <row r="6">
      <c r="A6" t="inlineStr">
        <is>
          <t>Protendida</t>
        </is>
      </c>
      <c r="B6" s="11" t="n">
        <v>0.18</v>
      </c>
      <c r="C6" s="21" t="n">
        <v>12</v>
      </c>
      <c r="D6" s="11" t="n">
        <v>1</v>
      </c>
    </row>
    <row r="7">
      <c r="A7" t="inlineStr">
        <is>
          <t>Maciça</t>
        </is>
      </c>
      <c r="B7" s="11" t="n">
        <v>0.22</v>
      </c>
      <c r="C7" s="21" t="n">
        <v>18</v>
      </c>
      <c r="D7" s="11" t="n">
        <v>1.4</v>
      </c>
    </row>
    <row r="8">
      <c r="A8" t="inlineStr">
        <is>
          <t>Mista</t>
        </is>
      </c>
      <c r="B8" s="11" t="n">
        <v>0.19</v>
      </c>
      <c r="C8" s="21" t="n">
        <v>14</v>
      </c>
      <c r="D8" s="11" t="n">
        <v>1.1</v>
      </c>
    </row>
    <row r="9">
      <c r="A9" t="inlineStr">
        <is>
          <t>Treliçada</t>
        </is>
      </c>
      <c r="B9" s="11" t="n">
        <v>0.17</v>
      </c>
      <c r="C9" s="21" t="n">
        <v>10</v>
      </c>
      <c r="D9" s="11" t="n">
        <v>0.9</v>
      </c>
    </row>
    <row r="12">
      <c r="A12" s="20" t="inlineStr">
        <is>
          <t>VERBAS PARAMÉTRICAS (R$/m²)</t>
        </is>
      </c>
    </row>
    <row r="13">
      <c r="A13" s="6" t="inlineStr">
        <is>
          <t>Verba</t>
        </is>
      </c>
      <c r="B13" s="6" t="inlineStr">
        <is>
          <t>Mínimo</t>
        </is>
      </c>
      <c r="C13" s="6" t="inlineStr">
        <is>
          <t>Médio</t>
        </is>
      </c>
      <c r="D13" s="6" t="inlineStr">
        <is>
          <t>Máximo</t>
        </is>
      </c>
    </row>
    <row r="14">
      <c r="A14" t="inlineStr">
        <is>
          <t>Gerenciamento</t>
        </is>
      </c>
      <c r="B14" s="13" t="n">
        <v>200</v>
      </c>
      <c r="C14" s="13" t="n">
        <v>407</v>
      </c>
      <c r="D14" s="13" t="n">
        <v>550</v>
      </c>
    </row>
    <row r="15">
      <c r="A15" t="inlineStr">
        <is>
          <t>Supraestrutura</t>
        </is>
      </c>
      <c r="B15" s="13" t="n">
        <v>450</v>
      </c>
      <c r="C15" s="13" t="n">
        <v>723</v>
      </c>
      <c r="D15" s="13" t="n">
        <v>950</v>
      </c>
    </row>
    <row r="16">
      <c r="A16" t="inlineStr">
        <is>
          <t>Instalações</t>
        </is>
      </c>
      <c r="B16" s="13" t="n">
        <v>315</v>
      </c>
      <c r="C16" s="13" t="n">
        <v>367</v>
      </c>
      <c r="D16" s="13" t="n">
        <v>500</v>
      </c>
    </row>
    <row r="17">
      <c r="A17" t="inlineStr">
        <is>
          <t>Esquadrias</t>
        </is>
      </c>
      <c r="B17" s="13" t="n">
        <v>200</v>
      </c>
      <c r="C17" s="13" t="n">
        <v>367</v>
      </c>
      <c r="D17" s="13" t="n">
        <v>700</v>
      </c>
    </row>
    <row r="18">
      <c r="A18" t="inlineStr">
        <is>
          <t>Pisos</t>
        </is>
      </c>
      <c r="B18" s="13" t="n">
        <v>125</v>
      </c>
      <c r="C18" s="13" t="n">
        <v>194</v>
      </c>
      <c r="D18" s="13" t="n">
        <v>350</v>
      </c>
    </row>
    <row r="19">
      <c r="A19" t="inlineStr">
        <is>
          <t>Fachada</t>
        </is>
      </c>
      <c r="B19" s="13" t="n">
        <v>55</v>
      </c>
      <c r="C19" s="13" t="n">
        <v>170</v>
      </c>
      <c r="D19" s="13" t="n">
        <v>275</v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ANÁLISE ESTRUTURAL</t>
        </is>
      </c>
    </row>
    <row r="2">
      <c r="A2" s="22" t="inlineStr">
        <is>
          <t>Aba para input manual quando houver orçamento executivo</t>
        </is>
      </c>
    </row>
    <row r="4">
      <c r="A4" s="23" t="inlineStr">
        <is>
          <t>CONCRETO</t>
        </is>
      </c>
    </row>
    <row r="5">
      <c r="A5" s="6" t="inlineStr">
        <is>
          <t>Elemento</t>
        </is>
      </c>
      <c r="B5" s="6" t="inlineStr">
        <is>
          <t>Volume (m³)</t>
        </is>
      </c>
      <c r="C5" s="6" t="inlineStr">
        <is>
          <t>% Vol.</t>
        </is>
      </c>
      <c r="D5" s="6" t="inlineStr">
        <is>
          <t>fck (MPa)</t>
        </is>
      </c>
      <c r="E5" s="6" t="inlineStr">
        <is>
          <t>PU (R$/m³)</t>
        </is>
      </c>
      <c r="F5" s="6" t="inlineStr">
        <is>
          <t>Total (R$)</t>
        </is>
      </c>
      <c r="G5" s="6" t="inlineStr">
        <is>
          <t>R$/m²</t>
        </is>
      </c>
    </row>
    <row r="6">
      <c r="A6" s="24" t="inlineStr">
        <is>
          <t>Pilares</t>
        </is>
      </c>
      <c r="B6" s="9" t="n"/>
      <c r="C6" s="9" t="n"/>
      <c r="D6" s="9" t="n"/>
      <c r="E6" s="9" t="n"/>
      <c r="F6" s="9" t="n"/>
      <c r="G6" s="9" t="n"/>
    </row>
    <row r="7">
      <c r="A7" s="24" t="inlineStr">
        <is>
          <t>Vigas</t>
        </is>
      </c>
      <c r="B7" s="9" t="n"/>
      <c r="C7" s="9" t="n"/>
      <c r="D7" s="9" t="n"/>
      <c r="E7" s="9" t="n"/>
      <c r="F7" s="9" t="n"/>
      <c r="G7" s="9" t="n"/>
    </row>
    <row r="8">
      <c r="A8" s="24" t="inlineStr">
        <is>
          <t>Lajes</t>
        </is>
      </c>
      <c r="B8" s="9" t="n"/>
      <c r="C8" s="9" t="n"/>
      <c r="D8" s="9" t="n"/>
      <c r="E8" s="9" t="n"/>
      <c r="F8" s="9" t="n"/>
      <c r="G8" s="9" t="n"/>
    </row>
    <row r="9">
      <c r="A9" s="24" t="inlineStr">
        <is>
          <t>Escadas</t>
        </is>
      </c>
      <c r="B9" s="9" t="n"/>
      <c r="C9" s="9" t="n"/>
      <c r="D9" s="9" t="n"/>
      <c r="E9" s="9" t="n"/>
      <c r="F9" s="9" t="n"/>
      <c r="G9" s="9" t="n"/>
    </row>
    <row r="12">
      <c r="A12" s="23" t="inlineStr">
        <is>
          <t>AÇO</t>
        </is>
      </c>
    </row>
    <row r="13">
      <c r="A13" s="6" t="inlineStr">
        <is>
          <t>Elemento</t>
        </is>
      </c>
      <c r="B13" s="6" t="inlineStr">
        <is>
          <t>Peso (kg)</t>
        </is>
      </c>
      <c r="C13" s="6" t="inlineStr">
        <is>
          <t>% Peso</t>
        </is>
      </c>
      <c r="D13" s="6" t="inlineStr">
        <is>
          <t>Taxa (kg/m³)</t>
        </is>
      </c>
    </row>
    <row r="14">
      <c r="A14" t="inlineStr">
        <is>
          <t>Pilares</t>
        </is>
      </c>
      <c r="B14" s="9" t="n"/>
      <c r="C14" s="9" t="n"/>
      <c r="D14" s="9" t="n"/>
    </row>
    <row r="15">
      <c r="A15" t="inlineStr">
        <is>
          <t>Vigas</t>
        </is>
      </c>
      <c r="B15" s="9" t="n"/>
      <c r="C15" s="9" t="n"/>
      <c r="D15" s="9" t="n"/>
    </row>
    <row r="16">
      <c r="A16" t="inlineStr">
        <is>
          <t>Lajes</t>
        </is>
      </c>
      <c r="B16" s="9" t="n"/>
      <c r="C16" s="9" t="n"/>
      <c r="D16" s="9" t="n"/>
    </row>
    <row r="17">
      <c r="A17" t="inlineStr">
        <is>
          <t>Escadas</t>
        </is>
      </c>
      <c r="B17" s="9" t="n"/>
      <c r="C17" s="9" t="n"/>
      <c r="D17" s="9" t="n"/>
    </row>
  </sheetData>
  <mergeCells count="3">
    <mergeCell ref="A12:D1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INSTALAÇÕES</t>
        </is>
      </c>
    </row>
    <row r="2">
      <c r="A2" s="22" t="inlineStr">
        <is>
          <t>Aba para input manual quando houver orçamento executivo</t>
        </is>
      </c>
    </row>
    <row r="4">
      <c r="A4" s="6" t="inlineStr">
        <is>
          <t>Disciplina</t>
        </is>
      </c>
      <c r="B4" s="6" t="inlineStr">
        <is>
          <t>Valor (R$)</t>
        </is>
      </c>
      <c r="C4" s="6" t="inlineStr">
        <is>
          <t>R$/m²</t>
        </is>
      </c>
      <c r="D4" s="6" t="inlineStr">
        <is>
          <t>% Instalações</t>
        </is>
      </c>
      <c r="E4" s="6" t="inlineStr">
        <is>
          <t>MO (R$/m²)</t>
        </is>
      </c>
      <c r="F4" s="6" t="inlineStr">
        <is>
          <t>Material (R$/m²)</t>
        </is>
      </c>
    </row>
    <row r="5">
      <c r="A5" t="inlineStr">
        <is>
          <t>Hidrossanitárias</t>
        </is>
      </c>
      <c r="B5" s="9" t="n"/>
      <c r="C5" s="9" t="n"/>
      <c r="D5" s="9" t="n"/>
      <c r="E5" s="9" t="n"/>
      <c r="F5" s="9" t="n"/>
    </row>
    <row r="6">
      <c r="A6" t="inlineStr">
        <is>
          <t>Elétricas</t>
        </is>
      </c>
      <c r="B6" s="9" t="n"/>
      <c r="C6" s="9" t="n"/>
      <c r="D6" s="9" t="n"/>
      <c r="E6" s="9" t="n"/>
      <c r="F6" s="9" t="n"/>
    </row>
    <row r="7">
      <c r="A7" t="inlineStr">
        <is>
          <t>Preventivas (Incêndio)</t>
        </is>
      </c>
      <c r="B7" s="9" t="n"/>
      <c r="C7" s="9" t="n"/>
      <c r="D7" s="9" t="n"/>
      <c r="E7" s="9" t="n"/>
      <c r="F7" s="9" t="n"/>
    </row>
    <row r="8">
      <c r="A8" t="inlineStr">
        <is>
          <t>Gás</t>
        </is>
      </c>
      <c r="B8" s="9" t="n"/>
      <c r="C8" s="9" t="n"/>
      <c r="D8" s="9" t="n"/>
      <c r="E8" s="9" t="n"/>
      <c r="F8" s="9" t="n"/>
    </row>
    <row r="9">
      <c r="A9" t="inlineStr">
        <is>
          <t>Comunicações / Telecom</t>
        </is>
      </c>
      <c r="B9" s="9" t="n"/>
      <c r="C9" s="9" t="n"/>
      <c r="D9" s="9" t="n"/>
      <c r="E9" s="9" t="n"/>
      <c r="F9" s="9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ACABAMENTOS DETALHADOS</t>
        </is>
      </c>
    </row>
    <row r="2">
      <c r="A2" s="22" t="inlineStr">
        <is>
          <t>Aba para input manual quando houver orçamento executivo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s="25" t="inlineStr">
        <is>
          <t>REVESTIMENTOS DE PAREDE</t>
        </is>
      </c>
    </row>
    <row r="6">
      <c r="A6" t="inlineStr">
        <is>
          <t>Chapisco interno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t="inlineStr">
        <is>
          <t>Reboco interno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t="inlineStr">
        <is>
          <t>Estucamento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t="inlineStr">
        <is>
          <t>Cerâmico parede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t="inlineStr">
        <is>
          <t>Porcelanato parede</t>
        </is>
      </c>
      <c r="B10" s="9" t="n"/>
      <c r="C10" s="9" t="n"/>
      <c r="D10" s="9" t="n"/>
      <c r="E10" s="9" t="n"/>
      <c r="F10" s="9" t="n"/>
      <c r="G10" s="9" t="n"/>
      <c r="H10" s="9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CUSTOS INDIRETOS DETALHADOS</t>
        </is>
      </c>
    </row>
    <row r="2">
      <c r="A2" s="22" t="inlineStr">
        <is>
          <t>Aba para input manual quando houver orçamento executivo</t>
        </is>
      </c>
    </row>
    <row r="4">
      <c r="A4" s="26" t="inlineStr">
        <is>
          <t>PROJETOS E CONSULTORIAS</t>
        </is>
      </c>
    </row>
    <row r="5">
      <c r="A5" s="6" t="inlineStr">
        <is>
          <t>Disciplina</t>
        </is>
      </c>
      <c r="B5" s="6" t="inlineStr">
        <is>
          <t>Valor (R$)</t>
        </is>
      </c>
      <c r="C5" s="6" t="inlineStr">
        <is>
          <t>R$/m²</t>
        </is>
      </c>
      <c r="D5" s="6" t="inlineStr"/>
      <c r="E5" s="6" t="inlineStr"/>
      <c r="F5" s="6" t="inlineStr"/>
    </row>
    <row r="6">
      <c r="A6" t="inlineStr">
        <is>
          <t>Arquitetônico</t>
        </is>
      </c>
      <c r="B6" s="9" t="n"/>
      <c r="C6" s="9" t="n"/>
    </row>
    <row r="7">
      <c r="A7" t="inlineStr">
        <is>
          <t>Estrutural</t>
        </is>
      </c>
      <c r="B7" s="9" t="n"/>
      <c r="C7" s="9" t="n"/>
    </row>
    <row r="8">
      <c r="A8" t="inlineStr">
        <is>
          <t>Elétrico</t>
        </is>
      </c>
      <c r="B8" s="9" t="n"/>
      <c r="C8" s="9" t="n"/>
    </row>
    <row r="9">
      <c r="A9" t="inlineStr">
        <is>
          <t>Hidrossanitário</t>
        </is>
      </c>
      <c r="B9" s="9" t="n"/>
      <c r="C9" s="9" t="n"/>
    </row>
    <row r="10">
      <c r="A10" t="inlineStr">
        <is>
          <t>Preventivo</t>
        </is>
      </c>
      <c r="B10" s="9" t="n"/>
      <c r="C10" s="9" t="n"/>
    </row>
    <row r="11">
      <c r="A11" t="inlineStr">
        <is>
          <t>Outros</t>
        </is>
      </c>
      <c r="B11" s="9" t="n"/>
      <c r="C11" s="9" t="n"/>
    </row>
  </sheetData>
  <mergeCells count="2">
    <mergeCell ref="A1:F1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BENCHMARK — PROJETOS DE REFERÊNCIA</t>
        </is>
      </c>
    </row>
    <row r="2">
      <c r="A2" s="22" t="inlineStr">
        <is>
          <t>Aba para input manual com dados de projetos similares</t>
        </is>
      </c>
    </row>
    <row r="4">
      <c r="A4" s="6" t="inlineStr">
        <is>
          <t>Projeto</t>
        </is>
      </c>
      <c r="B4" s="6" t="inlineStr">
        <is>
          <t>Cidade</t>
        </is>
      </c>
      <c r="C4" s="6" t="inlineStr">
        <is>
          <t>AC (m²)</t>
        </is>
      </c>
      <c r="D4" s="6" t="inlineStr">
        <is>
          <t>NP</t>
        </is>
      </c>
      <c r="E4" s="6" t="inlineStr">
        <is>
          <t>Prazo (meses)</t>
        </is>
      </c>
      <c r="F4" s="6" t="inlineStr">
        <is>
          <t>CUB (R$/m²)</t>
        </is>
      </c>
      <c r="G4" s="6" t="inlineStr">
        <is>
          <t>R$/m²</t>
        </is>
      </c>
      <c r="H4" s="6" t="inlineStr">
        <is>
          <t>CUB Ratio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4" customWidth="1" min="4" max="4"/>
    <col width="10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ANÁLISE DE PRODUTO</t>
        </is>
      </c>
    </row>
    <row r="2">
      <c r="A2" s="22" t="inlineStr">
        <is>
          <t>Benchmark do produto com comparativo de projetos similares</t>
        </is>
      </c>
    </row>
    <row r="4">
      <c r="A4" s="6" t="inlineStr">
        <is>
          <t>Projeto</t>
        </is>
      </c>
      <c r="B4" s="6" t="inlineStr">
        <is>
          <t>Tipo</t>
        </is>
      </c>
      <c r="C4" s="6" t="inlineStr">
        <is>
          <t>Padrão</t>
        </is>
      </c>
      <c r="D4" s="6" t="inlineStr">
        <is>
          <t>AC (m²)</t>
        </is>
      </c>
      <c r="E4" s="6" t="inlineStr">
        <is>
          <t>UR</t>
        </is>
      </c>
      <c r="F4" s="6" t="inlineStr">
        <is>
          <t>R$/m²</t>
        </is>
      </c>
      <c r="G4" s="6" t="inlineStr">
        <is>
          <t>CUB Ratio</t>
        </is>
      </c>
      <c r="H4" s="6" t="inlineStr">
        <is>
          <t>Observações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27">
        <f>CUSTOS_MACROGRUPO!F2</f>
        <v/>
      </c>
      <c r="C3">
        <f>CUSTOS_MACROGRUPO!I2&amp;" - "&amp;CUSTOS_MACROGRUPO!J2</f>
        <v/>
      </c>
      <c r="D3" s="28">
        <f>CUSTOS_MACROGRUPO!K2</f>
        <v/>
      </c>
    </row>
    <row r="4">
      <c r="A4">
        <f>CUSTOS_MACROGRUPO!B3</f>
        <v/>
      </c>
      <c r="B4" s="27">
        <f>CUSTOS_MACROGRUPO!F3</f>
        <v/>
      </c>
      <c r="C4">
        <f>CUSTOS_MACROGRUPO!I3&amp;" - "&amp;CUSTOS_MACROGRUPO!J3</f>
        <v/>
      </c>
      <c r="D4" s="28">
        <f>CUSTOS_MACROGRUPO!K3</f>
        <v/>
      </c>
    </row>
    <row r="5">
      <c r="A5">
        <f>CUSTOS_MACROGRUPO!B4</f>
        <v/>
      </c>
      <c r="B5" s="27">
        <f>CUSTOS_MACROGRUPO!F4</f>
        <v/>
      </c>
      <c r="C5">
        <f>CUSTOS_MACROGRUPO!I4&amp;" - "&amp;CUSTOS_MACROGRUPO!J4</f>
        <v/>
      </c>
      <c r="D5" s="28">
        <f>CUSTOS_MACROGRUPO!K4</f>
        <v/>
      </c>
    </row>
    <row r="6">
      <c r="A6">
        <f>CUSTOS_MACROGRUPO!B5</f>
        <v/>
      </c>
      <c r="B6" s="27">
        <f>CUSTOS_MACROGRUPO!F5</f>
        <v/>
      </c>
      <c r="C6">
        <f>CUSTOS_MACROGRUPO!I5&amp;" - "&amp;CUSTOS_MACROGRUPO!J5</f>
        <v/>
      </c>
      <c r="D6" s="28">
        <f>CUSTOS_MACROGRUPO!K5</f>
        <v/>
      </c>
    </row>
    <row r="7">
      <c r="A7">
        <f>CUSTOS_MACROGRUPO!B6</f>
        <v/>
      </c>
      <c r="B7" s="27">
        <f>CUSTOS_MACROGRUPO!F6</f>
        <v/>
      </c>
      <c r="C7">
        <f>CUSTOS_MACROGRUPO!I6&amp;" - "&amp;CUSTOS_MACROGRUPO!J6</f>
        <v/>
      </c>
      <c r="D7" s="28">
        <f>CUSTOS_MACROGRUPO!K6</f>
        <v/>
      </c>
    </row>
    <row r="8">
      <c r="A8">
        <f>CUSTOS_MACROGRUPO!B7</f>
        <v/>
      </c>
      <c r="B8" s="27">
        <f>CUSTOS_MACROGRUPO!F7</f>
        <v/>
      </c>
      <c r="C8">
        <f>CUSTOS_MACROGRUPO!I7&amp;" - "&amp;CUSTOS_MACROGRUPO!J7</f>
        <v/>
      </c>
      <c r="D8" s="28">
        <f>CUSTOS_MACROGRUPO!K7</f>
        <v/>
      </c>
    </row>
    <row r="9">
      <c r="A9">
        <f>CUSTOS_MACROGRUPO!B8</f>
        <v/>
      </c>
      <c r="B9" s="27">
        <f>CUSTOS_MACROGRUPO!F8</f>
        <v/>
      </c>
      <c r="C9">
        <f>CUSTOS_MACROGRUPO!I8&amp;" - "&amp;CUSTOS_MACROGRUPO!J8</f>
        <v/>
      </c>
      <c r="D9" s="28">
        <f>CUSTOS_MACROGRUPO!K8</f>
        <v/>
      </c>
    </row>
    <row r="10">
      <c r="A10">
        <f>CUSTOS_MACROGRUPO!B9</f>
        <v/>
      </c>
      <c r="B10" s="27">
        <f>CUSTOS_MACROGRUPO!F9</f>
        <v/>
      </c>
      <c r="C10">
        <f>CUSTOS_MACROGRUPO!I9&amp;" - "&amp;CUSTOS_MACROGRUPO!J9</f>
        <v/>
      </c>
      <c r="D10" s="28">
        <f>CUSTOS_MACROGRUPO!K9</f>
        <v/>
      </c>
    </row>
    <row r="11">
      <c r="A11">
        <f>CUSTOS_MACROGRUPO!B10</f>
        <v/>
      </c>
      <c r="B11" s="27">
        <f>CUSTOS_MACROGRUPO!F10</f>
        <v/>
      </c>
      <c r="C11">
        <f>CUSTOS_MACROGRUPO!I10&amp;" - "&amp;CUSTOS_MACROGRUPO!J10</f>
        <v/>
      </c>
      <c r="D11" s="28">
        <f>CUSTOS_MACROGRUPO!K10</f>
        <v/>
      </c>
    </row>
    <row r="12">
      <c r="A12">
        <f>CUSTOS_MACROGRUPO!B11</f>
        <v/>
      </c>
      <c r="B12" s="27">
        <f>CUSTOS_MACROGRUPO!F11</f>
        <v/>
      </c>
      <c r="C12">
        <f>CUSTOS_MACROGRUPO!I11&amp;" - "&amp;CUSTOS_MACROGRUPO!J11</f>
        <v/>
      </c>
      <c r="D12" s="28">
        <f>CUSTOS_MACROGRUPO!K11</f>
        <v/>
      </c>
    </row>
    <row r="13">
      <c r="A13">
        <f>CUSTOS_MACROGRUPO!B12</f>
        <v/>
      </c>
      <c r="B13" s="27">
        <f>CUSTOS_MACROGRUPO!F12</f>
        <v/>
      </c>
      <c r="C13">
        <f>CUSTOS_MACROGRUPO!I12&amp;" - "&amp;CUSTOS_MACROGRUPO!J12</f>
        <v/>
      </c>
      <c r="D13" s="28">
        <f>CUSTOS_MACROGRUPO!K12</f>
        <v/>
      </c>
    </row>
    <row r="14">
      <c r="A14">
        <f>CUSTOS_MACROGRUPO!B13</f>
        <v/>
      </c>
      <c r="B14" s="27">
        <f>CUSTOS_MACROGRUPO!F13</f>
        <v/>
      </c>
      <c r="C14">
        <f>CUSTOS_MACROGRUPO!I13&amp;" - "&amp;CUSTOS_MACROGRUPO!J13</f>
        <v/>
      </c>
      <c r="D14" s="28">
        <f>CUSTOS_MACROGRUPO!K13</f>
        <v/>
      </c>
    </row>
    <row r="15">
      <c r="A15">
        <f>CUSTOS_MACROGRUPO!B14</f>
        <v/>
      </c>
      <c r="B15" s="27">
        <f>CUSTOS_MACROGRUPO!F14</f>
        <v/>
      </c>
      <c r="C15">
        <f>CUSTOS_MACROGRUPO!I14&amp;" - "&amp;CUSTOS_MACROGRUPO!J14</f>
        <v/>
      </c>
      <c r="D15" s="28">
        <f>CUSTOS_MACROGRUPO!K14</f>
        <v/>
      </c>
    </row>
    <row r="16">
      <c r="A16">
        <f>CUSTOS_MACROGRUPO!B15</f>
        <v/>
      </c>
      <c r="B16" s="27">
        <f>CUSTOS_MACROGRUPO!F15</f>
        <v/>
      </c>
      <c r="C16">
        <f>CUSTOS_MACROGRUPO!I15&amp;" - "&amp;CUSTOS_MACROGRUPO!J15</f>
        <v/>
      </c>
      <c r="D16" s="28">
        <f>CUSTOS_MACROGRUPO!K15</f>
        <v/>
      </c>
    </row>
    <row r="17">
      <c r="A17">
        <f>CUSTOS_MACROGRUPO!B16</f>
        <v/>
      </c>
      <c r="B17" s="27">
        <f>CUSTOS_MACROGRUPO!F16</f>
        <v/>
      </c>
      <c r="C17">
        <f>CUSTOS_MACROGRUPO!I16&amp;" - "&amp;CUSTOS_MACROGRUPO!J16</f>
        <v/>
      </c>
      <c r="D17" s="28">
        <f>CUSTOS_MACROGRUPO!K16</f>
        <v/>
      </c>
    </row>
    <row r="18">
      <c r="A18">
        <f>CUSTOS_MACROGRUPO!B17</f>
        <v/>
      </c>
      <c r="B18" s="27">
        <f>CUSTOS_MACROGRUPO!F17</f>
        <v/>
      </c>
      <c r="C18">
        <f>CUSTOS_MACROGRUPO!I17&amp;" - "&amp;CUSTOS_MACROGRUPO!J17</f>
        <v/>
      </c>
      <c r="D18" s="28">
        <f>CUSTOS_MACROGRUPO!K17</f>
        <v/>
      </c>
    </row>
    <row r="19">
      <c r="A19">
        <f>CUSTOS_MACROGRUPO!B18</f>
        <v/>
      </c>
      <c r="B19" s="27">
        <f>CUSTOS_MACROGRUPO!F18</f>
        <v/>
      </c>
      <c r="C19">
        <f>CUSTOS_MACROGRUPO!I18&amp;" - "&amp;CUSTOS_MACROGRUPO!J18</f>
        <v/>
      </c>
      <c r="D19" s="28">
        <f>CUSTOS_MACROGRUPO!K18</f>
        <v/>
      </c>
    </row>
    <row r="20">
      <c r="A20">
        <f>CUSTOS_MACROGRUPO!B19</f>
        <v/>
      </c>
      <c r="B20" s="27">
        <f>CUSTOS_MACROGRUPO!F19</f>
        <v/>
      </c>
      <c r="C20">
        <f>CUSTOS_MACROGRUPO!I19&amp;" - "&amp;CUSTOS_MACROGRUPO!J19</f>
        <v/>
      </c>
      <c r="D20" s="28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29" t="inlineStr"/>
    </row>
    <row r="3">
      <c r="A3" s="30" t="inlineStr">
        <is>
          <t>SOBRE ESTE TEMPLATE:</t>
        </is>
      </c>
    </row>
    <row r="4">
      <c r="A4" s="29" t="inlineStr">
        <is>
          <t>Este orçamento paramétrico foi desenvolvido pela Cartesian Engenharia para estimativas rápidas de custos de obras residenciais/comerciais.</t>
        </is>
      </c>
    </row>
    <row r="5">
      <c r="A5" s="29" t="inlineStr"/>
    </row>
    <row r="6">
      <c r="A6" s="30" t="inlineStr">
        <is>
          <t>BASE DE CALIBRAÇÃO:</t>
        </is>
      </c>
    </row>
    <row r="7">
      <c r="A7" s="29" t="inlineStr">
        <is>
          <t>- Mediana calibrada com 18 projetos reais executados entre 2022-2024</t>
        </is>
      </c>
    </row>
    <row r="8">
      <c r="A8" s="29" t="inlineStr">
        <is>
          <t>- CUB base: R$ 2.752,67 (dez/2023)</t>
        </is>
      </c>
    </row>
    <row r="9">
      <c r="A9" s="29" t="inlineStr">
        <is>
          <t>- Faixas P10-P90 representam variação observada nos projetos da base</t>
        </is>
      </c>
    </row>
    <row r="10">
      <c r="A10" s="29" t="inlineStr"/>
    </row>
    <row r="11">
      <c r="A11" s="30" t="inlineStr">
        <is>
          <t>COMO USAR:</t>
        </is>
      </c>
    </row>
    <row r="12">
      <c r="A12" s="29" t="inlineStr">
        <is>
          <t>1. Preencha DADOS_PROJETO com informações do empreendimento</t>
        </is>
      </c>
    </row>
    <row r="13">
      <c r="A13" s="29" t="inlineStr">
        <is>
          <t>2. Responda as 25 perguntas do BRIEFING (use os dropdowns)</t>
        </is>
      </c>
    </row>
    <row r="14">
      <c r="A14" s="29" t="inlineStr">
        <is>
          <t>3. Os custos em CUSTOS_MACROGRUPO são calculados automaticamente</t>
        </is>
      </c>
    </row>
    <row r="15">
      <c r="A15" s="29" t="inlineStr">
        <is>
          <t>4. Verifique ALERTAS para validar se os valores estão dentro das faixas esperadas</t>
        </is>
      </c>
    </row>
    <row r="16">
      <c r="A16" s="29" t="inlineStr">
        <is>
          <t>5. Use PAINEL para visualização rápida dos principais indicadores</t>
        </is>
      </c>
    </row>
    <row r="17">
      <c r="A17" s="29" t="inlineStr"/>
    </row>
    <row r="18">
      <c r="A18" s="30" t="inlineStr">
        <is>
          <t>MODELO DE CÁLCULO:</t>
        </is>
      </c>
    </row>
    <row r="19">
      <c r="A19" s="29" t="inlineStr">
        <is>
          <t>Valor Final (R$/m²) = Base × Fator CUB × Fator Briefing Composto</t>
        </is>
      </c>
    </row>
    <row r="20">
      <c r="A20" s="29" t="inlineStr"/>
    </row>
    <row r="21">
      <c r="A21" s="29" t="inlineStr">
        <is>
          <t>Onde:</t>
        </is>
      </c>
    </row>
    <row r="22">
      <c r="A22" s="29" t="inlineStr">
        <is>
          <t>- Base = Mediana calibrada do macrogrupo (dez/2023)</t>
        </is>
      </c>
    </row>
    <row r="23">
      <c r="A23" s="29" t="inlineStr">
        <is>
          <t>- Fator CUB = CUB Atual / CUB Base (ajuste inflação)</t>
        </is>
      </c>
    </row>
    <row r="24">
      <c r="A24" s="29" t="inlineStr">
        <is>
          <t>- Fator Briefing Composto = Produto de todos os fatores das 25 perguntas</t>
        </is>
      </c>
    </row>
    <row r="25">
      <c r="A25" s="29" t="inlineStr"/>
    </row>
    <row r="26">
      <c r="A26" s="30" t="inlineStr">
        <is>
          <t>LIMITAÇÕES:</t>
        </is>
      </c>
    </row>
    <row r="27">
      <c r="A27" s="29" t="inlineStr">
        <is>
          <t>- Estimativa preliminar, não substitui orçamento executivo</t>
        </is>
      </c>
    </row>
    <row r="28">
      <c r="A28" s="29" t="inlineStr">
        <is>
          <t>- Não inclui: terreno, projetos, aprovações, marketing, impostos</t>
        </is>
      </c>
    </row>
    <row r="29">
      <c r="A29" s="29" t="inlineStr">
        <is>
          <t>- Climatização e Louças/Metais são placeholders (valor 0)</t>
        </is>
      </c>
    </row>
    <row r="30">
      <c r="A30" s="29" t="inlineStr">
        <is>
          <t>- Faixas podem variar conforme região e características específicas</t>
        </is>
      </c>
    </row>
    <row r="31">
      <c r="A31" s="29" t="inlineStr"/>
    </row>
    <row r="32">
      <c r="A32" s="30" t="inlineStr">
        <is>
          <t>ATENÇÃO:</t>
        </is>
      </c>
    </row>
    <row r="33">
      <c r="A33" s="29" t="inlineStr">
        <is>
          <t>- Semáforo verde: dentro da faixa P10-P90</t>
        </is>
      </c>
    </row>
    <row r="34">
      <c r="A34" s="29" t="inlineStr">
        <is>
          <t>- Semáforo amarelo: fora da faixa, mas dentro de ±20%</t>
        </is>
      </c>
    </row>
    <row r="35">
      <c r="A35" s="29" t="inlineStr">
        <is>
          <t>- Semáforo vermelho: &gt;20% fora da faixa (revisar premissas)</t>
        </is>
      </c>
    </row>
    <row r="36">
      <c r="A36" s="29" t="inlineStr"/>
    </row>
    <row r="37">
      <c r="A37" s="30" t="inlineStr">
        <is>
          <t>CONTATO:</t>
        </is>
      </c>
    </row>
    <row r="38">
      <c r="A38" s="29" t="inlineStr">
        <is>
          <t>Cartesian Engenharia</t>
        </is>
      </c>
    </row>
    <row r="39">
      <c r="A39" s="29" t="inlineStr">
        <is>
          <t>leonardo@cartesianengenharia.com</t>
        </is>
      </c>
    </row>
    <row r="40">
      <c r="A40" s="29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2026-03-05T20:50:59Z</dcterms:created>
  <dcterms:modified xmlns:dcterms="http://purl.org/dc/terms/" xmlns:xsi="http://www.w3.org/2001/XMLSchema-instance" xsi:type="dcterms:W3CDTF">2026-03-05T20:50:59Z</dcterms:modified>
</cp:coreProperties>
</file>