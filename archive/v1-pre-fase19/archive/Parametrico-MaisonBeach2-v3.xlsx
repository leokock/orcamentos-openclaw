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eokock/clawd/orcamento-parametrico/"/>
    </mc:Choice>
  </mc:AlternateContent>
  <xr:revisionPtr revIDLastSave="0" documentId="13_ncr:1_{88BFD214-7DD8-3747-97A5-322A0715E634}" xr6:coauthVersionLast="47" xr6:coauthVersionMax="47" xr10:uidLastSave="{00000000-0000-0000-0000-000000000000}"/>
  <bookViews>
    <workbookView xWindow="32600" yWindow="1860" windowWidth="34600" windowHeight="21000" tabRatio="500" activeTab="2" xr2:uid="{00000000-000D-0000-FFFF-FFFF00000000}"/>
  </bookViews>
  <sheets>
    <sheet name="DADOS" sheetId="1" r:id="rId1"/>
    <sheet name="ÍNDICES" sheetId="2" r:id="rId2"/>
    <sheet name="PARAMÉTRICO" sheetId="3" r:id="rId3"/>
    <sheet name="BENCHMARK" sheetId="4" r:id="rId4"/>
    <sheet name="RESUM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5" l="1"/>
  <c r="B19" i="5"/>
  <c r="B6" i="5"/>
  <c r="B5" i="5"/>
  <c r="B4" i="5"/>
  <c r="B3" i="5"/>
  <c r="E23" i="4"/>
  <c r="D23" i="4"/>
  <c r="C23" i="4"/>
  <c r="G22" i="4"/>
  <c r="F22" i="4"/>
  <c r="F13" i="4"/>
  <c r="G13" i="4" s="1"/>
  <c r="G12" i="4"/>
  <c r="F12" i="4"/>
  <c r="F11" i="4"/>
  <c r="G11" i="4" s="1"/>
  <c r="G10" i="4"/>
  <c r="F10" i="4"/>
  <c r="F9" i="4"/>
  <c r="G9" i="4" s="1"/>
  <c r="G6" i="4"/>
  <c r="F6" i="4"/>
  <c r="F5" i="4"/>
  <c r="C30" i="3"/>
  <c r="B13" i="5" s="1"/>
  <c r="C28" i="3"/>
  <c r="F23" i="3"/>
  <c r="G22" i="3"/>
  <c r="C21" i="3"/>
  <c r="G21" i="3" s="1"/>
  <c r="C20" i="3"/>
  <c r="F20" i="4" s="1"/>
  <c r="G20" i="4" s="1"/>
  <c r="C19" i="3"/>
  <c r="F19" i="4" s="1"/>
  <c r="G19" i="4" s="1"/>
  <c r="C18" i="3"/>
  <c r="B21" i="5" s="1"/>
  <c r="C17" i="3"/>
  <c r="F17" i="4" s="1"/>
  <c r="G17" i="4" s="1"/>
  <c r="G16" i="3"/>
  <c r="C16" i="3"/>
  <c r="F16" i="4" s="1"/>
  <c r="G16" i="4" s="1"/>
  <c r="C15" i="3"/>
  <c r="F15" i="4" s="1"/>
  <c r="G15" i="4" s="1"/>
  <c r="G14" i="3"/>
  <c r="C14" i="3"/>
  <c r="F14" i="4" s="1"/>
  <c r="G14" i="4" s="1"/>
  <c r="G13" i="3"/>
  <c r="G12" i="3"/>
  <c r="G11" i="3"/>
  <c r="G10" i="3"/>
  <c r="G9" i="3"/>
  <c r="C9" i="3"/>
  <c r="B18" i="5" s="1"/>
  <c r="C8" i="3"/>
  <c r="F8" i="4" s="1"/>
  <c r="G8" i="4" s="1"/>
  <c r="G7" i="3"/>
  <c r="C7" i="3"/>
  <c r="F7" i="4" s="1"/>
  <c r="G7" i="4" s="1"/>
  <c r="G6" i="3"/>
  <c r="G5" i="3"/>
  <c r="B2" i="3"/>
  <c r="D12" i="3" s="1"/>
  <c r="G20" i="3" l="1"/>
  <c r="G18" i="3"/>
  <c r="D6" i="3"/>
  <c r="D15" i="3"/>
  <c r="D19" i="3"/>
  <c r="G5" i="4"/>
  <c r="F18" i="4"/>
  <c r="G18" i="4" s="1"/>
  <c r="F21" i="4"/>
  <c r="G21" i="4" s="1"/>
  <c r="D8" i="3"/>
  <c r="D13" i="3"/>
  <c r="D17" i="3"/>
  <c r="D21" i="3"/>
  <c r="G15" i="3"/>
  <c r="G17" i="3"/>
  <c r="G19" i="3"/>
  <c r="C23" i="3"/>
  <c r="D10" i="3"/>
  <c r="G8" i="3"/>
  <c r="D11" i="3"/>
  <c r="D20" i="5" s="1"/>
  <c r="D22" i="3"/>
  <c r="B22" i="5"/>
  <c r="D7" i="3"/>
  <c r="D9" i="3"/>
  <c r="D18" i="5" s="1"/>
  <c r="D14" i="3"/>
  <c r="D16" i="3"/>
  <c r="D22" i="5" s="1"/>
  <c r="D18" i="3"/>
  <c r="D21" i="5" s="1"/>
  <c r="D20" i="3"/>
  <c r="D5" i="3"/>
  <c r="B9" i="5" l="1"/>
  <c r="C26" i="3"/>
  <c r="B11" i="5" s="1"/>
  <c r="D19" i="5"/>
  <c r="D23" i="3"/>
  <c r="F23" i="4"/>
  <c r="C29" i="3" l="1"/>
  <c r="B12" i="5" s="1"/>
  <c r="E20" i="3"/>
  <c r="E18" i="3"/>
  <c r="C21" i="5" s="1"/>
  <c r="E16" i="3"/>
  <c r="C22" i="5" s="1"/>
  <c r="E14" i="3"/>
  <c r="E9" i="3"/>
  <c r="C18" i="5" s="1"/>
  <c r="E7" i="3"/>
  <c r="E22" i="3"/>
  <c r="E12" i="3"/>
  <c r="E5" i="3"/>
  <c r="B10" i="5"/>
  <c r="C27" i="3"/>
  <c r="E11" i="3"/>
  <c r="C20" i="5" s="1"/>
  <c r="E8" i="3"/>
  <c r="E6" i="3"/>
  <c r="E21" i="3"/>
  <c r="E19" i="3"/>
  <c r="E17" i="3"/>
  <c r="E15" i="3"/>
  <c r="E13" i="3"/>
  <c r="E10" i="3"/>
  <c r="C19" i="5" l="1"/>
  <c r="E23" i="3"/>
</calcChain>
</file>

<file path=xl/sharedStrings.xml><?xml version="1.0" encoding="utf-8"?>
<sst xmlns="http://schemas.openxmlformats.org/spreadsheetml/2006/main" count="426" uniqueCount="298">
  <si>
    <t>ORÇAMENTO PARAMÉTRICO — DADOS DE ENTRADA</t>
  </si>
  <si>
    <t>1. IDENTIFICAÇÃO DO PROJETO</t>
  </si>
  <si>
    <t>Nome do Projeto</t>
  </si>
  <si>
    <t>Maison Beach 2 Residence</t>
  </si>
  <si>
    <t>Construtora/Cliente</t>
  </si>
  <si>
    <t>Nobria Construtora LTDA</t>
  </si>
  <si>
    <t>Cidade</t>
  </si>
  <si>
    <t>Bombinhas</t>
  </si>
  <si>
    <t>Estado</t>
  </si>
  <si>
    <t>SC</t>
  </si>
  <si>
    <t>Data-base dos preços</t>
  </si>
  <si>
    <t>mês/ano</t>
  </si>
  <si>
    <t>Ex: mar/2026</t>
  </si>
  <si>
    <t>CUB Referência (R$/m²)</t>
  </si>
  <si>
    <t>R$/m²</t>
  </si>
  <si>
    <t>CUB-SC R8N do mês</t>
  </si>
  <si>
    <t>2. DADOS DO PROGRAMA (ÁREAS E QUANTIDADES)</t>
  </si>
  <si>
    <t>Variável</t>
  </si>
  <si>
    <t>Valor</t>
  </si>
  <si>
    <t>Unidade</t>
  </si>
  <si>
    <t>Observação</t>
  </si>
  <si>
    <t>Área do Terreno (AT)</t>
  </si>
  <si>
    <t>m²</t>
  </si>
  <si>
    <t>Extraído do PDF</t>
  </si>
  <si>
    <t>Área Construída Total (AC)</t>
  </si>
  <si>
    <t>Extraído do PDF — DRIVER PRINCIPAL</t>
  </si>
  <si>
    <t>Nº Total Pavimentos (NP)</t>
  </si>
  <si>
    <t>un</t>
  </si>
  <si>
    <t>Subsolo + Térreo + Mezanino + Lazer + 4 tipos + Cobertura + Barrilete</t>
  </si>
  <si>
    <t>Nº Pavimentos Tipo (NPT)</t>
  </si>
  <si>
    <t>4°, 5°, 6° (iguais) + 7° (diferenciado)</t>
  </si>
  <si>
    <t>Nº Pav. Tipo Diferenciados (NPD)</t>
  </si>
  <si>
    <t>7° pavimento com 8 apts</t>
  </si>
  <si>
    <t>Nº Pavimentos Duplex (ND)</t>
  </si>
  <si>
    <t>Unidades Residenciais (UR)</t>
  </si>
  <si>
    <t>16+16+16+8 = 56 apts</t>
  </si>
  <si>
    <t>Unidades Comerciais</t>
  </si>
  <si>
    <t>Térreo</t>
  </si>
  <si>
    <t>Churrasqueiras (CHU)</t>
  </si>
  <si>
    <t>Preencher se houver nas unidades</t>
  </si>
  <si>
    <t>Área de Lazer (AL)</t>
  </si>
  <si>
    <t>Preencher — 3° pav inteiro é lazer</t>
  </si>
  <si>
    <t>Área Projeção Torre (APT)</t>
  </si>
  <si>
    <t>Estimado: ~70.1m × 25.6m</t>
  </si>
  <si>
    <t>Perímetro Projeção Torre (PPT)</t>
  </si>
  <si>
    <t>m</t>
  </si>
  <si>
    <t>Estimado: 2×(70.1+25.6)</t>
  </si>
  <si>
    <t>Área Projeção Embasamento (APE)</t>
  </si>
  <si>
    <t>Estimado: ~69m × ~35m (ajustar)</t>
  </si>
  <si>
    <t>Perímetro Projeção Embasamento (PPE)</t>
  </si>
  <si>
    <t>Estimado (ajustar)</t>
  </si>
  <si>
    <t>Nº de Subsolos (NS)</t>
  </si>
  <si>
    <t>Subsolo garagem</t>
  </si>
  <si>
    <t>Área Subsolos (AS)</t>
  </si>
  <si>
    <t>Preencher</t>
  </si>
  <si>
    <t>Nº Pav. Embasamento (NPE)</t>
  </si>
  <si>
    <t>Subsolo + Térreo + Mezanino</t>
  </si>
  <si>
    <t>Área Embasamento (AE)</t>
  </si>
  <si>
    <t>Nº Elevadores</t>
  </si>
  <si>
    <t>Nº Vagas</t>
  </si>
  <si>
    <t>Locação da Obra (LC)</t>
  </si>
  <si>
    <t>Perímetro da escavação</t>
  </si>
  <si>
    <t>3. BRIEFING — PERGUNTAS DECISIVAS (❓ Maior impacto no resultado)</t>
  </si>
  <si>
    <t>Pergunta</t>
  </si>
  <si>
    <t>Resposta</t>
  </si>
  <si>
    <t>Impacto</t>
  </si>
  <si>
    <t>Afeta qual Macrogrupo</t>
  </si>
  <si>
    <t>Tipo de Laje</t>
  </si>
  <si>
    <t>Cubetas</t>
  </si>
  <si>
    <t>~15% supraestrutura</t>
  </si>
  <si>
    <t>Cubetas | Protendida | Maciça | Cub.Protendida | Treliçada</t>
  </si>
  <si>
    <t>→ Supraestrutura (R$/m²)</t>
  </si>
  <si>
    <t>Padrão de Acabamento</t>
  </si>
  <si>
    <t>Standard</t>
  </si>
  <si>
    <t>30-40% esquadrias</t>
  </si>
  <si>
    <t>Standard | Alto Padrão | Super Alto Padrão</t>
  </si>
  <si>
    <t>→ Esquadrias, Rev.Int, Pisos, Teto, Pintura, Louças</t>
  </si>
  <si>
    <t>Tem Contenção?</t>
  </si>
  <si>
    <t>Não</t>
  </si>
  <si>
    <t>5-8% do total</t>
  </si>
  <si>
    <t>Sim | Não</t>
  </si>
  <si>
    <t>→ Infraestrutura (+/-40 R$/m²)</t>
  </si>
  <si>
    <t>Tipo Contenção (se sim)</t>
  </si>
  <si>
    <t>Cortina estacas, muro arrimo, etc.</t>
  </si>
  <si>
    <t>Extensão Contenção (m)</t>
  </si>
  <si>
    <t>Metros lineares</t>
  </si>
  <si>
    <t>Vedação Interna</t>
  </si>
  <si>
    <t>Alvenaria</t>
  </si>
  <si>
    <t>Drywall = 3x custo</t>
  </si>
  <si>
    <t>Alvenaria | Drywall | Misto</t>
  </si>
  <si>
    <t>→ Alvenaria (Drywall=3x)</t>
  </si>
  <si>
    <t>MO Fachada</t>
  </si>
  <si>
    <t>Empreitada</t>
  </si>
  <si>
    <t>+50-60 R$/m²</t>
  </si>
  <si>
    <t>Empreitada | Equipe Própria</t>
  </si>
  <si>
    <t>→ Fachada (-30% equipe própria)</t>
  </si>
  <si>
    <t>Cobertura Habitável?</t>
  </si>
  <si>
    <t>5-10x cobertura simples</t>
  </si>
  <si>
    <t>→ Complementares (+50 R$/m²)</t>
  </si>
  <si>
    <t>Descrição Cobertura (se sim)</t>
  </si>
  <si>
    <t>Pergolados, deck, piscina, etc.</t>
  </si>
  <si>
    <t>Nível de Lazer</t>
  </si>
  <si>
    <t>Completo</t>
  </si>
  <si>
    <t>800-2500 R$/m² AL</t>
  </si>
  <si>
    <t>Básico | Completo | Premium</t>
  </si>
  <si>
    <t>→ Complementares (Lazer)</t>
  </si>
  <si>
    <t>Prazo de Obra (meses)</t>
  </si>
  <si>
    <t>~50-80k/mês CI</t>
  </si>
  <si>
    <t>Meses totais previstos</t>
  </si>
  <si>
    <t>Pele de Vidro na Fachada?</t>
  </si>
  <si>
    <t>Alto impacto esquadrias</t>
  </si>
  <si>
    <t>→ Esquadrias (+120 R$/m²)</t>
  </si>
  <si>
    <t>Brises/Elementos Especiais?</t>
  </si>
  <si>
    <t>Sim</t>
  </si>
  <si>
    <t>→ Fachada (+25 R$/m²)</t>
  </si>
  <si>
    <t>Tipo Esquadria</t>
  </si>
  <si>
    <t>Alumínio anodizado | Pintura eletrostática | PVC</t>
  </si>
  <si>
    <t>Fachada Especial?</t>
  </si>
  <si>
    <t>Tipo: ACM, cerâmica, pedra, neoclássica</t>
  </si>
  <si>
    <t>Gerador?</t>
  </si>
  <si>
    <t>Subestação?</t>
  </si>
  <si>
    <t>Placas Fotovoltaicas?</t>
  </si>
  <si>
    <t>Sim | Não — Área m²</t>
  </si>
  <si>
    <t>Infra Carro Elétrico?</t>
  </si>
  <si>
    <t>Sim | Não — Nº pontos</t>
  </si>
  <si>
    <t>Pressurização Escada?</t>
  </si>
  <si>
    <t>ÍNDICES PARAMÉTRICOS POR TIPO DE LAJE</t>
  </si>
  <si>
    <t>Parâmetro</t>
  </si>
  <si>
    <t>Maciça</t>
  </si>
  <si>
    <t>Cub.Protend.</t>
  </si>
  <si>
    <t>Treliçada</t>
  </si>
  <si>
    <t>Protendida</t>
  </si>
  <si>
    <t>Jogos de Fôrma</t>
  </si>
  <si>
    <t>jogos</t>
  </si>
  <si>
    <t>Montagem Fôrma (m²/AC)</t>
  </si>
  <si>
    <t>m²/m²AC</t>
  </si>
  <si>
    <t>Concreto (m³/AC)</t>
  </si>
  <si>
    <t>m³/m²AC</t>
  </si>
  <si>
    <t>Armadura (kg/m³)</t>
  </si>
  <si>
    <t>kg/m³</t>
  </si>
  <si>
    <t>MO Estrutura (R$/AC)</t>
  </si>
  <si>
    <t>R$/m²AC</t>
  </si>
  <si>
    <t>Supraestrutura R$/m² AC</t>
  </si>
  <si>
    <t>ÍNDICES GERAIS (independentes do tipo de laje)</t>
  </si>
  <si>
    <t>Serviço</t>
  </si>
  <si>
    <t>Índice</t>
  </si>
  <si>
    <t>Base</t>
  </si>
  <si>
    <t>Obs</t>
  </si>
  <si>
    <t>Nº Estacas (fundação)</t>
  </si>
  <si>
    <t>un/m²</t>
  </si>
  <si>
    <t>APE</t>
  </si>
  <si>
    <t>Nº Estacas (cortina)</t>
  </si>
  <si>
    <t>Forma Blocos/Baldrames</t>
  </si>
  <si>
    <t>m²/m²</t>
  </si>
  <si>
    <t>Concreto Blocos/Baldrames</t>
  </si>
  <si>
    <t>m³/m²</t>
  </si>
  <si>
    <t>Armação Blocos/Baldrames</t>
  </si>
  <si>
    <t>Vol.concreto</t>
  </si>
  <si>
    <t>Forma Parede Contenção</t>
  </si>
  <si>
    <t>Concreto Parede Contenção</t>
  </si>
  <si>
    <t>Lastro Concreto Magro</t>
  </si>
  <si>
    <t>Escavação Valas</t>
  </si>
  <si>
    <t>m³/m³</t>
  </si>
  <si>
    <t>Vol.infra</t>
  </si>
  <si>
    <t>Alvenaria Externa</t>
  </si>
  <si>
    <t>AC</t>
  </si>
  <si>
    <t>Alvenaria Interna</t>
  </si>
  <si>
    <t>Contrapiso</t>
  </si>
  <si>
    <t>Manta Acústica</t>
  </si>
  <si>
    <t>× contrapiso</t>
  </si>
  <si>
    <t>Forro Total</t>
  </si>
  <si>
    <t>Estucamento</t>
  </si>
  <si>
    <t>Esquadrias Alumínio</t>
  </si>
  <si>
    <t>PCF</t>
  </si>
  <si>
    <t>un/NP</t>
  </si>
  <si>
    <t>NP</t>
  </si>
  <si>
    <t>Corrimão</t>
  </si>
  <si>
    <t>m/NP</t>
  </si>
  <si>
    <t>Elétrica</t>
  </si>
  <si>
    <t>Hidrossanitária</t>
  </si>
  <si>
    <t>Preventivas + GLP</t>
  </si>
  <si>
    <t>VERBAS PARAMÉTRICAS (R$/m² AC)</t>
  </si>
  <si>
    <t>Pintura Interna Geral</t>
  </si>
  <si>
    <t>Rev. Parede (acabamento)</t>
  </si>
  <si>
    <t>Rodapés</t>
  </si>
  <si>
    <t>Textura Escadas</t>
  </si>
  <si>
    <t>Soleiras e Peitoris</t>
  </si>
  <si>
    <t>Limpeza</t>
  </si>
  <si>
    <t>Paisagismo</t>
  </si>
  <si>
    <t>Comunicação Visual</t>
  </si>
  <si>
    <t>Serralheria</t>
  </si>
  <si>
    <t>Desmobilização</t>
  </si>
  <si>
    <t>Ligações Definitivas</t>
  </si>
  <si>
    <t>FATORES DE CUSTO</t>
  </si>
  <si>
    <t>BDI</t>
  </si>
  <si>
    <t>Universal — todos os itens</t>
  </si>
  <si>
    <t>Perda Concreto (estacas)</t>
  </si>
  <si>
    <t>Fundação profunda</t>
  </si>
  <si>
    <t>Perda Concreto (fund. rasa)</t>
  </si>
  <si>
    <t>Blocos e baldrames</t>
  </si>
  <si>
    <t>Perda Concreto (supra)</t>
  </si>
  <si>
    <t>Todas variantes de laje</t>
  </si>
  <si>
    <t>Empolamento Terra</t>
  </si>
  <si>
    <t>Bota-fora</t>
  </si>
  <si>
    <t>Fator Dificuldade MO</t>
  </si>
  <si>
    <t>Contenção e infra vs supra</t>
  </si>
  <si>
    <t>AJUSTES POR PADRÃO DE ACABAMENTO (R$/m² AC)</t>
  </si>
  <si>
    <t>Macrogrupo</t>
  </si>
  <si>
    <t>Alto Padrão</t>
  </si>
  <si>
    <t>Super Alto Padrão</t>
  </si>
  <si>
    <t>Esquadrias</t>
  </si>
  <si>
    <t>Rev. Internos Parede</t>
  </si>
  <si>
    <t>Pisos e Pavimentações</t>
  </si>
  <si>
    <t>Louças e Metais</t>
  </si>
  <si>
    <t>Teto</t>
  </si>
  <si>
    <t>Pintura</t>
  </si>
  <si>
    <t>MULTIPLICADOR TIPO ESQUADRIA</t>
  </si>
  <si>
    <t>Alumínio Anodizado</t>
  </si>
  <si>
    <t>Pintura Eletrostática</t>
  </si>
  <si>
    <t>PVC</t>
  </si>
  <si>
    <t>MULTIPLICADOR ESTILO FACHADA</t>
  </si>
  <si>
    <t>Convencional</t>
  </si>
  <si>
    <t>Neoclássica</t>
  </si>
  <si>
    <t>Moderna</t>
  </si>
  <si>
    <t>Minimalista</t>
  </si>
  <si>
    <t>ORÇAMENTO PARAMÉTRICO — CÁLCULO</t>
  </si>
  <si>
    <t>AC:</t>
  </si>
  <si>
    <t>BDI:</t>
  </si>
  <si>
    <t>#</t>
  </si>
  <si>
    <t>R$/m² AC</t>
  </si>
  <si>
    <t>Valor Total (R$)</t>
  </si>
  <si>
    <t>% do Total</t>
  </si>
  <si>
    <t>Benchmark Médio</t>
  </si>
  <si>
    <t>Status</t>
  </si>
  <si>
    <t>Fonte</t>
  </si>
  <si>
    <t>Gerenciamento Técnico/Admin</t>
  </si>
  <si>
    <t>Manual</t>
  </si>
  <si>
    <t>Movimentação de Terra</t>
  </si>
  <si>
    <t>Infraestrutura</t>
  </si>
  <si>
    <t>← Contenção (DADOS!B39)</t>
  </si>
  <si>
    <t>Supraestrutura</t>
  </si>
  <si>
    <t>← Tipo Laje (DADOS!B37)</t>
  </si>
  <si>
    <t>← Vedação (DADOS!B42)</t>
  </si>
  <si>
    <t>Impermeabilização</t>
  </si>
  <si>
    <t>Instalações</t>
  </si>
  <si>
    <t>Sistemas Especiais</t>
  </si>
  <si>
    <t>Climatização</t>
  </si>
  <si>
    <t>← Acabamento (DADOS!B38)</t>
  </si>
  <si>
    <t>← Acabamento + Pele Vidro</t>
  </si>
  <si>
    <t>Fachada</t>
  </si>
  <si>
    <t>← MO Fachada + Brises</t>
  </si>
  <si>
    <t>Complementares</t>
  </si>
  <si>
    <t>← Lazer + Cobertura</t>
  </si>
  <si>
    <t>Imprevistos</t>
  </si>
  <si>
    <t>TOTAL GERAL</t>
  </si>
  <si>
    <t>INDICADORES</t>
  </si>
  <si>
    <t>R$/m² AC Total</t>
  </si>
  <si>
    <t>Custo Total (R$)</t>
  </si>
  <si>
    <t>CUBs Equivalentes</t>
  </si>
  <si>
    <t>R$/UR</t>
  </si>
  <si>
    <t>AC/UR (m²/un)</t>
  </si>
  <si>
    <t>BENCHMARK — FAIXAS DE REFERÊNCIA (R$/m² AC)</t>
  </si>
  <si>
    <t>Base: 6 projetos similares (7.000-12.900 m² AC) — Cartesian Engenharia</t>
  </si>
  <si>
    <t>Mín</t>
  </si>
  <si>
    <t>Mediana</t>
  </si>
  <si>
    <t>Máx</t>
  </si>
  <si>
    <t>Seu Projeto</t>
  </si>
  <si>
    <t>Posição</t>
  </si>
  <si>
    <t>TOTAL</t>
  </si>
  <si>
    <t>PROJETOS DE REFERÊNCIA</t>
  </si>
  <si>
    <t>Projeto</t>
  </si>
  <si>
    <t>AC (m²)</t>
  </si>
  <si>
    <t>UR</t>
  </si>
  <si>
    <t>CUBs</t>
  </si>
  <si>
    <t>Localização</t>
  </si>
  <si>
    <t>Amalfi San Felice</t>
  </si>
  <si>
    <t>Itajaí/SC</t>
  </si>
  <si>
    <t>Kirchner West Village</t>
  </si>
  <si>
    <t>Adore Level UP</t>
  </si>
  <si>
    <t>Amalfi Maiori</t>
  </si>
  <si>
    <t>2cinco4 Edition</t>
  </si>
  <si>
    <t>BD Jardim Campeche</t>
  </si>
  <si>
    <t>Florianópolis/SC</t>
  </si>
  <si>
    <t>RESUMO EXECUTIVO</t>
  </si>
  <si>
    <t>Área Construída (m²)</t>
  </si>
  <si>
    <t>Unidades Residenciais</t>
  </si>
  <si>
    <t>RESULTADO</t>
  </si>
  <si>
    <t>Custo por Unidade (R$/UR)</t>
  </si>
  <si>
    <t>COMPOSIÇÃO DO CUSTO (TOP 5 MACROGRUPOS)</t>
  </si>
  <si>
    <t>Valor (R$)</t>
  </si>
  <si>
    <t>Gerenciamento</t>
  </si>
  <si>
    <t>NOTAS</t>
  </si>
  <si>
    <t>• Valores em R$/m² AC incluem BDI de 10%</t>
  </si>
  <si>
    <t>• Benchmark baseado em 6 projetos similares (7.000-12.900 m² AC) em SC</t>
  </si>
  <si>
    <t>• Para ajustar: altere os R$/m² na aba PARAMÉTRICO (células azuis)</t>
  </si>
  <si>
    <t>• Perguntas do briefing (aba DADOS) impactam diretamente nos índices</t>
  </si>
  <si>
    <t>• Fórmula universal: Valor = R$/m² × AC × BDI</t>
  </si>
  <si>
    <t>• Status ⚠ indica valor &gt;15% acima do benchmark; ↓ indica &gt;15% abaixo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</si>
</sst>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m²&quot;"/>
    <numFmt numFmtId="165" formatCode="0.0%"/>
  </numFmts>
  <fonts count="2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sz val="9"/>
      <color rgb="FF808080"/>
      <name val="Arial"/>
      <family val="2"/>
      <charset val="1"/>
    </font>
    <font>
      <i/>
      <sz val="9"/>
      <color rgb="FF80808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9"/>
      <name val="Cambria"/>
      <family val="1"/>
      <charset val="1"/>
    </font>
    <font>
      <b/>
      <sz val="11"/>
      <color rgb="FF0000FF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006600"/>
      <name val="Cambria"/>
      <family val="1"/>
      <charset val="1"/>
    </font>
    <font>
      <sz val="11"/>
      <color rgb="FF003366"/>
      <name val="Calibri"/>
      <family val="2"/>
    </font>
    <font>
      <b/>
      <sz val="11"/>
      <name val="Cambria"/>
      <family val="1"/>
      <charset val="1"/>
    </font>
    <font>
      <sz val="9"/>
      <name val="Arial"/>
      <family val="2"/>
      <charset val="1"/>
    </font>
    <font>
      <b/>
      <sz val="10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rgb="FF003366"/>
      <name val="Calibri"/>
      <family val="2"/>
    </font>
    <font>
      <b/>
      <sz val="9"/>
      <name val="Arial"/>
      <family val="2"/>
      <charset val="1"/>
    </font>
    <font>
      <sz val="11"/>
      <color rgb="FF008000"/>
      <name val="Arial"/>
      <family val="2"/>
      <charset val="1"/>
    </font>
    <font>
      <i/>
      <sz val="9"/>
      <color rgb="FF888888"/>
      <name val="Cambria"/>
      <family val="1"/>
      <charset val="1"/>
    </font>
    <font>
      <b/>
      <sz val="11"/>
      <color rgb="FF006600"/>
      <name val="Cambria"/>
      <family val="1"/>
      <charset val="1"/>
    </font>
    <font>
      <b/>
      <sz val="9"/>
      <color rgb="FF808080"/>
      <name val="Arial"/>
      <family val="2"/>
      <charset val="1"/>
    </font>
    <font>
      <i/>
      <sz val="9"/>
      <name val="Arial"/>
      <family val="2"/>
      <charset val="1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D6E4F0"/>
        <bgColor rgb="FFDAEEF3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666699"/>
      </patternFill>
    </fill>
    <fill>
      <patternFill patternType="solid">
        <fgColor rgb="FFFCE4EC"/>
        <bgColor rgb="FFF2F2F2"/>
      </patternFill>
    </fill>
    <fill>
      <patternFill patternType="solid">
        <fgColor rgb="FFDAEEF3"/>
        <bgColor rgb="FFD6E4F0"/>
      </patternFill>
    </fill>
    <fill>
      <patternFill patternType="solid">
        <fgColor rgb="FF008000"/>
        <bgColor rgb="FF006600"/>
      </patternFill>
    </fill>
    <fill>
      <patternFill patternType="solid">
        <fgColor rgb="FFE2EFDA"/>
        <bgColor rgb="FFDAEEF3"/>
      </patternFill>
    </fill>
    <fill>
      <patternFill patternType="solid">
        <fgColor rgb="FFC00000"/>
        <bgColor rgb="FF800000"/>
      </patternFill>
    </fill>
    <fill>
      <patternFill patternType="solid">
        <fgColor rgb="FFE8F0FE"/>
        <bgColor rgb="FFF2F2F2"/>
      </patternFill>
    </fill>
    <fill>
      <patternFill patternType="solid">
        <fgColor rgb="FFF2F2F2"/>
        <bgColor rgb="FFE8F0FE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0" xfId="0" applyFont="1"/>
    <xf numFmtId="0" fontId="7" fillId="14" borderId="0" xfId="0" applyFont="1" applyFill="1"/>
    <xf numFmtId="0" fontId="1" fillId="14" borderId="0" xfId="0" applyFont="1" applyFill="1" applyAlignment="1">
      <alignment horizontal="center" vertical="center" wrapText="1"/>
    </xf>
    <xf numFmtId="0" fontId="7" fillId="13" borderId="2" xfId="0" applyFont="1" applyFill="1" applyBorder="1"/>
    <xf numFmtId="0" fontId="1" fillId="13" borderId="0" xfId="0" applyFont="1" applyFill="1" applyAlignment="1">
      <alignment horizontal="center" vertical="center" wrapText="1"/>
    </xf>
    <xf numFmtId="0" fontId="3" fillId="0" borderId="1" xfId="0" applyFont="1" applyBorder="1"/>
    <xf numFmtId="0" fontId="2" fillId="12" borderId="0" xfId="0" applyFont="1" applyFill="1"/>
    <xf numFmtId="0" fontId="7" fillId="10" borderId="2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2" fillId="9" borderId="0" xfId="0" applyFont="1" applyFill="1"/>
    <xf numFmtId="0" fontId="1" fillId="8" borderId="0" xfId="0" applyFont="1" applyFill="1" applyAlignment="1">
      <alignment horizontal="center" vertical="center" wrapText="1"/>
    </xf>
    <xf numFmtId="0" fontId="2" fillId="6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/>
    <xf numFmtId="0" fontId="4" fillId="4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7" fillId="5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/>
    <xf numFmtId="0" fontId="5" fillId="0" borderId="1" xfId="0" applyFont="1" applyBorder="1" applyAlignment="1">
      <alignment horizontal="center" vertical="center" wrapText="1"/>
    </xf>
    <xf numFmtId="3" fontId="4" fillId="4" borderId="1" xfId="0" applyNumberFormat="1" applyFont="1" applyFill="1" applyBorder="1"/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1" fillId="0" borderId="0" xfId="0" applyFont="1"/>
    <xf numFmtId="0" fontId="12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2" fontId="2" fillId="0" borderId="1" xfId="0" applyNumberFormat="1" applyFont="1" applyBorder="1" applyAlignment="1">
      <alignment horizontal="center" vertical="center" wrapText="1"/>
    </xf>
    <xf numFmtId="0" fontId="13" fillId="0" borderId="0" xfId="0" applyFont="1"/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5" fillId="5" borderId="0" xfId="0" applyFont="1" applyFill="1"/>
    <xf numFmtId="0" fontId="16" fillId="0" borderId="1" xfId="0" applyFont="1" applyBorder="1"/>
    <xf numFmtId="2" fontId="17" fillId="0" borderId="1" xfId="0" applyNumberFormat="1" applyFont="1" applyBorder="1" applyAlignment="1">
      <alignment horizontal="center" vertical="center"/>
    </xf>
    <xf numFmtId="0" fontId="18" fillId="0" borderId="0" xfId="0" applyFont="1"/>
    <xf numFmtId="164" fontId="19" fillId="0" borderId="0" xfId="0" applyNumberFormat="1" applyFont="1"/>
    <xf numFmtId="2" fontId="4" fillId="4" borderId="0" xfId="0" applyNumberFormat="1" applyFont="1" applyFill="1"/>
    <xf numFmtId="0" fontId="7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4" fontId="9" fillId="4" borderId="1" xfId="0" applyNumberFormat="1" applyFont="1" applyFill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right" vertical="center"/>
    </xf>
    <xf numFmtId="0" fontId="20" fillId="0" borderId="0" xfId="0" applyFont="1"/>
    <xf numFmtId="3" fontId="21" fillId="11" borderId="1" xfId="0" applyNumberFormat="1" applyFont="1" applyFill="1" applyBorder="1" applyAlignment="1">
      <alignment horizontal="right" vertical="center"/>
    </xf>
    <xf numFmtId="4" fontId="7" fillId="10" borderId="1" xfId="0" applyNumberFormat="1" applyFont="1" applyFill="1" applyBorder="1" applyAlignment="1">
      <alignment horizontal="right" vertical="center"/>
    </xf>
    <xf numFmtId="165" fontId="7" fillId="10" borderId="1" xfId="0" applyNumberFormat="1" applyFont="1" applyFill="1" applyBorder="1" applyAlignment="1">
      <alignment horizontal="center" vertical="center" wrapText="1"/>
    </xf>
    <xf numFmtId="4" fontId="22" fillId="10" borderId="1" xfId="0" applyNumberFormat="1" applyFont="1" applyFill="1" applyBorder="1" applyAlignment="1">
      <alignment horizontal="right" vertical="center"/>
    </xf>
    <xf numFmtId="4" fontId="2" fillId="0" borderId="1" xfId="0" applyNumberFormat="1" applyFont="1" applyBorder="1"/>
    <xf numFmtId="2" fontId="2" fillId="0" borderId="1" xfId="0" applyNumberFormat="1" applyFont="1" applyBorder="1"/>
    <xf numFmtId="0" fontId="23" fillId="0" borderId="0" xfId="0" applyFont="1"/>
    <xf numFmtId="0" fontId="7" fillId="13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/>
    </xf>
    <xf numFmtId="3" fontId="7" fillId="13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/>
    <xf numFmtId="2" fontId="3" fillId="0" borderId="1" xfId="0" applyNumberFormat="1" applyFont="1" applyBorder="1"/>
    <xf numFmtId="3" fontId="19" fillId="0" borderId="1" xfId="0" applyNumberFormat="1" applyFont="1" applyBorder="1"/>
    <xf numFmtId="4" fontId="19" fillId="0" borderId="1" xfId="0" applyNumberFormat="1" applyFont="1" applyBorder="1"/>
    <xf numFmtId="2" fontId="19" fillId="0" borderId="1" xfId="0" applyNumberFormat="1" applyFont="1" applyBorder="1"/>
    <xf numFmtId="165" fontId="19" fillId="0" borderId="1" xfId="0" applyNumberFormat="1" applyFont="1" applyBorder="1"/>
    <xf numFmtId="0" fontId="2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E2EFDA"/>
      <rgbColor rgb="FFF2F2F2"/>
      <rgbColor rgb="FF99CCFF"/>
      <rgbColor rgb="FFFF99CC"/>
      <rgbColor rgb="FFCC99FF"/>
      <rgbColor rgb="FFFCE4EC"/>
      <rgbColor rgb="FF4472C4"/>
      <rgbColor rgb="FF33CCCC"/>
      <rgbColor rgb="FF99CC00"/>
      <rgbColor rgb="FFFFCC00"/>
      <rgbColor rgb="FFFF9900"/>
      <rgbColor rgb="FFED7D31"/>
      <rgbColor rgb="FF666699"/>
      <rgbColor rgb="FF888888"/>
      <rgbColor rgb="FF003366"/>
      <rgbColor rgb="FF339966"/>
      <rgbColor rgb="FF0066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E56"/>
  <sheetViews>
    <sheetView zoomScale="125" zoomScaleNormal="125" workbookViewId="0">
      <pane ySplit="2" topLeftCell="A21" activePane="bottomLeft" state="frozen"/>
      <selection pane="bottomLeft" activeCell="B51" sqref="B51"/>
    </sheetView>
  </sheetViews>
  <sheetFormatPr baseColWidth="10" defaultColWidth="8.6640625" defaultRowHeight="15" customHeight="1" x14ac:dyDescent="0.2"/>
  <cols>
    <col min="1" max="1" width="35" customWidth="1"/>
    <col min="2" max="2" width="25" customWidth="1"/>
    <col min="3" max="3" width="15" customWidth="1"/>
    <col min="4" max="4" width="40" customWidth="1"/>
  </cols>
  <sheetData>
    <row r="1" spans="1:4" ht="17.25" customHeight="1" x14ac:dyDescent="0.2">
      <c r="A1" s="14" t="s">
        <v>0</v>
      </c>
      <c r="B1" s="14"/>
      <c r="C1" s="14"/>
      <c r="D1" s="14"/>
    </row>
    <row r="3" spans="1:4" ht="15" customHeight="1" x14ac:dyDescent="0.2">
      <c r="A3" s="13" t="s">
        <v>1</v>
      </c>
      <c r="B3" s="13"/>
      <c r="C3" s="13"/>
      <c r="D3" s="13"/>
    </row>
    <row r="4" spans="1:4" ht="15" customHeight="1" x14ac:dyDescent="0.2">
      <c r="A4" s="15" t="s">
        <v>2</v>
      </c>
      <c r="B4" s="16" t="s">
        <v>3</v>
      </c>
      <c r="C4" s="17"/>
      <c r="D4" s="18"/>
    </row>
    <row r="5" spans="1:4" ht="15" customHeight="1" x14ac:dyDescent="0.2">
      <c r="A5" s="15" t="s">
        <v>4</v>
      </c>
      <c r="B5" s="16" t="s">
        <v>5</v>
      </c>
      <c r="C5" s="17"/>
      <c r="D5" s="18"/>
    </row>
    <row r="6" spans="1:4" ht="15" customHeight="1" x14ac:dyDescent="0.2">
      <c r="A6" s="15" t="s">
        <v>6</v>
      </c>
      <c r="B6" s="16" t="s">
        <v>7</v>
      </c>
      <c r="C6" s="17"/>
      <c r="D6" s="18"/>
    </row>
    <row r="7" spans="1:4" ht="15" customHeight="1" x14ac:dyDescent="0.2">
      <c r="A7" s="15" t="s">
        <v>8</v>
      </c>
      <c r="B7" s="16" t="s">
        <v>9</v>
      </c>
      <c r="C7" s="17"/>
      <c r="D7" s="18"/>
    </row>
    <row r="8" spans="1:4" ht="15" customHeight="1" x14ac:dyDescent="0.2">
      <c r="A8" s="15" t="s">
        <v>10</v>
      </c>
      <c r="B8" s="16"/>
      <c r="C8" s="17" t="s">
        <v>11</v>
      </c>
      <c r="D8" s="18" t="s">
        <v>12</v>
      </c>
    </row>
    <row r="9" spans="1:4" ht="15" customHeight="1" x14ac:dyDescent="0.2">
      <c r="A9" s="15" t="s">
        <v>13</v>
      </c>
      <c r="B9" s="16"/>
      <c r="C9" s="17" t="s">
        <v>14</v>
      </c>
      <c r="D9" s="18" t="s">
        <v>15</v>
      </c>
    </row>
    <row r="11" spans="1:4" ht="15" customHeight="1" x14ac:dyDescent="0.2">
      <c r="A11" s="13" t="s">
        <v>16</v>
      </c>
      <c r="B11" s="13"/>
      <c r="C11" s="13"/>
      <c r="D11" s="13"/>
    </row>
    <row r="12" spans="1:4" ht="15" customHeight="1" x14ac:dyDescent="0.2">
      <c r="A12" s="19" t="s">
        <v>17</v>
      </c>
      <c r="B12" s="19" t="s">
        <v>18</v>
      </c>
      <c r="C12" s="19" t="s">
        <v>19</v>
      </c>
      <c r="D12" s="19" t="s">
        <v>20</v>
      </c>
    </row>
    <row r="13" spans="1:4" ht="15" customHeight="1" x14ac:dyDescent="0.2">
      <c r="A13" s="15" t="s">
        <v>21</v>
      </c>
      <c r="B13" s="20">
        <v>2723.26</v>
      </c>
      <c r="C13" s="21" t="s">
        <v>22</v>
      </c>
      <c r="D13" s="18" t="s">
        <v>23</v>
      </c>
    </row>
    <row r="14" spans="1:4" ht="15" customHeight="1" x14ac:dyDescent="0.2">
      <c r="A14" s="15" t="s">
        <v>24</v>
      </c>
      <c r="B14" s="20">
        <v>12879.93</v>
      </c>
      <c r="C14" s="21" t="s">
        <v>22</v>
      </c>
      <c r="D14" s="18" t="s">
        <v>25</v>
      </c>
    </row>
    <row r="15" spans="1:4" ht="15" customHeight="1" x14ac:dyDescent="0.2">
      <c r="A15" s="15" t="s">
        <v>26</v>
      </c>
      <c r="B15" s="22">
        <v>10</v>
      </c>
      <c r="C15" s="21" t="s">
        <v>27</v>
      </c>
      <c r="D15" s="18" t="s">
        <v>28</v>
      </c>
    </row>
    <row r="16" spans="1:4" ht="15" customHeight="1" x14ac:dyDescent="0.2">
      <c r="A16" s="15" t="s">
        <v>29</v>
      </c>
      <c r="B16" s="22">
        <v>4</v>
      </c>
      <c r="C16" s="21" t="s">
        <v>27</v>
      </c>
      <c r="D16" s="18" t="s">
        <v>30</v>
      </c>
    </row>
    <row r="17" spans="1:4" ht="15" customHeight="1" x14ac:dyDescent="0.2">
      <c r="A17" s="15" t="s">
        <v>31</v>
      </c>
      <c r="B17" s="22">
        <v>1</v>
      </c>
      <c r="C17" s="21" t="s">
        <v>27</v>
      </c>
      <c r="D17" s="18" t="s">
        <v>32</v>
      </c>
    </row>
    <row r="18" spans="1:4" ht="15" customHeight="1" x14ac:dyDescent="0.2">
      <c r="A18" s="15" t="s">
        <v>33</v>
      </c>
      <c r="B18" s="22">
        <v>0</v>
      </c>
      <c r="C18" s="21" t="s">
        <v>27</v>
      </c>
      <c r="D18" s="18"/>
    </row>
    <row r="19" spans="1:4" ht="15" customHeight="1" x14ac:dyDescent="0.2">
      <c r="A19" s="15" t="s">
        <v>34</v>
      </c>
      <c r="B19" s="22">
        <v>56</v>
      </c>
      <c r="C19" s="21" t="s">
        <v>27</v>
      </c>
      <c r="D19" s="18" t="s">
        <v>35</v>
      </c>
    </row>
    <row r="20" spans="1:4" ht="15" customHeight="1" x14ac:dyDescent="0.2">
      <c r="A20" s="15" t="s">
        <v>36</v>
      </c>
      <c r="B20" s="22">
        <v>2</v>
      </c>
      <c r="C20" s="21" t="s">
        <v>27</v>
      </c>
      <c r="D20" s="18" t="s">
        <v>37</v>
      </c>
    </row>
    <row r="21" spans="1:4" ht="15" customHeight="1" x14ac:dyDescent="0.2">
      <c r="A21" s="15" t="s">
        <v>38</v>
      </c>
      <c r="B21" s="22">
        <v>0</v>
      </c>
      <c r="C21" s="21" t="s">
        <v>27</v>
      </c>
      <c r="D21" s="18" t="s">
        <v>39</v>
      </c>
    </row>
    <row r="22" spans="1:4" ht="15" customHeight="1" x14ac:dyDescent="0.2">
      <c r="A22" s="15" t="s">
        <v>40</v>
      </c>
      <c r="B22" s="20">
        <v>0</v>
      </c>
      <c r="C22" s="21" t="s">
        <v>22</v>
      </c>
      <c r="D22" s="18" t="s">
        <v>41</v>
      </c>
    </row>
    <row r="23" spans="1:4" ht="15" customHeight="1" x14ac:dyDescent="0.2">
      <c r="A23" s="15" t="s">
        <v>42</v>
      </c>
      <c r="B23" s="20">
        <v>1795</v>
      </c>
      <c r="C23" s="21" t="s">
        <v>22</v>
      </c>
      <c r="D23" s="18" t="s">
        <v>43</v>
      </c>
    </row>
    <row r="24" spans="1:4" ht="15" customHeight="1" x14ac:dyDescent="0.2">
      <c r="A24" s="15" t="s">
        <v>44</v>
      </c>
      <c r="B24" s="20">
        <v>191.4</v>
      </c>
      <c r="C24" s="21" t="s">
        <v>45</v>
      </c>
      <c r="D24" s="18" t="s">
        <v>46</v>
      </c>
    </row>
    <row r="25" spans="1:4" ht="15" customHeight="1" x14ac:dyDescent="0.2">
      <c r="A25" s="15" t="s">
        <v>47</v>
      </c>
      <c r="B25" s="20">
        <v>2400</v>
      </c>
      <c r="C25" s="21" t="s">
        <v>22</v>
      </c>
      <c r="D25" s="18" t="s">
        <v>48</v>
      </c>
    </row>
    <row r="26" spans="1:4" ht="15" customHeight="1" x14ac:dyDescent="0.2">
      <c r="A26" s="15" t="s">
        <v>49</v>
      </c>
      <c r="B26" s="20">
        <v>208</v>
      </c>
      <c r="C26" s="21" t="s">
        <v>45</v>
      </c>
      <c r="D26" s="18" t="s">
        <v>50</v>
      </c>
    </row>
    <row r="27" spans="1:4" ht="15" customHeight="1" x14ac:dyDescent="0.2">
      <c r="A27" s="15" t="s">
        <v>51</v>
      </c>
      <c r="B27" s="22">
        <v>1</v>
      </c>
      <c r="C27" s="21" t="s">
        <v>27</v>
      </c>
      <c r="D27" s="18" t="s">
        <v>52</v>
      </c>
    </row>
    <row r="28" spans="1:4" ht="15" customHeight="1" x14ac:dyDescent="0.2">
      <c r="A28" s="15" t="s">
        <v>53</v>
      </c>
      <c r="B28" s="20">
        <v>0</v>
      </c>
      <c r="C28" s="21" t="s">
        <v>22</v>
      </c>
      <c r="D28" s="18" t="s">
        <v>54</v>
      </c>
    </row>
    <row r="29" spans="1:4" ht="15" customHeight="1" x14ac:dyDescent="0.2">
      <c r="A29" s="15" t="s">
        <v>55</v>
      </c>
      <c r="B29" s="22">
        <v>3</v>
      </c>
      <c r="C29" s="21" t="s">
        <v>27</v>
      </c>
      <c r="D29" s="18" t="s">
        <v>56</v>
      </c>
    </row>
    <row r="30" spans="1:4" ht="15" customHeight="1" x14ac:dyDescent="0.2">
      <c r="A30" s="15" t="s">
        <v>57</v>
      </c>
      <c r="B30" s="20">
        <v>0</v>
      </c>
      <c r="C30" s="21" t="s">
        <v>22</v>
      </c>
      <c r="D30" s="18" t="s">
        <v>54</v>
      </c>
    </row>
    <row r="31" spans="1:4" ht="15" customHeight="1" x14ac:dyDescent="0.2">
      <c r="A31" s="15" t="s">
        <v>58</v>
      </c>
      <c r="B31" s="22">
        <v>2</v>
      </c>
      <c r="C31" s="21" t="s">
        <v>27</v>
      </c>
      <c r="D31" s="18" t="s">
        <v>23</v>
      </c>
    </row>
    <row r="32" spans="1:4" ht="15" customHeight="1" x14ac:dyDescent="0.2">
      <c r="A32" s="15" t="s">
        <v>59</v>
      </c>
      <c r="B32" s="22">
        <v>76</v>
      </c>
      <c r="C32" s="21" t="s">
        <v>27</v>
      </c>
      <c r="D32" s="18" t="s">
        <v>23</v>
      </c>
    </row>
    <row r="33" spans="1:5" ht="15" customHeight="1" x14ac:dyDescent="0.2">
      <c r="A33" s="15" t="s">
        <v>60</v>
      </c>
      <c r="B33" s="20">
        <v>0</v>
      </c>
      <c r="C33" s="21" t="s">
        <v>45</v>
      </c>
      <c r="D33" s="18" t="s">
        <v>61</v>
      </c>
    </row>
    <row r="35" spans="1:5" ht="15" customHeight="1" x14ac:dyDescent="0.2">
      <c r="A35" s="12" t="s">
        <v>62</v>
      </c>
      <c r="B35" s="12"/>
      <c r="C35" s="12"/>
      <c r="D35" s="12"/>
    </row>
    <row r="36" spans="1:5" ht="15" customHeight="1" x14ac:dyDescent="0.2">
      <c r="A36" s="19" t="s">
        <v>63</v>
      </c>
      <c r="B36" s="19" t="s">
        <v>64</v>
      </c>
      <c r="C36" s="19" t="s">
        <v>65</v>
      </c>
      <c r="D36" s="19" t="s">
        <v>20</v>
      </c>
      <c r="E36" s="23" t="s">
        <v>66</v>
      </c>
    </row>
    <row r="37" spans="1:5" ht="15" customHeight="1" x14ac:dyDescent="0.2">
      <c r="A37" s="15" t="s">
        <v>67</v>
      </c>
      <c r="B37" s="24" t="s">
        <v>68</v>
      </c>
      <c r="C37" s="25" t="s">
        <v>69</v>
      </c>
      <c r="D37" s="18" t="s">
        <v>70</v>
      </c>
      <c r="E37" s="26" t="s">
        <v>71</v>
      </c>
    </row>
    <row r="38" spans="1:5" ht="15" customHeight="1" x14ac:dyDescent="0.2">
      <c r="A38" s="15" t="s">
        <v>72</v>
      </c>
      <c r="B38" s="24" t="s">
        <v>73</v>
      </c>
      <c r="C38" s="25" t="s">
        <v>74</v>
      </c>
      <c r="D38" s="18" t="s">
        <v>75</v>
      </c>
      <c r="E38" s="26" t="s">
        <v>76</v>
      </c>
    </row>
    <row r="39" spans="1:5" ht="15" customHeight="1" x14ac:dyDescent="0.2">
      <c r="A39" s="15" t="s">
        <v>77</v>
      </c>
      <c r="B39" s="24" t="s">
        <v>78</v>
      </c>
      <c r="C39" s="25" t="s">
        <v>79</v>
      </c>
      <c r="D39" s="18" t="s">
        <v>80</v>
      </c>
      <c r="E39" s="26" t="s">
        <v>81</v>
      </c>
    </row>
    <row r="40" spans="1:5" ht="15" customHeight="1" x14ac:dyDescent="0.2">
      <c r="A40" s="15" t="s">
        <v>82</v>
      </c>
      <c r="B40" s="24"/>
      <c r="C40" s="25"/>
      <c r="D40" s="18" t="s">
        <v>83</v>
      </c>
    </row>
    <row r="41" spans="1:5" ht="15" customHeight="1" x14ac:dyDescent="0.2">
      <c r="A41" s="15" t="s">
        <v>84</v>
      </c>
      <c r="B41" s="24"/>
      <c r="C41" s="25"/>
      <c r="D41" s="18" t="s">
        <v>85</v>
      </c>
    </row>
    <row r="42" spans="1:5" ht="15" customHeight="1" x14ac:dyDescent="0.2">
      <c r="A42" s="15" t="s">
        <v>86</v>
      </c>
      <c r="B42" s="24" t="s">
        <v>87</v>
      </c>
      <c r="C42" s="25" t="s">
        <v>88</v>
      </c>
      <c r="D42" s="18" t="s">
        <v>89</v>
      </c>
      <c r="E42" s="26" t="s">
        <v>90</v>
      </c>
    </row>
    <row r="43" spans="1:5" ht="15" customHeight="1" x14ac:dyDescent="0.2">
      <c r="A43" s="15" t="s">
        <v>91</v>
      </c>
      <c r="B43" s="24" t="s">
        <v>92</v>
      </c>
      <c r="C43" s="25" t="s">
        <v>93</v>
      </c>
      <c r="D43" s="18" t="s">
        <v>94</v>
      </c>
      <c r="E43" s="26" t="s">
        <v>95</v>
      </c>
    </row>
    <row r="44" spans="1:5" ht="15" customHeight="1" x14ac:dyDescent="0.2">
      <c r="A44" s="15" t="s">
        <v>96</v>
      </c>
      <c r="B44" s="24" t="s">
        <v>78</v>
      </c>
      <c r="C44" s="25" t="s">
        <v>97</v>
      </c>
      <c r="D44" s="18" t="s">
        <v>80</v>
      </c>
      <c r="E44" s="26" t="s">
        <v>98</v>
      </c>
    </row>
    <row r="45" spans="1:5" ht="15" customHeight="1" x14ac:dyDescent="0.2">
      <c r="A45" s="15" t="s">
        <v>99</v>
      </c>
      <c r="B45" s="24"/>
      <c r="C45" s="25"/>
      <c r="D45" s="18" t="s">
        <v>100</v>
      </c>
    </row>
    <row r="46" spans="1:5" ht="15" customHeight="1" x14ac:dyDescent="0.2">
      <c r="A46" s="15" t="s">
        <v>101</v>
      </c>
      <c r="B46" s="24" t="s">
        <v>102</v>
      </c>
      <c r="C46" s="25" t="s">
        <v>103</v>
      </c>
      <c r="D46" s="18" t="s">
        <v>104</v>
      </c>
      <c r="E46" s="26" t="s">
        <v>105</v>
      </c>
    </row>
    <row r="47" spans="1:5" ht="15" customHeight="1" x14ac:dyDescent="0.2">
      <c r="A47" s="15" t="s">
        <v>106</v>
      </c>
      <c r="B47" s="24">
        <v>36</v>
      </c>
      <c r="C47" s="25" t="s">
        <v>107</v>
      </c>
      <c r="D47" s="18" t="s">
        <v>108</v>
      </c>
    </row>
    <row r="48" spans="1:5" ht="15" customHeight="1" x14ac:dyDescent="0.2">
      <c r="A48" s="15" t="s">
        <v>109</v>
      </c>
      <c r="B48" s="24" t="s">
        <v>78</v>
      </c>
      <c r="C48" s="25" t="s">
        <v>110</v>
      </c>
      <c r="D48" s="18" t="s">
        <v>80</v>
      </c>
      <c r="E48" s="26" t="s">
        <v>111</v>
      </c>
    </row>
    <row r="49" spans="1:5" ht="15" customHeight="1" x14ac:dyDescent="0.2">
      <c r="A49" s="15" t="s">
        <v>112</v>
      </c>
      <c r="B49" s="24" t="s">
        <v>113</v>
      </c>
      <c r="C49" s="25"/>
      <c r="D49" s="18" t="s">
        <v>80</v>
      </c>
      <c r="E49" s="26" t="s">
        <v>114</v>
      </c>
    </row>
    <row r="50" spans="1:5" ht="15" customHeight="1" x14ac:dyDescent="0.2">
      <c r="A50" s="15" t="s">
        <v>115</v>
      </c>
      <c r="B50" s="27" t="s">
        <v>217</v>
      </c>
      <c r="C50" s="25"/>
      <c r="D50" s="18" t="s">
        <v>116</v>
      </c>
    </row>
    <row r="51" spans="1:5" ht="15" customHeight="1" x14ac:dyDescent="0.2">
      <c r="A51" s="15" t="s">
        <v>117</v>
      </c>
      <c r="B51" s="27" t="s">
        <v>221</v>
      </c>
      <c r="C51" s="25"/>
      <c r="D51" s="18" t="s">
        <v>118</v>
      </c>
    </row>
    <row r="52" spans="1:5" ht="15" customHeight="1" x14ac:dyDescent="0.2">
      <c r="A52" s="15" t="s">
        <v>119</v>
      </c>
      <c r="B52" s="24" t="s">
        <v>78</v>
      </c>
      <c r="C52" s="25"/>
      <c r="D52" s="18" t="s">
        <v>80</v>
      </c>
    </row>
    <row r="53" spans="1:5" ht="15" customHeight="1" x14ac:dyDescent="0.2">
      <c r="A53" s="15" t="s">
        <v>120</v>
      </c>
      <c r="B53" s="24" t="s">
        <v>78</v>
      </c>
      <c r="C53" s="25"/>
      <c r="D53" s="18" t="s">
        <v>80</v>
      </c>
    </row>
    <row r="54" spans="1:5" ht="15" customHeight="1" x14ac:dyDescent="0.2">
      <c r="A54" s="15" t="s">
        <v>121</v>
      </c>
      <c r="B54" s="24" t="s">
        <v>78</v>
      </c>
      <c r="C54" s="25"/>
      <c r="D54" s="18" t="s">
        <v>122</v>
      </c>
    </row>
    <row r="55" spans="1:5" ht="15" customHeight="1" x14ac:dyDescent="0.2">
      <c r="A55" s="15" t="s">
        <v>123</v>
      </c>
      <c r="B55" s="24" t="s">
        <v>78</v>
      </c>
      <c r="C55" s="25"/>
      <c r="D55" s="18" t="s">
        <v>124</v>
      </c>
    </row>
    <row r="56" spans="1:5" ht="15" customHeight="1" x14ac:dyDescent="0.2">
      <c r="A56" s="15" t="s">
        <v>125</v>
      </c>
      <c r="B56" s="24" t="s">
        <v>78</v>
      </c>
      <c r="C56" s="25"/>
      <c r="D56" s="18" t="s">
        <v>80</v>
      </c>
    </row>
  </sheetData>
  <mergeCells count="4">
    <mergeCell ref="A1:D1"/>
    <mergeCell ref="A3:D3"/>
    <mergeCell ref="A11:D11"/>
    <mergeCell ref="A35:D35"/>
  </mergeCells>
  <dataValidations count="8">
    <dataValidation type="list" allowBlank="1" sqref="B37" xr:uid="{00000000-0002-0000-0000-000000000000}">
      <formula1>"Cubetas,Protendida,Maciça,Cub.Protendida,Treliçada"</formula1>
      <formula2>0</formula2>
    </dataValidation>
    <dataValidation type="list" allowBlank="1" sqref="B38" xr:uid="{00000000-0002-0000-0000-000001000000}">
      <formula1>"Standard,Alto Padrão,Super Alto Padrão"</formula1>
      <formula2>0</formula2>
    </dataValidation>
    <dataValidation type="list" allowBlank="1" sqref="B39 B44 B48:B49 B52:B56" xr:uid="{00000000-0002-0000-0000-000002000000}">
      <formula1>"Sim,Não"</formula1>
      <formula2>0</formula2>
    </dataValidation>
    <dataValidation type="list" allowBlank="1" sqref="B42" xr:uid="{00000000-0002-0000-0000-000003000000}">
      <formula1>"Alvenaria,Drywall,Misto"</formula1>
      <formula2>0</formula2>
    </dataValidation>
    <dataValidation type="list" allowBlank="1" sqref="B43" xr:uid="{00000000-0002-0000-0000-000004000000}">
      <formula1>"Empreitada,Equipe Própria"</formula1>
      <formula2>0</formula2>
    </dataValidation>
    <dataValidation type="list" allowBlank="1" sqref="B46" xr:uid="{00000000-0002-0000-0000-000005000000}">
      <formula1>"Básico,Completo,Premium"</formula1>
      <formula2>0</formula2>
    </dataValidation>
    <dataValidation type="list" allowBlank="1" promptTitle="Tipo Esquadria" prompt="Selecione o tipo de esquadria" sqref="B50" xr:uid="{00000000-0002-0000-0000-000006000000}">
      <formula1>"Alumínio Anodizado,Pintura Eletrostática,PVC"</formula1>
      <formula2>0</formula2>
    </dataValidation>
    <dataValidation type="list" allowBlank="1" promptTitle="Estilo Fachada" prompt="Selecione o estilo de fachada" sqref="B51" xr:uid="{00000000-0002-0000-0000-000007000000}">
      <formula1>"Convencional,Neoclássica,Moderna,Minimalista"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G74"/>
  <sheetViews>
    <sheetView zoomScaleNormal="100" workbookViewId="0">
      <selection sqref="A1:G1"/>
    </sheetView>
  </sheetViews>
  <sheetFormatPr baseColWidth="10" defaultColWidth="8.6640625" defaultRowHeight="15" customHeight="1" x14ac:dyDescent="0.2"/>
  <cols>
    <col min="1" max="1" width="30" customWidth="1"/>
    <col min="2" max="6" width="12" customWidth="1"/>
    <col min="7" max="7" width="15" customWidth="1"/>
  </cols>
  <sheetData>
    <row r="1" spans="1:7" ht="17.25" customHeight="1" x14ac:dyDescent="0.2">
      <c r="A1" s="11" t="s">
        <v>126</v>
      </c>
      <c r="B1" s="11"/>
      <c r="C1" s="11"/>
      <c r="D1" s="11"/>
      <c r="E1" s="11"/>
      <c r="F1" s="11"/>
      <c r="G1" s="11"/>
    </row>
    <row r="3" spans="1:7" ht="26.25" customHeight="1" x14ac:dyDescent="0.2">
      <c r="A3" s="28" t="s">
        <v>127</v>
      </c>
      <c r="B3" s="28" t="s">
        <v>128</v>
      </c>
      <c r="C3" s="28" t="s">
        <v>68</v>
      </c>
      <c r="D3" s="28" t="s">
        <v>129</v>
      </c>
      <c r="E3" s="28" t="s">
        <v>130</v>
      </c>
      <c r="F3" s="28" t="s">
        <v>131</v>
      </c>
      <c r="G3" s="28" t="s">
        <v>19</v>
      </c>
    </row>
    <row r="4" spans="1:7" ht="15" customHeight="1" x14ac:dyDescent="0.2">
      <c r="A4" s="15" t="s">
        <v>132</v>
      </c>
      <c r="B4" s="29">
        <v>1</v>
      </c>
      <c r="C4" s="29">
        <v>3</v>
      </c>
      <c r="D4" s="29">
        <v>3</v>
      </c>
      <c r="E4" s="29">
        <v>2</v>
      </c>
      <c r="F4" s="29">
        <v>3</v>
      </c>
      <c r="G4" s="17" t="s">
        <v>133</v>
      </c>
    </row>
    <row r="5" spans="1:7" ht="15" customHeight="1" x14ac:dyDescent="0.2">
      <c r="A5" s="15" t="s">
        <v>134</v>
      </c>
      <c r="B5" s="30">
        <v>1.2</v>
      </c>
      <c r="C5" s="30">
        <v>1.1000000000000001</v>
      </c>
      <c r="D5" s="30">
        <v>1.1000000000000001</v>
      </c>
      <c r="E5" s="30">
        <v>2.1</v>
      </c>
      <c r="F5" s="30">
        <v>2.1</v>
      </c>
      <c r="G5" s="17" t="s">
        <v>135</v>
      </c>
    </row>
    <row r="6" spans="1:7" ht="15" customHeight="1" x14ac:dyDescent="0.2">
      <c r="A6" s="15" t="s">
        <v>136</v>
      </c>
      <c r="B6" s="30">
        <v>0.22</v>
      </c>
      <c r="C6" s="30">
        <v>0.23</v>
      </c>
      <c r="D6" s="30">
        <v>0.25</v>
      </c>
      <c r="E6" s="30">
        <v>0.25</v>
      </c>
      <c r="F6" s="30">
        <v>0.25</v>
      </c>
      <c r="G6" s="17" t="s">
        <v>137</v>
      </c>
    </row>
    <row r="7" spans="1:7" ht="15" customHeight="1" x14ac:dyDescent="0.2">
      <c r="A7" s="15" t="s">
        <v>138</v>
      </c>
      <c r="B7" s="29">
        <v>78</v>
      </c>
      <c r="C7" s="29">
        <v>78</v>
      </c>
      <c r="D7" s="29">
        <v>100</v>
      </c>
      <c r="E7" s="29">
        <v>110</v>
      </c>
      <c r="F7" s="29">
        <v>90</v>
      </c>
      <c r="G7" s="17" t="s">
        <v>139</v>
      </c>
    </row>
    <row r="8" spans="1:7" ht="15" customHeight="1" x14ac:dyDescent="0.2">
      <c r="A8" s="15" t="s">
        <v>140</v>
      </c>
      <c r="B8" s="29">
        <v>240</v>
      </c>
      <c r="C8" s="29">
        <v>290</v>
      </c>
      <c r="D8" s="29">
        <v>280</v>
      </c>
      <c r="E8" s="29">
        <v>240</v>
      </c>
      <c r="F8" s="29">
        <v>240</v>
      </c>
      <c r="G8" s="17" t="s">
        <v>141</v>
      </c>
    </row>
    <row r="9" spans="1:7" x14ac:dyDescent="0.2">
      <c r="A9" s="31" t="s">
        <v>142</v>
      </c>
      <c r="B9" s="32">
        <v>580</v>
      </c>
      <c r="C9" s="32">
        <v>640</v>
      </c>
      <c r="D9" s="32">
        <v>700</v>
      </c>
      <c r="E9" s="32">
        <v>720</v>
      </c>
      <c r="F9" s="32">
        <v>670</v>
      </c>
      <c r="G9" s="32" t="s">
        <v>141</v>
      </c>
    </row>
    <row r="10" spans="1:7" ht="15" customHeight="1" x14ac:dyDescent="0.2">
      <c r="A10" s="10" t="s">
        <v>143</v>
      </c>
      <c r="B10" s="10"/>
      <c r="C10" s="10"/>
      <c r="D10" s="10"/>
      <c r="E10" s="10"/>
      <c r="F10" s="10"/>
      <c r="G10" s="10"/>
    </row>
    <row r="11" spans="1:7" ht="15" customHeight="1" x14ac:dyDescent="0.2">
      <c r="A11" s="28" t="s">
        <v>144</v>
      </c>
      <c r="B11" s="28" t="s">
        <v>145</v>
      </c>
      <c r="C11" s="28" t="s">
        <v>19</v>
      </c>
      <c r="D11" s="28" t="s">
        <v>146</v>
      </c>
      <c r="E11" s="28"/>
      <c r="F11" s="28"/>
      <c r="G11" s="28" t="s">
        <v>147</v>
      </c>
    </row>
    <row r="12" spans="1:7" ht="15" customHeight="1" x14ac:dyDescent="0.2">
      <c r="A12" s="15" t="s">
        <v>148</v>
      </c>
      <c r="B12" s="30">
        <v>0.14000000000000001</v>
      </c>
      <c r="C12" s="33" t="s">
        <v>149</v>
      </c>
      <c r="D12" s="33" t="s">
        <v>150</v>
      </c>
    </row>
    <row r="13" spans="1:7" ht="15" customHeight="1" x14ac:dyDescent="0.2">
      <c r="A13" s="15" t="s">
        <v>151</v>
      </c>
      <c r="B13" s="30">
        <v>0.15</v>
      </c>
      <c r="C13" s="33" t="s">
        <v>149</v>
      </c>
      <c r="D13" s="33" t="s">
        <v>150</v>
      </c>
    </row>
    <row r="14" spans="1:7" ht="15" customHeight="1" x14ac:dyDescent="0.2">
      <c r="A14" s="15" t="s">
        <v>152</v>
      </c>
      <c r="B14" s="30">
        <v>1.1000000000000001</v>
      </c>
      <c r="C14" s="33" t="s">
        <v>153</v>
      </c>
      <c r="D14" s="33" t="s">
        <v>150</v>
      </c>
    </row>
    <row r="15" spans="1:7" ht="15" customHeight="1" x14ac:dyDescent="0.2">
      <c r="A15" s="15" t="s">
        <v>154</v>
      </c>
      <c r="B15" s="30">
        <v>0.6</v>
      </c>
      <c r="C15" s="33" t="s">
        <v>155</v>
      </c>
      <c r="D15" s="33" t="s">
        <v>150</v>
      </c>
    </row>
    <row r="16" spans="1:7" ht="15" customHeight="1" x14ac:dyDescent="0.2">
      <c r="A16" s="15" t="s">
        <v>156</v>
      </c>
      <c r="B16" s="29">
        <v>70</v>
      </c>
      <c r="C16" s="33" t="s">
        <v>139</v>
      </c>
      <c r="D16" s="33" t="s">
        <v>157</v>
      </c>
    </row>
    <row r="17" spans="1:4" ht="15" customHeight="1" x14ac:dyDescent="0.2">
      <c r="A17" s="15" t="s">
        <v>158</v>
      </c>
      <c r="B17" s="30">
        <v>2.1</v>
      </c>
      <c r="C17" s="33" t="s">
        <v>153</v>
      </c>
      <c r="D17" s="33" t="s">
        <v>150</v>
      </c>
    </row>
    <row r="18" spans="1:4" ht="15" customHeight="1" x14ac:dyDescent="0.2">
      <c r="A18" s="15" t="s">
        <v>159</v>
      </c>
      <c r="B18" s="30">
        <v>0.65</v>
      </c>
      <c r="C18" s="33" t="s">
        <v>155</v>
      </c>
      <c r="D18" s="33" t="s">
        <v>150</v>
      </c>
    </row>
    <row r="19" spans="1:4" ht="15" customHeight="1" x14ac:dyDescent="0.2">
      <c r="A19" s="15" t="s">
        <v>160</v>
      </c>
      <c r="B19" s="30">
        <v>0.8</v>
      </c>
      <c r="C19" s="33" t="s">
        <v>153</v>
      </c>
      <c r="D19" s="33" t="s">
        <v>150</v>
      </c>
    </row>
    <row r="20" spans="1:4" ht="15" customHeight="1" x14ac:dyDescent="0.2">
      <c r="A20" s="15" t="s">
        <v>161</v>
      </c>
      <c r="B20" s="30">
        <v>1.3</v>
      </c>
      <c r="C20" s="33" t="s">
        <v>162</v>
      </c>
      <c r="D20" s="33" t="s">
        <v>163</v>
      </c>
    </row>
    <row r="21" spans="1:4" ht="15" customHeight="1" x14ac:dyDescent="0.2">
      <c r="A21" s="15" t="s">
        <v>164</v>
      </c>
      <c r="B21" s="30">
        <v>0.6</v>
      </c>
      <c r="C21" s="33" t="s">
        <v>135</v>
      </c>
      <c r="D21" s="33" t="s">
        <v>165</v>
      </c>
    </row>
    <row r="22" spans="1:4" ht="15" customHeight="1" x14ac:dyDescent="0.2">
      <c r="A22" s="15" t="s">
        <v>166</v>
      </c>
      <c r="B22" s="30">
        <v>0.8</v>
      </c>
      <c r="C22" s="33" t="s">
        <v>135</v>
      </c>
      <c r="D22" s="33" t="s">
        <v>165</v>
      </c>
    </row>
    <row r="23" spans="1:4" ht="15" customHeight="1" x14ac:dyDescent="0.2">
      <c r="A23" s="15" t="s">
        <v>167</v>
      </c>
      <c r="B23" s="30">
        <v>0.62</v>
      </c>
      <c r="C23" s="33" t="s">
        <v>135</v>
      </c>
      <c r="D23" s="33" t="s">
        <v>165</v>
      </c>
    </row>
    <row r="24" spans="1:4" ht="15" customHeight="1" x14ac:dyDescent="0.2">
      <c r="A24" s="15" t="s">
        <v>168</v>
      </c>
      <c r="B24" s="30">
        <v>0.8</v>
      </c>
      <c r="C24" s="33" t="s">
        <v>169</v>
      </c>
      <c r="D24" s="33" t="s">
        <v>167</v>
      </c>
    </row>
    <row r="25" spans="1:4" ht="15" customHeight="1" x14ac:dyDescent="0.2">
      <c r="A25" s="15" t="s">
        <v>170</v>
      </c>
      <c r="B25" s="30">
        <v>0.6</v>
      </c>
      <c r="C25" s="33" t="s">
        <v>135</v>
      </c>
      <c r="D25" s="33" t="s">
        <v>165</v>
      </c>
    </row>
    <row r="26" spans="1:4" ht="15" customHeight="1" x14ac:dyDescent="0.2">
      <c r="A26" s="15" t="s">
        <v>171</v>
      </c>
      <c r="B26" s="30">
        <v>0.2</v>
      </c>
      <c r="C26" s="33" t="s">
        <v>135</v>
      </c>
      <c r="D26" s="33" t="s">
        <v>165</v>
      </c>
    </row>
    <row r="27" spans="1:4" ht="15" customHeight="1" x14ac:dyDescent="0.2">
      <c r="A27" s="15" t="s">
        <v>172</v>
      </c>
      <c r="B27" s="30">
        <v>0.15</v>
      </c>
      <c r="C27" s="33" t="s">
        <v>135</v>
      </c>
      <c r="D27" s="33" t="s">
        <v>165</v>
      </c>
    </row>
    <row r="28" spans="1:4" ht="15" customHeight="1" x14ac:dyDescent="0.2">
      <c r="A28" s="15" t="s">
        <v>173</v>
      </c>
      <c r="B28" s="29">
        <v>2</v>
      </c>
      <c r="C28" s="33" t="s">
        <v>174</v>
      </c>
      <c r="D28" s="33" t="s">
        <v>175</v>
      </c>
    </row>
    <row r="29" spans="1:4" ht="15" customHeight="1" x14ac:dyDescent="0.2">
      <c r="A29" s="15" t="s">
        <v>176</v>
      </c>
      <c r="B29" s="29">
        <v>11</v>
      </c>
      <c r="C29" s="33" t="s">
        <v>177</v>
      </c>
      <c r="D29" s="33" t="s">
        <v>175</v>
      </c>
    </row>
    <row r="30" spans="1:4" ht="15" customHeight="1" x14ac:dyDescent="0.2">
      <c r="A30" s="15" t="s">
        <v>178</v>
      </c>
      <c r="B30" s="30">
        <v>153.5</v>
      </c>
      <c r="C30" s="33" t="s">
        <v>141</v>
      </c>
      <c r="D30" s="33" t="s">
        <v>165</v>
      </c>
    </row>
    <row r="31" spans="1:4" ht="15" customHeight="1" x14ac:dyDescent="0.2">
      <c r="A31" s="15" t="s">
        <v>179</v>
      </c>
      <c r="B31" s="30">
        <v>145</v>
      </c>
      <c r="C31" s="33" t="s">
        <v>141</v>
      </c>
      <c r="D31" s="33" t="s">
        <v>165</v>
      </c>
    </row>
    <row r="32" spans="1:4" ht="15" customHeight="1" x14ac:dyDescent="0.2">
      <c r="A32" s="15" t="s">
        <v>180</v>
      </c>
      <c r="B32" s="30">
        <v>41</v>
      </c>
      <c r="C32" s="33" t="s">
        <v>141</v>
      </c>
      <c r="D32" s="33" t="s">
        <v>165</v>
      </c>
    </row>
    <row r="35" spans="1:7" ht="15" customHeight="1" x14ac:dyDescent="0.2">
      <c r="A35" s="10" t="s">
        <v>181</v>
      </c>
      <c r="B35" s="10"/>
      <c r="C35" s="10"/>
      <c r="D35" s="10"/>
      <c r="E35" s="10"/>
      <c r="F35" s="10"/>
      <c r="G35" s="10"/>
    </row>
    <row r="36" spans="1:7" ht="15" customHeight="1" x14ac:dyDescent="0.2">
      <c r="A36" s="15" t="s">
        <v>182</v>
      </c>
      <c r="B36" s="29">
        <v>75</v>
      </c>
    </row>
    <row r="37" spans="1:7" ht="15" customHeight="1" x14ac:dyDescent="0.2">
      <c r="A37" s="15" t="s">
        <v>183</v>
      </c>
      <c r="B37" s="29">
        <v>45</v>
      </c>
    </row>
    <row r="38" spans="1:7" ht="15" customHeight="1" x14ac:dyDescent="0.2">
      <c r="A38" s="15" t="s">
        <v>184</v>
      </c>
      <c r="B38" s="29">
        <v>30</v>
      </c>
    </row>
    <row r="39" spans="1:7" ht="15" customHeight="1" x14ac:dyDescent="0.2">
      <c r="A39" s="15" t="s">
        <v>185</v>
      </c>
      <c r="B39" s="29">
        <v>25</v>
      </c>
    </row>
    <row r="40" spans="1:7" ht="15" customHeight="1" x14ac:dyDescent="0.2">
      <c r="A40" s="15" t="s">
        <v>186</v>
      </c>
      <c r="B40" s="29">
        <v>20</v>
      </c>
    </row>
    <row r="41" spans="1:7" ht="15" customHeight="1" x14ac:dyDescent="0.2">
      <c r="A41" s="15" t="s">
        <v>187</v>
      </c>
      <c r="B41" s="29">
        <v>15</v>
      </c>
    </row>
    <row r="42" spans="1:7" ht="15" customHeight="1" x14ac:dyDescent="0.2">
      <c r="A42" s="15" t="s">
        <v>188</v>
      </c>
      <c r="B42" s="29">
        <v>11</v>
      </c>
    </row>
    <row r="43" spans="1:7" ht="15" customHeight="1" x14ac:dyDescent="0.2">
      <c r="A43" s="15" t="s">
        <v>189</v>
      </c>
      <c r="B43" s="29">
        <v>10</v>
      </c>
    </row>
    <row r="44" spans="1:7" ht="15" customHeight="1" x14ac:dyDescent="0.2">
      <c r="A44" s="15" t="s">
        <v>190</v>
      </c>
      <c r="B44" s="29">
        <v>5</v>
      </c>
    </row>
    <row r="45" spans="1:7" ht="15" customHeight="1" x14ac:dyDescent="0.2">
      <c r="A45" s="15" t="s">
        <v>191</v>
      </c>
      <c r="B45" s="29">
        <v>5</v>
      </c>
    </row>
    <row r="46" spans="1:7" ht="15" customHeight="1" x14ac:dyDescent="0.2">
      <c r="A46" s="15" t="s">
        <v>192</v>
      </c>
      <c r="B46" s="29">
        <v>4</v>
      </c>
    </row>
    <row r="48" spans="1:7" ht="15" customHeight="1" x14ac:dyDescent="0.2">
      <c r="A48" s="10" t="s">
        <v>193</v>
      </c>
      <c r="B48" s="10"/>
      <c r="C48" s="10"/>
      <c r="D48" s="10"/>
      <c r="E48" s="10"/>
      <c r="F48" s="10"/>
      <c r="G48" s="10"/>
    </row>
    <row r="49" spans="1:4" ht="15" customHeight="1" x14ac:dyDescent="0.2">
      <c r="A49" s="15" t="s">
        <v>194</v>
      </c>
      <c r="B49" s="34">
        <v>1.1000000000000001</v>
      </c>
      <c r="C49" s="17" t="s">
        <v>195</v>
      </c>
    </row>
    <row r="50" spans="1:4" ht="15" customHeight="1" x14ac:dyDescent="0.2">
      <c r="A50" s="15" t="s">
        <v>196</v>
      </c>
      <c r="B50" s="34">
        <v>1.3</v>
      </c>
      <c r="C50" s="17" t="s">
        <v>197</v>
      </c>
    </row>
    <row r="51" spans="1:4" ht="15" customHeight="1" x14ac:dyDescent="0.2">
      <c r="A51" s="15" t="s">
        <v>198</v>
      </c>
      <c r="B51" s="34">
        <v>1.05</v>
      </c>
      <c r="C51" s="17" t="s">
        <v>199</v>
      </c>
    </row>
    <row r="52" spans="1:4" ht="15" customHeight="1" x14ac:dyDescent="0.2">
      <c r="A52" s="15" t="s">
        <v>200</v>
      </c>
      <c r="B52" s="34">
        <v>1.05</v>
      </c>
      <c r="C52" s="17" t="s">
        <v>201</v>
      </c>
    </row>
    <row r="53" spans="1:4" ht="15" customHeight="1" x14ac:dyDescent="0.2">
      <c r="A53" s="15" t="s">
        <v>202</v>
      </c>
      <c r="B53" s="34">
        <v>1.3</v>
      </c>
      <c r="C53" s="17" t="s">
        <v>203</v>
      </c>
    </row>
    <row r="54" spans="1:4" ht="15" customHeight="1" x14ac:dyDescent="0.2">
      <c r="A54" s="15" t="s">
        <v>204</v>
      </c>
      <c r="B54" s="34">
        <v>1.5</v>
      </c>
      <c r="C54" s="17" t="s">
        <v>205</v>
      </c>
    </row>
    <row r="56" spans="1:4" x14ac:dyDescent="0.2">
      <c r="A56" s="35" t="s">
        <v>206</v>
      </c>
    </row>
    <row r="57" spans="1:4" x14ac:dyDescent="0.2">
      <c r="A57" s="36" t="s">
        <v>207</v>
      </c>
      <c r="B57" s="36" t="s">
        <v>73</v>
      </c>
      <c r="C57" s="36" t="s">
        <v>208</v>
      </c>
      <c r="D57" s="36" t="s">
        <v>209</v>
      </c>
    </row>
    <row r="58" spans="1:4" x14ac:dyDescent="0.2">
      <c r="A58" s="37" t="s">
        <v>210</v>
      </c>
      <c r="B58" s="32">
        <v>211</v>
      </c>
      <c r="C58" s="32">
        <v>300</v>
      </c>
      <c r="D58" s="32">
        <v>417</v>
      </c>
    </row>
    <row r="59" spans="1:4" x14ac:dyDescent="0.2">
      <c r="A59" s="37" t="s">
        <v>211</v>
      </c>
      <c r="B59" s="32">
        <v>140</v>
      </c>
      <c r="C59" s="32">
        <v>200</v>
      </c>
      <c r="D59" s="32">
        <v>290</v>
      </c>
    </row>
    <row r="60" spans="1:4" x14ac:dyDescent="0.2">
      <c r="A60" s="37" t="s">
        <v>212</v>
      </c>
      <c r="B60" s="32">
        <v>133</v>
      </c>
      <c r="C60" s="32">
        <v>250</v>
      </c>
      <c r="D60" s="32">
        <v>389</v>
      </c>
    </row>
    <row r="61" spans="1:4" x14ac:dyDescent="0.2">
      <c r="A61" s="37" t="s">
        <v>213</v>
      </c>
      <c r="B61" s="32">
        <v>25</v>
      </c>
      <c r="C61" s="32">
        <v>30</v>
      </c>
      <c r="D61" s="32">
        <v>33</v>
      </c>
    </row>
    <row r="62" spans="1:4" x14ac:dyDescent="0.2">
      <c r="A62" s="37" t="s">
        <v>214</v>
      </c>
      <c r="B62" s="32">
        <v>53</v>
      </c>
      <c r="C62" s="32">
        <v>75</v>
      </c>
      <c r="D62" s="32">
        <v>100</v>
      </c>
    </row>
    <row r="63" spans="1:4" x14ac:dyDescent="0.2">
      <c r="A63" s="37" t="s">
        <v>215</v>
      </c>
      <c r="B63" s="32">
        <v>115</v>
      </c>
      <c r="C63" s="32">
        <v>155</v>
      </c>
      <c r="D63" s="32">
        <v>199</v>
      </c>
    </row>
    <row r="65" spans="1:2" x14ac:dyDescent="0.2">
      <c r="A65" s="38" t="s">
        <v>216</v>
      </c>
    </row>
    <row r="66" spans="1:2" x14ac:dyDescent="0.2">
      <c r="A66" s="39" t="s">
        <v>217</v>
      </c>
      <c r="B66" s="40">
        <v>1</v>
      </c>
    </row>
    <row r="67" spans="1:2" x14ac:dyDescent="0.2">
      <c r="A67" s="39" t="s">
        <v>218</v>
      </c>
      <c r="B67" s="40">
        <v>1.08</v>
      </c>
    </row>
    <row r="68" spans="1:2" x14ac:dyDescent="0.2">
      <c r="A68" s="39" t="s">
        <v>219</v>
      </c>
      <c r="B68" s="40">
        <v>0.85</v>
      </c>
    </row>
    <row r="70" spans="1:2" x14ac:dyDescent="0.2">
      <c r="A70" s="38" t="s">
        <v>220</v>
      </c>
    </row>
    <row r="71" spans="1:2" x14ac:dyDescent="0.2">
      <c r="A71" s="39" t="s">
        <v>221</v>
      </c>
      <c r="B71" s="40">
        <v>1</v>
      </c>
    </row>
    <row r="72" spans="1:2" x14ac:dyDescent="0.2">
      <c r="A72" s="39" t="s">
        <v>222</v>
      </c>
      <c r="B72" s="40">
        <v>1.1499999999999999</v>
      </c>
    </row>
    <row r="73" spans="1:2" x14ac:dyDescent="0.2">
      <c r="A73" s="39" t="s">
        <v>223</v>
      </c>
      <c r="B73" s="40">
        <v>1.05</v>
      </c>
    </row>
    <row r="74" spans="1:2" x14ac:dyDescent="0.2">
      <c r="A74" s="39" t="s">
        <v>224</v>
      </c>
      <c r="B74" s="40">
        <v>0.95</v>
      </c>
    </row>
  </sheetData>
  <mergeCells count="4">
    <mergeCell ref="A1:G1"/>
    <mergeCell ref="A10:G10"/>
    <mergeCell ref="A35:G35"/>
    <mergeCell ref="A48:G48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H36"/>
  <sheetViews>
    <sheetView tabSelected="1" zoomScaleNormal="100" workbookViewId="0">
      <pane ySplit="4" topLeftCell="A5" activePane="bottomLeft" state="frozen"/>
      <selection pane="bottomLeft" activeCell="D10" sqref="D10"/>
    </sheetView>
  </sheetViews>
  <sheetFormatPr baseColWidth="10" defaultColWidth="8.6640625" defaultRowHeight="15" customHeight="1" x14ac:dyDescent="0.2"/>
  <cols>
    <col min="1" max="1" width="5" customWidth="1"/>
    <col min="2" max="2" width="30" customWidth="1"/>
    <col min="3" max="6" width="18" customWidth="1"/>
    <col min="7" max="7" width="12" customWidth="1"/>
    <col min="8" max="8" width="28" customWidth="1"/>
  </cols>
  <sheetData>
    <row r="1" spans="1:8" ht="17.25" customHeight="1" x14ac:dyDescent="0.2">
      <c r="A1" s="9" t="s">
        <v>225</v>
      </c>
      <c r="B1" s="9"/>
      <c r="C1" s="9"/>
      <c r="D1" s="9"/>
      <c r="E1" s="9"/>
      <c r="F1" s="9"/>
      <c r="G1" s="9"/>
    </row>
    <row r="2" spans="1:8" ht="15" customHeight="1" x14ac:dyDescent="0.2">
      <c r="A2" s="41" t="s">
        <v>226</v>
      </c>
      <c r="B2" s="42">
        <f>DADOS!B14</f>
        <v>12879.93</v>
      </c>
      <c r="C2" s="41" t="s">
        <v>227</v>
      </c>
      <c r="D2" s="43">
        <v>1.1000000000000001</v>
      </c>
    </row>
    <row r="4" spans="1:8" ht="26.25" customHeight="1" x14ac:dyDescent="0.2">
      <c r="A4" s="44" t="s">
        <v>228</v>
      </c>
      <c r="B4" s="44" t="s">
        <v>207</v>
      </c>
      <c r="C4" s="44" t="s">
        <v>229</v>
      </c>
      <c r="D4" s="44" t="s">
        <v>230</v>
      </c>
      <c r="E4" s="44" t="s">
        <v>231</v>
      </c>
      <c r="F4" s="44" t="s">
        <v>232</v>
      </c>
      <c r="G4" s="44" t="s">
        <v>233</v>
      </c>
      <c r="H4" s="23" t="s">
        <v>234</v>
      </c>
    </row>
    <row r="5" spans="1:8" ht="15" customHeight="1" x14ac:dyDescent="0.2">
      <c r="A5" s="45">
        <v>1</v>
      </c>
      <c r="B5" s="46" t="s">
        <v>235</v>
      </c>
      <c r="C5" s="47">
        <v>450</v>
      </c>
      <c r="D5" s="48">
        <f t="shared" ref="D5:D22" si="0">C5*$B$2*$D$2</f>
        <v>6375565.3500000006</v>
      </c>
      <c r="E5" s="49">
        <f t="shared" ref="E5:E22" si="1">IF($D$23=0,"",D5/$D$23)</f>
        <v>0.1362810417928528</v>
      </c>
      <c r="F5" s="50">
        <v>450</v>
      </c>
      <c r="G5" s="45" t="str">
        <f t="shared" ref="G5:G22" si="2">IF(C5="","",IF(C5&gt;F5*1.15,"⚠ ACIMA",IF(C5&lt;F5*0.85,"↓ ABAIXO","✓ OK")))</f>
        <v>✓ OK</v>
      </c>
      <c r="H5" s="51" t="s">
        <v>236</v>
      </c>
    </row>
    <row r="6" spans="1:8" ht="15" customHeight="1" x14ac:dyDescent="0.2">
      <c r="A6" s="45">
        <v>2</v>
      </c>
      <c r="B6" s="46" t="s">
        <v>237</v>
      </c>
      <c r="C6" s="47">
        <v>15</v>
      </c>
      <c r="D6" s="48">
        <f t="shared" si="0"/>
        <v>212518.84500000003</v>
      </c>
      <c r="E6" s="49">
        <f t="shared" si="1"/>
        <v>4.5427013930950935E-3</v>
      </c>
      <c r="F6" s="50">
        <v>15</v>
      </c>
      <c r="G6" s="45" t="str">
        <f t="shared" si="2"/>
        <v>✓ OK</v>
      </c>
      <c r="H6" s="51" t="s">
        <v>236</v>
      </c>
    </row>
    <row r="7" spans="1:8" ht="15" customHeight="1" x14ac:dyDescent="0.2">
      <c r="A7" s="45">
        <v>3</v>
      </c>
      <c r="B7" s="46" t="s">
        <v>238</v>
      </c>
      <c r="C7" s="52">
        <f>IF(DADOS!B39="Sim",260,IF(DADOS!B39="Não",195,220))</f>
        <v>195</v>
      </c>
      <c r="D7" s="48">
        <f t="shared" si="0"/>
        <v>2762744.9850000003</v>
      </c>
      <c r="E7" s="49">
        <f t="shared" si="1"/>
        <v>5.905511811023622E-2</v>
      </c>
      <c r="F7" s="50">
        <v>220</v>
      </c>
      <c r="G7" s="45" t="str">
        <f t="shared" si="2"/>
        <v>✓ OK</v>
      </c>
      <c r="H7" s="26" t="s">
        <v>239</v>
      </c>
    </row>
    <row r="8" spans="1:8" ht="15" customHeight="1" x14ac:dyDescent="0.2">
      <c r="A8" s="45">
        <v>4</v>
      </c>
      <c r="B8" s="46" t="s">
        <v>240</v>
      </c>
      <c r="C8" s="52">
        <f>IF(DADOS!B37="Maciça",ÍNDICES!B9,IF(DADOS!B37="Cubetas",ÍNDICES!C9,IF(DADOS!B37="Cub.Protendida",ÍNDICES!D9,IF(DADOS!B37="Treliçada",ÍNDICES!E9,IF(DADOS!B37="Protendida",ÍNDICES!F9,670)))))</f>
        <v>640</v>
      </c>
      <c r="D8" s="48">
        <f t="shared" si="0"/>
        <v>9067470.7200000007</v>
      </c>
      <c r="E8" s="49">
        <f t="shared" si="1"/>
        <v>0.19382192610539065</v>
      </c>
      <c r="F8" s="50">
        <v>670</v>
      </c>
      <c r="G8" s="45" t="str">
        <f t="shared" si="2"/>
        <v>✓ OK</v>
      </c>
      <c r="H8" s="26" t="s">
        <v>241</v>
      </c>
    </row>
    <row r="9" spans="1:8" ht="15" customHeight="1" x14ac:dyDescent="0.2">
      <c r="A9" s="45">
        <v>5</v>
      </c>
      <c r="B9" s="15" t="s">
        <v>87</v>
      </c>
      <c r="C9" s="52">
        <f>IF(DADOS!B42="Alvenaria",145,IF(DADOS!B42="Drywall",208,IF(DADOS!B42="Misto",185,160)))</f>
        <v>145</v>
      </c>
      <c r="D9" s="48">
        <f t="shared" si="0"/>
        <v>2054348.8350000002</v>
      </c>
      <c r="E9" s="49">
        <f t="shared" si="1"/>
        <v>4.3912780133252574E-2</v>
      </c>
      <c r="F9" s="50">
        <v>160</v>
      </c>
      <c r="G9" s="45" t="str">
        <f t="shared" si="2"/>
        <v>✓ OK</v>
      </c>
      <c r="H9" s="26" t="s">
        <v>242</v>
      </c>
    </row>
    <row r="10" spans="1:8" ht="15" customHeight="1" x14ac:dyDescent="0.2">
      <c r="A10" s="45">
        <v>6</v>
      </c>
      <c r="B10" s="15" t="s">
        <v>243</v>
      </c>
      <c r="C10" s="47">
        <v>75</v>
      </c>
      <c r="D10" s="48">
        <f t="shared" si="0"/>
        <v>1062594.2250000001</v>
      </c>
      <c r="E10" s="49">
        <f t="shared" si="1"/>
        <v>2.2713506965475468E-2</v>
      </c>
      <c r="F10" s="50">
        <v>75</v>
      </c>
      <c r="G10" s="45" t="str">
        <f t="shared" si="2"/>
        <v>✓ OK</v>
      </c>
      <c r="H10" s="51" t="s">
        <v>236</v>
      </c>
    </row>
    <row r="11" spans="1:8" ht="15" customHeight="1" x14ac:dyDescent="0.2">
      <c r="A11" s="45">
        <v>7</v>
      </c>
      <c r="B11" s="15" t="s">
        <v>244</v>
      </c>
      <c r="C11" s="47">
        <v>340</v>
      </c>
      <c r="D11" s="48">
        <f t="shared" si="0"/>
        <v>4817093.82</v>
      </c>
      <c r="E11" s="49">
        <f t="shared" si="1"/>
        <v>0.10296789824348879</v>
      </c>
      <c r="F11" s="50">
        <v>340</v>
      </c>
      <c r="G11" s="45" t="str">
        <f t="shared" si="2"/>
        <v>✓ OK</v>
      </c>
      <c r="H11" s="51" t="s">
        <v>236</v>
      </c>
    </row>
    <row r="12" spans="1:8" ht="15" customHeight="1" x14ac:dyDescent="0.2">
      <c r="A12" s="45">
        <v>8</v>
      </c>
      <c r="B12" s="15" t="s">
        <v>245</v>
      </c>
      <c r="C12" s="47">
        <v>150</v>
      </c>
      <c r="D12" s="48">
        <f t="shared" si="0"/>
        <v>2125188.4500000002</v>
      </c>
      <c r="E12" s="49">
        <f t="shared" si="1"/>
        <v>4.5427013930950937E-2</v>
      </c>
      <c r="F12" s="50">
        <v>150</v>
      </c>
      <c r="G12" s="45" t="str">
        <f t="shared" si="2"/>
        <v>✓ OK</v>
      </c>
      <c r="H12" s="51" t="s">
        <v>236</v>
      </c>
    </row>
    <row r="13" spans="1:8" ht="15" customHeight="1" x14ac:dyDescent="0.2">
      <c r="A13" s="45">
        <v>9</v>
      </c>
      <c r="B13" s="15" t="s">
        <v>246</v>
      </c>
      <c r="C13" s="47">
        <v>45</v>
      </c>
      <c r="D13" s="48">
        <f t="shared" si="0"/>
        <v>637556.53500000003</v>
      </c>
      <c r="E13" s="49">
        <f t="shared" si="1"/>
        <v>1.362810417928528E-2</v>
      </c>
      <c r="F13" s="50">
        <v>45</v>
      </c>
      <c r="G13" s="45" t="str">
        <f t="shared" si="2"/>
        <v>✓ OK</v>
      </c>
      <c r="H13" s="51" t="s">
        <v>236</v>
      </c>
    </row>
    <row r="14" spans="1:8" ht="15" customHeight="1" x14ac:dyDescent="0.2">
      <c r="A14" s="45">
        <v>10</v>
      </c>
      <c r="B14" s="15" t="s">
        <v>211</v>
      </c>
      <c r="C14" s="52">
        <f>IF(DADOS!B38="Standard",ÍNDICES!B59,IF(DADOS!B38="Alto Padrão",ÍNDICES!C59,IF(DADOS!B38="Super Alto Padrão",ÍNDICES!D59,200)))</f>
        <v>140</v>
      </c>
      <c r="D14" s="48">
        <f t="shared" si="0"/>
        <v>1983509.2200000002</v>
      </c>
      <c r="E14" s="49">
        <f t="shared" si="1"/>
        <v>4.2398546335554205E-2</v>
      </c>
      <c r="F14" s="50">
        <v>200</v>
      </c>
      <c r="G14" s="45" t="str">
        <f t="shared" si="2"/>
        <v>↓ ABAIXO</v>
      </c>
      <c r="H14" s="26" t="s">
        <v>247</v>
      </c>
    </row>
    <row r="15" spans="1:8" ht="15" customHeight="1" x14ac:dyDescent="0.2">
      <c r="A15" s="45">
        <v>11</v>
      </c>
      <c r="B15" s="15" t="s">
        <v>214</v>
      </c>
      <c r="C15" s="52">
        <f>IF(DADOS!B38="Standard",ÍNDICES!B62,IF(DADOS!B38="Alto Padrão",ÍNDICES!C62,IF(DADOS!B38="Super Alto Padrão",ÍNDICES!D62,75)))</f>
        <v>53</v>
      </c>
      <c r="D15" s="48">
        <f t="shared" si="0"/>
        <v>750899.91900000011</v>
      </c>
      <c r="E15" s="49">
        <f t="shared" si="1"/>
        <v>1.6050878255602665E-2</v>
      </c>
      <c r="F15" s="50">
        <v>75</v>
      </c>
      <c r="G15" s="45" t="str">
        <f t="shared" si="2"/>
        <v>↓ ABAIXO</v>
      </c>
      <c r="H15" s="26" t="s">
        <v>247</v>
      </c>
    </row>
    <row r="16" spans="1:8" ht="15" customHeight="1" x14ac:dyDescent="0.2">
      <c r="A16" s="45">
        <v>12</v>
      </c>
      <c r="B16" s="15" t="s">
        <v>212</v>
      </c>
      <c r="C16" s="52">
        <f>IF(DADOS!B38="Standard",ÍNDICES!B60,IF(DADOS!B38="Alto Padrão",ÍNDICES!C60,IF(DADOS!B38="Super Alto Padrão",ÍNDICES!D60,250)))</f>
        <v>133</v>
      </c>
      <c r="D16" s="48">
        <f t="shared" si="0"/>
        <v>1884333.7590000001</v>
      </c>
      <c r="E16" s="49">
        <f t="shared" si="1"/>
        <v>4.0278619018776496E-2</v>
      </c>
      <c r="F16" s="50">
        <v>250</v>
      </c>
      <c r="G16" s="45" t="str">
        <f t="shared" si="2"/>
        <v>↓ ABAIXO</v>
      </c>
      <c r="H16" s="26" t="s">
        <v>247</v>
      </c>
    </row>
    <row r="17" spans="1:8" ht="15" customHeight="1" x14ac:dyDescent="0.2">
      <c r="A17" s="45">
        <v>13</v>
      </c>
      <c r="B17" s="15" t="s">
        <v>215</v>
      </c>
      <c r="C17" s="52">
        <f>IF(DADOS!B38="Standard",ÍNDICES!B63,IF(DADOS!B38="Alto Padrão",ÍNDICES!C63,IF(DADOS!B38="Super Alto Padrão",ÍNDICES!D63,155)))</f>
        <v>115</v>
      </c>
      <c r="D17" s="48">
        <f t="shared" si="0"/>
        <v>1629311.145</v>
      </c>
      <c r="E17" s="49">
        <f t="shared" si="1"/>
        <v>3.4827377347062378E-2</v>
      </c>
      <c r="F17" s="50">
        <v>155</v>
      </c>
      <c r="G17" s="45" t="str">
        <f t="shared" si="2"/>
        <v>↓ ABAIXO</v>
      </c>
      <c r="H17" s="26" t="s">
        <v>247</v>
      </c>
    </row>
    <row r="18" spans="1:8" ht="15" customHeight="1" x14ac:dyDescent="0.2">
      <c r="A18" s="45">
        <v>14</v>
      </c>
      <c r="B18" s="15" t="s">
        <v>210</v>
      </c>
      <c r="C18" s="52">
        <f>(IF(DADOS!B38="Standard",ÍNDICES!B58,IF(DADOS!B38="Alto Padrão",ÍNDICES!C58,IF(DADOS!B38="Super Alto Padrão",ÍNDICES!D58,300)))+IF(DADOS!B48="Sim",120,0))*IF(DADOS!B50="Alumínio Anodizado",ÍNDICES!B66,IF(DADOS!B50="Pintura Eletrostática",ÍNDICES!B67,IF(DADOS!B50="PVC",ÍNDICES!B68,1)))</f>
        <v>211</v>
      </c>
      <c r="D18" s="48">
        <f t="shared" si="0"/>
        <v>2989431.753</v>
      </c>
      <c r="E18" s="49">
        <f t="shared" si="1"/>
        <v>6.3900666262870984E-2</v>
      </c>
      <c r="F18" s="50">
        <v>300</v>
      </c>
      <c r="G18" s="45" t="str">
        <f t="shared" si="2"/>
        <v>↓ ABAIXO</v>
      </c>
      <c r="H18" s="26" t="s">
        <v>248</v>
      </c>
    </row>
    <row r="19" spans="1:8" ht="15" customHeight="1" x14ac:dyDescent="0.2">
      <c r="A19" s="45">
        <v>15</v>
      </c>
      <c r="B19" s="15" t="s">
        <v>213</v>
      </c>
      <c r="C19" s="52">
        <f>IF(DADOS!B38="Standard",ÍNDICES!B61,IF(DADOS!B38="Alto Padrão",ÍNDICES!C61,IF(DADOS!B38="Super Alto Padrão",ÍNDICES!D61,30)))</f>
        <v>25</v>
      </c>
      <c r="D19" s="48">
        <f t="shared" si="0"/>
        <v>354198.07500000001</v>
      </c>
      <c r="E19" s="49">
        <f t="shared" si="1"/>
        <v>7.5711689884918219E-3</v>
      </c>
      <c r="F19" s="50">
        <v>30</v>
      </c>
      <c r="G19" s="45" t="str">
        <f t="shared" si="2"/>
        <v>↓ ABAIXO</v>
      </c>
      <c r="H19" s="26" t="s">
        <v>247</v>
      </c>
    </row>
    <row r="20" spans="1:8" ht="15" customHeight="1" x14ac:dyDescent="0.2">
      <c r="A20" s="45">
        <v>16</v>
      </c>
      <c r="B20" s="15" t="s">
        <v>249</v>
      </c>
      <c r="C20" s="52">
        <f>(IF(DADOS!B43="Empreitada",280,IF(DADOS!B43="Equipe Própria",220,250))+IF(DADOS!B49="Sim",25,0))*IF(DADOS!B51="Convencional",ÍNDICES!B71,IF(DADOS!B51="Neoclássica",ÍNDICES!B72,IF(DADOS!B51="Moderna",ÍNDICES!B73,IF(DADOS!B51="Minimalista",ÍNDICES!B74,1))))</f>
        <v>305</v>
      </c>
      <c r="D20" s="48">
        <f t="shared" si="0"/>
        <v>4321216.5150000006</v>
      </c>
      <c r="E20" s="49">
        <f t="shared" si="1"/>
        <v>9.2368261659600243E-2</v>
      </c>
      <c r="F20" s="50">
        <v>140</v>
      </c>
      <c r="G20" s="45" t="str">
        <f t="shared" si="2"/>
        <v>⚠ ACIMA</v>
      </c>
      <c r="H20" s="26" t="s">
        <v>250</v>
      </c>
    </row>
    <row r="21" spans="1:8" ht="15" customHeight="1" x14ac:dyDescent="0.2">
      <c r="A21" s="45">
        <v>17</v>
      </c>
      <c r="B21" s="15" t="s">
        <v>251</v>
      </c>
      <c r="C21" s="52">
        <f>(IF(DADOS!B46="Básico",160,IF(DADOS!B46="Completo",200,IF(DADOS!B46="Premium",260,200))))+IF(DADOS!B44="Sim",50,0)</f>
        <v>200</v>
      </c>
      <c r="D21" s="48">
        <f t="shared" si="0"/>
        <v>2833584.6</v>
      </c>
      <c r="E21" s="49">
        <f t="shared" si="1"/>
        <v>6.0569351907934575E-2</v>
      </c>
      <c r="F21" s="50">
        <v>200</v>
      </c>
      <c r="G21" s="45" t="str">
        <f t="shared" si="2"/>
        <v>✓ OK</v>
      </c>
      <c r="H21" s="26" t="s">
        <v>252</v>
      </c>
    </row>
    <row r="22" spans="1:8" ht="15" customHeight="1" x14ac:dyDescent="0.2">
      <c r="A22" s="45">
        <v>18</v>
      </c>
      <c r="B22" s="15" t="s">
        <v>253</v>
      </c>
      <c r="C22" s="47">
        <v>65</v>
      </c>
      <c r="D22" s="48">
        <f t="shared" si="0"/>
        <v>920914.99500000011</v>
      </c>
      <c r="E22" s="49">
        <f t="shared" si="1"/>
        <v>1.968503937007874E-2</v>
      </c>
      <c r="F22" s="50">
        <v>65</v>
      </c>
      <c r="G22" s="45" t="str">
        <f t="shared" si="2"/>
        <v>✓ OK</v>
      </c>
      <c r="H22" s="51" t="s">
        <v>236</v>
      </c>
    </row>
    <row r="23" spans="1:8" ht="15" customHeight="1" x14ac:dyDescent="0.2">
      <c r="A23" s="8" t="s">
        <v>254</v>
      </c>
      <c r="B23" s="8"/>
      <c r="C23" s="53">
        <f>SUM(C5:C22)</f>
        <v>3302</v>
      </c>
      <c r="D23" s="53">
        <f>SUM(D5:D22)</f>
        <v>46782481.746000007</v>
      </c>
      <c r="E23" s="54">
        <f>SUM(E5:E22)</f>
        <v>0.99999999999999989</v>
      </c>
      <c r="F23" s="55">
        <f>SUM(F5:F22)</f>
        <v>3540</v>
      </c>
    </row>
    <row r="25" spans="1:8" ht="15" customHeight="1" x14ac:dyDescent="0.2">
      <c r="A25" s="7" t="s">
        <v>255</v>
      </c>
      <c r="B25" s="7"/>
    </row>
    <row r="26" spans="1:8" ht="15" customHeight="1" x14ac:dyDescent="0.2">
      <c r="A26" s="6" t="s">
        <v>256</v>
      </c>
      <c r="B26" s="6"/>
      <c r="C26" s="56">
        <f>C23</f>
        <v>3302</v>
      </c>
    </row>
    <row r="27" spans="1:8" ht="15" customHeight="1" x14ac:dyDescent="0.2">
      <c r="A27" s="6" t="s">
        <v>257</v>
      </c>
      <c r="B27" s="6"/>
      <c r="C27" s="56">
        <f>D23</f>
        <v>46782481.746000007</v>
      </c>
    </row>
    <row r="28" spans="1:8" ht="15" customHeight="1" x14ac:dyDescent="0.2">
      <c r="A28" s="6" t="s">
        <v>258</v>
      </c>
      <c r="B28" s="6"/>
      <c r="C28" s="57" t="str">
        <f>IF(DADOS!B9=0,"Preencher CUB",C23/DADOS!B9)</f>
        <v>Preencher CUB</v>
      </c>
    </row>
    <row r="29" spans="1:8" ht="15" customHeight="1" x14ac:dyDescent="0.2">
      <c r="A29" s="6" t="s">
        <v>259</v>
      </c>
      <c r="B29" s="6"/>
      <c r="C29" s="56">
        <f>IF(DADOS!B19=0,"",D23/DADOS!B19)</f>
        <v>835401.45975000015</v>
      </c>
    </row>
    <row r="30" spans="1:8" ht="15" customHeight="1" x14ac:dyDescent="0.2">
      <c r="A30" s="6" t="s">
        <v>260</v>
      </c>
      <c r="B30" s="6"/>
      <c r="C30" s="57">
        <f>IF(DADOS!B19=0,"",DADOS!B14/DADOS!B19)</f>
        <v>229.99875</v>
      </c>
    </row>
    <row r="36" spans="5:5" ht="15" customHeight="1" x14ac:dyDescent="0.2">
      <c r="E36" s="69"/>
    </row>
  </sheetData>
  <mergeCells count="8">
    <mergeCell ref="A28:B28"/>
    <mergeCell ref="A29:B29"/>
    <mergeCell ref="A30:B30"/>
    <mergeCell ref="A1:G1"/>
    <mergeCell ref="A23:B23"/>
    <mergeCell ref="A25:B25"/>
    <mergeCell ref="A26:B26"/>
    <mergeCell ref="A27:B27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G3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5" customWidth="1"/>
    <col min="2" max="2" width="30" customWidth="1"/>
    <col min="3" max="5" width="15" customWidth="1"/>
    <col min="6" max="6" width="18" customWidth="1"/>
    <col min="7" max="7" width="15" customWidth="1"/>
  </cols>
  <sheetData>
    <row r="1" spans="1:7" ht="17.25" customHeight="1" x14ac:dyDescent="0.2">
      <c r="A1" s="5" t="s">
        <v>261</v>
      </c>
      <c r="B1" s="5"/>
      <c r="C1" s="5"/>
      <c r="D1" s="5"/>
      <c r="E1" s="5"/>
      <c r="F1" s="5"/>
      <c r="G1" s="5"/>
    </row>
    <row r="2" spans="1:7" ht="15" customHeight="1" x14ac:dyDescent="0.2">
      <c r="A2" s="58" t="s">
        <v>262</v>
      </c>
    </row>
    <row r="4" spans="1:7" ht="15" customHeight="1" x14ac:dyDescent="0.2">
      <c r="A4" s="59" t="s">
        <v>228</v>
      </c>
      <c r="B4" s="59" t="s">
        <v>207</v>
      </c>
      <c r="C4" s="59" t="s">
        <v>263</v>
      </c>
      <c r="D4" s="59" t="s">
        <v>264</v>
      </c>
      <c r="E4" s="59" t="s">
        <v>265</v>
      </c>
      <c r="F4" s="59" t="s">
        <v>266</v>
      </c>
      <c r="G4" s="59" t="s">
        <v>267</v>
      </c>
    </row>
    <row r="5" spans="1:7" ht="15" customHeight="1" x14ac:dyDescent="0.2">
      <c r="A5" s="45">
        <v>1</v>
      </c>
      <c r="B5" s="15" t="s">
        <v>235</v>
      </c>
      <c r="C5" s="60">
        <v>260</v>
      </c>
      <c r="D5" s="60">
        <v>450</v>
      </c>
      <c r="E5" s="60">
        <v>702</v>
      </c>
      <c r="F5" s="61">
        <f>PARAMÉTRICO!C5</f>
        <v>450</v>
      </c>
      <c r="G5" s="45" t="str">
        <f t="shared" ref="G5:G22" si="0">IF(F5="","",IF(F5&lt;C5,"↓ Abaixo Mín",IF(F5&gt;E5,"⚠ Acima Máx",IF(F5&lt;D5,"Abaixo Média","Acima Média"))))</f>
        <v>Acima Média</v>
      </c>
    </row>
    <row r="6" spans="1:7" ht="15" customHeight="1" x14ac:dyDescent="0.2">
      <c r="A6" s="45">
        <v>2</v>
      </c>
      <c r="B6" s="15" t="s">
        <v>237</v>
      </c>
      <c r="C6" s="60">
        <v>7</v>
      </c>
      <c r="D6" s="60">
        <v>15</v>
      </c>
      <c r="E6" s="60">
        <v>23</v>
      </c>
      <c r="F6" s="61">
        <f>PARAMÉTRICO!C6</f>
        <v>15</v>
      </c>
      <c r="G6" s="45" t="str">
        <f t="shared" si="0"/>
        <v>Acima Média</v>
      </c>
    </row>
    <row r="7" spans="1:7" ht="15" customHeight="1" x14ac:dyDescent="0.2">
      <c r="A7" s="45">
        <v>3</v>
      </c>
      <c r="B7" s="15" t="s">
        <v>238</v>
      </c>
      <c r="C7" s="60">
        <v>174</v>
      </c>
      <c r="D7" s="60">
        <v>220</v>
      </c>
      <c r="E7" s="60">
        <v>270</v>
      </c>
      <c r="F7" s="61">
        <f>PARAMÉTRICO!C7</f>
        <v>195</v>
      </c>
      <c r="G7" s="45" t="str">
        <f t="shared" si="0"/>
        <v>Abaixo Média</v>
      </c>
    </row>
    <row r="8" spans="1:7" ht="15" customHeight="1" x14ac:dyDescent="0.2">
      <c r="A8" s="45">
        <v>4</v>
      </c>
      <c r="B8" s="15" t="s">
        <v>240</v>
      </c>
      <c r="C8" s="60">
        <v>549</v>
      </c>
      <c r="D8" s="60">
        <v>670</v>
      </c>
      <c r="E8" s="60">
        <v>799</v>
      </c>
      <c r="F8" s="61">
        <f>PARAMÉTRICO!C8</f>
        <v>640</v>
      </c>
      <c r="G8" s="45" t="str">
        <f t="shared" si="0"/>
        <v>Abaixo Média</v>
      </c>
    </row>
    <row r="9" spans="1:7" ht="15" customHeight="1" x14ac:dyDescent="0.2">
      <c r="A9" s="45">
        <v>5</v>
      </c>
      <c r="B9" s="15" t="s">
        <v>87</v>
      </c>
      <c r="C9" s="60">
        <v>114</v>
      </c>
      <c r="D9" s="60">
        <v>160</v>
      </c>
      <c r="E9" s="60">
        <v>208</v>
      </c>
      <c r="F9" s="61">
        <f>PARAMÉTRICO!C9</f>
        <v>145</v>
      </c>
      <c r="G9" s="45" t="str">
        <f t="shared" si="0"/>
        <v>Abaixo Média</v>
      </c>
    </row>
    <row r="10" spans="1:7" ht="15" customHeight="1" x14ac:dyDescent="0.2">
      <c r="A10" s="45">
        <v>6</v>
      </c>
      <c r="B10" s="15" t="s">
        <v>243</v>
      </c>
      <c r="C10" s="60">
        <v>64</v>
      </c>
      <c r="D10" s="60">
        <v>75</v>
      </c>
      <c r="E10" s="60">
        <v>86</v>
      </c>
      <c r="F10" s="61">
        <f>PARAMÉTRICO!C10</f>
        <v>75</v>
      </c>
      <c r="G10" s="45" t="str">
        <f t="shared" si="0"/>
        <v>Acima Média</v>
      </c>
    </row>
    <row r="11" spans="1:7" ht="15" customHeight="1" x14ac:dyDescent="0.2">
      <c r="A11" s="45">
        <v>7</v>
      </c>
      <c r="B11" s="15" t="s">
        <v>244</v>
      </c>
      <c r="C11" s="60">
        <v>241</v>
      </c>
      <c r="D11" s="60">
        <v>340</v>
      </c>
      <c r="E11" s="60">
        <v>432</v>
      </c>
      <c r="F11" s="61">
        <f>PARAMÉTRICO!C11</f>
        <v>340</v>
      </c>
      <c r="G11" s="45" t="str">
        <f t="shared" si="0"/>
        <v>Acima Média</v>
      </c>
    </row>
    <row r="12" spans="1:7" ht="15" customHeight="1" x14ac:dyDescent="0.2">
      <c r="A12" s="45">
        <v>8</v>
      </c>
      <c r="B12" s="15" t="s">
        <v>245</v>
      </c>
      <c r="C12" s="60">
        <v>97</v>
      </c>
      <c r="D12" s="60">
        <v>150</v>
      </c>
      <c r="E12" s="60">
        <v>215</v>
      </c>
      <c r="F12" s="61">
        <f>PARAMÉTRICO!C12</f>
        <v>150</v>
      </c>
      <c r="G12" s="45" t="str">
        <f t="shared" si="0"/>
        <v>Acima Média</v>
      </c>
    </row>
    <row r="13" spans="1:7" ht="15" customHeight="1" x14ac:dyDescent="0.2">
      <c r="A13" s="45">
        <v>9</v>
      </c>
      <c r="B13" s="15" t="s">
        <v>246</v>
      </c>
      <c r="C13" s="60">
        <v>25</v>
      </c>
      <c r="D13" s="60">
        <v>45</v>
      </c>
      <c r="E13" s="60">
        <v>72</v>
      </c>
      <c r="F13" s="61">
        <f>PARAMÉTRICO!C13</f>
        <v>45</v>
      </c>
      <c r="G13" s="45" t="str">
        <f t="shared" si="0"/>
        <v>Acima Média</v>
      </c>
    </row>
    <row r="14" spans="1:7" ht="15" customHeight="1" x14ac:dyDescent="0.2">
      <c r="A14" s="45">
        <v>10</v>
      </c>
      <c r="B14" s="15" t="s">
        <v>211</v>
      </c>
      <c r="C14" s="60">
        <v>140</v>
      </c>
      <c r="D14" s="60">
        <v>200</v>
      </c>
      <c r="E14" s="60">
        <v>290</v>
      </c>
      <c r="F14" s="61">
        <f>PARAMÉTRICO!C14</f>
        <v>140</v>
      </c>
      <c r="G14" s="45" t="str">
        <f t="shared" si="0"/>
        <v>Abaixo Média</v>
      </c>
    </row>
    <row r="15" spans="1:7" ht="15" customHeight="1" x14ac:dyDescent="0.2">
      <c r="A15" s="45">
        <v>11</v>
      </c>
      <c r="B15" s="15" t="s">
        <v>214</v>
      </c>
      <c r="C15" s="60">
        <v>53</v>
      </c>
      <c r="D15" s="60">
        <v>75</v>
      </c>
      <c r="E15" s="60">
        <v>100</v>
      </c>
      <c r="F15" s="61">
        <f>PARAMÉTRICO!C15</f>
        <v>53</v>
      </c>
      <c r="G15" s="45" t="str">
        <f t="shared" si="0"/>
        <v>Abaixo Média</v>
      </c>
    </row>
    <row r="16" spans="1:7" ht="15" customHeight="1" x14ac:dyDescent="0.2">
      <c r="A16" s="45">
        <v>12</v>
      </c>
      <c r="B16" s="15" t="s">
        <v>212</v>
      </c>
      <c r="C16" s="60">
        <v>133</v>
      </c>
      <c r="D16" s="60">
        <v>250</v>
      </c>
      <c r="E16" s="60">
        <v>389</v>
      </c>
      <c r="F16" s="61">
        <f>PARAMÉTRICO!C16</f>
        <v>133</v>
      </c>
      <c r="G16" s="45" t="str">
        <f t="shared" si="0"/>
        <v>Abaixo Média</v>
      </c>
    </row>
    <row r="17" spans="1:7" ht="15" customHeight="1" x14ac:dyDescent="0.2">
      <c r="A17" s="45">
        <v>13</v>
      </c>
      <c r="B17" s="15" t="s">
        <v>215</v>
      </c>
      <c r="C17" s="60">
        <v>115</v>
      </c>
      <c r="D17" s="60">
        <v>155</v>
      </c>
      <c r="E17" s="60">
        <v>199</v>
      </c>
      <c r="F17" s="61">
        <f>PARAMÉTRICO!C17</f>
        <v>115</v>
      </c>
      <c r="G17" s="45" t="str">
        <f t="shared" si="0"/>
        <v>Abaixo Média</v>
      </c>
    </row>
    <row r="18" spans="1:7" ht="15" customHeight="1" x14ac:dyDescent="0.2">
      <c r="A18" s="45">
        <v>14</v>
      </c>
      <c r="B18" s="15" t="s">
        <v>210</v>
      </c>
      <c r="C18" s="60">
        <v>211</v>
      </c>
      <c r="D18" s="60">
        <v>300</v>
      </c>
      <c r="E18" s="60">
        <v>417</v>
      </c>
      <c r="F18" s="61">
        <f>PARAMÉTRICO!C18</f>
        <v>211</v>
      </c>
      <c r="G18" s="45" t="str">
        <f t="shared" si="0"/>
        <v>Abaixo Média</v>
      </c>
    </row>
    <row r="19" spans="1:7" ht="15" customHeight="1" x14ac:dyDescent="0.2">
      <c r="A19" s="45">
        <v>15</v>
      </c>
      <c r="B19" s="15" t="s">
        <v>213</v>
      </c>
      <c r="C19" s="60">
        <v>25</v>
      </c>
      <c r="D19" s="60">
        <v>30</v>
      </c>
      <c r="E19" s="60">
        <v>33</v>
      </c>
      <c r="F19" s="61">
        <f>PARAMÉTRICO!C19</f>
        <v>25</v>
      </c>
      <c r="G19" s="45" t="str">
        <f t="shared" si="0"/>
        <v>Abaixo Média</v>
      </c>
    </row>
    <row r="20" spans="1:7" ht="15" customHeight="1" x14ac:dyDescent="0.2">
      <c r="A20" s="45">
        <v>16</v>
      </c>
      <c r="B20" s="15" t="s">
        <v>249</v>
      </c>
      <c r="C20" s="60">
        <v>112</v>
      </c>
      <c r="D20" s="60">
        <v>140</v>
      </c>
      <c r="E20" s="60">
        <v>174</v>
      </c>
      <c r="F20" s="61">
        <f>PARAMÉTRICO!C20</f>
        <v>305</v>
      </c>
      <c r="G20" s="45" t="str">
        <f t="shared" si="0"/>
        <v>⚠ Acima Máx</v>
      </c>
    </row>
    <row r="21" spans="1:7" ht="15" customHeight="1" x14ac:dyDescent="0.2">
      <c r="A21" s="45">
        <v>17</v>
      </c>
      <c r="B21" s="15" t="s">
        <v>251</v>
      </c>
      <c r="C21" s="60">
        <v>123</v>
      </c>
      <c r="D21" s="60">
        <v>200</v>
      </c>
      <c r="E21" s="60">
        <v>294</v>
      </c>
      <c r="F21" s="61">
        <f>PARAMÉTRICO!C21</f>
        <v>200</v>
      </c>
      <c r="G21" s="45" t="str">
        <f t="shared" si="0"/>
        <v>Acima Média</v>
      </c>
    </row>
    <row r="22" spans="1:7" ht="15" customHeight="1" x14ac:dyDescent="0.2">
      <c r="A22" s="45">
        <v>18</v>
      </c>
      <c r="B22" s="15" t="s">
        <v>253</v>
      </c>
      <c r="C22" s="60">
        <v>42</v>
      </c>
      <c r="D22" s="60">
        <v>65</v>
      </c>
      <c r="E22" s="60">
        <v>92</v>
      </c>
      <c r="F22" s="61">
        <f>PARAMÉTRICO!C22</f>
        <v>65</v>
      </c>
      <c r="G22" s="45" t="str">
        <f t="shared" si="0"/>
        <v>Acima Média</v>
      </c>
    </row>
    <row r="23" spans="1:7" ht="15" customHeight="1" x14ac:dyDescent="0.2">
      <c r="A23" s="4" t="s">
        <v>268</v>
      </c>
      <c r="B23" s="4"/>
      <c r="C23" s="62">
        <f>SUM(C5:C22)</f>
        <v>2485</v>
      </c>
      <c r="D23" s="62">
        <f>SUM(D5:D22)</f>
        <v>3540</v>
      </c>
      <c r="E23" s="62">
        <f>SUM(E5:E22)</f>
        <v>4795</v>
      </c>
      <c r="F23" s="62">
        <f>SUM(F5:F22)</f>
        <v>3302</v>
      </c>
    </row>
    <row r="26" spans="1:7" ht="15" customHeight="1" x14ac:dyDescent="0.2">
      <c r="A26" s="13" t="s">
        <v>269</v>
      </c>
      <c r="B26" s="13"/>
      <c r="C26" s="13"/>
      <c r="D26" s="13"/>
      <c r="E26" s="13"/>
      <c r="F26" s="13"/>
      <c r="G26" s="13"/>
    </row>
    <row r="27" spans="1:7" ht="15" customHeight="1" x14ac:dyDescent="0.2">
      <c r="A27" s="19"/>
      <c r="B27" s="19" t="s">
        <v>270</v>
      </c>
      <c r="C27" s="19" t="s">
        <v>271</v>
      </c>
      <c r="D27" s="19" t="s">
        <v>272</v>
      </c>
      <c r="E27" s="19" t="s">
        <v>229</v>
      </c>
      <c r="F27" s="19" t="s">
        <v>273</v>
      </c>
      <c r="G27" s="19" t="s">
        <v>274</v>
      </c>
    </row>
    <row r="28" spans="1:7" ht="15" customHeight="1" x14ac:dyDescent="0.2">
      <c r="A28" s="33">
        <v>1</v>
      </c>
      <c r="B28" s="15" t="s">
        <v>275</v>
      </c>
      <c r="C28" s="63">
        <v>7457</v>
      </c>
      <c r="D28" s="15">
        <v>30</v>
      </c>
      <c r="E28" s="63">
        <v>3292</v>
      </c>
      <c r="F28" s="64">
        <v>1.64</v>
      </c>
      <c r="G28" s="33" t="s">
        <v>276</v>
      </c>
    </row>
    <row r="29" spans="1:7" ht="15" customHeight="1" x14ac:dyDescent="0.2">
      <c r="A29" s="33">
        <v>2</v>
      </c>
      <c r="B29" s="15" t="s">
        <v>277</v>
      </c>
      <c r="C29" s="63">
        <v>10723</v>
      </c>
      <c r="D29" s="15">
        <v>48</v>
      </c>
      <c r="E29" s="63">
        <v>2816</v>
      </c>
      <c r="F29" s="64">
        <v>1.39</v>
      </c>
      <c r="G29" s="33" t="s">
        <v>276</v>
      </c>
    </row>
    <row r="30" spans="1:7" ht="15" customHeight="1" x14ac:dyDescent="0.2">
      <c r="A30" s="33">
        <v>3</v>
      </c>
      <c r="B30" s="15" t="s">
        <v>278</v>
      </c>
      <c r="C30" s="63">
        <v>11103</v>
      </c>
      <c r="D30" s="15">
        <v>44</v>
      </c>
      <c r="E30" s="63">
        <v>3629</v>
      </c>
      <c r="F30" s="64">
        <v>1.8</v>
      </c>
      <c r="G30" s="33" t="s">
        <v>276</v>
      </c>
    </row>
    <row r="31" spans="1:7" ht="15" customHeight="1" x14ac:dyDescent="0.2">
      <c r="A31" s="33">
        <v>4</v>
      </c>
      <c r="B31" s="15" t="s">
        <v>279</v>
      </c>
      <c r="C31" s="63">
        <v>8367</v>
      </c>
      <c r="D31" s="15">
        <v>20</v>
      </c>
      <c r="E31" s="63">
        <v>3010</v>
      </c>
      <c r="F31" s="64">
        <v>1.5</v>
      </c>
      <c r="G31" s="33" t="s">
        <v>276</v>
      </c>
    </row>
    <row r="32" spans="1:7" ht="15" customHeight="1" x14ac:dyDescent="0.2">
      <c r="A32" s="33">
        <v>5</v>
      </c>
      <c r="B32" s="15" t="s">
        <v>280</v>
      </c>
      <c r="C32" s="63">
        <v>7698</v>
      </c>
      <c r="D32" s="15">
        <v>28</v>
      </c>
      <c r="E32" s="63">
        <v>3063</v>
      </c>
      <c r="F32" s="64">
        <v>1.52</v>
      </c>
      <c r="G32" s="33" t="s">
        <v>276</v>
      </c>
    </row>
    <row r="33" spans="1:7" ht="15" customHeight="1" x14ac:dyDescent="0.2">
      <c r="A33" s="33">
        <v>6</v>
      </c>
      <c r="B33" s="15" t="s">
        <v>281</v>
      </c>
      <c r="C33" s="63">
        <v>3633</v>
      </c>
      <c r="D33" s="15">
        <v>6</v>
      </c>
      <c r="E33" s="63">
        <v>0</v>
      </c>
      <c r="F33" s="64">
        <v>0</v>
      </c>
      <c r="G33" s="33" t="s">
        <v>282</v>
      </c>
    </row>
  </sheetData>
  <mergeCells count="3">
    <mergeCell ref="A1:G1"/>
    <mergeCell ref="A23:B23"/>
    <mergeCell ref="A26:G26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D31"/>
  <sheetViews>
    <sheetView zoomScaleNormal="100" workbookViewId="0"/>
  </sheetViews>
  <sheetFormatPr baseColWidth="10" defaultColWidth="8.6640625" defaultRowHeight="15" customHeight="1" x14ac:dyDescent="0.2"/>
  <cols>
    <col min="1" max="1" width="35" customWidth="1"/>
    <col min="2" max="2" width="25" customWidth="1"/>
    <col min="3" max="4" width="20" customWidth="1"/>
  </cols>
  <sheetData>
    <row r="1" spans="1:4" ht="17.25" customHeight="1" x14ac:dyDescent="0.2">
      <c r="A1" s="3" t="s">
        <v>283</v>
      </c>
      <c r="B1" s="3"/>
      <c r="C1" s="3"/>
      <c r="D1" s="3"/>
    </row>
    <row r="3" spans="1:4" ht="15" customHeight="1" x14ac:dyDescent="0.2">
      <c r="A3" s="15" t="s">
        <v>270</v>
      </c>
      <c r="B3" s="65" t="str">
        <f>DADOS!B4</f>
        <v>Maison Beach 2 Residence</v>
      </c>
    </row>
    <row r="4" spans="1:4" ht="15" customHeight="1" x14ac:dyDescent="0.2">
      <c r="A4" s="15" t="s">
        <v>274</v>
      </c>
      <c r="B4" s="65" t="str">
        <f>DADOS!B6&amp;"/"&amp;DADOS!B7</f>
        <v>Bombinhas/SC</v>
      </c>
    </row>
    <row r="5" spans="1:4" ht="15" customHeight="1" x14ac:dyDescent="0.2">
      <c r="A5" s="15" t="s">
        <v>284</v>
      </c>
      <c r="B5" s="66">
        <f>DADOS!B14</f>
        <v>12879.93</v>
      </c>
    </row>
    <row r="6" spans="1:4" ht="15" customHeight="1" x14ac:dyDescent="0.2">
      <c r="A6" s="15" t="s">
        <v>285</v>
      </c>
      <c r="B6" s="65">
        <f>DADOS!B19</f>
        <v>56</v>
      </c>
    </row>
    <row r="8" spans="1:4" ht="15" customHeight="1" x14ac:dyDescent="0.2">
      <c r="A8" s="2" t="s">
        <v>286</v>
      </c>
      <c r="B8" s="2"/>
      <c r="C8" s="2"/>
      <c r="D8" s="2"/>
    </row>
    <row r="9" spans="1:4" ht="15" customHeight="1" x14ac:dyDescent="0.2">
      <c r="A9" s="46" t="s">
        <v>256</v>
      </c>
      <c r="B9" s="66">
        <f>PARAMÉTRICO!C23</f>
        <v>3302</v>
      </c>
    </row>
    <row r="10" spans="1:4" ht="15" customHeight="1" x14ac:dyDescent="0.2">
      <c r="A10" s="46" t="s">
        <v>257</v>
      </c>
      <c r="B10" s="66">
        <f>PARAMÉTRICO!D23</f>
        <v>46782481.746000007</v>
      </c>
    </row>
    <row r="11" spans="1:4" ht="15" customHeight="1" x14ac:dyDescent="0.2">
      <c r="A11" s="46" t="s">
        <v>258</v>
      </c>
      <c r="B11" s="67">
        <f>PARAMÉTRICO!C26</f>
        <v>3302</v>
      </c>
    </row>
    <row r="12" spans="1:4" ht="15" customHeight="1" x14ac:dyDescent="0.2">
      <c r="A12" s="15" t="s">
        <v>287</v>
      </c>
      <c r="B12" s="66">
        <f>PARAMÉTRICO!C29</f>
        <v>835401.45975000015</v>
      </c>
    </row>
    <row r="13" spans="1:4" ht="15" customHeight="1" x14ac:dyDescent="0.2">
      <c r="A13" s="15" t="s">
        <v>260</v>
      </c>
      <c r="B13" s="66">
        <f>PARAMÉTRICO!C30</f>
        <v>229.99875</v>
      </c>
    </row>
    <row r="16" spans="1:4" ht="15" customHeight="1" x14ac:dyDescent="0.2">
      <c r="A16" s="13" t="s">
        <v>288</v>
      </c>
      <c r="B16" s="13"/>
      <c r="C16" s="13"/>
      <c r="D16" s="13"/>
    </row>
    <row r="17" spans="1:4" ht="15" customHeight="1" x14ac:dyDescent="0.2">
      <c r="A17" s="19" t="s">
        <v>207</v>
      </c>
      <c r="B17" s="19" t="s">
        <v>14</v>
      </c>
      <c r="C17" s="19" t="s">
        <v>231</v>
      </c>
      <c r="D17" s="19" t="s">
        <v>289</v>
      </c>
    </row>
    <row r="18" spans="1:4" ht="15" customHeight="1" x14ac:dyDescent="0.2">
      <c r="A18" s="15" t="s">
        <v>240</v>
      </c>
      <c r="B18" s="66">
        <f>PARAMÉTRICO!C9</f>
        <v>145</v>
      </c>
      <c r="C18" s="68">
        <f>PARAMÉTRICO!E9</f>
        <v>4.3912780133252574E-2</v>
      </c>
      <c r="D18" s="66">
        <f>PARAMÉTRICO!D9</f>
        <v>2054348.8350000002</v>
      </c>
    </row>
    <row r="19" spans="1:4" ht="15" customHeight="1" x14ac:dyDescent="0.2">
      <c r="A19" s="15" t="s">
        <v>290</v>
      </c>
      <c r="B19" s="66">
        <f>PARAMÉTRICO!C5</f>
        <v>450</v>
      </c>
      <c r="C19" s="68">
        <f>PARAMÉTRICO!E5</f>
        <v>0.1362810417928528</v>
      </c>
      <c r="D19" s="66">
        <f>PARAMÉTRICO!D5</f>
        <v>6375565.3500000006</v>
      </c>
    </row>
    <row r="20" spans="1:4" ht="15" customHeight="1" x14ac:dyDescent="0.2">
      <c r="A20" s="15" t="s">
        <v>244</v>
      </c>
      <c r="B20" s="66">
        <f>PARAMÉTRICO!C11</f>
        <v>340</v>
      </c>
      <c r="C20" s="68">
        <f>PARAMÉTRICO!E11</f>
        <v>0.10296789824348879</v>
      </c>
      <c r="D20" s="66">
        <f>PARAMÉTRICO!D11</f>
        <v>4817093.82</v>
      </c>
    </row>
    <row r="21" spans="1:4" ht="15" customHeight="1" x14ac:dyDescent="0.2">
      <c r="A21" s="15" t="s">
        <v>210</v>
      </c>
      <c r="B21" s="66">
        <f>PARAMÉTRICO!C18</f>
        <v>211</v>
      </c>
      <c r="C21" s="68">
        <f>PARAMÉTRICO!E18</f>
        <v>6.3900666262870984E-2</v>
      </c>
      <c r="D21" s="66">
        <f>PARAMÉTRICO!D18</f>
        <v>2989431.753</v>
      </c>
    </row>
    <row r="22" spans="1:4" ht="15" customHeight="1" x14ac:dyDescent="0.2">
      <c r="A22" s="15" t="s">
        <v>212</v>
      </c>
      <c r="B22" s="66">
        <f>PARAMÉTRICO!C16</f>
        <v>133</v>
      </c>
      <c r="C22" s="68">
        <f>PARAMÉTRICO!E16</f>
        <v>4.0278619018776496E-2</v>
      </c>
      <c r="D22" s="66">
        <f>PARAMÉTRICO!D16</f>
        <v>1884333.7590000001</v>
      </c>
    </row>
    <row r="25" spans="1:4" ht="15" customHeight="1" x14ac:dyDescent="0.2">
      <c r="A25" s="7" t="s">
        <v>291</v>
      </c>
      <c r="B25" s="7"/>
      <c r="C25" s="7"/>
      <c r="D25" s="7"/>
    </row>
    <row r="26" spans="1:4" ht="15" customHeight="1" x14ac:dyDescent="0.2">
      <c r="A26" s="1" t="s">
        <v>292</v>
      </c>
      <c r="B26" s="1"/>
      <c r="C26" s="1"/>
      <c r="D26" s="1"/>
    </row>
    <row r="27" spans="1:4" ht="15" customHeight="1" x14ac:dyDescent="0.2">
      <c r="A27" s="1" t="s">
        <v>293</v>
      </c>
      <c r="B27" s="1"/>
      <c r="C27" s="1"/>
      <c r="D27" s="1"/>
    </row>
    <row r="28" spans="1:4" ht="15" customHeight="1" x14ac:dyDescent="0.2">
      <c r="A28" s="1" t="s">
        <v>294</v>
      </c>
      <c r="B28" s="1"/>
      <c r="C28" s="1"/>
      <c r="D28" s="1"/>
    </row>
    <row r="29" spans="1:4" ht="15" customHeight="1" x14ac:dyDescent="0.2">
      <c r="A29" s="1" t="s">
        <v>295</v>
      </c>
      <c r="B29" s="1"/>
      <c r="C29" s="1"/>
      <c r="D29" s="1"/>
    </row>
    <row r="30" spans="1:4" ht="15" customHeight="1" x14ac:dyDescent="0.2">
      <c r="A30" s="1" t="s">
        <v>296</v>
      </c>
      <c r="B30" s="1"/>
      <c r="C30" s="1"/>
      <c r="D30" s="1"/>
    </row>
    <row r="31" spans="1:4" ht="15" customHeight="1" x14ac:dyDescent="0.2">
      <c r="A31" s="1" t="s">
        <v>297</v>
      </c>
      <c r="B31" s="1"/>
      <c r="C31" s="1"/>
      <c r="D31" s="1"/>
    </row>
  </sheetData>
  <mergeCells count="10">
    <mergeCell ref="A27:D27"/>
    <mergeCell ref="A28:D28"/>
    <mergeCell ref="A29:D29"/>
    <mergeCell ref="A30:D30"/>
    <mergeCell ref="A31:D31"/>
    <mergeCell ref="A1:D1"/>
    <mergeCell ref="A8:D8"/>
    <mergeCell ref="A16:D16"/>
    <mergeCell ref="A25:D25"/>
    <mergeCell ref="A26:D26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ÍNDICES</vt:lpstr>
      <vt:lpstr>PARAMÉTRICO</vt:lpstr>
      <vt:lpstr>BENCHMARK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Leonardo Kock</cp:lastModifiedBy>
  <cp:revision>0</cp:revision>
  <dcterms:created xsi:type="dcterms:W3CDTF">2026-03-05T17:03:01Z</dcterms:created>
  <dcterms:modified xsi:type="dcterms:W3CDTF">2026-03-05T17:29:06Z</dcterms:modified>
  <dc:language>en-US</dc:language>
</cp:coreProperties>
</file>