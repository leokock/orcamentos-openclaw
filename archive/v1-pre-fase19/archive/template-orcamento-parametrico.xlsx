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BRIEFING" sheetId="2" state="visible" r:id="rId2"/>
    <sheet xmlns:r="http://schemas.openxmlformats.org/officeDocument/2006/relationships" name="ÍNDICES" sheetId="3" state="visible" r:id="rId3"/>
    <sheet xmlns:r="http://schemas.openxmlformats.org/officeDocument/2006/relationships" name="ANÁLISE_PRODUTO" sheetId="4" state="visible" r:id="rId4"/>
    <sheet xmlns:r="http://schemas.openxmlformats.org/officeDocument/2006/relationships" name="DADOS_PROJETO" sheetId="5" state="visible" r:id="rId5"/>
    <sheet xmlns:r="http://schemas.openxmlformats.org/officeDocument/2006/relationships" name="CUSTOS_MACROGRUPO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LERTAS" sheetId="12" state="visible" r:id="rId12"/>
    <sheet xmlns:r="http://schemas.openxmlformats.org/officeDocument/2006/relationships" name="PRODUTO" sheetId="13" state="visible" r:id="rId13"/>
    <sheet xmlns:r="http://schemas.openxmlformats.org/officeDocument/2006/relationships" name="ANÁLISE_ÍNDICE_PRODUT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%"/>
    <numFmt numFmtId="166" formatCode="#,##0.0"/>
    <numFmt numFmtId="167" formatCode="0.000"/>
    <numFmt numFmtId="168" formatCode="0.0"/>
  </numFmts>
  <fonts count="43">
    <font>
      <name val="Calibri"/>
      <family val="2"/>
      <color theme="1"/>
      <sz val="11"/>
      <scheme val="minor"/>
    </font>
    <font>
      <b val="1"/>
      <color rgb="002C3E50"/>
      <sz val="14"/>
    </font>
    <font>
      <i val="1"/>
      <color rgb="007F8C8D"/>
      <sz val="10"/>
    </font>
    <font>
      <b val="1"/>
      <color rgb="00000000"/>
      <sz val="10"/>
    </font>
    <font>
      <color rgb="00000000"/>
      <sz val="10"/>
    </font>
    <font>
      <b val="1"/>
      <color rgb="002C3E50"/>
      <sz val="12"/>
    </font>
    <font>
      <b val="1"/>
      <color rgb="00FFFFFF"/>
      <sz val="11"/>
    </font>
    <font>
      <b val="1"/>
      <color rgb="00FFFFFF"/>
      <sz val="10"/>
    </font>
    <font>
      <name val="Calibri"/>
      <b val="1"/>
      <color rgb="00FFFFFF"/>
      <sz val="14"/>
    </font>
    <font>
      <name val="Calibri"/>
      <i val="1"/>
      <color rgb="007F8C8D"/>
      <sz val="10"/>
    </font>
    <font>
      <name val="Calibri"/>
      <b val="1"/>
      <color rgb="002C3E50"/>
      <sz val="10"/>
    </font>
    <font>
      <name val="Calibri"/>
      <sz val="10"/>
    </font>
    <font>
      <name val="Calibri"/>
      <b val="1"/>
      <sz val="10"/>
    </font>
    <font>
      <name val="Calibri"/>
      <i val="1"/>
      <color rgb="007F8C8D"/>
      <sz val="9"/>
    </font>
    <font>
      <name val="Calibri"/>
      <color rgb="002C3E50"/>
      <sz val="9"/>
    </font>
    <font>
      <name val="Calibri"/>
      <b val="1"/>
      <color rgb="001B4F72"/>
      <sz val="11"/>
    </font>
    <font>
      <name val="Calibri"/>
      <b val="1"/>
      <sz val="11"/>
    </font>
    <font>
      <b val="1"/>
    </font>
    <font>
      <b val="1"/>
      <sz val="11"/>
    </font>
    <font>
      <sz val="11"/>
    </font>
    <font/>
    <font>
      <b val="1"/>
      <color rgb="00FFFFFF"/>
      <sz val="14"/>
    </font>
    <font>
      <i val="1"/>
      <color rgb="00666666"/>
      <sz val="9"/>
    </font>
    <font>
      <b val="1"/>
      <sz val="10"/>
    </font>
    <font>
      <sz val="10"/>
    </font>
    <font>
      <color rgb="00666666"/>
      <sz val="9"/>
    </font>
    <font>
      <sz val="9"/>
    </font>
    <font>
      <b val="1"/>
      <color rgb="00C0392B"/>
      <sz val="10"/>
    </font>
    <font>
      <b val="1"/>
      <color rgb="00C0392B"/>
      <sz val="11"/>
    </font>
    <font>
      <i val="1"/>
      <color rgb="00999999"/>
      <sz val="9"/>
    </font>
    <font>
      <name val="Calibri"/>
      <b val="1"/>
      <color rgb="002C3E50"/>
      <sz val="14"/>
    </font>
    <font>
      <name val="Calibri"/>
      <b val="1"/>
      <color rgb="0034495E"/>
      <sz val="11"/>
    </font>
    <font>
      <name val="Calibri"/>
      <b val="1"/>
      <color rgb="00FFFFFF"/>
      <sz val="11"/>
    </font>
    <font>
      <b val="1"/>
      <color rgb="002C3E50"/>
      <sz val="11"/>
    </font>
    <font>
      <b val="1"/>
      <sz val="12"/>
    </font>
    <font>
      <name val="Calibri"/>
      <b val="1"/>
      <color rgb="002C3E50"/>
      <sz val="11"/>
    </font>
    <font>
      <name val="Calibri"/>
      <b val="1"/>
      <color rgb="002C3E50"/>
      <sz val="12"/>
    </font>
    <font>
      <name val="Calibri"/>
      <b val="1"/>
      <color rgb="00E74C3C"/>
      <sz val="12"/>
    </font>
    <font>
      <name val="Calibri"/>
      <sz val="11"/>
    </font>
    <font>
      <b val="1"/>
      <color rgb="0034495E"/>
      <sz val="12"/>
    </font>
    <font>
      <i val="1"/>
      <sz val="9"/>
    </font>
    <font>
      <b val="1"/>
      <color rgb="0034495E"/>
      <sz val="11"/>
    </font>
    <font>
      <b val="1"/>
      <color rgb="00E74C3C"/>
      <sz val="11"/>
    </font>
  </fonts>
  <fills count="19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E8E8E8"/>
      </patternFill>
    </fill>
    <fill>
      <patternFill patternType="solid">
        <fgColor rgb="002C3E50"/>
      </patternFill>
    </fill>
    <fill>
      <patternFill patternType="solid">
        <fgColor rgb="0095A5A6"/>
      </patternFill>
    </fill>
    <fill>
      <patternFill patternType="solid">
        <fgColor rgb="002C3E50"/>
        <bgColor rgb="002C3E50"/>
      </patternFill>
    </fill>
    <fill>
      <patternFill patternType="solid">
        <fgColor rgb="00D6EAF8"/>
        <bgColor rgb="00D6EAF8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E8E8E8"/>
        <bgColor rgb="00E8E8E8"/>
      </patternFill>
    </fill>
    <fill>
      <patternFill patternType="solid">
        <fgColor rgb="00F2F3F4"/>
        <bgColor rgb="00F2F3F4"/>
      </patternFill>
    </fill>
    <fill>
      <patternFill patternType="solid">
        <fgColor rgb="0095A5A6"/>
        <bgColor rgb="0095A5A6"/>
      </patternFill>
    </fill>
    <fill>
      <patternFill patternType="solid">
        <fgColor rgb="00FADBD8"/>
        <bgColor rgb="00FADBD8"/>
      </patternFill>
    </fill>
    <fill>
      <patternFill patternType="solid">
        <fgColor rgb="001A5276"/>
        <bgColor rgb="001A5276"/>
      </patternFill>
    </fill>
    <fill>
      <patternFill patternType="solid">
        <fgColor rgb="00BDC3C7"/>
        <bgColor rgb="00BDC3C7"/>
      </patternFill>
    </fill>
    <fill>
      <patternFill patternType="solid">
        <fgColor rgb="00E8F8F5"/>
        <bgColor rgb="00E8F8F5"/>
      </patternFill>
    </fill>
    <fill>
      <patternFill patternType="solid">
        <fgColor rgb="0034495E"/>
        <bgColor rgb="0034495E"/>
      </patternFill>
    </fill>
    <fill>
      <patternFill patternType="solid">
        <fgColor rgb="001ABC9C"/>
        <bgColor rgb="001ABC9C"/>
      </patternFill>
    </fill>
  </fills>
  <borders count="21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/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applyAlignment="1" pivotButton="0" quotePrefix="0" xfId="0">
      <alignment vertical="center"/>
    </xf>
    <xf numFmtId="0" fontId="4" fillId="2" borderId="1" pivotButton="0" quotePrefix="0" xfId="0"/>
    <xf numFmtId="4" fontId="4" fillId="2" borderId="1" pivotButton="0" quotePrefix="0" xfId="0"/>
    <xf numFmtId="0" fontId="5" fillId="0" borderId="0" pivotButton="0" quotePrefix="0" xfId="0"/>
    <xf numFmtId="4" fontId="4" fillId="3" borderId="1" pivotButton="0" quotePrefix="0" xfId="0"/>
    <xf numFmtId="164" fontId="4" fillId="3" borderId="1" pivotButton="0" quotePrefix="0" xfId="0"/>
    <xf numFmtId="0" fontId="1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165" fontId="4" fillId="3" borderId="1" pivotButton="0" quotePrefix="0" xfId="0"/>
    <xf numFmtId="0" fontId="4" fillId="3" borderId="1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4" fontId="6" fillId="4" borderId="1" pivotButton="0" quotePrefix="0" xfId="0"/>
    <xf numFmtId="165" fontId="6" fillId="4" borderId="1" pivotButton="0" quotePrefix="0" xfId="0"/>
    <xf numFmtId="0" fontId="0" fillId="0" borderId="4" pivotButton="0" quotePrefix="0" xfId="0"/>
    <xf numFmtId="0" fontId="7" fillId="5" borderId="1" applyAlignment="1" pivotButton="0" quotePrefix="0" xfId="0">
      <alignment horizontal="left" vertical="center"/>
    </xf>
    <xf numFmtId="0" fontId="7" fillId="5" borderId="1" pivotButton="0" quotePrefix="0" xfId="0"/>
    <xf numFmtId="3" fontId="4" fillId="2" borderId="1" pivotButton="0" quotePrefix="0" xfId="0"/>
    <xf numFmtId="166" fontId="4" fillId="3" borderId="1" pivotButton="0" quotePrefix="0" xfId="0"/>
    <xf numFmtId="3" fontId="4" fillId="3" borderId="1" pivotButton="0" quotePrefix="0" xfId="0"/>
    <xf numFmtId="0" fontId="0" fillId="0" borderId="5" pivotButton="0" quotePrefix="0" xfId="0"/>
    <xf numFmtId="0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9" fillId="0" borderId="0" applyAlignment="1" pivotButton="0" quotePrefix="0" xfId="0">
      <alignment horizontal="center"/>
    </xf>
    <xf numFmtId="0" fontId="10" fillId="0" borderId="6" applyAlignment="1" pivotButton="0" quotePrefix="0" xfId="0">
      <alignment horizontal="center" vertical="center"/>
    </xf>
    <xf numFmtId="0" fontId="11" fillId="0" borderId="6" pivotButton="0" quotePrefix="0" xfId="0"/>
    <xf numFmtId="0" fontId="12" fillId="7" borderId="6" applyAlignment="1" pivotButton="0" quotePrefix="0" xfId="0">
      <alignment horizontal="center" vertical="center"/>
    </xf>
    <xf numFmtId="0" fontId="13" fillId="0" borderId="6" pivotButton="0" quotePrefix="0" xfId="0"/>
    <xf numFmtId="0" fontId="14" fillId="0" borderId="6" pivotButton="0" quotePrefix="0" xfId="0"/>
    <xf numFmtId="2" fontId="12" fillId="8" borderId="6" applyAlignment="1" pivotButton="0" quotePrefix="0" xfId="0">
      <alignment horizontal="center"/>
    </xf>
    <xf numFmtId="0" fontId="15" fillId="9" borderId="6" pivotButton="0" quotePrefix="0" xfId="0"/>
    <xf numFmtId="0" fontId="0" fillId="9" borderId="6" pivotButton="0" quotePrefix="0" xfId="0"/>
    <xf numFmtId="167" fontId="16" fillId="9" borderId="6" applyAlignment="1" pivotButton="0" quotePrefix="0" xfId="0">
      <alignment horizontal="center"/>
    </xf>
    <xf numFmtId="0" fontId="13" fillId="9" borderId="6" pivotButton="0" quotePrefix="0" xfId="0"/>
    <xf numFmtId="4" fontId="16" fillId="9" borderId="6" applyAlignment="1" pivotButton="0" quotePrefix="0" xfId="0">
      <alignment horizontal="center"/>
    </xf>
    <xf numFmtId="0" fontId="12" fillId="8" borderId="6" pivotButton="0" quotePrefix="0" xfId="0"/>
    <xf numFmtId="0" fontId="12" fillId="0" borderId="6" pivotButton="0" quotePrefix="0" xfId="0"/>
    <xf numFmtId="2" fontId="0" fillId="8" borderId="6" applyAlignment="1" pivotButton="0" quotePrefix="0" xfId="0">
      <alignment horizontal="center"/>
    </xf>
    <xf numFmtId="4" fontId="0" fillId="0" borderId="6" pivotButton="0" quotePrefix="0" xfId="0"/>
    <xf numFmtId="0" fontId="0" fillId="0" borderId="6" pivotButton="0" quotePrefix="0" xfId="0"/>
    <xf numFmtId="4" fontId="17" fillId="0" borderId="6" pivotButton="0" quotePrefix="0" xfId="0"/>
    <xf numFmtId="0" fontId="0" fillId="0" borderId="9" pivotButton="0" quotePrefix="0" xfId="0"/>
    <xf numFmtId="0" fontId="18" fillId="0" borderId="10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6" fillId="6" borderId="10" pivotButton="0" quotePrefix="0" xfId="0"/>
    <xf numFmtId="0" fontId="19" fillId="0" borderId="10" applyAlignment="1" pivotButton="0" quotePrefix="0" xfId="0">
      <alignment vertical="center" wrapText="1"/>
    </xf>
    <xf numFmtId="0" fontId="19" fillId="10" borderId="10" applyAlignment="1" pivotButton="0" quotePrefix="0" xfId="0">
      <alignment vertical="center" wrapText="1"/>
    </xf>
    <xf numFmtId="0" fontId="19" fillId="7" borderId="10" applyAlignment="1" pivotButton="0" quotePrefix="0" xfId="0">
      <alignment vertical="center" wrapText="1"/>
    </xf>
    <xf numFmtId="165" fontId="19" fillId="10" borderId="10" applyAlignment="1" pivotButton="0" quotePrefix="0" xfId="0">
      <alignment vertical="center" wrapText="1"/>
    </xf>
    <xf numFmtId="9" fontId="19" fillId="10" borderId="10" applyAlignment="1" pivotButton="0" quotePrefix="0" xfId="0">
      <alignment vertical="center" wrapText="1"/>
    </xf>
    <xf numFmtId="3" fontId="19" fillId="10" borderId="10" applyAlignment="1" pivotButton="0" quotePrefix="0" xfId="0">
      <alignment vertical="center" wrapText="1"/>
    </xf>
    <xf numFmtId="0" fontId="19" fillId="8" borderId="10" applyAlignment="1" pivotButton="0" quotePrefix="0" xfId="0">
      <alignment vertical="center" wrapText="1"/>
    </xf>
    <xf numFmtId="0" fontId="21" fillId="6" borderId="10" applyAlignment="1" pivotButton="0" quotePrefix="0" xfId="0">
      <alignment vertical="center" wrapText="1"/>
    </xf>
    <xf numFmtId="0" fontId="20" fillId="6" borderId="10" applyAlignment="1" pivotButton="0" quotePrefix="0" xfId="0">
      <alignment vertical="center" wrapText="1"/>
    </xf>
    <xf numFmtId="0" fontId="22" fillId="11" borderId="10" applyAlignment="1" pivotButton="0" quotePrefix="0" xfId="0">
      <alignment vertical="center" wrapText="1"/>
    </xf>
    <xf numFmtId="0" fontId="20" fillId="11" borderId="10" applyAlignment="1" pivotButton="0" quotePrefix="0" xfId="0">
      <alignment vertical="center" wrapText="1"/>
    </xf>
    <xf numFmtId="0" fontId="6" fillId="6" borderId="10" applyAlignment="1" pivotButton="0" quotePrefix="0" xfId="0">
      <alignment vertical="center" wrapText="1"/>
    </xf>
    <xf numFmtId="2" fontId="6" fillId="6" borderId="10" applyAlignment="1" pivotButton="0" quotePrefix="0" xfId="0">
      <alignment vertical="center" wrapText="1"/>
    </xf>
    <xf numFmtId="0" fontId="7" fillId="12" borderId="10" applyAlignment="1" pivotButton="0" quotePrefix="0" xfId="0">
      <alignment vertical="center" wrapText="1"/>
    </xf>
    <xf numFmtId="0" fontId="20" fillId="12" borderId="10" applyAlignment="1" pivotButton="0" quotePrefix="0" xfId="0">
      <alignment vertical="center" wrapText="1"/>
    </xf>
    <xf numFmtId="2" fontId="20" fillId="12" borderId="10" applyAlignment="1" pivotButton="0" quotePrefix="0" xfId="0">
      <alignment vertical="center" wrapText="1"/>
    </xf>
    <xf numFmtId="0" fontId="23" fillId="0" borderId="10" applyAlignment="1" pivotButton="0" quotePrefix="0" xfId="0">
      <alignment vertical="center" wrapText="1"/>
    </xf>
    <xf numFmtId="0" fontId="24" fillId="0" borderId="10" applyAlignment="1" pivotButton="0" quotePrefix="0" xfId="0">
      <alignment vertical="center" wrapText="1"/>
    </xf>
    <xf numFmtId="0" fontId="23" fillId="7" borderId="10" applyAlignment="1" pivotButton="0" quotePrefix="0" xfId="0">
      <alignment vertical="center" wrapText="1"/>
    </xf>
    <xf numFmtId="0" fontId="25" fillId="0" borderId="10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2" fontId="23" fillId="10" borderId="10" applyAlignment="1" pivotButton="0" quotePrefix="0" xfId="0">
      <alignment vertical="center" wrapText="1"/>
    </xf>
    <xf numFmtId="4" fontId="20" fillId="12" borderId="10" applyAlignment="1" pivotButton="0" quotePrefix="0" xfId="0">
      <alignment vertical="center" wrapText="1"/>
    </xf>
    <xf numFmtId="0" fontId="20" fillId="0" borderId="15" pivotButton="0" quotePrefix="0" xfId="0"/>
    <xf numFmtId="0" fontId="22" fillId="0" borderId="10" applyAlignment="1" pivotButton="0" quotePrefix="0" xfId="0">
      <alignment vertical="center" wrapText="1"/>
    </xf>
    <xf numFmtId="4" fontId="23" fillId="10" borderId="10" applyAlignment="1" pivotButton="0" quotePrefix="0" xfId="0">
      <alignment vertical="center" wrapText="1"/>
    </xf>
    <xf numFmtId="4" fontId="23" fillId="7" borderId="10" applyAlignment="1" pivotButton="0" quotePrefix="0" xfId="0">
      <alignment vertical="center" wrapText="1"/>
    </xf>
    <xf numFmtId="0" fontId="27" fillId="0" borderId="10" applyAlignment="1" pivotButton="0" quotePrefix="0" xfId="0">
      <alignment vertical="center" wrapText="1"/>
    </xf>
    <xf numFmtId="4" fontId="28" fillId="13" borderId="10" applyAlignment="1" pivotButton="0" quotePrefix="0" xfId="0">
      <alignment vertical="center" wrapText="1"/>
    </xf>
    <xf numFmtId="167" fontId="23" fillId="10" borderId="10" applyAlignment="1" pivotButton="0" quotePrefix="0" xfId="0">
      <alignment vertical="center" wrapText="1"/>
    </xf>
    <xf numFmtId="0" fontId="24" fillId="2" borderId="10" applyAlignment="1" pivotButton="0" quotePrefix="0" xfId="0">
      <alignment vertical="center" wrapText="1"/>
    </xf>
    <xf numFmtId="0" fontId="21" fillId="6" borderId="10" applyAlignment="1" pivotButton="0" quotePrefix="0" xfId="0">
      <alignment horizontal="left" vertical="center"/>
    </xf>
    <xf numFmtId="0" fontId="29" fillId="11" borderId="10" applyAlignment="1" pivotButton="0" quotePrefix="0" xfId="0">
      <alignment horizontal="left" vertical="center"/>
    </xf>
    <xf numFmtId="0" fontId="7" fillId="12" borderId="10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6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left" vertical="center" wrapText="1"/>
    </xf>
    <xf numFmtId="3" fontId="0" fillId="10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3" fontId="0" fillId="7" borderId="16" applyAlignment="1" pivotButton="0" quotePrefix="0" xfId="0">
      <alignment horizontal="center" vertical="center" wrapText="1"/>
    </xf>
    <xf numFmtId="4" fontId="0" fillId="7" borderId="16" applyAlignment="1" pivotButton="0" quotePrefix="0" xfId="0">
      <alignment horizontal="center" vertical="center" wrapText="1"/>
    </xf>
    <xf numFmtId="4" fontId="0" fillId="10" borderId="16" applyAlignment="1" pivotButton="0" quotePrefix="0" xfId="0">
      <alignment horizontal="center" vertical="center" wrapText="1"/>
    </xf>
    <xf numFmtId="4" fontId="0" fillId="0" borderId="16" applyAlignment="1" pivotButton="0" quotePrefix="0" xfId="0">
      <alignment horizontal="center" vertical="center" wrapText="1"/>
    </xf>
    <xf numFmtId="0" fontId="0" fillId="10" borderId="16" applyAlignment="1" pivotButton="0" quotePrefix="0" xfId="0">
      <alignment horizontal="center" vertical="center" wrapText="1"/>
    </xf>
    <xf numFmtId="2" fontId="0" fillId="10" borderId="16" applyAlignment="1" pivotButton="0" quotePrefix="0" xfId="0">
      <alignment horizontal="center" vertical="center" wrapText="1"/>
    </xf>
    <xf numFmtId="2" fontId="0" fillId="0" borderId="16" applyAlignment="1" pivotButton="0" quotePrefix="0" xfId="0">
      <alignment horizontal="center" vertical="center" wrapText="1"/>
    </xf>
    <xf numFmtId="165" fontId="0" fillId="10" borderId="16" applyAlignment="1" pivotButton="0" quotePrefix="0" xfId="0">
      <alignment horizontal="center" vertical="center" wrapText="1"/>
    </xf>
    <xf numFmtId="165" fontId="0" fillId="0" borderId="16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left" vertical="center" wrapText="1"/>
    </xf>
    <xf numFmtId="4" fontId="17" fillId="10" borderId="16" applyAlignment="1" pivotButton="0" quotePrefix="0" xfId="0">
      <alignment horizontal="center" vertical="center" wrapText="1"/>
    </xf>
    <xf numFmtId="3" fontId="0" fillId="0" borderId="16" applyAlignment="1" pivotButton="0" quotePrefix="0" xfId="0">
      <alignment horizontal="center" vertical="center" wrapText="1"/>
    </xf>
    <xf numFmtId="0" fontId="33" fillId="0" borderId="0" pivotButton="0" quotePrefix="0" xfId="0"/>
    <xf numFmtId="0" fontId="17" fillId="0" borderId="0" pivotButton="0" quotePrefix="0" xfId="0"/>
    <xf numFmtId="4" fontId="17" fillId="0" borderId="16" applyAlignment="1" pivotButton="0" quotePrefix="0" xfId="0">
      <alignment horizontal="center" vertical="center" wrapText="1"/>
    </xf>
    <xf numFmtId="0" fontId="34" fillId="0" borderId="0" pivotButton="0" quotePrefix="0" xfId="0"/>
    <xf numFmtId="2" fontId="34" fillId="0" borderId="0" pivotButton="0" quotePrefix="0" xfId="0"/>
    <xf numFmtId="0" fontId="32" fillId="14" borderId="15" applyAlignment="1" pivotButton="0" quotePrefix="0" xfId="0">
      <alignment horizontal="center" vertical="center"/>
    </xf>
    <xf numFmtId="0" fontId="35" fillId="0" borderId="16" applyAlignment="1" pivotButton="0" quotePrefix="0" xfId="0">
      <alignment horizontal="left" vertical="center"/>
    </xf>
    <xf numFmtId="2" fontId="36" fillId="10" borderId="16" applyAlignment="1" pivotButton="0" quotePrefix="0" xfId="0">
      <alignment horizontal="center"/>
    </xf>
    <xf numFmtId="0" fontId="20" fillId="0" borderId="16" pivotButton="0" quotePrefix="0" xfId="0"/>
    <xf numFmtId="4" fontId="36" fillId="10" borderId="16" applyAlignment="1" pivotButton="0" quotePrefix="0" xfId="0">
      <alignment horizontal="center"/>
    </xf>
    <xf numFmtId="4" fontId="37" fillId="10" borderId="16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4" fontId="16" fillId="13" borderId="10" applyAlignment="1" pivotButton="0" quotePrefix="0" xfId="0">
      <alignment horizontal="center"/>
    </xf>
    <xf numFmtId="167" fontId="38" fillId="10" borderId="10" applyAlignment="1" pivotButton="0" quotePrefix="0" xfId="0">
      <alignment vertical="center" wrapText="1"/>
    </xf>
    <xf numFmtId="0" fontId="35" fillId="0" borderId="0" pivotButton="0" quotePrefix="0" xfId="0"/>
    <xf numFmtId="168" fontId="19" fillId="8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39" fillId="15" borderId="16" applyAlignment="1" pivotButton="0" quotePrefix="0" xfId="0">
      <alignment horizontal="left" vertical="center"/>
    </xf>
    <xf numFmtId="0" fontId="17" fillId="0" borderId="16" pivotButton="0" quotePrefix="0" xfId="0"/>
    <xf numFmtId="4" fontId="0" fillId="10" borderId="16" applyAlignment="1" pivotButton="0" quotePrefix="0" xfId="0">
      <alignment horizontal="right" vertical="center"/>
    </xf>
    <xf numFmtId="0" fontId="6" fillId="6" borderId="16" applyAlignment="1" pivotButton="0" quotePrefix="0" xfId="0">
      <alignment horizontal="center" vertical="center" wrapText="1"/>
    </xf>
    <xf numFmtId="0" fontId="0" fillId="0" borderId="16" pivotButton="0" quotePrefix="0" xfId="0"/>
    <xf numFmtId="4" fontId="0" fillId="0" borderId="16" pivotButton="0" quotePrefix="0" xfId="0"/>
    <xf numFmtId="168" fontId="0" fillId="10" borderId="16" applyAlignment="1" pivotButton="0" quotePrefix="0" xfId="0">
      <alignment horizontal="right" vertical="center"/>
    </xf>
    <xf numFmtId="2" fontId="0" fillId="10" borderId="16" applyAlignment="1" pivotButton="0" quotePrefix="0" xfId="0">
      <alignment horizontal="right" vertical="center"/>
    </xf>
    <xf numFmtId="1" fontId="0" fillId="10" borderId="16" applyAlignment="1" pivotButton="0" quotePrefix="0" xfId="0">
      <alignment horizontal="right" vertical="center"/>
    </xf>
    <xf numFmtId="2" fontId="0" fillId="0" borderId="16" pivotButton="0" quotePrefix="0" xfId="0"/>
    <xf numFmtId="0" fontId="0" fillId="7" borderId="16" applyAlignment="1" pivotButton="0" quotePrefix="0" xfId="0">
      <alignment horizontal="right" vertical="center"/>
    </xf>
    <xf numFmtId="0" fontId="40" fillId="0" borderId="16" pivotButton="0" quotePrefix="0" xfId="0"/>
    <xf numFmtId="0" fontId="24" fillId="0" borderId="16" pivotButton="0" quotePrefix="0" xfId="0"/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16" borderId="16" applyAlignment="1" pivotButton="0" quotePrefix="0" xfId="0">
      <alignment horizontal="center"/>
    </xf>
    <xf numFmtId="0" fontId="26" fillId="0" borderId="16" applyAlignment="1" pivotButton="0" quotePrefix="0" xfId="0">
      <alignment horizontal="center"/>
    </xf>
    <xf numFmtId="0" fontId="23" fillId="0" borderId="16" pivotButton="0" quotePrefix="0" xfId="0"/>
    <xf numFmtId="0" fontId="26" fillId="0" borderId="16" pivotButton="0" quotePrefix="0" xfId="0"/>
    <xf numFmtId="0" fontId="41" fillId="0" borderId="0" pivotButton="0" quotePrefix="0" xfId="0"/>
    <xf numFmtId="4" fontId="0" fillId="7" borderId="16" applyAlignment="1" pivotButton="0" quotePrefix="0" xfId="0">
      <alignment horizontal="right" vertical="center"/>
    </xf>
    <xf numFmtId="2" fontId="0" fillId="7" borderId="16" applyAlignment="1" pivotButton="0" quotePrefix="0" xfId="0">
      <alignment horizontal="right" vertical="center"/>
    </xf>
    <xf numFmtId="0" fontId="7" fillId="17" borderId="16" pivotButton="0" quotePrefix="0" xfId="0"/>
    <xf numFmtId="0" fontId="24" fillId="0" borderId="16" applyAlignment="1" pivotButton="0" quotePrefix="0" xfId="0">
      <alignment horizontal="center"/>
    </xf>
    <xf numFmtId="0" fontId="24" fillId="7" borderId="16" pivotButton="0" quotePrefix="0" xfId="0"/>
    <xf numFmtId="2" fontId="24" fillId="10" borderId="16" pivotButton="0" quotePrefix="0" xfId="0"/>
    <xf numFmtId="0" fontId="24" fillId="0" borderId="16" applyAlignment="1" pivotButton="0" quotePrefix="0" xfId="0">
      <alignment horizontal="center" vertical="center"/>
    </xf>
    <xf numFmtId="0" fontId="6" fillId="18" borderId="16" applyAlignment="1" pivotButton="0" quotePrefix="0" xfId="0">
      <alignment horizontal="left" vertical="center"/>
    </xf>
    <xf numFmtId="0" fontId="23" fillId="0" borderId="16" applyAlignment="1" pivotButton="0" quotePrefix="0" xfId="0">
      <alignment horizontal="left" vertical="center"/>
    </xf>
    <xf numFmtId="2" fontId="23" fillId="10" borderId="16" applyAlignment="1" pivotButton="0" quotePrefix="0" xfId="0">
      <alignment horizontal="center"/>
    </xf>
    <xf numFmtId="4" fontId="23" fillId="10" borderId="16" applyAlignment="1" pivotButton="0" quotePrefix="0" xfId="0">
      <alignment horizontal="center"/>
    </xf>
    <xf numFmtId="4" fontId="42" fillId="10" borderId="16" pivotButton="0" quotePrefix="0" xfId="0"/>
  </cellXfs>
  <cellStyles count="1">
    <cellStyle name="Normal" xfId="0" builtinId="0" hidden="0"/>
  </cellStyles>
  <dxfs count="9">
    <dxf>
      <fill>
        <patternFill patternType="solid">
          <fgColor rgb="00D5F5E3"/>
        </patternFill>
      </fill>
    </dxf>
    <dxf>
      <fill>
        <patternFill patternType="solid">
          <fgColor rgb="00FEF9E7"/>
        </patternFill>
      </fill>
    </dxf>
    <dxf>
      <fill>
        <patternFill patternType="solid">
          <fgColor rgb="00FADBD8"/>
        </patternFill>
      </fill>
    </dxf>
    <dxf>
      <font>
        <b val="1"/>
        <color rgb="00C0392B"/>
      </font>
      <fill>
        <patternFill patternType="solid">
          <fgColor rgb="00FADBD8"/>
        </patternFill>
      </fill>
    </dxf>
    <dxf>
      <font>
        <color rgb="00E67E22"/>
      </font>
      <fill>
        <patternFill patternType="solid">
          <fgColor rgb="00FEF9E7"/>
        </patternFill>
      </fill>
    </dxf>
    <dxf>
      <font>
        <color rgb="0027AE60"/>
      </font>
      <fill>
        <patternFill patternType="solid">
          <fgColor rgb="00D5F5E3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119" t="inlineStr">
        <is>
          <t>PAINEL EXECUTIVO — ORÇAMENTO PARAMÉTRICO</t>
        </is>
      </c>
    </row>
    <row r="3">
      <c r="A3" s="120" t="inlineStr">
        <is>
          <t>1. RESUMO EXECUTIVO</t>
        </is>
      </c>
      <c r="B3" s="113" t="n"/>
      <c r="C3" s="113" t="n"/>
      <c r="D3" s="113" t="n"/>
      <c r="E3" s="114" t="n"/>
    </row>
    <row r="4">
      <c r="A4" s="121" t="inlineStr">
        <is>
          <t>R$/m² (Custo/AC)</t>
        </is>
      </c>
      <c r="B4" s="122">
        <f>DADOS_PROJETO!B18</f>
        <v/>
      </c>
    </row>
    <row r="5">
      <c r="A5" s="121" t="inlineStr">
        <is>
          <t>Custo Total (R$)</t>
        </is>
      </c>
      <c r="B5" s="122">
        <f>DADOS_PROJETO!B17</f>
        <v/>
      </c>
    </row>
    <row r="6">
      <c r="A6" s="121" t="inlineStr">
        <is>
          <t>R$/UR</t>
        </is>
      </c>
      <c r="B6" s="122">
        <f>IF(DADOS_PROJETO!B8&gt;0,DADOS_PROJETO!B17/DADOS_PROJETO!B8,0)</f>
        <v/>
      </c>
    </row>
    <row r="7">
      <c r="A7" s="121" t="inlineStr">
        <is>
          <t>Área Construída (m²)</t>
        </is>
      </c>
      <c r="B7" s="122">
        <f>DADOS_PROJETO!B7</f>
        <v/>
      </c>
    </row>
    <row r="9">
      <c r="A9" s="120" t="inlineStr">
        <is>
          <t>2. CUSTO POR MACROGRUPO</t>
        </is>
      </c>
      <c r="B9" s="113" t="n"/>
      <c r="C9" s="113" t="n"/>
      <c r="D9" s="113" t="n"/>
      <c r="E9" s="114" t="n"/>
    </row>
    <row r="10">
      <c r="A10" s="123" t="inlineStr">
        <is>
          <t>Macrogrupo</t>
        </is>
      </c>
      <c r="B10" s="123" t="inlineStr">
        <is>
          <t>R$/m² Param.</t>
        </is>
      </c>
      <c r="C10" s="123" t="inlineStr">
        <is>
          <t>Min Mercado</t>
        </is>
      </c>
      <c r="D10" s="123" t="inlineStr">
        <is>
          <t>Max Mercado</t>
        </is>
      </c>
      <c r="E10" s="123" t="inlineStr">
        <is>
          <t>Status/Ação</t>
        </is>
      </c>
    </row>
    <row r="11">
      <c r="A11" s="124" t="inlineStr">
        <is>
          <t>Gerenciamento</t>
        </is>
      </c>
      <c r="B11" s="122">
        <f>CUSTOS_MACROGRUPO!D4</f>
        <v/>
      </c>
      <c r="C11" s="125">
        <f>CUSTOS_MACROGRUPO!F4</f>
        <v/>
      </c>
      <c r="D11" s="125">
        <f>CUSTOS_MACROGRUPO!G4</f>
        <v/>
      </c>
      <c r="E11" s="124">
        <f>IF(B11=0,"—",IF(B11&gt;D11,"✗ Alto - Revisar escopo",IF(B11&lt;C11,"⚠ Baixo - Verificar completude","✓ OK - Dentro da faixa")))</f>
        <v/>
      </c>
    </row>
    <row r="12">
      <c r="A12" s="124" t="inlineStr">
        <is>
          <t>Mov. Terra</t>
        </is>
      </c>
      <c r="B12" s="122">
        <f>CUSTOS_MACROGRUPO!D5</f>
        <v/>
      </c>
      <c r="C12" s="125">
        <f>CUSTOS_MACROGRUPO!F5</f>
        <v/>
      </c>
      <c r="D12" s="125">
        <f>CUSTOS_MACROGRUPO!G5</f>
        <v/>
      </c>
      <c r="E12" s="124">
        <f>IF(B12=0,"—",IF(B12&gt;D12,"✗ Alto - Revisar escopo",IF(B12&lt;C12,"⚠ Baixo - Verificar completude","✓ OK - Dentro da faixa")))</f>
        <v/>
      </c>
    </row>
    <row r="13">
      <c r="A13" s="124" t="inlineStr">
        <is>
          <t>Infraestrutura</t>
        </is>
      </c>
      <c r="B13" s="122">
        <f>CUSTOS_MACROGRUPO!D6</f>
        <v/>
      </c>
      <c r="C13" s="125">
        <f>CUSTOS_MACROGRUPO!F6</f>
        <v/>
      </c>
      <c r="D13" s="125">
        <f>CUSTOS_MACROGRUPO!G6</f>
        <v/>
      </c>
      <c r="E13" s="124">
        <f>IF(B13=0,"—",IF(B13&gt;D13,"✗ Alto - Revisar escopo",IF(B13&lt;C13,"⚠ Baixo - Verificar completude","✓ OK - Dentro da faixa")))</f>
        <v/>
      </c>
    </row>
    <row r="14">
      <c r="A14" s="124" t="inlineStr">
        <is>
          <t>Supraestrutura</t>
        </is>
      </c>
      <c r="B14" s="122">
        <f>CUSTOS_MACROGRUPO!D7</f>
        <v/>
      </c>
      <c r="C14" s="125">
        <f>CUSTOS_MACROGRUPO!F7</f>
        <v/>
      </c>
      <c r="D14" s="125">
        <f>CUSTOS_MACROGRUPO!G7</f>
        <v/>
      </c>
      <c r="E14" s="124">
        <f>IF(B14=0,"—",IF(B14&gt;D14,"✗ Alto - Revisar escopo",IF(B14&lt;C14,"⚠ Baixo - Verificar completude","✓ OK - Dentro da faixa")))</f>
        <v/>
      </c>
    </row>
    <row r="15">
      <c r="A15" s="124" t="inlineStr">
        <is>
          <t>Alvenaria</t>
        </is>
      </c>
      <c r="B15" s="122">
        <f>CUSTOS_MACROGRUPO!D8</f>
        <v/>
      </c>
      <c r="C15" s="125">
        <f>CUSTOS_MACROGRUPO!F8</f>
        <v/>
      </c>
      <c r="D15" s="125">
        <f>CUSTOS_MACROGRUPO!G8</f>
        <v/>
      </c>
      <c r="E15" s="124">
        <f>IF(B15=0,"—",IF(B15&gt;D15,"✗ Alto - Revisar escopo",IF(B15&lt;C15,"⚠ Baixo - Verificar completude","✓ OK - Dentro da faixa")))</f>
        <v/>
      </c>
    </row>
    <row r="16">
      <c r="A16" s="124" t="inlineStr">
        <is>
          <t>Instalações</t>
        </is>
      </c>
      <c r="B16" s="122">
        <f>CUSTOS_MACROGRUPO!D9</f>
        <v/>
      </c>
      <c r="C16" s="125">
        <f>CUSTOS_MACROGRUPO!F9</f>
        <v/>
      </c>
      <c r="D16" s="125">
        <f>CUSTOS_MACROGRUPO!G9</f>
        <v/>
      </c>
      <c r="E16" s="124">
        <f>IF(B16=0,"—",IF(B16&gt;D16,"✗ Alto - Revisar escopo",IF(B16&lt;C16,"⚠ Baixo - Verificar completude","✓ OK - Dentro da faixa")))</f>
        <v/>
      </c>
    </row>
    <row r="17">
      <c r="A17" s="124" t="inlineStr">
        <is>
          <t>Sist. Especiais</t>
        </is>
      </c>
      <c r="B17" s="122">
        <f>CUSTOS_MACROGRUPO!D10</f>
        <v/>
      </c>
      <c r="C17" s="125">
        <f>CUSTOS_MACROGRUPO!F10</f>
        <v/>
      </c>
      <c r="D17" s="125">
        <f>CUSTOS_MACROGRUPO!G10</f>
        <v/>
      </c>
      <c r="E17" s="124">
        <f>IF(B17=0,"—",IF(B17&gt;D17,"✗ Alto - Revisar escopo",IF(B17&lt;C17,"⚠ Baixo - Verificar completude","✓ OK - Dentro da faixa")))</f>
        <v/>
      </c>
    </row>
    <row r="18">
      <c r="A18" s="124" t="inlineStr">
        <is>
          <t>Impermeabilização</t>
        </is>
      </c>
      <c r="B18" s="122">
        <f>CUSTOS_MACROGRUPO!D11</f>
        <v/>
      </c>
      <c r="C18" s="125">
        <f>CUSTOS_MACROGRUPO!F11</f>
        <v/>
      </c>
      <c r="D18" s="125">
        <f>CUSTOS_MACROGRUPO!G11</f>
        <v/>
      </c>
      <c r="E18" s="124">
        <f>IF(B18=0,"—",IF(B18&gt;D18,"✗ Alto - Revisar escopo",IF(B18&lt;C18,"⚠ Baixo - Verificar completude","✓ OK - Dentro da faixa")))</f>
        <v/>
      </c>
    </row>
    <row r="19">
      <c r="A19" s="124" t="inlineStr">
        <is>
          <t>Rev. Int. Parede</t>
        </is>
      </c>
      <c r="B19" s="122">
        <f>CUSTOS_MACROGRUPO!D12</f>
        <v/>
      </c>
      <c r="C19" s="125">
        <f>CUSTOS_MACROGRUPO!F12</f>
        <v/>
      </c>
      <c r="D19" s="125">
        <f>CUSTOS_MACROGRUPO!G12</f>
        <v/>
      </c>
      <c r="E19" s="124">
        <f>IF(B19=0,"—",IF(B19&gt;D19,"✗ Alto - Revisar escopo",IF(B19&lt;C19,"⚠ Baixo - Verificar completude","✓ OK - Dentro da faixa")))</f>
        <v/>
      </c>
    </row>
    <row r="20">
      <c r="A20" s="124" t="inlineStr">
        <is>
          <t>Teto</t>
        </is>
      </c>
      <c r="B20" s="122">
        <f>CUSTOS_MACROGRUPO!D13</f>
        <v/>
      </c>
      <c r="C20" s="125">
        <f>CUSTOS_MACROGRUPO!F13</f>
        <v/>
      </c>
      <c r="D20" s="125">
        <f>CUSTOS_MACROGRUPO!G13</f>
        <v/>
      </c>
      <c r="E20" s="124">
        <f>IF(B20=0,"—",IF(B20&gt;D20,"✗ Alto - Revisar escopo",IF(B20&lt;C20,"⚠ Baixo - Verificar completude","✓ OK - Dentro da faixa")))</f>
        <v/>
      </c>
    </row>
    <row r="21">
      <c r="A21" s="124" t="inlineStr">
        <is>
          <t>Pisos</t>
        </is>
      </c>
      <c r="B21" s="122">
        <f>CUSTOS_MACROGRUPO!D14</f>
        <v/>
      </c>
      <c r="C21" s="125">
        <f>CUSTOS_MACROGRUPO!F14</f>
        <v/>
      </c>
      <c r="D21" s="125">
        <f>CUSTOS_MACROGRUPO!G14</f>
        <v/>
      </c>
      <c r="E21" s="124">
        <f>IF(B21=0,"—",IF(B21&gt;D21,"✗ Alto - Revisar escopo",IF(B21&lt;C21,"⚠ Baixo - Verificar completude","✓ OK - Dentro da faixa")))</f>
        <v/>
      </c>
    </row>
    <row r="22">
      <c r="A22" s="124" t="inlineStr">
        <is>
          <t>Pintura</t>
        </is>
      </c>
      <c r="B22" s="122">
        <f>CUSTOS_MACROGRUPO!D15</f>
        <v/>
      </c>
      <c r="C22" s="125">
        <f>CUSTOS_MACROGRUPO!F15</f>
        <v/>
      </c>
      <c r="D22" s="125">
        <f>CUSTOS_MACROGRUPO!G15</f>
        <v/>
      </c>
      <c r="E22" s="124">
        <f>IF(B22=0,"—",IF(B22&gt;D22,"✗ Alto - Revisar escopo",IF(B22&lt;C22,"⚠ Baixo - Verificar completude","✓ OK - Dentro da faixa")))</f>
        <v/>
      </c>
    </row>
    <row r="23">
      <c r="A23" s="124" t="inlineStr">
        <is>
          <t>Esquadrias</t>
        </is>
      </c>
      <c r="B23" s="122">
        <f>CUSTOS_MACROGRUPO!D16</f>
        <v/>
      </c>
      <c r="C23" s="125">
        <f>CUSTOS_MACROGRUPO!F16</f>
        <v/>
      </c>
      <c r="D23" s="125">
        <f>CUSTOS_MACROGRUPO!G16</f>
        <v/>
      </c>
      <c r="E23" s="124">
        <f>IF(B23=0,"—",IF(B23&gt;D23,"✗ Alto - Revisar escopo",IF(B23&lt;C23,"⚠ Baixo - Verificar completude","✓ OK - Dentro da faixa")))</f>
        <v/>
      </c>
    </row>
    <row r="24">
      <c r="A24" s="124" t="inlineStr">
        <is>
          <t>Cobertura</t>
        </is>
      </c>
      <c r="B24" s="122">
        <f>CUSTOS_MACROGRUPO!D17</f>
        <v/>
      </c>
      <c r="C24" s="125">
        <f>CUSTOS_MACROGRUPO!F17</f>
        <v/>
      </c>
      <c r="D24" s="125">
        <f>CUSTOS_MACROGRUPO!G17</f>
        <v/>
      </c>
      <c r="E24" s="124">
        <f>IF(B24=0,"—",IF(B24&gt;D24,"✗ Alto - Revisar escopo",IF(B24&lt;C24,"⚠ Baixo - Verificar completude","✓ OK - Dentro da faixa")))</f>
        <v/>
      </c>
    </row>
    <row r="25">
      <c r="A25" s="124" t="inlineStr">
        <is>
          <t>Fachada</t>
        </is>
      </c>
      <c r="B25" s="122">
        <f>CUSTOS_MACROGRUPO!D18</f>
        <v/>
      </c>
      <c r="C25" s="125">
        <f>CUSTOS_MACROGRUPO!F18</f>
        <v/>
      </c>
      <c r="D25" s="125">
        <f>CUSTOS_MACROGRUPO!G18</f>
        <v/>
      </c>
      <c r="E25" s="124">
        <f>IF(B25=0,"—",IF(B25&gt;D25,"✗ Alto - Revisar escopo",IF(B25&lt;C25,"⚠ Baixo - Verificar completude","✓ OK - Dentro da faixa")))</f>
        <v/>
      </c>
    </row>
    <row r="26">
      <c r="A26" s="124" t="inlineStr">
        <is>
          <t>Complementares</t>
        </is>
      </c>
      <c r="B26" s="122">
        <f>CUSTOS_MACROGRUPO!D19</f>
        <v/>
      </c>
      <c r="C26" s="125">
        <f>CUSTOS_MACROGRUPO!F19</f>
        <v/>
      </c>
      <c r="D26" s="125">
        <f>CUSTOS_MACROGRUPO!G19</f>
        <v/>
      </c>
      <c r="E26" s="124">
        <f>IF(B26=0,"—",IF(B26&gt;D26,"✗ Alto - Revisar escopo",IF(B26&lt;C26,"⚠ Baixo - Verificar completude","✓ OK - Dentro da faixa")))</f>
        <v/>
      </c>
    </row>
    <row r="27">
      <c r="A27" s="124" t="inlineStr">
        <is>
          <t>Imprevistos</t>
        </is>
      </c>
      <c r="B27" s="122">
        <f>CUSTOS_MACROGRUPO!D20</f>
        <v/>
      </c>
      <c r="C27" s="125">
        <f>CUSTOS_MACROGRUPO!F20</f>
        <v/>
      </c>
      <c r="D27" s="125">
        <f>CUSTOS_MACROGRUPO!G20</f>
        <v/>
      </c>
      <c r="E27" s="124">
        <f>IF(B27=0,"—",IF(B27&gt;D27,"✗ Alto - Revisar escopo",IF(B27&lt;C27,"⚠ Baixo - Verificar completude","✓ OK - Dentro da faixa")))</f>
        <v/>
      </c>
    </row>
    <row r="29">
      <c r="A29" s="120" t="inlineStr">
        <is>
          <t>3. INDICADORES DE PRODUTO</t>
        </is>
      </c>
      <c r="B29" s="113" t="n"/>
      <c r="C29" s="113" t="n"/>
      <c r="D29" s="113" t="n"/>
      <c r="E29" s="114" t="n"/>
    </row>
    <row r="30">
      <c r="A30" s="123" t="inlineStr">
        <is>
          <t>Indicador</t>
        </is>
      </c>
      <c r="B30" s="123" t="inlineStr">
        <is>
          <t>Valor</t>
        </is>
      </c>
      <c r="C30" s="123" t="inlineStr">
        <is>
          <t>Faixa Benchmark</t>
        </is>
      </c>
      <c r="D30" s="123" t="inlineStr">
        <is>
          <t>Status</t>
        </is>
      </c>
    </row>
    <row r="31">
      <c r="A31" s="124" t="inlineStr">
        <is>
          <t>CA (Coef. Aproveitamento)</t>
        </is>
      </c>
      <c r="B31" s="126">
        <f>IF(DADOS_PROJETO!B14&gt;0,DADOS_PROJETO!B7/DADOS_PROJETO!B14,0)</f>
        <v/>
      </c>
      <c r="C31" s="124" t="inlineStr">
        <is>
          <t>0.80 - 3.50</t>
        </is>
      </c>
      <c r="D31" s="124" t="inlineStr">
        <is>
          <t>—</t>
        </is>
      </c>
    </row>
    <row r="32">
      <c r="A32" s="124" t="inlineStr">
        <is>
          <t>AC/UR (m²)</t>
        </is>
      </c>
      <c r="B32" s="127">
        <f>IF(DADOS_PROJETO!B8&gt;0,DADOS_PROJETO!B7/DADOS_PROJETO!B8,0)</f>
        <v/>
      </c>
      <c r="C32" s="124" t="inlineStr">
        <is>
          <t>60 - 150</t>
        </is>
      </c>
      <c r="D32" s="124" t="inlineStr">
        <is>
          <t>—</t>
        </is>
      </c>
    </row>
    <row r="33">
      <c r="A33" s="124" t="inlineStr">
        <is>
          <t>Vagas/UR</t>
        </is>
      </c>
      <c r="B33" s="127">
        <f>IF(DADOS_PROJETO!B8&gt;0,DADOS_PROJETO!B13/DADOS_PROJETO!B8,0)</f>
        <v/>
      </c>
      <c r="C33" s="124" t="inlineStr">
        <is>
          <t>1.0 - 2.5</t>
        </is>
      </c>
      <c r="D33" s="124" t="inlineStr">
        <is>
          <t>—</t>
        </is>
      </c>
    </row>
    <row r="34">
      <c r="A34" s="124" t="inlineStr">
        <is>
          <t>UR/Elevador</t>
        </is>
      </c>
      <c r="B34" s="126">
        <f>IF(DADOS_PROJETO!B12&gt;0,DADOS_PROJETO!B8/DADOS_PROJETO!B12,0)</f>
        <v/>
      </c>
      <c r="C34" s="124" t="inlineStr">
        <is>
          <t>20 - 40</t>
        </is>
      </c>
      <c r="D34" s="124" t="inlineStr">
        <is>
          <t>—</t>
        </is>
      </c>
    </row>
    <row r="35">
      <c r="A35" s="124" t="inlineStr">
        <is>
          <t>Pvtos Tipo/Total</t>
        </is>
      </c>
      <c r="B35" s="127">
        <f>IF(DADOS_PROJETO!B9&gt;0,DADOS_PROJETO!B10/DADOS_PROJETO!B9,0)</f>
        <v/>
      </c>
      <c r="C35" s="124" t="inlineStr">
        <is>
          <t>0.30 - 0.60</t>
        </is>
      </c>
      <c r="D35" s="124" t="inlineStr">
        <is>
          <t>—</t>
        </is>
      </c>
    </row>
    <row r="36">
      <c r="A36" s="124" t="inlineStr">
        <is>
          <t>N° Pavimentos</t>
        </is>
      </c>
      <c r="B36" s="128">
        <f>DADOS_PROJETO!B9</f>
        <v/>
      </c>
      <c r="C36" s="124" t="inlineStr">
        <is>
          <t>5 - 25</t>
        </is>
      </c>
      <c r="D36" s="124" t="inlineStr">
        <is>
          <t>—</t>
        </is>
      </c>
    </row>
    <row r="37">
      <c r="A37" s="124" t="inlineStr">
        <is>
          <t>R$/m²</t>
        </is>
      </c>
      <c r="B37" s="122">
        <f>DADOS_PROJETO!B18</f>
        <v/>
      </c>
      <c r="C37" s="124" t="inlineStr">
        <is>
          <t>3500 - 5500</t>
        </is>
      </c>
      <c r="D37" s="124" t="inlineStr">
        <is>
          <t>—</t>
        </is>
      </c>
    </row>
    <row r="38">
      <c r="A38" s="124" t="inlineStr">
        <is>
          <t>R$/UR</t>
        </is>
      </c>
      <c r="B38" s="122">
        <f>IF(DADOS_PROJETO!B8&gt;0,DADOS_PROJETO!B17/DADOS_PROJETO!B8,0)</f>
        <v/>
      </c>
      <c r="C38" s="124" t="inlineStr">
        <is>
          <t>250k - 650k</t>
        </is>
      </c>
      <c r="D38" s="124" t="inlineStr">
        <is>
          <t>—</t>
        </is>
      </c>
    </row>
    <row r="40">
      <c r="A40" s="120" t="inlineStr">
        <is>
          <t>4. DECISÕES DO BRIEFING</t>
        </is>
      </c>
      <c r="B40" s="113" t="n"/>
      <c r="C40" s="113" t="n"/>
      <c r="D40" s="113" t="n"/>
      <c r="E40" s="114" t="n"/>
    </row>
    <row r="41">
      <c r="A41" s="123" t="inlineStr">
        <is>
          <t>Decisão</t>
        </is>
      </c>
      <c r="B41" s="123" t="inlineStr">
        <is>
          <t>Escolha</t>
        </is>
      </c>
      <c r="C41" s="123" t="inlineStr">
        <is>
          <t>Impacto</t>
        </is>
      </c>
      <c r="D41" s="123" t="inlineStr">
        <is>
          <t>Alternativa</t>
        </is>
      </c>
      <c r="E41" s="123" t="inlineStr">
        <is>
          <t>Economia Est.</t>
        </is>
      </c>
    </row>
    <row r="42">
      <c r="A42" s="124" t="inlineStr">
        <is>
          <t>Tipo de Laje</t>
        </is>
      </c>
      <c r="B42" s="124">
        <f>BRIEFING!C6</f>
        <v/>
      </c>
      <c r="C42" s="124" t="inlineStr">
        <is>
          <t>Estrutura + Custo</t>
        </is>
      </c>
      <c r="D42" s="124" t="inlineStr">
        <is>
          <t>Ver ÍNDICES</t>
        </is>
      </c>
      <c r="E42" s="124" t="inlineStr">
        <is>
          <t>Variável</t>
        </is>
      </c>
    </row>
    <row r="43">
      <c r="A43" s="124" t="inlineStr">
        <is>
          <t>Padrão Acabamento</t>
        </is>
      </c>
      <c r="B43" s="124">
        <f>BRIEFING!C10</f>
        <v/>
      </c>
      <c r="C43" s="124" t="inlineStr">
        <is>
          <t>Acabamentos</t>
        </is>
      </c>
      <c r="D43" s="124" t="inlineStr">
        <is>
          <t>Standard/Alto/Super Alto</t>
        </is>
      </c>
      <c r="E43" s="124" t="inlineStr">
        <is>
          <t>10-30%</t>
        </is>
      </c>
    </row>
    <row r="44">
      <c r="A44" s="124" t="inlineStr">
        <is>
          <t>Fachada</t>
        </is>
      </c>
      <c r="B44" s="124">
        <f>BRIEFING!C16</f>
        <v/>
      </c>
      <c r="C44" s="124" t="inlineStr">
        <is>
          <t>Estética + Custo</t>
        </is>
      </c>
      <c r="D44" s="124" t="inlineStr">
        <is>
          <t>Simples/Intermediária/Complexa</t>
        </is>
      </c>
      <c r="E44" s="124" t="inlineStr">
        <is>
          <t>15-40%</t>
        </is>
      </c>
    </row>
    <row r="45">
      <c r="A45" s="124" t="inlineStr">
        <is>
          <t>Pé Direito</t>
        </is>
      </c>
      <c r="B45" s="124">
        <f>BRIEFING!C14</f>
        <v/>
      </c>
      <c r="C45" s="124" t="inlineStr">
        <is>
          <t>Estrutura + Vedação</t>
        </is>
      </c>
      <c r="D45" s="124" t="inlineStr">
        <is>
          <t>2.60m / 2.80m / 3.00m</t>
        </is>
      </c>
      <c r="E45" s="124" t="inlineStr">
        <is>
          <t>5-10%</t>
        </is>
      </c>
    </row>
    <row r="46">
      <c r="A46" s="124" t="inlineStr">
        <is>
          <t>Sistema de Elevadores</t>
        </is>
      </c>
      <c r="B46" s="124">
        <f>BRIEFING!C20</f>
        <v/>
      </c>
      <c r="C46" s="124" t="inlineStr">
        <is>
          <t>Instalações</t>
        </is>
      </c>
      <c r="D46" s="124" t="inlineStr">
        <is>
          <t>Convencional/Alta Performance</t>
        </is>
      </c>
      <c r="E46" s="124" t="inlineStr">
        <is>
          <t>3-8%</t>
        </is>
      </c>
    </row>
    <row r="48">
      <c r="A48" s="120" t="inlineStr">
        <is>
          <t>5. POSICIONAMENTO (Projetos Referência)</t>
        </is>
      </c>
      <c r="B48" s="113" t="n"/>
      <c r="C48" s="113" t="n"/>
      <c r="D48" s="113" t="n"/>
      <c r="E48" s="114" t="n"/>
    </row>
    <row r="49">
      <c r="A49" s="123" t="inlineStr">
        <is>
          <t>Projeto</t>
        </is>
      </c>
      <c r="B49" s="123" t="inlineStr">
        <is>
          <t>AC (m²)</t>
        </is>
      </c>
      <c r="C49" s="123" t="inlineStr">
        <is>
          <t>R$/m²</t>
        </is>
      </c>
      <c r="D49" s="123" t="inlineStr">
        <is>
          <t>CUB Ratio</t>
        </is>
      </c>
      <c r="E49" s="123" t="inlineStr">
        <is>
          <t>Status</t>
        </is>
      </c>
    </row>
    <row r="50">
      <c r="A50" s="124" t="inlineStr">
        <is>
          <t>Costao</t>
        </is>
      </c>
      <c r="B50" s="125" t="n">
        <v>38429.49</v>
      </c>
      <c r="C50" s="125" t="n">
        <v>4238.92</v>
      </c>
      <c r="D50" s="129" t="n">
        <v>1.59</v>
      </c>
      <c r="E50" s="124" t="inlineStr">
        <is>
          <t>Referência</t>
        </is>
      </c>
    </row>
    <row r="51">
      <c r="A51" s="124" t="inlineStr">
        <is>
          <t>Colline</t>
        </is>
      </c>
      <c r="B51" s="125" t="n">
        <v>27559.45</v>
      </c>
      <c r="C51" s="125" t="n">
        <v>5181.69</v>
      </c>
      <c r="D51" s="129" t="n">
        <v>2.25</v>
      </c>
      <c r="E51" s="124" t="inlineStr">
        <is>
          <t>Referência</t>
        </is>
      </c>
    </row>
    <row r="52">
      <c r="A52" s="124" t="inlineStr">
        <is>
          <t>Fasolo-Vdf</t>
        </is>
      </c>
      <c r="B52" s="125" t="n">
        <v>20550.4</v>
      </c>
      <c r="C52" s="125" t="n">
        <v>2843.56</v>
      </c>
      <c r="D52" s="129" t="n">
        <v>1.21</v>
      </c>
      <c r="E52" s="124" t="inlineStr">
        <is>
          <t>Referência</t>
        </is>
      </c>
    </row>
    <row r="53">
      <c r="A53" s="124" t="inlineStr">
        <is>
          <t>Cota365</t>
        </is>
      </c>
      <c r="B53" s="125" t="n">
        <v>17473.08</v>
      </c>
      <c r="C53" s="125" t="n">
        <v>3366.88</v>
      </c>
      <c r="D53" s="129" t="n">
        <v>1.18</v>
      </c>
      <c r="E53" s="124" t="inlineStr">
        <is>
          <t>Referência</t>
        </is>
      </c>
    </row>
    <row r="54">
      <c r="A54" s="124" t="inlineStr">
        <is>
          <t>Redentor</t>
        </is>
      </c>
      <c r="B54" s="125" t="n">
        <v>16727.83</v>
      </c>
      <c r="C54" s="125" t="n">
        <v>3923.38</v>
      </c>
      <c r="D54" s="129" t="n">
        <v>1.47</v>
      </c>
      <c r="E54" s="124" t="inlineStr">
        <is>
          <t>Referência</t>
        </is>
      </c>
    </row>
    <row r="55">
      <c r="A55" s="124" t="inlineStr">
        <is>
          <t>Neuhaus</t>
        </is>
      </c>
      <c r="B55" s="125" t="n">
        <v>14516.38</v>
      </c>
      <c r="C55" s="125" t="n">
        <v>4152.25</v>
      </c>
      <c r="D55" s="129" t="n">
        <v>1.49</v>
      </c>
      <c r="E55" s="124" t="inlineStr">
        <is>
          <t>Referência</t>
        </is>
      </c>
    </row>
    <row r="56">
      <c r="A56" s="124" t="inlineStr">
        <is>
          <t>Dlohn</t>
        </is>
      </c>
      <c r="B56" s="125" t="n">
        <v>13147.78</v>
      </c>
      <c r="C56" s="125" t="n">
        <v>3728.08</v>
      </c>
      <c r="D56" s="129" t="n">
        <v>1.28</v>
      </c>
      <c r="E56" s="124" t="inlineStr">
        <is>
          <t>Referência</t>
        </is>
      </c>
    </row>
    <row r="57">
      <c r="A57" s="124" t="inlineStr">
        <is>
          <t>Connect</t>
        </is>
      </c>
      <c r="B57" s="125" t="n">
        <v>13144.27</v>
      </c>
      <c r="C57" s="125" t="n">
        <v>3583.88</v>
      </c>
      <c r="D57" s="129" t="n">
        <v>1.29</v>
      </c>
      <c r="E57" s="124" t="inlineStr">
        <is>
          <t>Referência</t>
        </is>
      </c>
    </row>
    <row r="58">
      <c r="A58" s="124" t="inlineStr">
        <is>
          <t>Maison-Beach</t>
        </is>
      </c>
      <c r="B58" s="125" t="n">
        <v>12879.93</v>
      </c>
      <c r="C58" s="125" t="n">
        <v>3290.71</v>
      </c>
      <c r="D58" s="129" t="n">
        <v>1.2</v>
      </c>
      <c r="E58" s="124" t="inlineStr">
        <is>
          <t>Referência</t>
        </is>
      </c>
    </row>
    <row r="59">
      <c r="A59" s="124" t="inlineStr">
        <is>
          <t>Eternity</t>
        </is>
      </c>
      <c r="B59" s="125" t="n">
        <v>11892.95</v>
      </c>
      <c r="C59" s="125" t="n">
        <v>3482.06</v>
      </c>
      <c r="D59" s="129" t="n">
        <v>1.28</v>
      </c>
      <c r="E59" s="124" t="inlineStr">
        <is>
          <t>Referência</t>
        </is>
      </c>
    </row>
  </sheetData>
  <mergeCells count="6">
    <mergeCell ref="A29:E29"/>
    <mergeCell ref="A48:E48"/>
    <mergeCell ref="A1:E1"/>
    <mergeCell ref="A40:E40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6" customWidth="1" min="3" max="3"/>
    <col width="36" customWidth="1" min="4" max="4"/>
    <col width="34" customWidth="1" min="5" max="5"/>
    <col width="8" customWidth="1" min="6" max="6"/>
    <col width="12" customWidth="1" min="7" max="7"/>
  </cols>
  <sheetData>
    <row r="1" ht="30" customHeight="1">
      <c r="A1" s="81" t="inlineStr">
        <is>
          <t>BRIEFING — PARÂMETROS DE CALIBRAÇÃO</t>
        </is>
      </c>
      <c r="B1" s="47" t="n"/>
      <c r="C1" s="47" t="n"/>
      <c r="D1" s="47" t="n"/>
      <c r="E1" s="47" t="n"/>
      <c r="F1" s="47" t="n"/>
      <c r="G1" s="48" t="n"/>
    </row>
    <row r="2" ht="20" customHeight="1">
      <c r="A2" s="82" t="inlineStr">
        <is>
          <t>Respostas ajustam automaticamente os custos via fatores multiplicadores</t>
        </is>
      </c>
      <c r="B2" s="47" t="n"/>
      <c r="C2" s="47" t="n"/>
      <c r="D2" s="47" t="n"/>
      <c r="E2" s="47" t="n"/>
      <c r="F2" s="47" t="n"/>
      <c r="G2" s="48" t="n"/>
    </row>
    <row r="3" ht="28" customHeight="1">
      <c r="A3" s="61" t="inlineStr">
        <is>
          <t>#</t>
        </is>
      </c>
      <c r="B3" s="61" t="inlineStr">
        <is>
          <t>Parâmetro</t>
        </is>
      </c>
      <c r="C3" s="61" t="inlineStr">
        <is>
          <t>Resposta</t>
        </is>
      </c>
      <c r="D3" s="61" t="inlineStr">
        <is>
          <t>Impacto</t>
        </is>
      </c>
      <c r="E3" s="61" t="inlineStr">
        <is>
          <t>Macrogrupo(s)</t>
        </is>
      </c>
      <c r="F3" s="62" t="inlineStr">
        <is>
          <t>Fator</t>
        </is>
      </c>
      <c r="G3" s="61" t="inlineStr">
        <is>
          <t>Notas</t>
        </is>
      </c>
    </row>
    <row r="4" ht="28" customHeight="1">
      <c r="A4" s="83" t="inlineStr">
        <is>
          <t>ESTRUTURA E FUNDAÇÃO</t>
        </is>
      </c>
      <c r="B4" s="47" t="n"/>
      <c r="C4" s="47" t="n"/>
      <c r="D4" s="47" t="n"/>
      <c r="E4" s="47" t="n"/>
      <c r="F4" s="47" t="n"/>
      <c r="G4" s="48" t="n"/>
    </row>
    <row r="5" ht="28" customHeight="1">
      <c r="A5" s="66" t="n">
        <v>1</v>
      </c>
      <c r="B5" s="67" t="inlineStr">
        <is>
          <t>Tipo de Fundação</t>
        </is>
      </c>
      <c r="C5" s="68" t="inlineStr">
        <is>
          <t>Hélice contínua</t>
        </is>
      </c>
      <c r="D5" s="69" t="inlineStr">
        <is>
          <t>Profunda = base. Sapata ~30% menos</t>
        </is>
      </c>
      <c r="E5" s="70" t="inlineStr">
        <is>
          <t>3-Infraestrutura</t>
        </is>
      </c>
      <c r="F5" s="71">
        <f>IF(C5="Hélice contínua",1.00,IF(C5="Estaca Franki",1.05,IF(C5="Tubulão",0.85,IF(C5="Sapata/Radier",0.70,IF(C5="Estaca raiz",1.15,1.00)))))</f>
        <v/>
      </c>
      <c r="G5" s="70" t="inlineStr"/>
    </row>
    <row r="6" ht="28" customHeight="1">
      <c r="A6" s="66" t="n">
        <v>2</v>
      </c>
      <c r="B6" s="67" t="inlineStr">
        <is>
          <t>Tipo de Laje</t>
        </is>
      </c>
      <c r="C6" s="68" t="inlineStr">
        <is>
          <t>Cubetas (nervurada)</t>
        </is>
      </c>
      <c r="D6" s="69" t="inlineStr">
        <is>
          <t>~15% na supraestrutura</t>
        </is>
      </c>
      <c r="E6" s="70" t="inlineStr">
        <is>
          <t>4-Supraestrutura</t>
        </is>
      </c>
      <c r="F6" s="71">
        <f>IF(C6="Cubetas (nervurada)",1.00,IF(C6="Protendida",1.08,IF(C6="Maciça",1.15,IF(C6="Mista",1.03,1.00))))</f>
        <v/>
      </c>
      <c r="G6" s="70" t="inlineStr"/>
    </row>
    <row r="7" ht="28" customHeight="1">
      <c r="A7" s="66" t="n">
        <v>3</v>
      </c>
      <c r="B7" s="67" t="inlineStr">
        <is>
          <t>Tem Contenção?</t>
        </is>
      </c>
      <c r="C7" s="68" t="inlineStr">
        <is>
          <t>Não</t>
        </is>
      </c>
      <c r="D7" s="69" t="inlineStr">
        <is>
          <t>5-8% do custo total</t>
        </is>
      </c>
      <c r="E7" s="70" t="inlineStr">
        <is>
          <t>3-Infraestrutura</t>
        </is>
      </c>
      <c r="F7" s="71">
        <f>IF(C7="Não",1.00,IF(C7="Cortina de estacas",1.50,IF(C7="Muro de arrimo",1.30,IF(C7="Solo grampeado",1.20,IF(C7="Tirantes",1.40,1.00)))))</f>
        <v/>
      </c>
      <c r="G7" s="70" t="inlineStr"/>
    </row>
    <row r="8" ht="28" customHeight="1">
      <c r="A8" s="66" t="n">
        <v>4</v>
      </c>
      <c r="B8" s="67" t="inlineStr">
        <is>
          <t>Nº de Subsolos</t>
        </is>
      </c>
      <c r="C8" s="68" t="inlineStr">
        <is>
          <t>0</t>
        </is>
      </c>
      <c r="D8" s="69" t="inlineStr">
        <is>
          <t>+R$ 200-400/m² por subsolo</t>
        </is>
      </c>
      <c r="E8" s="70" t="inlineStr">
        <is>
          <t>2-MovTerra + 3-Infra + 6-Impermeab</t>
        </is>
      </c>
      <c r="F8" s="71">
        <f>IF(C8="0",1.00,IF(C8="1",1.15,IF(C8="2",1.30,IF(C8="3 ou mais",1.50,1.00))))</f>
        <v/>
      </c>
      <c r="G8" s="70" t="inlineStr"/>
    </row>
    <row r="9" ht="28" customHeight="1">
      <c r="A9" s="83" t="inlineStr">
        <is>
          <t>ACABAMENTOS E PADRÃO</t>
        </is>
      </c>
      <c r="B9" s="47" t="n"/>
      <c r="C9" s="47" t="n"/>
      <c r="D9" s="47" t="n"/>
      <c r="E9" s="47" t="n"/>
      <c r="F9" s="47" t="n"/>
      <c r="G9" s="48" t="n"/>
    </row>
    <row r="10" ht="28" customHeight="1">
      <c r="A10" s="66" t="n">
        <v>5</v>
      </c>
      <c r="B10" s="67" t="inlineStr">
        <is>
          <t>Padrão de Acabamento Geral</t>
        </is>
      </c>
      <c r="C10" s="68" t="inlineStr">
        <is>
          <t>Alto Padrão</t>
        </is>
      </c>
      <c r="D10" s="69" t="inlineStr">
        <is>
          <t>30-40% em acabamentos e esquadrias</t>
        </is>
      </c>
      <c r="E10" s="70" t="inlineStr">
        <is>
          <t>10-Rev.Parede + 12-Pisos + 14-Esquadrias</t>
        </is>
      </c>
      <c r="F10" s="71">
        <f>IF(C10="Econômico",0.65,IF(C10="Standard",0.80,IF(C10="Alto Padrão",1.00,IF(C10="Super Alto Padrão",1.40,IF(C10="Luxo",1.80,1.00)))))</f>
        <v/>
      </c>
      <c r="G10" s="70" t="inlineStr"/>
    </row>
    <row r="11" ht="28" customHeight="1">
      <c r="A11" s="66" t="n">
        <v>6</v>
      </c>
      <c r="B11" s="67" t="inlineStr">
        <is>
          <t>Tipo de Esquadria</t>
        </is>
      </c>
      <c r="C11" s="68" t="inlineStr">
        <is>
          <t>Alumínio anodizado</t>
        </is>
      </c>
      <c r="D11" s="69" t="inlineStr">
        <is>
          <t>Esquadrias = 8-12% do custo total</t>
        </is>
      </c>
      <c r="E11" s="70" t="inlineStr">
        <is>
          <t>14-Esquadrias</t>
        </is>
      </c>
      <c r="F11" s="71">
        <f>IF(C11="Alumínio anodizado",1.00,IF(C11="Alumínio pintura eletrostática",1.10,IF(C11="PVC",1.15,IF(C11="Alto desempenho",1.35,1.00))))</f>
        <v/>
      </c>
      <c r="G11" s="70" t="inlineStr"/>
    </row>
    <row r="12">
      <c r="A12" s="66" t="n">
        <v>7</v>
      </c>
      <c r="B12" s="67" t="inlineStr">
        <is>
          <t>Piso Predominante</t>
        </is>
      </c>
      <c r="C12" s="68" t="inlineStr">
        <is>
          <t>Porcelanato</t>
        </is>
      </c>
      <c r="D12" s="69" t="inlineStr">
        <is>
          <t>Mármore +60% vs porcelanato</t>
        </is>
      </c>
      <c r="E12" s="70" t="inlineStr">
        <is>
          <t>12-Pisos</t>
        </is>
      </c>
      <c r="F12" s="71">
        <f>IF(C12="Porcelanato",1.00,IF(C12="Cerâmica",0.80,IF(C12="Vinílico",0.85,IF(C12="Porcelanato importado",1.25,IF(C12="Mármore/Granito",1.60,1.00)))))</f>
        <v/>
      </c>
      <c r="G12" s="70" t="inlineStr"/>
    </row>
    <row r="13">
      <c r="A13" s="66" t="n">
        <v>8</v>
      </c>
      <c r="B13" s="67" t="inlineStr">
        <is>
          <t>Vedação Interna</t>
        </is>
      </c>
      <c r="C13" s="68" t="inlineStr">
        <is>
          <t>Alvenaria</t>
        </is>
      </c>
      <c r="D13" s="69" t="inlineStr">
        <is>
          <t>Drywall +80% no grupo</t>
        </is>
      </c>
      <c r="E13" s="70" t="inlineStr">
        <is>
          <t>5-Alvenaria</t>
        </is>
      </c>
      <c r="F13" s="71">
        <f>IF(C13="Alvenaria",1.00,IF(C13="Drywall",1.80,IF(C13="Misto",1.35,1.00)))</f>
        <v/>
      </c>
      <c r="G13" s="70" t="inlineStr"/>
    </row>
    <row r="14">
      <c r="A14" s="66" t="n">
        <v>9</v>
      </c>
      <c r="B14" s="67" t="inlineStr">
        <is>
          <t>Tipo de Forro</t>
        </is>
      </c>
      <c r="C14" s="68" t="inlineStr">
        <is>
          <t>Gesso com negativo</t>
        </is>
      </c>
      <c r="D14" s="69" t="inlineStr">
        <is>
          <t>Gesso trabalhado +40%</t>
        </is>
      </c>
      <c r="E14" s="70" t="inlineStr">
        <is>
          <t>11-Teto</t>
        </is>
      </c>
      <c r="F14" s="71">
        <f>IF(C14="Estucamento simples",0.70,IF(C14="Gesso liso",0.85,IF(C14="Gesso com negativo",1.00,IF(C14="Gesso + sanca",1.25,IF(C14="Forro mineral",1.10,1.00)))))</f>
        <v/>
      </c>
      <c r="G14" s="70" t="inlineStr"/>
    </row>
    <row r="15">
      <c r="A15" s="83" t="inlineStr">
        <is>
          <t>FACHADA E COBERTURA</t>
        </is>
      </c>
      <c r="B15" s="47" t="n"/>
      <c r="C15" s="47" t="n"/>
      <c r="D15" s="47" t="n"/>
      <c r="E15" s="47" t="n"/>
      <c r="F15" s="47" t="n"/>
      <c r="G15" s="48" t="n"/>
    </row>
    <row r="16">
      <c r="A16" s="66" t="n">
        <v>10</v>
      </c>
      <c r="B16" s="67" t="inlineStr">
        <is>
          <t>Tipo de Fachada</t>
        </is>
      </c>
      <c r="C16" s="68" t="inlineStr">
        <is>
          <t>Textura + pintura</t>
        </is>
      </c>
      <c r="D16" s="69" t="inlineStr">
        <is>
          <t>Pele de vidro 2.5x mais cara</t>
        </is>
      </c>
      <c r="E16" s="70" t="inlineStr">
        <is>
          <t>16-Fachada</t>
        </is>
      </c>
      <c r="F16" s="71">
        <f>IF(C16="Textura + pintura",1.00,IF(C16="Cerâmica/Pastilha",1.40,IF(C16="ACM",1.80,IF(C16="Pele de vidro",2.50,IF(C16="Misto (pintura + cerâmica)",1.25,1.00)))))</f>
        <v/>
      </c>
      <c r="G16" s="70" t="inlineStr"/>
    </row>
    <row r="17">
      <c r="A17" s="66" t="n">
        <v>11</v>
      </c>
      <c r="B17" s="67" t="inlineStr">
        <is>
          <t>MO Fachada</t>
        </is>
      </c>
      <c r="C17" s="68" t="inlineStr">
        <is>
          <t>Empreitada</t>
        </is>
      </c>
      <c r="D17" s="69" t="inlineStr">
        <is>
          <t>+20% em empreitada</t>
        </is>
      </c>
      <c r="E17" s="70" t="inlineStr">
        <is>
          <t>16-Fachada</t>
        </is>
      </c>
      <c r="F17" s="71">
        <f>IF(C17="Equipe própria",1.00,IF(C17="Empreitada",1.20,1.00))</f>
        <v/>
      </c>
      <c r="G17" s="70" t="inlineStr"/>
    </row>
    <row r="18">
      <c r="A18" s="66" t="n">
        <v>12</v>
      </c>
      <c r="B18" s="67" t="inlineStr">
        <is>
          <t>Cobertura Habitável?</t>
        </is>
      </c>
      <c r="C18" s="68" t="inlineStr">
        <is>
          <t>Não</t>
        </is>
      </c>
      <c r="D18" s="69" t="inlineStr">
        <is>
          <t>Cobertura habitável 5-10x mais cara</t>
        </is>
      </c>
      <c r="E18" s="70" t="inlineStr">
        <is>
          <t>17-Complementares</t>
        </is>
      </c>
      <c r="F18" s="71">
        <f>IF(C18="Não",1.00,IF(C18="Básica (deck e pergolado)",1.12,IF(C18="Completa (piscina e lazer)",1.35,1.00)))</f>
        <v/>
      </c>
      <c r="G18" s="70" t="inlineStr"/>
    </row>
    <row r="19">
      <c r="A19" s="83" t="inlineStr">
        <is>
          <t>INSTALAÇÕES E SISTEMAS</t>
        </is>
      </c>
      <c r="B19" s="47" t="n"/>
      <c r="C19" s="47" t="n"/>
      <c r="D19" s="47" t="n"/>
      <c r="E19" s="47" t="n"/>
      <c r="F19" s="47" t="n"/>
      <c r="G19" s="48" t="n"/>
    </row>
    <row r="20">
      <c r="A20" s="66" t="n">
        <v>13</v>
      </c>
      <c r="B20" s="67" t="inlineStr">
        <is>
          <t>Aquecimento de Água</t>
        </is>
      </c>
      <c r="C20" s="68" t="inlineStr">
        <is>
          <t>Individual gás</t>
        </is>
      </c>
      <c r="D20" s="69" t="inlineStr">
        <is>
          <t>Solar/bomba calor +12-15%</t>
        </is>
      </c>
      <c r="E20" s="70" t="inlineStr">
        <is>
          <t>7-Instalações</t>
        </is>
      </c>
      <c r="F20" s="71">
        <f>IF(C20="Individual gás",1.00,IF(C20="Central gás",1.08,IF(C20="Solar",1.12,IF(C20="Bomba de calor",1.15,IF(C20="Sem aquecimento",0.95,1.00)))))</f>
        <v/>
      </c>
      <c r="G20" s="70" t="inlineStr"/>
    </row>
    <row r="21">
      <c r="A21" s="66" t="n">
        <v>14</v>
      </c>
      <c r="B21" s="67" t="inlineStr">
        <is>
          <t>Nível de Automação</t>
        </is>
      </c>
      <c r="C21" s="68" t="inlineStr">
        <is>
          <t>Básico (interfonia + CFTV)</t>
        </is>
      </c>
      <c r="D21" s="69" t="inlineStr">
        <is>
          <t>Automação completa +R$ 80-150/m²</t>
        </is>
      </c>
      <c r="E21" s="70" t="inlineStr">
        <is>
          <t>8-Sist. Especiais</t>
        </is>
      </c>
      <c r="F21" s="71">
        <f>IF(C21="Mínimo (só interfonia)",0.80,IF(C21="Básico (interfonia + CFTV)",1.00,IF(C21="Completo (automação + acesso)",1.30,IF(C21="Premium (smart building)",1.60,1.00))))</f>
        <v/>
      </c>
      <c r="G21" s="70" t="inlineStr"/>
    </row>
    <row r="22">
      <c r="A22" s="66" t="n">
        <v>15</v>
      </c>
      <c r="B22" s="67" t="inlineStr">
        <is>
          <t>Geração de Energia</t>
        </is>
      </c>
      <c r="C22" s="68" t="inlineStr">
        <is>
          <t>Sem</t>
        </is>
      </c>
      <c r="D22" s="69" t="inlineStr">
        <is>
          <t>Painéis solares +R$ 50-120/m²</t>
        </is>
      </c>
      <c r="E22" s="70" t="inlineStr">
        <is>
          <t>8-Sist. Especiais</t>
        </is>
      </c>
      <c r="F22" s="71">
        <f>IF(C22="Sem",1.00,IF(C22="Painéis solares (comum)",1.10,IF(C22="Painéis solares (completo)",1.20,1.00)))</f>
        <v/>
      </c>
      <c r="G22" s="70" t="inlineStr"/>
    </row>
    <row r="23">
      <c r="A23" s="83" t="inlineStr">
        <is>
          <t>ÁREAS COMUNS E LAZER</t>
        </is>
      </c>
      <c r="B23" s="47" t="n"/>
      <c r="C23" s="47" t="n"/>
      <c r="D23" s="47" t="n"/>
      <c r="E23" s="47" t="n"/>
      <c r="F23" s="47" t="n"/>
      <c r="G23" s="48" t="n"/>
    </row>
    <row r="24">
      <c r="A24" s="66" t="n">
        <v>16</v>
      </c>
      <c r="B24" s="67" t="inlineStr">
        <is>
          <t>Nível de Lazer</t>
        </is>
      </c>
      <c r="C24" s="68" t="inlineStr">
        <is>
          <t>Completo</t>
        </is>
      </c>
      <c r="D24" s="69" t="inlineStr">
        <is>
          <t>Premium: 2000-3500 R$/m² de lazer</t>
        </is>
      </c>
      <c r="E24" s="70" t="inlineStr">
        <is>
          <t>17-Complementares + 8-Sist.Especiais</t>
        </is>
      </c>
      <c r="F24" s="71">
        <f>IF(C24="Básico (salão + churrasq.)",0.75,IF(C24="Completo (piscina + academia)",1.00,IF(C24="Premium (spa + rooftop)",1.30,1.00)))</f>
        <v/>
      </c>
      <c r="G24" s="70" t="inlineStr"/>
    </row>
    <row r="25">
      <c r="A25" s="66" t="n">
        <v>17</v>
      </c>
      <c r="B25" s="67" t="inlineStr">
        <is>
          <t>Paisagismo</t>
        </is>
      </c>
      <c r="C25" s="68" t="inlineStr">
        <is>
          <t>Elaborado</t>
        </is>
      </c>
      <c r="D25" s="69" t="inlineStr">
        <is>
          <t>Premium: R$ 150-350/m² área externa</t>
        </is>
      </c>
      <c r="E25" s="70" t="inlineStr">
        <is>
          <t>17-Complementares</t>
        </is>
      </c>
      <c r="F25" s="71">
        <f>IF(C25="Sem",0.90,IF(C25="Básico",0.95,IF(C25="Elaborado",1.00,IF(C25="Premium (autoral)",1.15,1.00))))</f>
        <v/>
      </c>
      <c r="G25" s="70" t="inlineStr"/>
    </row>
    <row r="26">
      <c r="A26" s="66" t="n">
        <v>18</v>
      </c>
      <c r="B26" s="67" t="inlineStr">
        <is>
          <t>Mobiliário Áreas Comuns</t>
        </is>
      </c>
      <c r="C26" s="68" t="inlineStr">
        <is>
          <t>Completo</t>
        </is>
      </c>
      <c r="D26" s="69" t="inlineStr">
        <is>
          <t>Decoração autoral: R$ 800-2500/m²</t>
        </is>
      </c>
      <c r="E26" s="70" t="inlineStr">
        <is>
          <t>17-Complementares</t>
        </is>
      </c>
      <c r="F26" s="71">
        <f>IF(C26="Sem (entrega bruta)",0.85,IF(C26="Básico",0.92,IF(C26="Completo",1.00,IF(C26="Decorado (autoral)",1.20,1.00))))</f>
        <v/>
      </c>
      <c r="G26" s="70" t="inlineStr"/>
    </row>
    <row r="27">
      <c r="A27" s="83" t="inlineStr">
        <is>
          <t>GESTÃO E PRAZO</t>
        </is>
      </c>
      <c r="B27" s="47" t="n"/>
      <c r="C27" s="47" t="n"/>
      <c r="D27" s="47" t="n"/>
      <c r="E27" s="47" t="n"/>
      <c r="F27" s="47" t="n"/>
      <c r="G27" s="48" t="n"/>
    </row>
    <row r="28">
      <c r="A28" s="66" t="n">
        <v>19</v>
      </c>
      <c r="B28" s="67" t="inlineStr">
        <is>
          <t>Prazo de Obra</t>
        </is>
      </c>
      <c r="C28" s="68" t="inlineStr">
        <is>
          <t>42 meses</t>
        </is>
      </c>
      <c r="D28" s="69" t="inlineStr">
        <is>
          <t>+10-15% a cada 6 meses extras</t>
        </is>
      </c>
      <c r="E28" s="70" t="inlineStr">
        <is>
          <t>1-Gerenciamento</t>
        </is>
      </c>
      <c r="F28" s="71">
        <f>IF(C28="18 meses",0.65,IF(C28="24 meses",0.82,IF(C28="30 meses",1.00,IF(C28="36 meses",1.12,IF(C28="42 meses",1.22,IF(C28="48 meses",1.40,1.00))))))</f>
        <v/>
      </c>
      <c r="G28" s="70" t="inlineStr"/>
    </row>
    <row r="29">
      <c r="A29" s="66" t="n">
        <v>20</v>
      </c>
      <c r="B29" s="67" t="inlineStr">
        <is>
          <t>Região</t>
        </is>
      </c>
      <c r="C29" s="68" t="inlineStr">
        <is>
          <t>Litoral SC</t>
        </is>
      </c>
      <c r="D29" s="69" t="inlineStr">
        <is>
          <t>Capital +8-25% vs interior -10%</t>
        </is>
      </c>
      <c r="E29" s="70" t="inlineStr">
        <is>
          <t>1-Gerenciamento (MO regional)</t>
        </is>
      </c>
      <c r="F29" s="71">
        <f>IF(C29="Interior SC",0.90,IF(C29="Litoral SC",1.00,IF(C29="Capital (Floripa)",1.08,IF(C29="Litoral SP",1.15,IF(C29="Capital (SP/RJ)",1.25,IF(C29="Outras capitais",1.10,1.00))))))</f>
        <v/>
      </c>
      <c r="G29" s="70" t="inlineStr"/>
    </row>
    <row r="30">
      <c r="A30" s="142" t="inlineStr">
        <is>
          <t>INFRAESTRUTURA TÉCNICA</t>
        </is>
      </c>
      <c r="B30" s="113" t="n"/>
      <c r="C30" s="113" t="n"/>
      <c r="D30" s="113" t="n"/>
      <c r="E30" s="113" t="n"/>
      <c r="F30" s="113" t="n"/>
      <c r="G30" s="114" t="n"/>
    </row>
    <row r="31" ht="25" customHeight="1">
      <c r="A31" s="143" t="n">
        <v>21</v>
      </c>
      <c r="B31" s="132" t="inlineStr">
        <is>
          <t>Gerador?</t>
        </is>
      </c>
      <c r="C31" s="144" t="inlineStr">
        <is>
          <t>Não</t>
        </is>
      </c>
      <c r="D31" s="132" t="inlineStr">
        <is>
          <t>Gerador +R$ 30-50/m² em sist. especiais</t>
        </is>
      </c>
      <c r="E31" s="132" t="inlineStr">
        <is>
          <t>8-Sist. Especiais</t>
        </is>
      </c>
      <c r="F31" s="145">
        <f>IF(C31="Sim",1.15,1.00)</f>
        <v/>
      </c>
      <c r="G31" s="132" t="n"/>
    </row>
    <row r="32" ht="22" customHeight="1">
      <c r="A32" s="143" t="n">
        <v>22</v>
      </c>
      <c r="B32" s="132" t="inlineStr">
        <is>
          <t>Subestação?</t>
        </is>
      </c>
      <c r="C32" s="144" t="inlineStr">
        <is>
          <t>Não</t>
        </is>
      </c>
      <c r="D32" s="132" t="inlineStr">
        <is>
          <t>Subestação +R$ 20-40/m² em sist. especiais</t>
        </is>
      </c>
      <c r="E32" s="132" t="inlineStr">
        <is>
          <t>8-Sist. Especiais</t>
        </is>
      </c>
      <c r="F32" s="145">
        <f>IF(C32="Sim",1.10,1.00)</f>
        <v/>
      </c>
      <c r="G32" s="132" t="n"/>
    </row>
    <row r="33" ht="22" customHeight="1">
      <c r="A33" s="143" t="n">
        <v>23</v>
      </c>
      <c r="B33" s="132" t="inlineStr">
        <is>
          <t>Placas Fotovoltaicas?</t>
        </is>
      </c>
      <c r="C33" s="144" t="inlineStr">
        <is>
          <t>Não</t>
        </is>
      </c>
      <c r="D33" s="132" t="inlineStr">
        <is>
          <t>Fotovoltaicas +R$ 50-120/m² em sist. especiais</t>
        </is>
      </c>
      <c r="E33" s="132" t="inlineStr">
        <is>
          <t>8-Sist. Especiais</t>
        </is>
      </c>
      <c r="F33" s="145">
        <f>IF(C33="Sim",1.10,1.00)</f>
        <v/>
      </c>
      <c r="G33" s="132" t="n"/>
    </row>
    <row r="34" ht="22" customHeight="1">
      <c r="A34" s="143" t="n">
        <v>24</v>
      </c>
      <c r="B34" s="132" t="inlineStr">
        <is>
          <t>Infra Carro Elétrico?</t>
        </is>
      </c>
      <c r="C34" s="144" t="inlineStr">
        <is>
          <t>Não</t>
        </is>
      </c>
      <c r="D34" s="132" t="inlineStr">
        <is>
          <t>Infraestrutura elétrica +R$ 15-25/m²</t>
        </is>
      </c>
      <c r="E34" s="132" t="inlineStr">
        <is>
          <t>7-Instalações</t>
        </is>
      </c>
      <c r="F34" s="145">
        <f>IF(C34="Sim",1.05,1.00)</f>
        <v/>
      </c>
      <c r="G34" s="132" t="n"/>
    </row>
    <row r="35">
      <c r="A35" s="143" t="n">
        <v>25</v>
      </c>
      <c r="B35" s="132" t="inlineStr">
        <is>
          <t>Pressurização Escada?</t>
        </is>
      </c>
      <c r="C35" s="144" t="inlineStr">
        <is>
          <t>Não</t>
        </is>
      </c>
      <c r="D35" s="132" t="inlineStr">
        <is>
          <t>Sistema pressurização +R$ 25-40/m²</t>
        </is>
      </c>
      <c r="E35" s="132" t="inlineStr">
        <is>
          <t>7-Instalações</t>
        </is>
      </c>
      <c r="F35" s="145">
        <f>IF(C35="Sim",1.08,1.00)</f>
        <v/>
      </c>
      <c r="G35" s="132" t="n"/>
    </row>
    <row r="36">
      <c r="A36" s="146" t="n"/>
      <c r="B36" s="132" t="n"/>
      <c r="C36" s="132" t="n"/>
      <c r="D36" s="132" t="n"/>
      <c r="E36" s="132" t="n"/>
      <c r="F36" s="132" t="n"/>
      <c r="G36" s="132" t="n"/>
    </row>
    <row r="37">
      <c r="A37" s="147" t="inlineStr">
        <is>
          <t>RESUMO DOS FATORES</t>
        </is>
      </c>
      <c r="B37" s="113" t="n"/>
      <c r="C37" s="113" t="n"/>
      <c r="D37" s="113" t="n"/>
      <c r="E37" s="113" t="n"/>
      <c r="F37" s="113" t="n"/>
      <c r="G37" s="114" t="n"/>
    </row>
    <row r="38">
      <c r="A38" s="148" t="inlineStr">
        <is>
          <t>Fator Global Estimado (média dos 25 parâmetros)</t>
        </is>
      </c>
      <c r="B38" s="113" t="n"/>
      <c r="C38" s="113" t="n"/>
      <c r="D38" s="113" t="n"/>
      <c r="E38" s="114" t="n"/>
      <c r="F38" s="149">
        <f>AVERAGE(F5,F6,F7,F8,F10,F11,F12,F13,F14,F16,F17,F18,F20,F21,F22,F24,F25,F26,F28,F29,F31,F32,F33,F34,F35)</f>
        <v/>
      </c>
      <c r="G38" s="132" t="n"/>
    </row>
    <row r="39">
      <c r="A39" s="148" t="inlineStr">
        <is>
          <t>R$/m² Estimado (R$/m² base × Fator Global)</t>
        </is>
      </c>
      <c r="B39" s="113" t="n"/>
      <c r="C39" s="113" t="n"/>
      <c r="D39" s="113" t="n"/>
      <c r="E39" s="114" t="n"/>
      <c r="F39" s="150">
        <f>CUSTOS_MACROGRUPO!D21*F38</f>
        <v/>
      </c>
      <c r="G39" s="132" t="inlineStr">
        <is>
          <t>R$/m²</t>
        </is>
      </c>
    </row>
    <row r="40">
      <c r="A40" s="137" t="inlineStr">
        <is>
          <t>Custo Total Estimado (R$/m² × Área Construída)</t>
        </is>
      </c>
      <c r="B40" s="113" t="n"/>
      <c r="C40" s="113" t="n"/>
      <c r="D40" s="113" t="n"/>
      <c r="E40" s="114" t="n"/>
      <c r="F40" s="151">
        <f>F39*DADOS_PROJETO!B7</f>
        <v/>
      </c>
      <c r="G40" s="132" t="inlineStr">
        <is>
          <t>R$</t>
        </is>
      </c>
    </row>
    <row r="41">
      <c r="A41" s="73" t="n"/>
      <c r="B41" s="73" t="n"/>
      <c r="C41" s="73" t="n"/>
      <c r="D41" s="73" t="n"/>
      <c r="E41" s="73" t="n"/>
      <c r="F41" s="73" t="n"/>
      <c r="G41" s="73" t="n"/>
    </row>
    <row r="42">
      <c r="A42" s="73" t="n"/>
      <c r="B42" s="73" t="n"/>
      <c r="C42" s="73" t="n"/>
      <c r="D42" s="73" t="n"/>
      <c r="E42" s="73" t="n"/>
      <c r="F42" s="73" t="n"/>
      <c r="G42" s="73" t="n"/>
    </row>
    <row r="43">
      <c r="A43" s="73" t="n"/>
      <c r="B43" s="73" t="n"/>
      <c r="C43" s="73" t="n"/>
      <c r="D43" s="73" t="n"/>
      <c r="E43" s="73" t="n"/>
      <c r="F43" s="73" t="n"/>
      <c r="G43" s="73" t="n"/>
    </row>
    <row r="44">
      <c r="A44" s="73" t="n"/>
      <c r="B44" s="73" t="n"/>
      <c r="C44" s="73" t="n"/>
      <c r="D44" s="73" t="n"/>
      <c r="E44" s="73" t="n"/>
      <c r="F44" s="73" t="n"/>
      <c r="G44" s="73" t="n"/>
    </row>
    <row r="45">
      <c r="A45" s="73" t="n"/>
      <c r="B45" s="73" t="n"/>
      <c r="C45" s="73" t="n"/>
      <c r="D45" s="73" t="n"/>
      <c r="E45" s="73" t="n"/>
      <c r="F45" s="73" t="n"/>
      <c r="G45" s="73" t="n"/>
    </row>
    <row r="46">
      <c r="A46" s="73" t="n"/>
      <c r="B46" s="73" t="n"/>
      <c r="C46" s="73" t="n"/>
      <c r="D46" s="73" t="n"/>
      <c r="E46" s="73" t="n"/>
      <c r="F46" s="73" t="n"/>
      <c r="G46" s="73" t="n"/>
    </row>
    <row r="47">
      <c r="A47" s="73" t="n"/>
      <c r="B47" s="73" t="n"/>
      <c r="C47" s="73" t="n"/>
      <c r="D47" s="73" t="n"/>
      <c r="E47" s="73" t="n"/>
      <c r="F47" s="73" t="n"/>
      <c r="G47" s="73" t="n"/>
    </row>
    <row r="48">
      <c r="A48" s="73" t="n"/>
      <c r="B48" s="73" t="n"/>
      <c r="C48" s="73" t="n"/>
      <c r="D48" s="73" t="n"/>
      <c r="E48" s="73" t="n"/>
      <c r="F48" s="73" t="n"/>
      <c r="G48" s="73" t="n"/>
    </row>
    <row r="49">
      <c r="A49" s="73" t="n"/>
      <c r="B49" s="73" t="n"/>
      <c r="C49" s="73" t="n"/>
      <c r="D49" s="73" t="n"/>
      <c r="E49" s="73" t="n"/>
      <c r="F49" s="73" t="n"/>
      <c r="G49" s="73" t="n"/>
    </row>
    <row r="50">
      <c r="A50" s="73" t="n"/>
      <c r="B50" s="73" t="n"/>
      <c r="C50" s="73" t="n"/>
      <c r="D50" s="73" t="n"/>
      <c r="E50" s="73" t="n"/>
      <c r="F50" s="73" t="n"/>
      <c r="G50" s="73" t="n"/>
    </row>
    <row r="51">
      <c r="A51" s="73" t="n"/>
      <c r="B51" s="73" t="n"/>
      <c r="C51" s="73" t="n"/>
      <c r="D51" s="73" t="n"/>
      <c r="E51" s="73" t="n"/>
      <c r="F51" s="73" t="n"/>
      <c r="G51" s="73" t="n"/>
    </row>
    <row r="52">
      <c r="A52" s="73" t="n"/>
      <c r="B52" s="73" t="n"/>
      <c r="C52" s="73" t="n"/>
      <c r="D52" s="73" t="n"/>
      <c r="E52" s="73" t="n"/>
      <c r="F52" s="73" t="n"/>
      <c r="G52" s="73" t="n"/>
    </row>
    <row r="53">
      <c r="A53" s="73" t="n"/>
      <c r="B53" s="73" t="n"/>
      <c r="C53" s="73" t="n"/>
      <c r="D53" s="73" t="n"/>
      <c r="E53" s="73" t="n"/>
      <c r="F53" s="73" t="n"/>
      <c r="G53" s="73" t="n"/>
    </row>
    <row r="54">
      <c r="A54" s="73" t="n"/>
      <c r="B54" s="73" t="n"/>
      <c r="C54" s="73" t="n"/>
      <c r="D54" s="73" t="n"/>
      <c r="E54" s="73" t="n"/>
      <c r="F54" s="73" t="n"/>
      <c r="G54" s="73" t="n"/>
    </row>
  </sheetData>
  <mergeCells count="13">
    <mergeCell ref="A39:E39"/>
    <mergeCell ref="A1:G1"/>
    <mergeCell ref="A9:G9"/>
    <mergeCell ref="A27:G27"/>
    <mergeCell ref="A38:E38"/>
    <mergeCell ref="A4:G4"/>
    <mergeCell ref="A30:G30"/>
    <mergeCell ref="A2:G2"/>
    <mergeCell ref="A15:G15"/>
    <mergeCell ref="A19:G19"/>
    <mergeCell ref="A40:E40"/>
    <mergeCell ref="A37:G37"/>
    <mergeCell ref="A23:G23"/>
  </mergeCells>
  <dataValidations count="21">
    <dataValidation sqref="C5" showDropDown="0" showInputMessage="0" showErrorMessage="0" allowBlank="1" type="list">
      <formula1>"Hélice contínua,Estaca Franki,Tubulão,Sapata/Radier,Estaca raiz"</formula1>
    </dataValidation>
    <dataValidation sqref="C6" showDropDown="0" showInputMessage="0" showErrorMessage="0" allowBlank="1" type="list">
      <formula1>"Cubetas (nervurada),Protendida,Maciça,Mista,Não definido"</formula1>
    </dataValidation>
    <dataValidation sqref="C7" showDropDown="0" showInputMessage="0" showErrorMessage="0" allowBlank="1" type="list">
      <formula1>"Não,Cortina de estacas,Muro de arrimo,Solo grampeado,Tirantes"</formula1>
    </dataValidation>
    <dataValidation sqref="C8" showDropDown="0" showInputMessage="0" showErrorMessage="0" allowBlank="1" type="list">
      <formula1>"0,1,2,3 ou mais"</formula1>
    </dataValidation>
    <dataValidation sqref="C10" showDropDown="0" showInputMessage="0" showErrorMessage="0" allowBlank="1" type="list">
      <formula1>"Econômico,Standard,Alto Padrão,Super Alto Padrão,Luxo"</formula1>
    </dataValidation>
    <dataValidation sqref="C11" showDropDown="0" showInputMessage="0" showErrorMessage="0" allowBlank="1" type="list">
      <formula1>"Alumínio anodizado,Alumínio pintura eletrostática,PVC,Alto desempenho"</formula1>
    </dataValidation>
    <dataValidation sqref="C12" showDropDown="0" showInputMessage="0" showErrorMessage="0" allowBlank="1" type="list">
      <formula1>"Porcelanato,Cerâmica,Vinílico,Porcelanato importado,Mármore/Granito"</formula1>
    </dataValidation>
    <dataValidation sqref="C13" showDropDown="0" showInputMessage="0" showErrorMessage="0" allowBlank="1" type="list">
      <formula1>"Alvenaria,Drywall,Misto"</formula1>
    </dataValidation>
    <dataValidation sqref="C14" showDropDown="0" showInputMessage="0" showErrorMessage="0" allowBlank="1" type="list">
      <formula1>"Estucamento simples,Gesso liso,Gesso com negativo,Gesso + sanca,Forro mineral"</formula1>
    </dataValidation>
    <dataValidation sqref="C16" showDropDown="0" showInputMessage="0" showErrorMessage="0" allowBlank="1" type="list">
      <formula1>"Textura + pintura,Cerâmica/Pastilha,ACM,Pele de vidro,Misto (pintura + cerâmica)"</formula1>
    </dataValidation>
    <dataValidation sqref="C17" showDropDown="0" showInputMessage="0" showErrorMessage="0" allowBlank="1" type="list">
      <formula1>"Equipe própria,Empreitada"</formula1>
    </dataValidation>
    <dataValidation sqref="C18" showDropDown="0" showInputMessage="0" showErrorMessage="0" allowBlank="1" type="list">
      <formula1>"Não,Básica (deck e pergolado),Completa (piscina e lazer)"</formula1>
    </dataValidation>
    <dataValidation sqref="C20" showDropDown="0" showInputMessage="0" showErrorMessage="0" allowBlank="1" type="list">
      <formula1>"Individual gás,Central gás,Solar,Bomba de calor,Sem aquecimento"</formula1>
    </dataValidation>
    <dataValidation sqref="C21" showDropDown="0" showInputMessage="0" showErrorMessage="0" allowBlank="1" type="list">
      <formula1>"Mínimo (só interfonia),Básico (interfonia + CFTV),Completo (automação + acesso),Premium (smart building)"</formula1>
    </dataValidation>
    <dataValidation sqref="C22" showDropDown="0" showInputMessage="0" showErrorMessage="0" allowBlank="1" type="list">
      <formula1>"Sem,Painéis solares (comum),Painéis solares (completo)"</formula1>
    </dataValidation>
    <dataValidation sqref="C24" showDropDown="0" showInputMessage="0" showErrorMessage="0" allowBlank="1" type="list">
      <formula1>"Básico (salão + churrasq.),Completo (piscina + academia),Premium (spa + rooftop)"</formula1>
    </dataValidation>
    <dataValidation sqref="C25" showDropDown="0" showInputMessage="0" showErrorMessage="0" allowBlank="1" type="list">
      <formula1>"Sem,Básico,Elaborado,Premium (autoral)"</formula1>
    </dataValidation>
    <dataValidation sqref="C26" showDropDown="0" showInputMessage="0" showErrorMessage="0" allowBlank="1" type="list">
      <formula1>"Sem (entrega bruta),Básico,Completo,Decorado (autoral)"</formula1>
    </dataValidation>
    <dataValidation sqref="C28" showDropDown="0" showInputMessage="0" showErrorMessage="0" allowBlank="1" type="list">
      <formula1>"18 meses,24 meses,30 meses,36 meses,42 meses,48 meses"</formula1>
    </dataValidation>
    <dataValidation sqref="C29" showDropDown="0" showInputMessage="0" showErrorMessage="0" allowBlank="1" type="list">
      <formula1>"Interior SC,Litoral SC,Capital (Floripa),Litoral SP,Capital (SP/RJ),Outras capitais"</formula1>
    </dataValidation>
    <dataValidation sqref="C31:C35" showDropDown="0" showInputMessage="0" showErrorMessage="0" allowBlank="1" errorTitle="Valor inválido" error="Selecione Sim ou Não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19" t="inlineStr">
        <is>
          <t>ÍNDICES PARAMÉTRICOS — REFERÊNCIA TÉCNICA</t>
        </is>
      </c>
    </row>
    <row r="3">
      <c r="A3" s="120" t="inlineStr">
        <is>
          <t>ÍNDICES POR TIPO DE LAJE</t>
        </is>
      </c>
      <c r="B3" s="113" t="n"/>
      <c r="C3" s="113" t="n"/>
      <c r="D3" s="113" t="n"/>
      <c r="E3" s="113" t="n"/>
      <c r="F3" s="114" t="n"/>
    </row>
    <row r="4">
      <c r="A4" s="123" t="inlineStr">
        <is>
          <t>Parâmetro</t>
        </is>
      </c>
      <c r="B4" s="123" t="inlineStr">
        <is>
          <t>Maciça</t>
        </is>
      </c>
      <c r="C4" s="123" t="inlineStr">
        <is>
          <t>Cubetas</t>
        </is>
      </c>
      <c r="D4" s="123" t="inlineStr">
        <is>
          <t>Cub.Protendida</t>
        </is>
      </c>
      <c r="E4" s="123" t="inlineStr">
        <is>
          <t>Treliçada</t>
        </is>
      </c>
      <c r="F4" s="123" t="inlineStr">
        <is>
          <t>Protendida</t>
        </is>
      </c>
    </row>
    <row r="5">
      <c r="A5" s="132" t="inlineStr">
        <is>
          <t>Jogos de Fôrma</t>
        </is>
      </c>
      <c r="B5" s="133" t="inlineStr">
        <is>
          <t>12-15</t>
        </is>
      </c>
      <c r="C5" s="133" t="inlineStr">
        <is>
          <t>10-12</t>
        </is>
      </c>
      <c r="D5" s="133" t="inlineStr">
        <is>
          <t>9-11</t>
        </is>
      </c>
      <c r="E5" s="133" t="inlineStr">
        <is>
          <t>13-16</t>
        </is>
      </c>
      <c r="F5" s="133" t="inlineStr">
        <is>
          <t>8-10</t>
        </is>
      </c>
    </row>
    <row r="6">
      <c r="A6" s="132" t="inlineStr">
        <is>
          <t>Montagem Fôrma (m²/AC)</t>
        </is>
      </c>
      <c r="B6" s="133" t="inlineStr">
        <is>
          <t>3.2-3.8</t>
        </is>
      </c>
      <c r="C6" s="133" t="inlineStr">
        <is>
          <t>2.8-3.4</t>
        </is>
      </c>
      <c r="D6" s="133" t="inlineStr">
        <is>
          <t>2.5-3.0</t>
        </is>
      </c>
      <c r="E6" s="133" t="inlineStr">
        <is>
          <t>3.5-4.2</t>
        </is>
      </c>
      <c r="F6" s="133" t="inlineStr">
        <is>
          <t>2.3-2.8</t>
        </is>
      </c>
    </row>
    <row r="7">
      <c r="A7" s="132" t="inlineStr">
        <is>
          <t>Concreto (m³/AC)</t>
        </is>
      </c>
      <c r="B7" s="133" t="inlineStr">
        <is>
          <t>0.28-0.35</t>
        </is>
      </c>
      <c r="C7" s="133" t="inlineStr">
        <is>
          <t>0.22-0.28</t>
        </is>
      </c>
      <c r="D7" s="133" t="inlineStr">
        <is>
          <t>0.20-0.26</t>
        </is>
      </c>
      <c r="E7" s="133" t="inlineStr">
        <is>
          <t>0.30-0.38</t>
        </is>
      </c>
      <c r="F7" s="133" t="inlineStr">
        <is>
          <t>0.18-0.24</t>
        </is>
      </c>
    </row>
    <row r="8">
      <c r="A8" s="132" t="inlineStr">
        <is>
          <t>Armadura (kg/m³)</t>
        </is>
      </c>
      <c r="B8" s="133" t="inlineStr">
        <is>
          <t>100-130</t>
        </is>
      </c>
      <c r="C8" s="133" t="inlineStr">
        <is>
          <t>85-110</t>
        </is>
      </c>
      <c r="D8" s="133" t="inlineStr">
        <is>
          <t>75-95</t>
        </is>
      </c>
      <c r="E8" s="133" t="inlineStr">
        <is>
          <t>110-140</t>
        </is>
      </c>
      <c r="F8" s="133" t="inlineStr">
        <is>
          <t>65-85</t>
        </is>
      </c>
    </row>
    <row r="9">
      <c r="A9" s="132" t="inlineStr">
        <is>
          <t>MO Estrutura (R$/AC)</t>
        </is>
      </c>
      <c r="B9" s="133" t="inlineStr">
        <is>
          <t>280-350</t>
        </is>
      </c>
      <c r="C9" s="133" t="inlineStr">
        <is>
          <t>250-320</t>
        </is>
      </c>
      <c r="D9" s="133" t="inlineStr">
        <is>
          <t>230-300</t>
        </is>
      </c>
      <c r="E9" s="133" t="inlineStr">
        <is>
          <t>300-380</t>
        </is>
      </c>
      <c r="F9" s="133" t="inlineStr">
        <is>
          <t>210-280</t>
        </is>
      </c>
    </row>
    <row r="10">
      <c r="A10" s="132" t="inlineStr">
        <is>
          <t>Supraestrutura R$/m²</t>
        </is>
      </c>
      <c r="B10" s="133" t="inlineStr">
        <is>
          <t>750-950</t>
        </is>
      </c>
      <c r="C10" s="133" t="inlineStr">
        <is>
          <t>650-850</t>
        </is>
      </c>
      <c r="D10" s="133" t="inlineStr">
        <is>
          <t>600-800</t>
        </is>
      </c>
      <c r="E10" s="133" t="inlineStr">
        <is>
          <t>800-1000</t>
        </is>
      </c>
      <c r="F10" s="133" t="inlineStr">
        <is>
          <t>550-750</t>
        </is>
      </c>
    </row>
    <row r="12">
      <c r="A12" s="120" t="inlineStr">
        <is>
          <t>ÍNDICES GERAIS</t>
        </is>
      </c>
      <c r="B12" s="113" t="n"/>
      <c r="C12" s="113" t="n"/>
      <c r="D12" s="113" t="n"/>
      <c r="E12" s="113" t="n"/>
      <c r="F12" s="114" t="n"/>
    </row>
    <row r="13">
      <c r="A13" s="123" t="inlineStr">
        <is>
          <t>Parâmetro</t>
        </is>
      </c>
      <c r="B13" s="123" t="inlineStr">
        <is>
          <t>Unidade</t>
        </is>
      </c>
      <c r="C13" s="123" t="inlineStr">
        <is>
          <t>Mín</t>
        </is>
      </c>
      <c r="D13" s="123" t="inlineStr">
        <is>
          <t>Típico</t>
        </is>
      </c>
      <c r="E13" s="123" t="inlineStr">
        <is>
          <t>Máx</t>
        </is>
      </c>
      <c r="F13" s="123" t="inlineStr">
        <is>
          <t>Observações</t>
        </is>
      </c>
    </row>
    <row r="14">
      <c r="A14" s="124" t="inlineStr">
        <is>
          <t>Estacas</t>
        </is>
      </c>
      <c r="B14" s="134" t="inlineStr">
        <is>
          <t>m/m²AC</t>
        </is>
      </c>
      <c r="C14" s="134" t="inlineStr">
        <is>
          <t>0.15</t>
        </is>
      </c>
      <c r="D14" s="135" t="inlineStr">
        <is>
          <t>0.20</t>
        </is>
      </c>
      <c r="E14" s="134" t="inlineStr">
        <is>
          <t>0.30</t>
        </is>
      </c>
      <c r="F14" s="131" t="inlineStr">
        <is>
          <t>Varia por solo</t>
        </is>
      </c>
    </row>
    <row r="15">
      <c r="A15" s="124" t="inlineStr">
        <is>
          <t>Alvenaria</t>
        </is>
      </c>
      <c r="B15" s="134" t="inlineStr">
        <is>
          <t>m²/m²AC</t>
        </is>
      </c>
      <c r="C15" s="134" t="inlineStr">
        <is>
          <t>1.8</t>
        </is>
      </c>
      <c r="D15" s="135" t="inlineStr">
        <is>
          <t>2.2</t>
        </is>
      </c>
      <c r="E15" s="134" t="inlineStr">
        <is>
          <t>2.8</t>
        </is>
      </c>
      <c r="F15" s="131" t="inlineStr">
        <is>
          <t>Inclui shafts</t>
        </is>
      </c>
    </row>
    <row r="16">
      <c r="A16" s="124" t="inlineStr">
        <is>
          <t>Contrapiso</t>
        </is>
      </c>
      <c r="B16" s="134" t="inlineStr">
        <is>
          <t>m²/m²AC</t>
        </is>
      </c>
      <c r="C16" s="134" t="inlineStr">
        <is>
          <t>0.85</t>
        </is>
      </c>
      <c r="D16" s="135" t="inlineStr">
        <is>
          <t>0.95</t>
        </is>
      </c>
      <c r="E16" s="134" t="inlineStr">
        <is>
          <t>1.05</t>
        </is>
      </c>
      <c r="F16" s="131" t="inlineStr">
        <is>
          <t>Sobre laje</t>
        </is>
      </c>
    </row>
    <row r="17">
      <c r="A17" s="124" t="inlineStr">
        <is>
          <t>Forro de Gesso</t>
        </is>
      </c>
      <c r="B17" s="134" t="inlineStr">
        <is>
          <t>m²/m²AC</t>
        </is>
      </c>
      <c r="C17" s="134" t="inlineStr">
        <is>
          <t>0.70</t>
        </is>
      </c>
      <c r="D17" s="135" t="inlineStr">
        <is>
          <t>0.85</t>
        </is>
      </c>
      <c r="E17" s="134" t="inlineStr">
        <is>
          <t>0.95</t>
        </is>
      </c>
      <c r="F17" s="131" t="inlineStr">
        <is>
          <t>Áreas nobres</t>
        </is>
      </c>
    </row>
    <row r="18">
      <c r="A18" s="124" t="inlineStr">
        <is>
          <t>Esquadrias Alumínio</t>
        </is>
      </c>
      <c r="B18" s="134" t="inlineStr">
        <is>
          <t>m²/m²AC</t>
        </is>
      </c>
      <c r="C18" s="134" t="inlineStr">
        <is>
          <t>0.15</t>
        </is>
      </c>
      <c r="D18" s="135" t="inlineStr">
        <is>
          <t>0.20</t>
        </is>
      </c>
      <c r="E18" s="134" t="inlineStr">
        <is>
          <t>0.30</t>
        </is>
      </c>
      <c r="F18" s="131" t="inlineStr">
        <is>
          <t>Varanda aumenta</t>
        </is>
      </c>
    </row>
    <row r="19">
      <c r="A19" s="124" t="inlineStr">
        <is>
          <t>Esquadrias PVC</t>
        </is>
      </c>
      <c r="B19" s="134" t="inlineStr">
        <is>
          <t>m²/m²AC</t>
        </is>
      </c>
      <c r="C19" s="134" t="inlineStr">
        <is>
          <t>0.12</t>
        </is>
      </c>
      <c r="D19" s="135" t="inlineStr">
        <is>
          <t>0.18</t>
        </is>
      </c>
      <c r="E19" s="134" t="inlineStr">
        <is>
          <t>0.25</t>
        </is>
      </c>
      <c r="F19" s="131" t="inlineStr">
        <is>
          <t>Alternativa</t>
        </is>
      </c>
    </row>
    <row r="20">
      <c r="A20" s="124" t="inlineStr">
        <is>
          <t>Louças/Metais</t>
        </is>
      </c>
      <c r="B20" s="134" t="inlineStr">
        <is>
          <t>Jogo/UR</t>
        </is>
      </c>
      <c r="C20" s="134" t="inlineStr">
        <is>
          <t>1.8</t>
        </is>
      </c>
      <c r="D20" s="135" t="inlineStr">
        <is>
          <t>2.2</t>
        </is>
      </c>
      <c r="E20" s="134" t="inlineStr">
        <is>
          <t>2.8</t>
        </is>
      </c>
      <c r="F20" s="131" t="inlineStr">
        <is>
          <t>Padrão médio</t>
        </is>
      </c>
    </row>
    <row r="21">
      <c r="A21" s="124" t="inlineStr">
        <is>
          <t>Ponto Elétrico</t>
        </is>
      </c>
      <c r="B21" s="134" t="inlineStr">
        <is>
          <t>Pts/m²AC</t>
        </is>
      </c>
      <c r="C21" s="134" t="inlineStr">
        <is>
          <t>8</t>
        </is>
      </c>
      <c r="D21" s="135" t="inlineStr">
        <is>
          <t>10</t>
        </is>
      </c>
      <c r="E21" s="134" t="inlineStr">
        <is>
          <t>13</t>
        </is>
      </c>
      <c r="F21" s="131" t="inlineStr">
        <is>
          <t>Inclui lógica</t>
        </is>
      </c>
    </row>
    <row r="22">
      <c r="A22" s="124" t="inlineStr">
        <is>
          <t>Ponto Hidráulico</t>
        </is>
      </c>
      <c r="B22" s="134" t="inlineStr">
        <is>
          <t>Pts/m²AC</t>
        </is>
      </c>
      <c r="C22" s="134" t="inlineStr">
        <is>
          <t>4</t>
        </is>
      </c>
      <c r="D22" s="135" t="inlineStr">
        <is>
          <t>5</t>
        </is>
      </c>
      <c r="E22" s="134" t="inlineStr">
        <is>
          <t>7</t>
        </is>
      </c>
      <c r="F22" s="131" t="inlineStr">
        <is>
          <t>AF+AQ+ES+AG</t>
        </is>
      </c>
    </row>
    <row r="23">
      <c r="A23" s="124" t="inlineStr">
        <is>
          <t>Elevador</t>
        </is>
      </c>
      <c r="B23" s="134" t="inlineStr">
        <is>
          <t>UR/Elev</t>
        </is>
      </c>
      <c r="C23" s="134" t="inlineStr">
        <is>
          <t>20</t>
        </is>
      </c>
      <c r="D23" s="135" t="inlineStr">
        <is>
          <t>28</t>
        </is>
      </c>
      <c r="E23" s="134" t="inlineStr">
        <is>
          <t>40</t>
        </is>
      </c>
      <c r="F23" s="131" t="inlineStr">
        <is>
          <t>Baixa: &lt;25, Alta: &gt;35</t>
        </is>
      </c>
    </row>
    <row r="25">
      <c r="A25" s="120" t="inlineStr">
        <is>
          <t>VERBAS PARAMÉTRICAS (R$/m² AC)</t>
        </is>
      </c>
      <c r="B25" s="113" t="n"/>
      <c r="C25" s="113" t="n"/>
      <c r="D25" s="113" t="n"/>
      <c r="E25" s="113" t="n"/>
      <c r="F25" s="114" t="n"/>
    </row>
    <row r="26">
      <c r="A26" s="123" t="inlineStr">
        <is>
          <t>Item</t>
        </is>
      </c>
      <c r="B26" s="123" t="inlineStr">
        <is>
          <t>Standard</t>
        </is>
      </c>
      <c r="C26" s="123" t="inlineStr">
        <is>
          <t>Alto</t>
        </is>
      </c>
      <c r="D26" s="123" t="inlineStr">
        <is>
          <t>Super Alto</t>
        </is>
      </c>
      <c r="E26" s="123" t="inlineStr">
        <is>
          <t>Base</t>
        </is>
      </c>
      <c r="F26" s="123" t="inlineStr">
        <is>
          <t>Observações</t>
        </is>
      </c>
    </row>
    <row r="27">
      <c r="A27" s="124" t="inlineStr">
        <is>
          <t>Pintura Interna</t>
        </is>
      </c>
      <c r="B27" s="134" t="inlineStr">
        <is>
          <t>35-45</t>
        </is>
      </c>
      <c r="C27" s="134" t="inlineStr">
        <is>
          <t>50-65</t>
        </is>
      </c>
      <c r="D27" s="134" t="inlineStr">
        <is>
          <t>75-95</t>
        </is>
      </c>
      <c r="E27" s="136" t="inlineStr">
        <is>
          <t>m²AC</t>
        </is>
      </c>
      <c r="F27" s="131" t="inlineStr">
        <is>
          <t>Látex/Acrílica</t>
        </is>
      </c>
    </row>
    <row r="28">
      <c r="A28" s="124" t="inlineStr">
        <is>
          <t>Pintura Externa</t>
        </is>
      </c>
      <c r="B28" s="134" t="inlineStr">
        <is>
          <t>25-35</t>
        </is>
      </c>
      <c r="C28" s="134" t="inlineStr">
        <is>
          <t>40-55</t>
        </is>
      </c>
      <c r="D28" s="134" t="inlineStr">
        <is>
          <t>60-80</t>
        </is>
      </c>
      <c r="E28" s="136" t="inlineStr">
        <is>
          <t>m²AC</t>
        </is>
      </c>
      <c r="F28" s="131" t="inlineStr">
        <is>
          <t>Acrílica/Textura</t>
        </is>
      </c>
    </row>
    <row r="29">
      <c r="A29" s="124" t="inlineStr">
        <is>
          <t>Rev. Parede Interna</t>
        </is>
      </c>
      <c r="B29" s="134" t="inlineStr">
        <is>
          <t>120-150</t>
        </is>
      </c>
      <c r="C29" s="134" t="inlineStr">
        <is>
          <t>180-230</t>
        </is>
      </c>
      <c r="D29" s="134" t="inlineStr">
        <is>
          <t>280-350</t>
        </is>
      </c>
      <c r="E29" s="136" t="inlineStr">
        <is>
          <t>m²AC</t>
        </is>
      </c>
      <c r="F29" s="131" t="inlineStr">
        <is>
          <t>Gesso/Porcelanato</t>
        </is>
      </c>
    </row>
    <row r="30">
      <c r="A30" s="124" t="inlineStr">
        <is>
          <t>Rev. Parede Externa</t>
        </is>
      </c>
      <c r="B30" s="134" t="inlineStr">
        <is>
          <t>80-110</t>
        </is>
      </c>
      <c r="C30" s="134" t="inlineStr">
        <is>
          <t>130-170</t>
        </is>
      </c>
      <c r="D30" s="134" t="inlineStr">
        <is>
          <t>200-260</t>
        </is>
      </c>
      <c r="E30" s="136" t="inlineStr">
        <is>
          <t>m²AC</t>
        </is>
      </c>
      <c r="F30" s="131" t="inlineStr">
        <is>
          <t>Pastilha/ACM</t>
        </is>
      </c>
    </row>
    <row r="31">
      <c r="A31" s="124" t="inlineStr">
        <is>
          <t>Rodapés</t>
        </is>
      </c>
      <c r="B31" s="134" t="inlineStr">
        <is>
          <t>8-12</t>
        </is>
      </c>
      <c r="C31" s="134" t="inlineStr">
        <is>
          <t>15-20</t>
        </is>
      </c>
      <c r="D31" s="134" t="inlineStr">
        <is>
          <t>25-35</t>
        </is>
      </c>
      <c r="E31" s="136" t="inlineStr">
        <is>
          <t>m²AC</t>
        </is>
      </c>
      <c r="F31" s="131" t="inlineStr">
        <is>
          <t>MDF/Porcelanato</t>
        </is>
      </c>
    </row>
    <row r="32">
      <c r="A32" s="124" t="inlineStr">
        <is>
          <t>Soleiras</t>
        </is>
      </c>
      <c r="B32" s="134" t="inlineStr">
        <is>
          <t>5-8</t>
        </is>
      </c>
      <c r="C32" s="134" t="inlineStr">
        <is>
          <t>10-15</t>
        </is>
      </c>
      <c r="D32" s="134" t="inlineStr">
        <is>
          <t>18-25</t>
        </is>
      </c>
      <c r="E32" s="136" t="inlineStr">
        <is>
          <t>m²AC</t>
        </is>
      </c>
      <c r="F32" s="131" t="inlineStr">
        <is>
          <t>Mármore/Granito</t>
        </is>
      </c>
    </row>
    <row r="33">
      <c r="A33" s="124" t="inlineStr">
        <is>
          <t>Paisagismo</t>
        </is>
      </c>
      <c r="B33" s="134" t="inlineStr">
        <is>
          <t>15-25</t>
        </is>
      </c>
      <c r="C33" s="134" t="inlineStr">
        <is>
          <t>35-50</t>
        </is>
      </c>
      <c r="D33" s="134" t="inlineStr">
        <is>
          <t>65-90</t>
        </is>
      </c>
      <c r="E33" s="136" t="inlineStr">
        <is>
          <t>m²AC</t>
        </is>
      </c>
      <c r="F33" s="131" t="inlineStr">
        <is>
          <t>Externo+Interno</t>
        </is>
      </c>
    </row>
    <row r="34">
      <c r="A34" s="124" t="inlineStr">
        <is>
          <t>Sinalização</t>
        </is>
      </c>
      <c r="B34" s="134" t="inlineStr">
        <is>
          <t>3-5</t>
        </is>
      </c>
      <c r="C34" s="134" t="inlineStr">
        <is>
          <t>8-12</t>
        </is>
      </c>
      <c r="D34" s="134" t="inlineStr">
        <is>
          <t>15-22</t>
        </is>
      </c>
      <c r="E34" s="136" t="inlineStr">
        <is>
          <t>m²AC</t>
        </is>
      </c>
      <c r="F34" s="131" t="inlineStr">
        <is>
          <t>Placas+Numeração</t>
        </is>
      </c>
    </row>
    <row r="35">
      <c r="A35" s="124" t="inlineStr">
        <is>
          <t>Playground</t>
        </is>
      </c>
      <c r="B35" s="134" t="inlineStr">
        <is>
          <t>8-12</t>
        </is>
      </c>
      <c r="C35" s="134" t="inlineStr">
        <is>
          <t>18-25</t>
        </is>
      </c>
      <c r="D35" s="134" t="inlineStr">
        <is>
          <t>35-50</t>
        </is>
      </c>
      <c r="E35" s="136" t="inlineStr">
        <is>
          <t>m²AC</t>
        </is>
      </c>
      <c r="F35" s="131" t="inlineStr">
        <is>
          <t>Se houver área lazer</t>
        </is>
      </c>
    </row>
    <row r="36">
      <c r="A36" s="124" t="inlineStr">
        <is>
          <t>Deck/Pergolado</t>
        </is>
      </c>
      <c r="B36" s="134" t="inlineStr">
        <is>
          <t>40-60</t>
        </is>
      </c>
      <c r="C36" s="134" t="inlineStr">
        <is>
          <t>80-110</t>
        </is>
      </c>
      <c r="D36" s="134" t="inlineStr">
        <is>
          <t>140-180</t>
        </is>
      </c>
      <c r="E36" s="136" t="inlineStr">
        <is>
          <t>m²Deck</t>
        </is>
      </c>
      <c r="F36" s="131" t="inlineStr">
        <is>
          <t>Madeira/Composto</t>
        </is>
      </c>
    </row>
    <row r="38">
      <c r="A38" s="120" t="inlineStr">
        <is>
          <t>FATORES DE CUSTO E AJUSTES</t>
        </is>
      </c>
      <c r="B38" s="113" t="n"/>
      <c r="C38" s="113" t="n"/>
      <c r="D38" s="113" t="n"/>
      <c r="E38" s="113" t="n"/>
      <c r="F38" s="114" t="n"/>
    </row>
    <row r="39">
      <c r="A39" s="123" t="inlineStr">
        <is>
          <t>Fator</t>
        </is>
      </c>
      <c r="B39" s="123" t="inlineStr">
        <is>
          <t>Valor Típico</t>
        </is>
      </c>
      <c r="C39" s="123" t="inlineStr">
        <is>
          <t>Faixa</t>
        </is>
      </c>
      <c r="D39" s="123" t="inlineStr">
        <is>
          <t>Aplicação</t>
        </is>
      </c>
      <c r="E39" s="123" t="inlineStr">
        <is>
          <t>Observações</t>
        </is>
      </c>
    </row>
    <row r="40">
      <c r="A40" s="137" t="inlineStr">
        <is>
          <t>BDI</t>
        </is>
      </c>
      <c r="B40" s="135" t="inlineStr">
        <is>
          <t>1.10</t>
        </is>
      </c>
      <c r="C40" s="134" t="inlineStr">
        <is>
          <t>1.08 - 1.15</t>
        </is>
      </c>
      <c r="D40" s="138" t="inlineStr">
        <is>
          <t>Todos os custos</t>
        </is>
      </c>
      <c r="E40" s="131" t="inlineStr">
        <is>
          <t>Lucro + impostos + risco</t>
        </is>
      </c>
    </row>
    <row r="41">
      <c r="A41" s="137" t="inlineStr">
        <is>
          <t>Perdas Concreto</t>
        </is>
      </c>
      <c r="B41" s="135" t="inlineStr">
        <is>
          <t>1.05</t>
        </is>
      </c>
      <c r="C41" s="134" t="inlineStr">
        <is>
          <t>1.03 - 1.08</t>
        </is>
      </c>
      <c r="D41" s="138" t="inlineStr">
        <is>
          <t>Volume concreto</t>
        </is>
      </c>
      <c r="E41" s="131" t="inlineStr">
        <is>
          <t>Sobra + geometria</t>
        </is>
      </c>
    </row>
    <row r="42">
      <c r="A42" s="137" t="inlineStr">
        <is>
          <t>Perdas Argamassa</t>
        </is>
      </c>
      <c r="B42" s="135" t="inlineStr">
        <is>
          <t>1.15</t>
        </is>
      </c>
      <c r="C42" s="134" t="inlineStr">
        <is>
          <t>1.10 - 1.25</t>
        </is>
      </c>
      <c r="D42" s="138" t="inlineStr">
        <is>
          <t>Revestimentos</t>
        </is>
      </c>
      <c r="E42" s="131" t="inlineStr">
        <is>
          <t>Espessura irregular</t>
        </is>
      </c>
    </row>
    <row r="43">
      <c r="A43" s="137" t="inlineStr">
        <is>
          <t>Empolamento Terra</t>
        </is>
      </c>
      <c r="B43" s="135" t="inlineStr">
        <is>
          <t>1.25</t>
        </is>
      </c>
      <c r="C43" s="134" t="inlineStr">
        <is>
          <t>1.20 - 1.35</t>
        </is>
      </c>
      <c r="D43" s="138" t="inlineStr">
        <is>
          <t>Movimento terra</t>
        </is>
      </c>
      <c r="E43" s="131" t="inlineStr">
        <is>
          <t>Solo solto vs compactado</t>
        </is>
      </c>
    </row>
    <row r="44">
      <c r="A44" s="137" t="inlineStr">
        <is>
          <t>Fator Dificuldade</t>
        </is>
      </c>
      <c r="B44" s="135" t="inlineStr">
        <is>
          <t>1.00-1.20</t>
        </is>
      </c>
      <c r="C44" s="134" t="inlineStr">
        <is>
          <t>—</t>
        </is>
      </c>
      <c r="D44" s="138" t="inlineStr">
        <is>
          <t>MO difícil acesso</t>
        </is>
      </c>
      <c r="E44" s="131" t="inlineStr">
        <is>
          <t>Encosta, centro urbano</t>
        </is>
      </c>
    </row>
    <row r="45">
      <c r="A45" s="137" t="inlineStr">
        <is>
          <t>Ajuste Localização</t>
        </is>
      </c>
      <c r="B45" s="135" t="inlineStr">
        <is>
          <t>0.90-1.15</t>
        </is>
      </c>
      <c r="C45" s="134" t="inlineStr">
        <is>
          <t>—</t>
        </is>
      </c>
      <c r="D45" s="138" t="inlineStr">
        <is>
          <t>Todos</t>
        </is>
      </c>
      <c r="E45" s="131" t="inlineStr">
        <is>
          <t>Interior vs capital</t>
        </is>
      </c>
    </row>
    <row r="46">
      <c r="A46" s="137" t="inlineStr">
        <is>
          <t>Produtividade MO</t>
        </is>
      </c>
      <c r="B46" s="135" t="inlineStr">
        <is>
          <t>0.85-1.15</t>
        </is>
      </c>
      <c r="C46" s="134" t="inlineStr">
        <is>
          <t>—</t>
        </is>
      </c>
      <c r="D46" s="138" t="inlineStr">
        <is>
          <t>MO</t>
        </is>
      </c>
      <c r="E46" s="131" t="inlineStr">
        <is>
          <t>Equipe experiente</t>
        </is>
      </c>
    </row>
    <row r="47">
      <c r="A47" s="137" t="inlineStr">
        <is>
          <t>Fator Prazo</t>
        </is>
      </c>
      <c r="B47" s="135" t="inlineStr">
        <is>
          <t>1.00-1.30</t>
        </is>
      </c>
      <c r="C47" s="134" t="inlineStr">
        <is>
          <t>—</t>
        </is>
      </c>
      <c r="D47" s="138" t="inlineStr">
        <is>
          <t>MO compressão</t>
        </is>
      </c>
      <c r="E47" s="131" t="inlineStr">
        <is>
          <t>Aceleração &gt; custo</t>
        </is>
      </c>
    </row>
    <row r="49">
      <c r="A49" s="120" t="inlineStr">
        <is>
          <t>AJUSTES POR PADRÃO (Multiplicadores Base Standard)</t>
        </is>
      </c>
      <c r="B49" s="113" t="n"/>
      <c r="C49" s="113" t="n"/>
      <c r="D49" s="113" t="n"/>
      <c r="E49" s="113" t="n"/>
      <c r="F49" s="114" t="n"/>
    </row>
    <row r="50">
      <c r="A50" s="123" t="inlineStr">
        <is>
          <t>Macrogrupo</t>
        </is>
      </c>
      <c r="B50" s="123" t="inlineStr">
        <is>
          <t>Standard</t>
        </is>
      </c>
      <c r="C50" s="123" t="inlineStr">
        <is>
          <t>Alto Padrão</t>
        </is>
      </c>
      <c r="D50" s="123" t="inlineStr">
        <is>
          <t>Super Alto</t>
        </is>
      </c>
      <c r="E50" s="123" t="inlineStr">
        <is>
          <t>Impacto</t>
        </is>
      </c>
      <c r="F50" s="123" t="inlineStr">
        <is>
          <t>Observações</t>
        </is>
      </c>
    </row>
    <row r="51">
      <c r="A51" s="124" t="inlineStr">
        <is>
          <t>Gerenciamento</t>
        </is>
      </c>
      <c r="B51" s="135" t="inlineStr">
        <is>
          <t>1.00</t>
        </is>
      </c>
      <c r="C51" s="134" t="inlineStr">
        <is>
          <t>1.05</t>
        </is>
      </c>
      <c r="D51" s="134" t="inlineStr">
        <is>
          <t>1.10</t>
        </is>
      </c>
      <c r="E51" s="136" t="inlineStr">
        <is>
          <t>Médio</t>
        </is>
      </c>
      <c r="F51" s="131" t="inlineStr">
        <is>
          <t>Mais controle qualidade</t>
        </is>
      </c>
    </row>
    <row r="52">
      <c r="A52" s="124" t="inlineStr">
        <is>
          <t>Infraestrutura</t>
        </is>
      </c>
      <c r="B52" s="135" t="inlineStr">
        <is>
          <t>1.00</t>
        </is>
      </c>
      <c r="C52" s="134" t="inlineStr">
        <is>
          <t>1.10</t>
        </is>
      </c>
      <c r="D52" s="134" t="inlineStr">
        <is>
          <t>1.25</t>
        </is>
      </c>
      <c r="E52" s="136" t="inlineStr">
        <is>
          <t>Médio</t>
        </is>
      </c>
      <c r="F52" s="131" t="inlineStr">
        <is>
          <t>Fundações especiais</t>
        </is>
      </c>
    </row>
    <row r="53">
      <c r="A53" s="124" t="inlineStr">
        <is>
          <t>Supraestrutura</t>
        </is>
      </c>
      <c r="B53" s="135" t="inlineStr">
        <is>
          <t>1.00</t>
        </is>
      </c>
      <c r="C53" s="134" t="inlineStr">
        <is>
          <t>1.08</t>
        </is>
      </c>
      <c r="D53" s="134" t="inlineStr">
        <is>
          <t>1.15</t>
        </is>
      </c>
      <c r="E53" s="136" t="inlineStr">
        <is>
          <t>Baixo</t>
        </is>
      </c>
      <c r="F53" s="131" t="inlineStr">
        <is>
          <t>Sobrecarga maior</t>
        </is>
      </c>
    </row>
    <row r="54">
      <c r="A54" s="124" t="inlineStr">
        <is>
          <t>Instalações</t>
        </is>
      </c>
      <c r="B54" s="135" t="inlineStr">
        <is>
          <t>1.00</t>
        </is>
      </c>
      <c r="C54" s="134" t="inlineStr">
        <is>
          <t>1.25</t>
        </is>
      </c>
      <c r="D54" s="134" t="inlineStr">
        <is>
          <t>1.60</t>
        </is>
      </c>
      <c r="E54" s="136" t="inlineStr">
        <is>
          <t>Alto</t>
        </is>
      </c>
      <c r="F54" s="131" t="inlineStr">
        <is>
          <t>Automação, CFTV</t>
        </is>
      </c>
    </row>
    <row r="55">
      <c r="A55" s="124" t="inlineStr">
        <is>
          <t>Sist. Especiais</t>
        </is>
      </c>
      <c r="B55" s="135" t="inlineStr">
        <is>
          <t>1.00</t>
        </is>
      </c>
      <c r="C55" s="134" t="inlineStr">
        <is>
          <t>1.40</t>
        </is>
      </c>
      <c r="D55" s="134" t="inlineStr">
        <is>
          <t>2.00</t>
        </is>
      </c>
      <c r="E55" s="136" t="inlineStr">
        <is>
          <t>Alto</t>
        </is>
      </c>
      <c r="F55" s="131" t="inlineStr">
        <is>
          <t>Ar central, gerador</t>
        </is>
      </c>
    </row>
    <row r="56">
      <c r="A56" s="124" t="inlineStr">
        <is>
          <t>Impermeabilização</t>
        </is>
      </c>
      <c r="B56" s="135" t="inlineStr">
        <is>
          <t>1.00</t>
        </is>
      </c>
      <c r="C56" s="134" t="inlineStr">
        <is>
          <t>1.15</t>
        </is>
      </c>
      <c r="D56" s="134" t="inlineStr">
        <is>
          <t>1.30</t>
        </is>
      </c>
      <c r="E56" s="136" t="inlineStr">
        <is>
          <t>Médio</t>
        </is>
      </c>
      <c r="F56" s="131" t="inlineStr">
        <is>
          <t>Mantas importadas</t>
        </is>
      </c>
    </row>
    <row r="57">
      <c r="A57" s="124" t="inlineStr">
        <is>
          <t>Pisos</t>
        </is>
      </c>
      <c r="B57" s="135" t="inlineStr">
        <is>
          <t>1.00</t>
        </is>
      </c>
      <c r="C57" s="134" t="inlineStr">
        <is>
          <t>1.50</t>
        </is>
      </c>
      <c r="D57" s="134" t="inlineStr">
        <is>
          <t>2.20</t>
        </is>
      </c>
      <c r="E57" s="136" t="inlineStr">
        <is>
          <t>Alto</t>
        </is>
      </c>
      <c r="F57" s="131" t="inlineStr">
        <is>
          <t>Porcelanato grande formato</t>
        </is>
      </c>
    </row>
    <row r="58">
      <c r="A58" s="124" t="inlineStr">
        <is>
          <t>Pintura</t>
        </is>
      </c>
      <c r="B58" s="135" t="inlineStr">
        <is>
          <t>1.00</t>
        </is>
      </c>
      <c r="C58" s="134" t="inlineStr">
        <is>
          <t>1.30</t>
        </is>
      </c>
      <c r="D58" s="134" t="inlineStr">
        <is>
          <t>1.60</t>
        </is>
      </c>
      <c r="E58" s="136" t="inlineStr">
        <is>
          <t>Médio</t>
        </is>
      </c>
      <c r="F58" s="131" t="inlineStr">
        <is>
          <t>Textura, efeitos</t>
        </is>
      </c>
    </row>
    <row r="59">
      <c r="A59" s="124" t="inlineStr">
        <is>
          <t>Esquadrias</t>
        </is>
      </c>
      <c r="B59" s="135" t="inlineStr">
        <is>
          <t>1.00</t>
        </is>
      </c>
      <c r="C59" s="134" t="inlineStr">
        <is>
          <t>1.40</t>
        </is>
      </c>
      <c r="D59" s="134" t="inlineStr">
        <is>
          <t>1.90</t>
        </is>
      </c>
      <c r="E59" s="136" t="inlineStr">
        <is>
          <t>Alto</t>
        </is>
      </c>
      <c r="F59" s="131" t="inlineStr">
        <is>
          <t>Alumínio/PVC premium</t>
        </is>
      </c>
    </row>
    <row r="60">
      <c r="A60" s="124" t="inlineStr">
        <is>
          <t>Fachada</t>
        </is>
      </c>
      <c r="B60" s="135" t="inlineStr">
        <is>
          <t>1.00</t>
        </is>
      </c>
      <c r="C60" s="134" t="inlineStr">
        <is>
          <t>1.60</t>
        </is>
      </c>
      <c r="D60" s="134" t="inlineStr">
        <is>
          <t>2.40</t>
        </is>
      </c>
      <c r="E60" s="136" t="inlineStr">
        <is>
          <t>Alto</t>
        </is>
      </c>
      <c r="F60" s="131" t="inlineStr">
        <is>
          <t>ACM, vidro especial</t>
        </is>
      </c>
    </row>
    <row r="61">
      <c r="A61" s="124" t="inlineStr">
        <is>
          <t>Complementares</t>
        </is>
      </c>
      <c r="B61" s="135" t="inlineStr">
        <is>
          <t>1.00</t>
        </is>
      </c>
      <c r="C61" s="134" t="inlineStr">
        <is>
          <t>1.35</t>
        </is>
      </c>
      <c r="D61" s="134" t="inlineStr">
        <is>
          <t>1.80</t>
        </is>
      </c>
      <c r="E61" s="136" t="inlineStr">
        <is>
          <t>Alto</t>
        </is>
      </c>
      <c r="F61" s="131" t="inlineStr">
        <is>
          <t>Acabamentos finos</t>
        </is>
      </c>
    </row>
  </sheetData>
  <mergeCells count="6">
    <mergeCell ref="A38:F38"/>
    <mergeCell ref="A49:F49"/>
    <mergeCell ref="A1:F1"/>
    <mergeCell ref="A12:F12"/>
    <mergeCell ref="A3:F3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2" customWidth="1" min="4" max="4"/>
    <col width="12" customWidth="1" min="5" max="5"/>
    <col width="22" customWidth="1" min="6" max="6"/>
    <col width="30" customWidth="1" min="7" max="7"/>
    <col width="12" customWidth="1" min="8" max="8"/>
  </cols>
  <sheetData>
    <row r="1">
      <c r="A1" s="46" t="inlineStr">
        <is>
          <t>ANÁLISE DO PRODUTO — BENCHMARK E DIAGNÓSTICO</t>
        </is>
      </c>
      <c r="B1" s="47" t="n"/>
      <c r="C1" s="47" t="n"/>
      <c r="D1" s="47" t="n"/>
      <c r="E1" s="47" t="n"/>
      <c r="F1" s="47" t="n"/>
      <c r="G1" s="47" t="n"/>
      <c r="H1" s="48" t="n"/>
    </row>
    <row r="3">
      <c r="A3" s="49" t="inlineStr">
        <is>
          <t>Projeto</t>
        </is>
      </c>
      <c r="B3" s="49" t="inlineStr">
        <is>
          <t>Cidade</t>
        </is>
      </c>
      <c r="C3" s="49" t="inlineStr">
        <is>
          <t>AC m²</t>
        </is>
      </c>
      <c r="D3" s="49" t="inlineStr">
        <is>
          <t>UR</t>
        </is>
      </c>
      <c r="E3" s="49" t="inlineStr">
        <is>
          <t>NP</t>
        </is>
      </c>
      <c r="F3" s="49" t="inlineStr">
        <is>
          <t>VAG/UR</t>
        </is>
      </c>
      <c r="G3" s="49" t="inlineStr">
        <is>
          <t>AC/UR m²</t>
        </is>
      </c>
      <c r="H3" s="49" t="inlineStr">
        <is>
          <t>Padrão</t>
        </is>
      </c>
    </row>
    <row r="4">
      <c r="A4" s="56" t="inlineStr">
        <is>
          <t>Maison Beach (ESTE)</t>
        </is>
      </c>
      <c r="B4" s="56" t="inlineStr">
        <is>
          <t>Bombinhas/SC</t>
        </is>
      </c>
      <c r="C4" s="56">
        <f>DADOS_PROJETO!B7</f>
        <v/>
      </c>
      <c r="D4" s="56">
        <f>DADOS_PROJETO!B8</f>
        <v/>
      </c>
      <c r="E4" s="56">
        <f>DADOS_PROJETO!B9</f>
        <v/>
      </c>
      <c r="F4" s="56">
        <f>IF(DADOS_PROJETO!B8&gt;0,DADOS_PROJETO!B13/DADOS_PROJETO!B8,0)</f>
        <v/>
      </c>
      <c r="G4" s="118">
        <f>IF(DADOS_PROJETO!B8&gt;0,DADOS_PROJETO!B7/DADOS_PROJETO!B8,0)</f>
        <v/>
      </c>
      <c r="H4" s="56">
        <f>DADOS_PROJETO!E11</f>
        <v/>
      </c>
    </row>
    <row r="5">
      <c r="A5" s="50" t="inlineStr">
        <is>
          <t>EZE Canto Grande</t>
        </is>
      </c>
      <c r="B5" s="50" t="inlineStr">
        <is>
          <t>Bombinhas/SC</t>
        </is>
      </c>
      <c r="C5" s="50" t="n">
        <v>1612</v>
      </c>
      <c r="D5" s="50" t="n">
        <v>8</v>
      </c>
      <c r="E5" s="50" t="n">
        <v>7</v>
      </c>
      <c r="F5" s="50" t="n">
        <v>2</v>
      </c>
      <c r="G5" s="50" t="n">
        <v>201.4</v>
      </c>
      <c r="H5" s="50" t="inlineStr">
        <is>
          <t>Alto</t>
        </is>
      </c>
    </row>
    <row r="6">
      <c r="A6" s="50" t="inlineStr">
        <is>
          <t>EZE Eilat</t>
        </is>
      </c>
      <c r="B6" s="50" t="inlineStr">
        <is>
          <t>Bombinhas/SC</t>
        </is>
      </c>
      <c r="C6" s="50" t="n">
        <v>1767</v>
      </c>
      <c r="D6" s="50" t="n">
        <v>8</v>
      </c>
      <c r="E6" s="50" t="n">
        <v>7</v>
      </c>
      <c r="F6" s="50" t="n">
        <v>1.5</v>
      </c>
      <c r="G6" s="50" t="n">
        <v>220.9</v>
      </c>
      <c r="H6" s="50" t="inlineStr">
        <is>
          <t>Alto</t>
        </is>
      </c>
    </row>
    <row r="7">
      <c r="A7" s="50" t="inlineStr">
        <is>
          <t>By Seasons</t>
        </is>
      </c>
      <c r="B7" s="50" t="inlineStr">
        <is>
          <t>Itapema/SC</t>
        </is>
      </c>
      <c r="C7" s="50" t="n">
        <v>6349</v>
      </c>
      <c r="D7" s="50" t="n">
        <v>54</v>
      </c>
      <c r="E7" s="50" t="n">
        <v>18</v>
      </c>
      <c r="F7" s="50" t="n">
        <v>1.2</v>
      </c>
      <c r="G7" s="50" t="n">
        <v>117.6</v>
      </c>
      <c r="H7" s="50" t="inlineStr">
        <is>
          <t>Alto</t>
        </is>
      </c>
    </row>
    <row r="8">
      <c r="A8" s="50" t="inlineStr">
        <is>
          <t>ETR Mediterrâneo</t>
        </is>
      </c>
      <c r="B8" s="50" t="inlineStr">
        <is>
          <t>Itapema/SC</t>
        </is>
      </c>
      <c r="C8" s="50" t="n">
        <v>4617</v>
      </c>
      <c r="D8" s="50" t="n">
        <v>20</v>
      </c>
      <c r="E8" s="50" t="n">
        <v>13</v>
      </c>
      <c r="F8" s="50" t="n">
        <v>1.5</v>
      </c>
      <c r="G8" s="50" t="n">
        <v>230.9</v>
      </c>
      <c r="H8" s="50" t="inlineStr">
        <is>
          <t>Alto</t>
        </is>
      </c>
    </row>
    <row r="9">
      <c r="A9" s="50" t="inlineStr">
        <is>
          <t>Meia Praia 298</t>
        </is>
      </c>
      <c r="B9" s="50" t="inlineStr">
        <is>
          <t>Itapema/SC</t>
        </is>
      </c>
      <c r="C9" s="50" t="n">
        <v>10618</v>
      </c>
      <c r="D9" s="50" t="n">
        <v>41</v>
      </c>
      <c r="E9" s="50" t="n">
        <v>26</v>
      </c>
      <c r="F9" s="50" t="n">
        <v>1.5</v>
      </c>
      <c r="G9" s="50" t="n">
        <v>259</v>
      </c>
      <c r="H9" s="50" t="inlineStr">
        <is>
          <t>Alto</t>
        </is>
      </c>
    </row>
    <row r="10">
      <c r="A10" s="50" t="inlineStr">
        <is>
          <t>Lorenzo Gabriel</t>
        </is>
      </c>
      <c r="B10" s="50" t="inlineStr">
        <is>
          <t>Itapema/SC</t>
        </is>
      </c>
      <c r="C10" s="50" t="n">
        <v>8525</v>
      </c>
      <c r="D10" s="50" t="n">
        <v>73</v>
      </c>
      <c r="E10" s="50" t="n">
        <v>19</v>
      </c>
      <c r="F10" s="50" t="n">
        <v>1.2</v>
      </c>
      <c r="G10" s="50" t="n">
        <v>116.8</v>
      </c>
      <c r="H10" s="50" t="inlineStr">
        <is>
          <t>Alto</t>
        </is>
      </c>
    </row>
    <row r="11">
      <c r="A11" s="50" t="inlineStr">
        <is>
          <t>Ferrazzo Perequê</t>
        </is>
      </c>
      <c r="B11" s="50" t="inlineStr">
        <is>
          <t>Porto Belo/SC</t>
        </is>
      </c>
      <c r="C11" s="50" t="n">
        <v>5576</v>
      </c>
      <c r="D11" s="50" t="n">
        <v>38</v>
      </c>
      <c r="E11" s="50" t="n">
        <v>15</v>
      </c>
      <c r="F11" s="50" t="n">
        <v>1.3</v>
      </c>
      <c r="G11" s="50" t="n">
        <v>146.7</v>
      </c>
      <c r="H11" s="50" t="inlineStr">
        <is>
          <t>Alto</t>
        </is>
      </c>
    </row>
    <row r="12">
      <c r="A12" s="50" t="inlineStr">
        <is>
          <t>Kirchner West</t>
        </is>
      </c>
      <c r="B12" s="50" t="inlineStr">
        <is>
          <t>Itapema/SC</t>
        </is>
      </c>
      <c r="C12" s="50" t="n">
        <v>10723</v>
      </c>
      <c r="D12" s="50" t="n">
        <v>44</v>
      </c>
      <c r="E12" s="50" t="n">
        <v>21</v>
      </c>
      <c r="F12" s="50" t="n">
        <v>2.5</v>
      </c>
      <c r="G12" s="50" t="n">
        <v>243.7</v>
      </c>
      <c r="H12" s="50" t="inlineStr">
        <is>
          <t>Alto</t>
        </is>
      </c>
    </row>
    <row r="13">
      <c r="A13" s="46" t="inlineStr">
        <is>
          <t>MÉDIA REFERÊNCIAS</t>
        </is>
      </c>
      <c r="B13" s="50" t="inlineStr"/>
      <c r="C13" s="51">
        <f>AVERAGE(C5:C12)</f>
        <v/>
      </c>
      <c r="D13" s="51">
        <f>AVERAGE(D5:D12)</f>
        <v/>
      </c>
      <c r="E13" s="51">
        <f>AVERAGE(E5:E12)</f>
        <v/>
      </c>
      <c r="F13" s="51">
        <f>AVERAGE(F5:F12)</f>
        <v/>
      </c>
      <c r="G13" s="51">
        <f>AVERAGE(G5:G12)</f>
        <v/>
      </c>
      <c r="H13" s="50" t="inlineStr"/>
    </row>
    <row r="16">
      <c r="A16" s="49" t="inlineStr">
        <is>
          <t>Índice</t>
        </is>
      </c>
      <c r="B16" s="49" t="inlineStr">
        <is>
          <t>Este Projeto</t>
        </is>
      </c>
      <c r="C16" s="49" t="inlineStr">
        <is>
          <t>Média Mercado</t>
        </is>
      </c>
      <c r="D16" s="49" t="inlineStr">
        <is>
          <t>Faixa Min</t>
        </is>
      </c>
      <c r="E16" s="49" t="inlineStr">
        <is>
          <t>Faixa Max</t>
        </is>
      </c>
      <c r="F16" s="49" t="inlineStr">
        <is>
          <t>Status</t>
        </is>
      </c>
      <c r="G16" s="49" t="inlineStr">
        <is>
          <t>Comentário</t>
        </is>
      </c>
    </row>
    <row r="17">
      <c r="A17" s="50" t="inlineStr">
        <is>
          <t>AC/UR (m²/un)</t>
        </is>
      </c>
      <c r="B17" s="51">
        <f>IF(DADOS_PROJETO!B8&gt;0,DADOS_PROJETO!B7/DADOS_PROJETO!B8,0)</f>
        <v/>
      </c>
      <c r="C17" s="51">
        <f>G13</f>
        <v/>
      </c>
      <c r="D17" s="50" t="n">
        <v>80</v>
      </c>
      <c r="E17" s="50" t="n">
        <v>260</v>
      </c>
      <c r="F17" s="51">
        <f>IF(B17&gt;=D17,IF(B17&lt;=E17,"✅ Dentro da faixa","⚠️ Acima da faixa"),"🔽 Abaixo da faixa")</f>
        <v/>
      </c>
      <c r="G17" s="52" t="n"/>
    </row>
    <row r="18">
      <c r="A18" s="50" t="inlineStr">
        <is>
          <t>Vagas/UR</t>
        </is>
      </c>
      <c r="B18" s="51">
        <f>IF(DADOS_PROJETO!B8&gt;0,DADOS_PROJETO!B13/DADOS_PROJETO!B8,0)</f>
        <v/>
      </c>
      <c r="C18" s="51">
        <f>F13</f>
        <v/>
      </c>
      <c r="D18" s="50" t="n">
        <v>1</v>
      </c>
      <c r="E18" s="50" t="n">
        <v>2.5</v>
      </c>
      <c r="F18" s="51">
        <f>IF(B18&gt;=D18,IF(B18&lt;=E18,"✅ Dentro da faixa","⚠️ Acima da faixa"),"🔽 Abaixo da faixa")</f>
        <v/>
      </c>
      <c r="G18" s="52" t="n"/>
    </row>
    <row r="19">
      <c r="A19" s="50" t="inlineStr">
        <is>
          <t>UR/Elevador</t>
        </is>
      </c>
      <c r="B19" s="51">
        <f>IF(DADOS_PROJETO!B12&gt;0,DADOS_PROJETO!B8/DADOS_PROJETO!B12,0)</f>
        <v/>
      </c>
      <c r="C19" s="51">
        <f>D13/AVERAGE(E5:E12)*AVERAGE(D5:D12)</f>
        <v/>
      </c>
      <c r="D19" s="50" t="n">
        <v>15</v>
      </c>
      <c r="E19" s="50" t="n">
        <v>50</v>
      </c>
      <c r="F19" s="51">
        <f>IF(B19&gt;=D19,IF(B19&lt;=E19,"✅ Dentro da faixa","⚠️ Acima da faixa"),"🔽 Abaixo da faixa")</f>
        <v/>
      </c>
      <c r="G19" s="52" t="n"/>
    </row>
    <row r="20">
      <c r="A20" s="50" t="inlineStr">
        <is>
          <t>CA (Coef. Aprov.)</t>
        </is>
      </c>
      <c r="B20" s="51">
        <f>IF(DADOS_PROJETO!B14&gt;0,DADOS_PROJETO!B7/DADOS_PROJETO!B14,0)</f>
        <v/>
      </c>
      <c r="C20" s="51">
        <f>AVERAGE(C5:C12)/1000</f>
        <v/>
      </c>
      <c r="D20" s="50" t="n">
        <v>2</v>
      </c>
      <c r="E20" s="50" t="n">
        <v>10</v>
      </c>
      <c r="F20" s="51">
        <f>IF(B20&gt;=D20,IF(B20&lt;=E20,"✅ Dentro da faixa","⚠️ Acima da faixa"),"🔽 Abaixo da faixa")</f>
        <v/>
      </c>
      <c r="G20" s="52" t="n"/>
    </row>
    <row r="21">
      <c r="A21" s="50" t="inlineStr">
        <is>
          <t>Depósitos/UR</t>
        </is>
      </c>
      <c r="B21" s="52" t="n"/>
      <c r="C21" s="51" t="n">
        <v>0.8</v>
      </c>
      <c r="D21" s="50" t="n">
        <v>0.5</v>
      </c>
      <c r="E21" s="50" t="n">
        <v>1</v>
      </c>
      <c r="F21" s="51">
        <f>IF(B21&gt;=D21,IF(B21&lt;=E21,"✅ Dentro da faixa","⚠️ Acima da faixa"),"🔽 Abaixo da faixa")</f>
        <v/>
      </c>
      <c r="G21" s="52" t="n"/>
    </row>
    <row r="22">
      <c r="A22" s="50" t="inlineStr">
        <is>
          <t>% Área Privativa</t>
        </is>
      </c>
      <c r="B22" s="52" t="n"/>
      <c r="C22" s="51" t="n">
        <v>0.45</v>
      </c>
      <c r="D22" s="50" t="n">
        <v>0.35</v>
      </c>
      <c r="E22" s="50" t="n">
        <v>0.55</v>
      </c>
      <c r="F22" s="51">
        <f>IF(B22&gt;=D22,IF(B22&lt;=E22,"✅ Dentro da faixa","⚠️ Acima da faixa"),"🔽 Abaixo da faixa")</f>
        <v/>
      </c>
      <c r="G22" s="52" t="n"/>
    </row>
    <row r="23">
      <c r="A23" s="50" t="inlineStr">
        <is>
          <t>Área Média 2 Suítes</t>
        </is>
      </c>
      <c r="B23" s="52" t="n"/>
      <c r="C23" s="51" t="n">
        <v>85</v>
      </c>
      <c r="D23" s="50" t="n">
        <v>60</v>
      </c>
      <c r="E23" s="50" t="n">
        <v>120</v>
      </c>
      <c r="F23" s="51">
        <f>IF(B23&gt;=D23,IF(B23&lt;=E23,"✅ Dentro da faixa","⚠️ Acima da faixa"),"🔽 Abaixo da faixa")</f>
        <v/>
      </c>
      <c r="G23" s="52" t="n"/>
    </row>
    <row r="24">
      <c r="A24" s="50" t="inlineStr">
        <is>
          <t>Área Média 3 Suítes</t>
        </is>
      </c>
      <c r="B24" s="52" t="n"/>
      <c r="C24" s="51" t="n">
        <v>110</v>
      </c>
      <c r="D24" s="50" t="n">
        <v>85</v>
      </c>
      <c r="E24" s="50" t="n">
        <v>160</v>
      </c>
      <c r="F24" s="51">
        <f>IF(B24&gt;=D24,IF(B24&lt;=E24,"✅ Dentro da faixa","⚠️ Acima da faixa"),"🔽 Abaixo da faixa")</f>
        <v/>
      </c>
      <c r="G24" s="52" t="n"/>
    </row>
    <row r="25">
      <c r="A25" s="50" t="inlineStr">
        <is>
          <t>Área Média Cobertura</t>
        </is>
      </c>
      <c r="B25" s="52" t="n"/>
      <c r="C25" s="51" t="n">
        <v>180</v>
      </c>
      <c r="D25" s="50" t="n">
        <v>130</v>
      </c>
      <c r="E25" s="50" t="n">
        <v>300</v>
      </c>
      <c r="F25" s="51">
        <f>IF(B25&gt;=D25,IF(B25&lt;=E25,"✅ Dentro da faixa","⚠️ Acima da faixa"),"🔽 Abaixo da faixa")</f>
        <v/>
      </c>
      <c r="G25" s="52" t="n"/>
    </row>
    <row r="28">
      <c r="A28" s="49" t="inlineStr">
        <is>
          <t>DIAGNÓSTICO DO PRODUTO</t>
        </is>
      </c>
      <c r="B28" s="49" t="n"/>
      <c r="C28" s="49" t="n"/>
      <c r="D28" s="49" t="n"/>
      <c r="E28" s="49" t="n"/>
      <c r="F28" s="49" t="n"/>
      <c r="G28" s="49" t="n"/>
    </row>
    <row r="29">
      <c r="A29" s="50" t="inlineStr">
        <is>
          <t>Posicionamento de mercado</t>
        </is>
      </c>
      <c r="B29" s="52" t="inlineStr">
        <is>
          <t>Alto</t>
        </is>
      </c>
    </row>
    <row r="30">
      <c r="A30" s="50" t="inlineStr">
        <is>
          <t>Público-alvo</t>
        </is>
      </c>
      <c r="B30" s="52" t="inlineStr">
        <is>
          <t>Famílias 2ª moradia praia</t>
        </is>
      </c>
    </row>
    <row r="31">
      <c r="A31" s="50" t="inlineStr">
        <is>
          <t>Diferencial competitivo</t>
        </is>
      </c>
      <c r="B31" s="52" t="inlineStr">
        <is>
          <t>Localização Canto Grande + lazer completo</t>
        </is>
      </c>
    </row>
    <row r="32">
      <c r="A32" s="50" t="inlineStr">
        <is>
          <t>Risco principal</t>
        </is>
      </c>
      <c r="B32" s="52" t="inlineStr">
        <is>
          <t>Escala (56 UR em Bombinhas)</t>
        </is>
      </c>
    </row>
    <row r="33">
      <c r="A33" s="50" t="inlineStr">
        <is>
          <t>Observações</t>
        </is>
      </c>
      <c r="B33" s="52" t="n"/>
    </row>
  </sheetData>
  <mergeCells count="1">
    <mergeCell ref="A1:H1"/>
  </mergeCells>
  <conditionalFormatting sqref="F17:F25">
    <cfRule type="expression" priority="1" dxfId="6">
      <formula>NOT(ISERROR(SEARCH("✅",F17)))</formula>
    </cfRule>
    <cfRule type="expression" priority="2" dxfId="7">
      <formula>NOT(ISERROR(SEARCH("⚠️",F17)))</formula>
    </cfRule>
    <cfRule type="expression" priority="3" dxfId="8">
      <formula>NOT(ISERROR(SEARCH("🔽",F17)))</formula>
    </cfRule>
  </conditionalFormatting>
  <dataValidations count="1">
    <dataValidation sqref="B29" showDropDown="0" showInputMessage="0" showErrorMessage="0" allowBlank="1" type="list">
      <formula1>"Econômico,Médio,Alto,Luxo"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5" customWidth="1" min="3" max="3"/>
    <col width="30" customWidth="1" min="4" max="4"/>
    <col width="25" customWidth="1" min="5" max="5"/>
  </cols>
  <sheetData>
    <row r="1">
      <c r="A1" s="1" t="inlineStr">
        <is>
          <t>DADOS DO PROJETO</t>
        </is>
      </c>
    </row>
    <row r="2">
      <c r="A2" s="2" t="inlineStr">
        <is>
          <t>Cartesian Engenharia — Orçamento Paramétrico</t>
        </is>
      </c>
    </row>
    <row r="4">
      <c r="A4" s="3" t="inlineStr">
        <is>
          <t>Nome do Projeto</t>
        </is>
      </c>
      <c r="B4" s="4" t="inlineStr">
        <is>
          <t>Maison Beach</t>
        </is>
      </c>
      <c r="D4" s="3" t="inlineStr">
        <is>
          <t>Prazo (meses)</t>
        </is>
      </c>
      <c r="E4" s="4" t="n">
        <v>42</v>
      </c>
    </row>
    <row r="5">
      <c r="A5" s="3" t="inlineStr">
        <is>
          <t>Código</t>
        </is>
      </c>
      <c r="B5" s="4" t="inlineStr">
        <is>
          <t>CTN-NOB-MSB</t>
        </is>
      </c>
      <c r="D5" s="3" t="inlineStr">
        <is>
          <t>Data-base</t>
        </is>
      </c>
      <c r="E5" s="4" t="inlineStr">
        <is>
          <t>Dez/2023</t>
        </is>
      </c>
    </row>
    <row r="6">
      <c r="A6" s="3" t="inlineStr">
        <is>
          <t>Cidade / UF</t>
        </is>
      </c>
      <c r="B6" s="4" t="inlineStr">
        <is>
          <t>Bombinhas/SC</t>
        </is>
      </c>
      <c r="D6" s="66" t="inlineStr">
        <is>
          <t>CUB Data-base (R$/m²)</t>
        </is>
      </c>
      <c r="E6" s="76" t="n">
        <v>2752.67</v>
      </c>
    </row>
    <row r="7">
      <c r="A7" s="3" t="inlineStr">
        <is>
          <t>Área Construída - AC (m²)</t>
        </is>
      </c>
      <c r="B7" s="5" t="n">
        <v>12879.93</v>
      </c>
      <c r="D7" s="77" t="inlineStr">
        <is>
          <t>CUB Atual (R$/m²)</t>
        </is>
      </c>
      <c r="E7" s="115" t="n">
        <v>3050</v>
      </c>
    </row>
    <row r="8">
      <c r="A8" s="3" t="inlineStr">
        <is>
          <t>Unidades Residenciais (UR)</t>
        </is>
      </c>
      <c r="B8" s="4" t="n">
        <v>58</v>
      </c>
      <c r="D8" s="66" t="inlineStr">
        <is>
          <t>Fator de Atualização</t>
        </is>
      </c>
      <c r="E8" s="116">
        <f>E7/E6</f>
        <v/>
      </c>
    </row>
    <row r="9">
      <c r="A9" s="3" t="inlineStr">
        <is>
          <t>Nº Pavimentos (NP)</t>
        </is>
      </c>
      <c r="B9" s="4" t="n">
        <v>9</v>
      </c>
      <c r="D9" s="67" t="inlineStr">
        <is>
          <t>Tipo de Laje</t>
        </is>
      </c>
      <c r="E9" s="80" t="inlineStr">
        <is>
          <t>Nervurada</t>
        </is>
      </c>
    </row>
    <row r="10">
      <c r="A10" s="3" t="inlineStr">
        <is>
          <t>Nº Pav. Tipo (NPT)</t>
        </is>
      </c>
      <c r="B10" s="4" t="n">
        <v>4</v>
      </c>
      <c r="D10" s="67" t="inlineStr">
        <is>
          <t>Tipo de Fundação</t>
        </is>
      </c>
      <c r="E10" s="67" t="inlineStr">
        <is>
          <t>Hélice contínua</t>
        </is>
      </c>
    </row>
    <row r="11">
      <c r="A11" s="3" t="inlineStr">
        <is>
          <t>Nº Pav. Garagem (NPG)</t>
        </is>
      </c>
      <c r="B11" s="4" t="n">
        <v>2</v>
      </c>
      <c r="D11" s="67" t="inlineStr">
        <is>
          <t>Padrão de Acabamento</t>
        </is>
      </c>
      <c r="E11" s="67" t="inlineStr">
        <is>
          <t>Alto</t>
        </is>
      </c>
    </row>
    <row r="12">
      <c r="A12" s="3" t="inlineStr">
        <is>
          <t>Elevadores</t>
        </is>
      </c>
      <c r="B12" s="4" t="n">
        <v>2</v>
      </c>
    </row>
    <row r="13">
      <c r="A13" s="3" t="inlineStr">
        <is>
          <t>Vagas de Garagem</t>
        </is>
      </c>
      <c r="B13" s="4" t="n">
        <v>92</v>
      </c>
    </row>
    <row r="14">
      <c r="A14" s="3" t="inlineStr">
        <is>
          <t>Área do Terreno - AT (m²)</t>
        </is>
      </c>
      <c r="B14" s="5" t="n">
        <v>3702.26</v>
      </c>
    </row>
    <row r="15">
      <c r="A15" s="6" t="n"/>
    </row>
    <row r="16">
      <c r="A16" s="117" t="inlineStr">
        <is>
          <t>RESUMO GERAL</t>
        </is>
      </c>
      <c r="B16" s="7" t="n"/>
    </row>
    <row r="17">
      <c r="A17" s="3" t="inlineStr">
        <is>
          <t>Custo Total Ajustado (R$)</t>
        </is>
      </c>
      <c r="B17" s="7">
        <f>CUSTOS_MACROGRUPO!J21</f>
        <v/>
      </c>
    </row>
    <row r="18">
      <c r="A18" s="3" t="inlineStr">
        <is>
          <t>R$/m² (Custo/AC)</t>
        </is>
      </c>
      <c r="B18" s="7">
        <f>IF(B7&gt;0,B17/B7,0)</f>
        <v/>
      </c>
    </row>
    <row r="19">
      <c r="A19" s="3" t="inlineStr">
        <is>
          <t>CUB Ratio</t>
        </is>
      </c>
      <c r="B19" s="8">
        <f>IF(E7&gt;0,B18/E7,0)</f>
        <v/>
      </c>
    </row>
    <row r="21">
      <c r="A21" s="139" t="inlineStr">
        <is>
          <t>DADOS COMPLEMENTARES</t>
        </is>
      </c>
    </row>
    <row r="22">
      <c r="A22" s="132" t="inlineStr">
        <is>
          <t>APT - Área Projeção Torre (m²)</t>
        </is>
      </c>
      <c r="B22" s="140" t="n">
        <v>1795</v>
      </c>
    </row>
    <row r="23">
      <c r="A23" s="132" t="inlineStr">
        <is>
          <t>PPT - Perímetro Projeção Torre (m)</t>
        </is>
      </c>
      <c r="B23" s="140" t="n">
        <v>191.4</v>
      </c>
    </row>
    <row r="24">
      <c r="A24" s="132" t="inlineStr">
        <is>
          <t>APE - Área Projeção Embasamento (m²)</t>
        </is>
      </c>
      <c r="B24" s="140" t="n">
        <v>2400</v>
      </c>
    </row>
    <row r="25">
      <c r="A25" s="132" t="inlineStr">
        <is>
          <t>PPE - Perímetro Projeção Embasamento (m)</t>
        </is>
      </c>
      <c r="B25" s="140" t="n">
        <v>208</v>
      </c>
    </row>
    <row r="26">
      <c r="A26" s="132" t="inlineStr">
        <is>
          <t>NPD - Pav. Tipo Diferenciados</t>
        </is>
      </c>
      <c r="B26" s="140" t="n">
        <v>1</v>
      </c>
    </row>
    <row r="27">
      <c r="A27" s="132" t="inlineStr">
        <is>
          <t>Área de Lazer (m²)</t>
        </is>
      </c>
      <c r="B27" s="130" t="inlineStr"/>
    </row>
    <row r="28">
      <c r="A28" s="132" t="inlineStr">
        <is>
          <t>BDI - Bonif. Desp. Indiretas</t>
        </is>
      </c>
      <c r="B28" s="141" t="n">
        <v>1.1</v>
      </c>
    </row>
  </sheetData>
  <mergeCells count="4">
    <mergeCell ref="A1:D1"/>
    <mergeCell ref="A21:B21"/>
    <mergeCell ref="A2:D2"/>
    <mergeCell ref="A15:B15"/>
  </mergeCells>
  <dataValidations count="3">
    <dataValidation sqref="E9" showDropDown="0" showInputMessage="0" showErrorMessage="0" allowBlank="1" type="list">
      <formula1>"Nervurada,Maciça,Mista,Protendida"</formula1>
    </dataValidation>
    <dataValidation sqref="E10" showDropDown="0" showInputMessage="0" showErrorMessage="0" allowBlank="1" type="list">
      <formula1>"Hélice Contínua,Estaca Raiz,Sapata,Radier,Tubulão"</formula1>
    </dataValidation>
    <dataValidation sqref="E11" showDropDown="0" showInputMessage="0" showErrorMessage="0" allowBlank="1" type="list">
      <formula1>"Econômico,Médio,Médio-Alto,Alto,Super Alto"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4" customWidth="1" min="4" max="4"/>
    <col width="10" customWidth="1" min="5" max="5"/>
    <col width="18" customWidth="1" min="6" max="6"/>
    <col width="18" customWidth="1" min="7" max="7"/>
    <col width="12" customWidth="1" min="8" max="8"/>
    <col width="15" customWidth="1" min="9" max="9"/>
    <col width="18" customWidth="1" min="10" max="10"/>
  </cols>
  <sheetData>
    <row r="1">
      <c r="A1" s="9" t="inlineStr">
        <is>
          <t>CUSTOS POR MACROGRUPO</t>
        </is>
      </c>
    </row>
    <row r="2">
      <c r="A2" s="10" t="inlineStr">
        <is>
          <t>#</t>
        </is>
      </c>
      <c r="B2" s="10" t="inlineStr">
        <is>
          <t>Macrogrupo</t>
        </is>
      </c>
      <c r="C2" s="10" t="inlineStr">
        <is>
          <t>Valor Base Dez/23 (R$)</t>
        </is>
      </c>
      <c r="D2" s="10" t="inlineStr">
        <is>
          <t>R$/m²</t>
        </is>
      </c>
      <c r="E2" s="10" t="inlineStr">
        <is>
          <t>%</t>
        </is>
      </c>
      <c r="F2" s="10" t="inlineStr">
        <is>
          <t>Faixa Min (R$/m²)</t>
        </is>
      </c>
      <c r="G2" s="10" t="inlineStr">
        <is>
          <t>Faixa Max (R$/m²)</t>
        </is>
      </c>
      <c r="H2" s="10" t="inlineStr">
        <is>
          <t>Status</t>
        </is>
      </c>
      <c r="I2" s="39" t="inlineStr">
        <is>
          <t>Fator Briefing</t>
        </is>
      </c>
      <c r="J2" s="40" t="inlineStr">
        <is>
          <t>Valor Ajustado (R$)</t>
        </is>
      </c>
    </row>
    <row r="3">
      <c r="A3" s="11" t="n">
        <v>1</v>
      </c>
      <c r="B3" s="11" t="inlineStr">
        <is>
          <t>Gerenciamento Técnico/Admin</t>
        </is>
      </c>
      <c r="C3" s="5" t="n">
        <v>4783063.35</v>
      </c>
      <c r="D3" s="7">
        <f>IF(DADOS_PROJETO!B7&gt;0,J3/DADOS_PROJETO!B7,0)</f>
        <v/>
      </c>
      <c r="E3" s="12">
        <f>IF(J$21&gt;0,J3/J$21,0)</f>
        <v/>
      </c>
      <c r="F3" s="5" t="n">
        <v>194</v>
      </c>
      <c r="G3" s="5" t="n">
        <v>475</v>
      </c>
      <c r="H3" s="13">
        <f>IF(C3=0,"",IF(AND(D3&gt;=F3,D3&lt;=G3),"✅ OK",IF(OR(D3&lt;F3*0.85,D3&gt;G3*1.15),"🔴 CRÍTICO","⚠️ ATENÇÃO")))</f>
        <v/>
      </c>
      <c r="I3" s="41">
        <f>BRIEFING!F28*BRIEFING!F29</f>
        <v/>
      </c>
      <c r="J3" s="42">
        <f>C3*DADOS_PROJETO!$E$8*I3</f>
        <v/>
      </c>
    </row>
    <row r="4">
      <c r="A4" s="11" t="n">
        <v>2</v>
      </c>
      <c r="B4" s="11" t="inlineStr">
        <is>
          <t>Movimentação de Terra</t>
        </is>
      </c>
      <c r="C4" s="5" t="n">
        <v>158777.73</v>
      </c>
      <c r="D4" s="7">
        <f>IF(DADOS_PROJETO!B7&gt;0,J4/DADOS_PROJETO!B7,0)</f>
        <v/>
      </c>
      <c r="E4" s="12">
        <f>IF(J$21&gt;0,J4/J$21,0)</f>
        <v/>
      </c>
      <c r="F4" s="5" t="n">
        <v>9</v>
      </c>
      <c r="G4" s="5" t="n">
        <v>76</v>
      </c>
      <c r="H4" s="13">
        <f>IF(C4=0,"",IF(AND(D4&gt;=F4,D4&lt;=G4),"✅ OK",IF(OR(D4&lt;F4*0.85,D4&gt;G4*1.15),"🔴 CRÍTICO","⚠️ ATENÇÃO")))</f>
        <v/>
      </c>
      <c r="I4" s="41">
        <f>BRIEFING!F8</f>
        <v/>
      </c>
      <c r="J4" s="42">
        <f>C4*DADOS_PROJETO!$E$8*I4</f>
        <v/>
      </c>
    </row>
    <row r="5">
      <c r="A5" s="11" t="n">
        <v>3</v>
      </c>
      <c r="B5" s="11" t="inlineStr">
        <is>
          <t>Infraestrutura</t>
        </is>
      </c>
      <c r="C5" s="5" t="n">
        <v>2904485.04</v>
      </c>
      <c r="D5" s="7">
        <f>IF(DADOS_PROJETO!B7&gt;0,J5/DADOS_PROJETO!B7,0)</f>
        <v/>
      </c>
      <c r="E5" s="12">
        <f>IF(J$21&gt;0,J5/J$21,0)</f>
        <v/>
      </c>
      <c r="F5" s="5" t="n">
        <v>172</v>
      </c>
      <c r="G5" s="5" t="n">
        <v>249</v>
      </c>
      <c r="H5" s="13">
        <f>IF(C5=0,"",IF(AND(D5&gt;=F5,D5&lt;=G5),"✅ OK",IF(OR(D5&lt;F5*0.85,D5&gt;G5*1.15),"🔴 CRÍTICO","⚠️ ATENÇÃO")))</f>
        <v/>
      </c>
      <c r="I5" s="41">
        <f>BRIEFING!F5*BRIEFING!F7*BRIEFING!F8</f>
        <v/>
      </c>
      <c r="J5" s="42">
        <f>C5*DADOS_PROJETO!$E$8*I5</f>
        <v/>
      </c>
    </row>
    <row r="6">
      <c r="A6" s="11" t="n">
        <v>4</v>
      </c>
      <c r="B6" s="11" t="inlineStr">
        <is>
          <t>Supraestrutura</t>
        </is>
      </c>
      <c r="C6" s="5" t="n">
        <v>8919704.720000001</v>
      </c>
      <c r="D6" s="7">
        <f>IF(DADOS_PROJETO!B7&gt;0,J6/DADOS_PROJETO!B7,0)</f>
        <v/>
      </c>
      <c r="E6" s="12">
        <f>IF(J$21&gt;0,J6/J$21,0)</f>
        <v/>
      </c>
      <c r="F6" s="5" t="n">
        <v>0</v>
      </c>
      <c r="G6" s="5" t="n">
        <v>766</v>
      </c>
      <c r="H6" s="13">
        <f>IF(C6=0,"",IF(AND(D6&gt;=F6,D6&lt;=G6),"✅ OK",IF(OR(D6&lt;F6*0.85,D6&gt;G6*1.15),"🔴 CRÍTICO","⚠️ ATENÇÃO")))</f>
        <v/>
      </c>
      <c r="I6" s="41">
        <f>BRIEFING!F6</f>
        <v/>
      </c>
      <c r="J6" s="42">
        <f>C6*DADOS_PROJETO!$E$8*I6</f>
        <v/>
      </c>
    </row>
    <row r="7">
      <c r="A7" s="11" t="n">
        <v>5</v>
      </c>
      <c r="B7" s="11" t="inlineStr">
        <is>
          <t>Alvenaria</t>
        </is>
      </c>
      <c r="C7" s="5" t="n">
        <v>1915290.1</v>
      </c>
      <c r="D7" s="7">
        <f>IF(DADOS_PROJETO!B7&gt;0,J7/DADOS_PROJETO!B7,0)</f>
        <v/>
      </c>
      <c r="E7" s="12">
        <f>IF(J$21&gt;0,J7/J$21,0)</f>
        <v/>
      </c>
      <c r="F7" s="5" t="n">
        <v>133</v>
      </c>
      <c r="G7" s="5" t="n">
        <v>262</v>
      </c>
      <c r="H7" s="13">
        <f>IF(C7=0,"",IF(AND(D7&gt;=F7,D7&lt;=G7),"✅ OK",IF(OR(D7&lt;F7*0.85,D7&gt;G7*1.15),"🔴 CRÍTICO","⚠️ ATENÇÃO")))</f>
        <v/>
      </c>
      <c r="I7" s="41">
        <f>BRIEFING!F13</f>
        <v/>
      </c>
      <c r="J7" s="42">
        <f>C7*DADOS_PROJETO!$E$8*I7</f>
        <v/>
      </c>
    </row>
    <row r="8">
      <c r="A8" s="11" t="n">
        <v>6</v>
      </c>
      <c r="B8" s="11" t="inlineStr">
        <is>
          <t>Impermeabilização</t>
        </is>
      </c>
      <c r="C8" s="5" t="n">
        <v>640539.77</v>
      </c>
      <c r="D8" s="7">
        <f>IF(DADOS_PROJETO!B7&gt;0,J8/DADOS_PROJETO!B7,0)</f>
        <v/>
      </c>
      <c r="E8" s="12">
        <f>IF(J$21&gt;0,J8/J$21,0)</f>
        <v/>
      </c>
      <c r="F8" s="5" t="n">
        <v>39</v>
      </c>
      <c r="G8" s="5" t="n">
        <v>73</v>
      </c>
      <c r="H8" s="13">
        <f>IF(C8=0,"",IF(AND(D8&gt;=F8,D8&lt;=G8),"✅ OK",IF(OR(D8&lt;F8*0.85,D8&gt;G8*1.15),"🔴 CRÍTICO","⚠️ ATENÇÃO")))</f>
        <v/>
      </c>
      <c r="I8" s="41">
        <f>AVERAGE(BRIEFING!F8,BRIEFING!F18)</f>
        <v/>
      </c>
      <c r="J8" s="42">
        <f>C8*DADOS_PROJETO!$E$8*I8</f>
        <v/>
      </c>
    </row>
    <row r="9">
      <c r="A9" s="11" t="n">
        <v>7</v>
      </c>
      <c r="B9" s="11" t="inlineStr">
        <is>
          <t>Instalações (agrupado)</t>
        </is>
      </c>
      <c r="C9" s="5" t="n">
        <v>4594514.52</v>
      </c>
      <c r="D9" s="7">
        <f>IF(DADOS_PROJETO!B7&gt;0,J9/DADOS_PROJETO!B7,0)</f>
        <v/>
      </c>
      <c r="E9" s="12">
        <f>IF(J$21&gt;0,J9/J$21,0)</f>
        <v/>
      </c>
      <c r="F9" s="5" t="n">
        <v>335</v>
      </c>
      <c r="G9" s="5" t="n">
        <v>393</v>
      </c>
      <c r="H9" s="13">
        <f>IF(C9=0,"",IF(AND(D9&gt;=F9,D9&lt;=G9),"✅ OK",IF(OR(D9&lt;F9*0.85,D9&gt;G9*1.15),"🔴 CRÍTICO","⚠️ ATENÇÃO")))</f>
        <v/>
      </c>
      <c r="I9" s="41">
        <f>BRIEFING!F20*BRIEFING!F34*BRIEFING!F35</f>
        <v/>
      </c>
      <c r="J9" s="42">
        <f>C9*DADOS_PROJETO!$E$8*I9</f>
        <v/>
      </c>
    </row>
    <row r="10">
      <c r="A10" s="11" t="n">
        <v>8</v>
      </c>
      <c r="B10" s="11" t="inlineStr">
        <is>
          <t>Sistemas Especiais</t>
        </is>
      </c>
      <c r="C10" s="5" t="n">
        <v>2404559.02</v>
      </c>
      <c r="D10" s="7">
        <f>IF(DADOS_PROJETO!B7&gt;0,J10/DADOS_PROJETO!B7,0)</f>
        <v/>
      </c>
      <c r="E10" s="12">
        <f>IF(J$21&gt;0,J10/J$21,0)</f>
        <v/>
      </c>
      <c r="F10" s="5" t="n">
        <v>159</v>
      </c>
      <c r="G10" s="5" t="n">
        <v>237</v>
      </c>
      <c r="H10" s="13">
        <f>IF(C10=0,"",IF(AND(D10&gt;=F10,D10&lt;=G10),"✅ OK",IF(OR(D10&lt;F10*0.85,D10&gt;G10*1.15),"🔴 CRÍTICO","⚠️ ATENÇÃO")))</f>
        <v/>
      </c>
      <c r="I10" s="41">
        <f>AVERAGE(BRIEFING!F21,BRIEFING!F22,BRIEFING!F24)*BRIEFING!F31*BRIEFING!F32*BRIEFING!F33</f>
        <v/>
      </c>
      <c r="J10" s="42">
        <f>C10*DADOS_PROJETO!$E$8*I10</f>
        <v/>
      </c>
    </row>
    <row r="11">
      <c r="A11" s="11" t="n">
        <v>9</v>
      </c>
      <c r="B11" s="11" t="inlineStr">
        <is>
          <t>Climatização (incluso em Sist. Especiais)</t>
        </is>
      </c>
      <c r="C11" s="5" t="n">
        <v>0</v>
      </c>
      <c r="D11" s="7">
        <f>IF(DADOS_PROJETO!B7&gt;0,J11/DADOS_PROJETO!B7,0)</f>
        <v/>
      </c>
      <c r="E11" s="12">
        <f>IF(J$21&gt;0,J11/J$21,0)</f>
        <v/>
      </c>
      <c r="F11" s="5" t="n">
        <v>0</v>
      </c>
      <c r="G11" s="5" t="n">
        <v>0</v>
      </c>
      <c r="H11" s="13">
        <f>IF(C11=0,"",IF(AND(D11&gt;=F11,D11&lt;=G11),"✅ OK",IF(OR(D11&lt;F11*0.85,D11&gt;G11*1.15),"🔴 CRÍTICO","⚠️ ATENÇÃO")))</f>
        <v/>
      </c>
      <c r="I11" s="41">
        <f>1</f>
        <v/>
      </c>
      <c r="J11" s="42">
        <f>C11*DADOS_PROJETO!$E$8*I11</f>
        <v/>
      </c>
    </row>
    <row r="12">
      <c r="A12" s="11" t="n">
        <v>10</v>
      </c>
      <c r="B12" s="11" t="inlineStr">
        <is>
          <t>Rev. Internos Parede</t>
        </is>
      </c>
      <c r="C12" s="5" t="n">
        <v>2213445.69</v>
      </c>
      <c r="D12" s="7">
        <f>IF(DADOS_PROJETO!B7&gt;0,J12/DADOS_PROJETO!B7,0)</f>
        <v/>
      </c>
      <c r="E12" s="12">
        <f>IF(J$21&gt;0,J12/J$21,0)</f>
        <v/>
      </c>
      <c r="F12" s="5" t="n">
        <v>109</v>
      </c>
      <c r="G12" s="5" t="n">
        <v>217</v>
      </c>
      <c r="H12" s="13">
        <f>IF(C12=0,"",IF(AND(D12&gt;=F12,D12&lt;=G12),"✅ OK",IF(OR(D12&lt;F12*0.85,D12&gt;G12*1.15),"🔴 CRÍTICO","⚠️ ATENÇÃO")))</f>
        <v/>
      </c>
      <c r="I12" s="41">
        <f>BRIEFING!F10</f>
        <v/>
      </c>
      <c r="J12" s="42">
        <f>C12*DADOS_PROJETO!$E$8*I12</f>
        <v/>
      </c>
    </row>
    <row r="13">
      <c r="A13" s="11" t="n">
        <v>11</v>
      </c>
      <c r="B13" s="11" t="inlineStr">
        <is>
          <t>Teto</t>
        </is>
      </c>
      <c r="C13" s="5" t="n">
        <v>869940.8199999999</v>
      </c>
      <c r="D13" s="7">
        <f>IF(DADOS_PROJETO!B7&gt;0,J13/DADOS_PROJETO!B7,0)</f>
        <v/>
      </c>
      <c r="E13" s="12">
        <f>IF(J$21&gt;0,J13/J$21,0)</f>
        <v/>
      </c>
      <c r="F13" s="5" t="n">
        <v>45</v>
      </c>
      <c r="G13" s="5" t="n">
        <v>112</v>
      </c>
      <c r="H13" s="13">
        <f>IF(C13=0,"",IF(AND(D13&gt;=F13,D13&lt;=G13),"✅ OK",IF(OR(D13&lt;F13*0.85,D13&gt;G13*1.15),"🔴 CRÍTICO","⚠️ ATENÇÃO")))</f>
        <v/>
      </c>
      <c r="I13" s="41">
        <f>BRIEFING!F14</f>
        <v/>
      </c>
      <c r="J13" s="42">
        <f>C13*DADOS_PROJETO!$E$8*I13</f>
        <v/>
      </c>
    </row>
    <row r="14">
      <c r="A14" s="11" t="n">
        <v>12</v>
      </c>
      <c r="B14" s="11" t="inlineStr">
        <is>
          <t>Pisos</t>
        </is>
      </c>
      <c r="C14" s="5" t="n">
        <v>2392311.07</v>
      </c>
      <c r="D14" s="7">
        <f>IF(DADOS_PROJETO!B7&gt;0,J14/DADOS_PROJETO!B7,0)</f>
        <v/>
      </c>
      <c r="E14" s="12">
        <f>IF(J$21&gt;0,J14/J$21,0)</f>
        <v/>
      </c>
      <c r="F14" s="5" t="n">
        <v>155</v>
      </c>
      <c r="G14" s="5" t="n">
        <v>211</v>
      </c>
      <c r="H14" s="13">
        <f>IF(C14=0,"",IF(AND(D14&gt;=F14,D14&lt;=G14),"✅ OK",IF(OR(D14&lt;F14*0.85,D14&gt;G14*1.15),"🔴 CRÍTICO","⚠️ ATENÇÃO")))</f>
        <v/>
      </c>
      <c r="I14" s="41">
        <f>BRIEFING!F10*BRIEFING!F12</f>
        <v/>
      </c>
      <c r="J14" s="42">
        <f>C14*DADOS_PROJETO!$E$8*I14</f>
        <v/>
      </c>
    </row>
    <row r="15">
      <c r="A15" s="11" t="n">
        <v>13</v>
      </c>
      <c r="B15" s="11" t="inlineStr">
        <is>
          <t>Pintura</t>
        </is>
      </c>
      <c r="C15" s="5" t="n">
        <v>1944390.77</v>
      </c>
      <c r="D15" s="7">
        <f>IF(DADOS_PROJETO!B7&gt;0,J15/DADOS_PROJETO!B7,0)</f>
        <v/>
      </c>
      <c r="E15" s="12">
        <f>IF(J$21&gt;0,J15/J$21,0)</f>
        <v/>
      </c>
      <c r="F15" s="5" t="n">
        <v>109</v>
      </c>
      <c r="G15" s="5" t="n">
        <v>180</v>
      </c>
      <c r="H15" s="13">
        <f>IF(C15=0,"",IF(AND(D15&gt;=F15,D15&lt;=G15),"✅ OK",IF(OR(D15&lt;F15*0.85,D15&gt;G15*1.15),"🔴 CRÍTICO","⚠️ ATENÇÃO")))</f>
        <v/>
      </c>
      <c r="I15" s="41">
        <f>1</f>
        <v/>
      </c>
      <c r="J15" s="42">
        <f>C15*DADOS_PROJETO!$E$8*I15</f>
        <v/>
      </c>
    </row>
    <row r="16">
      <c r="A16" s="11" t="n">
        <v>14</v>
      </c>
      <c r="B16" s="11" t="inlineStr">
        <is>
          <t>Esquadrias</t>
        </is>
      </c>
      <c r="C16" s="5" t="n">
        <v>4585715</v>
      </c>
      <c r="D16" s="7">
        <f>IF(DADOS_PROJETO!B7&gt;0,J16/DADOS_PROJETO!B7,0)</f>
        <v/>
      </c>
      <c r="E16" s="12">
        <f>IF(J$21&gt;0,J16/J$21,0)</f>
        <v/>
      </c>
      <c r="F16" s="5" t="n">
        <v>284</v>
      </c>
      <c r="G16" s="5" t="n">
        <v>518</v>
      </c>
      <c r="H16" s="13">
        <f>IF(C16=0,"",IF(AND(D16&gt;=F16,D16&lt;=G16),"✅ OK",IF(OR(D16&lt;F16*0.85,D16&gt;G16*1.15),"🔴 CRÍTICO","⚠️ ATENÇÃO")))</f>
        <v/>
      </c>
      <c r="I16" s="41">
        <f>BRIEFING!F10*BRIEFING!F11</f>
        <v/>
      </c>
      <c r="J16" s="42">
        <f>C16*DADOS_PROJETO!$E$8*I16</f>
        <v/>
      </c>
    </row>
    <row r="17">
      <c r="A17" s="11" t="n">
        <v>15</v>
      </c>
      <c r="B17" s="11" t="inlineStr">
        <is>
          <t>Louças e Metais (incluso em Complementares)</t>
        </is>
      </c>
      <c r="C17" s="5" t="n">
        <v>0</v>
      </c>
      <c r="D17" s="7">
        <f>IF(DADOS_PROJETO!B7&gt;0,J17/DADOS_PROJETO!B7,0)</f>
        <v/>
      </c>
      <c r="E17" s="12">
        <f>IF(J$21&gt;0,J17/J$21,0)</f>
        <v/>
      </c>
      <c r="F17" s="5" t="n">
        <v>0</v>
      </c>
      <c r="G17" s="5" t="n">
        <v>0</v>
      </c>
      <c r="H17" s="13">
        <f>IF(C17=0,"",IF(AND(D17&gt;=F17,D17&lt;=G17),"✅ OK",IF(OR(D17&lt;F17*0.85,D17&gt;G17*1.15),"🔴 CRÍTICO","⚠️ ATENÇÃO")))</f>
        <v/>
      </c>
      <c r="I17" s="41">
        <f>1</f>
        <v/>
      </c>
      <c r="J17" s="42">
        <f>C17*DADOS_PROJETO!$E$8*I17</f>
        <v/>
      </c>
    </row>
    <row r="18">
      <c r="A18" s="11" t="n">
        <v>16</v>
      </c>
      <c r="B18" s="11" t="inlineStr">
        <is>
          <t>Fachada</t>
        </is>
      </c>
      <c r="C18" s="5" t="n">
        <v>2075062.23</v>
      </c>
      <c r="D18" s="7">
        <f>IF(DADOS_PROJETO!B7&gt;0,J18/DADOS_PROJETO!B7,0)</f>
        <v/>
      </c>
      <c r="E18" s="12">
        <f>IF(J$21&gt;0,J18/J$21,0)</f>
        <v/>
      </c>
      <c r="F18" s="5" t="n">
        <v>70</v>
      </c>
      <c r="G18" s="5" t="n">
        <v>259</v>
      </c>
      <c r="H18" s="13">
        <f>IF(C18=0,"",IF(AND(D18&gt;=F18,D18&lt;=G18),"✅ OK",IF(OR(D18&lt;F18*0.85,D18&gt;G18*1.15),"🔴 CRÍTICO","⚠️ ATENÇÃO")))</f>
        <v/>
      </c>
      <c r="I18" s="41">
        <f>BRIEFING!F16*BRIEFING!F17</f>
        <v/>
      </c>
      <c r="J18" s="42">
        <f>C18*DADOS_PROJETO!$E$8*I18</f>
        <v/>
      </c>
    </row>
    <row r="19">
      <c r="A19" s="11" t="n">
        <v>17</v>
      </c>
      <c r="B19" s="11" t="inlineStr">
        <is>
          <t>Complementares + Cobertura</t>
        </is>
      </c>
      <c r="C19" s="5" t="n">
        <v>2585902.22</v>
      </c>
      <c r="D19" s="7">
        <f>IF(DADOS_PROJETO!B7&gt;0,J19/DADOS_PROJETO!B7,0)</f>
        <v/>
      </c>
      <c r="E19" s="12">
        <f>IF(J$21&gt;0,J19/J$21,0)</f>
        <v/>
      </c>
      <c r="F19" s="5" t="n">
        <v>157</v>
      </c>
      <c r="G19" s="5" t="n">
        <v>259</v>
      </c>
      <c r="H19" s="13">
        <f>IF(C19=0,"",IF(AND(D19&gt;=F19,D19&lt;=G19),"✅ OK",IF(OR(D19&lt;F19*0.85,D19&gt;G19*1.15),"🔴 CRÍTICO","⚠️ ATENÇÃO")))</f>
        <v/>
      </c>
      <c r="I19" s="41">
        <f>AVERAGE(BRIEFING!F18,BRIEFING!F24,BRIEFING!F25,BRIEFING!F26)</f>
        <v/>
      </c>
      <c r="J19" s="42">
        <f>C19*DADOS_PROJETO!$E$8*I19</f>
        <v/>
      </c>
    </row>
    <row r="20">
      <c r="A20" s="11" t="n">
        <v>18</v>
      </c>
      <c r="B20" s="11" t="inlineStr">
        <is>
          <t>Imprevistos</t>
        </is>
      </c>
      <c r="C20" s="5" t="n">
        <v>1319153.96</v>
      </c>
      <c r="D20" s="7">
        <f>IF(DADOS_PROJETO!B7&gt;0,J20/DADOS_PROJETO!B7,0)</f>
        <v/>
      </c>
      <c r="E20" s="12">
        <f>IF(J$21&gt;0,J20/J$21,0)</f>
        <v/>
      </c>
      <c r="F20" s="5" t="n">
        <v>54</v>
      </c>
      <c r="G20" s="5" t="n">
        <v>118</v>
      </c>
      <c r="H20" s="13">
        <f>IF(C20=0,"",IF(AND(D20&gt;=F20,D20&lt;=G20),"✅ OK",IF(OR(D20&lt;F20*0.85,D20&gt;G20*1.15),"🔴 CRÍTICO","⚠️ ATENÇÃO")))</f>
        <v/>
      </c>
      <c r="I20" s="41">
        <f>1</f>
        <v/>
      </c>
      <c r="J20" s="42">
        <f>C20*DADOS_PROJETO!$E$8*I20</f>
        <v/>
      </c>
    </row>
    <row r="21">
      <c r="A21" s="14" t="inlineStr">
        <is>
          <t>TOTAL</t>
        </is>
      </c>
      <c r="B21" s="18" t="n"/>
      <c r="C21" s="16">
        <f>SUM(C3:C20)</f>
        <v/>
      </c>
      <c r="D21" s="16">
        <f>IF(DADOS_PROJETO!B7&gt;0,J21/DADOS_PROJETO!B7,0)</f>
        <v/>
      </c>
      <c r="E21" s="17">
        <f>SUM(E3:E20)</f>
        <v/>
      </c>
      <c r="F21" s="15" t="n"/>
      <c r="G21" s="15" t="n"/>
      <c r="H21" s="15" t="n"/>
      <c r="I21" s="43" t="inlineStr"/>
      <c r="J21" s="44">
        <f>SUM(J3:J20)</f>
        <v/>
      </c>
    </row>
    <row r="23">
      <c r="A23" s="3" t="inlineStr">
        <is>
          <t>CUB Ratio (R$/m² ÷ CUB ref)</t>
        </is>
      </c>
      <c r="B23" s="18" t="n"/>
      <c r="C23" s="8">
        <f>IF(DADOS_PROJETO!E7&gt;0,D21/DADOS_PROJETO!E7,0)</f>
        <v/>
      </c>
    </row>
  </sheetData>
  <mergeCells count="3">
    <mergeCell ref="A21:B21"/>
    <mergeCell ref="A23:B23"/>
    <mergeCell ref="A1:H1"/>
  </mergeCells>
  <conditionalFormatting sqref="H3:H20">
    <cfRule type="expression" priority="1" dxfId="0">
      <formula>SEARCH("OK",H3)&gt;0</formula>
    </cfRule>
    <cfRule type="expression" priority="2" dxfId="1">
      <formula>SEARCH("ATENÇÃO",H3)&gt;0</formula>
    </cfRule>
    <cfRule type="expression" priority="3" dxfId="2">
      <formula>SEARCH("CRÍTICO",H3)&gt;0</formula>
    </cfRule>
  </conditionalFormatting>
  <conditionalFormatting sqref="D3">
    <cfRule type="expression" priority="4" dxfId="3">
      <formula>OR(D3&lt;F3*0.85,D3&gt;G3*1.15)</formula>
    </cfRule>
    <cfRule type="expression" priority="5" dxfId="4">
      <formula>OR(D3&lt;F3,D3&gt;G3)</formula>
    </cfRule>
  </conditionalFormatting>
  <conditionalFormatting sqref="D4">
    <cfRule type="expression" priority="6" dxfId="3">
      <formula>OR(D4&lt;F4*0.85,D4&gt;G4*1.15)</formula>
    </cfRule>
    <cfRule type="expression" priority="7" dxfId="4">
      <formula>OR(D4&lt;F4,D4&gt;G4)</formula>
    </cfRule>
  </conditionalFormatting>
  <conditionalFormatting sqref="D5">
    <cfRule type="expression" priority="8" dxfId="3">
      <formula>OR(D5&lt;F5*0.85,D5&gt;G5*1.15)</formula>
    </cfRule>
    <cfRule type="expression" priority="9" dxfId="4">
      <formula>OR(D5&lt;F5,D5&gt;G5)</formula>
    </cfRule>
  </conditionalFormatting>
  <conditionalFormatting sqref="D6">
    <cfRule type="expression" priority="10" dxfId="3">
      <formula>OR(D6&lt;F6*0.85,D6&gt;G6*1.15)</formula>
    </cfRule>
    <cfRule type="expression" priority="11" dxfId="4">
      <formula>OR(D6&lt;F6,D6&gt;G6)</formula>
    </cfRule>
  </conditionalFormatting>
  <conditionalFormatting sqref="D7">
    <cfRule type="expression" priority="12" dxfId="3">
      <formula>OR(D7&lt;F7*0.85,D7&gt;G7*1.15)</formula>
    </cfRule>
    <cfRule type="expression" priority="13" dxfId="4">
      <formula>OR(D7&lt;F7,D7&gt;G7)</formula>
    </cfRule>
  </conditionalFormatting>
  <conditionalFormatting sqref="D8">
    <cfRule type="expression" priority="14" dxfId="3">
      <formula>OR(D8&lt;F8*0.85,D8&gt;G8*1.15)</formula>
    </cfRule>
    <cfRule type="expression" priority="15" dxfId="4">
      <formula>OR(D8&lt;F8,D8&gt;G8)</formula>
    </cfRule>
  </conditionalFormatting>
  <conditionalFormatting sqref="D9">
    <cfRule type="expression" priority="16" dxfId="3">
      <formula>OR(D9&lt;F9*0.85,D9&gt;G9*1.15)</formula>
    </cfRule>
    <cfRule type="expression" priority="17" dxfId="4">
      <formula>OR(D9&lt;F9,D9&gt;G9)</formula>
    </cfRule>
  </conditionalFormatting>
  <conditionalFormatting sqref="D10">
    <cfRule type="expression" priority="18" dxfId="3">
      <formula>OR(D10&lt;F10*0.85,D10&gt;G10*1.15)</formula>
    </cfRule>
    <cfRule type="expression" priority="19" dxfId="4">
      <formula>OR(D10&lt;F10,D10&gt;G10)</formula>
    </cfRule>
  </conditionalFormatting>
  <conditionalFormatting sqref="D11">
    <cfRule type="expression" priority="20" dxfId="3">
      <formula>OR(D11&lt;F11*0.85,D11&gt;G11*1.15)</formula>
    </cfRule>
    <cfRule type="expression" priority="21" dxfId="4">
      <formula>OR(D11&lt;F11,D11&gt;G11)</formula>
    </cfRule>
  </conditionalFormatting>
  <conditionalFormatting sqref="D12">
    <cfRule type="expression" priority="22" dxfId="3">
      <formula>OR(D12&lt;F12*0.85,D12&gt;G12*1.15)</formula>
    </cfRule>
    <cfRule type="expression" priority="23" dxfId="4">
      <formula>OR(D12&lt;F12,D12&gt;G12)</formula>
    </cfRule>
  </conditionalFormatting>
  <conditionalFormatting sqref="D13">
    <cfRule type="expression" priority="24" dxfId="3">
      <formula>OR(D13&lt;F13*0.85,D13&gt;G13*1.15)</formula>
    </cfRule>
    <cfRule type="expression" priority="25" dxfId="4">
      <formula>OR(D13&lt;F13,D13&gt;G13)</formula>
    </cfRule>
  </conditionalFormatting>
  <conditionalFormatting sqref="D14">
    <cfRule type="expression" priority="26" dxfId="3">
      <formula>OR(D14&lt;F14*0.85,D14&gt;G14*1.15)</formula>
    </cfRule>
    <cfRule type="expression" priority="27" dxfId="4">
      <formula>OR(D14&lt;F14,D14&gt;G14)</formula>
    </cfRule>
  </conditionalFormatting>
  <conditionalFormatting sqref="D15">
    <cfRule type="expression" priority="28" dxfId="3">
      <formula>OR(D15&lt;F15*0.85,D15&gt;G15*1.15)</formula>
    </cfRule>
    <cfRule type="expression" priority="29" dxfId="4">
      <formula>OR(D15&lt;F15,D15&gt;G15)</formula>
    </cfRule>
  </conditionalFormatting>
  <conditionalFormatting sqref="D16">
    <cfRule type="expression" priority="30" dxfId="3">
      <formula>OR(D16&lt;F16*0.85,D16&gt;G16*1.15)</formula>
    </cfRule>
    <cfRule type="expression" priority="31" dxfId="4">
      <formula>OR(D16&lt;F16,D16&gt;G16)</formula>
    </cfRule>
  </conditionalFormatting>
  <conditionalFormatting sqref="D17">
    <cfRule type="expression" priority="32" dxfId="3">
      <formula>OR(D17&lt;F17*0.85,D17&gt;G17*1.15)</formula>
    </cfRule>
    <cfRule type="expression" priority="33" dxfId="4">
      <formula>OR(D17&lt;F17,D17&gt;G17)</formula>
    </cfRule>
  </conditionalFormatting>
  <conditionalFormatting sqref="D18">
    <cfRule type="expression" priority="34" dxfId="3">
      <formula>OR(D18&lt;F18*0.85,D18&gt;G18*1.15)</formula>
    </cfRule>
    <cfRule type="expression" priority="35" dxfId="4">
      <formula>OR(D18&lt;F18,D18&gt;G18)</formula>
    </cfRule>
  </conditionalFormatting>
  <conditionalFormatting sqref="D19">
    <cfRule type="expression" priority="36" dxfId="3">
      <formula>OR(D19&lt;F19*0.85,D19&gt;G19*1.15)</formula>
    </cfRule>
    <cfRule type="expression" priority="37" dxfId="4">
      <formula>OR(D19&lt;F19,D19&gt;G19)</formula>
    </cfRule>
  </conditionalFormatting>
  <conditionalFormatting sqref="D20">
    <cfRule type="expression" priority="38" dxfId="3">
      <formula>OR(D20&lt;F20*0.85,D20&gt;G20*1.15)</formula>
    </cfRule>
    <cfRule type="expression" priority="39" dxfId="4">
      <formula>OR(D20&lt;F20,D20&gt;G20)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ANÁLISE ESTRUTURAL</t>
        </is>
      </c>
    </row>
    <row r="3">
      <c r="A3" s="19" t="inlineStr">
        <is>
          <t>CONCRETO</t>
        </is>
      </c>
      <c r="B3" s="24" t="n"/>
      <c r="C3" s="24" t="n"/>
      <c r="D3" s="24" t="n"/>
      <c r="E3" s="24" t="n"/>
      <c r="F3" s="24" t="n"/>
      <c r="G3" s="18" t="n"/>
    </row>
    <row r="4">
      <c r="A4" s="10" t="inlineStr">
        <is>
          <t>Elemento</t>
        </is>
      </c>
      <c r="B4" s="10" t="inlineStr">
        <is>
          <t>Volume (m³)</t>
        </is>
      </c>
      <c r="C4" s="10" t="inlineStr">
        <is>
          <t>% Vol.</t>
        </is>
      </c>
      <c r="D4" s="10" t="inlineStr">
        <is>
          <t>fck (MPa)</t>
        </is>
      </c>
      <c r="E4" s="10" t="inlineStr">
        <is>
          <t>PU (R$/m³)</t>
        </is>
      </c>
      <c r="F4" s="10" t="inlineStr">
        <is>
          <t>Total (R$)</t>
        </is>
      </c>
      <c r="G4" s="10" t="inlineStr">
        <is>
          <t>R$/m²</t>
        </is>
      </c>
    </row>
    <row r="5">
      <c r="A5" s="11" t="inlineStr">
        <is>
          <t>Pilares</t>
        </is>
      </c>
      <c r="B5" s="5" t="n">
        <v>425.04</v>
      </c>
      <c r="C5" s="12">
        <f>IF(B$9&gt;0,B5/B$9,0)</f>
        <v/>
      </c>
      <c r="D5" s="21" t="n">
        <v>40</v>
      </c>
      <c r="E5" s="5" t="n">
        <v>680</v>
      </c>
      <c r="F5" s="7">
        <f>B5*E5</f>
        <v/>
      </c>
      <c r="G5" s="7">
        <f>IF(DADOS_PROJETO!B7&gt;0,F5/DADOS_PROJETO!B7,0)</f>
        <v/>
      </c>
    </row>
    <row r="6">
      <c r="A6" s="11" t="inlineStr">
        <is>
          <t>Vigas</t>
        </is>
      </c>
      <c r="B6" s="5" t="n">
        <v>708.4</v>
      </c>
      <c r="C6" s="12">
        <f>IF(B$9&gt;0,B6/B$9,0)</f>
        <v/>
      </c>
      <c r="D6" s="21" t="n">
        <v>35</v>
      </c>
      <c r="E6" s="5" t="n">
        <v>620</v>
      </c>
      <c r="F6" s="7">
        <f>B6*E6</f>
        <v/>
      </c>
      <c r="G6" s="7">
        <f>IF(DADOS_PROJETO!B7&gt;0,F6/DADOS_PROJETO!B7,0)</f>
        <v/>
      </c>
    </row>
    <row r="7">
      <c r="A7" s="11" t="inlineStr">
        <is>
          <t>Lajes</t>
        </is>
      </c>
      <c r="B7" s="5" t="n">
        <v>1558.47</v>
      </c>
      <c r="C7" s="12">
        <f>IF(B$9&gt;0,B7/B$9,0)</f>
        <v/>
      </c>
      <c r="D7" s="21" t="n">
        <v>30</v>
      </c>
      <c r="E7" s="5" t="n">
        <v>580</v>
      </c>
      <c r="F7" s="7">
        <f>B7*E7</f>
        <v/>
      </c>
      <c r="G7" s="7">
        <f>IF(DADOS_PROJETO!B7&gt;0,F7/DADOS_PROJETO!B7,0)</f>
        <v/>
      </c>
    </row>
    <row r="8">
      <c r="A8" s="11" t="inlineStr">
        <is>
          <t>Escadas</t>
        </is>
      </c>
      <c r="B8" s="5" t="n">
        <v>141.68</v>
      </c>
      <c r="C8" s="12">
        <f>IF(B$9&gt;0,B8/B$9,0)</f>
        <v/>
      </c>
      <c r="D8" s="21" t="n">
        <v>30</v>
      </c>
      <c r="E8" s="5" t="n">
        <v>600</v>
      </c>
      <c r="F8" s="7">
        <f>B8*E8</f>
        <v/>
      </c>
      <c r="G8" s="7">
        <f>IF(DADOS_PROJETO!B7&gt;0,F8/DADOS_PROJETO!B7,0)</f>
        <v/>
      </c>
    </row>
    <row r="9">
      <c r="A9" s="3" t="inlineStr">
        <is>
          <t>Total Concreto</t>
        </is>
      </c>
      <c r="B9" s="7">
        <f>SUM(B5:B8)</f>
        <v/>
      </c>
      <c r="C9" s="12">
        <f>1</f>
        <v/>
      </c>
      <c r="F9" s="7">
        <f>SUM(F5:F8)</f>
        <v/>
      </c>
      <c r="G9" s="7">
        <f>IF(DADOS_PROJETO!B7&gt;0,F9/DADOS_PROJETO!B7,0)</f>
        <v/>
      </c>
    </row>
    <row r="11">
      <c r="A11" s="19" t="inlineStr">
        <is>
          <t>AÇO</t>
        </is>
      </c>
      <c r="B11" s="24" t="n"/>
      <c r="C11" s="24" t="n"/>
      <c r="D11" s="24" t="n"/>
      <c r="E11" s="24" t="n"/>
      <c r="F11" s="24" t="n"/>
      <c r="G11" s="18" t="n"/>
    </row>
    <row r="12">
      <c r="A12" s="10" t="inlineStr">
        <is>
          <t>Elemento</t>
        </is>
      </c>
      <c r="B12" s="10" t="inlineStr">
        <is>
          <t>Peso (kg)</t>
        </is>
      </c>
      <c r="C12" s="10" t="inlineStr">
        <is>
          <t>% Peso</t>
        </is>
      </c>
      <c r="D12" s="10" t="inlineStr">
        <is>
          <t>Taxa (kg/m³)</t>
        </is>
      </c>
      <c r="E12" s="10" t="inlineStr"/>
      <c r="F12" s="10" t="inlineStr"/>
      <c r="G12" s="10" t="inlineStr"/>
    </row>
    <row r="13">
      <c r="A13" s="11" t="inlineStr">
        <is>
          <t>Pilares</t>
        </is>
      </c>
      <c r="B13" s="21" t="n">
        <v>51004.52</v>
      </c>
      <c r="C13" s="12">
        <f>IF(B$17&gt;0,B13/B$17,0)</f>
        <v/>
      </c>
      <c r="D13" s="22">
        <f>IF(ESTRUTURAL!B5&gt;0,B13/ESTRUTURAL!B5,0)</f>
        <v/>
      </c>
    </row>
    <row r="14">
      <c r="A14" s="11" t="inlineStr">
        <is>
          <t>Vigas</t>
        </is>
      </c>
      <c r="B14" s="21" t="n">
        <v>76506.78</v>
      </c>
      <c r="C14" s="12">
        <f>IF(B$17&gt;0,B14/B$17,0)</f>
        <v/>
      </c>
      <c r="D14" s="22">
        <f>IF(ESTRUTURAL!B6&gt;0,B14/ESTRUTURAL!B6,0)</f>
        <v/>
      </c>
    </row>
    <row r="15">
      <c r="A15" s="11" t="inlineStr">
        <is>
          <t>Lajes</t>
        </is>
      </c>
      <c r="B15" s="21" t="n">
        <v>114760.18</v>
      </c>
      <c r="C15" s="12">
        <f>IF(B$17&gt;0,B15/B$17,0)</f>
        <v/>
      </c>
      <c r="D15" s="22">
        <f>IF(ESTRUTURAL!B7&gt;0,B15/ESTRUTURAL!B7,0)</f>
        <v/>
      </c>
    </row>
    <row r="16">
      <c r="A16" s="11" t="inlineStr">
        <is>
          <t>Escadas</t>
        </is>
      </c>
      <c r="B16" s="21" t="n">
        <v>12751.13</v>
      </c>
      <c r="C16" s="12">
        <f>IF(B$17&gt;0,B16/B$17,0)</f>
        <v/>
      </c>
      <c r="D16" s="22">
        <f>IF(ESTRUTURAL!B8&gt;0,B16/ESTRUTURAL!B8,0)</f>
        <v/>
      </c>
    </row>
    <row r="17">
      <c r="A17" s="3" t="inlineStr">
        <is>
          <t>Total Aço</t>
        </is>
      </c>
      <c r="B17" s="23">
        <f>SUM(B13:B16)</f>
        <v/>
      </c>
      <c r="C17" s="12">
        <f>1</f>
        <v/>
      </c>
      <c r="D17" s="22">
        <f>IF(B9&gt;0,B17/B9,0)</f>
        <v/>
      </c>
    </row>
    <row r="19">
      <c r="A19" s="19" t="inlineStr">
        <is>
          <t>FORMA</t>
        </is>
      </c>
      <c r="B19" s="24" t="n"/>
      <c r="C19" s="24" t="n"/>
      <c r="D19" s="24" t="n"/>
      <c r="E19" s="24" t="n"/>
      <c r="F19" s="24" t="n"/>
      <c r="G19" s="18" t="n"/>
    </row>
    <row r="20">
      <c r="A20" s="10" t="inlineStr">
        <is>
          <t>Tipo</t>
        </is>
      </c>
      <c r="B20" s="10" t="inlineStr">
        <is>
          <t>Área (m²)</t>
        </is>
      </c>
      <c r="C20" s="10" t="inlineStr">
        <is>
          <t>Reutilizações</t>
        </is>
      </c>
      <c r="D20" s="10" t="inlineStr">
        <is>
          <t>PU (R$/m²)</t>
        </is>
      </c>
      <c r="E20" s="10" t="inlineStr">
        <is>
          <t>Total (R$)</t>
        </is>
      </c>
      <c r="F20" s="10" t="inlineStr">
        <is>
          <t>R$/m²</t>
        </is>
      </c>
      <c r="G20" s="10" t="inlineStr"/>
    </row>
    <row r="21">
      <c r="A21" s="11" t="inlineStr">
        <is>
          <t>Madeira Serrada</t>
        </is>
      </c>
      <c r="B21" s="21" t="n">
        <v>6697.56</v>
      </c>
      <c r="C21" s="21" t="n">
        <v>3</v>
      </c>
      <c r="D21" s="5" t="n">
        <v>85</v>
      </c>
      <c r="E21" s="7">
        <f>B21*D21</f>
        <v/>
      </c>
      <c r="F21" s="7">
        <f>IF(DADOS_PROJETO!B7&gt;0,E21/DADOS_PROJETO!B7,0)</f>
        <v/>
      </c>
    </row>
    <row r="22">
      <c r="A22" s="11" t="inlineStr">
        <is>
          <t>Compensado</t>
        </is>
      </c>
      <c r="B22" s="21" t="n">
        <v>10046.35</v>
      </c>
      <c r="C22" s="21" t="n">
        <v>5</v>
      </c>
      <c r="D22" s="5" t="n">
        <v>65</v>
      </c>
      <c r="E22" s="7">
        <f>B22*D22</f>
        <v/>
      </c>
      <c r="F22" s="7">
        <f>IF(DADOS_PROJETO!B7&gt;0,E22/DADOS_PROJETO!B7,0)</f>
        <v/>
      </c>
    </row>
    <row r="23">
      <c r="A23" s="3" t="inlineStr">
        <is>
          <t>Total Forma</t>
        </is>
      </c>
      <c r="B23" s="23">
        <f>SUM(B21:B22)</f>
        <v/>
      </c>
      <c r="E23" s="7">
        <f>SUM(E21:E22)</f>
        <v/>
      </c>
      <c r="F23" s="7">
        <f>IF(DADOS_PROJETO!B7&gt;0,E23/DADOS_PROJETO!B7,0)</f>
        <v/>
      </c>
    </row>
    <row r="25">
      <c r="A25" s="19" t="inlineStr">
        <is>
          <t>ÍNDICES ESTRUTURAIS</t>
        </is>
      </c>
      <c r="B25" s="24" t="n"/>
      <c r="C25" s="24" t="n"/>
      <c r="D25" s="18" t="n"/>
    </row>
    <row r="26">
      <c r="A26" s="3" t="inlineStr">
        <is>
          <t>Concreto / AC (m³/m²)</t>
        </is>
      </c>
      <c r="B26" s="8">
        <f>IF(DADOS_PROJETO!B7&gt;0,B9/DADOS_PROJETO!B7,0)</f>
        <v/>
      </c>
    </row>
    <row r="27">
      <c r="A27" s="3" t="inlineStr">
        <is>
          <t>Taxa Aço Global (kg/m³)</t>
        </is>
      </c>
      <c r="B27" s="22">
        <f>IF(B9&gt;0,B17/B9,0)</f>
        <v/>
      </c>
    </row>
    <row r="28">
      <c r="A28" s="3" t="inlineStr">
        <is>
          <t>Forma / AC (m²/m²)</t>
        </is>
      </c>
      <c r="B28" s="8">
        <f>IF(DADOS_PROJETO!B7&gt;0,B23/DADOS_PROJETO!B7,0)</f>
        <v/>
      </c>
    </row>
  </sheetData>
  <mergeCells count="5">
    <mergeCell ref="A1:G1"/>
    <mergeCell ref="A3:G3"/>
    <mergeCell ref="A25:D25"/>
    <mergeCell ref="A19:G19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INSTALAÇÕES</t>
        </is>
      </c>
    </row>
    <row r="2">
      <c r="A2" s="10" t="inlineStr">
        <is>
          <t>Disciplina</t>
        </is>
      </c>
      <c r="B2" s="10" t="inlineStr">
        <is>
          <t>Valor (R$)</t>
        </is>
      </c>
      <c r="C2" s="10" t="inlineStr">
        <is>
          <t>R$/m²</t>
        </is>
      </c>
      <c r="D2" s="10" t="inlineStr">
        <is>
          <t>% Instalações</t>
        </is>
      </c>
      <c r="E2" s="10" t="inlineStr">
        <is>
          <t>MO (R$/m²)</t>
        </is>
      </c>
      <c r="F2" s="10" t="inlineStr">
        <is>
          <t>Material (R$/m²)</t>
        </is>
      </c>
    </row>
    <row r="3">
      <c r="A3" s="11" t="inlineStr">
        <is>
          <t>Hidrossanitárias</t>
        </is>
      </c>
      <c r="B3" s="5" t="n">
        <v>1787412.29</v>
      </c>
      <c r="C3" s="7">
        <f>IF(DADOS_PROJETO!B7&gt;0,B3/DADOS_PROJETO!B7,0)</f>
        <v/>
      </c>
      <c r="D3" s="12">
        <f>IF(B$8&gt;0,B3/B$8,0)</f>
        <v/>
      </c>
      <c r="E3" s="5" t="n">
        <v>55.51</v>
      </c>
      <c r="F3" s="7">
        <f>IF(C3&gt;0,C3-E3,0)</f>
        <v/>
      </c>
    </row>
    <row r="4">
      <c r="A4" s="11" t="inlineStr">
        <is>
          <t>Elétricas</t>
        </is>
      </c>
      <c r="B4" s="5" t="n">
        <v>1532067.67</v>
      </c>
      <c r="C4" s="7">
        <f>IF(DADOS_PROJETO!B7&gt;0,B4/DADOS_PROJETO!B7,0)</f>
        <v/>
      </c>
      <c r="D4" s="12">
        <f>IF(B$8&gt;0,B4/B$8,0)</f>
        <v/>
      </c>
      <c r="E4" s="5" t="n">
        <v>47.58</v>
      </c>
      <c r="F4" s="7">
        <f>IF(C4&gt;0,C4-E4,0)</f>
        <v/>
      </c>
    </row>
    <row r="5">
      <c r="A5" s="11" t="inlineStr">
        <is>
          <t>Preventivas (Incêndio)</t>
        </is>
      </c>
      <c r="B5" s="5" t="n">
        <v>766033.84</v>
      </c>
      <c r="C5" s="7">
        <f>IF(DADOS_PROJETO!B7&gt;0,B5/DADOS_PROJETO!B7,0)</f>
        <v/>
      </c>
      <c r="D5" s="12">
        <f>IF(B$8&gt;0,B5/B$8,0)</f>
        <v/>
      </c>
      <c r="E5" s="5" t="n">
        <v>23.79</v>
      </c>
      <c r="F5" s="7">
        <f>IF(C5&gt;0,C5-E5,0)</f>
        <v/>
      </c>
    </row>
    <row r="6">
      <c r="A6" s="11" t="inlineStr">
        <is>
          <t>Gás</t>
        </is>
      </c>
      <c r="B6" s="5" t="n">
        <v>510689.22</v>
      </c>
      <c r="C6" s="7">
        <f>IF(DADOS_PROJETO!B7&gt;0,B6/DADOS_PROJETO!B7,0)</f>
        <v/>
      </c>
      <c r="D6" s="12">
        <f>IF(B$8&gt;0,B6/B$8,0)</f>
        <v/>
      </c>
      <c r="E6" s="5" t="n">
        <v>15.86</v>
      </c>
      <c r="F6" s="7">
        <f>IF(C6&gt;0,C6-E6,0)</f>
        <v/>
      </c>
    </row>
    <row r="7">
      <c r="A7" s="11" t="inlineStr">
        <is>
          <t>Comunicações / Telecom</t>
        </is>
      </c>
      <c r="B7" s="5" t="n">
        <v>510689.22</v>
      </c>
      <c r="C7" s="7">
        <f>IF(DADOS_PROJETO!B7&gt;0,B7/DADOS_PROJETO!B7,0)</f>
        <v/>
      </c>
      <c r="D7" s="12">
        <f>IF(B$8&gt;0,B7/B$8,0)</f>
        <v/>
      </c>
      <c r="E7" s="5" t="n">
        <v>15.86</v>
      </c>
      <c r="F7" s="7">
        <f>IF(C7&gt;0,C7-E7,0)</f>
        <v/>
      </c>
    </row>
    <row r="8">
      <c r="A8" s="3" t="inlineStr">
        <is>
          <t>TOTAL INSTALAÇÕES</t>
        </is>
      </c>
      <c r="B8" s="7">
        <f>SUM(B3:B7)</f>
        <v/>
      </c>
      <c r="C8" s="7">
        <f>IF(DADOS_PROJETO!B7&gt;0,B8/DADOS_PROJETO!B7,0)</f>
        <v/>
      </c>
      <c r="D8" s="12">
        <f>1</f>
        <v/>
      </c>
      <c r="E8" s="7">
        <f>SUM(E3:E7)</f>
        <v/>
      </c>
      <c r="F8" s="7">
        <f>SUM(F3:F7)</f>
        <v/>
      </c>
    </row>
    <row r="10">
      <c r="A10" s="19" t="inlineStr">
        <is>
          <t>ÍNDICES DE INSTALAÇÕES</t>
        </is>
      </c>
      <c r="B10" s="24" t="n"/>
      <c r="C10" s="24" t="n"/>
      <c r="D10" s="18" t="n"/>
    </row>
    <row r="11">
      <c r="A11" s="3" t="inlineStr">
        <is>
          <t>MO Total / AC (R$/m²)</t>
        </is>
      </c>
      <c r="B11" s="7">
        <f>E8</f>
        <v/>
      </c>
    </row>
    <row r="12">
      <c r="A12" s="3" t="inlineStr">
        <is>
          <t>Material Total / AC (R$/m²)</t>
        </is>
      </c>
      <c r="B12" s="7">
        <f>F8</f>
        <v/>
      </c>
    </row>
    <row r="13">
      <c r="A13" s="3" t="inlineStr">
        <is>
          <t>Razão MO / Material</t>
        </is>
      </c>
      <c r="B13" s="8">
        <f>IF(F8&gt;0,E8/F8,0)</f>
        <v/>
      </c>
    </row>
  </sheetData>
  <mergeCells count="2">
    <mergeCell ref="A10:D10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ACABAMENTOS DETALHADOS</t>
        </is>
      </c>
    </row>
    <row r="3">
      <c r="A3" s="19" t="inlineStr">
        <is>
          <t>REVESTIMENTOS DE PAREDE</t>
        </is>
      </c>
      <c r="B3" s="24" t="n"/>
      <c r="C3" s="24" t="n"/>
      <c r="D3" s="24" t="n"/>
      <c r="E3" s="24" t="n"/>
      <c r="F3" s="24" t="n"/>
      <c r="G3" s="24" t="n"/>
      <c r="H3" s="18" t="n"/>
    </row>
    <row r="4">
      <c r="A4" s="10" t="inlineStr">
        <is>
          <t>Item</t>
        </is>
      </c>
      <c r="B4" s="10" t="inlineStr">
        <is>
          <t>Qtd</t>
        </is>
      </c>
      <c r="C4" s="10" t="inlineStr">
        <is>
          <t>Un</t>
        </is>
      </c>
      <c r="D4" s="10" t="inlineStr">
        <is>
          <t>PU Material (R$)</t>
        </is>
      </c>
      <c r="E4" s="10" t="inlineStr">
        <is>
          <t>PU MO (R$)</t>
        </is>
      </c>
      <c r="F4" s="10" t="inlineStr">
        <is>
          <t>Total Material (R$)</t>
        </is>
      </c>
      <c r="G4" s="10" t="inlineStr">
        <is>
          <t>Total MO (R$)</t>
        </is>
      </c>
      <c r="H4" s="10" t="inlineStr">
        <is>
          <t>Total (R$)</t>
        </is>
      </c>
    </row>
    <row r="5">
      <c r="A5" s="11" t="inlineStr">
        <is>
          <t>Chapisco interno</t>
        </is>
      </c>
      <c r="B5" s="21" t="n">
        <v>23184</v>
      </c>
      <c r="C5" s="11" t="inlineStr">
        <is>
          <t>m²</t>
        </is>
      </c>
      <c r="D5" s="5" t="n">
        <v>8.5</v>
      </c>
      <c r="E5" s="5" t="n">
        <v>12</v>
      </c>
      <c r="F5" s="7">
        <f>B5*D5</f>
        <v/>
      </c>
      <c r="G5" s="7">
        <f>B5*E5</f>
        <v/>
      </c>
      <c r="H5" s="7">
        <f>F5+G5</f>
        <v/>
      </c>
    </row>
    <row r="6">
      <c r="A6" s="11" t="inlineStr">
        <is>
          <t>Reboco interno</t>
        </is>
      </c>
      <c r="B6" s="21" t="n">
        <v>23184</v>
      </c>
      <c r="C6" s="11" t="inlineStr">
        <is>
          <t>m²</t>
        </is>
      </c>
      <c r="D6" s="5" t="n">
        <v>15</v>
      </c>
      <c r="E6" s="5" t="n">
        <v>25</v>
      </c>
      <c r="F6" s="7">
        <f>B6*D6</f>
        <v/>
      </c>
      <c r="G6" s="7">
        <f>B6*E6</f>
        <v/>
      </c>
      <c r="H6" s="7">
        <f>F6+G6</f>
        <v/>
      </c>
    </row>
    <row r="7">
      <c r="A7" s="11" t="inlineStr">
        <is>
          <t>Estucamento / Massa corrida</t>
        </is>
      </c>
      <c r="B7" s="21" t="n">
        <v>19320</v>
      </c>
      <c r="C7" s="11" t="inlineStr">
        <is>
          <t>m²</t>
        </is>
      </c>
      <c r="D7" s="5" t="n">
        <v>12</v>
      </c>
      <c r="E7" s="5" t="n">
        <v>18</v>
      </c>
      <c r="F7" s="7">
        <f>B7*D7</f>
        <v/>
      </c>
      <c r="G7" s="7">
        <f>B7*E7</f>
        <v/>
      </c>
      <c r="H7" s="7">
        <f>F7+G7</f>
        <v/>
      </c>
    </row>
    <row r="8">
      <c r="A8" s="11" t="inlineStr">
        <is>
          <t>Cerâmico parede</t>
        </is>
      </c>
      <c r="B8" s="21" t="n">
        <v>3220</v>
      </c>
      <c r="C8" s="11" t="inlineStr">
        <is>
          <t>m²</t>
        </is>
      </c>
      <c r="D8" s="5" t="n">
        <v>65</v>
      </c>
      <c r="E8" s="5" t="n">
        <v>45</v>
      </c>
      <c r="F8" s="7">
        <f>B8*D8</f>
        <v/>
      </c>
      <c r="G8" s="7">
        <f>B8*E8</f>
        <v/>
      </c>
      <c r="H8" s="7">
        <f>F8+G8</f>
        <v/>
      </c>
    </row>
    <row r="9">
      <c r="A9" s="11" t="inlineStr">
        <is>
          <t>Porcelanato parede</t>
        </is>
      </c>
      <c r="B9" s="21" t="n">
        <v>1932</v>
      </c>
      <c r="C9" s="11" t="inlineStr">
        <is>
          <t>m²</t>
        </is>
      </c>
      <c r="D9" s="5" t="n">
        <v>120</v>
      </c>
      <c r="E9" s="5" t="n">
        <v>55</v>
      </c>
      <c r="F9" s="7">
        <f>B9*D9</f>
        <v/>
      </c>
      <c r="G9" s="7">
        <f>B9*E9</f>
        <v/>
      </c>
      <c r="H9" s="7">
        <f>F9+G9</f>
        <v/>
      </c>
    </row>
    <row r="10">
      <c r="A10" s="11" t="inlineStr">
        <is>
          <t>Pastilha interna</t>
        </is>
      </c>
      <c r="B10" s="21" t="n">
        <v>386</v>
      </c>
      <c r="C10" s="11" t="inlineStr">
        <is>
          <t>m²</t>
        </is>
      </c>
      <c r="D10" s="5" t="n">
        <v>180</v>
      </c>
      <c r="E10" s="5" t="n">
        <v>65</v>
      </c>
      <c r="F10" s="7">
        <f>B10*D10</f>
        <v/>
      </c>
      <c r="G10" s="7">
        <f>B10*E10</f>
        <v/>
      </c>
      <c r="H10" s="7">
        <f>F10+G10</f>
        <v/>
      </c>
    </row>
    <row r="11">
      <c r="A11" s="3" t="inlineStr">
        <is>
          <t>Subtotal Revestimentos De Parede</t>
        </is>
      </c>
      <c r="F11" s="7">
        <f>SUM(F5:F10)</f>
        <v/>
      </c>
      <c r="G11" s="7">
        <f>SUM(G5:G10)</f>
        <v/>
      </c>
      <c r="H11" s="7">
        <f>F11+G11</f>
        <v/>
      </c>
    </row>
    <row r="13">
      <c r="A13" s="19" t="inlineStr">
        <is>
          <t>PISOS</t>
        </is>
      </c>
      <c r="B13" s="24" t="n"/>
      <c r="C13" s="24" t="n"/>
      <c r="D13" s="24" t="n"/>
      <c r="E13" s="24" t="n"/>
      <c r="F13" s="24" t="n"/>
      <c r="G13" s="24" t="n"/>
      <c r="H13" s="18" t="n"/>
    </row>
    <row r="14">
      <c r="A14" s="10" t="inlineStr">
        <is>
          <t>Item</t>
        </is>
      </c>
      <c r="B14" s="10" t="inlineStr">
        <is>
          <t>Qtd</t>
        </is>
      </c>
      <c r="C14" s="10" t="inlineStr">
        <is>
          <t>Un</t>
        </is>
      </c>
      <c r="D14" s="10" t="inlineStr">
        <is>
          <t>PU Material (R$)</t>
        </is>
      </c>
      <c r="E14" s="10" t="inlineStr">
        <is>
          <t>PU MO (R$)</t>
        </is>
      </c>
      <c r="F14" s="10" t="inlineStr">
        <is>
          <t>Total Material (R$)</t>
        </is>
      </c>
      <c r="G14" s="10" t="inlineStr">
        <is>
          <t>Total MO (R$)</t>
        </is>
      </c>
      <c r="H14" s="10" t="inlineStr">
        <is>
          <t>Total (R$)</t>
        </is>
      </c>
    </row>
    <row r="15">
      <c r="A15" s="11" t="inlineStr">
        <is>
          <t>Contrapiso</t>
        </is>
      </c>
      <c r="B15" s="21" t="n">
        <v>9660</v>
      </c>
      <c r="C15" s="11" t="inlineStr">
        <is>
          <t>m²</t>
        </is>
      </c>
      <c r="D15" s="5" t="n">
        <v>18</v>
      </c>
      <c r="E15" s="5" t="n">
        <v>22</v>
      </c>
      <c r="F15" s="7">
        <f>B15*D15</f>
        <v/>
      </c>
      <c r="G15" s="7">
        <f>B15*E15</f>
        <v/>
      </c>
      <c r="H15" s="7">
        <f>F15+G15</f>
        <v/>
      </c>
    </row>
    <row r="16">
      <c r="A16" s="11" t="inlineStr">
        <is>
          <t>Porcelanato piso</t>
        </is>
      </c>
      <c r="B16" s="21" t="n">
        <v>6440</v>
      </c>
      <c r="C16" s="11" t="inlineStr">
        <is>
          <t>m²</t>
        </is>
      </c>
      <c r="D16" s="5" t="n">
        <v>130</v>
      </c>
      <c r="E16" s="5" t="n">
        <v>50</v>
      </c>
      <c r="F16" s="7">
        <f>B16*D16</f>
        <v/>
      </c>
      <c r="G16" s="7">
        <f>B16*E16</f>
        <v/>
      </c>
      <c r="H16" s="7">
        <f>F16+G16</f>
        <v/>
      </c>
    </row>
    <row r="17">
      <c r="A17" s="11" t="inlineStr">
        <is>
          <t>Cerâmico piso</t>
        </is>
      </c>
      <c r="B17" s="21" t="n">
        <v>1288</v>
      </c>
      <c r="C17" s="11" t="inlineStr">
        <is>
          <t>m²</t>
        </is>
      </c>
      <c r="D17" s="5" t="n">
        <v>55</v>
      </c>
      <c r="E17" s="5" t="n">
        <v>40</v>
      </c>
      <c r="F17" s="7">
        <f>B17*D17</f>
        <v/>
      </c>
      <c r="G17" s="7">
        <f>B17*E17</f>
        <v/>
      </c>
      <c r="H17" s="7">
        <f>F17+G17</f>
        <v/>
      </c>
    </row>
    <row r="18">
      <c r="A18" s="11" t="inlineStr">
        <is>
          <t>Laminado</t>
        </is>
      </c>
      <c r="B18" s="21" t="n">
        <v>644</v>
      </c>
      <c r="C18" s="11" t="inlineStr">
        <is>
          <t>m²</t>
        </is>
      </c>
      <c r="D18" s="5" t="n">
        <v>85</v>
      </c>
      <c r="E18" s="5" t="n">
        <v>25</v>
      </c>
      <c r="F18" s="7">
        <f>B18*D18</f>
        <v/>
      </c>
      <c r="G18" s="7">
        <f>B18*E18</f>
        <v/>
      </c>
      <c r="H18" s="7">
        <f>F18+G18</f>
        <v/>
      </c>
    </row>
    <row r="19">
      <c r="A19" s="11" t="inlineStr">
        <is>
          <t>Vinílico</t>
        </is>
      </c>
      <c r="B19" s="21" t="n">
        <v>386</v>
      </c>
      <c r="C19" s="11" t="inlineStr">
        <is>
          <t>m²</t>
        </is>
      </c>
      <c r="D19" s="5" t="n">
        <v>95</v>
      </c>
      <c r="E19" s="5" t="n">
        <v>20</v>
      </c>
      <c r="F19" s="7">
        <f>B19*D19</f>
        <v/>
      </c>
      <c r="G19" s="7">
        <f>B19*E19</f>
        <v/>
      </c>
      <c r="H19" s="7">
        <f>F19+G19</f>
        <v/>
      </c>
    </row>
    <row r="20">
      <c r="A20" s="11" t="inlineStr">
        <is>
          <t>Rodapé</t>
        </is>
      </c>
      <c r="B20" s="21" t="n">
        <v>7728</v>
      </c>
      <c r="C20" s="11" t="inlineStr">
        <is>
          <t>m</t>
        </is>
      </c>
      <c r="D20" s="5" t="n">
        <v>35</v>
      </c>
      <c r="E20" s="5" t="n">
        <v>15</v>
      </c>
      <c r="F20" s="7">
        <f>B20*D20</f>
        <v/>
      </c>
      <c r="G20" s="7">
        <f>B20*E20</f>
        <v/>
      </c>
      <c r="H20" s="7">
        <f>F20+G20</f>
        <v/>
      </c>
    </row>
    <row r="21">
      <c r="A21" s="11" t="inlineStr">
        <is>
          <t>Soleira / Peitoril</t>
        </is>
      </c>
      <c r="B21" s="21" t="n">
        <v>696</v>
      </c>
      <c r="C21" s="11" t="inlineStr">
        <is>
          <t>m</t>
        </is>
      </c>
      <c r="D21" s="5" t="n">
        <v>90</v>
      </c>
      <c r="E21" s="5" t="n">
        <v>30</v>
      </c>
      <c r="F21" s="7">
        <f>B21*D21</f>
        <v/>
      </c>
      <c r="G21" s="7">
        <f>B21*E21</f>
        <v/>
      </c>
      <c r="H21" s="7">
        <f>F21+G21</f>
        <v/>
      </c>
    </row>
    <row r="22">
      <c r="A22" s="3" t="inlineStr">
        <is>
          <t>Subtotal Pisos</t>
        </is>
      </c>
      <c r="F22" s="7">
        <f>SUM(F15:F21)</f>
        <v/>
      </c>
      <c r="G22" s="7">
        <f>SUM(G15:G21)</f>
        <v/>
      </c>
      <c r="H22" s="7">
        <f>F22+G22</f>
        <v/>
      </c>
    </row>
    <row r="24">
      <c r="A24" s="19" t="inlineStr">
        <is>
          <t>TETO</t>
        </is>
      </c>
      <c r="B24" s="24" t="n"/>
      <c r="C24" s="24" t="n"/>
      <c r="D24" s="24" t="n"/>
      <c r="E24" s="24" t="n"/>
      <c r="F24" s="24" t="n"/>
      <c r="G24" s="24" t="n"/>
      <c r="H24" s="18" t="n"/>
    </row>
    <row r="25">
      <c r="A25" s="10" t="inlineStr">
        <is>
          <t>Item</t>
        </is>
      </c>
      <c r="B25" s="10" t="inlineStr">
        <is>
          <t>Qtd</t>
        </is>
      </c>
      <c r="C25" s="10" t="inlineStr">
        <is>
          <t>Un</t>
        </is>
      </c>
      <c r="D25" s="10" t="inlineStr">
        <is>
          <t>PU Material (R$)</t>
        </is>
      </c>
      <c r="E25" s="10" t="inlineStr">
        <is>
          <t>PU MO (R$)</t>
        </is>
      </c>
      <c r="F25" s="10" t="inlineStr">
        <is>
          <t>Total Material (R$)</t>
        </is>
      </c>
      <c r="G25" s="10" t="inlineStr">
        <is>
          <t>Total MO (R$)</t>
        </is>
      </c>
      <c r="H25" s="10" t="inlineStr">
        <is>
          <t>Total (R$)</t>
        </is>
      </c>
    </row>
    <row r="26">
      <c r="A26" s="11" t="inlineStr">
        <is>
          <t>Forro gesso acartonado</t>
        </is>
      </c>
      <c r="B26" s="21" t="n">
        <v>7084</v>
      </c>
      <c r="C26" s="11" t="inlineStr">
        <is>
          <t>m²</t>
        </is>
      </c>
      <c r="D26" s="5" t="n">
        <v>45</v>
      </c>
      <c r="E26" s="5" t="n">
        <v>35</v>
      </c>
      <c r="F26" s="7">
        <f>B26*D26</f>
        <v/>
      </c>
      <c r="G26" s="7">
        <f>B26*E26</f>
        <v/>
      </c>
      <c r="H26" s="7">
        <f>F26+G26</f>
        <v/>
      </c>
    </row>
    <row r="27">
      <c r="A27" s="11" t="inlineStr">
        <is>
          <t>Forro gesso RU</t>
        </is>
      </c>
      <c r="B27" s="21" t="n">
        <v>1288</v>
      </c>
      <c r="C27" s="11" t="inlineStr">
        <is>
          <t>m²</t>
        </is>
      </c>
      <c r="D27" s="5" t="n">
        <v>55</v>
      </c>
      <c r="E27" s="5" t="n">
        <v>40</v>
      </c>
      <c r="F27" s="7">
        <f>B27*D27</f>
        <v/>
      </c>
      <c r="G27" s="7">
        <f>B27*E27</f>
        <v/>
      </c>
      <c r="H27" s="7">
        <f>F27+G27</f>
        <v/>
      </c>
    </row>
    <row r="28">
      <c r="A28" s="11" t="inlineStr">
        <is>
          <t>Forro madeira</t>
        </is>
      </c>
      <c r="B28" s="21" t="n">
        <v>386</v>
      </c>
      <c r="C28" s="11" t="inlineStr">
        <is>
          <t>m²</t>
        </is>
      </c>
      <c r="D28" s="5" t="n">
        <v>150</v>
      </c>
      <c r="E28" s="5" t="n">
        <v>45</v>
      </c>
      <c r="F28" s="7">
        <f>B28*D28</f>
        <v/>
      </c>
      <c r="G28" s="7">
        <f>B28*E28</f>
        <v/>
      </c>
      <c r="H28" s="7">
        <f>F28+G28</f>
        <v/>
      </c>
    </row>
    <row r="29">
      <c r="A29" s="11" t="inlineStr">
        <is>
          <t>Negativo / Tabica</t>
        </is>
      </c>
      <c r="B29" s="21" t="n">
        <v>3864</v>
      </c>
      <c r="C29" s="11" t="inlineStr">
        <is>
          <t>m</t>
        </is>
      </c>
      <c r="D29" s="5" t="n">
        <v>25</v>
      </c>
      <c r="E29" s="5" t="n">
        <v>20</v>
      </c>
      <c r="F29" s="7">
        <f>B29*D29</f>
        <v/>
      </c>
      <c r="G29" s="7">
        <f>B29*E29</f>
        <v/>
      </c>
      <c r="H29" s="7">
        <f>F29+G29</f>
        <v/>
      </c>
    </row>
    <row r="30">
      <c r="A30" s="11" t="inlineStr">
        <is>
          <t>Sanca</t>
        </is>
      </c>
      <c r="B30" s="21" t="n">
        <v>1030</v>
      </c>
      <c r="C30" s="11" t="inlineStr">
        <is>
          <t>m</t>
        </is>
      </c>
      <c r="D30" s="5" t="n">
        <v>35</v>
      </c>
      <c r="E30" s="5" t="n">
        <v>30</v>
      </c>
      <c r="F30" s="7">
        <f>B30*D30</f>
        <v/>
      </c>
      <c r="G30" s="7">
        <f>B30*E30</f>
        <v/>
      </c>
      <c r="H30" s="7">
        <f>F30+G30</f>
        <v/>
      </c>
    </row>
    <row r="31">
      <c r="A31" s="3" t="inlineStr">
        <is>
          <t>Subtotal Teto</t>
        </is>
      </c>
      <c r="F31" s="7">
        <f>SUM(F26:F30)</f>
        <v/>
      </c>
      <c r="G31" s="7">
        <f>SUM(G26:G30)</f>
        <v/>
      </c>
      <c r="H31" s="7">
        <f>F31+G31</f>
        <v/>
      </c>
    </row>
    <row r="33">
      <c r="A33" s="19" t="inlineStr">
        <is>
          <t>PINTURA</t>
        </is>
      </c>
      <c r="B33" s="24" t="n"/>
      <c r="C33" s="24" t="n"/>
      <c r="D33" s="24" t="n"/>
      <c r="E33" s="24" t="n"/>
      <c r="F33" s="24" t="n"/>
      <c r="G33" s="24" t="n"/>
      <c r="H33" s="18" t="n"/>
    </row>
    <row r="34">
      <c r="A34" s="10" t="inlineStr">
        <is>
          <t>Item</t>
        </is>
      </c>
      <c r="B34" s="10" t="inlineStr">
        <is>
          <t>Qtd</t>
        </is>
      </c>
      <c r="C34" s="10" t="inlineStr">
        <is>
          <t>Un</t>
        </is>
      </c>
      <c r="D34" s="10" t="inlineStr">
        <is>
          <t>PU Material (R$)</t>
        </is>
      </c>
      <c r="E34" s="10" t="inlineStr">
        <is>
          <t>PU MO (R$)</t>
        </is>
      </c>
      <c r="F34" s="10" t="inlineStr">
        <is>
          <t>Total Material (R$)</t>
        </is>
      </c>
      <c r="G34" s="10" t="inlineStr">
        <is>
          <t>Total MO (R$)</t>
        </is>
      </c>
      <c r="H34" s="10" t="inlineStr">
        <is>
          <t>Total (R$)</t>
        </is>
      </c>
    </row>
    <row r="35">
      <c r="A35" s="11" t="inlineStr">
        <is>
          <t>Pintura parede (PVA/acrílica)</t>
        </is>
      </c>
      <c r="B35" s="21" t="n">
        <v>19320</v>
      </c>
      <c r="C35" s="11" t="inlineStr">
        <is>
          <t>m²</t>
        </is>
      </c>
      <c r="D35" s="5" t="n">
        <v>14</v>
      </c>
      <c r="E35" s="5" t="n">
        <v>12</v>
      </c>
      <c r="F35" s="7">
        <f>B35*D35</f>
        <v/>
      </c>
      <c r="G35" s="7">
        <f>B35*E35</f>
        <v/>
      </c>
      <c r="H35" s="7">
        <f>F35+G35</f>
        <v/>
      </c>
    </row>
    <row r="36">
      <c r="A36" s="11" t="inlineStr">
        <is>
          <t>Textura</t>
        </is>
      </c>
      <c r="B36" s="21" t="n">
        <v>1932</v>
      </c>
      <c r="C36" s="11" t="inlineStr">
        <is>
          <t>m²</t>
        </is>
      </c>
      <c r="D36" s="5" t="n">
        <v>22</v>
      </c>
      <c r="E36" s="5" t="n">
        <v>18</v>
      </c>
      <c r="F36" s="7">
        <f>B36*D36</f>
        <v/>
      </c>
      <c r="G36" s="7">
        <f>B36*E36</f>
        <v/>
      </c>
      <c r="H36" s="7">
        <f>F36+G36</f>
        <v/>
      </c>
    </row>
    <row r="37">
      <c r="A37" s="11" t="inlineStr">
        <is>
          <t>Pintura teto</t>
        </is>
      </c>
      <c r="B37" s="21" t="n">
        <v>8372</v>
      </c>
      <c r="C37" s="11" t="inlineStr">
        <is>
          <t>m²</t>
        </is>
      </c>
      <c r="D37" s="5" t="n">
        <v>12</v>
      </c>
      <c r="E37" s="5" t="n">
        <v>10</v>
      </c>
      <c r="F37" s="7">
        <f>B37*D37</f>
        <v/>
      </c>
      <c r="G37" s="7">
        <f>B37*E37</f>
        <v/>
      </c>
      <c r="H37" s="7">
        <f>F37+G37</f>
        <v/>
      </c>
    </row>
    <row r="38">
      <c r="A38" s="11" t="inlineStr">
        <is>
          <t>Epóxi</t>
        </is>
      </c>
      <c r="B38" s="21" t="n">
        <v>1546</v>
      </c>
      <c r="C38" s="11" t="inlineStr">
        <is>
          <t>m²</t>
        </is>
      </c>
      <c r="D38" s="5" t="n">
        <v>35</v>
      </c>
      <c r="E38" s="5" t="n">
        <v>20</v>
      </c>
      <c r="F38" s="7">
        <f>B38*D38</f>
        <v/>
      </c>
      <c r="G38" s="7">
        <f>B38*E38</f>
        <v/>
      </c>
      <c r="H38" s="7">
        <f>F38+G38</f>
        <v/>
      </c>
    </row>
    <row r="39">
      <c r="A39" s="11" t="inlineStr">
        <is>
          <t>Verniz</t>
        </is>
      </c>
      <c r="B39" s="21" t="n">
        <v>258</v>
      </c>
      <c r="C39" s="11" t="inlineStr">
        <is>
          <t>m²</t>
        </is>
      </c>
      <c r="D39" s="5" t="n">
        <v>28</v>
      </c>
      <c r="E39" s="5" t="n">
        <v>15</v>
      </c>
      <c r="F39" s="7">
        <f>B39*D39</f>
        <v/>
      </c>
      <c r="G39" s="7">
        <f>B39*E39</f>
        <v/>
      </c>
      <c r="H39" s="7">
        <f>F39+G39</f>
        <v/>
      </c>
    </row>
    <row r="40">
      <c r="A40" s="3" t="inlineStr">
        <is>
          <t>Subtotal Pintura</t>
        </is>
      </c>
      <c r="F40" s="7">
        <f>SUM(F35:F39)</f>
        <v/>
      </c>
      <c r="G40" s="7">
        <f>SUM(G35:G39)</f>
        <v/>
      </c>
      <c r="H40" s="7">
        <f>F40+G40</f>
        <v/>
      </c>
    </row>
    <row r="42">
      <c r="A42" s="19" t="inlineStr">
        <is>
          <t>FACHADA</t>
        </is>
      </c>
      <c r="B42" s="24" t="n"/>
      <c r="C42" s="24" t="n"/>
      <c r="D42" s="24" t="n"/>
      <c r="E42" s="24" t="n"/>
      <c r="F42" s="24" t="n"/>
      <c r="G42" s="24" t="n"/>
      <c r="H42" s="18" t="n"/>
    </row>
    <row r="43">
      <c r="A43" s="10" t="inlineStr">
        <is>
          <t>Item</t>
        </is>
      </c>
      <c r="B43" s="10" t="inlineStr">
        <is>
          <t>Qtd</t>
        </is>
      </c>
      <c r="C43" s="10" t="inlineStr">
        <is>
          <t>Un</t>
        </is>
      </c>
      <c r="D43" s="10" t="inlineStr">
        <is>
          <t>PU Material (R$)</t>
        </is>
      </c>
      <c r="E43" s="10" t="inlineStr">
        <is>
          <t>PU MO (R$)</t>
        </is>
      </c>
      <c r="F43" s="10" t="inlineStr">
        <is>
          <t>Total Material (R$)</t>
        </is>
      </c>
      <c r="G43" s="10" t="inlineStr">
        <is>
          <t>Total MO (R$)</t>
        </is>
      </c>
      <c r="H43" s="10" t="inlineStr">
        <is>
          <t>Total (R$)</t>
        </is>
      </c>
    </row>
    <row r="44">
      <c r="A44" s="11" t="inlineStr">
        <is>
          <t>Chapisco externo</t>
        </is>
      </c>
      <c r="B44" s="21" t="n">
        <v>4875</v>
      </c>
      <c r="C44" s="11" t="inlineStr">
        <is>
          <t>m²</t>
        </is>
      </c>
      <c r="D44" s="5" t="n">
        <v>10</v>
      </c>
      <c r="E44" s="5" t="n">
        <v>15</v>
      </c>
      <c r="F44" s="7">
        <f>B44*D44</f>
        <v/>
      </c>
      <c r="G44" s="7">
        <f>B44*E44</f>
        <v/>
      </c>
      <c r="H44" s="7">
        <f>F44+G44</f>
        <v/>
      </c>
    </row>
    <row r="45">
      <c r="A45" s="11" t="inlineStr">
        <is>
          <t>Reboco externo</t>
        </is>
      </c>
      <c r="B45" s="21" t="n">
        <v>4875</v>
      </c>
      <c r="C45" s="11" t="inlineStr">
        <is>
          <t>m²</t>
        </is>
      </c>
      <c r="D45" s="5" t="n">
        <v>18</v>
      </c>
      <c r="E45" s="5" t="n">
        <v>30</v>
      </c>
      <c r="F45" s="7">
        <f>B45*D45</f>
        <v/>
      </c>
      <c r="G45" s="7">
        <f>B45*E45</f>
        <v/>
      </c>
      <c r="H45" s="7">
        <f>F45+G45</f>
        <v/>
      </c>
    </row>
    <row r="46">
      <c r="A46" s="11" t="inlineStr">
        <is>
          <t>Textura externa</t>
        </is>
      </c>
      <c r="B46" s="21" t="n">
        <v>1950</v>
      </c>
      <c r="C46" s="11" t="inlineStr">
        <is>
          <t>m²</t>
        </is>
      </c>
      <c r="D46" s="5" t="n">
        <v>25</v>
      </c>
      <c r="E46" s="5" t="n">
        <v>22</v>
      </c>
      <c r="F46" s="7">
        <f>B46*D46</f>
        <v/>
      </c>
      <c r="G46" s="7">
        <f>B46*E46</f>
        <v/>
      </c>
      <c r="H46" s="7">
        <f>F46+G46</f>
        <v/>
      </c>
    </row>
    <row r="47">
      <c r="A47" s="11" t="inlineStr">
        <is>
          <t>Pastilha fachada</t>
        </is>
      </c>
      <c r="B47" s="21" t="n">
        <v>975</v>
      </c>
      <c r="C47" s="11" t="inlineStr">
        <is>
          <t>m²</t>
        </is>
      </c>
      <c r="D47" s="5" t="n">
        <v>200</v>
      </c>
      <c r="E47" s="5" t="n">
        <v>70</v>
      </c>
      <c r="F47" s="7">
        <f>B47*D47</f>
        <v/>
      </c>
      <c r="G47" s="7">
        <f>B47*E47</f>
        <v/>
      </c>
      <c r="H47" s="7">
        <f>F47+G47</f>
        <v/>
      </c>
    </row>
    <row r="48">
      <c r="A48" s="11" t="inlineStr">
        <is>
          <t>ACM / Alumínio Composto</t>
        </is>
      </c>
      <c r="B48" s="21" t="n">
        <v>244</v>
      </c>
      <c r="C48" s="11" t="inlineStr">
        <is>
          <t>m²</t>
        </is>
      </c>
      <c r="D48" s="5" t="n">
        <v>350</v>
      </c>
      <c r="E48" s="5" t="n">
        <v>120</v>
      </c>
      <c r="F48" s="7">
        <f>B48*D48</f>
        <v/>
      </c>
      <c r="G48" s="7">
        <f>B48*E48</f>
        <v/>
      </c>
      <c r="H48" s="7">
        <f>F48+G48</f>
        <v/>
      </c>
    </row>
    <row r="49">
      <c r="A49" s="11" t="inlineStr">
        <is>
          <t>Pele de vidro</t>
        </is>
      </c>
      <c r="B49" s="21" t="n">
        <v>488</v>
      </c>
      <c r="C49" s="11" t="inlineStr">
        <is>
          <t>m²</t>
        </is>
      </c>
      <c r="D49" s="5" t="n">
        <v>550</v>
      </c>
      <c r="E49" s="5" t="n">
        <v>150</v>
      </c>
      <c r="F49" s="7">
        <f>B49*D49</f>
        <v/>
      </c>
      <c r="G49" s="7">
        <f>B49*E49</f>
        <v/>
      </c>
      <c r="H49" s="7">
        <f>F49+G49</f>
        <v/>
      </c>
    </row>
    <row r="50">
      <c r="A50" s="3" t="inlineStr">
        <is>
          <t>Subtotal Fachada</t>
        </is>
      </c>
      <c r="F50" s="7">
        <f>SUM(F44:F49)</f>
        <v/>
      </c>
      <c r="G50" s="7">
        <f>SUM(G44:G49)</f>
        <v/>
      </c>
      <c r="H50" s="7">
        <f>F50+G50</f>
        <v/>
      </c>
    </row>
    <row r="52">
      <c r="A52" s="19" t="inlineStr">
        <is>
          <t>TOTAL ACABAMENTOS</t>
        </is>
      </c>
      <c r="B52" s="24" t="n"/>
      <c r="C52" s="24" t="n"/>
      <c r="D52" s="24" t="n"/>
      <c r="E52" s="24" t="n"/>
      <c r="F52" s="24" t="n"/>
      <c r="G52" s="24" t="n"/>
      <c r="H52" s="18" t="n"/>
    </row>
    <row r="53">
      <c r="A53" s="3" t="inlineStr">
        <is>
          <t>Total Material</t>
        </is>
      </c>
      <c r="F53" s="7">
        <f>F11+F22+F31+F40+F50</f>
        <v/>
      </c>
    </row>
    <row r="54">
      <c r="A54" s="3" t="inlineStr">
        <is>
          <t>Total Mão de Obra</t>
        </is>
      </c>
      <c r="G54" s="7">
        <f>G11+G22+G31+G40+G50</f>
        <v/>
      </c>
    </row>
    <row r="55">
      <c r="A55" s="3" t="inlineStr">
        <is>
          <t>TOTAL GERAL ACABAMENTOS</t>
        </is>
      </c>
      <c r="H55" s="7">
        <f>F53+G54</f>
        <v/>
      </c>
    </row>
    <row r="56">
      <c r="A56" s="3" t="inlineStr">
        <is>
          <t>R$/m² Acabamentos</t>
        </is>
      </c>
      <c r="H56" s="7">
        <f>IF(DADOS_PROJETO!B7&gt;0,H55/DADOS_PROJETO!B7,0)</f>
        <v/>
      </c>
    </row>
  </sheetData>
  <mergeCells count="7">
    <mergeCell ref="A3:H3"/>
    <mergeCell ref="A24:H24"/>
    <mergeCell ref="A52:H52"/>
    <mergeCell ref="A42:H42"/>
    <mergeCell ref="A33:H33"/>
    <mergeCell ref="A13:H1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9" t="inlineStr">
        <is>
          <t>CUSTOS INDIRETOS DETALHADOS</t>
        </is>
      </c>
    </row>
    <row r="3">
      <c r="A3" s="19" t="inlineStr">
        <is>
          <t>PROJETOS E CONSULTORIAS</t>
        </is>
      </c>
      <c r="B3" s="24" t="n"/>
      <c r="C3" s="24" t="n"/>
      <c r="D3" s="24" t="n"/>
      <c r="E3" s="24" t="n"/>
      <c r="F3" s="18" t="n"/>
    </row>
    <row r="4">
      <c r="A4" s="10" t="inlineStr">
        <is>
          <t>Disciplina</t>
        </is>
      </c>
      <c r="B4" s="10" t="inlineStr">
        <is>
          <t>Valor (R$)</t>
        </is>
      </c>
      <c r="C4" s="10" t="inlineStr">
        <is>
          <t>R$/m²</t>
        </is>
      </c>
      <c r="D4" s="10" t="inlineStr"/>
      <c r="E4" s="10" t="inlineStr"/>
      <c r="F4" s="10" t="inlineStr"/>
    </row>
    <row r="5">
      <c r="A5" s="11" t="inlineStr">
        <is>
          <t>Arquitetônico</t>
        </is>
      </c>
      <c r="B5" s="5" t="n">
        <v>231838.74</v>
      </c>
      <c r="C5" s="7">
        <f>IF(DADOS_PROJETO!B7&gt;0,B5/DADOS_PROJETO!B7,0)</f>
        <v/>
      </c>
    </row>
    <row r="6">
      <c r="A6" s="11" t="inlineStr">
        <is>
          <t>Estrutural</t>
        </is>
      </c>
      <c r="B6" s="5" t="n">
        <v>154559.16</v>
      </c>
      <c r="C6" s="7">
        <f>IF(DADOS_PROJETO!B7&gt;0,B6/DADOS_PROJETO!B7,0)</f>
        <v/>
      </c>
    </row>
    <row r="7">
      <c r="A7" s="11" t="inlineStr">
        <is>
          <t>Elétrico</t>
        </is>
      </c>
      <c r="B7" s="5" t="n">
        <v>103039.44</v>
      </c>
      <c r="C7" s="7">
        <f>IF(DADOS_PROJETO!B7&gt;0,B7/DADOS_PROJETO!B7,0)</f>
        <v/>
      </c>
    </row>
    <row r="8">
      <c r="A8" s="11" t="inlineStr">
        <is>
          <t>Hidrossanitário</t>
        </is>
      </c>
      <c r="B8" s="5" t="n">
        <v>90159.50999999999</v>
      </c>
      <c r="C8" s="7">
        <f>IF(DADOS_PROJETO!B7&gt;0,B8/DADOS_PROJETO!B7,0)</f>
        <v/>
      </c>
    </row>
    <row r="9">
      <c r="A9" s="11" t="inlineStr">
        <is>
          <t>Preventivo</t>
        </is>
      </c>
      <c r="B9" s="5" t="n">
        <v>64399.65</v>
      </c>
      <c r="C9" s="7">
        <f>IF(DADOS_PROJETO!B7&gt;0,B9/DADOS_PROJETO!B7,0)</f>
        <v/>
      </c>
    </row>
    <row r="10">
      <c r="A10" s="11" t="inlineStr">
        <is>
          <t>Climatização</t>
        </is>
      </c>
      <c r="B10" s="5" t="n">
        <v>77279.58</v>
      </c>
      <c r="C10" s="7">
        <f>IF(DADOS_PROJETO!B7&gt;0,B10/DADOS_PROJETO!B7,0)</f>
        <v/>
      </c>
    </row>
    <row r="11">
      <c r="A11" s="11" t="inlineStr">
        <is>
          <t>Paisagismo</t>
        </is>
      </c>
      <c r="B11" s="5" t="n">
        <v>51519.72</v>
      </c>
      <c r="C11" s="7">
        <f>IF(DADOS_PROJETO!B7&gt;0,B11/DADOS_PROJETO!B7,0)</f>
        <v/>
      </c>
    </row>
    <row r="12">
      <c r="A12" s="11" t="inlineStr">
        <is>
          <t>Interiores</t>
        </is>
      </c>
      <c r="B12" s="5" t="n">
        <v>64399.65</v>
      </c>
      <c r="C12" s="7">
        <f>IF(DADOS_PROJETO!B7&gt;0,B12/DADOS_PROJETO!B7,0)</f>
        <v/>
      </c>
    </row>
    <row r="13">
      <c r="A13" s="11" t="inlineStr">
        <is>
          <t>Fundações</t>
        </is>
      </c>
      <c r="B13" s="5" t="n">
        <v>77279.58</v>
      </c>
      <c r="C13" s="7">
        <f>IF(DADOS_PROJETO!B7&gt;0,B13/DADOS_PROJETO!B7,0)</f>
        <v/>
      </c>
    </row>
    <row r="14">
      <c r="A14" s="11" t="inlineStr">
        <is>
          <t>Outros Projetos</t>
        </is>
      </c>
      <c r="B14" s="5" t="n">
        <v>51519.72</v>
      </c>
      <c r="C14" s="7">
        <f>IF(DADOS_PROJETO!B7&gt;0,B14/DADOS_PROJETO!B7,0)</f>
        <v/>
      </c>
    </row>
    <row r="15">
      <c r="A15" s="3" t="inlineStr">
        <is>
          <t>Subtotal Projetos</t>
        </is>
      </c>
      <c r="B15" s="7">
        <f>SUM(B5:B14)</f>
        <v/>
      </c>
      <c r="C15" s="7">
        <f>IF(DADOS_PROJETO!B7&gt;0,B15/DADOS_PROJETO!B7,0)</f>
        <v/>
      </c>
    </row>
    <row r="17">
      <c r="A17" s="19" t="inlineStr">
        <is>
          <t>TAXAS E LICENÇAS</t>
        </is>
      </c>
      <c r="B17" s="24" t="n"/>
      <c r="C17" s="24" t="n"/>
      <c r="D17" s="24" t="n"/>
      <c r="E17" s="24" t="n"/>
      <c r="F17" s="18" t="n"/>
    </row>
    <row r="18">
      <c r="A18" s="10" t="inlineStr">
        <is>
          <t>Descrição</t>
        </is>
      </c>
      <c r="B18" s="10" t="inlineStr">
        <is>
          <t>Valor (R$)</t>
        </is>
      </c>
      <c r="C18" s="10" t="inlineStr">
        <is>
          <t>R$/m²</t>
        </is>
      </c>
      <c r="D18" s="10" t="inlineStr"/>
      <c r="E18" s="10" t="inlineStr"/>
      <c r="F18" s="10" t="inlineStr"/>
    </row>
    <row r="19">
      <c r="A19" s="11" t="inlineStr">
        <is>
          <t>Alvará de Construção</t>
        </is>
      </c>
      <c r="B19" s="5" t="n">
        <v>85000</v>
      </c>
      <c r="C19" s="7">
        <f>IF(DADOS_PROJETO!B7&gt;0,B19/DADOS_PROJETO!B7,0)</f>
        <v/>
      </c>
    </row>
    <row r="20">
      <c r="A20" s="11" t="inlineStr">
        <is>
          <t>ARTs / RRTs</t>
        </is>
      </c>
      <c r="B20" s="5" t="n">
        <v>45000</v>
      </c>
      <c r="C20" s="7">
        <f>IF(DADOS_PROJETO!B7&gt;0,B20/DADOS_PROJETO!B7,0)</f>
        <v/>
      </c>
    </row>
    <row r="21">
      <c r="A21" s="11" t="inlineStr">
        <is>
          <t>Corpo de Bombeiros</t>
        </is>
      </c>
      <c r="B21" s="5" t="n">
        <v>35000</v>
      </c>
      <c r="C21" s="7">
        <f>IF(DADOS_PROJETO!B7&gt;0,B21/DADOS_PROJETO!B7,0)</f>
        <v/>
      </c>
    </row>
    <row r="22">
      <c r="A22" s="11" t="inlineStr">
        <is>
          <t>Habite-se</t>
        </is>
      </c>
      <c r="B22" s="5" t="n">
        <v>60000</v>
      </c>
      <c r="C22" s="7">
        <f>IF(DADOS_PROJETO!B7&gt;0,B22/DADOS_PROJETO!B7,0)</f>
        <v/>
      </c>
    </row>
    <row r="23">
      <c r="A23" s="11" t="inlineStr">
        <is>
          <t>Registro de Incorporação</t>
        </is>
      </c>
      <c r="B23" s="5" t="n">
        <v>40000</v>
      </c>
      <c r="C23" s="7">
        <f>IF(DADOS_PROJETO!B7&gt;0,B23/DADOS_PROJETO!B7,0)</f>
        <v/>
      </c>
    </row>
    <row r="24">
      <c r="A24" s="11" t="inlineStr">
        <is>
          <t>Outras Taxas</t>
        </is>
      </c>
      <c r="B24" s="5" t="n">
        <v>25000</v>
      </c>
      <c r="C24" s="7">
        <f>IF(DADOS_PROJETO!B7&gt;0,B24/DADOS_PROJETO!B7,0)</f>
        <v/>
      </c>
    </row>
    <row r="25">
      <c r="A25" s="3" t="inlineStr">
        <is>
          <t>Subtotal Taxas</t>
        </is>
      </c>
      <c r="B25" s="7">
        <f>SUM(B19:B24)</f>
        <v/>
      </c>
      <c r="C25" s="7">
        <f>IF(DADOS_PROJETO!B7&gt;0,B25/DADOS_PROJETO!B7,0)</f>
        <v/>
      </c>
    </row>
    <row r="27">
      <c r="A27" s="19" t="inlineStr">
        <is>
          <t>EQUIPE ADMINISTRATIVA</t>
        </is>
      </c>
      <c r="B27" s="24" t="n"/>
      <c r="C27" s="24" t="n"/>
      <c r="D27" s="24" t="n"/>
      <c r="E27" s="24" t="n"/>
      <c r="F27" s="18" t="n"/>
    </row>
    <row r="28">
      <c r="A28" s="10" t="inlineStr">
        <is>
          <t>Função</t>
        </is>
      </c>
      <c r="B28" s="10" t="inlineStr">
        <is>
          <t>Qtd</t>
        </is>
      </c>
      <c r="C28" s="10" t="inlineStr">
        <is>
          <t>Custo/mês (R$)</t>
        </is>
      </c>
      <c r="D28" s="10" t="inlineStr">
        <is>
          <t>Meses</t>
        </is>
      </c>
      <c r="E28" s="10" t="inlineStr">
        <is>
          <t>Total (R$)</t>
        </is>
      </c>
      <c r="F28" s="10" t="inlineStr">
        <is>
          <t>R$/m²</t>
        </is>
      </c>
    </row>
    <row r="29">
      <c r="A29" s="11" t="inlineStr">
        <is>
          <t>Engenheiro Residente</t>
        </is>
      </c>
      <c r="B29" s="21" t="n">
        <v>1</v>
      </c>
      <c r="C29" s="5" t="n">
        <v>18000</v>
      </c>
      <c r="D29" s="21" t="n">
        <v>30</v>
      </c>
      <c r="E29" s="7">
        <f>B29*C29*D29</f>
        <v/>
      </c>
      <c r="F29" s="7">
        <f>IF(DADOS_PROJETO!B7&gt;0,E29/DADOS_PROJETO!B7,0)</f>
        <v/>
      </c>
    </row>
    <row r="30">
      <c r="A30" s="11" t="inlineStr">
        <is>
          <t>Mestre de Obras</t>
        </is>
      </c>
      <c r="B30" s="21" t="n">
        <v>1</v>
      </c>
      <c r="C30" s="5" t="n">
        <v>10000</v>
      </c>
      <c r="D30" s="21" t="n">
        <v>30</v>
      </c>
      <c r="E30" s="7">
        <f>B30*C30*D30</f>
        <v/>
      </c>
      <c r="F30" s="7">
        <f>IF(DADOS_PROJETO!B7&gt;0,E30/DADOS_PROJETO!B7,0)</f>
        <v/>
      </c>
    </row>
    <row r="31">
      <c r="A31" s="11" t="inlineStr">
        <is>
          <t>Almoxarife</t>
        </is>
      </c>
      <c r="B31" s="21" t="n">
        <v>1</v>
      </c>
      <c r="C31" s="5" t="n">
        <v>5500</v>
      </c>
      <c r="D31" s="21" t="n">
        <v>28</v>
      </c>
      <c r="E31" s="7">
        <f>B31*C31*D31</f>
        <v/>
      </c>
      <c r="F31" s="7">
        <f>IF(DADOS_PROJETO!B7&gt;0,E31/DADOS_PROJETO!B7,0)</f>
        <v/>
      </c>
    </row>
    <row r="32">
      <c r="A32" s="11" t="inlineStr">
        <is>
          <t>Técnico Segurança</t>
        </is>
      </c>
      <c r="B32" s="21" t="n">
        <v>1</v>
      </c>
      <c r="C32" s="5" t="n">
        <v>7000</v>
      </c>
      <c r="D32" s="21" t="n">
        <v>30</v>
      </c>
      <c r="E32" s="7">
        <f>B32*C32*D32</f>
        <v/>
      </c>
      <c r="F32" s="7">
        <f>IF(DADOS_PROJETO!B7&gt;0,E32/DADOS_PROJETO!B7,0)</f>
        <v/>
      </c>
    </row>
    <row r="33">
      <c r="A33" s="11" t="inlineStr">
        <is>
          <t>Administrativo Obra</t>
        </is>
      </c>
      <c r="B33" s="21" t="n">
        <v>1</v>
      </c>
      <c r="C33" s="5" t="n">
        <v>5000</v>
      </c>
      <c r="D33" s="21" t="n">
        <v>30</v>
      </c>
      <c r="E33" s="7">
        <f>B33*C33*D33</f>
        <v/>
      </c>
      <c r="F33" s="7">
        <f>IF(DADOS_PROJETO!B7&gt;0,E33/DADOS_PROJETO!B7,0)</f>
        <v/>
      </c>
    </row>
    <row r="34">
      <c r="A34" s="11" t="inlineStr">
        <is>
          <t>Estagiários</t>
        </is>
      </c>
      <c r="B34" s="21" t="n">
        <v>2</v>
      </c>
      <c r="C34" s="5" t="n">
        <v>2500</v>
      </c>
      <c r="D34" s="21" t="n">
        <v>24</v>
      </c>
      <c r="E34" s="7">
        <f>B34*C34*D34</f>
        <v/>
      </c>
      <c r="F34" s="7">
        <f>IF(DADOS_PROJETO!B7&gt;0,E34/DADOS_PROJETO!B7,0)</f>
        <v/>
      </c>
    </row>
    <row r="35">
      <c r="A35" s="3" t="inlineStr">
        <is>
          <t>Subtotal Equipe ADM</t>
        </is>
      </c>
      <c r="E35" s="7">
        <f>SUM(E29:E34)</f>
        <v/>
      </c>
      <c r="F35" s="7">
        <f>IF(DADOS_PROJETO!B7&gt;0,E35/DADOS_PROJETO!B7,0)</f>
        <v/>
      </c>
    </row>
    <row r="37">
      <c r="A37" s="19" t="inlineStr">
        <is>
          <t>EPCs (PROTEÇÃO COLETIVA)</t>
        </is>
      </c>
      <c r="B37" s="24" t="n"/>
      <c r="C37" s="24" t="n"/>
      <c r="D37" s="24" t="n"/>
      <c r="E37" s="24" t="n"/>
      <c r="F37" s="18" t="n"/>
    </row>
    <row r="38">
      <c r="A38" s="10" t="inlineStr">
        <is>
          <t>Item</t>
        </is>
      </c>
      <c r="B38" s="10" t="inlineStr">
        <is>
          <t>Valor (R$)</t>
        </is>
      </c>
      <c r="C38" s="10" t="inlineStr">
        <is>
          <t>R$/m²</t>
        </is>
      </c>
      <c r="D38" s="10" t="inlineStr"/>
      <c r="E38" s="10" t="inlineStr"/>
      <c r="F38" s="10" t="inlineStr"/>
    </row>
    <row r="39">
      <c r="A39" s="11" t="inlineStr">
        <is>
          <t>Bandeja de Proteção</t>
        </is>
      </c>
      <c r="B39" s="5" t="n">
        <v>120000</v>
      </c>
      <c r="C39" s="7">
        <f>IF(DADOS_PROJETO!B7&gt;0,B39/DADOS_PROJETO!B7,0)</f>
        <v/>
      </c>
    </row>
    <row r="40">
      <c r="A40" s="11" t="inlineStr">
        <is>
          <t>Guarda-corpo</t>
        </is>
      </c>
      <c r="B40" s="5" t="n">
        <v>85000</v>
      </c>
      <c r="C40" s="7">
        <f>IF(DADOS_PROJETO!B7&gt;0,B40/DADOS_PROJETO!B7,0)</f>
        <v/>
      </c>
    </row>
    <row r="41">
      <c r="A41" s="11" t="inlineStr">
        <is>
          <t>Tela de Proteção</t>
        </is>
      </c>
      <c r="B41" s="5" t="n">
        <v>95000</v>
      </c>
      <c r="C41" s="7">
        <f>IF(DADOS_PROJETO!B7&gt;0,B41/DADOS_PROJETO!B7,0)</f>
        <v/>
      </c>
    </row>
    <row r="42">
      <c r="A42" s="11" t="inlineStr">
        <is>
          <t>Linha de Vida</t>
        </is>
      </c>
      <c r="B42" s="5" t="n">
        <v>45000</v>
      </c>
      <c r="C42" s="7">
        <f>IF(DADOS_PROJETO!B7&gt;0,B42/DADOS_PROJETO!B7,0)</f>
        <v/>
      </c>
    </row>
    <row r="43">
      <c r="A43" s="11" t="inlineStr">
        <is>
          <t>Sinalização</t>
        </is>
      </c>
      <c r="B43" s="5" t="n">
        <v>15000</v>
      </c>
      <c r="C43" s="7">
        <f>IF(DADOS_PROJETO!B7&gt;0,B43/DADOS_PROJETO!B7,0)</f>
        <v/>
      </c>
    </row>
    <row r="44">
      <c r="A44" s="11" t="inlineStr">
        <is>
          <t>Outros EPCs</t>
        </is>
      </c>
      <c r="B44" s="5" t="n">
        <v>25000</v>
      </c>
      <c r="C44" s="7">
        <f>IF(DADOS_PROJETO!B7&gt;0,B44/DADOS_PROJETO!B7,0)</f>
        <v/>
      </c>
    </row>
    <row r="45">
      <c r="A45" s="3" t="inlineStr">
        <is>
          <t>Subtotal EPCs</t>
        </is>
      </c>
      <c r="B45" s="7">
        <f>SUM(B39:B44)</f>
        <v/>
      </c>
      <c r="C45" s="7">
        <f>IF(DADOS_PROJETO!B7&gt;0,B45/DADOS_PROJETO!B7,0)</f>
        <v/>
      </c>
    </row>
    <row r="47">
      <c r="A47" s="19" t="inlineStr">
        <is>
          <t>EQUIPAMENTOS</t>
        </is>
      </c>
      <c r="B47" s="24" t="n"/>
      <c r="C47" s="24" t="n"/>
      <c r="D47" s="24" t="n"/>
      <c r="E47" s="24" t="n"/>
      <c r="F47" s="18" t="n"/>
    </row>
    <row r="48">
      <c r="A48" s="10" t="inlineStr">
        <is>
          <t>Equipamento</t>
        </is>
      </c>
      <c r="B48" s="10" t="inlineStr">
        <is>
          <t>Valor (R$)</t>
        </is>
      </c>
      <c r="C48" s="10" t="inlineStr">
        <is>
          <t>R$/m²</t>
        </is>
      </c>
      <c r="D48" s="10" t="inlineStr"/>
      <c r="E48" s="10" t="inlineStr"/>
      <c r="F48" s="10" t="inlineStr"/>
    </row>
    <row r="49">
      <c r="A49" s="11" t="inlineStr">
        <is>
          <t>Cremalheira</t>
        </is>
      </c>
      <c r="B49" s="5" t="n">
        <v>480000</v>
      </c>
      <c r="C49" s="7">
        <f>IF(DADOS_PROJETO!B7&gt;0,B49/DADOS_PROJETO!B7,0)</f>
        <v/>
      </c>
    </row>
    <row r="50">
      <c r="A50" s="11" t="inlineStr">
        <is>
          <t>Grua / Guindaste</t>
        </is>
      </c>
      <c r="B50" s="5" t="n">
        <v>360000</v>
      </c>
      <c r="C50" s="7">
        <f>IF(DADOS_PROJETO!B7&gt;0,B50/DADOS_PROJETO!B7,0)</f>
        <v/>
      </c>
    </row>
    <row r="51">
      <c r="A51" s="11" t="inlineStr">
        <is>
          <t>Balancins</t>
        </is>
      </c>
      <c r="B51" s="5" t="n">
        <v>180000</v>
      </c>
      <c r="C51" s="7">
        <f>IF(DADOS_PROJETO!B7&gt;0,B51/DADOS_PROJETO!B7,0)</f>
        <v/>
      </c>
    </row>
    <row r="52">
      <c r="A52" s="11" t="inlineStr">
        <is>
          <t>Mini-Grua</t>
        </is>
      </c>
      <c r="B52" s="5" t="n">
        <v>0</v>
      </c>
      <c r="C52" s="7">
        <f>IF(DADOS_PROJETO!B7&gt;0,B52/DADOS_PROJETO!B7,0)</f>
        <v/>
      </c>
    </row>
    <row r="53">
      <c r="A53" s="11" t="inlineStr">
        <is>
          <t>Outros Equipamentos</t>
        </is>
      </c>
      <c r="B53" s="5" t="n">
        <v>60000</v>
      </c>
      <c r="C53" s="7">
        <f>IF(DADOS_PROJETO!B7&gt;0,B53/DADOS_PROJETO!B7,0)</f>
        <v/>
      </c>
    </row>
    <row r="54">
      <c r="A54" s="3" t="inlineStr">
        <is>
          <t>Subtotal Equipamentos</t>
        </is>
      </c>
      <c r="B54" s="7">
        <f>SUM(B49:B53)</f>
        <v/>
      </c>
      <c r="C54" s="7">
        <f>IF(DADOS_PROJETO!B7&gt;0,B54/DADOS_PROJETO!B7,0)</f>
        <v/>
      </c>
    </row>
    <row r="56">
      <c r="A56" s="19" t="inlineStr">
        <is>
          <t>ENSAIOS TECNOLÓGICOS</t>
        </is>
      </c>
      <c r="B56" s="24" t="n"/>
      <c r="C56" s="24" t="n"/>
      <c r="D56" s="24" t="n"/>
      <c r="E56" s="24" t="n"/>
      <c r="F56" s="18" t="n"/>
    </row>
    <row r="57">
      <c r="A57" s="10" t="inlineStr">
        <is>
          <t>Descrição</t>
        </is>
      </c>
      <c r="B57" s="10" t="inlineStr">
        <is>
          <t>Valor (R$)</t>
        </is>
      </c>
      <c r="C57" s="10" t="inlineStr">
        <is>
          <t>R$/m²</t>
        </is>
      </c>
      <c r="D57" s="10" t="inlineStr"/>
      <c r="E57" s="10" t="inlineStr"/>
      <c r="F57" s="10" t="inlineStr"/>
    </row>
    <row r="58">
      <c r="A58" s="11" t="inlineStr">
        <is>
          <t>Concreto (corpos de prova)</t>
        </is>
      </c>
      <c r="B58" s="5" t="n">
        <v>65000</v>
      </c>
      <c r="C58" s="7">
        <f>IF(DADOS_PROJETO!B7&gt;0,B58/DADOS_PROJETO!B7,0)</f>
        <v/>
      </c>
    </row>
    <row r="59">
      <c r="A59" s="11" t="inlineStr">
        <is>
          <t>Aço</t>
        </is>
      </c>
      <c r="B59" s="5" t="n">
        <v>25000</v>
      </c>
      <c r="C59" s="7">
        <f>IF(DADOS_PROJETO!B7&gt;0,B59/DADOS_PROJETO!B7,0)</f>
        <v/>
      </c>
    </row>
    <row r="60">
      <c r="A60" s="11" t="inlineStr">
        <is>
          <t>Solo / Fundações</t>
        </is>
      </c>
      <c r="B60" s="5" t="n">
        <v>45000</v>
      </c>
      <c r="C60" s="7">
        <f>IF(DADOS_PROJETO!B7&gt;0,B60/DADOS_PROJETO!B7,0)</f>
        <v/>
      </c>
    </row>
    <row r="61">
      <c r="A61" s="11" t="inlineStr">
        <is>
          <t>Estanqueidade</t>
        </is>
      </c>
      <c r="B61" s="5" t="n">
        <v>20000</v>
      </c>
      <c r="C61" s="7">
        <f>IF(DADOS_PROJETO!B7&gt;0,B61/DADOS_PROJETO!B7,0)</f>
        <v/>
      </c>
    </row>
    <row r="62">
      <c r="A62" s="11" t="inlineStr">
        <is>
          <t>Outros Ensaios</t>
        </is>
      </c>
      <c r="B62" s="5" t="n">
        <v>15000</v>
      </c>
      <c r="C62" s="7">
        <f>IF(DADOS_PROJETO!B7&gt;0,B62/DADOS_PROJETO!B7,0)</f>
        <v/>
      </c>
    </row>
    <row r="63">
      <c r="A63" s="3" t="inlineStr">
        <is>
          <t>Subtotal Ensaios</t>
        </is>
      </c>
      <c r="B63" s="7">
        <f>SUM(B58:B62)</f>
        <v/>
      </c>
      <c r="C63" s="7">
        <f>IF(DADOS_PROJETO!B7&gt;0,B63/DADOS_PROJETO!B7,0)</f>
        <v/>
      </c>
    </row>
    <row r="65">
      <c r="A65" s="19" t="inlineStr">
        <is>
          <t>RESUMO CUSTOS INDIRETOS</t>
        </is>
      </c>
      <c r="B65" s="24" t="n"/>
      <c r="C65" s="24" t="n"/>
      <c r="D65" s="24" t="n"/>
      <c r="E65" s="24" t="n"/>
      <c r="F65" s="18" t="n"/>
    </row>
    <row r="66">
      <c r="A66" s="11" t="inlineStr">
        <is>
          <t>Projetos e Consultorias</t>
        </is>
      </c>
      <c r="B66" s="7">
        <f>B15</f>
        <v/>
      </c>
      <c r="C66" s="7">
        <f>IF(DADOS_PROJETO!B7&gt;0,B66/DADOS_PROJETO!B7,0)</f>
        <v/>
      </c>
    </row>
    <row r="67">
      <c r="A67" s="11" t="inlineStr">
        <is>
          <t>Taxas e Licenças</t>
        </is>
      </c>
      <c r="B67" s="7">
        <f>B25</f>
        <v/>
      </c>
      <c r="C67" s="7">
        <f>IF(DADOS_PROJETO!B7&gt;0,B67/DADOS_PROJETO!B7,0)</f>
        <v/>
      </c>
    </row>
    <row r="68">
      <c r="A68" s="11" t="inlineStr">
        <is>
          <t>Equipe ADM</t>
        </is>
      </c>
      <c r="B68" s="7">
        <f>E35</f>
        <v/>
      </c>
      <c r="C68" s="7">
        <f>IF(DADOS_PROJETO!B7&gt;0,B68/DADOS_PROJETO!B7,0)</f>
        <v/>
      </c>
    </row>
    <row r="69">
      <c r="A69" s="11" t="inlineStr">
        <is>
          <t>EPCs</t>
        </is>
      </c>
      <c r="B69" s="7">
        <f>B45</f>
        <v/>
      </c>
      <c r="C69" s="7">
        <f>IF(DADOS_PROJETO!B7&gt;0,B69/DADOS_PROJETO!B7,0)</f>
        <v/>
      </c>
    </row>
    <row r="70">
      <c r="A70" s="11" t="inlineStr">
        <is>
          <t>Equipamentos</t>
        </is>
      </c>
      <c r="B70" s="7">
        <f>B54</f>
        <v/>
      </c>
      <c r="C70" s="7">
        <f>IF(DADOS_PROJETO!B7&gt;0,B70/DADOS_PROJETO!B7,0)</f>
        <v/>
      </c>
    </row>
    <row r="71">
      <c r="A71" s="11" t="inlineStr">
        <is>
          <t>Ensaios Tecnológicos</t>
        </is>
      </c>
      <c r="B71" s="7">
        <f>B63</f>
        <v/>
      </c>
      <c r="C71" s="7">
        <f>IF(DADOS_PROJETO!B7&gt;0,B71/DADOS_PROJETO!B7,0)</f>
        <v/>
      </c>
    </row>
    <row r="72">
      <c r="A72" s="3" t="inlineStr">
        <is>
          <t>TOTAL CUSTOS INDIRETOS</t>
        </is>
      </c>
      <c r="B72" s="7">
        <f>SUM(B66:B71)</f>
        <v/>
      </c>
      <c r="C72" s="7">
        <f>IF(DADOS_PROJETO!B7&gt;0,B72/DADOS_PROJETO!B7,0)</f>
        <v/>
      </c>
    </row>
    <row r="73">
      <c r="A73" s="3" t="inlineStr">
        <is>
          <t>% CI sobre Custo Total</t>
        </is>
      </c>
      <c r="B73" s="12">
        <f>IF(CUSTOS_MACROGRUPO!C21&gt;0,B72/CUSTOS_MACROGRUPO!C21,0)</f>
        <v/>
      </c>
    </row>
  </sheetData>
  <mergeCells count="8">
    <mergeCell ref="A47:F47"/>
    <mergeCell ref="A1:F1"/>
    <mergeCell ref="A37:F37"/>
    <mergeCell ref="A27:F27"/>
    <mergeCell ref="A17:F17"/>
    <mergeCell ref="A56:F56"/>
    <mergeCell ref="A3:F3"/>
    <mergeCell ref="A65:F6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9" t="inlineStr">
        <is>
          <t>BENCHMARK — PROJETOS DE REFERÊNCIA</t>
        </is>
      </c>
    </row>
    <row r="3">
      <c r="A3" s="10" t="inlineStr">
        <is>
          <t>Projeto</t>
        </is>
      </c>
      <c r="B3" s="10" t="inlineStr">
        <is>
          <t>Cidade</t>
        </is>
      </c>
      <c r="C3" s="10" t="inlineStr">
        <is>
          <t>AC (m²)</t>
        </is>
      </c>
      <c r="D3" s="10" t="inlineStr">
        <is>
          <t>NP</t>
        </is>
      </c>
      <c r="E3" s="10" t="inlineStr">
        <is>
          <t>Prazo (meses)</t>
        </is>
      </c>
      <c r="F3" s="10" t="inlineStr">
        <is>
          <t>CUB (R$/m²)</t>
        </is>
      </c>
      <c r="G3" s="10" t="inlineStr">
        <is>
          <t>R$/m²</t>
        </is>
      </c>
      <c r="H3" s="10" t="inlineStr">
        <is>
          <t>CUB Ratio</t>
        </is>
      </c>
    </row>
    <row r="4">
      <c r="A4" s="4" t="inlineStr">
        <is>
          <t>By Seasons</t>
        </is>
      </c>
      <c r="B4" s="4" t="inlineStr">
        <is>
          <t>Itapema/SC</t>
        </is>
      </c>
      <c r="C4" s="21" t="n">
        <v>6348</v>
      </c>
      <c r="D4" s="21" t="n"/>
      <c r="E4" s="21" t="n"/>
      <c r="F4" s="5" t="n">
        <v>2839</v>
      </c>
      <c r="G4" s="5" t="n">
        <v>3520</v>
      </c>
      <c r="H4" s="8">
        <f>IF(F4&gt;0,G4/F4,0)</f>
        <v/>
      </c>
    </row>
    <row r="5">
      <c r="A5" s="4" t="inlineStr">
        <is>
          <t>ETR Mediterrâneo</t>
        </is>
      </c>
      <c r="B5" s="4" t="inlineStr">
        <is>
          <t>Itapema/SC</t>
        </is>
      </c>
      <c r="C5" s="21" t="n">
        <v>4617</v>
      </c>
      <c r="D5" s="21" t="n"/>
      <c r="E5" s="21" t="n"/>
      <c r="F5" s="5" t="n">
        <v>2855</v>
      </c>
      <c r="G5" s="5" t="n">
        <v>4197</v>
      </c>
      <c r="H5" s="8">
        <f>IF(F5&gt;0,G5/F5,0)</f>
        <v/>
      </c>
    </row>
    <row r="6">
      <c r="A6" s="4" t="inlineStr">
        <is>
          <t>Meia Praia 298</t>
        </is>
      </c>
      <c r="B6" s="4" t="inlineStr">
        <is>
          <t>Itapema/SC</t>
        </is>
      </c>
      <c r="C6" s="21" t="n">
        <v>10618</v>
      </c>
      <c r="D6" s="21" t="n"/>
      <c r="E6" s="21" t="n"/>
      <c r="F6" s="5" t="n">
        <v>2719</v>
      </c>
      <c r="G6" s="5" t="n">
        <v>3535</v>
      </c>
      <c r="H6" s="8">
        <f>IF(F6&gt;0,G6/F6,0)</f>
        <v/>
      </c>
    </row>
    <row r="7">
      <c r="A7" s="4" t="inlineStr">
        <is>
          <t>Meia Praia Eternity</t>
        </is>
      </c>
      <c r="B7" s="4" t="inlineStr">
        <is>
          <t>Itapema/SC</t>
        </is>
      </c>
      <c r="C7" s="21" t="n">
        <v>11893</v>
      </c>
      <c r="D7" s="21" t="n"/>
      <c r="E7" s="21" t="n"/>
      <c r="F7" s="5" t="n">
        <v>2720</v>
      </c>
      <c r="G7" s="5" t="n">
        <v>3482</v>
      </c>
      <c r="H7" s="8">
        <f>IF(F7&gt;0,G7/F7,0)</f>
        <v/>
      </c>
    </row>
    <row r="8">
      <c r="A8" s="4" t="inlineStr">
        <is>
          <t>Lorenzo Gabriel</t>
        </is>
      </c>
      <c r="B8" s="4" t="inlineStr">
        <is>
          <t>Itapema/SC</t>
        </is>
      </c>
      <c r="C8" s="21" t="n">
        <v>8525</v>
      </c>
      <c r="D8" s="21" t="n"/>
      <c r="E8" s="21" t="n"/>
      <c r="F8" s="5" t="n">
        <v>2840</v>
      </c>
      <c r="G8" s="5" t="n">
        <v>3778</v>
      </c>
      <c r="H8" s="8">
        <f>IF(F8&gt;0,G8/F8,0)</f>
        <v/>
      </c>
    </row>
    <row r="9">
      <c r="A9" s="4" t="inlineStr">
        <is>
          <t>Ferrazzo Viva Perequê</t>
        </is>
      </c>
      <c r="B9" s="4" t="inlineStr">
        <is>
          <t>Porto Belo/SC</t>
        </is>
      </c>
      <c r="C9" s="21" t="n">
        <v>5576</v>
      </c>
      <c r="D9" s="21" t="n"/>
      <c r="E9" s="21" t="n"/>
      <c r="F9" s="5" t="n">
        <v>2971</v>
      </c>
      <c r="G9" s="5" t="n">
        <v>4129</v>
      </c>
      <c r="H9" s="8">
        <f>IF(F9&gt;0,G9/F9,0)</f>
        <v/>
      </c>
    </row>
    <row r="10">
      <c r="A10" s="4" t="inlineStr">
        <is>
          <t>EZE Canto Grande</t>
        </is>
      </c>
      <c r="B10" s="4" t="inlineStr">
        <is>
          <t>Bombinhas/SC</t>
        </is>
      </c>
      <c r="C10" s="21" t="n">
        <v>1611</v>
      </c>
      <c r="D10" s="21" t="n"/>
      <c r="E10" s="21" t="n"/>
      <c r="F10" s="5" t="n">
        <v>2467</v>
      </c>
      <c r="G10" s="5" t="n">
        <v>3627</v>
      </c>
      <c r="H10" s="8">
        <f>IF(F10&gt;0,G10/F10,0)</f>
        <v/>
      </c>
    </row>
    <row r="11">
      <c r="A11" s="4" t="inlineStr">
        <is>
          <t>EZE Eilat</t>
        </is>
      </c>
      <c r="B11" s="4" t="inlineStr">
        <is>
          <t>Bombinhas/SC</t>
        </is>
      </c>
      <c r="C11" s="21" t="n">
        <v>1767</v>
      </c>
      <c r="D11" s="21" t="n"/>
      <c r="E11" s="21" t="n"/>
      <c r="F11" s="5" t="n">
        <v>2759</v>
      </c>
      <c r="G11" s="5" t="n">
        <v>3642</v>
      </c>
      <c r="H11" s="8">
        <f>IF(F11&gt;0,G11/F11,0)</f>
        <v/>
      </c>
    </row>
    <row r="12">
      <c r="A12" s="4" t="n"/>
      <c r="B12" s="4" t="n"/>
      <c r="C12" s="21" t="n"/>
      <c r="D12" s="21" t="n"/>
      <c r="E12" s="21" t="n"/>
      <c r="F12" s="5" t="n"/>
      <c r="G12" s="5" t="n"/>
      <c r="H12" s="8">
        <f>IF(F12&gt;0,G12/F12,0)</f>
        <v/>
      </c>
    </row>
    <row r="13">
      <c r="A13" s="4" t="n"/>
      <c r="B13" s="4" t="n"/>
      <c r="C13" s="21" t="n"/>
      <c r="D13" s="21" t="n"/>
      <c r="E13" s="21" t="n"/>
      <c r="F13" s="5" t="n"/>
      <c r="G13" s="5" t="n"/>
      <c r="H13" s="8">
        <f>IF(F13&gt;0,G13/F13,0)</f>
        <v/>
      </c>
    </row>
    <row r="14">
      <c r="A14" s="3" t="inlineStr">
        <is>
          <t>MÉDIA</t>
        </is>
      </c>
      <c r="C14" s="23">
        <f>IF(COUNTA(C4:C13)&gt;0,AVERAGE(C4:C13),0)</f>
        <v/>
      </c>
      <c r="D14" s="23">
        <f>IF(COUNTA(D4:D13)&gt;0,AVERAGE(D4:D13),0)</f>
        <v/>
      </c>
      <c r="E14" s="23">
        <f>IF(COUNTA(E4:E13)&gt;0,AVERAGE(E4:E13),0)</f>
        <v/>
      </c>
      <c r="F14" s="7">
        <f>IF(COUNTA(F4:F13)&gt;0,AVERAGE(F4:F13),0)</f>
        <v/>
      </c>
      <c r="G14" s="7">
        <f>IF(COUNTA(G4:G13)&gt;0,AVERAGE(G4:G13),0)</f>
        <v/>
      </c>
      <c r="H14" s="8">
        <f>IF(COUNTA(H4:H13)&gt;0,AVERAGE(H4:H13),0)</f>
        <v/>
      </c>
    </row>
    <row r="17">
      <c r="A17" s="6" t="inlineStr">
        <is>
          <t>COMPARATIVO R$/m² POR MACROGRUPO</t>
        </is>
      </c>
    </row>
    <row r="19">
      <c r="A19" s="10" t="inlineStr">
        <is>
          <t>#</t>
        </is>
      </c>
      <c r="B19" s="10" t="inlineStr">
        <is>
          <t>Macrogrupo</t>
        </is>
      </c>
      <c r="C19" s="10" t="inlineStr">
        <is>
          <t>Este Projeto (R$/m²)</t>
        </is>
      </c>
      <c r="D19" s="10" t="inlineStr">
        <is>
          <t>Média Referências (R$/m²)</t>
        </is>
      </c>
      <c r="E19" s="10" t="inlineStr">
        <is>
          <t>Desvio (%)</t>
        </is>
      </c>
    </row>
    <row r="20">
      <c r="A20" s="11" t="n">
        <v>1</v>
      </c>
      <c r="B20" s="11" t="inlineStr">
        <is>
          <t>Gerenciamento Técnico/Admin</t>
        </is>
      </c>
      <c r="C20" s="7">
        <f>CUSTOS_MACROGRUPO!D3</f>
        <v/>
      </c>
      <c r="D20" s="5" t="n">
        <v>448.65</v>
      </c>
      <c r="E20" s="12">
        <f>IF(D20&gt;0,(C20-D20)/D20,0)</f>
        <v/>
      </c>
    </row>
    <row r="21">
      <c r="A21" s="11" t="n">
        <v>2</v>
      </c>
      <c r="B21" s="11" t="inlineStr">
        <is>
          <t>Movimentação de Terra</t>
        </is>
      </c>
      <c r="C21" s="7">
        <f>CUSTOS_MACROGRUPO!D4</f>
        <v/>
      </c>
      <c r="D21" s="5" t="n">
        <v>37.39</v>
      </c>
      <c r="E21" s="12">
        <f>IF(D21&gt;0,(C21-D21)/D21,0)</f>
        <v/>
      </c>
    </row>
    <row r="22">
      <c r="A22" s="11" t="n">
        <v>3</v>
      </c>
      <c r="B22" s="11" t="inlineStr">
        <is>
          <t>Infraestrutura</t>
        </is>
      </c>
      <c r="C22" s="7">
        <f>CUSTOS_MACROGRUPO!D5</f>
        <v/>
      </c>
      <c r="D22" s="5" t="n">
        <v>186.94</v>
      </c>
      <c r="E22" s="12">
        <f>IF(D22&gt;0,(C22-D22)/D22,0)</f>
        <v/>
      </c>
    </row>
    <row r="23">
      <c r="A23" s="11" t="n">
        <v>4</v>
      </c>
      <c r="B23" s="11" t="inlineStr">
        <is>
          <t>Supraestrutura</t>
        </is>
      </c>
      <c r="C23" s="7">
        <f>CUSTOS_MACROGRUPO!D6</f>
        <v/>
      </c>
      <c r="D23" s="5" t="n">
        <v>1046.85</v>
      </c>
      <c r="E23" s="12">
        <f>IF(D23&gt;0,(C23-D23)/D23,0)</f>
        <v/>
      </c>
    </row>
    <row r="24">
      <c r="A24" s="11" t="n">
        <v>5</v>
      </c>
      <c r="B24" s="11" t="inlineStr">
        <is>
          <t>Alvenaria</t>
        </is>
      </c>
      <c r="C24" s="7">
        <f>CUSTOS_MACROGRUPO!D7</f>
        <v/>
      </c>
      <c r="D24" s="5" t="n">
        <v>186.94</v>
      </c>
      <c r="E24" s="12">
        <f>IF(D24&gt;0,(C24-D24)/D24,0)</f>
        <v/>
      </c>
    </row>
    <row r="25">
      <c r="A25" s="11" t="n">
        <v>6</v>
      </c>
      <c r="B25" s="11" t="inlineStr">
        <is>
          <t>Impermeabilização</t>
        </is>
      </c>
      <c r="C25" s="7">
        <f>CUSTOS_MACROGRUPO!D8</f>
        <v/>
      </c>
      <c r="D25" s="5" t="n">
        <v>74.78</v>
      </c>
      <c r="E25" s="12">
        <f>IF(D25&gt;0,(C25-D25)/D25,0)</f>
        <v/>
      </c>
    </row>
    <row r="26">
      <c r="A26" s="11" t="n">
        <v>7</v>
      </c>
      <c r="B26" s="11" t="inlineStr">
        <is>
          <t>Instalações (agrupado)</t>
        </is>
      </c>
      <c r="C26" s="7">
        <f>CUSTOS_MACROGRUPO!D9</f>
        <v/>
      </c>
      <c r="D26" s="5" t="n">
        <v>373.88</v>
      </c>
      <c r="E26" s="12">
        <f>IF(D26&gt;0,(C26-D26)/D26,0)</f>
        <v/>
      </c>
    </row>
    <row r="27">
      <c r="A27" s="11" t="n">
        <v>8</v>
      </c>
      <c r="B27" s="11" t="inlineStr">
        <is>
          <t>Sistemas Especiais</t>
        </is>
      </c>
      <c r="C27" s="7">
        <f>CUSTOS_MACROGRUPO!D10</f>
        <v/>
      </c>
      <c r="D27" s="5" t="n">
        <v>149.55</v>
      </c>
      <c r="E27" s="12">
        <f>IF(D27&gt;0,(C27-D27)/D27,0)</f>
        <v/>
      </c>
    </row>
    <row r="28">
      <c r="A28" s="11" t="n">
        <v>9</v>
      </c>
      <c r="B28" s="11" t="inlineStr">
        <is>
          <t>Climatização</t>
        </is>
      </c>
      <c r="C28" s="7">
        <f>CUSTOS_MACROGRUPO!D11</f>
        <v/>
      </c>
      <c r="D28" s="5" t="n">
        <v>74.78</v>
      </c>
      <c r="E28" s="12">
        <f>IF(D28&gt;0,(C28-D28)/D28,0)</f>
        <v/>
      </c>
    </row>
    <row r="29">
      <c r="A29" s="11" t="n">
        <v>10</v>
      </c>
      <c r="B29" s="11" t="inlineStr">
        <is>
          <t>Rev. Internos Parede</t>
        </is>
      </c>
      <c r="C29" s="7">
        <f>CUSTOS_MACROGRUPO!D12</f>
        <v/>
      </c>
      <c r="D29" s="5" t="n">
        <v>224.32</v>
      </c>
      <c r="E29" s="12">
        <f>IF(D29&gt;0,(C29-D29)/D29,0)</f>
        <v/>
      </c>
    </row>
    <row r="30">
      <c r="A30" s="11" t="n">
        <v>11</v>
      </c>
      <c r="B30" s="11" t="inlineStr">
        <is>
          <t>Teto</t>
        </is>
      </c>
      <c r="C30" s="7">
        <f>CUSTOS_MACROGRUPO!D13</f>
        <v/>
      </c>
      <c r="D30" s="5" t="n">
        <v>74.78</v>
      </c>
      <c r="E30" s="12">
        <f>IF(D30&gt;0,(C30-D30)/D30,0)</f>
        <v/>
      </c>
    </row>
    <row r="31">
      <c r="A31" s="11" t="n">
        <v>12</v>
      </c>
      <c r="B31" s="11" t="inlineStr">
        <is>
          <t>Pisos</t>
        </is>
      </c>
      <c r="C31" s="7">
        <f>CUSTOS_MACROGRUPO!D14</f>
        <v/>
      </c>
      <c r="D31" s="5" t="n">
        <v>186.94</v>
      </c>
      <c r="E31" s="12">
        <f>IF(D31&gt;0,(C31-D31)/D31,0)</f>
        <v/>
      </c>
    </row>
    <row r="32">
      <c r="A32" s="11" t="n">
        <v>13</v>
      </c>
      <c r="B32" s="11" t="inlineStr">
        <is>
          <t>Pintura</t>
        </is>
      </c>
      <c r="C32" s="7">
        <f>CUSTOS_MACROGRUPO!D15</f>
        <v/>
      </c>
      <c r="D32" s="5" t="n">
        <v>112.16</v>
      </c>
      <c r="E32" s="12">
        <f>IF(D32&gt;0,(C32-D32)/D32,0)</f>
        <v/>
      </c>
    </row>
    <row r="33">
      <c r="A33" s="11" t="n">
        <v>14</v>
      </c>
      <c r="B33" s="11" t="inlineStr">
        <is>
          <t>Esquadrias</t>
        </is>
      </c>
      <c r="C33" s="7">
        <f>CUSTOS_MACROGRUPO!D16</f>
        <v/>
      </c>
      <c r="D33" s="5" t="n">
        <v>261.71</v>
      </c>
      <c r="E33" s="12">
        <f>IF(D33&gt;0,(C33-D33)/D33,0)</f>
        <v/>
      </c>
    </row>
    <row r="34">
      <c r="A34" s="11" t="n">
        <v>15</v>
      </c>
      <c r="B34" s="11" t="inlineStr">
        <is>
          <t>Louças e Metais</t>
        </is>
      </c>
      <c r="C34" s="7">
        <f>CUSTOS_MACROGRUPO!D17</f>
        <v/>
      </c>
      <c r="D34" s="5" t="n">
        <v>74.78</v>
      </c>
      <c r="E34" s="12">
        <f>IF(D34&gt;0,(C34-D34)/D34,0)</f>
        <v/>
      </c>
    </row>
    <row r="35">
      <c r="A35" s="11" t="n">
        <v>16</v>
      </c>
      <c r="B35" s="11" t="inlineStr">
        <is>
          <t>Fachada</t>
        </is>
      </c>
      <c r="C35" s="7">
        <f>CUSTOS_MACROGRUPO!D18</f>
        <v/>
      </c>
      <c r="D35" s="5" t="n">
        <v>149.55</v>
      </c>
      <c r="E35" s="12">
        <f>IF(D35&gt;0,(C35-D35)/D35,0)</f>
        <v/>
      </c>
    </row>
    <row r="36">
      <c r="A36" s="11" t="n">
        <v>17</v>
      </c>
      <c r="B36" s="11" t="inlineStr">
        <is>
          <t>Complementares</t>
        </is>
      </c>
      <c r="C36" s="7">
        <f>CUSTOS_MACROGRUPO!D19</f>
        <v/>
      </c>
      <c r="D36" s="5" t="n">
        <v>74.78</v>
      </c>
      <c r="E36" s="12">
        <f>IF(D36&gt;0,(C36-D36)/D36,0)</f>
        <v/>
      </c>
    </row>
    <row r="37">
      <c r="A37" s="11" t="n">
        <v>18</v>
      </c>
      <c r="B37" s="11" t="inlineStr">
        <is>
          <t>Imprevistos</t>
        </is>
      </c>
      <c r="C37" s="7">
        <f>CUSTOS_MACROGRUPO!D20</f>
        <v/>
      </c>
      <c r="D37" s="5" t="n">
        <v>0</v>
      </c>
      <c r="E37" s="12">
        <f>IF(D37&gt;0,(C37-D37)/D37,0)</f>
        <v/>
      </c>
    </row>
    <row r="40">
      <c r="A40" s="6" t="inlineStr">
        <is>
          <t>FAIXAS TÍPICAS — BASE CARTESIAN</t>
        </is>
      </c>
    </row>
    <row r="41">
      <c r="A41" s="2" t="inlineStr">
        <is>
          <t>Padrão Alto SC: R$/m² 3.000 – 4.500 | CUB ratio 1,05 – 1,50</t>
        </is>
      </c>
    </row>
    <row r="42">
      <c r="A42" s="2" t="inlineStr">
        <is>
          <t>Supraestrutura: tipicamente 25% – 35% do custo total</t>
        </is>
      </c>
    </row>
    <row r="43">
      <c r="A43" s="2" t="inlineStr">
        <is>
          <t>Instalações: tipicamente 8% – 15% do custo total</t>
        </is>
      </c>
    </row>
    <row r="44">
      <c r="A44" s="2" t="inlineStr">
        <is>
          <t>Custos Indiretos: tipicamente 10% – 20% do custo total</t>
        </is>
      </c>
    </row>
    <row r="45">
      <c r="A45" s="2" t="inlineStr">
        <is>
          <t>Base de referência: 40 projetos Cartesian Engenharia</t>
        </is>
      </c>
    </row>
  </sheetData>
  <mergeCells count="3">
    <mergeCell ref="A17:E17"/>
    <mergeCell ref="A40:E40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74C3C"/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9" t="inlineStr">
        <is>
          <t>PAINEL DE ALERTAS</t>
        </is>
      </c>
    </row>
    <row r="2">
      <c r="A2" s="2" t="inlineStr">
        <is>
          <t>Resumo automático dos macrogrupos fora da faixa de benchmark</t>
        </is>
      </c>
    </row>
    <row r="4">
      <c r="A4" s="10" t="inlineStr">
        <is>
          <t>#</t>
        </is>
      </c>
      <c r="B4" s="10" t="inlineStr">
        <is>
          <t>Macrogrupo</t>
        </is>
      </c>
      <c r="C4" s="10" t="inlineStr">
        <is>
          <t>R$/m²</t>
        </is>
      </c>
      <c r="D4" s="10" t="inlineStr">
        <is>
          <t>Faixa Min</t>
        </is>
      </c>
      <c r="E4" s="10" t="inlineStr">
        <is>
          <t>Faixa Max</t>
        </is>
      </c>
      <c r="F4" s="10" t="inlineStr">
        <is>
          <t>Situação</t>
        </is>
      </c>
    </row>
    <row r="5">
      <c r="A5" s="11" t="n">
        <v>1</v>
      </c>
      <c r="B5" s="11" t="inlineStr">
        <is>
          <t>Gerenciamento Técnico/Admin</t>
        </is>
      </c>
      <c r="C5" s="7">
        <f>CUSTOS_MACROGRUPO!D3</f>
        <v/>
      </c>
      <c r="D5" s="7">
        <f>CUSTOS_MACROGRUPO!F3</f>
        <v/>
      </c>
      <c r="E5" s="7">
        <f>CUSTOS_MACROGRUPO!G3</f>
        <v/>
      </c>
      <c r="F5" s="13">
        <f>IF(C5=0,"—",IF(C5&gt;E5,"⚠️ Acima da Faixa",IF(C5&lt;D5,"🔽 Abaixo da Faixa","✅ Dentro da Faixa")))</f>
        <v/>
      </c>
    </row>
    <row r="6">
      <c r="A6" s="11" t="n">
        <v>2</v>
      </c>
      <c r="B6" s="11" t="inlineStr">
        <is>
          <t>Movimentação de Terra</t>
        </is>
      </c>
      <c r="C6" s="7">
        <f>CUSTOS_MACROGRUPO!D4</f>
        <v/>
      </c>
      <c r="D6" s="7">
        <f>CUSTOS_MACROGRUPO!F4</f>
        <v/>
      </c>
      <c r="E6" s="7">
        <f>CUSTOS_MACROGRUPO!G4</f>
        <v/>
      </c>
      <c r="F6" s="13">
        <f>IF(C6=0,"—",IF(C6&gt;E6,"⚠️ Acima da Faixa",IF(C6&lt;D6,"🔽 Abaixo da Faixa","✅ Dentro da Faixa")))</f>
        <v/>
      </c>
    </row>
    <row r="7">
      <c r="A7" s="11" t="n">
        <v>3</v>
      </c>
      <c r="B7" s="11" t="inlineStr">
        <is>
          <t>Infraestrutura</t>
        </is>
      </c>
      <c r="C7" s="7">
        <f>CUSTOS_MACROGRUPO!D5</f>
        <v/>
      </c>
      <c r="D7" s="7">
        <f>CUSTOS_MACROGRUPO!F5</f>
        <v/>
      </c>
      <c r="E7" s="7">
        <f>CUSTOS_MACROGRUPO!G5</f>
        <v/>
      </c>
      <c r="F7" s="13">
        <f>IF(C7=0,"—",IF(C7&gt;E7,"⚠️ Acima da Faixa",IF(C7&lt;D7,"🔽 Abaixo da Faixa","✅ Dentro da Faixa")))</f>
        <v/>
      </c>
    </row>
    <row r="8">
      <c r="A8" s="11" t="n">
        <v>4</v>
      </c>
      <c r="B8" s="11" t="inlineStr">
        <is>
          <t>Supraestrutura</t>
        </is>
      </c>
      <c r="C8" s="7">
        <f>CUSTOS_MACROGRUPO!D6</f>
        <v/>
      </c>
      <c r="D8" s="7">
        <f>CUSTOS_MACROGRUPO!F6</f>
        <v/>
      </c>
      <c r="E8" s="7">
        <f>CUSTOS_MACROGRUPO!G6</f>
        <v/>
      </c>
      <c r="F8" s="13">
        <f>IF(C8=0,"—",IF(C8&gt;E8,"⚠️ Acima da Faixa",IF(C8&lt;D8,"🔽 Abaixo da Faixa","✅ Dentro da Faixa")))</f>
        <v/>
      </c>
    </row>
    <row r="9">
      <c r="A9" s="11" t="n">
        <v>5</v>
      </c>
      <c r="B9" s="11" t="inlineStr">
        <is>
          <t>Alvenaria</t>
        </is>
      </c>
      <c r="C9" s="7">
        <f>CUSTOS_MACROGRUPO!D7</f>
        <v/>
      </c>
      <c r="D9" s="7">
        <f>CUSTOS_MACROGRUPO!F7</f>
        <v/>
      </c>
      <c r="E9" s="7">
        <f>CUSTOS_MACROGRUPO!G7</f>
        <v/>
      </c>
      <c r="F9" s="13">
        <f>IF(C9=0,"—",IF(C9&gt;E9,"⚠️ Acima da Faixa",IF(C9&lt;D9,"🔽 Abaixo da Faixa","✅ Dentro da Faixa")))</f>
        <v/>
      </c>
    </row>
    <row r="10">
      <c r="A10" s="11" t="n">
        <v>6</v>
      </c>
      <c r="B10" s="11" t="inlineStr">
        <is>
          <t>Impermeabilização</t>
        </is>
      </c>
      <c r="C10" s="7">
        <f>CUSTOS_MACROGRUPO!D8</f>
        <v/>
      </c>
      <c r="D10" s="7">
        <f>CUSTOS_MACROGRUPO!F8</f>
        <v/>
      </c>
      <c r="E10" s="7">
        <f>CUSTOS_MACROGRUPO!G8</f>
        <v/>
      </c>
      <c r="F10" s="13">
        <f>IF(C10=0,"—",IF(C10&gt;E10,"⚠️ Acima da Faixa",IF(C10&lt;D10,"🔽 Abaixo da Faixa","✅ Dentro da Faixa")))</f>
        <v/>
      </c>
    </row>
    <row r="11">
      <c r="A11" s="11" t="n">
        <v>7</v>
      </c>
      <c r="B11" s="11" t="inlineStr">
        <is>
          <t>Instalações (agrupado)</t>
        </is>
      </c>
      <c r="C11" s="7">
        <f>CUSTOS_MACROGRUPO!D9</f>
        <v/>
      </c>
      <c r="D11" s="7">
        <f>CUSTOS_MACROGRUPO!F9</f>
        <v/>
      </c>
      <c r="E11" s="7">
        <f>CUSTOS_MACROGRUPO!G9</f>
        <v/>
      </c>
      <c r="F11" s="13">
        <f>IF(C11=0,"—",IF(C11&gt;E11,"⚠️ Acima da Faixa",IF(C11&lt;D11,"🔽 Abaixo da Faixa","✅ Dentro da Faixa")))</f>
        <v/>
      </c>
    </row>
    <row r="12">
      <c r="A12" s="11" t="n">
        <v>8</v>
      </c>
      <c r="B12" s="11" t="inlineStr">
        <is>
          <t>Sistemas Especiais</t>
        </is>
      </c>
      <c r="C12" s="7">
        <f>CUSTOS_MACROGRUPO!D10</f>
        <v/>
      </c>
      <c r="D12" s="7">
        <f>CUSTOS_MACROGRUPO!F10</f>
        <v/>
      </c>
      <c r="E12" s="7">
        <f>CUSTOS_MACROGRUPO!G10</f>
        <v/>
      </c>
      <c r="F12" s="13">
        <f>IF(C12=0,"—",IF(C12&gt;E12,"⚠️ Acima da Faixa",IF(C12&lt;D12,"🔽 Abaixo da Faixa","✅ Dentro da Faixa")))</f>
        <v/>
      </c>
    </row>
    <row r="13">
      <c r="A13" s="11" t="n">
        <v>9</v>
      </c>
      <c r="B13" s="11" t="inlineStr">
        <is>
          <t>Climatização</t>
        </is>
      </c>
      <c r="C13" s="7">
        <f>CUSTOS_MACROGRUPO!D11</f>
        <v/>
      </c>
      <c r="D13" s="7">
        <f>CUSTOS_MACROGRUPO!F11</f>
        <v/>
      </c>
      <c r="E13" s="7">
        <f>CUSTOS_MACROGRUPO!G11</f>
        <v/>
      </c>
      <c r="F13" s="13">
        <f>IF(C13=0,"—",IF(C13&gt;E13,"⚠️ Acima da Faixa",IF(C13&lt;D13,"🔽 Abaixo da Faixa","✅ Dentro da Faixa")))</f>
        <v/>
      </c>
    </row>
    <row r="14">
      <c r="A14" s="11" t="n">
        <v>10</v>
      </c>
      <c r="B14" s="11" t="inlineStr">
        <is>
          <t>Rev. Internos Parede</t>
        </is>
      </c>
      <c r="C14" s="7">
        <f>CUSTOS_MACROGRUPO!D12</f>
        <v/>
      </c>
      <c r="D14" s="7">
        <f>CUSTOS_MACROGRUPO!F12</f>
        <v/>
      </c>
      <c r="E14" s="7">
        <f>CUSTOS_MACROGRUPO!G12</f>
        <v/>
      </c>
      <c r="F14" s="13">
        <f>IF(C14=0,"—",IF(C14&gt;E14,"⚠️ Acima da Faixa",IF(C14&lt;D14,"🔽 Abaixo da Faixa","✅ Dentro da Faixa")))</f>
        <v/>
      </c>
    </row>
    <row r="15">
      <c r="A15" s="11" t="n">
        <v>11</v>
      </c>
      <c r="B15" s="11" t="inlineStr">
        <is>
          <t>Teto</t>
        </is>
      </c>
      <c r="C15" s="7">
        <f>CUSTOS_MACROGRUPO!D13</f>
        <v/>
      </c>
      <c r="D15" s="7">
        <f>CUSTOS_MACROGRUPO!F13</f>
        <v/>
      </c>
      <c r="E15" s="7">
        <f>CUSTOS_MACROGRUPO!G13</f>
        <v/>
      </c>
      <c r="F15" s="13">
        <f>IF(C15=0,"—",IF(C15&gt;E15,"⚠️ Acima da Faixa",IF(C15&lt;D15,"🔽 Abaixo da Faixa","✅ Dentro da Faixa")))</f>
        <v/>
      </c>
    </row>
    <row r="16">
      <c r="A16" s="11" t="n">
        <v>12</v>
      </c>
      <c r="B16" s="11" t="inlineStr">
        <is>
          <t>Pisos</t>
        </is>
      </c>
      <c r="C16" s="7">
        <f>CUSTOS_MACROGRUPO!D14</f>
        <v/>
      </c>
      <c r="D16" s="7">
        <f>CUSTOS_MACROGRUPO!F14</f>
        <v/>
      </c>
      <c r="E16" s="7">
        <f>CUSTOS_MACROGRUPO!G14</f>
        <v/>
      </c>
      <c r="F16" s="13">
        <f>IF(C16=0,"—",IF(C16&gt;E16,"⚠️ Acima da Faixa",IF(C16&lt;D16,"🔽 Abaixo da Faixa","✅ Dentro da Faixa")))</f>
        <v/>
      </c>
    </row>
    <row r="17">
      <c r="A17" s="11" t="n">
        <v>13</v>
      </c>
      <c r="B17" s="11" t="inlineStr">
        <is>
          <t>Pintura</t>
        </is>
      </c>
      <c r="C17" s="7">
        <f>CUSTOS_MACROGRUPO!D15</f>
        <v/>
      </c>
      <c r="D17" s="7">
        <f>CUSTOS_MACROGRUPO!F15</f>
        <v/>
      </c>
      <c r="E17" s="7">
        <f>CUSTOS_MACROGRUPO!G15</f>
        <v/>
      </c>
      <c r="F17" s="13">
        <f>IF(C17=0,"—",IF(C17&gt;E17,"⚠️ Acima da Faixa",IF(C17&lt;D17,"🔽 Abaixo da Faixa","✅ Dentro da Faixa")))</f>
        <v/>
      </c>
    </row>
    <row r="18">
      <c r="A18" s="11" t="n">
        <v>14</v>
      </c>
      <c r="B18" s="11" t="inlineStr">
        <is>
          <t>Esquadrias</t>
        </is>
      </c>
      <c r="C18" s="7">
        <f>CUSTOS_MACROGRUPO!D16</f>
        <v/>
      </c>
      <c r="D18" s="7">
        <f>CUSTOS_MACROGRUPO!F16</f>
        <v/>
      </c>
      <c r="E18" s="7">
        <f>CUSTOS_MACROGRUPO!G16</f>
        <v/>
      </c>
      <c r="F18" s="13">
        <f>IF(C18=0,"—",IF(C18&gt;E18,"⚠️ Acima da Faixa",IF(C18&lt;D18,"🔽 Abaixo da Faixa","✅ Dentro da Faixa")))</f>
        <v/>
      </c>
    </row>
    <row r="19">
      <c r="A19" s="11" t="n">
        <v>15</v>
      </c>
      <c r="B19" s="11" t="inlineStr">
        <is>
          <t>Louças e Metais</t>
        </is>
      </c>
      <c r="C19" s="7">
        <f>CUSTOS_MACROGRUPO!D17</f>
        <v/>
      </c>
      <c r="D19" s="7">
        <f>CUSTOS_MACROGRUPO!F17</f>
        <v/>
      </c>
      <c r="E19" s="7">
        <f>CUSTOS_MACROGRUPO!G17</f>
        <v/>
      </c>
      <c r="F19" s="13">
        <f>IF(C19=0,"—",IF(C19&gt;E19,"⚠️ Acima da Faixa",IF(C19&lt;D19,"🔽 Abaixo da Faixa","✅ Dentro da Faixa")))</f>
        <v/>
      </c>
    </row>
    <row r="20">
      <c r="A20" s="11" t="n">
        <v>16</v>
      </c>
      <c r="B20" s="11" t="inlineStr">
        <is>
          <t>Fachada</t>
        </is>
      </c>
      <c r="C20" s="7">
        <f>CUSTOS_MACROGRUPO!D18</f>
        <v/>
      </c>
      <c r="D20" s="7">
        <f>CUSTOS_MACROGRUPO!F18</f>
        <v/>
      </c>
      <c r="E20" s="7">
        <f>CUSTOS_MACROGRUPO!G18</f>
        <v/>
      </c>
      <c r="F20" s="13">
        <f>IF(C20=0,"—",IF(C20&gt;E20,"⚠️ Acima da Faixa",IF(C20&lt;D20,"🔽 Abaixo da Faixa","✅ Dentro da Faixa")))</f>
        <v/>
      </c>
    </row>
    <row r="21">
      <c r="A21" s="11" t="n">
        <v>17</v>
      </c>
      <c r="B21" s="11" t="inlineStr">
        <is>
          <t>Complementares</t>
        </is>
      </c>
      <c r="C21" s="7">
        <f>CUSTOS_MACROGRUPO!D19</f>
        <v/>
      </c>
      <c r="D21" s="7">
        <f>CUSTOS_MACROGRUPO!F19</f>
        <v/>
      </c>
      <c r="E21" s="7">
        <f>CUSTOS_MACROGRUPO!G19</f>
        <v/>
      </c>
      <c r="F21" s="13">
        <f>IF(C21=0,"—",IF(C21&gt;E21,"⚠️ Acima da Faixa",IF(C21&lt;D21,"🔽 Abaixo da Faixa","✅ Dentro da Faixa")))</f>
        <v/>
      </c>
    </row>
    <row r="22">
      <c r="A22" s="11" t="n">
        <v>18</v>
      </c>
      <c r="B22" s="11" t="inlineStr">
        <is>
          <t>Imprevistos</t>
        </is>
      </c>
      <c r="C22" s="7">
        <f>CUSTOS_MACROGRUPO!D20</f>
        <v/>
      </c>
      <c r="D22" s="7">
        <f>CUSTOS_MACROGRUPO!F20</f>
        <v/>
      </c>
      <c r="E22" s="7">
        <f>CUSTOS_MACROGRUPO!G20</f>
        <v/>
      </c>
      <c r="F22" s="13">
        <f>IF(C22=0,"—",IF(C22&gt;E22,"⚠️ Acima da Faixa",IF(C22&lt;D22,"🔽 Abaixo da Faixa","✅ Dentro da Faixa")))</f>
        <v/>
      </c>
    </row>
    <row r="25">
      <c r="A25" s="6" t="inlineStr">
        <is>
          <t>RESUMO</t>
        </is>
      </c>
    </row>
    <row r="26">
      <c r="A26" s="3" t="inlineStr">
        <is>
          <t>⚠️ Acima da Faixa:</t>
        </is>
      </c>
      <c r="B26" s="23">
        <f>COUNTIF(F5:F22,"*Acima*")</f>
        <v/>
      </c>
    </row>
    <row r="27">
      <c r="A27" s="3" t="inlineStr">
        <is>
          <t>✅ Dentro da Faixa:</t>
        </is>
      </c>
      <c r="B27" s="23">
        <f>COUNTIF(F5:F22,"*Dentro*")</f>
        <v/>
      </c>
    </row>
    <row r="28">
      <c r="A28" s="3" t="inlineStr">
        <is>
          <t>🔽 Abaixo da Faixa:</t>
        </is>
      </c>
      <c r="B28" s="23">
        <f>COUNTIF(F5:F22,"*Abaixo*")</f>
        <v/>
      </c>
    </row>
    <row r="29">
      <c r="A29" s="3" t="inlineStr">
        <is>
          <t>— Sem dados:</t>
        </is>
      </c>
      <c r="B29" s="23">
        <f>COUNTIF(F5:F22,"—")</f>
        <v/>
      </c>
    </row>
  </sheetData>
  <mergeCells count="3">
    <mergeCell ref="A2:F2"/>
    <mergeCell ref="A1:F1"/>
    <mergeCell ref="A25:F25"/>
  </mergeCells>
  <conditionalFormatting sqref="F5:F22">
    <cfRule type="expression" priority="1" dxfId="3">
      <formula>SEARCH("Acima",F5)&gt;0</formula>
    </cfRule>
    <cfRule type="expression" priority="2" dxfId="4">
      <formula>SEARCH("Abaixo",F5)&gt;0</formula>
    </cfRule>
    <cfRule type="expression" priority="3" dxfId="5">
      <formula>SEARCH("Dentro",F5)&gt;0</formula>
    </cfRule>
  </conditionalFormatting>
  <conditionalFormatting sqref="C5">
    <cfRule type="expression" priority="4" dxfId="2">
      <formula>C5&gt;E5</formula>
    </cfRule>
    <cfRule type="expression" priority="5" dxfId="1">
      <formula>C5&lt;D5</formula>
    </cfRule>
  </conditionalFormatting>
  <conditionalFormatting sqref="C6">
    <cfRule type="expression" priority="6" dxfId="2">
      <formula>C6&gt;E6</formula>
    </cfRule>
    <cfRule type="expression" priority="7" dxfId="1">
      <formula>C6&lt;D6</formula>
    </cfRule>
  </conditionalFormatting>
  <conditionalFormatting sqref="C7">
    <cfRule type="expression" priority="8" dxfId="2">
      <formula>C7&gt;E7</formula>
    </cfRule>
    <cfRule type="expression" priority="9" dxfId="1">
      <formula>C7&lt;D7</formula>
    </cfRule>
  </conditionalFormatting>
  <conditionalFormatting sqref="C8">
    <cfRule type="expression" priority="10" dxfId="2">
      <formula>C8&gt;E8</formula>
    </cfRule>
    <cfRule type="expression" priority="11" dxfId="1">
      <formula>C8&lt;D8</formula>
    </cfRule>
  </conditionalFormatting>
  <conditionalFormatting sqref="C9">
    <cfRule type="expression" priority="12" dxfId="2">
      <formula>C9&gt;E9</formula>
    </cfRule>
    <cfRule type="expression" priority="13" dxfId="1">
      <formula>C9&lt;D9</formula>
    </cfRule>
  </conditionalFormatting>
  <conditionalFormatting sqref="C10">
    <cfRule type="expression" priority="14" dxfId="2">
      <formula>C10&gt;E10</formula>
    </cfRule>
    <cfRule type="expression" priority="15" dxfId="1">
      <formula>C10&lt;D10</formula>
    </cfRule>
  </conditionalFormatting>
  <conditionalFormatting sqref="C11">
    <cfRule type="expression" priority="16" dxfId="2">
      <formula>C11&gt;E11</formula>
    </cfRule>
    <cfRule type="expression" priority="17" dxfId="1">
      <formula>C11&lt;D11</formula>
    </cfRule>
  </conditionalFormatting>
  <conditionalFormatting sqref="C12">
    <cfRule type="expression" priority="18" dxfId="2">
      <formula>C12&gt;E12</formula>
    </cfRule>
    <cfRule type="expression" priority="19" dxfId="1">
      <formula>C12&lt;D12</formula>
    </cfRule>
  </conditionalFormatting>
  <conditionalFormatting sqref="C13">
    <cfRule type="expression" priority="20" dxfId="2">
      <formula>C13&gt;E13</formula>
    </cfRule>
    <cfRule type="expression" priority="21" dxfId="1">
      <formula>C13&lt;D13</formula>
    </cfRule>
  </conditionalFormatting>
  <conditionalFormatting sqref="C14">
    <cfRule type="expression" priority="22" dxfId="2">
      <formula>C14&gt;E14</formula>
    </cfRule>
    <cfRule type="expression" priority="23" dxfId="1">
      <formula>C14&lt;D14</formula>
    </cfRule>
  </conditionalFormatting>
  <conditionalFormatting sqref="C15">
    <cfRule type="expression" priority="24" dxfId="2">
      <formula>C15&gt;E15</formula>
    </cfRule>
    <cfRule type="expression" priority="25" dxfId="1">
      <formula>C15&lt;D15</formula>
    </cfRule>
  </conditionalFormatting>
  <conditionalFormatting sqref="C16">
    <cfRule type="expression" priority="26" dxfId="2">
      <formula>C16&gt;E16</formula>
    </cfRule>
    <cfRule type="expression" priority="27" dxfId="1">
      <formula>C16&lt;D16</formula>
    </cfRule>
  </conditionalFormatting>
  <conditionalFormatting sqref="C17">
    <cfRule type="expression" priority="28" dxfId="2">
      <formula>C17&gt;E17</formula>
    </cfRule>
    <cfRule type="expression" priority="29" dxfId="1">
      <formula>C17&lt;D17</formula>
    </cfRule>
  </conditionalFormatting>
  <conditionalFormatting sqref="C18">
    <cfRule type="expression" priority="30" dxfId="2">
      <formula>C18&gt;E18</formula>
    </cfRule>
    <cfRule type="expression" priority="31" dxfId="1">
      <formula>C18&lt;D18</formula>
    </cfRule>
  </conditionalFormatting>
  <conditionalFormatting sqref="C19">
    <cfRule type="expression" priority="32" dxfId="2">
      <formula>C19&gt;E19</formula>
    </cfRule>
    <cfRule type="expression" priority="33" dxfId="1">
      <formula>C19&lt;D19</formula>
    </cfRule>
  </conditionalFormatting>
  <conditionalFormatting sqref="C20">
    <cfRule type="expression" priority="34" dxfId="2">
      <formula>C20&gt;E20</formula>
    </cfRule>
    <cfRule type="expression" priority="35" dxfId="1">
      <formula>C20&lt;D20</formula>
    </cfRule>
  </conditionalFormatting>
  <conditionalFormatting sqref="C21">
    <cfRule type="expression" priority="36" dxfId="2">
      <formula>C21&gt;E21</formula>
    </cfRule>
    <cfRule type="expression" priority="37" dxfId="1">
      <formula>C21&lt;D21</formula>
    </cfRule>
  </conditionalFormatting>
  <conditionalFormatting sqref="C22">
    <cfRule type="expression" priority="38" dxfId="2">
      <formula>C22&gt;E22</formula>
    </cfRule>
    <cfRule type="expression" priority="39" dxfId="1">
      <formula>C22&lt;D22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8" customWidth="1" min="4" max="4"/>
    <col width="16" customWidth="1" min="5" max="5"/>
    <col width="16" customWidth="1" min="6" max="6"/>
    <col width="18" customWidth="1" min="7" max="7"/>
    <col width="22" customWidth="1" min="8" max="8"/>
  </cols>
  <sheetData>
    <row r="1">
      <c r="A1" s="84" t="inlineStr">
        <is>
          <t>ANÁLISE DE PRODUTO</t>
        </is>
      </c>
    </row>
    <row r="2">
      <c r="A2" s="2" t="inlineStr">
        <is>
          <t>Índices calculados a partir do orçamento paramétrico (17 projetos) e dados de mercado</t>
        </is>
      </c>
    </row>
    <row r="4">
      <c r="A4" s="85" t="inlineStr">
        <is>
          <t>A. DADOS DO EMPREENDIMENTO</t>
        </is>
      </c>
    </row>
    <row r="5">
      <c r="A5" s="86" t="inlineStr">
        <is>
          <t>Parâmetro</t>
        </is>
      </c>
      <c r="B5" s="86" t="inlineStr">
        <is>
          <t>Valor</t>
        </is>
      </c>
      <c r="C5" s="86" t="inlineStr">
        <is>
          <t>Unidade</t>
        </is>
      </c>
      <c r="D5" s="86" t="inlineStr">
        <is>
          <t>Fonte</t>
        </is>
      </c>
      <c r="E5" s="86" t="inlineStr">
        <is>
          <t>Observação</t>
        </is>
      </c>
    </row>
    <row r="6">
      <c r="A6" s="87" t="inlineStr">
        <is>
          <t>Área Construída Total (AC)</t>
        </is>
      </c>
      <c r="B6" s="88">
        <f>DADOS_PROJETO!B7</f>
        <v/>
      </c>
      <c r="C6" s="89" t="inlineStr">
        <is>
          <t>m²</t>
        </is>
      </c>
      <c r="D6" s="89" t="inlineStr">
        <is>
          <t>Projeto</t>
        </is>
      </c>
      <c r="E6" s="87" t="inlineStr"/>
    </row>
    <row r="7">
      <c r="A7" s="87" t="inlineStr">
        <is>
          <t>Nº de Unidades Residenciais (UR)</t>
        </is>
      </c>
      <c r="B7" s="88">
        <f>DADOS_PROJETO!B8</f>
        <v/>
      </c>
      <c r="C7" s="89" t="inlineStr">
        <is>
          <t>un</t>
        </is>
      </c>
      <c r="D7" s="89" t="inlineStr">
        <is>
          <t>Projeto</t>
        </is>
      </c>
      <c r="E7" s="87" t="inlineStr"/>
    </row>
    <row r="8">
      <c r="A8" s="87" t="inlineStr">
        <is>
          <t>Nº de Vagas de Garagem</t>
        </is>
      </c>
      <c r="B8" s="88">
        <f>DADOS_PROJETO!B13</f>
        <v/>
      </c>
      <c r="C8" s="89" t="inlineStr">
        <is>
          <t>un</t>
        </is>
      </c>
      <c r="D8" s="89" t="inlineStr">
        <is>
          <t>Projeto</t>
        </is>
      </c>
      <c r="E8" s="87" t="inlineStr"/>
    </row>
    <row r="9">
      <c r="A9" s="87" t="inlineStr">
        <is>
          <t>Nº Pavimentos Tipo</t>
        </is>
      </c>
      <c r="B9" s="88">
        <f>DADOS_PROJETO!B10</f>
        <v/>
      </c>
      <c r="C9" s="89" t="inlineStr">
        <is>
          <t>un</t>
        </is>
      </c>
      <c r="D9" s="89" t="inlineStr">
        <is>
          <t>Projeto</t>
        </is>
      </c>
      <c r="E9" s="87" t="inlineStr"/>
    </row>
    <row r="10">
      <c r="A10" s="87" t="inlineStr">
        <is>
          <t>Área Privativa Média por UR</t>
        </is>
      </c>
      <c r="B10" s="90" t="n"/>
      <c r="C10" s="89" t="inlineStr">
        <is>
          <t>m²/un</t>
        </is>
      </c>
      <c r="D10" s="89" t="inlineStr">
        <is>
          <t>Input</t>
        </is>
      </c>
      <c r="E10" s="87" t="inlineStr">
        <is>
          <t>Preencher</t>
        </is>
      </c>
    </row>
    <row r="11">
      <c r="A11" s="87" t="inlineStr">
        <is>
          <t>Área Total do Terreno (AT)</t>
        </is>
      </c>
      <c r="B11" s="88">
        <f>DADOS_PROJETO!B14</f>
        <v/>
      </c>
      <c r="C11" s="89" t="inlineStr">
        <is>
          <t>m²</t>
        </is>
      </c>
      <c r="D11" s="89" t="inlineStr">
        <is>
          <t>Projeto</t>
        </is>
      </c>
      <c r="E11" s="87" t="inlineStr"/>
    </row>
    <row r="12">
      <c r="A12" s="87" t="inlineStr">
        <is>
          <t>Coef. Aproveitamento (CA)</t>
        </is>
      </c>
      <c r="B12" s="88">
        <f>IF(B11&gt;0,B6/B11,0)</f>
        <v/>
      </c>
      <c r="C12" s="89" t="inlineStr"/>
      <c r="D12" s="89" t="inlineStr">
        <is>
          <t>Calculado</t>
        </is>
      </c>
      <c r="E12" s="87" t="inlineStr">
        <is>
          <t>AC / AT</t>
        </is>
      </c>
    </row>
    <row r="13">
      <c r="A13" s="87" t="inlineStr">
        <is>
          <t>Preço Médio de Venda (VGV/UR)</t>
        </is>
      </c>
      <c r="B13" s="91" t="n"/>
      <c r="C13" s="89" t="inlineStr">
        <is>
          <t>R$/un</t>
        </is>
      </c>
      <c r="D13" s="89" t="inlineStr">
        <is>
          <t>Mercado</t>
        </is>
      </c>
      <c r="E13" s="87" t="inlineStr">
        <is>
          <t>Pesquisa local</t>
        </is>
      </c>
    </row>
    <row r="14">
      <c r="A14" s="87" t="inlineStr">
        <is>
          <t>VGV Total</t>
        </is>
      </c>
      <c r="B14" s="92">
        <f>B13*B7</f>
        <v/>
      </c>
      <c r="C14" s="89" t="inlineStr">
        <is>
          <t>R$</t>
        </is>
      </c>
      <c r="D14" s="89" t="inlineStr">
        <is>
          <t>Calculado</t>
        </is>
      </c>
      <c r="E14" s="87" t="inlineStr">
        <is>
          <t>Preço × UR</t>
        </is>
      </c>
    </row>
    <row r="15">
      <c r="A15" s="87" t="inlineStr">
        <is>
          <t>Custo Total Paramétrico</t>
        </is>
      </c>
      <c r="B15" s="92">
        <f>CUSTOS_MACROGRUPO!J21</f>
        <v/>
      </c>
      <c r="C15" s="89" t="inlineStr">
        <is>
          <t>R$</t>
        </is>
      </c>
      <c r="D15" s="89" t="inlineStr">
        <is>
          <t>Paramétrico</t>
        </is>
      </c>
      <c r="E15" s="87" t="inlineStr">
        <is>
          <t>Soma macrogrupos</t>
        </is>
      </c>
    </row>
    <row r="16">
      <c r="A16" s="87" t="inlineStr">
        <is>
          <t>Custo do Terreno</t>
        </is>
      </c>
      <c r="B16" s="91" t="n"/>
      <c r="C16" s="89" t="inlineStr">
        <is>
          <t>R$</t>
        </is>
      </c>
      <c r="D16" s="89" t="inlineStr">
        <is>
          <t>Input</t>
        </is>
      </c>
      <c r="E16" s="87" t="inlineStr">
        <is>
          <t>Valor pago pelo terreno</t>
        </is>
      </c>
    </row>
    <row r="19">
      <c r="A19" s="85" t="inlineStr">
        <is>
          <t>B. ÍNDICES DE PRODUTO</t>
        </is>
      </c>
    </row>
    <row r="20">
      <c r="A20" s="86" t="inlineStr">
        <is>
          <t>Índice</t>
        </is>
      </c>
      <c r="B20" s="86" t="inlineStr">
        <is>
          <t>Valor</t>
        </is>
      </c>
      <c r="C20" s="86" t="inlineStr">
        <is>
          <t>Unidade</t>
        </is>
      </c>
      <c r="D20" s="86" t="inlineStr">
        <is>
          <t>Fórmula</t>
        </is>
      </c>
      <c r="E20" s="86" t="inlineStr">
        <is>
          <t>Benchmark Mín</t>
        </is>
      </c>
      <c r="F20" s="86" t="inlineStr">
        <is>
          <t>Benchmark Máx</t>
        </is>
      </c>
      <c r="G20" s="86" t="inlineStr">
        <is>
          <t>Status</t>
        </is>
      </c>
      <c r="H20" s="86" t="inlineStr">
        <is>
          <t>Referência</t>
        </is>
      </c>
    </row>
    <row r="21">
      <c r="A21" s="87" t="inlineStr">
        <is>
          <t>Custo por m² (R$/m²)</t>
        </is>
      </c>
      <c r="B21" s="92">
        <f>B15/B6</f>
        <v/>
      </c>
      <c r="C21" s="89" t="inlineStr">
        <is>
          <t>R$/m²</t>
        </is>
      </c>
      <c r="D21" s="87" t="inlineStr">
        <is>
          <t>Custo / AC</t>
        </is>
      </c>
      <c r="E21" s="93" t="n">
        <v>2800</v>
      </c>
      <c r="F21" s="93" t="n">
        <v>5000</v>
      </c>
      <c r="G21" s="94">
        <f>IF(B21&lt;E21,"⬇ Abaixo",IF(B21&gt;F21,"⬆ Acima","✅ OK"))</f>
        <v/>
      </c>
      <c r="H21" s="87" t="inlineStr">
        <is>
          <t>Base: 17 projetos</t>
        </is>
      </c>
    </row>
    <row r="22">
      <c r="A22" s="87" t="inlineStr">
        <is>
          <t>Custo por Unidade (R$/UR)</t>
        </is>
      </c>
      <c r="B22" s="92">
        <f>IF(B7&gt;0,B15/B7,0)</f>
        <v/>
      </c>
      <c r="C22" s="89" t="inlineStr">
        <is>
          <t>R$/un</t>
        </is>
      </c>
      <c r="D22" s="87" t="inlineStr">
        <is>
          <t>Custo / UR</t>
        </is>
      </c>
      <c r="E22" s="93" t="n">
        <v>400000</v>
      </c>
      <c r="F22" s="93" t="n">
        <v>900000</v>
      </c>
      <c r="G22" s="94">
        <f>IF(B22&lt;E22,"⬇ Abaixo",IF(B22&gt;F22,"⬆ Acima","✅ OK"))</f>
        <v/>
      </c>
      <c r="H22" s="87" t="inlineStr">
        <is>
          <t>Base: 17 projetos</t>
        </is>
      </c>
    </row>
    <row r="23">
      <c r="A23" s="87" t="inlineStr">
        <is>
          <t>CUB Ratio</t>
        </is>
      </c>
      <c r="B23" s="95">
        <f>IF(DADOS_PROJETO!E7&gt;0,B21/DADOS_PROJETO!E7,0)</f>
        <v/>
      </c>
      <c r="C23" s="89" t="inlineStr"/>
      <c r="D23" s="87" t="inlineStr">
        <is>
          <t>R$/m² / CUB</t>
        </is>
      </c>
      <c r="E23" s="96" t="n">
        <v>1.05</v>
      </c>
      <c r="F23" s="96" t="n">
        <v>1.6</v>
      </c>
      <c r="G23" s="94">
        <f>IF(B23&lt;E23,"⬇ Abaixo",IF(B23&gt;F23,"⬆ Acima","✅ OK"))</f>
        <v/>
      </c>
      <c r="H23" s="87" t="inlineStr">
        <is>
          <t>Base: 17 projetos</t>
        </is>
      </c>
    </row>
    <row r="24">
      <c r="A24" s="87" t="inlineStr">
        <is>
          <t>Custo / VGV</t>
        </is>
      </c>
      <c r="B24" s="97">
        <f>IF(B14&gt;0,B15/B14,0)</f>
        <v/>
      </c>
      <c r="C24" s="89" t="inlineStr">
        <is>
          <t>%</t>
        </is>
      </c>
      <c r="D24" s="87" t="inlineStr">
        <is>
          <t>Custo / VGV</t>
        </is>
      </c>
      <c r="E24" s="98" t="n">
        <v>0.35</v>
      </c>
      <c r="F24" s="98" t="n">
        <v>0.55</v>
      </c>
      <c r="G24" s="94">
        <f>IF(B24&lt;E24,"⬇ Abaixo",IF(B24&gt;F24,"⬆ Acima","✅ OK"))</f>
        <v/>
      </c>
      <c r="H24" s="87" t="inlineStr">
        <is>
          <t>Base: 17 projetos</t>
        </is>
      </c>
    </row>
    <row r="25">
      <c r="A25" s="87" t="inlineStr">
        <is>
          <t>Margem Bruta Estimada</t>
        </is>
      </c>
      <c r="B25" s="97">
        <f>IF(B14&gt;0,1-B24,0)</f>
        <v/>
      </c>
      <c r="C25" s="89" t="inlineStr">
        <is>
          <t>%</t>
        </is>
      </c>
      <c r="D25" s="87" t="inlineStr">
        <is>
          <t>1 - Custo/VGV</t>
        </is>
      </c>
      <c r="E25" s="98" t="n">
        <v>0.45</v>
      </c>
      <c r="F25" s="98" t="n">
        <v>0.65</v>
      </c>
      <c r="G25" s="94">
        <f>IF(B25&lt;E25,"⬇ Abaixo",IF(B25&gt;F25,"⬆ Acima","✅ OK"))</f>
        <v/>
      </c>
      <c r="H25" s="87" t="inlineStr">
        <is>
          <t>Base: 17 projetos</t>
        </is>
      </c>
    </row>
    <row r="26">
      <c r="A26" s="87" t="inlineStr">
        <is>
          <t>Custo por Vaga</t>
        </is>
      </c>
      <c r="B26" s="92">
        <f>IF(B8&gt;0,B15/B8,0)</f>
        <v/>
      </c>
      <c r="C26" s="89" t="inlineStr">
        <is>
          <t>R$/vaga</t>
        </is>
      </c>
      <c r="D26" s="87" t="inlineStr">
        <is>
          <t>Custo / Vagas</t>
        </is>
      </c>
      <c r="E26" s="93" t="n">
        <v>200000</v>
      </c>
      <c r="F26" s="93" t="n">
        <v>600000</v>
      </c>
      <c r="G26" s="94">
        <f>IF(B26&lt;E26,"⬇ Abaixo",IF(B26&gt;F26,"⬆ Acima","✅ OK"))</f>
        <v/>
      </c>
      <c r="H26" s="87" t="inlineStr">
        <is>
          <t>Base: 17 projetos</t>
        </is>
      </c>
    </row>
    <row r="27">
      <c r="A27" s="87" t="inlineStr">
        <is>
          <t>AC por UR</t>
        </is>
      </c>
      <c r="B27" s="95">
        <f>IF(B7&gt;0,B6/B7,0)</f>
        <v/>
      </c>
      <c r="C27" s="89" t="inlineStr">
        <is>
          <t>m²/un</t>
        </is>
      </c>
      <c r="D27" s="87" t="inlineStr">
        <is>
          <t>AC / UR</t>
        </is>
      </c>
      <c r="E27" s="96" t="n">
        <v>150</v>
      </c>
      <c r="F27" s="96" t="n">
        <v>350</v>
      </c>
      <c r="G27" s="94">
        <f>IF(B27&lt;E27,"⬇ Abaixo",IF(B27&gt;F27,"⬆ Acima","✅ OK"))</f>
        <v/>
      </c>
      <c r="H27" s="87" t="inlineStr">
        <is>
          <t>Base: 17 projetos</t>
        </is>
      </c>
    </row>
    <row r="28">
      <c r="A28" s="87" t="inlineStr">
        <is>
          <t>Vagas por UR</t>
        </is>
      </c>
      <c r="B28" s="95">
        <f>IF(B7&gt;0,B8/B7,0)</f>
        <v/>
      </c>
      <c r="C28" s="89" t="inlineStr">
        <is>
          <t>vagas/un</t>
        </is>
      </c>
      <c r="D28" s="87" t="inlineStr">
        <is>
          <t>Vagas / UR</t>
        </is>
      </c>
      <c r="E28" s="96" t="n">
        <v>1</v>
      </c>
      <c r="F28" s="96" t="n">
        <v>2.5</v>
      </c>
      <c r="G28" s="94">
        <f>IF(B28&lt;E28,"⬇ Abaixo",IF(B28&gt;F28,"⬆ Acima","✅ OK"))</f>
        <v/>
      </c>
      <c r="H28" s="87" t="inlineStr">
        <is>
          <t>Base: 17 projetos</t>
        </is>
      </c>
    </row>
    <row r="29">
      <c r="A29" s="87" t="inlineStr">
        <is>
          <t>Incidência Terreno</t>
        </is>
      </c>
      <c r="B29" s="97">
        <f>IF(B14&gt;0,B16/B14,0)</f>
        <v/>
      </c>
      <c r="C29" s="89" t="inlineStr">
        <is>
          <t>%</t>
        </is>
      </c>
      <c r="D29" s="87" t="inlineStr">
        <is>
          <t>Terreno / VGV</t>
        </is>
      </c>
      <c r="E29" s="98" t="n">
        <v>0.1</v>
      </c>
      <c r="F29" s="98" t="n">
        <v>0.25</v>
      </c>
      <c r="G29" s="94">
        <f>IF(B29&lt;E29,"⬇ Abaixo",IF(B29&gt;F29,"⬆ Acima","✅ OK"))</f>
        <v/>
      </c>
      <c r="H29" s="87" t="inlineStr">
        <is>
          <t>Base: 17 projetos</t>
        </is>
      </c>
    </row>
    <row r="30">
      <c r="A30" s="87" t="inlineStr">
        <is>
          <t>Custo Total / m² Privativo</t>
        </is>
      </c>
      <c r="B30" s="92">
        <f>IF(B10&gt;0,B15/(B10*B7),0)</f>
        <v/>
      </c>
      <c r="C30" s="89" t="inlineStr">
        <is>
          <t>R$/m²priv</t>
        </is>
      </c>
      <c r="D30" s="87" t="inlineStr">
        <is>
          <t>Custo / Área Priv.</t>
        </is>
      </c>
      <c r="E30" s="93" t="n">
        <v>4000</v>
      </c>
      <c r="F30" s="93" t="n">
        <v>8000</v>
      </c>
      <c r="G30" s="94">
        <f>IF(B30&lt;E30,"⬇ Abaixo",IF(B30&gt;F30,"⬆ Acima","✅ OK"))</f>
        <v/>
      </c>
      <c r="H30" s="87" t="inlineStr">
        <is>
          <t>Base: 17 projetos</t>
        </is>
      </c>
    </row>
    <row r="33">
      <c r="A33" s="85" t="inlineStr">
        <is>
          <t>C. COMPOSIÇÃO DE CUSTO POR UNIDADE</t>
        </is>
      </c>
    </row>
    <row r="34">
      <c r="A34" s="86" t="inlineStr">
        <is>
          <t>Macrogrupo</t>
        </is>
      </c>
      <c r="B34" s="86" t="inlineStr">
        <is>
          <t>Custo Total</t>
        </is>
      </c>
      <c r="C34" s="86" t="inlineStr">
        <is>
          <t>% do Total</t>
        </is>
      </c>
      <c r="D34" s="86" t="inlineStr">
        <is>
          <t>R$/m²</t>
        </is>
      </c>
      <c r="E34" s="86" t="inlineStr">
        <is>
          <t>R$/UR</t>
        </is>
      </c>
      <c r="F34" s="86" t="inlineStr">
        <is>
          <t>Impacto</t>
        </is>
      </c>
    </row>
    <row r="35">
      <c r="A35" s="87" t="inlineStr">
        <is>
          <t>Gerenciamento</t>
        </is>
      </c>
      <c r="B35" s="92">
        <f>CUSTOS_MACROGRUPO!J3</f>
        <v/>
      </c>
      <c r="C35" s="97">
        <f>IF(B35&gt;0,B35/B15,0)</f>
        <v/>
      </c>
      <c r="D35" s="92">
        <f>IF(B6&gt;0,B35/B6,0)</f>
        <v/>
      </c>
      <c r="E35" s="92">
        <f>IF(B7&gt;0,B35/B7,0)</f>
        <v/>
      </c>
      <c r="F35" s="94">
        <f>IF(C35&gt;=0.1,"Alto impacto",IF(C35&gt;=0.05,"Médio","Baixo impacto"))</f>
        <v/>
      </c>
    </row>
    <row r="36">
      <c r="A36" s="87" t="inlineStr">
        <is>
          <t>Mov. Terra</t>
        </is>
      </c>
      <c r="B36" s="92">
        <f>CUSTOS_MACROGRUPO!J4</f>
        <v/>
      </c>
      <c r="C36" s="97">
        <f>IF(B36&gt;0,B36/B15,0)</f>
        <v/>
      </c>
      <c r="D36" s="92">
        <f>IF(B6&gt;0,B36/B6,0)</f>
        <v/>
      </c>
      <c r="E36" s="92">
        <f>IF(B7&gt;0,B36/B7,0)</f>
        <v/>
      </c>
      <c r="F36" s="94">
        <f>IF(C36&gt;=0.1,"Alto impacto",IF(C36&gt;=0.05,"Médio","Baixo impacto"))</f>
        <v/>
      </c>
    </row>
    <row r="37">
      <c r="A37" s="87" t="inlineStr">
        <is>
          <t>Infraestrutura</t>
        </is>
      </c>
      <c r="B37" s="92">
        <f>CUSTOS_MACROGRUPO!J5</f>
        <v/>
      </c>
      <c r="C37" s="97">
        <f>IF(B37&gt;0,B37/B15,0)</f>
        <v/>
      </c>
      <c r="D37" s="92">
        <f>IF(B6&gt;0,B37/B6,0)</f>
        <v/>
      </c>
      <c r="E37" s="92">
        <f>IF(B7&gt;0,B37/B7,0)</f>
        <v/>
      </c>
      <c r="F37" s="94">
        <f>IF(C37&gt;=0.1,"Alto impacto",IF(C37&gt;=0.05,"Médio","Baixo impacto"))</f>
        <v/>
      </c>
    </row>
    <row r="38">
      <c r="A38" s="87" t="inlineStr">
        <is>
          <t>Supraestrutura</t>
        </is>
      </c>
      <c r="B38" s="92">
        <f>CUSTOS_MACROGRUPO!J6</f>
        <v/>
      </c>
      <c r="C38" s="97">
        <f>IF(B38&gt;0,B38/B15,0)</f>
        <v/>
      </c>
      <c r="D38" s="92">
        <f>IF(B6&gt;0,B38/B6,0)</f>
        <v/>
      </c>
      <c r="E38" s="92">
        <f>IF(B7&gt;0,B38/B7,0)</f>
        <v/>
      </c>
      <c r="F38" s="94">
        <f>IF(C38&gt;=0.1,"Alto impacto",IF(C38&gt;=0.05,"Médio","Baixo impacto"))</f>
        <v/>
      </c>
    </row>
    <row r="39">
      <c r="A39" s="87" t="inlineStr">
        <is>
          <t>Alvenaria</t>
        </is>
      </c>
      <c r="B39" s="92">
        <f>CUSTOS_MACROGRUPO!J7</f>
        <v/>
      </c>
      <c r="C39" s="97">
        <f>IF(B39&gt;0,B39/B15,0)</f>
        <v/>
      </c>
      <c r="D39" s="92">
        <f>IF(B6&gt;0,B39/B6,0)</f>
        <v/>
      </c>
      <c r="E39" s="92">
        <f>IF(B7&gt;0,B39/B7,0)</f>
        <v/>
      </c>
      <c r="F39" s="94">
        <f>IF(C39&gt;=0.1,"Alto impacto",IF(C39&gt;=0.05,"Médio","Baixo impacto"))</f>
        <v/>
      </c>
    </row>
    <row r="40">
      <c r="A40" s="87" t="inlineStr">
        <is>
          <t>Impermeabilização</t>
        </is>
      </c>
      <c r="B40" s="92">
        <f>CUSTOS_MACROGRUPO!J8</f>
        <v/>
      </c>
      <c r="C40" s="97">
        <f>IF(B40&gt;0,B40/B15,0)</f>
        <v/>
      </c>
      <c r="D40" s="92">
        <f>IF(B6&gt;0,B40/B6,0)</f>
        <v/>
      </c>
      <c r="E40" s="92">
        <f>IF(B7&gt;0,B40/B7,0)</f>
        <v/>
      </c>
      <c r="F40" s="94">
        <f>IF(C40&gt;=0.1,"Alto impacto",IF(C40&gt;=0.05,"Médio","Baixo impacto"))</f>
        <v/>
      </c>
    </row>
    <row r="41">
      <c r="A41" s="87" t="inlineStr">
        <is>
          <t>Instalações</t>
        </is>
      </c>
      <c r="B41" s="92">
        <f>CUSTOS_MACROGRUPO!J9</f>
        <v/>
      </c>
      <c r="C41" s="97">
        <f>IF(B41&gt;0,B41/B15,0)</f>
        <v/>
      </c>
      <c r="D41" s="92">
        <f>IF(B6&gt;0,B41/B6,0)</f>
        <v/>
      </c>
      <c r="E41" s="92">
        <f>IF(B7&gt;0,B41/B7,0)</f>
        <v/>
      </c>
      <c r="F41" s="94">
        <f>IF(C41&gt;=0.1,"Alto impacto",IF(C41&gt;=0.05,"Médio","Baixo impacto"))</f>
        <v/>
      </c>
    </row>
    <row r="42">
      <c r="A42" s="87" t="inlineStr">
        <is>
          <t>Sist. Especiais</t>
        </is>
      </c>
      <c r="B42" s="92">
        <f>CUSTOS_MACROGRUPO!J10</f>
        <v/>
      </c>
      <c r="C42" s="97">
        <f>IF(B42&gt;0,B42/B15,0)</f>
        <v/>
      </c>
      <c r="D42" s="92">
        <f>IF(B6&gt;0,B42/B6,0)</f>
        <v/>
      </c>
      <c r="E42" s="92">
        <f>IF(B7&gt;0,B42/B7,0)</f>
        <v/>
      </c>
      <c r="F42" s="94">
        <f>IF(C42&gt;=0.1,"Alto impacto",IF(C42&gt;=0.05,"Médio","Baixo impacto"))</f>
        <v/>
      </c>
    </row>
    <row r="43">
      <c r="A43" s="87" t="inlineStr">
        <is>
          <t>Climatização</t>
        </is>
      </c>
      <c r="B43" s="92">
        <f>CUSTOS_MACROGRUPO!J11</f>
        <v/>
      </c>
      <c r="C43" s="97">
        <f>IF(B43&gt;0,B43/B15,0)</f>
        <v/>
      </c>
      <c r="D43" s="92">
        <f>IF(B6&gt;0,B43/B6,0)</f>
        <v/>
      </c>
      <c r="E43" s="92">
        <f>IF(B7&gt;0,B43/B7,0)</f>
        <v/>
      </c>
      <c r="F43" s="94">
        <f>IF(C43&gt;=0.1,"Alto impacto",IF(C43&gt;=0.05,"Médio","Baixo impacto"))</f>
        <v/>
      </c>
    </row>
    <row r="44">
      <c r="A44" s="87" t="inlineStr">
        <is>
          <t>Rev. Int. Parede</t>
        </is>
      </c>
      <c r="B44" s="92">
        <f>CUSTOS_MACROGRUPO!J12</f>
        <v/>
      </c>
      <c r="C44" s="97">
        <f>IF(B44&gt;0,B44/B15,0)</f>
        <v/>
      </c>
      <c r="D44" s="92">
        <f>IF(B6&gt;0,B44/B6,0)</f>
        <v/>
      </c>
      <c r="E44" s="92">
        <f>IF(B7&gt;0,B44/B7,0)</f>
        <v/>
      </c>
      <c r="F44" s="94">
        <f>IF(C44&gt;=0.1,"Alto impacto",IF(C44&gt;=0.05,"Médio","Baixo impacto"))</f>
        <v/>
      </c>
    </row>
    <row r="45">
      <c r="A45" s="87" t="inlineStr">
        <is>
          <t>Teto</t>
        </is>
      </c>
      <c r="B45" s="92">
        <f>CUSTOS_MACROGRUPO!J13</f>
        <v/>
      </c>
      <c r="C45" s="97">
        <f>IF(B45&gt;0,B45/B15,0)</f>
        <v/>
      </c>
      <c r="D45" s="92">
        <f>IF(B6&gt;0,B45/B6,0)</f>
        <v/>
      </c>
      <c r="E45" s="92">
        <f>IF(B7&gt;0,B45/B7,0)</f>
        <v/>
      </c>
      <c r="F45" s="94">
        <f>IF(C45&gt;=0.1,"Alto impacto",IF(C45&gt;=0.05,"Médio","Baixo impacto"))</f>
        <v/>
      </c>
    </row>
    <row r="46">
      <c r="A46" s="87" t="inlineStr">
        <is>
          <t>Pisos</t>
        </is>
      </c>
      <c r="B46" s="92">
        <f>CUSTOS_MACROGRUPO!J14</f>
        <v/>
      </c>
      <c r="C46" s="97">
        <f>IF(B46&gt;0,B46/B15,0)</f>
        <v/>
      </c>
      <c r="D46" s="92">
        <f>IF(B6&gt;0,B46/B6,0)</f>
        <v/>
      </c>
      <c r="E46" s="92">
        <f>IF(B7&gt;0,B46/B7,0)</f>
        <v/>
      </c>
      <c r="F46" s="94">
        <f>IF(C46&gt;=0.1,"Alto impacto",IF(C46&gt;=0.05,"Médio","Baixo impacto"))</f>
        <v/>
      </c>
    </row>
    <row r="47">
      <c r="A47" s="87" t="inlineStr">
        <is>
          <t>Pintura</t>
        </is>
      </c>
      <c r="B47" s="92">
        <f>CUSTOS_MACROGRUPO!J15</f>
        <v/>
      </c>
      <c r="C47" s="97">
        <f>IF(B47&gt;0,B47/B15,0)</f>
        <v/>
      </c>
      <c r="D47" s="92">
        <f>IF(B6&gt;0,B47/B6,0)</f>
        <v/>
      </c>
      <c r="E47" s="92">
        <f>IF(B7&gt;0,B47/B7,0)</f>
        <v/>
      </c>
      <c r="F47" s="94">
        <f>IF(C47&gt;=0.1,"Alto impacto",IF(C47&gt;=0.05,"Médio","Baixo impacto"))</f>
        <v/>
      </c>
    </row>
    <row r="48">
      <c r="A48" s="87" t="inlineStr">
        <is>
          <t>Esquadrias</t>
        </is>
      </c>
      <c r="B48" s="92">
        <f>CUSTOS_MACROGRUPO!J16</f>
        <v/>
      </c>
      <c r="C48" s="97">
        <f>IF(B48&gt;0,B48/B15,0)</f>
        <v/>
      </c>
      <c r="D48" s="92">
        <f>IF(B6&gt;0,B48/B6,0)</f>
        <v/>
      </c>
      <c r="E48" s="92">
        <f>IF(B7&gt;0,B48/B7,0)</f>
        <v/>
      </c>
      <c r="F48" s="94">
        <f>IF(C48&gt;=0.1,"Alto impacto",IF(C48&gt;=0.05,"Médio","Baixo impacto"))</f>
        <v/>
      </c>
    </row>
    <row r="49">
      <c r="A49" s="87" t="inlineStr">
        <is>
          <t>Louças e Metais</t>
        </is>
      </c>
      <c r="B49" s="92">
        <f>CUSTOS_MACROGRUPO!J17</f>
        <v/>
      </c>
      <c r="C49" s="97">
        <f>IF(B49&gt;0,B49/B15,0)</f>
        <v/>
      </c>
      <c r="D49" s="92">
        <f>IF(B6&gt;0,B49/B6,0)</f>
        <v/>
      </c>
      <c r="E49" s="92">
        <f>IF(B7&gt;0,B49/B7,0)</f>
        <v/>
      </c>
      <c r="F49" s="94">
        <f>IF(C49&gt;=0.1,"Alto impacto",IF(C49&gt;=0.05,"Médio","Baixo impacto"))</f>
        <v/>
      </c>
    </row>
    <row r="50">
      <c r="A50" s="87" t="inlineStr">
        <is>
          <t>Fachada</t>
        </is>
      </c>
      <c r="B50" s="92">
        <f>CUSTOS_MACROGRUPO!J18</f>
        <v/>
      </c>
      <c r="C50" s="97">
        <f>IF(B50&gt;0,B50/B15,0)</f>
        <v/>
      </c>
      <c r="D50" s="92">
        <f>IF(B6&gt;0,B50/B6,0)</f>
        <v/>
      </c>
      <c r="E50" s="92">
        <f>IF(B7&gt;0,B50/B7,0)</f>
        <v/>
      </c>
      <c r="F50" s="94">
        <f>IF(C50&gt;=0.1,"Alto impacto",IF(C50&gt;=0.05,"Médio","Baixo impacto"))</f>
        <v/>
      </c>
    </row>
    <row r="51">
      <c r="A51" s="87" t="inlineStr">
        <is>
          <t>Complementares</t>
        </is>
      </c>
      <c r="B51" s="92">
        <f>CUSTOS_MACROGRUPO!J19</f>
        <v/>
      </c>
      <c r="C51" s="97">
        <f>IF(B51&gt;0,B51/B15,0)</f>
        <v/>
      </c>
      <c r="D51" s="92">
        <f>IF(B6&gt;0,B51/B6,0)</f>
        <v/>
      </c>
      <c r="E51" s="92">
        <f>IF(B7&gt;0,B51/B7,0)</f>
        <v/>
      </c>
      <c r="F51" s="94">
        <f>IF(C51&gt;=0.1,"Alto impacto",IF(C51&gt;=0.05,"Médio","Baixo impacto"))</f>
        <v/>
      </c>
    </row>
    <row r="52">
      <c r="A52" s="87" t="inlineStr">
        <is>
          <t>Imprevistos</t>
        </is>
      </c>
      <c r="B52" s="92">
        <f>CUSTOS_MACROGRUPO!J20</f>
        <v/>
      </c>
      <c r="C52" s="97">
        <f>IF(B52&gt;0,B52/B15,0)</f>
        <v/>
      </c>
      <c r="D52" s="92">
        <f>IF(B6&gt;0,B52/B6,0)</f>
        <v/>
      </c>
      <c r="E52" s="92">
        <f>IF(B7&gt;0,B52/B7,0)</f>
        <v/>
      </c>
      <c r="F52" s="94">
        <f>IF(C52&gt;=0.1,"Alto impacto",IF(C52&gt;=0.05,"Médio","Baixo impacto"))</f>
        <v/>
      </c>
    </row>
    <row r="53">
      <c r="A53" s="99" t="inlineStr">
        <is>
          <t>TOTAL</t>
        </is>
      </c>
      <c r="B53" s="100">
        <f>SUM(B35:B52)</f>
        <v/>
      </c>
      <c r="C53" s="97" t="n">
        <v>1</v>
      </c>
      <c r="D53" s="100">
        <f>IF(B6&gt;0,B53/B6,0)</f>
        <v/>
      </c>
      <c r="E53" s="100">
        <f>IF(B7&gt;0,B53/B7,0)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84" t="inlineStr">
        <is>
          <t>ANÁLISE DE ÍNDICE DE PRODUTO</t>
        </is>
      </c>
    </row>
    <row r="2">
      <c r="A2" s="2" t="inlineStr">
        <is>
          <t>Base: 17 projetos executivos Cartesian | Valores normalizados CUB/SC dez/23 (R$ 2,752.67)</t>
        </is>
      </c>
    </row>
    <row r="4">
      <c r="A4" s="85" t="inlineStr">
        <is>
          <t>A. BASE DE PROJETOS (normalizados CUB dez/23)</t>
        </is>
      </c>
    </row>
    <row r="5">
      <c r="A5" s="86" t="inlineStr">
        <is>
          <t>Projeto</t>
        </is>
      </c>
      <c r="B5" s="86" t="inlineStr">
        <is>
          <t>AC (m²)</t>
        </is>
      </c>
      <c r="C5" s="86" t="inlineStr">
        <is>
          <t>CUB Ref</t>
        </is>
      </c>
      <c r="D5" s="86" t="inlineStr">
        <is>
          <t>Data Base</t>
        </is>
      </c>
      <c r="E5" s="86" t="inlineStr">
        <is>
          <t>R$/m² orig.</t>
        </is>
      </c>
      <c r="F5" s="86" t="inlineStr">
        <is>
          <t>R$/m² norm.</t>
        </is>
      </c>
      <c r="G5" s="86" t="inlineStr">
        <is>
          <t>CUB Ratio</t>
        </is>
      </c>
      <c r="H5" s="86" t="inlineStr">
        <is>
          <t>Gerenc.</t>
        </is>
      </c>
      <c r="I5" s="86" t="inlineStr">
        <is>
          <t>Supra</t>
        </is>
      </c>
      <c r="J5" s="86" t="inlineStr">
        <is>
          <t>Instal.</t>
        </is>
      </c>
      <c r="K5" s="86" t="inlineStr">
        <is>
          <t>Esquad.</t>
        </is>
      </c>
      <c r="L5" s="86" t="inlineStr">
        <is>
          <t>Fachada</t>
        </is>
      </c>
      <c r="M5" s="86" t="inlineStr">
        <is>
          <t>Compl.</t>
        </is>
      </c>
      <c r="N5" s="86" t="inlineStr">
        <is>
          <t>Classif.</t>
        </is>
      </c>
    </row>
    <row r="6">
      <c r="A6" s="87" t="inlineStr">
        <is>
          <t>fasolo-vdf</t>
        </is>
      </c>
      <c r="B6" s="101" t="n">
        <v>20550</v>
      </c>
      <c r="C6" s="93" t="n">
        <v>2357.91</v>
      </c>
      <c r="D6" s="89" t="n"/>
      <c r="E6" s="93" t="n">
        <v>2843.56</v>
      </c>
      <c r="F6" s="93" t="n">
        <v>3319.62</v>
      </c>
      <c r="G6" s="96" t="n">
        <v>1.21</v>
      </c>
      <c r="H6" s="98" t="n">
        <v>0</v>
      </c>
      <c r="I6" s="98" t="n">
        <v>0.2462548481791777</v>
      </c>
      <c r="J6" s="98" t="n">
        <v>0.09984662971475275</v>
      </c>
      <c r="K6" s="98" t="n">
        <v>0.1212263870773535</v>
      </c>
      <c r="L6" s="98" t="n">
        <v>0.08244191744122084</v>
      </c>
      <c r="M6" s="98" t="n">
        <v>0.04680626325442732</v>
      </c>
      <c r="N6" s="87" t="inlineStr">
        <is>
          <t>Médio</t>
        </is>
      </c>
    </row>
    <row r="7">
      <c r="A7" s="87" t="inlineStr">
        <is>
          <t>zapata</t>
        </is>
      </c>
      <c r="B7" s="101" t="n">
        <v>7533</v>
      </c>
      <c r="C7" s="93" t="n">
        <v>2993.04</v>
      </c>
      <c r="D7" s="89" t="inlineStr">
        <is>
          <t>2025-09-01</t>
        </is>
      </c>
      <c r="E7" s="93" t="n">
        <v>3192.61</v>
      </c>
      <c r="F7" s="93" t="n">
        <v>2936.21</v>
      </c>
      <c r="G7" s="96" t="n">
        <v>1.07</v>
      </c>
      <c r="H7" s="98" t="n">
        <v>0.1009987795915835</v>
      </c>
      <c r="I7" s="98" t="n">
        <v>0.2290041216805328</v>
      </c>
      <c r="J7" s="98" t="n">
        <v>0.1141193592789118</v>
      </c>
      <c r="K7" s="98" t="n">
        <v>0.09410963172778335</v>
      </c>
      <c r="L7" s="98" t="n">
        <v>0.0548693700050829</v>
      </c>
      <c r="M7" s="98" t="n">
        <v>0.0560014409427529</v>
      </c>
      <c r="N7" s="87" t="inlineStr">
        <is>
          <t>Econômico</t>
        </is>
      </c>
    </row>
    <row r="8">
      <c r="A8" s="87" t="inlineStr">
        <is>
          <t>maison-beach</t>
        </is>
      </c>
      <c r="B8" s="101" t="n">
        <v>12880</v>
      </c>
      <c r="C8" s="93" t="n">
        <v>2752.67</v>
      </c>
      <c r="D8" s="89" t="inlineStr">
        <is>
          <t>2023-12-01</t>
        </is>
      </c>
      <c r="E8" s="93" t="n">
        <v>3290.71</v>
      </c>
      <c r="F8" s="93" t="n">
        <v>3290.71</v>
      </c>
      <c r="G8" s="96" t="n">
        <v>1.2</v>
      </c>
      <c r="H8" s="98" t="n">
        <v>0.1329614632897476</v>
      </c>
      <c r="I8" s="98" t="n">
        <v>0.2003567211335691</v>
      </c>
      <c r="J8" s="98" t="n">
        <v>0.1302362900499656</v>
      </c>
      <c r="K8" s="98" t="n">
        <v>0.1081941583476947</v>
      </c>
      <c r="L8" s="98" t="n">
        <v>0.02120092976843793</v>
      </c>
      <c r="M8" s="98" t="n">
        <v>0.07112744650512268</v>
      </c>
      <c r="N8" s="87" t="inlineStr">
        <is>
          <t>Médio</t>
        </is>
      </c>
    </row>
    <row r="9">
      <c r="A9" s="87" t="inlineStr">
        <is>
          <t>cota365</t>
        </is>
      </c>
      <c r="B9" s="101" t="n">
        <v>17473</v>
      </c>
      <c r="C9" s="93" t="n">
        <v>2846.12</v>
      </c>
      <c r="D9" s="89" t="inlineStr">
        <is>
          <t>2024-10-01</t>
        </is>
      </c>
      <c r="E9" s="93" t="n">
        <v>3366.88</v>
      </c>
      <c r="F9" s="93" t="n">
        <v>3256.33</v>
      </c>
      <c r="G9" s="96" t="n">
        <v>1.18</v>
      </c>
      <c r="H9" s="98" t="n">
        <v>0.05957391414916836</v>
      </c>
      <c r="I9" s="98" t="n">
        <v>0.1768319695373884</v>
      </c>
      <c r="J9" s="98" t="n">
        <v>0.1095464188002032</v>
      </c>
      <c r="K9" s="98" t="n">
        <v>0.1014559907396262</v>
      </c>
      <c r="L9" s="98" t="n">
        <v>0.03246883504691957</v>
      </c>
      <c r="M9" s="98" t="n">
        <v>0.03813451649740104</v>
      </c>
      <c r="N9" s="87" t="inlineStr">
        <is>
          <t>Médio</t>
        </is>
      </c>
    </row>
    <row r="10">
      <c r="A10" s="87" t="inlineStr">
        <is>
          <t>catena</t>
        </is>
      </c>
      <c r="B10" s="101" t="n">
        <v>9242</v>
      </c>
      <c r="C10" s="93" t="n">
        <v>3008.84</v>
      </c>
      <c r="D10" s="89" t="inlineStr">
        <is>
          <t>2025-11-01</t>
        </is>
      </c>
      <c r="E10" s="93" t="n">
        <v>3376.01</v>
      </c>
      <c r="F10" s="93" t="n">
        <v>3088.58</v>
      </c>
      <c r="G10" s="96" t="n">
        <v>1.12</v>
      </c>
      <c r="H10" s="98" t="n">
        <v>0.1161002000117538</v>
      </c>
      <c r="I10" s="98" t="n">
        <v>0.2242219489093697</v>
      </c>
      <c r="J10" s="98" t="n">
        <v>0.1089895881477282</v>
      </c>
      <c r="K10" s="98" t="n">
        <v>0.09184218512971279</v>
      </c>
      <c r="L10" s="98" t="n">
        <v>0.04100291959392891</v>
      </c>
      <c r="M10" s="98" t="n">
        <v>0.05094247283464452</v>
      </c>
      <c r="N10" s="87" t="inlineStr">
        <is>
          <t>Médio</t>
        </is>
      </c>
    </row>
    <row r="11">
      <c r="A11" s="87" t="inlineStr">
        <is>
          <t>eternity</t>
        </is>
      </c>
      <c r="B11" s="101" t="n">
        <v>11893</v>
      </c>
      <c r="C11" s="93" t="n">
        <v>2725.79</v>
      </c>
      <c r="D11" s="89" t="inlineStr">
        <is>
          <t>2024-06-01</t>
        </is>
      </c>
      <c r="E11" s="93" t="n">
        <v>3482.06</v>
      </c>
      <c r="F11" s="93" t="n">
        <v>3516.4</v>
      </c>
      <c r="G11" s="96" t="n">
        <v>1.28</v>
      </c>
      <c r="H11" s="98" t="n">
        <v>0.1157637626146468</v>
      </c>
      <c r="I11" s="98" t="n">
        <v>0.2108469105985473</v>
      </c>
      <c r="J11" s="98" t="n">
        <v>0.1100928900245586</v>
      </c>
      <c r="K11" s="98" t="n">
        <v>0.09995267840521105</v>
      </c>
      <c r="L11" s="98" t="n">
        <v>0.04105584622869409</v>
      </c>
      <c r="M11" s="98" t="n">
        <v>0.05092048914892949</v>
      </c>
      <c r="N11" s="87" t="inlineStr">
        <is>
          <t>Alto</t>
        </is>
      </c>
    </row>
    <row r="12">
      <c r="A12" s="87" t="inlineStr">
        <is>
          <t>mp298</t>
        </is>
      </c>
      <c r="B12" s="101" t="n">
        <v>10618</v>
      </c>
      <c r="C12" s="93" t="n">
        <v>2725.79</v>
      </c>
      <c r="D12" s="89" t="inlineStr">
        <is>
          <t>2024-06-01</t>
        </is>
      </c>
      <c r="E12" s="93" t="n">
        <v>3535.44</v>
      </c>
      <c r="F12" s="93" t="n">
        <v>3570.31</v>
      </c>
      <c r="G12" s="96" t="n">
        <v>1.3</v>
      </c>
      <c r="H12" s="98" t="n">
        <v>0.1147087731691822</v>
      </c>
      <c r="I12" s="98" t="n">
        <v>0.2144943137268076</v>
      </c>
      <c r="J12" s="98" t="n">
        <v>0.1101418247269886</v>
      </c>
      <c r="K12" s="98" t="n">
        <v>0.1081197724369323</v>
      </c>
      <c r="L12" s="98" t="n">
        <v>0.04920844999164167</v>
      </c>
      <c r="M12" s="98" t="n">
        <v>0.04947418579043863</v>
      </c>
      <c r="N12" s="87" t="inlineStr">
        <is>
          <t>Alto</t>
        </is>
      </c>
    </row>
    <row r="13">
      <c r="A13" s="87" t="inlineStr">
        <is>
          <t>connect</t>
        </is>
      </c>
      <c r="B13" s="101" t="n">
        <v>13144</v>
      </c>
      <c r="C13" s="93" t="n">
        <v>2774.29</v>
      </c>
      <c r="D13" s="89" t="inlineStr">
        <is>
          <t>2024-06-01</t>
        </is>
      </c>
      <c r="E13" s="93" t="n">
        <v>3583.88</v>
      </c>
      <c r="F13" s="93" t="n">
        <v>3555.95</v>
      </c>
      <c r="G13" s="96" t="n">
        <v>1.29</v>
      </c>
      <c r="H13" s="98" t="n">
        <v>0.08534298994662311</v>
      </c>
      <c r="I13" s="98" t="n">
        <v>4.033326169233251e-09</v>
      </c>
      <c r="J13" s="98" t="n">
        <v>0.09514820370929176</v>
      </c>
      <c r="K13" s="98" t="n">
        <v>0.09687583673009821</v>
      </c>
      <c r="L13" s="98" t="n">
        <v>0.04786706557901285</v>
      </c>
      <c r="M13" s="98" t="n">
        <v>0.07002193007959108</v>
      </c>
      <c r="N13" s="87" t="inlineStr">
        <is>
          <t>Alto</t>
        </is>
      </c>
    </row>
    <row r="14">
      <c r="A14" s="87" t="inlineStr">
        <is>
          <t>dlohn</t>
        </is>
      </c>
      <c r="B14" s="101" t="n">
        <v>13148</v>
      </c>
      <c r="C14" s="93" t="n">
        <v>2907.85</v>
      </c>
      <c r="D14" s="89" t="inlineStr">
        <is>
          <t>2025-02-01</t>
        </is>
      </c>
      <c r="E14" s="93" t="n">
        <v>3728.08</v>
      </c>
      <c r="F14" s="93" t="n">
        <v>3529.13</v>
      </c>
      <c r="G14" s="96" t="n">
        <v>1.28</v>
      </c>
      <c r="H14" s="98" t="n">
        <v>0.07812469230086028</v>
      </c>
      <c r="I14" s="98" t="n">
        <v>0.1925813836694001</v>
      </c>
      <c r="J14" s="98" t="n">
        <v>0.1096139627043109</v>
      </c>
      <c r="K14" s="98" t="n">
        <v>0.1369828649955153</v>
      </c>
      <c r="L14" s="98" t="n">
        <v>0.01531309201319581</v>
      </c>
      <c r="M14" s="98" t="n">
        <v>0.04467964788709404</v>
      </c>
      <c r="N14" s="87" t="inlineStr">
        <is>
          <t>Alto</t>
        </is>
      </c>
    </row>
    <row r="15">
      <c r="A15" s="87" t="inlineStr">
        <is>
          <t>lorenzo</t>
        </is>
      </c>
      <c r="B15" s="101" t="n">
        <v>8525</v>
      </c>
      <c r="C15" s="93" t="n">
        <v>2841.51</v>
      </c>
      <c r="D15" s="89" t="inlineStr">
        <is>
          <t>2024-09-01</t>
        </is>
      </c>
      <c r="E15" s="93" t="n">
        <v>3777.63</v>
      </c>
      <c r="F15" s="93" t="n">
        <v>3659.52</v>
      </c>
      <c r="G15" s="96" t="n">
        <v>1.33</v>
      </c>
      <c r="H15" s="98" t="n">
        <v>0.1164168160976634</v>
      </c>
      <c r="I15" s="98" t="n">
        <v>0.2029399155366669</v>
      </c>
      <c r="J15" s="98" t="n">
        <v>0.1023524819232499</v>
      </c>
      <c r="K15" s="98" t="n">
        <v>0.1003495575330712</v>
      </c>
      <c r="L15" s="98" t="n">
        <v>0.03881125106542228</v>
      </c>
      <c r="M15" s="98" t="n">
        <v>0.04867130409872682</v>
      </c>
      <c r="N15" s="87" t="inlineStr">
        <is>
          <t>Alto</t>
        </is>
      </c>
    </row>
    <row r="16">
      <c r="A16" s="87" t="inlineStr">
        <is>
          <t>passione</t>
        </is>
      </c>
      <c r="B16" s="101" t="n">
        <v>6682</v>
      </c>
      <c r="C16" s="93" t="n">
        <v>2774.29</v>
      </c>
      <c r="D16" s="89" t="inlineStr">
        <is>
          <t>2024-06-01</t>
        </is>
      </c>
      <c r="E16" s="93" t="n">
        <v>3778.05</v>
      </c>
      <c r="F16" s="93" t="n">
        <v>3748.61</v>
      </c>
      <c r="G16" s="96" t="n">
        <v>1.36</v>
      </c>
      <c r="H16" s="98" t="n">
        <v>5.546043569242113e-09</v>
      </c>
      <c r="I16" s="98" t="n">
        <v>7.526773415400009e-09</v>
      </c>
      <c r="J16" s="98" t="n">
        <v>0.09025810124875125</v>
      </c>
      <c r="K16" s="98" t="n">
        <v>0.1076463220686925</v>
      </c>
      <c r="L16" s="98" t="n">
        <v>0.04746695914535566</v>
      </c>
      <c r="M16" s="98" t="n">
        <v>0.06170581277542442</v>
      </c>
      <c r="N16" s="87" t="inlineStr">
        <is>
          <t>Alto</t>
        </is>
      </c>
    </row>
    <row r="17">
      <c r="A17" s="87" t="inlineStr">
        <is>
          <t>redentor</t>
        </is>
      </c>
      <c r="B17" s="101" t="n">
        <v>16728</v>
      </c>
      <c r="C17" s="93" t="n">
        <v>2671.09</v>
      </c>
      <c r="D17" s="89" t="inlineStr">
        <is>
          <t>2752.32</t>
        </is>
      </c>
      <c r="E17" s="93" t="n">
        <v>3923.38</v>
      </c>
      <c r="F17" s="93" t="n">
        <v>4043.21</v>
      </c>
      <c r="G17" s="96" t="n">
        <v>1.47</v>
      </c>
      <c r="H17" s="98" t="n">
        <v>0.09184734132205617</v>
      </c>
      <c r="I17" s="98" t="n">
        <v>0.1965985947553468</v>
      </c>
      <c r="J17" s="98" t="n">
        <v>0.09076021315034041</v>
      </c>
      <c r="K17" s="98" t="n">
        <v>0.1280830134683278</v>
      </c>
      <c r="L17" s="98" t="n">
        <v>0.06811327525271565</v>
      </c>
      <c r="M17" s="98" t="n">
        <v>0.05300642951116621</v>
      </c>
      <c r="N17" s="87" t="inlineStr">
        <is>
          <t>Alto</t>
        </is>
      </c>
    </row>
    <row r="18">
      <c r="A18" s="87" t="inlineStr">
        <is>
          <t>viva</t>
        </is>
      </c>
      <c r="B18" s="101" t="n">
        <v>5576</v>
      </c>
      <c r="C18" s="93" t="n">
        <v>2965.54</v>
      </c>
      <c r="D18" s="89" t="inlineStr">
        <is>
          <t>2025-07-01</t>
        </is>
      </c>
      <c r="E18" s="93" t="n">
        <v>4128.8</v>
      </c>
      <c r="F18" s="93" t="n">
        <v>3832.43</v>
      </c>
      <c r="G18" s="96" t="n">
        <v>1.39</v>
      </c>
      <c r="H18" s="98" t="n">
        <v>0.1239749065414308</v>
      </c>
      <c r="I18" s="98" t="n">
        <v>0.1870004598936869</v>
      </c>
      <c r="J18" s="98" t="n">
        <v>0.08198509678075913</v>
      </c>
      <c r="K18" s="98" t="n">
        <v>0.1419396307348114</v>
      </c>
      <c r="L18" s="98" t="n">
        <v>0.06767908415875172</v>
      </c>
      <c r="M18" s="98" t="n">
        <v>0.04898578406557173</v>
      </c>
      <c r="N18" s="87" t="inlineStr">
        <is>
          <t>Alto</t>
        </is>
      </c>
    </row>
    <row r="19">
      <c r="A19" s="87" t="inlineStr">
        <is>
          <t>neuhaus</t>
        </is>
      </c>
      <c r="B19" s="101" t="n">
        <v>14516</v>
      </c>
      <c r="C19" s="93" t="n">
        <v>2793.27</v>
      </c>
      <c r="D19" s="89" t="inlineStr">
        <is>
          <t>2024-07-01</t>
        </is>
      </c>
      <c r="E19" s="93" t="n">
        <v>4152.25</v>
      </c>
      <c r="F19" s="93" t="n">
        <v>4091.9</v>
      </c>
      <c r="G19" s="96" t="n">
        <v>1.49</v>
      </c>
      <c r="H19" s="98" t="n">
        <v>0.1195177262579188</v>
      </c>
      <c r="I19" s="98" t="n">
        <v>0.2358499862016158</v>
      </c>
      <c r="J19" s="98" t="n">
        <v>0.09350838611759804</v>
      </c>
      <c r="K19" s="98" t="n">
        <v>0.09223765054007328</v>
      </c>
      <c r="L19" s="98" t="n">
        <v>0.04433520245933192</v>
      </c>
      <c r="M19" s="98" t="n">
        <v>0.07819675451219286</v>
      </c>
      <c r="N19" s="87" t="inlineStr">
        <is>
          <t>Alto</t>
        </is>
      </c>
    </row>
    <row r="20">
      <c r="A20" s="87" t="inlineStr">
        <is>
          <t>costao</t>
        </is>
      </c>
      <c r="B20" s="101" t="n">
        <v>38429</v>
      </c>
      <c r="C20" s="93" t="n">
        <v>2662.47</v>
      </c>
      <c r="D20" s="89" t="inlineStr">
        <is>
          <t>2023-02-01</t>
        </is>
      </c>
      <c r="E20" s="93" t="n">
        <v>4238.92</v>
      </c>
      <c r="F20" s="93" t="n">
        <v>4382.53</v>
      </c>
      <c r="G20" s="96" t="n">
        <v>1.59</v>
      </c>
      <c r="H20" s="98" t="n">
        <v>0</v>
      </c>
      <c r="I20" s="98" t="n">
        <v>0.1648963528774808</v>
      </c>
      <c r="J20" s="98" t="n">
        <v>0.1017112557709366</v>
      </c>
      <c r="K20" s="98" t="n">
        <v>0.08325786033056565</v>
      </c>
      <c r="L20" s="98" t="n">
        <v>0.04716315764488805</v>
      </c>
      <c r="M20" s="98" t="n">
        <v>0.2347926968522379</v>
      </c>
      <c r="N20" s="87" t="inlineStr">
        <is>
          <t>Luxo</t>
        </is>
      </c>
    </row>
    <row r="21">
      <c r="A21" s="87" t="inlineStr">
        <is>
          <t>colline</t>
        </is>
      </c>
      <c r="B21" s="101" t="n">
        <v>27559</v>
      </c>
      <c r="C21" s="93" t="n">
        <v>2303.36</v>
      </c>
      <c r="D21" s="89" t="inlineStr">
        <is>
          <t>2025-03-01</t>
        </is>
      </c>
      <c r="E21" s="93" t="n">
        <v>5181.69</v>
      </c>
      <c r="F21" s="93" t="n">
        <v>6192.47</v>
      </c>
      <c r="G21" s="96" t="n">
        <v>2.25</v>
      </c>
      <c r="H21" s="98" t="n">
        <v>0.09526681963400822</v>
      </c>
      <c r="I21" s="98" t="n">
        <v>0.1386117621738248</v>
      </c>
      <c r="J21" s="98" t="n">
        <v>0.09151861991023894</v>
      </c>
      <c r="K21" s="98" t="n">
        <v>0.1911671869542</v>
      </c>
      <c r="L21" s="98" t="n">
        <v>0.03436740437187966</v>
      </c>
      <c r="M21" s="98" t="n">
        <v>0.05277577177785723</v>
      </c>
      <c r="N21" s="87" t="inlineStr">
        <is>
          <t>Luxo</t>
        </is>
      </c>
    </row>
    <row r="22">
      <c r="A22" s="87" t="inlineStr">
        <is>
          <t>bd-campeche</t>
        </is>
      </c>
      <c r="B22" s="101" t="n">
        <v>3633</v>
      </c>
      <c r="C22" s="93" t="n">
        <v>3012.64</v>
      </c>
      <c r="D22" s="89" t="inlineStr">
        <is>
          <t>2026-01-01</t>
        </is>
      </c>
      <c r="E22" s="93" t="n">
        <v>5709.79</v>
      </c>
      <c r="F22" s="93" t="n">
        <v>5217.07</v>
      </c>
      <c r="G22" s="96" t="n">
        <v>1.9</v>
      </c>
      <c r="H22" s="98" t="n">
        <v>0.1229868868536731</v>
      </c>
      <c r="I22" s="98" t="n">
        <v>0.1398690345058958</v>
      </c>
      <c r="J22" s="98" t="n">
        <v>0.06617582572434261</v>
      </c>
      <c r="K22" s="98" t="n">
        <v>0.06652204638964579</v>
      </c>
      <c r="L22" s="98" t="n">
        <v>0.03219042397024321</v>
      </c>
      <c r="M22" s="98" t="n">
        <v>0.04655063240649513</v>
      </c>
      <c r="N22" s="87" t="inlineStr">
        <is>
          <t>Luxo</t>
        </is>
      </c>
    </row>
    <row r="24">
      <c r="A24" s="102" t="inlineStr">
        <is>
          <t>ESTATÍSTICAS</t>
        </is>
      </c>
    </row>
    <row r="25">
      <c r="A25" s="103" t="inlineStr">
        <is>
          <t>Média</t>
        </is>
      </c>
      <c r="F25" s="93" t="n">
        <v>3837.12</v>
      </c>
      <c r="G25" s="96" t="n">
        <v>1.39</v>
      </c>
    </row>
    <row r="26">
      <c r="A26" s="103" t="inlineStr">
        <is>
          <t>Mediana</t>
        </is>
      </c>
      <c r="F26" s="93" t="n">
        <v>3570.31</v>
      </c>
      <c r="G26" s="96" t="n">
        <v>1.3</v>
      </c>
    </row>
    <row r="27">
      <c r="A27" s="103" t="inlineStr">
        <is>
          <t>Mínimo</t>
        </is>
      </c>
      <c r="F27" s="93" t="n">
        <v>2936.21</v>
      </c>
      <c r="G27" s="96" t="n">
        <v>1.07</v>
      </c>
    </row>
    <row r="28">
      <c r="A28" s="103" t="inlineStr">
        <is>
          <t>Máximo</t>
        </is>
      </c>
      <c r="F28" s="93" t="n">
        <v>6192.47</v>
      </c>
      <c r="G28" s="96" t="n">
        <v>2.25</v>
      </c>
    </row>
    <row r="31">
      <c r="A31" s="85" t="inlineStr">
        <is>
          <t>B. PROJETO ATUAL vs BASE DE DADOS</t>
        </is>
      </c>
    </row>
    <row r="32">
      <c r="A32" s="86" t="inlineStr">
        <is>
          <t>Macrogrupo</t>
        </is>
      </c>
      <c r="B32" s="86" t="inlineStr">
        <is>
          <t>Atual R$/m²</t>
        </is>
      </c>
      <c r="C32" s="86" t="inlineStr">
        <is>
          <t>Média Base</t>
        </is>
      </c>
      <c r="D32" s="86" t="inlineStr">
        <is>
          <t>Mediana Base</t>
        </is>
      </c>
      <c r="E32" s="86" t="inlineStr">
        <is>
          <t>Mín Base</t>
        </is>
      </c>
      <c r="F32" s="86" t="inlineStr">
        <is>
          <t>Máx Base</t>
        </is>
      </c>
      <c r="G32" s="86" t="inlineStr">
        <is>
          <t>Desvio vs Med.</t>
        </is>
      </c>
      <c r="H32" s="86" t="inlineStr">
        <is>
          <t>Análise</t>
        </is>
      </c>
    </row>
    <row r="33">
      <c r="A33" s="87" t="inlineStr">
        <is>
          <t>Gerenciamento</t>
        </is>
      </c>
      <c r="B33" s="92">
        <f>CUSTOS_MACROGRUPO!D3</f>
        <v/>
      </c>
      <c r="C33" s="93" t="n">
        <v>378.37</v>
      </c>
      <c r="D33" s="93" t="n">
        <v>407.07</v>
      </c>
      <c r="E33" s="93" t="n">
        <v>0</v>
      </c>
      <c r="F33" s="93" t="n">
        <v>641.63</v>
      </c>
      <c r="G33" s="97">
        <f>IF(D33&gt;0,(B33-D33)/D33,0)</f>
        <v/>
      </c>
      <c r="H33" s="94">
        <f>IF(ABS(G33)&lt;=0.1,"✅ Dentro",IF(G33&gt;0.1,"⬆ Acima","⬇ Abaixo"))</f>
        <v/>
      </c>
    </row>
    <row r="34">
      <c r="A34" s="87" t="inlineStr">
        <is>
          <t>Mov. Terra</t>
        </is>
      </c>
      <c r="B34" s="92">
        <f>CUSTOS_MACROGRUPO!D4</f>
        <v/>
      </c>
      <c r="C34" s="93" t="n">
        <v>30.15</v>
      </c>
      <c r="D34" s="93" t="n">
        <v>12.47</v>
      </c>
      <c r="E34" s="93" t="n">
        <v>6.77</v>
      </c>
      <c r="F34" s="93" t="n">
        <v>100.79</v>
      </c>
      <c r="G34" s="97">
        <f>IF(D34&gt;0,(B34-D34)/D34,0)</f>
        <v/>
      </c>
      <c r="H34" s="94">
        <f>IF(ABS(G34)&lt;=0.1,"✅ Dentro",IF(G34&gt;0.1,"⬆ Acima","⬇ Abaixo"))</f>
        <v/>
      </c>
    </row>
    <row r="35">
      <c r="A35" s="87" t="inlineStr">
        <is>
          <t>Infraestrutura</t>
        </is>
      </c>
      <c r="B35" s="92">
        <f>CUSTOS_MACROGRUPO!D5</f>
        <v/>
      </c>
      <c r="C35" s="93" t="n">
        <v>218.07</v>
      </c>
      <c r="D35" s="93" t="n">
        <v>230.4</v>
      </c>
      <c r="E35" s="93" t="n">
        <v>117.39</v>
      </c>
      <c r="F35" s="93" t="n">
        <v>276.9</v>
      </c>
      <c r="G35" s="97">
        <f>IF(D35&gt;0,(B35-D35)/D35,0)</f>
        <v/>
      </c>
      <c r="H35" s="94">
        <f>IF(ABS(G35)&lt;=0.1,"✅ Dentro",IF(G35&gt;0.1,"⬆ Acima","⬇ Abaixo"))</f>
        <v/>
      </c>
    </row>
    <row r="36">
      <c r="A36" s="87" t="inlineStr">
        <is>
          <t>Supraestrutura</t>
        </is>
      </c>
      <c r="B36" s="92">
        <f>CUSTOS_MACROGRUPO!D6</f>
        <v/>
      </c>
      <c r="C36" s="93" t="n">
        <v>654.97</v>
      </c>
      <c r="D36" s="93" t="n">
        <v>722.66</v>
      </c>
      <c r="E36" s="93" t="n">
        <v>0</v>
      </c>
      <c r="F36" s="93" t="n">
        <v>965.0700000000001</v>
      </c>
      <c r="G36" s="97">
        <f>IF(D36&gt;0,(B36-D36)/D36,0)</f>
        <v/>
      </c>
      <c r="H36" s="94">
        <f>IF(ABS(G36)&lt;=0.1,"✅ Dentro",IF(G36&gt;0.1,"⬆ Acima","⬇ Abaixo"))</f>
        <v/>
      </c>
    </row>
    <row r="37">
      <c r="A37" s="87" t="inlineStr">
        <is>
          <t>Alvenaria</t>
        </is>
      </c>
      <c r="B37" s="92">
        <f>CUSTOS_MACROGRUPO!D7</f>
        <v/>
      </c>
      <c r="C37" s="93" t="n">
        <v>178.37</v>
      </c>
      <c r="D37" s="93" t="n">
        <v>148.7</v>
      </c>
      <c r="E37" s="93" t="n">
        <v>55.96</v>
      </c>
      <c r="F37" s="93" t="n">
        <v>431.99</v>
      </c>
      <c r="G37" s="97">
        <f>IF(D37&gt;0,(B37-D37)/D37,0)</f>
        <v/>
      </c>
      <c r="H37" s="94">
        <f>IF(ABS(G37)&lt;=0.1,"✅ Dentro",IF(G37&gt;0.1,"⬆ Acima","⬇ Abaixo"))</f>
        <v/>
      </c>
    </row>
    <row r="38">
      <c r="A38" s="87" t="inlineStr">
        <is>
          <t>Impermeabilização</t>
        </is>
      </c>
      <c r="B38" s="92">
        <f>CUSTOS_MACROGRUPO!D8</f>
        <v/>
      </c>
      <c r="C38" s="93" t="n">
        <v>58.3</v>
      </c>
      <c r="D38" s="93" t="n">
        <v>56.43</v>
      </c>
      <c r="E38" s="93" t="n">
        <v>35.79</v>
      </c>
      <c r="F38" s="93" t="n">
        <v>86.01000000000001</v>
      </c>
      <c r="G38" s="97">
        <f>IF(D38&gt;0,(B38-D38)/D38,0)</f>
        <v/>
      </c>
      <c r="H38" s="94">
        <f>IF(ABS(G38)&lt;=0.1,"✅ Dentro",IF(G38&gt;0.1,"⬆ Acima","⬇ Abaixo"))</f>
        <v/>
      </c>
    </row>
    <row r="39">
      <c r="A39" s="87" t="inlineStr">
        <is>
          <t>Instalações</t>
        </is>
      </c>
      <c r="B39" s="92">
        <f>CUSTOS_MACROGRUPO!D9</f>
        <v/>
      </c>
      <c r="C39" s="93" t="n">
        <v>378.14</v>
      </c>
      <c r="D39" s="93" t="n">
        <v>366.96</v>
      </c>
      <c r="E39" s="93" t="n">
        <v>314.2</v>
      </c>
      <c r="F39" s="93" t="n">
        <v>566.73</v>
      </c>
      <c r="G39" s="97">
        <f>IF(D39&gt;0,(B39-D39)/D39,0)</f>
        <v/>
      </c>
      <c r="H39" s="94">
        <f>IF(ABS(G39)&lt;=0.1,"✅ Dentro",IF(G39&gt;0.1,"⬆ Acima","⬇ Abaixo"))</f>
        <v/>
      </c>
    </row>
    <row r="40">
      <c r="A40" s="87" t="inlineStr">
        <is>
          <t>Sist. Especiais</t>
        </is>
      </c>
      <c r="B40" s="92">
        <f>CUSTOS_MACROGRUPO!D10</f>
        <v/>
      </c>
      <c r="C40" s="93" t="n">
        <v>214.98</v>
      </c>
      <c r="D40" s="93" t="n">
        <v>193.39</v>
      </c>
      <c r="E40" s="93" t="n">
        <v>151.55</v>
      </c>
      <c r="F40" s="93" t="n">
        <v>507.38</v>
      </c>
      <c r="G40" s="97">
        <f>IF(D40&gt;0,(B40-D40)/D40,0)</f>
        <v/>
      </c>
      <c r="H40" s="94">
        <f>IF(ABS(G40)&lt;=0.1,"✅ Dentro",IF(G40&gt;0.1,"⬆ Acima","⬇ Abaixo"))</f>
        <v/>
      </c>
    </row>
    <row r="41">
      <c r="A41" s="87" t="inlineStr">
        <is>
          <t>Rev. Int. Parede</t>
        </is>
      </c>
      <c r="B41" s="92">
        <f>CUSTOS_MACROGRUPO!D12</f>
        <v/>
      </c>
      <c r="C41" s="93" t="n">
        <v>167.05</v>
      </c>
      <c r="D41" s="93" t="n">
        <v>171.85</v>
      </c>
      <c r="E41" s="93" t="n">
        <v>98.77</v>
      </c>
      <c r="F41" s="93" t="n">
        <v>239.72</v>
      </c>
      <c r="G41" s="97">
        <f>IF(D41&gt;0,(B41-D41)/D41,0)</f>
        <v/>
      </c>
      <c r="H41" s="94">
        <f>IF(ABS(G41)&lt;=0.1,"✅ Dentro",IF(G41&gt;0.1,"⬆ Acima","⬇ Abaixo"))</f>
        <v/>
      </c>
    </row>
    <row r="42">
      <c r="A42" s="87" t="inlineStr">
        <is>
          <t>Teto</t>
        </is>
      </c>
      <c r="B42" s="92">
        <f>CUSTOS_MACROGRUPO!D13</f>
        <v/>
      </c>
      <c r="C42" s="93" t="n">
        <v>82.20999999999999</v>
      </c>
      <c r="D42" s="93" t="n">
        <v>68.65000000000001</v>
      </c>
      <c r="E42" s="93" t="n">
        <v>44.35</v>
      </c>
      <c r="F42" s="93" t="n">
        <v>141.94</v>
      </c>
      <c r="G42" s="97">
        <f>IF(D42&gt;0,(B42-D42)/D42,0)</f>
        <v/>
      </c>
      <c r="H42" s="94">
        <f>IF(ABS(G42)&lt;=0.1,"✅ Dentro",IF(G42&gt;0.1,"⬆ Acima","⬇ Abaixo"))</f>
        <v/>
      </c>
    </row>
    <row r="43">
      <c r="A43" s="87" t="inlineStr">
        <is>
          <t>Pisos</t>
        </is>
      </c>
      <c r="B43" s="92">
        <f>CUSTOS_MACROGRUPO!D14</f>
        <v/>
      </c>
      <c r="C43" s="93" t="n">
        <v>207.21</v>
      </c>
      <c r="D43" s="93" t="n">
        <v>193.69</v>
      </c>
      <c r="E43" s="93" t="n">
        <v>124.29</v>
      </c>
      <c r="F43" s="93" t="n">
        <v>458.04</v>
      </c>
      <c r="G43" s="97">
        <f>IF(D43&gt;0,(B43-D43)/D43,0)</f>
        <v/>
      </c>
      <c r="H43" s="94">
        <f>IF(ABS(G43)&lt;=0.1,"✅ Dentro",IF(G43&gt;0.1,"⬆ Acima","⬇ Abaixo"))</f>
        <v/>
      </c>
    </row>
    <row r="44">
      <c r="A44" s="87" t="inlineStr">
        <is>
          <t>Pintura</t>
        </is>
      </c>
      <c r="B44" s="92">
        <f>CUSTOS_MACROGRUPO!D15</f>
        <v/>
      </c>
      <c r="C44" s="93" t="n">
        <v>141.68</v>
      </c>
      <c r="D44" s="93" t="n">
        <v>133.12</v>
      </c>
      <c r="E44" s="93" t="n">
        <v>95.75</v>
      </c>
      <c r="F44" s="93" t="n">
        <v>199.04</v>
      </c>
      <c r="G44" s="97">
        <f>IF(D44&gt;0,(B44-D44)/D44,0)</f>
        <v/>
      </c>
      <c r="H44" s="94">
        <f>IF(ABS(G44)&lt;=0.1,"✅ Dentro",IF(G44&gt;0.1,"⬆ Acima","⬇ Abaixo"))</f>
        <v/>
      </c>
    </row>
    <row r="45">
      <c r="A45" s="87" t="inlineStr">
        <is>
          <t>Esquadrias</t>
        </is>
      </c>
      <c r="B45" s="92">
        <f>CUSTOS_MACROGRUPO!D16</f>
        <v/>
      </c>
      <c r="C45" s="93" t="n">
        <v>430.59</v>
      </c>
      <c r="D45" s="93" t="n">
        <v>367.23</v>
      </c>
      <c r="E45" s="93" t="n">
        <v>276.33</v>
      </c>
      <c r="F45" s="93" t="n">
        <v>1183.8</v>
      </c>
      <c r="G45" s="97">
        <f>IF(D45&gt;0,(B45-D45)/D45,0)</f>
        <v/>
      </c>
      <c r="H45" s="94">
        <f>IF(ABS(G45)&lt;=0.1,"✅ Dentro",IF(G45&gt;0.1,"⬆ Acima","⬇ Abaixo"))</f>
        <v/>
      </c>
    </row>
    <row r="46">
      <c r="A46" s="87" t="inlineStr">
        <is>
          <t>Fachada</t>
        </is>
      </c>
      <c r="B46" s="92">
        <f>CUSTOS_MACROGRUPO!D18</f>
        <v/>
      </c>
      <c r="C46" s="93" t="n">
        <v>170.87</v>
      </c>
      <c r="D46" s="93" t="n">
        <v>170.21</v>
      </c>
      <c r="E46" s="93" t="n">
        <v>54.04</v>
      </c>
      <c r="F46" s="93" t="n">
        <v>275.4</v>
      </c>
      <c r="G46" s="97">
        <f>IF(D46&gt;0,(B46-D46)/D46,0)</f>
        <v/>
      </c>
      <c r="H46" s="94">
        <f>IF(ABS(G46)&lt;=0.1,"✅ Dentro",IF(G46&gt;0.1,"⬆ Acima","⬇ Abaixo"))</f>
        <v/>
      </c>
    </row>
    <row r="47">
      <c r="A47" s="87" t="inlineStr">
        <is>
          <t>Complementares</t>
        </is>
      </c>
      <c r="B47" s="92">
        <f>CUSTOS_MACROGRUPO!D19</f>
        <v/>
      </c>
      <c r="C47" s="93" t="n">
        <v>278.11</v>
      </c>
      <c r="D47" s="93" t="n">
        <v>214.32</v>
      </c>
      <c r="E47" s="93" t="n">
        <v>145.75</v>
      </c>
      <c r="F47" s="93" t="n">
        <v>1098.59</v>
      </c>
      <c r="G47" s="97">
        <f>IF(D47&gt;0,(B47-D47)/D47,0)</f>
        <v/>
      </c>
      <c r="H47" s="94">
        <f>IF(ABS(G47)&lt;=0.1,"✅ Dentro",IF(G47&gt;0.1,"⬆ Acima","⬇ Abaixo"))</f>
        <v/>
      </c>
    </row>
    <row r="48">
      <c r="A48" s="87" t="inlineStr">
        <is>
          <t>Imprevistos</t>
        </is>
      </c>
      <c r="B48" s="92">
        <f>CUSTOS_MACROGRUPO!D20</f>
        <v/>
      </c>
      <c r="C48" s="93" t="n">
        <v>86.90000000000001</v>
      </c>
      <c r="D48" s="93" t="n">
        <v>97.79000000000001</v>
      </c>
      <c r="E48" s="93" t="n">
        <v>34.3</v>
      </c>
      <c r="F48" s="93" t="n">
        <v>118.4</v>
      </c>
      <c r="G48" s="97">
        <f>IF(D48&gt;0,(B48-D48)/D48,0)</f>
        <v/>
      </c>
      <c r="H48" s="94">
        <f>IF(ABS(G48)&lt;=0.1,"✅ Dentro",IF(G48&gt;0.1,"⬆ Acima","⬇ Abaixo"))</f>
        <v/>
      </c>
    </row>
    <row r="49">
      <c r="A49" s="99" t="inlineStr">
        <is>
          <t>TOTAL</t>
        </is>
      </c>
      <c r="B49" s="100">
        <f>SUM(B33:B48)</f>
        <v/>
      </c>
      <c r="C49" s="104" t="n">
        <v>3837.12</v>
      </c>
      <c r="D49" s="104" t="n">
        <v>3570.31</v>
      </c>
    </row>
    <row r="51">
      <c r="A51" s="85" t="inlineStr">
        <is>
          <t>C. QUADRANTE ESTRATÉGICO</t>
        </is>
      </c>
    </row>
    <row r="52">
      <c r="A52" s="86" t="inlineStr">
        <is>
          <t>Quadrante</t>
        </is>
      </c>
      <c r="B52" s="86" t="inlineStr">
        <is>
          <t>CUB Ratio</t>
        </is>
      </c>
      <c r="C52" s="86" t="inlineStr">
        <is>
          <t>R$/m² (norm)</t>
        </is>
      </c>
      <c r="D52" s="86" t="inlineStr">
        <is>
          <t>Margem Típica</t>
        </is>
      </c>
      <c r="E52" s="86" t="inlineStr">
        <is>
          <t>Perfil</t>
        </is>
      </c>
      <c r="F52" s="86" t="inlineStr">
        <is>
          <t>Projetos na Base</t>
        </is>
      </c>
    </row>
    <row r="53">
      <c r="A53" s="87" t="inlineStr">
        <is>
          <t>🟢 Econômico</t>
        </is>
      </c>
      <c r="B53" s="89" t="inlineStr">
        <is>
          <t>&lt; 1.15</t>
        </is>
      </c>
      <c r="C53" s="89" t="inlineStr">
        <is>
          <t>&lt; 3.000</t>
        </is>
      </c>
      <c r="D53" s="89" t="inlineStr">
        <is>
          <t>&gt; 50%</t>
        </is>
      </c>
      <c r="E53" s="87" t="inlineStr">
        <is>
          <t>Popular, periferia</t>
        </is>
      </c>
      <c r="F53" s="101" t="n">
        <v>2</v>
      </c>
    </row>
    <row r="54">
      <c r="A54" s="87" t="inlineStr">
        <is>
          <t>🔵 Médio</t>
        </is>
      </c>
      <c r="B54" s="89" t="inlineStr">
        <is>
          <t>1.15 – 1.30</t>
        </is>
      </c>
      <c r="C54" s="89" t="inlineStr">
        <is>
          <t>3.000 – 3.500</t>
        </is>
      </c>
      <c r="D54" s="89" t="inlineStr">
        <is>
          <t>40–50%</t>
        </is>
      </c>
      <c r="E54" s="87" t="inlineStr">
        <is>
          <t>Residencial urbano</t>
        </is>
      </c>
      <c r="F54" s="101" t="n">
        <v>7</v>
      </c>
    </row>
    <row r="55">
      <c r="A55" s="87" t="inlineStr">
        <is>
          <t>🟡 Alto</t>
        </is>
      </c>
      <c r="B55" s="89" t="inlineStr">
        <is>
          <t>1.30 – 1.50</t>
        </is>
      </c>
      <c r="C55" s="89" t="inlineStr">
        <is>
          <t>3.500 – 4.200</t>
        </is>
      </c>
      <c r="D55" s="89" t="inlineStr">
        <is>
          <t>35–45%</t>
        </is>
      </c>
      <c r="E55" s="87" t="inlineStr">
        <is>
          <t>Frente mar, acabamento superior</t>
        </is>
      </c>
      <c r="F55" s="101" t="n">
        <v>5</v>
      </c>
    </row>
    <row r="56">
      <c r="A56" s="87" t="inlineStr">
        <is>
          <t>🔴 Luxo</t>
        </is>
      </c>
      <c r="B56" s="89" t="inlineStr">
        <is>
          <t>≥ 1.50</t>
        </is>
      </c>
      <c r="C56" s="89" t="inlineStr">
        <is>
          <t>&gt; 4.200</t>
        </is>
      </c>
      <c r="D56" s="89" t="inlineStr">
        <is>
          <t>30–40%</t>
        </is>
      </c>
      <c r="E56" s="87" t="inlineStr">
        <is>
          <t>Resort, alto luxo</t>
        </is>
      </c>
      <c r="F56" s="101" t="n">
        <v>3</v>
      </c>
    </row>
    <row r="58">
      <c r="A58" s="6" t="inlineStr">
        <is>
          <t>Projeto Atual:</t>
        </is>
      </c>
      <c r="B58" s="105">
        <f>IF(PRODUTO!B23&lt;1.15,"🟢 Econômico",IF(PRODUTO!B23&lt;1.3,"🔵 Médio",IF(PRODUTO!B23&lt;1.5,"🟡 Alto","🔴 Luxo")))</f>
        <v/>
      </c>
      <c r="C58" s="103" t="inlineStr">
        <is>
          <t>CUB Ratio:</t>
        </is>
      </c>
      <c r="D58" s="106">
        <f>PRODUTO!B23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2026-03-05T17:10:12Z</dcterms:created>
  <dcterms:modified xmlns:dcterms="http://purl.org/dc/terms/" xmlns:xsi="http://www.w3.org/2001/XMLSchema-instance" xsi:type="dcterms:W3CDTF">2026-03-05T19:53:09Z</dcterms:modified>
</cp:coreProperties>
</file>