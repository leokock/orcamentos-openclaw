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1. ESTRUTURA" sheetId="2" state="visible" r:id="rId2"/>
    <sheet xmlns:r="http://schemas.openxmlformats.org/officeDocument/2006/relationships" name="2. HIDROSSANITÁRIO" sheetId="3" state="visible" r:id="rId3"/>
    <sheet xmlns:r="http://schemas.openxmlformats.org/officeDocument/2006/relationships" name="3. ELÉTRICO" sheetId="4" state="visible" r:id="rId4"/>
    <sheet xmlns:r="http://schemas.openxmlformats.org/officeDocument/2006/relationships" name="4. PPCI" sheetId="5" state="visible" r:id="rId5"/>
    <sheet xmlns:r="http://schemas.openxmlformats.org/officeDocument/2006/relationships" name="5. VEDAÇÕES" sheetId="6" state="visible" r:id="rId6"/>
    <sheet xmlns:r="http://schemas.openxmlformats.org/officeDocument/2006/relationships" name="6. ACABAMENTOS" sheetId="7" state="visible" r:id="rId7"/>
    <sheet xmlns:r="http://schemas.openxmlformats.org/officeDocument/2006/relationships" name="7. RESUMO GE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24"/>
    </font>
    <font>
      <b val="1"/>
    </font>
    <font>
      <b val="1"/>
      <sz val="14"/>
    </font>
    <font>
      <b val="1"/>
      <color rgb="00FFFFFF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8EA9DB"/>
        <bgColor rgb="008EA9DB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indent="1"/>
    </xf>
    <xf numFmtId="4" fontId="0" fillId="0" borderId="1" pivotButton="0" quotePrefix="0" xfId="0"/>
    <xf numFmtId="164" fontId="0" fillId="0" borderId="1" pivotButton="0" quotePrefix="0" xfId="0"/>
    <xf numFmtId="0" fontId="2" fillId="5" borderId="1" applyAlignment="1" pivotButton="0" quotePrefix="0" xfId="0">
      <alignment horizontal="right" indent="1"/>
    </xf>
    <xf numFmtId="164" fontId="2" fillId="5" borderId="1" pivotButton="0" quotePrefix="0" xfId="0"/>
    <xf numFmtId="0" fontId="2" fillId="5" borderId="1" applyAlignment="1" pivotButton="0" quotePrefix="0" xfId="0">
      <alignment horizontal="right"/>
    </xf>
    <xf numFmtId="0" fontId="4" fillId="6" borderId="0" applyAlignment="1" pivotButton="0" quotePrefix="0" xfId="0">
      <alignment horizontal="right"/>
    </xf>
    <xf numFmtId="164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0" customWidth="1" min="2" max="2"/>
    <col width="80" customWidth="1" min="3" max="3"/>
  </cols>
  <sheetData>
    <row r="2">
      <c r="B2" s="1" t="inlineStr">
        <is>
          <t>ORÇAMENTO EXECUTIVO COMPLETO</t>
        </is>
      </c>
    </row>
    <row r="3"/>
    <row r="5">
      <c r="B5" s="2" t="inlineStr">
        <is>
          <t>PROJETO:</t>
        </is>
      </c>
      <c r="C5" t="inlineStr">
        <is>
          <t>Oxford 600 Residence</t>
        </is>
      </c>
    </row>
    <row r="6">
      <c r="B6" s="2" t="inlineStr">
        <is>
          <t>CLIENTE:</t>
        </is>
      </c>
      <c r="C6" t="inlineStr">
        <is>
          <t>Mussi Empreendimentos</t>
        </is>
      </c>
    </row>
    <row r="7">
      <c r="B7" s="2" t="inlineStr">
        <is>
          <t>ENDEREÇO:</t>
        </is>
      </c>
      <c r="C7" t="inlineStr">
        <is>
          <t>Rua Uruguai / Rua Imbituba - Centro, Itajaí/SC</t>
        </is>
      </c>
    </row>
    <row r="8">
      <c r="B8" s="2" t="inlineStr">
        <is>
          <t>DATA-BASE:</t>
        </is>
      </c>
      <c r="C8" t="inlineStr">
        <is>
          <t>março/2026</t>
        </is>
      </c>
    </row>
    <row r="9">
      <c r="B9" s="2" t="inlineStr">
        <is>
          <t>RESPONSÁVEL TÉCNICO:</t>
        </is>
      </c>
      <c r="C9" t="inlineStr">
        <is>
          <t>Cartesian Engenharia</t>
        </is>
      </c>
    </row>
    <row r="10">
      <c r="B10" s="2" t="inlineStr">
        <is>
          <t>BDI APLICADO:</t>
        </is>
      </c>
      <c r="C10" t="inlineStr">
        <is>
          <t>25.0%</t>
        </is>
      </c>
    </row>
    <row r="11">
      <c r="B11" s="2" t="inlineStr">
        <is>
          <t>DATA DO ORÇAMENTO:</t>
        </is>
      </c>
      <c r="C11" t="inlineStr">
        <is>
          <t>13/03/2026</t>
        </is>
      </c>
    </row>
    <row r="12">
      <c r="B12" s="2" t="inlineStr">
        <is>
          <t>VERSÃO:</t>
        </is>
      </c>
      <c r="C12" t="inlineStr">
        <is>
          <t>Completa - Todas as disciplinas por pavimento</t>
        </is>
      </c>
    </row>
    <row r="15">
      <c r="B15" s="3" t="inlineStr">
        <is>
          <t>DISCIPLINAS INCLUÍDAS</t>
        </is>
      </c>
    </row>
    <row r="16">
      <c r="C16" t="inlineStr">
        <is>
          <t>1. Estrutura (por pavimento)</t>
        </is>
      </c>
    </row>
    <row r="17">
      <c r="C17" t="inlineStr">
        <is>
          <t>2. Hidrossanitário (por pavimento)</t>
        </is>
      </c>
    </row>
    <row r="18">
      <c r="C18" t="inlineStr">
        <is>
          <t>3. Elétrico (por pavimento)</t>
        </is>
      </c>
    </row>
    <row r="19">
      <c r="C19" t="inlineStr">
        <is>
          <t>4. PPCI (por pavimento)</t>
        </is>
      </c>
    </row>
    <row r="20">
      <c r="C20" t="inlineStr">
        <is>
          <t>5. Vedações (por pavimento)</t>
        </is>
      </c>
    </row>
    <row r="21">
      <c r="C21" t="inlineStr">
        <is>
          <t>6. Acabamentos (por pavimento)</t>
        </is>
      </c>
    </row>
    <row r="22">
      <c r="C22" t="inlineStr">
        <is>
          <t>7. Resumo Consolidado</t>
        </is>
      </c>
    </row>
  </sheetData>
  <mergeCells count="1">
    <mergeCell ref="B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0" customWidth="1" min="4" max="4"/>
    <col width="12" customWidth="1" min="5" max="5"/>
    <col width="16" customWidth="1" min="6" max="6"/>
    <col width="16" customWidth="1" min="7" max="7"/>
  </cols>
  <sheetData>
    <row r="1">
      <c r="A1" s="4" t="inlineStr">
        <is>
          <t>1. ESTRUTURA - POR PAVIMENTO</t>
        </is>
      </c>
    </row>
    <row r="2">
      <c r="A2" s="5" t="inlineStr">
        <is>
          <t>Item</t>
        </is>
      </c>
      <c r="B2" s="5" t="inlineStr">
        <is>
          <t>Pavimento</t>
        </is>
      </c>
      <c r="C2" s="5" t="inlineStr">
        <is>
          <t>Descrição</t>
        </is>
      </c>
      <c r="D2" s="5" t="inlineStr">
        <is>
          <t>Unidade</t>
        </is>
      </c>
      <c r="E2" s="5" t="inlineStr">
        <is>
          <t>Quantidade</t>
        </is>
      </c>
      <c r="F2" s="5" t="inlineStr">
        <is>
          <t>Custo Unit. (R$)</t>
        </is>
      </c>
      <c r="G2" s="5" t="inlineStr">
        <is>
          <t>Custo Total (R$)</t>
        </is>
      </c>
    </row>
    <row r="3">
      <c r="A3" s="6" t="inlineStr"/>
      <c r="B3" s="6" t="inlineStr">
        <is>
          <t>Térreo</t>
        </is>
      </c>
      <c r="C3" s="6" t="inlineStr"/>
      <c r="D3" s="6" t="inlineStr"/>
      <c r="E3" s="6" t="n"/>
      <c r="F3" s="6" t="n"/>
      <c r="G3" s="6" t="n"/>
    </row>
    <row r="4">
      <c r="A4" s="7" t="inlineStr">
        <is>
          <t>1.1</t>
        </is>
      </c>
      <c r="B4" s="7" t="inlineStr">
        <is>
          <t>Térreo</t>
        </is>
      </c>
      <c r="C4" s="8" t="inlineStr">
        <is>
          <t>Concreto fck 30 MPa</t>
        </is>
      </c>
      <c r="D4" s="7" t="inlineStr">
        <is>
          <t>m³</t>
        </is>
      </c>
      <c r="E4" s="9" t="n">
        <v>341460</v>
      </c>
      <c r="F4" s="10" t="n">
        <v>750</v>
      </c>
      <c r="G4" s="10">
        <f>E4*F4</f>
        <v/>
      </c>
    </row>
    <row r="5">
      <c r="A5" s="7" t="inlineStr">
        <is>
          <t>1.2</t>
        </is>
      </c>
      <c r="B5" s="7" t="inlineStr">
        <is>
          <t>Térreo</t>
        </is>
      </c>
      <c r="C5" s="8" t="inlineStr">
        <is>
          <t>Aço CA-50 - Armadura</t>
        </is>
      </c>
      <c r="D5" s="7" t="inlineStr">
        <is>
          <t>kg</t>
        </is>
      </c>
      <c r="E5" s="9" t="n">
        <v>341.46</v>
      </c>
      <c r="F5" s="10" t="n">
        <v>7.5</v>
      </c>
      <c r="G5" s="10">
        <f>E5*F5</f>
        <v/>
      </c>
    </row>
    <row r="6">
      <c r="A6" s="11" t="inlineStr">
        <is>
          <t>Subtotal Térreo</t>
        </is>
      </c>
      <c r="B6" s="7" t="n"/>
      <c r="C6" s="7" t="n"/>
      <c r="D6" s="7" t="n"/>
      <c r="E6" s="7" t="n"/>
      <c r="F6" s="7" t="n"/>
      <c r="G6" s="12">
        <f>SUM(G4:G5)</f>
        <v/>
      </c>
    </row>
    <row r="8">
      <c r="A8" s="6" t="inlineStr"/>
      <c r="B8" s="6" t="inlineStr">
        <is>
          <t>Garagem 2</t>
        </is>
      </c>
      <c r="C8" s="6" t="inlineStr"/>
      <c r="D8" s="6" t="inlineStr"/>
      <c r="E8" s="6" t="n"/>
      <c r="F8" s="6" t="n"/>
      <c r="G8" s="6" t="n"/>
    </row>
    <row r="9">
      <c r="A9" s="7" t="inlineStr">
        <is>
          <t>1.1</t>
        </is>
      </c>
      <c r="B9" s="7" t="inlineStr">
        <is>
          <t>Garagem 2</t>
        </is>
      </c>
      <c r="C9" s="8" t="inlineStr">
        <is>
          <t>Concreto fck 30 MPa</t>
        </is>
      </c>
      <c r="D9" s="7" t="inlineStr">
        <is>
          <t>m³</t>
        </is>
      </c>
      <c r="E9" s="9" t="n">
        <v>175840</v>
      </c>
      <c r="F9" s="10" t="n">
        <v>750</v>
      </c>
      <c r="G9" s="10">
        <f>E9*F9</f>
        <v/>
      </c>
    </row>
    <row r="10">
      <c r="A10" s="7" t="inlineStr">
        <is>
          <t>1.2</t>
        </is>
      </c>
      <c r="B10" s="7" t="inlineStr">
        <is>
          <t>Garagem 2</t>
        </is>
      </c>
      <c r="C10" s="8" t="inlineStr">
        <is>
          <t>Aço CA-50 - Armadura</t>
        </is>
      </c>
      <c r="D10" s="7" t="inlineStr">
        <is>
          <t>kg</t>
        </is>
      </c>
      <c r="E10" s="9" t="n">
        <v>175.84</v>
      </c>
      <c r="F10" s="10" t="n">
        <v>7.5</v>
      </c>
      <c r="G10" s="10">
        <f>E10*F10</f>
        <v/>
      </c>
    </row>
    <row r="11">
      <c r="A11" s="11" t="inlineStr">
        <is>
          <t>Subtotal Garagem 2</t>
        </is>
      </c>
      <c r="B11" s="7" t="n"/>
      <c r="C11" s="7" t="n"/>
      <c r="D11" s="7" t="n"/>
      <c r="E11" s="7" t="n"/>
      <c r="F11" s="7" t="n"/>
      <c r="G11" s="12">
        <f>SUM(G9:G10)</f>
        <v/>
      </c>
    </row>
    <row r="13">
      <c r="A13" s="6" t="inlineStr"/>
      <c r="B13" s="6" t="inlineStr">
        <is>
          <t>15º Pav (Tipo 10)</t>
        </is>
      </c>
      <c r="C13" s="6" t="inlineStr"/>
      <c r="D13" s="6" t="inlineStr"/>
      <c r="E13" s="6" t="n"/>
      <c r="F13" s="6" t="n"/>
      <c r="G13" s="6" t="n"/>
    </row>
    <row r="14">
      <c r="A14" s="7" t="inlineStr">
        <is>
          <t>1.1</t>
        </is>
      </c>
      <c r="B14" s="7" t="inlineStr">
        <is>
          <t>15º Pav (Tipo 10)</t>
        </is>
      </c>
      <c r="C14" s="8" t="inlineStr">
        <is>
          <t>Concreto fck 30 MPa</t>
        </is>
      </c>
      <c r="D14" s="7" t="inlineStr">
        <is>
          <t>m³</t>
        </is>
      </c>
      <c r="E14" s="9" t="n">
        <v>122450</v>
      </c>
      <c r="F14" s="10" t="n">
        <v>750</v>
      </c>
      <c r="G14" s="10">
        <f>E14*F14</f>
        <v/>
      </c>
    </row>
    <row r="15">
      <c r="A15" s="7" t="inlineStr">
        <is>
          <t>1.2</t>
        </is>
      </c>
      <c r="B15" s="7" t="inlineStr">
        <is>
          <t>15º Pav (Tipo 10)</t>
        </is>
      </c>
      <c r="C15" s="8" t="inlineStr">
        <is>
          <t>Aço CA-50 - Armadura</t>
        </is>
      </c>
      <c r="D15" s="7" t="inlineStr">
        <is>
          <t>kg</t>
        </is>
      </c>
      <c r="E15" s="9" t="n">
        <v>122.45</v>
      </c>
      <c r="F15" s="10" t="n">
        <v>7.5</v>
      </c>
      <c r="G15" s="10">
        <f>E15*F15</f>
        <v/>
      </c>
    </row>
    <row r="16">
      <c r="A16" s="11" t="inlineStr">
        <is>
          <t>Subtotal 15º Pav (Tipo 10)</t>
        </is>
      </c>
      <c r="B16" s="7" t="n"/>
      <c r="C16" s="7" t="n"/>
      <c r="D16" s="7" t="n"/>
      <c r="E16" s="7" t="n"/>
      <c r="F16" s="7" t="n"/>
      <c r="G16" s="12">
        <f>SUM(G14:G15)</f>
        <v/>
      </c>
    </row>
    <row r="18">
      <c r="A18" s="6" t="inlineStr"/>
      <c r="B18" s="6" t="inlineStr">
        <is>
          <t>16º Pav (Tipo 11)</t>
        </is>
      </c>
      <c r="C18" s="6" t="inlineStr"/>
      <c r="D18" s="6" t="inlineStr"/>
      <c r="E18" s="6" t="n"/>
      <c r="F18" s="6" t="n"/>
      <c r="G18" s="6" t="n"/>
    </row>
    <row r="19">
      <c r="A19" s="7" t="inlineStr">
        <is>
          <t>1.1</t>
        </is>
      </c>
      <c r="B19" s="7" t="inlineStr">
        <is>
          <t>16º Pav (Tipo 11)</t>
        </is>
      </c>
      <c r="C19" s="8" t="inlineStr">
        <is>
          <t>Concreto fck 30 MPa</t>
        </is>
      </c>
      <c r="D19" s="7" t="inlineStr">
        <is>
          <t>m³</t>
        </is>
      </c>
      <c r="E19" s="9" t="n">
        <v>122450</v>
      </c>
      <c r="F19" s="10" t="n">
        <v>750</v>
      </c>
      <c r="G19" s="10">
        <f>E19*F19</f>
        <v/>
      </c>
    </row>
    <row r="20">
      <c r="A20" s="7" t="inlineStr">
        <is>
          <t>1.2</t>
        </is>
      </c>
      <c r="B20" s="7" t="inlineStr">
        <is>
          <t>16º Pav (Tipo 11)</t>
        </is>
      </c>
      <c r="C20" s="8" t="inlineStr">
        <is>
          <t>Aço CA-50 - Armadura</t>
        </is>
      </c>
      <c r="D20" s="7" t="inlineStr">
        <is>
          <t>kg</t>
        </is>
      </c>
      <c r="E20" s="9" t="n">
        <v>122.45</v>
      </c>
      <c r="F20" s="10" t="n">
        <v>7.5</v>
      </c>
      <c r="G20" s="10">
        <f>E20*F20</f>
        <v/>
      </c>
    </row>
    <row r="21">
      <c r="A21" s="11" t="inlineStr">
        <is>
          <t>Subtotal 16º Pav (Tipo 11)</t>
        </is>
      </c>
      <c r="B21" s="7" t="n"/>
      <c r="C21" s="7" t="n"/>
      <c r="D21" s="7" t="n"/>
      <c r="E21" s="7" t="n"/>
      <c r="F21" s="7" t="n"/>
      <c r="G21" s="12">
        <f>SUM(G19:G20)</f>
        <v/>
      </c>
    </row>
    <row r="23">
      <c r="A23" s="6" t="inlineStr"/>
      <c r="B23" s="6" t="inlineStr">
        <is>
          <t>17º Pav (Tipo 12)</t>
        </is>
      </c>
      <c r="C23" s="6" t="inlineStr"/>
      <c r="D23" s="6" t="inlineStr"/>
      <c r="E23" s="6" t="n"/>
      <c r="F23" s="6" t="n"/>
      <c r="G23" s="6" t="n"/>
    </row>
    <row r="24">
      <c r="A24" s="7" t="inlineStr">
        <is>
          <t>1.1</t>
        </is>
      </c>
      <c r="B24" s="7" t="inlineStr">
        <is>
          <t>17º Pav (Tipo 12)</t>
        </is>
      </c>
      <c r="C24" s="8" t="inlineStr">
        <is>
          <t>Concreto fck 30 MPa</t>
        </is>
      </c>
      <c r="D24" s="7" t="inlineStr">
        <is>
          <t>m³</t>
        </is>
      </c>
      <c r="E24" s="9" t="n">
        <v>122450</v>
      </c>
      <c r="F24" s="10" t="n">
        <v>750</v>
      </c>
      <c r="G24" s="10">
        <f>E24*F24</f>
        <v/>
      </c>
    </row>
    <row r="25">
      <c r="A25" s="7" t="inlineStr">
        <is>
          <t>1.2</t>
        </is>
      </c>
      <c r="B25" s="7" t="inlineStr">
        <is>
          <t>17º Pav (Tipo 12)</t>
        </is>
      </c>
      <c r="C25" s="8" t="inlineStr">
        <is>
          <t>Aço CA-50 - Armadura</t>
        </is>
      </c>
      <c r="D25" s="7" t="inlineStr">
        <is>
          <t>kg</t>
        </is>
      </c>
      <c r="E25" s="9" t="n">
        <v>122.45</v>
      </c>
      <c r="F25" s="10" t="n">
        <v>7.5</v>
      </c>
      <c r="G25" s="10">
        <f>E25*F25</f>
        <v/>
      </c>
    </row>
    <row r="26">
      <c r="A26" s="11" t="inlineStr">
        <is>
          <t>Subtotal 17º Pav (Tipo 12)</t>
        </is>
      </c>
      <c r="B26" s="7" t="n"/>
      <c r="C26" s="7" t="n"/>
      <c r="D26" s="7" t="n"/>
      <c r="E26" s="7" t="n"/>
      <c r="F26" s="7" t="n"/>
      <c r="G26" s="12">
        <f>SUM(G24:G25)</f>
        <v/>
      </c>
    </row>
    <row r="28">
      <c r="A28" s="6" t="inlineStr"/>
      <c r="B28" s="6" t="inlineStr">
        <is>
          <t>18º Pav (Tipo 13)</t>
        </is>
      </c>
      <c r="C28" s="6" t="inlineStr"/>
      <c r="D28" s="6" t="inlineStr"/>
      <c r="E28" s="6" t="n"/>
      <c r="F28" s="6" t="n"/>
      <c r="G28" s="6" t="n"/>
    </row>
    <row r="29">
      <c r="A29" s="7" t="inlineStr">
        <is>
          <t>1.1</t>
        </is>
      </c>
      <c r="B29" s="7" t="inlineStr">
        <is>
          <t>18º Pav (Tipo 13)</t>
        </is>
      </c>
      <c r="C29" s="8" t="inlineStr">
        <is>
          <t>Concreto fck 30 MPa</t>
        </is>
      </c>
      <c r="D29" s="7" t="inlineStr">
        <is>
          <t>m³</t>
        </is>
      </c>
      <c r="E29" s="9" t="n">
        <v>122450</v>
      </c>
      <c r="F29" s="10" t="n">
        <v>750</v>
      </c>
      <c r="G29" s="10">
        <f>E29*F29</f>
        <v/>
      </c>
    </row>
    <row r="30">
      <c r="A30" s="7" t="inlineStr">
        <is>
          <t>1.2</t>
        </is>
      </c>
      <c r="B30" s="7" t="inlineStr">
        <is>
          <t>18º Pav (Tipo 13)</t>
        </is>
      </c>
      <c r="C30" s="8" t="inlineStr">
        <is>
          <t>Aço CA-50 - Armadura</t>
        </is>
      </c>
      <c r="D30" s="7" t="inlineStr">
        <is>
          <t>kg</t>
        </is>
      </c>
      <c r="E30" s="9" t="n">
        <v>122.45</v>
      </c>
      <c r="F30" s="10" t="n">
        <v>7.5</v>
      </c>
      <c r="G30" s="10">
        <f>E30*F30</f>
        <v/>
      </c>
    </row>
    <row r="31">
      <c r="A31" s="11" t="inlineStr">
        <is>
          <t>Subtotal 18º Pav (Tipo 13)</t>
        </is>
      </c>
      <c r="B31" s="7" t="n"/>
      <c r="C31" s="7" t="n"/>
      <c r="D31" s="7" t="n"/>
      <c r="E31" s="7" t="n"/>
      <c r="F31" s="7" t="n"/>
      <c r="G31" s="12">
        <f>SUM(G29:G30)</f>
        <v/>
      </c>
    </row>
    <row r="33">
      <c r="A33" s="6" t="inlineStr"/>
      <c r="B33" s="6" t="inlineStr">
        <is>
          <t>19º Pav (Tipo 14)</t>
        </is>
      </c>
      <c r="C33" s="6" t="inlineStr"/>
      <c r="D33" s="6" t="inlineStr"/>
      <c r="E33" s="6" t="n"/>
      <c r="F33" s="6" t="n"/>
      <c r="G33" s="6" t="n"/>
    </row>
    <row r="34">
      <c r="A34" s="7" t="inlineStr">
        <is>
          <t>1.1</t>
        </is>
      </c>
      <c r="B34" s="7" t="inlineStr">
        <is>
          <t>19º Pav (Tipo 14)</t>
        </is>
      </c>
      <c r="C34" s="8" t="inlineStr">
        <is>
          <t>Concreto fck 30 MPa</t>
        </is>
      </c>
      <c r="D34" s="7" t="inlineStr">
        <is>
          <t>m³</t>
        </is>
      </c>
      <c r="E34" s="9" t="n">
        <v>122450</v>
      </c>
      <c r="F34" s="10" t="n">
        <v>750</v>
      </c>
      <c r="G34" s="10">
        <f>E34*F34</f>
        <v/>
      </c>
    </row>
    <row r="35">
      <c r="A35" s="7" t="inlineStr">
        <is>
          <t>1.2</t>
        </is>
      </c>
      <c r="B35" s="7" t="inlineStr">
        <is>
          <t>19º Pav (Tipo 14)</t>
        </is>
      </c>
      <c r="C35" s="8" t="inlineStr">
        <is>
          <t>Aço CA-50 - Armadura</t>
        </is>
      </c>
      <c r="D35" s="7" t="inlineStr">
        <is>
          <t>kg</t>
        </is>
      </c>
      <c r="E35" s="9" t="n">
        <v>122.45</v>
      </c>
      <c r="F35" s="10" t="n">
        <v>7.5</v>
      </c>
      <c r="G35" s="10">
        <f>E35*F35</f>
        <v/>
      </c>
    </row>
    <row r="36">
      <c r="A36" s="11" t="inlineStr">
        <is>
          <t>Subtotal 19º Pav (Tipo 14)</t>
        </is>
      </c>
      <c r="B36" s="7" t="n"/>
      <c r="C36" s="7" t="n"/>
      <c r="D36" s="7" t="n"/>
      <c r="E36" s="7" t="n"/>
      <c r="F36" s="7" t="n"/>
      <c r="G36" s="12">
        <f>SUM(G34:G35)</f>
        <v/>
      </c>
    </row>
    <row r="38">
      <c r="A38" s="6" t="inlineStr"/>
      <c r="B38" s="6" t="inlineStr">
        <is>
          <t>20º Pav (Tipo 15)</t>
        </is>
      </c>
      <c r="C38" s="6" t="inlineStr"/>
      <c r="D38" s="6" t="inlineStr"/>
      <c r="E38" s="6" t="n"/>
      <c r="F38" s="6" t="n"/>
      <c r="G38" s="6" t="n"/>
    </row>
    <row r="39">
      <c r="A39" s="7" t="inlineStr">
        <is>
          <t>1.1</t>
        </is>
      </c>
      <c r="B39" s="7" t="inlineStr">
        <is>
          <t>20º Pav (Tipo 15)</t>
        </is>
      </c>
      <c r="C39" s="8" t="inlineStr">
        <is>
          <t>Concreto fck 30 MPa</t>
        </is>
      </c>
      <c r="D39" s="7" t="inlineStr">
        <is>
          <t>m³</t>
        </is>
      </c>
      <c r="E39" s="9" t="n">
        <v>122450</v>
      </c>
      <c r="F39" s="10" t="n">
        <v>750</v>
      </c>
      <c r="G39" s="10">
        <f>E39*F39</f>
        <v/>
      </c>
    </row>
    <row r="40">
      <c r="A40" s="7" t="inlineStr">
        <is>
          <t>1.2</t>
        </is>
      </c>
      <c r="B40" s="7" t="inlineStr">
        <is>
          <t>20º Pav (Tipo 15)</t>
        </is>
      </c>
      <c r="C40" s="8" t="inlineStr">
        <is>
          <t>Aço CA-50 - Armadura</t>
        </is>
      </c>
      <c r="D40" s="7" t="inlineStr">
        <is>
          <t>kg</t>
        </is>
      </c>
      <c r="E40" s="9" t="n">
        <v>122.45</v>
      </c>
      <c r="F40" s="10" t="n">
        <v>7.5</v>
      </c>
      <c r="G40" s="10">
        <f>E40*F40</f>
        <v/>
      </c>
    </row>
    <row r="41">
      <c r="A41" s="11" t="inlineStr">
        <is>
          <t>Subtotal 20º Pav (Tipo 15)</t>
        </is>
      </c>
      <c r="B41" s="7" t="n"/>
      <c r="C41" s="7" t="n"/>
      <c r="D41" s="7" t="n"/>
      <c r="E41" s="7" t="n"/>
      <c r="F41" s="7" t="n"/>
      <c r="G41" s="12">
        <f>SUM(G39:G40)</f>
        <v/>
      </c>
    </row>
    <row r="43">
      <c r="A43" s="6" t="inlineStr"/>
      <c r="B43" s="6" t="inlineStr">
        <is>
          <t>21º Pav (Tipo 16)</t>
        </is>
      </c>
      <c r="C43" s="6" t="inlineStr"/>
      <c r="D43" s="6" t="inlineStr"/>
      <c r="E43" s="6" t="n"/>
      <c r="F43" s="6" t="n"/>
      <c r="G43" s="6" t="n"/>
    </row>
    <row r="44">
      <c r="A44" s="7" t="inlineStr">
        <is>
          <t>1.1</t>
        </is>
      </c>
      <c r="B44" s="7" t="inlineStr">
        <is>
          <t>21º Pav (Tipo 16)</t>
        </is>
      </c>
      <c r="C44" s="8" t="inlineStr">
        <is>
          <t>Concreto fck 30 MPa</t>
        </is>
      </c>
      <c r="D44" s="7" t="inlineStr">
        <is>
          <t>m³</t>
        </is>
      </c>
      <c r="E44" s="9" t="n">
        <v>122450</v>
      </c>
      <c r="F44" s="10" t="n">
        <v>750</v>
      </c>
      <c r="G44" s="10">
        <f>E44*F44</f>
        <v/>
      </c>
    </row>
    <row r="45">
      <c r="A45" s="7" t="inlineStr">
        <is>
          <t>1.2</t>
        </is>
      </c>
      <c r="B45" s="7" t="inlineStr">
        <is>
          <t>21º Pav (Tipo 16)</t>
        </is>
      </c>
      <c r="C45" s="8" t="inlineStr">
        <is>
          <t>Aço CA-50 - Armadura</t>
        </is>
      </c>
      <c r="D45" s="7" t="inlineStr">
        <is>
          <t>kg</t>
        </is>
      </c>
      <c r="E45" s="9" t="n">
        <v>122.45</v>
      </c>
      <c r="F45" s="10" t="n">
        <v>7.5</v>
      </c>
      <c r="G45" s="10">
        <f>E45*F45</f>
        <v/>
      </c>
    </row>
    <row r="46">
      <c r="A46" s="11" t="inlineStr">
        <is>
          <t>Subtotal 21º Pav (Tipo 16)</t>
        </is>
      </c>
      <c r="B46" s="7" t="n"/>
      <c r="C46" s="7" t="n"/>
      <c r="D46" s="7" t="n"/>
      <c r="E46" s="7" t="n"/>
      <c r="F46" s="7" t="n"/>
      <c r="G46" s="12">
        <f>SUM(G44:G45)</f>
        <v/>
      </c>
    </row>
    <row r="48">
      <c r="A48" s="6" t="inlineStr"/>
      <c r="B48" s="6" t="inlineStr">
        <is>
          <t>22º Pav (Tipo 17)</t>
        </is>
      </c>
      <c r="C48" s="6" t="inlineStr"/>
      <c r="D48" s="6" t="inlineStr"/>
      <c r="E48" s="6" t="n"/>
      <c r="F48" s="6" t="n"/>
      <c r="G48" s="6" t="n"/>
    </row>
    <row r="49">
      <c r="A49" s="7" t="inlineStr">
        <is>
          <t>1.1</t>
        </is>
      </c>
      <c r="B49" s="7" t="inlineStr">
        <is>
          <t>22º Pav (Tipo 17)</t>
        </is>
      </c>
      <c r="C49" s="8" t="inlineStr">
        <is>
          <t>Concreto fck 30 MPa</t>
        </is>
      </c>
      <c r="D49" s="7" t="inlineStr">
        <is>
          <t>m³</t>
        </is>
      </c>
      <c r="E49" s="9" t="n">
        <v>122450</v>
      </c>
      <c r="F49" s="10" t="n">
        <v>750</v>
      </c>
      <c r="G49" s="10">
        <f>E49*F49</f>
        <v/>
      </c>
    </row>
    <row r="50">
      <c r="A50" s="7" t="inlineStr">
        <is>
          <t>1.2</t>
        </is>
      </c>
      <c r="B50" s="7" t="inlineStr">
        <is>
          <t>22º Pav (Tipo 17)</t>
        </is>
      </c>
      <c r="C50" s="8" t="inlineStr">
        <is>
          <t>Aço CA-50 - Armadura</t>
        </is>
      </c>
      <c r="D50" s="7" t="inlineStr">
        <is>
          <t>kg</t>
        </is>
      </c>
      <c r="E50" s="9" t="n">
        <v>122.45</v>
      </c>
      <c r="F50" s="10" t="n">
        <v>7.5</v>
      </c>
      <c r="G50" s="10">
        <f>E50*F50</f>
        <v/>
      </c>
    </row>
    <row r="51">
      <c r="A51" s="11" t="inlineStr">
        <is>
          <t>Subtotal 22º Pav (Tipo 17)</t>
        </is>
      </c>
      <c r="B51" s="7" t="n"/>
      <c r="C51" s="7" t="n"/>
      <c r="D51" s="7" t="n"/>
      <c r="E51" s="7" t="n"/>
      <c r="F51" s="7" t="n"/>
      <c r="G51" s="12">
        <f>SUM(G49:G50)</f>
        <v/>
      </c>
    </row>
    <row r="53">
      <c r="A53" s="6" t="inlineStr"/>
      <c r="B53" s="6" t="inlineStr">
        <is>
          <t>23º Pav (Tipo 18)</t>
        </is>
      </c>
      <c r="C53" s="6" t="inlineStr"/>
      <c r="D53" s="6" t="inlineStr"/>
      <c r="E53" s="6" t="n"/>
      <c r="F53" s="6" t="n"/>
      <c r="G53" s="6" t="n"/>
    </row>
    <row r="54">
      <c r="A54" s="7" t="inlineStr">
        <is>
          <t>1.1</t>
        </is>
      </c>
      <c r="B54" s="7" t="inlineStr">
        <is>
          <t>23º Pav (Tipo 18)</t>
        </is>
      </c>
      <c r="C54" s="8" t="inlineStr">
        <is>
          <t>Concreto fck 30 MPa</t>
        </is>
      </c>
      <c r="D54" s="7" t="inlineStr">
        <is>
          <t>m³</t>
        </is>
      </c>
      <c r="E54" s="9" t="n">
        <v>122450</v>
      </c>
      <c r="F54" s="10" t="n">
        <v>750</v>
      </c>
      <c r="G54" s="10">
        <f>E54*F54</f>
        <v/>
      </c>
    </row>
    <row r="55">
      <c r="A55" s="7" t="inlineStr">
        <is>
          <t>1.2</t>
        </is>
      </c>
      <c r="B55" s="7" t="inlineStr">
        <is>
          <t>23º Pav (Tipo 18)</t>
        </is>
      </c>
      <c r="C55" s="8" t="inlineStr">
        <is>
          <t>Aço CA-50 - Armadura</t>
        </is>
      </c>
      <c r="D55" s="7" t="inlineStr">
        <is>
          <t>kg</t>
        </is>
      </c>
      <c r="E55" s="9" t="n">
        <v>122.45</v>
      </c>
      <c r="F55" s="10" t="n">
        <v>7.5</v>
      </c>
      <c r="G55" s="10">
        <f>E55*F55</f>
        <v/>
      </c>
    </row>
    <row r="56">
      <c r="A56" s="11" t="inlineStr">
        <is>
          <t>Subtotal 23º Pav (Tipo 18)</t>
        </is>
      </c>
      <c r="B56" s="7" t="n"/>
      <c r="C56" s="7" t="n"/>
      <c r="D56" s="7" t="n"/>
      <c r="E56" s="7" t="n"/>
      <c r="F56" s="7" t="n"/>
      <c r="G56" s="12">
        <f>SUM(G54:G55)</f>
        <v/>
      </c>
    </row>
    <row r="58">
      <c r="A58" s="6" t="inlineStr"/>
      <c r="B58" s="6" t="inlineStr">
        <is>
          <t>Ático (24º)</t>
        </is>
      </c>
      <c r="C58" s="6" t="inlineStr"/>
      <c r="D58" s="6" t="inlineStr"/>
      <c r="E58" s="6" t="n"/>
      <c r="F58" s="6" t="n"/>
      <c r="G58" s="6" t="n"/>
    </row>
    <row r="59">
      <c r="A59" s="7" t="inlineStr">
        <is>
          <t>1.1</t>
        </is>
      </c>
      <c r="B59" s="7" t="inlineStr">
        <is>
          <t>Ático (24º)</t>
        </is>
      </c>
      <c r="C59" s="8" t="inlineStr">
        <is>
          <t>Concreto fck 30 MPa</t>
        </is>
      </c>
      <c r="D59" s="7" t="inlineStr">
        <is>
          <t>m³</t>
        </is>
      </c>
      <c r="E59" s="9" t="n">
        <v>111440</v>
      </c>
      <c r="F59" s="10" t="n">
        <v>750</v>
      </c>
      <c r="G59" s="10">
        <f>E59*F59</f>
        <v/>
      </c>
    </row>
    <row r="60">
      <c r="A60" s="7" t="inlineStr">
        <is>
          <t>1.2</t>
        </is>
      </c>
      <c r="B60" s="7" t="inlineStr">
        <is>
          <t>Ático (24º)</t>
        </is>
      </c>
      <c r="C60" s="8" t="inlineStr">
        <is>
          <t>Aço CA-50 - Armadura</t>
        </is>
      </c>
      <c r="D60" s="7" t="inlineStr">
        <is>
          <t>kg</t>
        </is>
      </c>
      <c r="E60" s="9" t="n">
        <v>111.44</v>
      </c>
      <c r="F60" s="10" t="n">
        <v>7.5</v>
      </c>
      <c r="G60" s="10">
        <f>E60*F60</f>
        <v/>
      </c>
    </row>
    <row r="61">
      <c r="A61" s="11" t="inlineStr">
        <is>
          <t>Subtotal Ático (24º)</t>
        </is>
      </c>
      <c r="B61" s="7" t="n"/>
      <c r="C61" s="7" t="n"/>
      <c r="D61" s="7" t="n"/>
      <c r="E61" s="7" t="n"/>
      <c r="F61" s="7" t="n"/>
      <c r="G61" s="12">
        <f>SUM(G59:G60)</f>
        <v/>
      </c>
    </row>
    <row r="64">
      <c r="A64" s="13" t="inlineStr">
        <is>
          <t>TOTAL ESTRUTURA</t>
        </is>
      </c>
      <c r="B64" s="7" t="n"/>
      <c r="C64" s="7" t="n"/>
      <c r="D64" s="7" t="n"/>
      <c r="E64" s="7" t="n"/>
      <c r="F64" s="7" t="n"/>
      <c r="G64" s="12">
        <f>SUM(G3:G63)</f>
        <v/>
      </c>
    </row>
  </sheetData>
  <mergeCells count="14">
    <mergeCell ref="A41:F41"/>
    <mergeCell ref="A16:F16"/>
    <mergeCell ref="A11:F11"/>
    <mergeCell ref="A51:F51"/>
    <mergeCell ref="A1:G1"/>
    <mergeCell ref="A46:F46"/>
    <mergeCell ref="A36:F36"/>
    <mergeCell ref="A31:F31"/>
    <mergeCell ref="A61:F61"/>
    <mergeCell ref="A6:F6"/>
    <mergeCell ref="A56:F56"/>
    <mergeCell ref="A26:F26"/>
    <mergeCell ref="A21:F21"/>
    <mergeCell ref="A64:F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0" customWidth="1" min="4" max="4"/>
    <col width="12" customWidth="1" min="5" max="5"/>
    <col width="16" customWidth="1" min="6" max="6"/>
    <col width="16" customWidth="1" min="7" max="7"/>
  </cols>
  <sheetData>
    <row r="1">
      <c r="A1" s="4" t="inlineStr">
        <is>
          <t>2. HIDROSSANITÁRIO - POR PAVIMENTO</t>
        </is>
      </c>
    </row>
    <row r="2">
      <c r="A2" s="5" t="inlineStr">
        <is>
          <t>Item</t>
        </is>
      </c>
      <c r="B2" s="5" t="inlineStr">
        <is>
          <t>Pavimento</t>
        </is>
      </c>
      <c r="C2" s="5" t="inlineStr">
        <is>
          <t>Descrição</t>
        </is>
      </c>
      <c r="D2" s="5" t="inlineStr">
        <is>
          <t>Unidade</t>
        </is>
      </c>
      <c r="E2" s="5" t="inlineStr">
        <is>
          <t>Quantidade</t>
        </is>
      </c>
      <c r="F2" s="5" t="inlineStr">
        <is>
          <t>Custo Unit. (R$)</t>
        </is>
      </c>
      <c r="G2" s="5" t="inlineStr">
        <is>
          <t>Custo Total (R$)</t>
        </is>
      </c>
    </row>
    <row r="3">
      <c r="A3" s="6" t="inlineStr"/>
      <c r="B3" s="6" t="inlineStr">
        <is>
          <t>Térreo</t>
        </is>
      </c>
      <c r="C3" s="6" t="inlineStr"/>
      <c r="D3" s="6" t="inlineStr"/>
      <c r="E3" s="6" t="n"/>
      <c r="F3" s="6" t="n"/>
      <c r="G3" s="6" t="n"/>
    </row>
    <row r="4">
      <c r="A4" s="7" t="inlineStr">
        <is>
          <t>2.1</t>
        </is>
      </c>
      <c r="B4" s="7" t="inlineStr">
        <is>
          <t>Térreo</t>
        </is>
      </c>
      <c r="C4" s="8" t="inlineStr">
        <is>
          <t>Tubulações PVC Esgoto DN 50mm</t>
        </is>
      </c>
      <c r="D4" s="7" t="inlineStr">
        <is>
          <t>m</t>
        </is>
      </c>
      <c r="E4" s="9" t="n">
        <v>85</v>
      </c>
      <c r="F4" s="10" t="n">
        <v>12</v>
      </c>
      <c r="G4" s="10">
        <f>E4*F4</f>
        <v/>
      </c>
    </row>
    <row r="5">
      <c r="A5" s="7" t="inlineStr">
        <is>
          <t>2.2</t>
        </is>
      </c>
      <c r="B5" s="7" t="inlineStr">
        <is>
          <t>Térreo</t>
        </is>
      </c>
      <c r="C5" s="8" t="inlineStr">
        <is>
          <t>Tubulações PVC Esgoto DN 100mm</t>
        </is>
      </c>
      <c r="D5" s="7" t="inlineStr">
        <is>
          <t>m</t>
        </is>
      </c>
      <c r="E5" s="9" t="n">
        <v>45</v>
      </c>
      <c r="F5" s="10" t="n">
        <v>22</v>
      </c>
      <c r="G5" s="10">
        <f>E5*F5</f>
        <v/>
      </c>
    </row>
    <row r="6">
      <c r="A6" s="7" t="inlineStr">
        <is>
          <t>2.3</t>
        </is>
      </c>
      <c r="B6" s="7" t="inlineStr">
        <is>
          <t>Térreo</t>
        </is>
      </c>
      <c r="C6" s="8" t="inlineStr">
        <is>
          <t>Joelhos e Conexões PVC 50mm</t>
        </is>
      </c>
      <c r="D6" s="7" t="inlineStr">
        <is>
          <t>pç</t>
        </is>
      </c>
      <c r="E6" s="9" t="n">
        <v>45</v>
      </c>
      <c r="F6" s="10" t="n">
        <v>2.5</v>
      </c>
      <c r="G6" s="10">
        <f>E6*F6</f>
        <v/>
      </c>
    </row>
    <row r="7">
      <c r="A7" s="7" t="inlineStr">
        <is>
          <t>2.4</t>
        </is>
      </c>
      <c r="B7" s="7" t="inlineStr">
        <is>
          <t>Térreo</t>
        </is>
      </c>
      <c r="C7" s="8" t="inlineStr">
        <is>
          <t>Caixas Sifonadas 150x150x50</t>
        </is>
      </c>
      <c r="D7" s="7" t="inlineStr">
        <is>
          <t>pç</t>
        </is>
      </c>
      <c r="E7" s="9" t="n">
        <v>12</v>
      </c>
      <c r="F7" s="10" t="n">
        <v>45</v>
      </c>
      <c r="G7" s="10">
        <f>E7*F7</f>
        <v/>
      </c>
    </row>
    <row r="8">
      <c r="A8" s="11" t="inlineStr">
        <is>
          <t>Subtotal Térreo</t>
        </is>
      </c>
      <c r="B8" s="7" t="n"/>
      <c r="C8" s="7" t="n"/>
      <c r="D8" s="7" t="n"/>
      <c r="E8" s="7" t="n"/>
      <c r="F8" s="7" t="n"/>
      <c r="G8" s="12">
        <f>SUM(G4:G7)</f>
        <v/>
      </c>
    </row>
    <row r="10">
      <c r="A10" s="6" t="inlineStr"/>
      <c r="B10" s="6" t="inlineStr">
        <is>
          <t>Garagem 2</t>
        </is>
      </c>
      <c r="C10" s="6" t="inlineStr"/>
      <c r="D10" s="6" t="inlineStr"/>
      <c r="E10" s="6" t="n"/>
      <c r="F10" s="6" t="n"/>
      <c r="G10" s="6" t="n"/>
    </row>
    <row r="11">
      <c r="A11" s="7" t="inlineStr">
        <is>
          <t>2.1</t>
        </is>
      </c>
      <c r="B11" s="7" t="inlineStr">
        <is>
          <t>Garagem 2</t>
        </is>
      </c>
      <c r="C11" s="8" t="inlineStr">
        <is>
          <t>Tubulações PVC Esgoto DN 50mm</t>
        </is>
      </c>
      <c r="D11" s="7" t="inlineStr">
        <is>
          <t>m</t>
        </is>
      </c>
      <c r="E11" s="9" t="n">
        <v>25.5</v>
      </c>
      <c r="F11" s="10" t="n">
        <v>12</v>
      </c>
      <c r="G11" s="10">
        <f>E11*F11</f>
        <v/>
      </c>
    </row>
    <row r="12">
      <c r="A12" s="7" t="inlineStr">
        <is>
          <t>2.2</t>
        </is>
      </c>
      <c r="B12" s="7" t="inlineStr">
        <is>
          <t>Garagem 2</t>
        </is>
      </c>
      <c r="C12" s="8" t="inlineStr">
        <is>
          <t>Tubulações PVC Esgoto DN 100mm</t>
        </is>
      </c>
      <c r="D12" s="7" t="inlineStr">
        <is>
          <t>m</t>
        </is>
      </c>
      <c r="E12" s="9" t="n">
        <v>13.5</v>
      </c>
      <c r="F12" s="10" t="n">
        <v>22</v>
      </c>
      <c r="G12" s="10">
        <f>E12*F12</f>
        <v/>
      </c>
    </row>
    <row r="13">
      <c r="A13" s="7" t="inlineStr">
        <is>
          <t>2.3</t>
        </is>
      </c>
      <c r="B13" s="7" t="inlineStr">
        <is>
          <t>Garagem 2</t>
        </is>
      </c>
      <c r="C13" s="8" t="inlineStr">
        <is>
          <t>Joelhos e Conexões PVC 50mm</t>
        </is>
      </c>
      <c r="D13" s="7" t="inlineStr">
        <is>
          <t>pç</t>
        </is>
      </c>
      <c r="E13" s="9" t="n">
        <v>13.5</v>
      </c>
      <c r="F13" s="10" t="n">
        <v>2.5</v>
      </c>
      <c r="G13" s="10">
        <f>E13*F13</f>
        <v/>
      </c>
    </row>
    <row r="14">
      <c r="A14" s="7" t="inlineStr">
        <is>
          <t>2.4</t>
        </is>
      </c>
      <c r="B14" s="7" t="inlineStr">
        <is>
          <t>Garagem 2</t>
        </is>
      </c>
      <c r="C14" s="8" t="inlineStr">
        <is>
          <t>Caixas Sifonadas 150x150x50</t>
        </is>
      </c>
      <c r="D14" s="7" t="inlineStr">
        <is>
          <t>pç</t>
        </is>
      </c>
      <c r="E14" s="9" t="n">
        <v>3.6</v>
      </c>
      <c r="F14" s="10" t="n">
        <v>45</v>
      </c>
      <c r="G14" s="10">
        <f>E14*F14</f>
        <v/>
      </c>
    </row>
    <row r="15">
      <c r="A15" s="11" t="inlineStr">
        <is>
          <t>Subtotal Garagem 2</t>
        </is>
      </c>
      <c r="B15" s="7" t="n"/>
      <c r="C15" s="7" t="n"/>
      <c r="D15" s="7" t="n"/>
      <c r="E15" s="7" t="n"/>
      <c r="F15" s="7" t="n"/>
      <c r="G15" s="12">
        <f>SUM(G11:G14)</f>
        <v/>
      </c>
    </row>
    <row r="17">
      <c r="A17" s="6" t="inlineStr"/>
      <c r="B17" s="6" t="inlineStr">
        <is>
          <t>Garagem 3</t>
        </is>
      </c>
      <c r="C17" s="6" t="inlineStr"/>
      <c r="D17" s="6" t="inlineStr"/>
      <c r="E17" s="6" t="n"/>
      <c r="F17" s="6" t="n"/>
      <c r="G17" s="6" t="n"/>
    </row>
    <row r="18">
      <c r="A18" s="7" t="inlineStr">
        <is>
          <t>2.1</t>
        </is>
      </c>
      <c r="B18" s="7" t="inlineStr">
        <is>
          <t>Garagem 3</t>
        </is>
      </c>
      <c r="C18" s="8" t="inlineStr">
        <is>
          <t>Tubulações PVC Esgoto DN 50mm</t>
        </is>
      </c>
      <c r="D18" s="7" t="inlineStr">
        <is>
          <t>m</t>
        </is>
      </c>
      <c r="E18" s="9" t="n">
        <v>25.5</v>
      </c>
      <c r="F18" s="10" t="n">
        <v>12</v>
      </c>
      <c r="G18" s="10">
        <f>E18*F18</f>
        <v/>
      </c>
    </row>
    <row r="19">
      <c r="A19" s="7" t="inlineStr">
        <is>
          <t>2.2</t>
        </is>
      </c>
      <c r="B19" s="7" t="inlineStr">
        <is>
          <t>Garagem 3</t>
        </is>
      </c>
      <c r="C19" s="8" t="inlineStr">
        <is>
          <t>Tubulações PVC Esgoto DN 100mm</t>
        </is>
      </c>
      <c r="D19" s="7" t="inlineStr">
        <is>
          <t>m</t>
        </is>
      </c>
      <c r="E19" s="9" t="n">
        <v>13.5</v>
      </c>
      <c r="F19" s="10" t="n">
        <v>22</v>
      </c>
      <c r="G19" s="10">
        <f>E19*F19</f>
        <v/>
      </c>
    </row>
    <row r="20">
      <c r="A20" s="7" t="inlineStr">
        <is>
          <t>2.3</t>
        </is>
      </c>
      <c r="B20" s="7" t="inlineStr">
        <is>
          <t>Garagem 3</t>
        </is>
      </c>
      <c r="C20" s="8" t="inlineStr">
        <is>
          <t>Joelhos e Conexões PVC 50mm</t>
        </is>
      </c>
      <c r="D20" s="7" t="inlineStr">
        <is>
          <t>pç</t>
        </is>
      </c>
      <c r="E20" s="9" t="n">
        <v>13.5</v>
      </c>
      <c r="F20" s="10" t="n">
        <v>2.5</v>
      </c>
      <c r="G20" s="10">
        <f>E20*F20</f>
        <v/>
      </c>
    </row>
    <row r="21">
      <c r="A21" s="7" t="inlineStr">
        <is>
          <t>2.4</t>
        </is>
      </c>
      <c r="B21" s="7" t="inlineStr">
        <is>
          <t>Garagem 3</t>
        </is>
      </c>
      <c r="C21" s="8" t="inlineStr">
        <is>
          <t>Caixas Sifonadas 150x150x50</t>
        </is>
      </c>
      <c r="D21" s="7" t="inlineStr">
        <is>
          <t>pç</t>
        </is>
      </c>
      <c r="E21" s="9" t="n">
        <v>3.6</v>
      </c>
      <c r="F21" s="10" t="n">
        <v>45</v>
      </c>
      <c r="G21" s="10">
        <f>E21*F21</f>
        <v/>
      </c>
    </row>
    <row r="22">
      <c r="A22" s="11" t="inlineStr">
        <is>
          <t>Subtotal Garagem 3</t>
        </is>
      </c>
      <c r="B22" s="7" t="n"/>
      <c r="C22" s="7" t="n"/>
      <c r="D22" s="7" t="n"/>
      <c r="E22" s="7" t="n"/>
      <c r="F22" s="7" t="n"/>
      <c r="G22" s="12">
        <f>SUM(G18:G21)</f>
        <v/>
      </c>
    </row>
    <row r="24">
      <c r="A24" s="6" t="inlineStr"/>
      <c r="B24" s="6" t="inlineStr">
        <is>
          <t>Garagem 4</t>
        </is>
      </c>
      <c r="C24" s="6" t="inlineStr"/>
      <c r="D24" s="6" t="inlineStr"/>
      <c r="E24" s="6" t="n"/>
      <c r="F24" s="6" t="n"/>
      <c r="G24" s="6" t="n"/>
    </row>
    <row r="25">
      <c r="A25" s="7" t="inlineStr">
        <is>
          <t>2.1</t>
        </is>
      </c>
      <c r="B25" s="7" t="inlineStr">
        <is>
          <t>Garagem 4</t>
        </is>
      </c>
      <c r="C25" s="8" t="inlineStr">
        <is>
          <t>Tubulações PVC Esgoto DN 50mm</t>
        </is>
      </c>
      <c r="D25" s="7" t="inlineStr">
        <is>
          <t>m</t>
        </is>
      </c>
      <c r="E25" s="9" t="n">
        <v>25.5</v>
      </c>
      <c r="F25" s="10" t="n">
        <v>12</v>
      </c>
      <c r="G25" s="10">
        <f>E25*F25</f>
        <v/>
      </c>
    </row>
    <row r="26">
      <c r="A26" s="7" t="inlineStr">
        <is>
          <t>2.2</t>
        </is>
      </c>
      <c r="B26" s="7" t="inlineStr">
        <is>
          <t>Garagem 4</t>
        </is>
      </c>
      <c r="C26" s="8" t="inlineStr">
        <is>
          <t>Tubulações PVC Esgoto DN 100mm</t>
        </is>
      </c>
      <c r="D26" s="7" t="inlineStr">
        <is>
          <t>m</t>
        </is>
      </c>
      <c r="E26" s="9" t="n">
        <v>13.5</v>
      </c>
      <c r="F26" s="10" t="n">
        <v>22</v>
      </c>
      <c r="G26" s="10">
        <f>E26*F26</f>
        <v/>
      </c>
    </row>
    <row r="27">
      <c r="A27" s="7" t="inlineStr">
        <is>
          <t>2.3</t>
        </is>
      </c>
      <c r="B27" s="7" t="inlineStr">
        <is>
          <t>Garagem 4</t>
        </is>
      </c>
      <c r="C27" s="8" t="inlineStr">
        <is>
          <t>Joelhos e Conexões PVC 50mm</t>
        </is>
      </c>
      <c r="D27" s="7" t="inlineStr">
        <is>
          <t>pç</t>
        </is>
      </c>
      <c r="E27" s="9" t="n">
        <v>13.5</v>
      </c>
      <c r="F27" s="10" t="n">
        <v>2.5</v>
      </c>
      <c r="G27" s="10">
        <f>E27*F27</f>
        <v/>
      </c>
    </row>
    <row r="28">
      <c r="A28" s="7" t="inlineStr">
        <is>
          <t>2.4</t>
        </is>
      </c>
      <c r="B28" s="7" t="inlineStr">
        <is>
          <t>Garagem 4</t>
        </is>
      </c>
      <c r="C28" s="8" t="inlineStr">
        <is>
          <t>Caixas Sifonadas 150x150x50</t>
        </is>
      </c>
      <c r="D28" s="7" t="inlineStr">
        <is>
          <t>pç</t>
        </is>
      </c>
      <c r="E28" s="9" t="n">
        <v>3.6</v>
      </c>
      <c r="F28" s="10" t="n">
        <v>45</v>
      </c>
      <c r="G28" s="10">
        <f>E28*F28</f>
        <v/>
      </c>
    </row>
    <row r="29">
      <c r="A29" s="11" t="inlineStr">
        <is>
          <t>Subtotal Garagem 4</t>
        </is>
      </c>
      <c r="B29" s="7" t="n"/>
      <c r="C29" s="7" t="n"/>
      <c r="D29" s="7" t="n"/>
      <c r="E29" s="7" t="n"/>
      <c r="F29" s="7" t="n"/>
      <c r="G29" s="12">
        <f>SUM(G25:G28)</f>
        <v/>
      </c>
    </row>
    <row r="31">
      <c r="A31" s="6" t="inlineStr"/>
      <c r="B31" s="6" t="inlineStr">
        <is>
          <t>Garagem 5</t>
        </is>
      </c>
      <c r="C31" s="6" t="inlineStr"/>
      <c r="D31" s="6" t="inlineStr"/>
      <c r="E31" s="6" t="n"/>
      <c r="F31" s="6" t="n"/>
      <c r="G31" s="6" t="n"/>
    </row>
    <row r="32">
      <c r="A32" s="7" t="inlineStr">
        <is>
          <t>2.1</t>
        </is>
      </c>
      <c r="B32" s="7" t="inlineStr">
        <is>
          <t>Garagem 5</t>
        </is>
      </c>
      <c r="C32" s="8" t="inlineStr">
        <is>
          <t>Tubulações PVC Esgoto DN 50mm</t>
        </is>
      </c>
      <c r="D32" s="7" t="inlineStr">
        <is>
          <t>m</t>
        </is>
      </c>
      <c r="E32" s="9" t="n">
        <v>25.5</v>
      </c>
      <c r="F32" s="10" t="n">
        <v>12</v>
      </c>
      <c r="G32" s="10">
        <f>E32*F32</f>
        <v/>
      </c>
    </row>
    <row r="33">
      <c r="A33" s="7" t="inlineStr">
        <is>
          <t>2.2</t>
        </is>
      </c>
      <c r="B33" s="7" t="inlineStr">
        <is>
          <t>Garagem 5</t>
        </is>
      </c>
      <c r="C33" s="8" t="inlineStr">
        <is>
          <t>Tubulações PVC Esgoto DN 100mm</t>
        </is>
      </c>
      <c r="D33" s="7" t="inlineStr">
        <is>
          <t>m</t>
        </is>
      </c>
      <c r="E33" s="9" t="n">
        <v>13.5</v>
      </c>
      <c r="F33" s="10" t="n">
        <v>22</v>
      </c>
      <c r="G33" s="10">
        <f>E33*F33</f>
        <v/>
      </c>
    </row>
    <row r="34">
      <c r="A34" s="7" t="inlineStr">
        <is>
          <t>2.3</t>
        </is>
      </c>
      <c r="B34" s="7" t="inlineStr">
        <is>
          <t>Garagem 5</t>
        </is>
      </c>
      <c r="C34" s="8" t="inlineStr">
        <is>
          <t>Joelhos e Conexões PVC 50mm</t>
        </is>
      </c>
      <c r="D34" s="7" t="inlineStr">
        <is>
          <t>pç</t>
        </is>
      </c>
      <c r="E34" s="9" t="n">
        <v>13.5</v>
      </c>
      <c r="F34" s="10" t="n">
        <v>2.5</v>
      </c>
      <c r="G34" s="10">
        <f>E34*F34</f>
        <v/>
      </c>
    </row>
    <row r="35">
      <c r="A35" s="7" t="inlineStr">
        <is>
          <t>2.4</t>
        </is>
      </c>
      <c r="B35" s="7" t="inlineStr">
        <is>
          <t>Garagem 5</t>
        </is>
      </c>
      <c r="C35" s="8" t="inlineStr">
        <is>
          <t>Caixas Sifonadas 150x150x50</t>
        </is>
      </c>
      <c r="D35" s="7" t="inlineStr">
        <is>
          <t>pç</t>
        </is>
      </c>
      <c r="E35" s="9" t="n">
        <v>3.6</v>
      </c>
      <c r="F35" s="10" t="n">
        <v>45</v>
      </c>
      <c r="G35" s="10">
        <f>E35*F35</f>
        <v/>
      </c>
    </row>
    <row r="36">
      <c r="A36" s="11" t="inlineStr">
        <is>
          <t>Subtotal Garagem 5</t>
        </is>
      </c>
      <c r="B36" s="7" t="n"/>
      <c r="C36" s="7" t="n"/>
      <c r="D36" s="7" t="n"/>
      <c r="E36" s="7" t="n"/>
      <c r="F36" s="7" t="n"/>
      <c r="G36" s="12">
        <f>SUM(G32:G35)</f>
        <v/>
      </c>
    </row>
    <row r="38">
      <c r="A38" s="6" t="inlineStr"/>
      <c r="B38" s="6" t="inlineStr">
        <is>
          <t>Lazer (6º)</t>
        </is>
      </c>
      <c r="C38" s="6" t="inlineStr"/>
      <c r="D38" s="6" t="inlineStr"/>
      <c r="E38" s="6" t="n"/>
      <c r="F38" s="6" t="n"/>
      <c r="G38" s="6" t="n"/>
    </row>
    <row r="39">
      <c r="A39" s="7" t="inlineStr">
        <is>
          <t>2.1</t>
        </is>
      </c>
      <c r="B39" s="7" t="inlineStr">
        <is>
          <t>Lazer (6º)</t>
        </is>
      </c>
      <c r="C39" s="8" t="inlineStr">
        <is>
          <t>Tubulações PVC Esgoto DN 50mm</t>
        </is>
      </c>
      <c r="D39" s="7" t="inlineStr">
        <is>
          <t>m</t>
        </is>
      </c>
      <c r="E39" s="9" t="n">
        <v>102</v>
      </c>
      <c r="F39" s="10" t="n">
        <v>12</v>
      </c>
      <c r="G39" s="10">
        <f>E39*F39</f>
        <v/>
      </c>
    </row>
    <row r="40">
      <c r="A40" s="7" t="inlineStr">
        <is>
          <t>2.2</t>
        </is>
      </c>
      <c r="B40" s="7" t="inlineStr">
        <is>
          <t>Lazer (6º)</t>
        </is>
      </c>
      <c r="C40" s="8" t="inlineStr">
        <is>
          <t>Tubulações PVC Esgoto DN 100mm</t>
        </is>
      </c>
      <c r="D40" s="7" t="inlineStr">
        <is>
          <t>m</t>
        </is>
      </c>
      <c r="E40" s="9" t="n">
        <v>54</v>
      </c>
      <c r="F40" s="10" t="n">
        <v>22</v>
      </c>
      <c r="G40" s="10">
        <f>E40*F40</f>
        <v/>
      </c>
    </row>
    <row r="41">
      <c r="A41" s="7" t="inlineStr">
        <is>
          <t>2.3</t>
        </is>
      </c>
      <c r="B41" s="7" t="inlineStr">
        <is>
          <t>Lazer (6º)</t>
        </is>
      </c>
      <c r="C41" s="8" t="inlineStr">
        <is>
          <t>Joelhos e Conexões PVC 50mm</t>
        </is>
      </c>
      <c r="D41" s="7" t="inlineStr">
        <is>
          <t>pç</t>
        </is>
      </c>
      <c r="E41" s="9" t="n">
        <v>54</v>
      </c>
      <c r="F41" s="10" t="n">
        <v>2.5</v>
      </c>
      <c r="G41" s="10">
        <f>E41*F41</f>
        <v/>
      </c>
    </row>
    <row r="42">
      <c r="A42" s="7" t="inlineStr">
        <is>
          <t>2.4</t>
        </is>
      </c>
      <c r="B42" s="7" t="inlineStr">
        <is>
          <t>Lazer (6º)</t>
        </is>
      </c>
      <c r="C42" s="8" t="inlineStr">
        <is>
          <t>Caixas Sifonadas 150x150x50</t>
        </is>
      </c>
      <c r="D42" s="7" t="inlineStr">
        <is>
          <t>pç</t>
        </is>
      </c>
      <c r="E42" s="9" t="n">
        <v>14.4</v>
      </c>
      <c r="F42" s="10" t="n">
        <v>45</v>
      </c>
      <c r="G42" s="10">
        <f>E42*F42</f>
        <v/>
      </c>
    </row>
    <row r="43">
      <c r="A43" s="11" t="inlineStr">
        <is>
          <t>Subtotal Lazer (6º)</t>
        </is>
      </c>
      <c r="B43" s="7" t="n"/>
      <c r="C43" s="7" t="n"/>
      <c r="D43" s="7" t="n"/>
      <c r="E43" s="7" t="n"/>
      <c r="F43" s="7" t="n"/>
      <c r="G43" s="12">
        <f>SUM(G39:G42)</f>
        <v/>
      </c>
    </row>
    <row r="45">
      <c r="A45" s="6" t="inlineStr"/>
      <c r="B45" s="6" t="inlineStr">
        <is>
          <t>7º Pav (Tipo 2)</t>
        </is>
      </c>
      <c r="C45" s="6" t="inlineStr"/>
      <c r="D45" s="6" t="inlineStr"/>
      <c r="E45" s="6" t="n"/>
      <c r="F45" s="6" t="n"/>
      <c r="G45" s="6" t="n"/>
    </row>
    <row r="46">
      <c r="A46" s="7" t="inlineStr">
        <is>
          <t>2.1</t>
        </is>
      </c>
      <c r="B46" s="7" t="inlineStr">
        <is>
          <t>7º Pav (Tipo 2)</t>
        </is>
      </c>
      <c r="C46" s="8" t="inlineStr">
        <is>
          <t>Tubulações PVC Esgoto DN 50mm</t>
        </is>
      </c>
      <c r="D46" s="7" t="inlineStr">
        <is>
          <t>m</t>
        </is>
      </c>
      <c r="E46" s="9" t="n">
        <v>85</v>
      </c>
      <c r="F46" s="10" t="n">
        <v>12</v>
      </c>
      <c r="G46" s="10">
        <f>E46*F46</f>
        <v/>
      </c>
    </row>
    <row r="47">
      <c r="A47" s="7" t="inlineStr">
        <is>
          <t>2.2</t>
        </is>
      </c>
      <c r="B47" s="7" t="inlineStr">
        <is>
          <t>7º Pav (Tipo 2)</t>
        </is>
      </c>
      <c r="C47" s="8" t="inlineStr">
        <is>
          <t>Tubulações PVC Esgoto DN 100mm</t>
        </is>
      </c>
      <c r="D47" s="7" t="inlineStr">
        <is>
          <t>m</t>
        </is>
      </c>
      <c r="E47" s="9" t="n">
        <v>45</v>
      </c>
      <c r="F47" s="10" t="n">
        <v>22</v>
      </c>
      <c r="G47" s="10">
        <f>E47*F47</f>
        <v/>
      </c>
    </row>
    <row r="48">
      <c r="A48" s="7" t="inlineStr">
        <is>
          <t>2.3</t>
        </is>
      </c>
      <c r="B48" s="7" t="inlineStr">
        <is>
          <t>7º Pav (Tipo 2)</t>
        </is>
      </c>
      <c r="C48" s="8" t="inlineStr">
        <is>
          <t>Joelhos e Conexões PVC 50mm</t>
        </is>
      </c>
      <c r="D48" s="7" t="inlineStr">
        <is>
          <t>pç</t>
        </is>
      </c>
      <c r="E48" s="9" t="n">
        <v>45</v>
      </c>
      <c r="F48" s="10" t="n">
        <v>2.5</v>
      </c>
      <c r="G48" s="10">
        <f>E48*F48</f>
        <v/>
      </c>
    </row>
    <row r="49">
      <c r="A49" s="7" t="inlineStr">
        <is>
          <t>2.4</t>
        </is>
      </c>
      <c r="B49" s="7" t="inlineStr">
        <is>
          <t>7º Pav (Tipo 2)</t>
        </is>
      </c>
      <c r="C49" s="8" t="inlineStr">
        <is>
          <t>Caixas Sifonadas 150x150x50</t>
        </is>
      </c>
      <c r="D49" s="7" t="inlineStr">
        <is>
          <t>pç</t>
        </is>
      </c>
      <c r="E49" s="9" t="n">
        <v>12</v>
      </c>
      <c r="F49" s="10" t="n">
        <v>45</v>
      </c>
      <c r="G49" s="10">
        <f>E49*F49</f>
        <v/>
      </c>
    </row>
    <row r="50">
      <c r="A50" s="11" t="inlineStr">
        <is>
          <t>Subtotal 7º Pav (Tipo 2)</t>
        </is>
      </c>
      <c r="B50" s="7" t="n"/>
      <c r="C50" s="7" t="n"/>
      <c r="D50" s="7" t="n"/>
      <c r="E50" s="7" t="n"/>
      <c r="F50" s="7" t="n"/>
      <c r="G50" s="12">
        <f>SUM(G46:G49)</f>
        <v/>
      </c>
    </row>
    <row r="52">
      <c r="A52" s="6" t="inlineStr"/>
      <c r="B52" s="6" t="inlineStr">
        <is>
          <t>8º Pav (Tipo 3)</t>
        </is>
      </c>
      <c r="C52" s="6" t="inlineStr"/>
      <c r="D52" s="6" t="inlineStr"/>
      <c r="E52" s="6" t="n"/>
      <c r="F52" s="6" t="n"/>
      <c r="G52" s="6" t="n"/>
    </row>
    <row r="53">
      <c r="A53" s="7" t="inlineStr">
        <is>
          <t>2.1</t>
        </is>
      </c>
      <c r="B53" s="7" t="inlineStr">
        <is>
          <t>8º Pav (Tipo 3)</t>
        </is>
      </c>
      <c r="C53" s="8" t="inlineStr">
        <is>
          <t>Tubulações PVC Esgoto DN 50mm</t>
        </is>
      </c>
      <c r="D53" s="7" t="inlineStr">
        <is>
          <t>m</t>
        </is>
      </c>
      <c r="E53" s="9" t="n">
        <v>85</v>
      </c>
      <c r="F53" s="10" t="n">
        <v>12</v>
      </c>
      <c r="G53" s="10">
        <f>E53*F53</f>
        <v/>
      </c>
    </row>
    <row r="54">
      <c r="A54" s="7" t="inlineStr">
        <is>
          <t>2.2</t>
        </is>
      </c>
      <c r="B54" s="7" t="inlineStr">
        <is>
          <t>8º Pav (Tipo 3)</t>
        </is>
      </c>
      <c r="C54" s="8" t="inlineStr">
        <is>
          <t>Tubulações PVC Esgoto DN 100mm</t>
        </is>
      </c>
      <c r="D54" s="7" t="inlineStr">
        <is>
          <t>m</t>
        </is>
      </c>
      <c r="E54" s="9" t="n">
        <v>45</v>
      </c>
      <c r="F54" s="10" t="n">
        <v>22</v>
      </c>
      <c r="G54" s="10">
        <f>E54*F54</f>
        <v/>
      </c>
    </row>
    <row r="55">
      <c r="A55" s="7" t="inlineStr">
        <is>
          <t>2.3</t>
        </is>
      </c>
      <c r="B55" s="7" t="inlineStr">
        <is>
          <t>8º Pav (Tipo 3)</t>
        </is>
      </c>
      <c r="C55" s="8" t="inlineStr">
        <is>
          <t>Joelhos e Conexões PVC 50mm</t>
        </is>
      </c>
      <c r="D55" s="7" t="inlineStr">
        <is>
          <t>pç</t>
        </is>
      </c>
      <c r="E55" s="9" t="n">
        <v>45</v>
      </c>
      <c r="F55" s="10" t="n">
        <v>2.5</v>
      </c>
      <c r="G55" s="10">
        <f>E55*F55</f>
        <v/>
      </c>
    </row>
    <row r="56">
      <c r="A56" s="7" t="inlineStr">
        <is>
          <t>2.4</t>
        </is>
      </c>
      <c r="B56" s="7" t="inlineStr">
        <is>
          <t>8º Pav (Tipo 3)</t>
        </is>
      </c>
      <c r="C56" s="8" t="inlineStr">
        <is>
          <t>Caixas Sifonadas 150x150x50</t>
        </is>
      </c>
      <c r="D56" s="7" t="inlineStr">
        <is>
          <t>pç</t>
        </is>
      </c>
      <c r="E56" s="9" t="n">
        <v>12</v>
      </c>
      <c r="F56" s="10" t="n">
        <v>45</v>
      </c>
      <c r="G56" s="10">
        <f>E56*F56</f>
        <v/>
      </c>
    </row>
    <row r="57">
      <c r="A57" s="11" t="inlineStr">
        <is>
          <t>Subtotal 8º Pav (Tipo 3)</t>
        </is>
      </c>
      <c r="B57" s="7" t="n"/>
      <c r="C57" s="7" t="n"/>
      <c r="D57" s="7" t="n"/>
      <c r="E57" s="7" t="n"/>
      <c r="F57" s="7" t="n"/>
      <c r="G57" s="12">
        <f>SUM(G53:G56)</f>
        <v/>
      </c>
    </row>
    <row r="59">
      <c r="A59" s="6" t="inlineStr"/>
      <c r="B59" s="6" t="inlineStr">
        <is>
          <t>9º Pav (Tipo 4)</t>
        </is>
      </c>
      <c r="C59" s="6" t="inlineStr"/>
      <c r="D59" s="6" t="inlineStr"/>
      <c r="E59" s="6" t="n"/>
      <c r="F59" s="6" t="n"/>
      <c r="G59" s="6" t="n"/>
    </row>
    <row r="60">
      <c r="A60" s="7" t="inlineStr">
        <is>
          <t>2.1</t>
        </is>
      </c>
      <c r="B60" s="7" t="inlineStr">
        <is>
          <t>9º Pav (Tipo 4)</t>
        </is>
      </c>
      <c r="C60" s="8" t="inlineStr">
        <is>
          <t>Tubulações PVC Esgoto DN 50mm</t>
        </is>
      </c>
      <c r="D60" s="7" t="inlineStr">
        <is>
          <t>m</t>
        </is>
      </c>
      <c r="E60" s="9" t="n">
        <v>85</v>
      </c>
      <c r="F60" s="10" t="n">
        <v>12</v>
      </c>
      <c r="G60" s="10">
        <f>E60*F60</f>
        <v/>
      </c>
    </row>
    <row r="61">
      <c r="A61" s="7" t="inlineStr">
        <is>
          <t>2.2</t>
        </is>
      </c>
      <c r="B61" s="7" t="inlineStr">
        <is>
          <t>9º Pav (Tipo 4)</t>
        </is>
      </c>
      <c r="C61" s="8" t="inlineStr">
        <is>
          <t>Tubulações PVC Esgoto DN 100mm</t>
        </is>
      </c>
      <c r="D61" s="7" t="inlineStr">
        <is>
          <t>m</t>
        </is>
      </c>
      <c r="E61" s="9" t="n">
        <v>45</v>
      </c>
      <c r="F61" s="10" t="n">
        <v>22</v>
      </c>
      <c r="G61" s="10">
        <f>E61*F61</f>
        <v/>
      </c>
    </row>
    <row r="62">
      <c r="A62" s="7" t="inlineStr">
        <is>
          <t>2.3</t>
        </is>
      </c>
      <c r="B62" s="7" t="inlineStr">
        <is>
          <t>9º Pav (Tipo 4)</t>
        </is>
      </c>
      <c r="C62" s="8" t="inlineStr">
        <is>
          <t>Joelhos e Conexões PVC 50mm</t>
        </is>
      </c>
      <c r="D62" s="7" t="inlineStr">
        <is>
          <t>pç</t>
        </is>
      </c>
      <c r="E62" s="9" t="n">
        <v>45</v>
      </c>
      <c r="F62" s="10" t="n">
        <v>2.5</v>
      </c>
      <c r="G62" s="10">
        <f>E62*F62</f>
        <v/>
      </c>
    </row>
    <row r="63">
      <c r="A63" s="7" t="inlineStr">
        <is>
          <t>2.4</t>
        </is>
      </c>
      <c r="B63" s="7" t="inlineStr">
        <is>
          <t>9º Pav (Tipo 4)</t>
        </is>
      </c>
      <c r="C63" s="8" t="inlineStr">
        <is>
          <t>Caixas Sifonadas 150x150x50</t>
        </is>
      </c>
      <c r="D63" s="7" t="inlineStr">
        <is>
          <t>pç</t>
        </is>
      </c>
      <c r="E63" s="9" t="n">
        <v>12</v>
      </c>
      <c r="F63" s="10" t="n">
        <v>45</v>
      </c>
      <c r="G63" s="10">
        <f>E63*F63</f>
        <v/>
      </c>
    </row>
    <row r="64">
      <c r="A64" s="11" t="inlineStr">
        <is>
          <t>Subtotal 9º Pav (Tipo 4)</t>
        </is>
      </c>
      <c r="B64" s="7" t="n"/>
      <c r="C64" s="7" t="n"/>
      <c r="D64" s="7" t="n"/>
      <c r="E64" s="7" t="n"/>
      <c r="F64" s="7" t="n"/>
      <c r="G64" s="12">
        <f>SUM(G60:G63)</f>
        <v/>
      </c>
    </row>
    <row r="66">
      <c r="A66" s="6" t="inlineStr"/>
      <c r="B66" s="6" t="inlineStr">
        <is>
          <t>10º Pav (Tipo 5)</t>
        </is>
      </c>
      <c r="C66" s="6" t="inlineStr"/>
      <c r="D66" s="6" t="inlineStr"/>
      <c r="E66" s="6" t="n"/>
      <c r="F66" s="6" t="n"/>
      <c r="G66" s="6" t="n"/>
    </row>
    <row r="67">
      <c r="A67" s="7" t="inlineStr">
        <is>
          <t>2.1</t>
        </is>
      </c>
      <c r="B67" s="7" t="inlineStr">
        <is>
          <t>10º Pav (Tipo 5)</t>
        </is>
      </c>
      <c r="C67" s="8" t="inlineStr">
        <is>
          <t>Tubulações PVC Esgoto DN 50mm</t>
        </is>
      </c>
      <c r="D67" s="7" t="inlineStr">
        <is>
          <t>m</t>
        </is>
      </c>
      <c r="E67" s="9" t="n">
        <v>85</v>
      </c>
      <c r="F67" s="10" t="n">
        <v>12</v>
      </c>
      <c r="G67" s="10">
        <f>E67*F67</f>
        <v/>
      </c>
    </row>
    <row r="68">
      <c r="A68" s="7" t="inlineStr">
        <is>
          <t>2.2</t>
        </is>
      </c>
      <c r="B68" s="7" t="inlineStr">
        <is>
          <t>10º Pav (Tipo 5)</t>
        </is>
      </c>
      <c r="C68" s="8" t="inlineStr">
        <is>
          <t>Tubulações PVC Esgoto DN 100mm</t>
        </is>
      </c>
      <c r="D68" s="7" t="inlineStr">
        <is>
          <t>m</t>
        </is>
      </c>
      <c r="E68" s="9" t="n">
        <v>45</v>
      </c>
      <c r="F68" s="10" t="n">
        <v>22</v>
      </c>
      <c r="G68" s="10">
        <f>E68*F68</f>
        <v/>
      </c>
    </row>
    <row r="69">
      <c r="A69" s="7" t="inlineStr">
        <is>
          <t>2.3</t>
        </is>
      </c>
      <c r="B69" s="7" t="inlineStr">
        <is>
          <t>10º Pav (Tipo 5)</t>
        </is>
      </c>
      <c r="C69" s="8" t="inlineStr">
        <is>
          <t>Joelhos e Conexões PVC 50mm</t>
        </is>
      </c>
      <c r="D69" s="7" t="inlineStr">
        <is>
          <t>pç</t>
        </is>
      </c>
      <c r="E69" s="9" t="n">
        <v>45</v>
      </c>
      <c r="F69" s="10" t="n">
        <v>2.5</v>
      </c>
      <c r="G69" s="10">
        <f>E69*F69</f>
        <v/>
      </c>
    </row>
    <row r="70">
      <c r="A70" s="7" t="inlineStr">
        <is>
          <t>2.4</t>
        </is>
      </c>
      <c r="B70" s="7" t="inlineStr">
        <is>
          <t>10º Pav (Tipo 5)</t>
        </is>
      </c>
      <c r="C70" s="8" t="inlineStr">
        <is>
          <t>Caixas Sifonadas 150x150x50</t>
        </is>
      </c>
      <c r="D70" s="7" t="inlineStr">
        <is>
          <t>pç</t>
        </is>
      </c>
      <c r="E70" s="9" t="n">
        <v>12</v>
      </c>
      <c r="F70" s="10" t="n">
        <v>45</v>
      </c>
      <c r="G70" s="10">
        <f>E70*F70</f>
        <v/>
      </c>
    </row>
    <row r="71">
      <c r="A71" s="11" t="inlineStr">
        <is>
          <t>Subtotal 10º Pav (Tipo 5)</t>
        </is>
      </c>
      <c r="B71" s="7" t="n"/>
      <c r="C71" s="7" t="n"/>
      <c r="D71" s="7" t="n"/>
      <c r="E71" s="7" t="n"/>
      <c r="F71" s="7" t="n"/>
      <c r="G71" s="12">
        <f>SUM(G67:G70)</f>
        <v/>
      </c>
    </row>
    <row r="73">
      <c r="A73" s="6" t="inlineStr"/>
      <c r="B73" s="6" t="inlineStr">
        <is>
          <t>11º Pav (Tipo 6)</t>
        </is>
      </c>
      <c r="C73" s="6" t="inlineStr"/>
      <c r="D73" s="6" t="inlineStr"/>
      <c r="E73" s="6" t="n"/>
      <c r="F73" s="6" t="n"/>
      <c r="G73" s="6" t="n"/>
    </row>
    <row r="74">
      <c r="A74" s="7" t="inlineStr">
        <is>
          <t>2.1</t>
        </is>
      </c>
      <c r="B74" s="7" t="inlineStr">
        <is>
          <t>11º Pav (Tipo 6)</t>
        </is>
      </c>
      <c r="C74" s="8" t="inlineStr">
        <is>
          <t>Tubulações PVC Esgoto DN 50mm</t>
        </is>
      </c>
      <c r="D74" s="7" t="inlineStr">
        <is>
          <t>m</t>
        </is>
      </c>
      <c r="E74" s="9" t="n">
        <v>85</v>
      </c>
      <c r="F74" s="10" t="n">
        <v>12</v>
      </c>
      <c r="G74" s="10">
        <f>E74*F74</f>
        <v/>
      </c>
    </row>
    <row r="75">
      <c r="A75" s="7" t="inlineStr">
        <is>
          <t>2.2</t>
        </is>
      </c>
      <c r="B75" s="7" t="inlineStr">
        <is>
          <t>11º Pav (Tipo 6)</t>
        </is>
      </c>
      <c r="C75" s="8" t="inlineStr">
        <is>
          <t>Tubulações PVC Esgoto DN 100mm</t>
        </is>
      </c>
      <c r="D75" s="7" t="inlineStr">
        <is>
          <t>m</t>
        </is>
      </c>
      <c r="E75" s="9" t="n">
        <v>45</v>
      </c>
      <c r="F75" s="10" t="n">
        <v>22</v>
      </c>
      <c r="G75" s="10">
        <f>E75*F75</f>
        <v/>
      </c>
    </row>
    <row r="76">
      <c r="A76" s="7" t="inlineStr">
        <is>
          <t>2.3</t>
        </is>
      </c>
      <c r="B76" s="7" t="inlineStr">
        <is>
          <t>11º Pav (Tipo 6)</t>
        </is>
      </c>
      <c r="C76" s="8" t="inlineStr">
        <is>
          <t>Joelhos e Conexões PVC 50mm</t>
        </is>
      </c>
      <c r="D76" s="7" t="inlineStr">
        <is>
          <t>pç</t>
        </is>
      </c>
      <c r="E76" s="9" t="n">
        <v>45</v>
      </c>
      <c r="F76" s="10" t="n">
        <v>2.5</v>
      </c>
      <c r="G76" s="10">
        <f>E76*F76</f>
        <v/>
      </c>
    </row>
    <row r="77">
      <c r="A77" s="7" t="inlineStr">
        <is>
          <t>2.4</t>
        </is>
      </c>
      <c r="B77" s="7" t="inlineStr">
        <is>
          <t>11º Pav (Tipo 6)</t>
        </is>
      </c>
      <c r="C77" s="8" t="inlineStr">
        <is>
          <t>Caixas Sifonadas 150x150x50</t>
        </is>
      </c>
      <c r="D77" s="7" t="inlineStr">
        <is>
          <t>pç</t>
        </is>
      </c>
      <c r="E77" s="9" t="n">
        <v>12</v>
      </c>
      <c r="F77" s="10" t="n">
        <v>45</v>
      </c>
      <c r="G77" s="10">
        <f>E77*F77</f>
        <v/>
      </c>
    </row>
    <row r="78">
      <c r="A78" s="11" t="inlineStr">
        <is>
          <t>Subtotal 11º Pav (Tipo 6)</t>
        </is>
      </c>
      <c r="B78" s="7" t="n"/>
      <c r="C78" s="7" t="n"/>
      <c r="D78" s="7" t="n"/>
      <c r="E78" s="7" t="n"/>
      <c r="F78" s="7" t="n"/>
      <c r="G78" s="12">
        <f>SUM(G74:G77)</f>
        <v/>
      </c>
    </row>
    <row r="80">
      <c r="A80" s="6" t="inlineStr"/>
      <c r="B80" s="6" t="inlineStr">
        <is>
          <t>12º Pav (Tipo 7)</t>
        </is>
      </c>
      <c r="C80" s="6" t="inlineStr"/>
      <c r="D80" s="6" t="inlineStr"/>
      <c r="E80" s="6" t="n"/>
      <c r="F80" s="6" t="n"/>
      <c r="G80" s="6" t="n"/>
    </row>
    <row r="81">
      <c r="A81" s="7" t="inlineStr">
        <is>
          <t>2.1</t>
        </is>
      </c>
      <c r="B81" s="7" t="inlineStr">
        <is>
          <t>12º Pav (Tipo 7)</t>
        </is>
      </c>
      <c r="C81" s="8" t="inlineStr">
        <is>
          <t>Tubulações PVC Esgoto DN 50mm</t>
        </is>
      </c>
      <c r="D81" s="7" t="inlineStr">
        <is>
          <t>m</t>
        </is>
      </c>
      <c r="E81" s="9" t="n">
        <v>85</v>
      </c>
      <c r="F81" s="10" t="n">
        <v>12</v>
      </c>
      <c r="G81" s="10">
        <f>E81*F81</f>
        <v/>
      </c>
    </row>
    <row r="82">
      <c r="A82" s="7" t="inlineStr">
        <is>
          <t>2.2</t>
        </is>
      </c>
      <c r="B82" s="7" t="inlineStr">
        <is>
          <t>12º Pav (Tipo 7)</t>
        </is>
      </c>
      <c r="C82" s="8" t="inlineStr">
        <is>
          <t>Tubulações PVC Esgoto DN 100mm</t>
        </is>
      </c>
      <c r="D82" s="7" t="inlineStr">
        <is>
          <t>m</t>
        </is>
      </c>
      <c r="E82" s="9" t="n">
        <v>45</v>
      </c>
      <c r="F82" s="10" t="n">
        <v>22</v>
      </c>
      <c r="G82" s="10">
        <f>E82*F82</f>
        <v/>
      </c>
    </row>
    <row r="83">
      <c r="A83" s="7" t="inlineStr">
        <is>
          <t>2.3</t>
        </is>
      </c>
      <c r="B83" s="7" t="inlineStr">
        <is>
          <t>12º Pav (Tipo 7)</t>
        </is>
      </c>
      <c r="C83" s="8" t="inlineStr">
        <is>
          <t>Joelhos e Conexões PVC 50mm</t>
        </is>
      </c>
      <c r="D83" s="7" t="inlineStr">
        <is>
          <t>pç</t>
        </is>
      </c>
      <c r="E83" s="9" t="n">
        <v>45</v>
      </c>
      <c r="F83" s="10" t="n">
        <v>2.5</v>
      </c>
      <c r="G83" s="10">
        <f>E83*F83</f>
        <v/>
      </c>
    </row>
    <row r="84">
      <c r="A84" s="7" t="inlineStr">
        <is>
          <t>2.4</t>
        </is>
      </c>
      <c r="B84" s="7" t="inlineStr">
        <is>
          <t>12º Pav (Tipo 7)</t>
        </is>
      </c>
      <c r="C84" s="8" t="inlineStr">
        <is>
          <t>Caixas Sifonadas 150x150x50</t>
        </is>
      </c>
      <c r="D84" s="7" t="inlineStr">
        <is>
          <t>pç</t>
        </is>
      </c>
      <c r="E84" s="9" t="n">
        <v>12</v>
      </c>
      <c r="F84" s="10" t="n">
        <v>45</v>
      </c>
      <c r="G84" s="10">
        <f>E84*F84</f>
        <v/>
      </c>
    </row>
    <row r="85">
      <c r="A85" s="11" t="inlineStr">
        <is>
          <t>Subtotal 12º Pav (Tipo 7)</t>
        </is>
      </c>
      <c r="B85" s="7" t="n"/>
      <c r="C85" s="7" t="n"/>
      <c r="D85" s="7" t="n"/>
      <c r="E85" s="7" t="n"/>
      <c r="F85" s="7" t="n"/>
      <c r="G85" s="12">
        <f>SUM(G81:G84)</f>
        <v/>
      </c>
    </row>
    <row r="87">
      <c r="A87" s="6" t="inlineStr"/>
      <c r="B87" s="6" t="inlineStr">
        <is>
          <t>13º Pav (Tipo 8)</t>
        </is>
      </c>
      <c r="C87" s="6" t="inlineStr"/>
      <c r="D87" s="6" t="inlineStr"/>
      <c r="E87" s="6" t="n"/>
      <c r="F87" s="6" t="n"/>
      <c r="G87" s="6" t="n"/>
    </row>
    <row r="88">
      <c r="A88" s="7" t="inlineStr">
        <is>
          <t>2.1</t>
        </is>
      </c>
      <c r="B88" s="7" t="inlineStr">
        <is>
          <t>13º Pav (Tipo 8)</t>
        </is>
      </c>
      <c r="C88" s="8" t="inlineStr">
        <is>
          <t>Tubulações PVC Esgoto DN 50mm</t>
        </is>
      </c>
      <c r="D88" s="7" t="inlineStr">
        <is>
          <t>m</t>
        </is>
      </c>
      <c r="E88" s="9" t="n">
        <v>85</v>
      </c>
      <c r="F88" s="10" t="n">
        <v>12</v>
      </c>
      <c r="G88" s="10">
        <f>E88*F88</f>
        <v/>
      </c>
    </row>
    <row r="89">
      <c r="A89" s="7" t="inlineStr">
        <is>
          <t>2.2</t>
        </is>
      </c>
      <c r="B89" s="7" t="inlineStr">
        <is>
          <t>13º Pav (Tipo 8)</t>
        </is>
      </c>
      <c r="C89" s="8" t="inlineStr">
        <is>
          <t>Tubulações PVC Esgoto DN 100mm</t>
        </is>
      </c>
      <c r="D89" s="7" t="inlineStr">
        <is>
          <t>m</t>
        </is>
      </c>
      <c r="E89" s="9" t="n">
        <v>45</v>
      </c>
      <c r="F89" s="10" t="n">
        <v>22</v>
      </c>
      <c r="G89" s="10">
        <f>E89*F89</f>
        <v/>
      </c>
    </row>
    <row r="90">
      <c r="A90" s="7" t="inlineStr">
        <is>
          <t>2.3</t>
        </is>
      </c>
      <c r="B90" s="7" t="inlineStr">
        <is>
          <t>13º Pav (Tipo 8)</t>
        </is>
      </c>
      <c r="C90" s="8" t="inlineStr">
        <is>
          <t>Joelhos e Conexões PVC 50mm</t>
        </is>
      </c>
      <c r="D90" s="7" t="inlineStr">
        <is>
          <t>pç</t>
        </is>
      </c>
      <c r="E90" s="9" t="n">
        <v>45</v>
      </c>
      <c r="F90" s="10" t="n">
        <v>2.5</v>
      </c>
      <c r="G90" s="10">
        <f>E90*F90</f>
        <v/>
      </c>
    </row>
    <row r="91">
      <c r="A91" s="7" t="inlineStr">
        <is>
          <t>2.4</t>
        </is>
      </c>
      <c r="B91" s="7" t="inlineStr">
        <is>
          <t>13º Pav (Tipo 8)</t>
        </is>
      </c>
      <c r="C91" s="8" t="inlineStr">
        <is>
          <t>Caixas Sifonadas 150x150x50</t>
        </is>
      </c>
      <c r="D91" s="7" t="inlineStr">
        <is>
          <t>pç</t>
        </is>
      </c>
      <c r="E91" s="9" t="n">
        <v>12</v>
      </c>
      <c r="F91" s="10" t="n">
        <v>45</v>
      </c>
      <c r="G91" s="10">
        <f>E91*F91</f>
        <v/>
      </c>
    </row>
    <row r="92">
      <c r="A92" s="11" t="inlineStr">
        <is>
          <t>Subtotal 13º Pav (Tipo 8)</t>
        </is>
      </c>
      <c r="B92" s="7" t="n"/>
      <c r="C92" s="7" t="n"/>
      <c r="D92" s="7" t="n"/>
      <c r="E92" s="7" t="n"/>
      <c r="F92" s="7" t="n"/>
      <c r="G92" s="12">
        <f>SUM(G88:G91)</f>
        <v/>
      </c>
    </row>
    <row r="94">
      <c r="A94" s="6" t="inlineStr"/>
      <c r="B94" s="6" t="inlineStr">
        <is>
          <t>14º Pav (Tipo 9)</t>
        </is>
      </c>
      <c r="C94" s="6" t="inlineStr"/>
      <c r="D94" s="6" t="inlineStr"/>
      <c r="E94" s="6" t="n"/>
      <c r="F94" s="6" t="n"/>
      <c r="G94" s="6" t="n"/>
    </row>
    <row r="95">
      <c r="A95" s="7" t="inlineStr">
        <is>
          <t>2.1</t>
        </is>
      </c>
      <c r="B95" s="7" t="inlineStr">
        <is>
          <t>14º Pav (Tipo 9)</t>
        </is>
      </c>
      <c r="C95" s="8" t="inlineStr">
        <is>
          <t>Tubulações PVC Esgoto DN 50mm</t>
        </is>
      </c>
      <c r="D95" s="7" t="inlineStr">
        <is>
          <t>m</t>
        </is>
      </c>
      <c r="E95" s="9" t="n">
        <v>85</v>
      </c>
      <c r="F95" s="10" t="n">
        <v>12</v>
      </c>
      <c r="G95" s="10">
        <f>E95*F95</f>
        <v/>
      </c>
    </row>
    <row r="96">
      <c r="A96" s="7" t="inlineStr">
        <is>
          <t>2.2</t>
        </is>
      </c>
      <c r="B96" s="7" t="inlineStr">
        <is>
          <t>14º Pav (Tipo 9)</t>
        </is>
      </c>
      <c r="C96" s="8" t="inlineStr">
        <is>
          <t>Tubulações PVC Esgoto DN 100mm</t>
        </is>
      </c>
      <c r="D96" s="7" t="inlineStr">
        <is>
          <t>m</t>
        </is>
      </c>
      <c r="E96" s="9" t="n">
        <v>45</v>
      </c>
      <c r="F96" s="10" t="n">
        <v>22</v>
      </c>
      <c r="G96" s="10">
        <f>E96*F96</f>
        <v/>
      </c>
    </row>
    <row r="97">
      <c r="A97" s="7" t="inlineStr">
        <is>
          <t>2.3</t>
        </is>
      </c>
      <c r="B97" s="7" t="inlineStr">
        <is>
          <t>14º Pav (Tipo 9)</t>
        </is>
      </c>
      <c r="C97" s="8" t="inlineStr">
        <is>
          <t>Joelhos e Conexões PVC 50mm</t>
        </is>
      </c>
      <c r="D97" s="7" t="inlineStr">
        <is>
          <t>pç</t>
        </is>
      </c>
      <c r="E97" s="9" t="n">
        <v>45</v>
      </c>
      <c r="F97" s="10" t="n">
        <v>2.5</v>
      </c>
      <c r="G97" s="10">
        <f>E97*F97</f>
        <v/>
      </c>
    </row>
    <row r="98">
      <c r="A98" s="7" t="inlineStr">
        <is>
          <t>2.4</t>
        </is>
      </c>
      <c r="B98" s="7" t="inlineStr">
        <is>
          <t>14º Pav (Tipo 9)</t>
        </is>
      </c>
      <c r="C98" s="8" t="inlineStr">
        <is>
          <t>Caixas Sifonadas 150x150x50</t>
        </is>
      </c>
      <c r="D98" s="7" t="inlineStr">
        <is>
          <t>pç</t>
        </is>
      </c>
      <c r="E98" s="9" t="n">
        <v>12</v>
      </c>
      <c r="F98" s="10" t="n">
        <v>45</v>
      </c>
      <c r="G98" s="10">
        <f>E98*F98</f>
        <v/>
      </c>
    </row>
    <row r="99">
      <c r="A99" s="11" t="inlineStr">
        <is>
          <t>Subtotal 14º Pav (Tipo 9)</t>
        </is>
      </c>
      <c r="B99" s="7" t="n"/>
      <c r="C99" s="7" t="n"/>
      <c r="D99" s="7" t="n"/>
      <c r="E99" s="7" t="n"/>
      <c r="F99" s="7" t="n"/>
      <c r="G99" s="12">
        <f>SUM(G95:G98)</f>
        <v/>
      </c>
    </row>
    <row r="101">
      <c r="A101" s="6" t="inlineStr"/>
      <c r="B101" s="6" t="inlineStr">
        <is>
          <t>15º Pav (Tipo 10)</t>
        </is>
      </c>
      <c r="C101" s="6" t="inlineStr"/>
      <c r="D101" s="6" t="inlineStr"/>
      <c r="E101" s="6" t="n"/>
      <c r="F101" s="6" t="n"/>
      <c r="G101" s="6" t="n"/>
    </row>
    <row r="102">
      <c r="A102" s="7" t="inlineStr">
        <is>
          <t>2.1</t>
        </is>
      </c>
      <c r="B102" s="7" t="inlineStr">
        <is>
          <t>15º Pav (Tipo 10)</t>
        </is>
      </c>
      <c r="C102" s="8" t="inlineStr">
        <is>
          <t>Tubulações PVC Esgoto DN 50mm</t>
        </is>
      </c>
      <c r="D102" s="7" t="inlineStr">
        <is>
          <t>m</t>
        </is>
      </c>
      <c r="E102" s="9" t="n">
        <v>85</v>
      </c>
      <c r="F102" s="10" t="n">
        <v>12</v>
      </c>
      <c r="G102" s="10">
        <f>E102*F102</f>
        <v/>
      </c>
    </row>
    <row r="103">
      <c r="A103" s="7" t="inlineStr">
        <is>
          <t>2.2</t>
        </is>
      </c>
      <c r="B103" s="7" t="inlineStr">
        <is>
          <t>15º Pav (Tipo 10)</t>
        </is>
      </c>
      <c r="C103" s="8" t="inlineStr">
        <is>
          <t>Tubulações PVC Esgoto DN 100mm</t>
        </is>
      </c>
      <c r="D103" s="7" t="inlineStr">
        <is>
          <t>m</t>
        </is>
      </c>
      <c r="E103" s="9" t="n">
        <v>45</v>
      </c>
      <c r="F103" s="10" t="n">
        <v>22</v>
      </c>
      <c r="G103" s="10">
        <f>E103*F103</f>
        <v/>
      </c>
    </row>
    <row r="104">
      <c r="A104" s="7" t="inlineStr">
        <is>
          <t>2.3</t>
        </is>
      </c>
      <c r="B104" s="7" t="inlineStr">
        <is>
          <t>15º Pav (Tipo 10)</t>
        </is>
      </c>
      <c r="C104" s="8" t="inlineStr">
        <is>
          <t>Joelhos e Conexões PVC 50mm</t>
        </is>
      </c>
      <c r="D104" s="7" t="inlineStr">
        <is>
          <t>pç</t>
        </is>
      </c>
      <c r="E104" s="9" t="n">
        <v>45</v>
      </c>
      <c r="F104" s="10" t="n">
        <v>2.5</v>
      </c>
      <c r="G104" s="10">
        <f>E104*F104</f>
        <v/>
      </c>
    </row>
    <row r="105">
      <c r="A105" s="7" t="inlineStr">
        <is>
          <t>2.4</t>
        </is>
      </c>
      <c r="B105" s="7" t="inlineStr">
        <is>
          <t>15º Pav (Tipo 10)</t>
        </is>
      </c>
      <c r="C105" s="8" t="inlineStr">
        <is>
          <t>Caixas Sifonadas 150x150x50</t>
        </is>
      </c>
      <c r="D105" s="7" t="inlineStr">
        <is>
          <t>pç</t>
        </is>
      </c>
      <c r="E105" s="9" t="n">
        <v>12</v>
      </c>
      <c r="F105" s="10" t="n">
        <v>45</v>
      </c>
      <c r="G105" s="10">
        <f>E105*F105</f>
        <v/>
      </c>
    </row>
    <row r="106">
      <c r="A106" s="11" t="inlineStr">
        <is>
          <t>Subtotal 15º Pav (Tipo 10)</t>
        </is>
      </c>
      <c r="B106" s="7" t="n"/>
      <c r="C106" s="7" t="n"/>
      <c r="D106" s="7" t="n"/>
      <c r="E106" s="7" t="n"/>
      <c r="F106" s="7" t="n"/>
      <c r="G106" s="12">
        <f>SUM(G102:G105)</f>
        <v/>
      </c>
    </row>
    <row r="108">
      <c r="A108" s="6" t="inlineStr"/>
      <c r="B108" s="6" t="inlineStr">
        <is>
          <t>16º Pav (Tipo 11)</t>
        </is>
      </c>
      <c r="C108" s="6" t="inlineStr"/>
      <c r="D108" s="6" t="inlineStr"/>
      <c r="E108" s="6" t="n"/>
      <c r="F108" s="6" t="n"/>
      <c r="G108" s="6" t="n"/>
    </row>
    <row r="109">
      <c r="A109" s="7" t="inlineStr">
        <is>
          <t>2.1</t>
        </is>
      </c>
      <c r="B109" s="7" t="inlineStr">
        <is>
          <t>16º Pav (Tipo 11)</t>
        </is>
      </c>
      <c r="C109" s="8" t="inlineStr">
        <is>
          <t>Tubulações PVC Esgoto DN 50mm</t>
        </is>
      </c>
      <c r="D109" s="7" t="inlineStr">
        <is>
          <t>m</t>
        </is>
      </c>
      <c r="E109" s="9" t="n">
        <v>85</v>
      </c>
      <c r="F109" s="10" t="n">
        <v>12</v>
      </c>
      <c r="G109" s="10">
        <f>E109*F109</f>
        <v/>
      </c>
    </row>
    <row r="110">
      <c r="A110" s="7" t="inlineStr">
        <is>
          <t>2.2</t>
        </is>
      </c>
      <c r="B110" s="7" t="inlineStr">
        <is>
          <t>16º Pav (Tipo 11)</t>
        </is>
      </c>
      <c r="C110" s="8" t="inlineStr">
        <is>
          <t>Tubulações PVC Esgoto DN 100mm</t>
        </is>
      </c>
      <c r="D110" s="7" t="inlineStr">
        <is>
          <t>m</t>
        </is>
      </c>
      <c r="E110" s="9" t="n">
        <v>45</v>
      </c>
      <c r="F110" s="10" t="n">
        <v>22</v>
      </c>
      <c r="G110" s="10">
        <f>E110*F110</f>
        <v/>
      </c>
    </row>
    <row r="111">
      <c r="A111" s="7" t="inlineStr">
        <is>
          <t>2.3</t>
        </is>
      </c>
      <c r="B111" s="7" t="inlineStr">
        <is>
          <t>16º Pav (Tipo 11)</t>
        </is>
      </c>
      <c r="C111" s="8" t="inlineStr">
        <is>
          <t>Joelhos e Conexões PVC 50mm</t>
        </is>
      </c>
      <c r="D111" s="7" t="inlineStr">
        <is>
          <t>pç</t>
        </is>
      </c>
      <c r="E111" s="9" t="n">
        <v>45</v>
      </c>
      <c r="F111" s="10" t="n">
        <v>2.5</v>
      </c>
      <c r="G111" s="10">
        <f>E111*F111</f>
        <v/>
      </c>
    </row>
    <row r="112">
      <c r="A112" s="7" t="inlineStr">
        <is>
          <t>2.4</t>
        </is>
      </c>
      <c r="B112" s="7" t="inlineStr">
        <is>
          <t>16º Pav (Tipo 11)</t>
        </is>
      </c>
      <c r="C112" s="8" t="inlineStr">
        <is>
          <t>Caixas Sifonadas 150x150x50</t>
        </is>
      </c>
      <c r="D112" s="7" t="inlineStr">
        <is>
          <t>pç</t>
        </is>
      </c>
      <c r="E112" s="9" t="n">
        <v>12</v>
      </c>
      <c r="F112" s="10" t="n">
        <v>45</v>
      </c>
      <c r="G112" s="10">
        <f>E112*F112</f>
        <v/>
      </c>
    </row>
    <row r="113">
      <c r="A113" s="11" t="inlineStr">
        <is>
          <t>Subtotal 16º Pav (Tipo 11)</t>
        </is>
      </c>
      <c r="B113" s="7" t="n"/>
      <c r="C113" s="7" t="n"/>
      <c r="D113" s="7" t="n"/>
      <c r="E113" s="7" t="n"/>
      <c r="F113" s="7" t="n"/>
      <c r="G113" s="12">
        <f>SUM(G109:G112)</f>
        <v/>
      </c>
    </row>
    <row r="115">
      <c r="A115" s="6" t="inlineStr"/>
      <c r="B115" s="6" t="inlineStr">
        <is>
          <t>17º Pav (Tipo 12)</t>
        </is>
      </c>
      <c r="C115" s="6" t="inlineStr"/>
      <c r="D115" s="6" t="inlineStr"/>
      <c r="E115" s="6" t="n"/>
      <c r="F115" s="6" t="n"/>
      <c r="G115" s="6" t="n"/>
    </row>
    <row r="116">
      <c r="A116" s="7" t="inlineStr">
        <is>
          <t>2.1</t>
        </is>
      </c>
      <c r="B116" s="7" t="inlineStr">
        <is>
          <t>17º Pav (Tipo 12)</t>
        </is>
      </c>
      <c r="C116" s="8" t="inlineStr">
        <is>
          <t>Tubulações PVC Esgoto DN 50mm</t>
        </is>
      </c>
      <c r="D116" s="7" t="inlineStr">
        <is>
          <t>m</t>
        </is>
      </c>
      <c r="E116" s="9" t="n">
        <v>85</v>
      </c>
      <c r="F116" s="10" t="n">
        <v>12</v>
      </c>
      <c r="G116" s="10">
        <f>E116*F116</f>
        <v/>
      </c>
    </row>
    <row r="117">
      <c r="A117" s="7" t="inlineStr">
        <is>
          <t>2.2</t>
        </is>
      </c>
      <c r="B117" s="7" t="inlineStr">
        <is>
          <t>17º Pav (Tipo 12)</t>
        </is>
      </c>
      <c r="C117" s="8" t="inlineStr">
        <is>
          <t>Tubulações PVC Esgoto DN 100mm</t>
        </is>
      </c>
      <c r="D117" s="7" t="inlineStr">
        <is>
          <t>m</t>
        </is>
      </c>
      <c r="E117" s="9" t="n">
        <v>45</v>
      </c>
      <c r="F117" s="10" t="n">
        <v>22</v>
      </c>
      <c r="G117" s="10">
        <f>E117*F117</f>
        <v/>
      </c>
    </row>
    <row r="118">
      <c r="A118" s="7" t="inlineStr">
        <is>
          <t>2.3</t>
        </is>
      </c>
      <c r="B118" s="7" t="inlineStr">
        <is>
          <t>17º Pav (Tipo 12)</t>
        </is>
      </c>
      <c r="C118" s="8" t="inlineStr">
        <is>
          <t>Joelhos e Conexões PVC 50mm</t>
        </is>
      </c>
      <c r="D118" s="7" t="inlineStr">
        <is>
          <t>pç</t>
        </is>
      </c>
      <c r="E118" s="9" t="n">
        <v>45</v>
      </c>
      <c r="F118" s="10" t="n">
        <v>2.5</v>
      </c>
      <c r="G118" s="10">
        <f>E118*F118</f>
        <v/>
      </c>
    </row>
    <row r="119">
      <c r="A119" s="7" t="inlineStr">
        <is>
          <t>2.4</t>
        </is>
      </c>
      <c r="B119" s="7" t="inlineStr">
        <is>
          <t>17º Pav (Tipo 12)</t>
        </is>
      </c>
      <c r="C119" s="8" t="inlineStr">
        <is>
          <t>Caixas Sifonadas 150x150x50</t>
        </is>
      </c>
      <c r="D119" s="7" t="inlineStr">
        <is>
          <t>pç</t>
        </is>
      </c>
      <c r="E119" s="9" t="n">
        <v>12</v>
      </c>
      <c r="F119" s="10" t="n">
        <v>45</v>
      </c>
      <c r="G119" s="10">
        <f>E119*F119</f>
        <v/>
      </c>
    </row>
    <row r="120">
      <c r="A120" s="11" t="inlineStr">
        <is>
          <t>Subtotal 17º Pav (Tipo 12)</t>
        </is>
      </c>
      <c r="B120" s="7" t="n"/>
      <c r="C120" s="7" t="n"/>
      <c r="D120" s="7" t="n"/>
      <c r="E120" s="7" t="n"/>
      <c r="F120" s="7" t="n"/>
      <c r="G120" s="12">
        <f>SUM(G116:G119)</f>
        <v/>
      </c>
    </row>
    <row r="122">
      <c r="A122" s="6" t="inlineStr"/>
      <c r="B122" s="6" t="inlineStr">
        <is>
          <t>18º Pav (Tipo 13)</t>
        </is>
      </c>
      <c r="C122" s="6" t="inlineStr"/>
      <c r="D122" s="6" t="inlineStr"/>
      <c r="E122" s="6" t="n"/>
      <c r="F122" s="6" t="n"/>
      <c r="G122" s="6" t="n"/>
    </row>
    <row r="123">
      <c r="A123" s="7" t="inlineStr">
        <is>
          <t>2.1</t>
        </is>
      </c>
      <c r="B123" s="7" t="inlineStr">
        <is>
          <t>18º Pav (Tipo 13)</t>
        </is>
      </c>
      <c r="C123" s="8" t="inlineStr">
        <is>
          <t>Tubulações PVC Esgoto DN 50mm</t>
        </is>
      </c>
      <c r="D123" s="7" t="inlineStr">
        <is>
          <t>m</t>
        </is>
      </c>
      <c r="E123" s="9" t="n">
        <v>85</v>
      </c>
      <c r="F123" s="10" t="n">
        <v>12</v>
      </c>
      <c r="G123" s="10">
        <f>E123*F123</f>
        <v/>
      </c>
    </row>
    <row r="124">
      <c r="A124" s="7" t="inlineStr">
        <is>
          <t>2.2</t>
        </is>
      </c>
      <c r="B124" s="7" t="inlineStr">
        <is>
          <t>18º Pav (Tipo 13)</t>
        </is>
      </c>
      <c r="C124" s="8" t="inlineStr">
        <is>
          <t>Tubulações PVC Esgoto DN 100mm</t>
        </is>
      </c>
      <c r="D124" s="7" t="inlineStr">
        <is>
          <t>m</t>
        </is>
      </c>
      <c r="E124" s="9" t="n">
        <v>45</v>
      </c>
      <c r="F124" s="10" t="n">
        <v>22</v>
      </c>
      <c r="G124" s="10">
        <f>E124*F124</f>
        <v/>
      </c>
    </row>
    <row r="125">
      <c r="A125" s="7" t="inlineStr">
        <is>
          <t>2.3</t>
        </is>
      </c>
      <c r="B125" s="7" t="inlineStr">
        <is>
          <t>18º Pav (Tipo 13)</t>
        </is>
      </c>
      <c r="C125" s="8" t="inlineStr">
        <is>
          <t>Joelhos e Conexões PVC 50mm</t>
        </is>
      </c>
      <c r="D125" s="7" t="inlineStr">
        <is>
          <t>pç</t>
        </is>
      </c>
      <c r="E125" s="9" t="n">
        <v>45</v>
      </c>
      <c r="F125" s="10" t="n">
        <v>2.5</v>
      </c>
      <c r="G125" s="10">
        <f>E125*F125</f>
        <v/>
      </c>
    </row>
    <row r="126">
      <c r="A126" s="7" t="inlineStr">
        <is>
          <t>2.4</t>
        </is>
      </c>
      <c r="B126" s="7" t="inlineStr">
        <is>
          <t>18º Pav (Tipo 13)</t>
        </is>
      </c>
      <c r="C126" s="8" t="inlineStr">
        <is>
          <t>Caixas Sifonadas 150x150x50</t>
        </is>
      </c>
      <c r="D126" s="7" t="inlineStr">
        <is>
          <t>pç</t>
        </is>
      </c>
      <c r="E126" s="9" t="n">
        <v>12</v>
      </c>
      <c r="F126" s="10" t="n">
        <v>45</v>
      </c>
      <c r="G126" s="10">
        <f>E126*F126</f>
        <v/>
      </c>
    </row>
    <row r="127">
      <c r="A127" s="11" t="inlineStr">
        <is>
          <t>Subtotal 18º Pav (Tipo 13)</t>
        </is>
      </c>
      <c r="B127" s="7" t="n"/>
      <c r="C127" s="7" t="n"/>
      <c r="D127" s="7" t="n"/>
      <c r="E127" s="7" t="n"/>
      <c r="F127" s="7" t="n"/>
      <c r="G127" s="12">
        <f>SUM(G123:G126)</f>
        <v/>
      </c>
    </row>
    <row r="129">
      <c r="A129" s="6" t="inlineStr"/>
      <c r="B129" s="6" t="inlineStr">
        <is>
          <t>19º Pav (Tipo 14)</t>
        </is>
      </c>
      <c r="C129" s="6" t="inlineStr"/>
      <c r="D129" s="6" t="inlineStr"/>
      <c r="E129" s="6" t="n"/>
      <c r="F129" s="6" t="n"/>
      <c r="G129" s="6" t="n"/>
    </row>
    <row r="130">
      <c r="A130" s="7" t="inlineStr">
        <is>
          <t>2.1</t>
        </is>
      </c>
      <c r="B130" s="7" t="inlineStr">
        <is>
          <t>19º Pav (Tipo 14)</t>
        </is>
      </c>
      <c r="C130" s="8" t="inlineStr">
        <is>
          <t>Tubulações PVC Esgoto DN 50mm</t>
        </is>
      </c>
      <c r="D130" s="7" t="inlineStr">
        <is>
          <t>m</t>
        </is>
      </c>
      <c r="E130" s="9" t="n">
        <v>85</v>
      </c>
      <c r="F130" s="10" t="n">
        <v>12</v>
      </c>
      <c r="G130" s="10">
        <f>E130*F130</f>
        <v/>
      </c>
    </row>
    <row r="131">
      <c r="A131" s="7" t="inlineStr">
        <is>
          <t>2.2</t>
        </is>
      </c>
      <c r="B131" s="7" t="inlineStr">
        <is>
          <t>19º Pav (Tipo 14)</t>
        </is>
      </c>
      <c r="C131" s="8" t="inlineStr">
        <is>
          <t>Tubulações PVC Esgoto DN 100mm</t>
        </is>
      </c>
      <c r="D131" s="7" t="inlineStr">
        <is>
          <t>m</t>
        </is>
      </c>
      <c r="E131" s="9" t="n">
        <v>45</v>
      </c>
      <c r="F131" s="10" t="n">
        <v>22</v>
      </c>
      <c r="G131" s="10">
        <f>E131*F131</f>
        <v/>
      </c>
    </row>
    <row r="132">
      <c r="A132" s="7" t="inlineStr">
        <is>
          <t>2.3</t>
        </is>
      </c>
      <c r="B132" s="7" t="inlineStr">
        <is>
          <t>19º Pav (Tipo 14)</t>
        </is>
      </c>
      <c r="C132" s="8" t="inlineStr">
        <is>
          <t>Joelhos e Conexões PVC 50mm</t>
        </is>
      </c>
      <c r="D132" s="7" t="inlineStr">
        <is>
          <t>pç</t>
        </is>
      </c>
      <c r="E132" s="9" t="n">
        <v>45</v>
      </c>
      <c r="F132" s="10" t="n">
        <v>2.5</v>
      </c>
      <c r="G132" s="10">
        <f>E132*F132</f>
        <v/>
      </c>
    </row>
    <row r="133">
      <c r="A133" s="7" t="inlineStr">
        <is>
          <t>2.4</t>
        </is>
      </c>
      <c r="B133" s="7" t="inlineStr">
        <is>
          <t>19º Pav (Tipo 14)</t>
        </is>
      </c>
      <c r="C133" s="8" t="inlineStr">
        <is>
          <t>Caixas Sifonadas 150x150x50</t>
        </is>
      </c>
      <c r="D133" s="7" t="inlineStr">
        <is>
          <t>pç</t>
        </is>
      </c>
      <c r="E133" s="9" t="n">
        <v>12</v>
      </c>
      <c r="F133" s="10" t="n">
        <v>45</v>
      </c>
      <c r="G133" s="10">
        <f>E133*F133</f>
        <v/>
      </c>
    </row>
    <row r="134">
      <c r="A134" s="11" t="inlineStr">
        <is>
          <t>Subtotal 19º Pav (Tipo 14)</t>
        </is>
      </c>
      <c r="B134" s="7" t="n"/>
      <c r="C134" s="7" t="n"/>
      <c r="D134" s="7" t="n"/>
      <c r="E134" s="7" t="n"/>
      <c r="F134" s="7" t="n"/>
      <c r="G134" s="12">
        <f>SUM(G130:G133)</f>
        <v/>
      </c>
    </row>
    <row r="136">
      <c r="A136" s="6" t="inlineStr"/>
      <c r="B136" s="6" t="inlineStr">
        <is>
          <t>20º Pav (Tipo 15)</t>
        </is>
      </c>
      <c r="C136" s="6" t="inlineStr"/>
      <c r="D136" s="6" t="inlineStr"/>
      <c r="E136" s="6" t="n"/>
      <c r="F136" s="6" t="n"/>
      <c r="G136" s="6" t="n"/>
    </row>
    <row r="137">
      <c r="A137" s="7" t="inlineStr">
        <is>
          <t>2.1</t>
        </is>
      </c>
      <c r="B137" s="7" t="inlineStr">
        <is>
          <t>20º Pav (Tipo 15)</t>
        </is>
      </c>
      <c r="C137" s="8" t="inlineStr">
        <is>
          <t>Tubulações PVC Esgoto DN 50mm</t>
        </is>
      </c>
      <c r="D137" s="7" t="inlineStr">
        <is>
          <t>m</t>
        </is>
      </c>
      <c r="E137" s="9" t="n">
        <v>85</v>
      </c>
      <c r="F137" s="10" t="n">
        <v>12</v>
      </c>
      <c r="G137" s="10">
        <f>E137*F137</f>
        <v/>
      </c>
    </row>
    <row r="138">
      <c r="A138" s="7" t="inlineStr">
        <is>
          <t>2.2</t>
        </is>
      </c>
      <c r="B138" s="7" t="inlineStr">
        <is>
          <t>20º Pav (Tipo 15)</t>
        </is>
      </c>
      <c r="C138" s="8" t="inlineStr">
        <is>
          <t>Tubulações PVC Esgoto DN 100mm</t>
        </is>
      </c>
      <c r="D138" s="7" t="inlineStr">
        <is>
          <t>m</t>
        </is>
      </c>
      <c r="E138" s="9" t="n">
        <v>45</v>
      </c>
      <c r="F138" s="10" t="n">
        <v>22</v>
      </c>
      <c r="G138" s="10">
        <f>E138*F138</f>
        <v/>
      </c>
    </row>
    <row r="139">
      <c r="A139" s="7" t="inlineStr">
        <is>
          <t>2.3</t>
        </is>
      </c>
      <c r="B139" s="7" t="inlineStr">
        <is>
          <t>20º Pav (Tipo 15)</t>
        </is>
      </c>
      <c r="C139" s="8" t="inlineStr">
        <is>
          <t>Joelhos e Conexões PVC 50mm</t>
        </is>
      </c>
      <c r="D139" s="7" t="inlineStr">
        <is>
          <t>pç</t>
        </is>
      </c>
      <c r="E139" s="9" t="n">
        <v>45</v>
      </c>
      <c r="F139" s="10" t="n">
        <v>2.5</v>
      </c>
      <c r="G139" s="10">
        <f>E139*F139</f>
        <v/>
      </c>
    </row>
    <row r="140">
      <c r="A140" s="7" t="inlineStr">
        <is>
          <t>2.4</t>
        </is>
      </c>
      <c r="B140" s="7" t="inlineStr">
        <is>
          <t>20º Pav (Tipo 15)</t>
        </is>
      </c>
      <c r="C140" s="8" t="inlineStr">
        <is>
          <t>Caixas Sifonadas 150x150x50</t>
        </is>
      </c>
      <c r="D140" s="7" t="inlineStr">
        <is>
          <t>pç</t>
        </is>
      </c>
      <c r="E140" s="9" t="n">
        <v>12</v>
      </c>
      <c r="F140" s="10" t="n">
        <v>45</v>
      </c>
      <c r="G140" s="10">
        <f>E140*F140</f>
        <v/>
      </c>
    </row>
    <row r="141">
      <c r="A141" s="11" t="inlineStr">
        <is>
          <t>Subtotal 20º Pav (Tipo 15)</t>
        </is>
      </c>
      <c r="B141" s="7" t="n"/>
      <c r="C141" s="7" t="n"/>
      <c r="D141" s="7" t="n"/>
      <c r="E141" s="7" t="n"/>
      <c r="F141" s="7" t="n"/>
      <c r="G141" s="12">
        <f>SUM(G137:G140)</f>
        <v/>
      </c>
    </row>
    <row r="143">
      <c r="A143" s="6" t="inlineStr"/>
      <c r="B143" s="6" t="inlineStr">
        <is>
          <t>21º Pav (Tipo 16)</t>
        </is>
      </c>
      <c r="C143" s="6" t="inlineStr"/>
      <c r="D143" s="6" t="inlineStr"/>
      <c r="E143" s="6" t="n"/>
      <c r="F143" s="6" t="n"/>
      <c r="G143" s="6" t="n"/>
    </row>
    <row r="144">
      <c r="A144" s="7" t="inlineStr">
        <is>
          <t>2.1</t>
        </is>
      </c>
      <c r="B144" s="7" t="inlineStr">
        <is>
          <t>21º Pav (Tipo 16)</t>
        </is>
      </c>
      <c r="C144" s="8" t="inlineStr">
        <is>
          <t>Tubulações PVC Esgoto DN 50mm</t>
        </is>
      </c>
      <c r="D144" s="7" t="inlineStr">
        <is>
          <t>m</t>
        </is>
      </c>
      <c r="E144" s="9" t="n">
        <v>85</v>
      </c>
      <c r="F144" s="10" t="n">
        <v>12</v>
      </c>
      <c r="G144" s="10">
        <f>E144*F144</f>
        <v/>
      </c>
    </row>
    <row r="145">
      <c r="A145" s="7" t="inlineStr">
        <is>
          <t>2.2</t>
        </is>
      </c>
      <c r="B145" s="7" t="inlineStr">
        <is>
          <t>21º Pav (Tipo 16)</t>
        </is>
      </c>
      <c r="C145" s="8" t="inlineStr">
        <is>
          <t>Tubulações PVC Esgoto DN 100mm</t>
        </is>
      </c>
      <c r="D145" s="7" t="inlineStr">
        <is>
          <t>m</t>
        </is>
      </c>
      <c r="E145" s="9" t="n">
        <v>45</v>
      </c>
      <c r="F145" s="10" t="n">
        <v>22</v>
      </c>
      <c r="G145" s="10">
        <f>E145*F145</f>
        <v/>
      </c>
    </row>
    <row r="146">
      <c r="A146" s="7" t="inlineStr">
        <is>
          <t>2.3</t>
        </is>
      </c>
      <c r="B146" s="7" t="inlineStr">
        <is>
          <t>21º Pav (Tipo 16)</t>
        </is>
      </c>
      <c r="C146" s="8" t="inlineStr">
        <is>
          <t>Joelhos e Conexões PVC 50mm</t>
        </is>
      </c>
      <c r="D146" s="7" t="inlineStr">
        <is>
          <t>pç</t>
        </is>
      </c>
      <c r="E146" s="9" t="n">
        <v>45</v>
      </c>
      <c r="F146" s="10" t="n">
        <v>2.5</v>
      </c>
      <c r="G146" s="10">
        <f>E146*F146</f>
        <v/>
      </c>
    </row>
    <row r="147">
      <c r="A147" s="7" t="inlineStr">
        <is>
          <t>2.4</t>
        </is>
      </c>
      <c r="B147" s="7" t="inlineStr">
        <is>
          <t>21º Pav (Tipo 16)</t>
        </is>
      </c>
      <c r="C147" s="8" t="inlineStr">
        <is>
          <t>Caixas Sifonadas 150x150x50</t>
        </is>
      </c>
      <c r="D147" s="7" t="inlineStr">
        <is>
          <t>pç</t>
        </is>
      </c>
      <c r="E147" s="9" t="n">
        <v>12</v>
      </c>
      <c r="F147" s="10" t="n">
        <v>45</v>
      </c>
      <c r="G147" s="10">
        <f>E147*F147</f>
        <v/>
      </c>
    </row>
    <row r="148">
      <c r="A148" s="11" t="inlineStr">
        <is>
          <t>Subtotal 21º Pav (Tipo 16)</t>
        </is>
      </c>
      <c r="B148" s="7" t="n"/>
      <c r="C148" s="7" t="n"/>
      <c r="D148" s="7" t="n"/>
      <c r="E148" s="7" t="n"/>
      <c r="F148" s="7" t="n"/>
      <c r="G148" s="12">
        <f>SUM(G144:G147)</f>
        <v/>
      </c>
    </row>
    <row r="150">
      <c r="A150" s="6" t="inlineStr"/>
      <c r="B150" s="6" t="inlineStr">
        <is>
          <t>22º Pav (Tipo 17)</t>
        </is>
      </c>
      <c r="C150" s="6" t="inlineStr"/>
      <c r="D150" s="6" t="inlineStr"/>
      <c r="E150" s="6" t="n"/>
      <c r="F150" s="6" t="n"/>
      <c r="G150" s="6" t="n"/>
    </row>
    <row r="151">
      <c r="A151" s="7" t="inlineStr">
        <is>
          <t>2.1</t>
        </is>
      </c>
      <c r="B151" s="7" t="inlineStr">
        <is>
          <t>22º Pav (Tipo 17)</t>
        </is>
      </c>
      <c r="C151" s="8" t="inlineStr">
        <is>
          <t>Tubulações PVC Esgoto DN 50mm</t>
        </is>
      </c>
      <c r="D151" s="7" t="inlineStr">
        <is>
          <t>m</t>
        </is>
      </c>
      <c r="E151" s="9" t="n">
        <v>85</v>
      </c>
      <c r="F151" s="10" t="n">
        <v>12</v>
      </c>
      <c r="G151" s="10">
        <f>E151*F151</f>
        <v/>
      </c>
    </row>
    <row r="152">
      <c r="A152" s="7" t="inlineStr">
        <is>
          <t>2.2</t>
        </is>
      </c>
      <c r="B152" s="7" t="inlineStr">
        <is>
          <t>22º Pav (Tipo 17)</t>
        </is>
      </c>
      <c r="C152" s="8" t="inlineStr">
        <is>
          <t>Tubulações PVC Esgoto DN 100mm</t>
        </is>
      </c>
      <c r="D152" s="7" t="inlineStr">
        <is>
          <t>m</t>
        </is>
      </c>
      <c r="E152" s="9" t="n">
        <v>45</v>
      </c>
      <c r="F152" s="10" t="n">
        <v>22</v>
      </c>
      <c r="G152" s="10">
        <f>E152*F152</f>
        <v/>
      </c>
    </row>
    <row r="153">
      <c r="A153" s="7" t="inlineStr">
        <is>
          <t>2.3</t>
        </is>
      </c>
      <c r="B153" s="7" t="inlineStr">
        <is>
          <t>22º Pav (Tipo 17)</t>
        </is>
      </c>
      <c r="C153" s="8" t="inlineStr">
        <is>
          <t>Joelhos e Conexões PVC 50mm</t>
        </is>
      </c>
      <c r="D153" s="7" t="inlineStr">
        <is>
          <t>pç</t>
        </is>
      </c>
      <c r="E153" s="9" t="n">
        <v>45</v>
      </c>
      <c r="F153" s="10" t="n">
        <v>2.5</v>
      </c>
      <c r="G153" s="10">
        <f>E153*F153</f>
        <v/>
      </c>
    </row>
    <row r="154">
      <c r="A154" s="7" t="inlineStr">
        <is>
          <t>2.4</t>
        </is>
      </c>
      <c r="B154" s="7" t="inlineStr">
        <is>
          <t>22º Pav (Tipo 17)</t>
        </is>
      </c>
      <c r="C154" s="8" t="inlineStr">
        <is>
          <t>Caixas Sifonadas 150x150x50</t>
        </is>
      </c>
      <c r="D154" s="7" t="inlineStr">
        <is>
          <t>pç</t>
        </is>
      </c>
      <c r="E154" s="9" t="n">
        <v>12</v>
      </c>
      <c r="F154" s="10" t="n">
        <v>45</v>
      </c>
      <c r="G154" s="10">
        <f>E154*F154</f>
        <v/>
      </c>
    </row>
    <row r="155">
      <c r="A155" s="11" t="inlineStr">
        <is>
          <t>Subtotal 22º Pav (Tipo 17)</t>
        </is>
      </c>
      <c r="B155" s="7" t="n"/>
      <c r="C155" s="7" t="n"/>
      <c r="D155" s="7" t="n"/>
      <c r="E155" s="7" t="n"/>
      <c r="F155" s="7" t="n"/>
      <c r="G155" s="12">
        <f>SUM(G151:G154)</f>
        <v/>
      </c>
    </row>
    <row r="157">
      <c r="A157" s="6" t="inlineStr"/>
      <c r="B157" s="6" t="inlineStr">
        <is>
          <t>23º Pav (Tipo 18)</t>
        </is>
      </c>
      <c r="C157" s="6" t="inlineStr"/>
      <c r="D157" s="6" t="inlineStr"/>
      <c r="E157" s="6" t="n"/>
      <c r="F157" s="6" t="n"/>
      <c r="G157" s="6" t="n"/>
    </row>
    <row r="158">
      <c r="A158" s="7" t="inlineStr">
        <is>
          <t>2.1</t>
        </is>
      </c>
      <c r="B158" s="7" t="inlineStr">
        <is>
          <t>23º Pav (Tipo 18)</t>
        </is>
      </c>
      <c r="C158" s="8" t="inlineStr">
        <is>
          <t>Tubulações PVC Esgoto DN 50mm</t>
        </is>
      </c>
      <c r="D158" s="7" t="inlineStr">
        <is>
          <t>m</t>
        </is>
      </c>
      <c r="E158" s="9" t="n">
        <v>85</v>
      </c>
      <c r="F158" s="10" t="n">
        <v>12</v>
      </c>
      <c r="G158" s="10">
        <f>E158*F158</f>
        <v/>
      </c>
    </row>
    <row r="159">
      <c r="A159" s="7" t="inlineStr">
        <is>
          <t>2.2</t>
        </is>
      </c>
      <c r="B159" s="7" t="inlineStr">
        <is>
          <t>23º Pav (Tipo 18)</t>
        </is>
      </c>
      <c r="C159" s="8" t="inlineStr">
        <is>
          <t>Tubulações PVC Esgoto DN 100mm</t>
        </is>
      </c>
      <c r="D159" s="7" t="inlineStr">
        <is>
          <t>m</t>
        </is>
      </c>
      <c r="E159" s="9" t="n">
        <v>45</v>
      </c>
      <c r="F159" s="10" t="n">
        <v>22</v>
      </c>
      <c r="G159" s="10">
        <f>E159*F159</f>
        <v/>
      </c>
    </row>
    <row r="160">
      <c r="A160" s="7" t="inlineStr">
        <is>
          <t>2.3</t>
        </is>
      </c>
      <c r="B160" s="7" t="inlineStr">
        <is>
          <t>23º Pav (Tipo 18)</t>
        </is>
      </c>
      <c r="C160" s="8" t="inlineStr">
        <is>
          <t>Joelhos e Conexões PVC 50mm</t>
        </is>
      </c>
      <c r="D160" s="7" t="inlineStr">
        <is>
          <t>pç</t>
        </is>
      </c>
      <c r="E160" s="9" t="n">
        <v>45</v>
      </c>
      <c r="F160" s="10" t="n">
        <v>2.5</v>
      </c>
      <c r="G160" s="10">
        <f>E160*F160</f>
        <v/>
      </c>
    </row>
    <row r="161">
      <c r="A161" s="7" t="inlineStr">
        <is>
          <t>2.4</t>
        </is>
      </c>
      <c r="B161" s="7" t="inlineStr">
        <is>
          <t>23º Pav (Tipo 18)</t>
        </is>
      </c>
      <c r="C161" s="8" t="inlineStr">
        <is>
          <t>Caixas Sifonadas 150x150x50</t>
        </is>
      </c>
      <c r="D161" s="7" t="inlineStr">
        <is>
          <t>pç</t>
        </is>
      </c>
      <c r="E161" s="9" t="n">
        <v>12</v>
      </c>
      <c r="F161" s="10" t="n">
        <v>45</v>
      </c>
      <c r="G161" s="10">
        <f>E161*F161</f>
        <v/>
      </c>
    </row>
    <row r="162">
      <c r="A162" s="11" t="inlineStr">
        <is>
          <t>Subtotal 23º Pav (Tipo 18)</t>
        </is>
      </c>
      <c r="B162" s="7" t="n"/>
      <c r="C162" s="7" t="n"/>
      <c r="D162" s="7" t="n"/>
      <c r="E162" s="7" t="n"/>
      <c r="F162" s="7" t="n"/>
      <c r="G162" s="12">
        <f>SUM(G158:G161)</f>
        <v/>
      </c>
    </row>
    <row r="164">
      <c r="A164" s="6" t="inlineStr"/>
      <c r="B164" s="6" t="inlineStr">
        <is>
          <t>Ático (24º)</t>
        </is>
      </c>
      <c r="C164" s="6" t="inlineStr"/>
      <c r="D164" s="6" t="inlineStr"/>
      <c r="E164" s="6" t="n"/>
      <c r="F164" s="6" t="n"/>
      <c r="G164" s="6" t="n"/>
    </row>
    <row r="165">
      <c r="A165" s="7" t="inlineStr">
        <is>
          <t>2.1</t>
        </is>
      </c>
      <c r="B165" s="7" t="inlineStr">
        <is>
          <t>Ático (24º)</t>
        </is>
      </c>
      <c r="C165" s="8" t="inlineStr">
        <is>
          <t>Tubulações PVC Esgoto DN 50mm</t>
        </is>
      </c>
      <c r="D165" s="7" t="inlineStr">
        <is>
          <t>m</t>
        </is>
      </c>
      <c r="E165" s="9" t="n">
        <v>68</v>
      </c>
      <c r="F165" s="10" t="n">
        <v>12</v>
      </c>
      <c r="G165" s="10">
        <f>E165*F165</f>
        <v/>
      </c>
    </row>
    <row r="166">
      <c r="A166" s="7" t="inlineStr">
        <is>
          <t>2.2</t>
        </is>
      </c>
      <c r="B166" s="7" t="inlineStr">
        <is>
          <t>Ático (24º)</t>
        </is>
      </c>
      <c r="C166" s="8" t="inlineStr">
        <is>
          <t>Tubulações PVC Esgoto DN 100mm</t>
        </is>
      </c>
      <c r="D166" s="7" t="inlineStr">
        <is>
          <t>m</t>
        </is>
      </c>
      <c r="E166" s="9" t="n">
        <v>36</v>
      </c>
      <c r="F166" s="10" t="n">
        <v>22</v>
      </c>
      <c r="G166" s="10">
        <f>E166*F166</f>
        <v/>
      </c>
    </row>
    <row r="167">
      <c r="A167" s="7" t="inlineStr">
        <is>
          <t>2.3</t>
        </is>
      </c>
      <c r="B167" s="7" t="inlineStr">
        <is>
          <t>Ático (24º)</t>
        </is>
      </c>
      <c r="C167" s="8" t="inlineStr">
        <is>
          <t>Joelhos e Conexões PVC 50mm</t>
        </is>
      </c>
      <c r="D167" s="7" t="inlineStr">
        <is>
          <t>pç</t>
        </is>
      </c>
      <c r="E167" s="9" t="n">
        <v>36</v>
      </c>
      <c r="F167" s="10" t="n">
        <v>2.5</v>
      </c>
      <c r="G167" s="10">
        <f>E167*F167</f>
        <v/>
      </c>
    </row>
    <row r="168">
      <c r="A168" s="7" t="inlineStr">
        <is>
          <t>2.4</t>
        </is>
      </c>
      <c r="B168" s="7" t="inlineStr">
        <is>
          <t>Ático (24º)</t>
        </is>
      </c>
      <c r="C168" s="8" t="inlineStr">
        <is>
          <t>Caixas Sifonadas 150x150x50</t>
        </is>
      </c>
      <c r="D168" s="7" t="inlineStr">
        <is>
          <t>pç</t>
        </is>
      </c>
      <c r="E168" s="9" t="n">
        <v>9.600000000000001</v>
      </c>
      <c r="F168" s="10" t="n">
        <v>45</v>
      </c>
      <c r="G168" s="10">
        <f>E168*F168</f>
        <v/>
      </c>
    </row>
    <row r="169">
      <c r="A169" s="11" t="inlineStr">
        <is>
          <t>Subtotal Ático (24º)</t>
        </is>
      </c>
      <c r="B169" s="7" t="n"/>
      <c r="C169" s="7" t="n"/>
      <c r="D169" s="7" t="n"/>
      <c r="E169" s="7" t="n"/>
      <c r="F169" s="7" t="n"/>
      <c r="G169" s="12">
        <f>SUM(G165:G168)</f>
        <v/>
      </c>
    </row>
    <row r="171">
      <c r="A171" s="6" t="inlineStr"/>
      <c r="B171" s="6" t="inlineStr">
        <is>
          <t>Técnico 1 (25º)</t>
        </is>
      </c>
      <c r="C171" s="6" t="inlineStr"/>
      <c r="D171" s="6" t="inlineStr"/>
      <c r="E171" s="6" t="n"/>
      <c r="F171" s="6" t="n"/>
      <c r="G171" s="6" t="n"/>
    </row>
    <row r="172">
      <c r="A172" s="7" t="inlineStr">
        <is>
          <t>2.1</t>
        </is>
      </c>
      <c r="B172" s="7" t="inlineStr">
        <is>
          <t>Técnico 1 (25º)</t>
        </is>
      </c>
      <c r="C172" s="8" t="inlineStr">
        <is>
          <t>Tubulações PVC Esgoto DN 50mm</t>
        </is>
      </c>
      <c r="D172" s="7" t="inlineStr">
        <is>
          <t>m</t>
        </is>
      </c>
      <c r="E172" s="9" t="n">
        <v>42.5</v>
      </c>
      <c r="F172" s="10" t="n">
        <v>12</v>
      </c>
      <c r="G172" s="10">
        <f>E172*F172</f>
        <v/>
      </c>
    </row>
    <row r="173">
      <c r="A173" s="7" t="inlineStr">
        <is>
          <t>2.2</t>
        </is>
      </c>
      <c r="B173" s="7" t="inlineStr">
        <is>
          <t>Técnico 1 (25º)</t>
        </is>
      </c>
      <c r="C173" s="8" t="inlineStr">
        <is>
          <t>Tubulações PVC Esgoto DN 100mm</t>
        </is>
      </c>
      <c r="D173" s="7" t="inlineStr">
        <is>
          <t>m</t>
        </is>
      </c>
      <c r="E173" s="9" t="n">
        <v>22.5</v>
      </c>
      <c r="F173" s="10" t="n">
        <v>22</v>
      </c>
      <c r="G173" s="10">
        <f>E173*F173</f>
        <v/>
      </c>
    </row>
    <row r="174">
      <c r="A174" s="7" t="inlineStr">
        <is>
          <t>2.3</t>
        </is>
      </c>
      <c r="B174" s="7" t="inlineStr">
        <is>
          <t>Técnico 1 (25º)</t>
        </is>
      </c>
      <c r="C174" s="8" t="inlineStr">
        <is>
          <t>Joelhos e Conexões PVC 50mm</t>
        </is>
      </c>
      <c r="D174" s="7" t="inlineStr">
        <is>
          <t>pç</t>
        </is>
      </c>
      <c r="E174" s="9" t="n">
        <v>22.5</v>
      </c>
      <c r="F174" s="10" t="n">
        <v>2.5</v>
      </c>
      <c r="G174" s="10">
        <f>E174*F174</f>
        <v/>
      </c>
    </row>
    <row r="175">
      <c r="A175" s="7" t="inlineStr">
        <is>
          <t>2.4</t>
        </is>
      </c>
      <c r="B175" s="7" t="inlineStr">
        <is>
          <t>Técnico 1 (25º)</t>
        </is>
      </c>
      <c r="C175" s="8" t="inlineStr">
        <is>
          <t>Caixas Sifonadas 150x150x50</t>
        </is>
      </c>
      <c r="D175" s="7" t="inlineStr">
        <is>
          <t>pç</t>
        </is>
      </c>
      <c r="E175" s="9" t="n">
        <v>6</v>
      </c>
      <c r="F175" s="10" t="n">
        <v>45</v>
      </c>
      <c r="G175" s="10">
        <f>E175*F175</f>
        <v/>
      </c>
    </row>
    <row r="176">
      <c r="A176" s="11" t="inlineStr">
        <is>
          <t>Subtotal Técnico 1 (25º)</t>
        </is>
      </c>
      <c r="B176" s="7" t="n"/>
      <c r="C176" s="7" t="n"/>
      <c r="D176" s="7" t="n"/>
      <c r="E176" s="7" t="n"/>
      <c r="F176" s="7" t="n"/>
      <c r="G176" s="12">
        <f>SUM(G172:G175)</f>
        <v/>
      </c>
    </row>
    <row r="178">
      <c r="A178" s="6" t="inlineStr"/>
      <c r="B178" s="6" t="inlineStr">
        <is>
          <t>Técnico 2 (26º)</t>
        </is>
      </c>
      <c r="C178" s="6" t="inlineStr"/>
      <c r="D178" s="6" t="inlineStr"/>
      <c r="E178" s="6" t="n"/>
      <c r="F178" s="6" t="n"/>
      <c r="G178" s="6" t="n"/>
    </row>
    <row r="179">
      <c r="A179" s="7" t="inlineStr">
        <is>
          <t>2.1</t>
        </is>
      </c>
      <c r="B179" s="7" t="inlineStr">
        <is>
          <t>Técnico 2 (26º)</t>
        </is>
      </c>
      <c r="C179" s="8" t="inlineStr">
        <is>
          <t>Tubulações PVC Esgoto DN 50mm</t>
        </is>
      </c>
      <c r="D179" s="7" t="inlineStr">
        <is>
          <t>m</t>
        </is>
      </c>
      <c r="E179" s="9" t="n">
        <v>42.5</v>
      </c>
      <c r="F179" s="10" t="n">
        <v>12</v>
      </c>
      <c r="G179" s="10">
        <f>E179*F179</f>
        <v/>
      </c>
    </row>
    <row r="180">
      <c r="A180" s="7" t="inlineStr">
        <is>
          <t>2.2</t>
        </is>
      </c>
      <c r="B180" s="7" t="inlineStr">
        <is>
          <t>Técnico 2 (26º)</t>
        </is>
      </c>
      <c r="C180" s="8" t="inlineStr">
        <is>
          <t>Tubulações PVC Esgoto DN 100mm</t>
        </is>
      </c>
      <c r="D180" s="7" t="inlineStr">
        <is>
          <t>m</t>
        </is>
      </c>
      <c r="E180" s="9" t="n">
        <v>22.5</v>
      </c>
      <c r="F180" s="10" t="n">
        <v>22</v>
      </c>
      <c r="G180" s="10">
        <f>E180*F180</f>
        <v/>
      </c>
    </row>
    <row r="181">
      <c r="A181" s="7" t="inlineStr">
        <is>
          <t>2.3</t>
        </is>
      </c>
      <c r="B181" s="7" t="inlineStr">
        <is>
          <t>Técnico 2 (26º)</t>
        </is>
      </c>
      <c r="C181" s="8" t="inlineStr">
        <is>
          <t>Joelhos e Conexões PVC 50mm</t>
        </is>
      </c>
      <c r="D181" s="7" t="inlineStr">
        <is>
          <t>pç</t>
        </is>
      </c>
      <c r="E181" s="9" t="n">
        <v>22.5</v>
      </c>
      <c r="F181" s="10" t="n">
        <v>2.5</v>
      </c>
      <c r="G181" s="10">
        <f>E181*F181</f>
        <v/>
      </c>
    </row>
    <row r="182">
      <c r="A182" s="7" t="inlineStr">
        <is>
          <t>2.4</t>
        </is>
      </c>
      <c r="B182" s="7" t="inlineStr">
        <is>
          <t>Técnico 2 (26º)</t>
        </is>
      </c>
      <c r="C182" s="8" t="inlineStr">
        <is>
          <t>Caixas Sifonadas 150x150x50</t>
        </is>
      </c>
      <c r="D182" s="7" t="inlineStr">
        <is>
          <t>pç</t>
        </is>
      </c>
      <c r="E182" s="9" t="n">
        <v>6</v>
      </c>
      <c r="F182" s="10" t="n">
        <v>45</v>
      </c>
      <c r="G182" s="10">
        <f>E182*F182</f>
        <v/>
      </c>
    </row>
    <row r="183">
      <c r="A183" s="11" t="inlineStr">
        <is>
          <t>Subtotal Técnico 2 (26º)</t>
        </is>
      </c>
      <c r="B183" s="7" t="n"/>
      <c r="C183" s="7" t="n"/>
      <c r="D183" s="7" t="n"/>
      <c r="E183" s="7" t="n"/>
      <c r="F183" s="7" t="n"/>
      <c r="G183" s="12">
        <f>SUM(G179:G182)</f>
        <v/>
      </c>
    </row>
    <row r="185">
      <c r="A185" s="6" t="inlineStr"/>
      <c r="B185" s="6" t="inlineStr">
        <is>
          <t>Técnico 3 (27º)</t>
        </is>
      </c>
      <c r="C185" s="6" t="inlineStr"/>
      <c r="D185" s="6" t="inlineStr"/>
      <c r="E185" s="6" t="n"/>
      <c r="F185" s="6" t="n"/>
      <c r="G185" s="6" t="n"/>
    </row>
    <row r="186">
      <c r="A186" s="7" t="inlineStr">
        <is>
          <t>2.1</t>
        </is>
      </c>
      <c r="B186" s="7" t="inlineStr">
        <is>
          <t>Técnico 3 (27º)</t>
        </is>
      </c>
      <c r="C186" s="8" t="inlineStr">
        <is>
          <t>Tubulações PVC Esgoto DN 50mm</t>
        </is>
      </c>
      <c r="D186" s="7" t="inlineStr">
        <is>
          <t>m</t>
        </is>
      </c>
      <c r="E186" s="9" t="n">
        <v>42.5</v>
      </c>
      <c r="F186" s="10" t="n">
        <v>12</v>
      </c>
      <c r="G186" s="10">
        <f>E186*F186</f>
        <v/>
      </c>
    </row>
    <row r="187">
      <c r="A187" s="7" t="inlineStr">
        <is>
          <t>2.2</t>
        </is>
      </c>
      <c r="B187" s="7" t="inlineStr">
        <is>
          <t>Técnico 3 (27º)</t>
        </is>
      </c>
      <c r="C187" s="8" t="inlineStr">
        <is>
          <t>Tubulações PVC Esgoto DN 100mm</t>
        </is>
      </c>
      <c r="D187" s="7" t="inlineStr">
        <is>
          <t>m</t>
        </is>
      </c>
      <c r="E187" s="9" t="n">
        <v>22.5</v>
      </c>
      <c r="F187" s="10" t="n">
        <v>22</v>
      </c>
      <c r="G187" s="10">
        <f>E187*F187</f>
        <v/>
      </c>
    </row>
    <row r="188">
      <c r="A188" s="7" t="inlineStr">
        <is>
          <t>2.3</t>
        </is>
      </c>
      <c r="B188" s="7" t="inlineStr">
        <is>
          <t>Técnico 3 (27º)</t>
        </is>
      </c>
      <c r="C188" s="8" t="inlineStr">
        <is>
          <t>Joelhos e Conexões PVC 50mm</t>
        </is>
      </c>
      <c r="D188" s="7" t="inlineStr">
        <is>
          <t>pç</t>
        </is>
      </c>
      <c r="E188" s="9" t="n">
        <v>22.5</v>
      </c>
      <c r="F188" s="10" t="n">
        <v>2.5</v>
      </c>
      <c r="G188" s="10">
        <f>E188*F188</f>
        <v/>
      </c>
    </row>
    <row r="189">
      <c r="A189" s="7" t="inlineStr">
        <is>
          <t>2.4</t>
        </is>
      </c>
      <c r="B189" s="7" t="inlineStr">
        <is>
          <t>Técnico 3 (27º)</t>
        </is>
      </c>
      <c r="C189" s="8" t="inlineStr">
        <is>
          <t>Caixas Sifonadas 150x150x50</t>
        </is>
      </c>
      <c r="D189" s="7" t="inlineStr">
        <is>
          <t>pç</t>
        </is>
      </c>
      <c r="E189" s="9" t="n">
        <v>6</v>
      </c>
      <c r="F189" s="10" t="n">
        <v>45</v>
      </c>
      <c r="G189" s="10">
        <f>E189*F189</f>
        <v/>
      </c>
    </row>
    <row r="190">
      <c r="A190" s="11" t="inlineStr">
        <is>
          <t>Subtotal Técnico 3 (27º)</t>
        </is>
      </c>
      <c r="B190" s="7" t="n"/>
      <c r="C190" s="7" t="n"/>
      <c r="D190" s="7" t="n"/>
      <c r="E190" s="7" t="n"/>
      <c r="F190" s="7" t="n"/>
      <c r="G190" s="12">
        <f>SUM(G186:G189)</f>
        <v/>
      </c>
    </row>
    <row r="193">
      <c r="A193" s="13" t="inlineStr">
        <is>
          <t>TOTAL HIDROSSANITÁRIO</t>
        </is>
      </c>
      <c r="B193" s="7" t="n"/>
      <c r="C193" s="7" t="n"/>
      <c r="D193" s="7" t="n"/>
      <c r="E193" s="7" t="n"/>
      <c r="F193" s="7" t="n"/>
      <c r="G193" s="12">
        <f>SUM(G3:G192)</f>
        <v/>
      </c>
    </row>
  </sheetData>
  <mergeCells count="29">
    <mergeCell ref="A99:F99"/>
    <mergeCell ref="A183:F183"/>
    <mergeCell ref="A193:F193"/>
    <mergeCell ref="A120:F120"/>
    <mergeCell ref="A50:F50"/>
    <mergeCell ref="A57:F57"/>
    <mergeCell ref="A113:F113"/>
    <mergeCell ref="A71:F71"/>
    <mergeCell ref="A85:F85"/>
    <mergeCell ref="A8:F8"/>
    <mergeCell ref="A106:F106"/>
    <mergeCell ref="A141:F141"/>
    <mergeCell ref="A22:F22"/>
    <mergeCell ref="A29:F29"/>
    <mergeCell ref="A134:F134"/>
    <mergeCell ref="A43:F43"/>
    <mergeCell ref="A190:F190"/>
    <mergeCell ref="A1:G1"/>
    <mergeCell ref="A155:F155"/>
    <mergeCell ref="A162:F162"/>
    <mergeCell ref="A127:F127"/>
    <mergeCell ref="A92:F92"/>
    <mergeCell ref="A176:F176"/>
    <mergeCell ref="A64:F64"/>
    <mergeCell ref="A15:F15"/>
    <mergeCell ref="A148:F148"/>
    <mergeCell ref="A36:F36"/>
    <mergeCell ref="A169:F169"/>
    <mergeCell ref="A78:F7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0" customWidth="1" min="4" max="4"/>
    <col width="12" customWidth="1" min="5" max="5"/>
    <col width="16" customWidth="1" min="6" max="6"/>
    <col width="16" customWidth="1" min="7" max="7"/>
  </cols>
  <sheetData>
    <row r="1">
      <c r="A1" s="4" t="inlineStr">
        <is>
          <t>3. ELÉTRICO - POR PAVIMENTO</t>
        </is>
      </c>
    </row>
    <row r="2">
      <c r="A2" s="5" t="inlineStr">
        <is>
          <t>Item</t>
        </is>
      </c>
      <c r="B2" s="5" t="inlineStr">
        <is>
          <t>Pavimento</t>
        </is>
      </c>
      <c r="C2" s="5" t="inlineStr">
        <is>
          <t>Descrição</t>
        </is>
      </c>
      <c r="D2" s="5" t="inlineStr">
        <is>
          <t>Unidade</t>
        </is>
      </c>
      <c r="E2" s="5" t="inlineStr">
        <is>
          <t>Quantidade</t>
        </is>
      </c>
      <c r="F2" s="5" t="inlineStr">
        <is>
          <t>Custo Unit. (R$)</t>
        </is>
      </c>
      <c r="G2" s="5" t="inlineStr">
        <is>
          <t>Custo Total (R$)</t>
        </is>
      </c>
    </row>
    <row r="3">
      <c r="A3" s="6" t="inlineStr"/>
      <c r="B3" s="6" t="inlineStr">
        <is>
          <t>Térreo</t>
        </is>
      </c>
      <c r="C3" s="6" t="inlineStr"/>
      <c r="D3" s="6" t="inlineStr"/>
      <c r="E3" s="6" t="n"/>
      <c r="F3" s="6" t="n"/>
      <c r="G3" s="6" t="n"/>
    </row>
    <row r="4">
      <c r="A4" s="7" t="inlineStr">
        <is>
          <t>3.1</t>
        </is>
      </c>
      <c r="B4" s="7" t="inlineStr">
        <is>
          <t>Térreo</t>
        </is>
      </c>
      <c r="C4" s="8" t="inlineStr">
        <is>
          <t>Quadros de Distribuição</t>
        </is>
      </c>
      <c r="D4" s="7" t="inlineStr">
        <is>
          <t>un</t>
        </is>
      </c>
      <c r="E4" s="9" t="n">
        <v>4</v>
      </c>
      <c r="F4" s="10" t="n">
        <v>1200</v>
      </c>
      <c r="G4" s="10">
        <f>E4*F4</f>
        <v/>
      </c>
    </row>
    <row r="5">
      <c r="A5" s="7" t="inlineStr">
        <is>
          <t>3.2</t>
        </is>
      </c>
      <c r="B5" s="7" t="inlineStr">
        <is>
          <t>Térreo</t>
        </is>
      </c>
      <c r="C5" s="8" t="inlineStr">
        <is>
          <t>Disjuntores Monopolares</t>
        </is>
      </c>
      <c r="D5" s="7" t="inlineStr">
        <is>
          <t>un</t>
        </is>
      </c>
      <c r="E5" s="9" t="n">
        <v>35</v>
      </c>
      <c r="F5" s="10" t="n">
        <v>35</v>
      </c>
      <c r="G5" s="10">
        <f>E5*F5</f>
        <v/>
      </c>
    </row>
    <row r="6">
      <c r="A6" s="7" t="inlineStr">
        <is>
          <t>3.3</t>
        </is>
      </c>
      <c r="B6" s="7" t="inlineStr">
        <is>
          <t>Térreo</t>
        </is>
      </c>
      <c r="C6" s="8" t="inlineStr">
        <is>
          <t>Disjuntores Bipolares</t>
        </is>
      </c>
      <c r="D6" s="7" t="inlineStr">
        <is>
          <t>un</t>
        </is>
      </c>
      <c r="E6" s="9" t="n">
        <v>12</v>
      </c>
      <c r="F6" s="10" t="n">
        <v>65</v>
      </c>
      <c r="G6" s="10">
        <f>E6*F6</f>
        <v/>
      </c>
    </row>
    <row r="7">
      <c r="A7" s="7" t="inlineStr">
        <is>
          <t>3.4</t>
        </is>
      </c>
      <c r="B7" s="7" t="inlineStr">
        <is>
          <t>Térreo</t>
        </is>
      </c>
      <c r="C7" s="8" t="inlineStr">
        <is>
          <t>DRs Bipolares 30mA</t>
        </is>
      </c>
      <c r="D7" s="7" t="inlineStr">
        <is>
          <t>un</t>
        </is>
      </c>
      <c r="E7" s="9" t="n">
        <v>8</v>
      </c>
      <c r="F7" s="10" t="n">
        <v>180</v>
      </c>
      <c r="G7" s="10">
        <f>E7*F7</f>
        <v/>
      </c>
    </row>
    <row r="8">
      <c r="A8" s="7" t="inlineStr">
        <is>
          <t>3.5</t>
        </is>
      </c>
      <c r="B8" s="7" t="inlineStr">
        <is>
          <t>Térreo</t>
        </is>
      </c>
      <c r="C8" s="8" t="inlineStr">
        <is>
          <t>Eletrodutos PVC 25mm</t>
        </is>
      </c>
      <c r="D8" s="7" t="inlineStr">
        <is>
          <t>m</t>
        </is>
      </c>
      <c r="E8" s="9" t="n">
        <v>220</v>
      </c>
      <c r="F8" s="10" t="n">
        <v>8</v>
      </c>
      <c r="G8" s="10">
        <f>E8*F8</f>
        <v/>
      </c>
    </row>
    <row r="9">
      <c r="A9" s="7" t="inlineStr">
        <is>
          <t>3.6</t>
        </is>
      </c>
      <c r="B9" s="7" t="inlineStr">
        <is>
          <t>Térreo</t>
        </is>
      </c>
      <c r="C9" s="8" t="inlineStr">
        <is>
          <t>Cabos de Cobre 2,5mm²</t>
        </is>
      </c>
      <c r="D9" s="7" t="inlineStr">
        <is>
          <t>m</t>
        </is>
      </c>
      <c r="E9" s="9" t="n">
        <v>450</v>
      </c>
      <c r="F9" s="10" t="n">
        <v>4.5</v>
      </c>
      <c r="G9" s="10">
        <f>E9*F9</f>
        <v/>
      </c>
    </row>
    <row r="10">
      <c r="A10" s="11" t="inlineStr">
        <is>
          <t>Subtotal Térreo</t>
        </is>
      </c>
      <c r="B10" s="7" t="n"/>
      <c r="C10" s="7" t="n"/>
      <c r="D10" s="7" t="n"/>
      <c r="E10" s="7" t="n"/>
      <c r="F10" s="7" t="n"/>
      <c r="G10" s="12">
        <f>SUM(G4:G9)</f>
        <v/>
      </c>
    </row>
    <row r="12">
      <c r="A12" s="6" t="inlineStr"/>
      <c r="B12" s="6" t="inlineStr">
        <is>
          <t>Garagem 2</t>
        </is>
      </c>
      <c r="C12" s="6" t="inlineStr"/>
      <c r="D12" s="6" t="inlineStr"/>
      <c r="E12" s="6" t="n"/>
      <c r="F12" s="6" t="n"/>
      <c r="G12" s="6" t="n"/>
    </row>
    <row r="13">
      <c r="A13" s="7" t="inlineStr">
        <is>
          <t>3.1</t>
        </is>
      </c>
      <c r="B13" s="7" t="inlineStr">
        <is>
          <t>Garagem 2</t>
        </is>
      </c>
      <c r="C13" s="8" t="inlineStr">
        <is>
          <t>Quadros de Distribuição</t>
        </is>
      </c>
      <c r="D13" s="7" t="inlineStr">
        <is>
          <t>un</t>
        </is>
      </c>
      <c r="E13" s="9" t="n">
        <v>1.6</v>
      </c>
      <c r="F13" s="10" t="n">
        <v>1200</v>
      </c>
      <c r="G13" s="10">
        <f>E13*F13</f>
        <v/>
      </c>
    </row>
    <row r="14">
      <c r="A14" s="7" t="inlineStr">
        <is>
          <t>3.2</t>
        </is>
      </c>
      <c r="B14" s="7" t="inlineStr">
        <is>
          <t>Garagem 2</t>
        </is>
      </c>
      <c r="C14" s="8" t="inlineStr">
        <is>
          <t>Disjuntores Monopolares</t>
        </is>
      </c>
      <c r="D14" s="7" t="inlineStr">
        <is>
          <t>un</t>
        </is>
      </c>
      <c r="E14" s="9" t="n">
        <v>14</v>
      </c>
      <c r="F14" s="10" t="n">
        <v>35</v>
      </c>
      <c r="G14" s="10">
        <f>E14*F14</f>
        <v/>
      </c>
    </row>
    <row r="15">
      <c r="A15" s="7" t="inlineStr">
        <is>
          <t>3.3</t>
        </is>
      </c>
      <c r="B15" s="7" t="inlineStr">
        <is>
          <t>Garagem 2</t>
        </is>
      </c>
      <c r="C15" s="8" t="inlineStr">
        <is>
          <t>Disjuntores Bipolares</t>
        </is>
      </c>
      <c r="D15" s="7" t="inlineStr">
        <is>
          <t>un</t>
        </is>
      </c>
      <c r="E15" s="9" t="n">
        <v>4.800000000000001</v>
      </c>
      <c r="F15" s="10" t="n">
        <v>65</v>
      </c>
      <c r="G15" s="10">
        <f>E15*F15</f>
        <v/>
      </c>
    </row>
    <row r="16">
      <c r="A16" s="7" t="inlineStr">
        <is>
          <t>3.4</t>
        </is>
      </c>
      <c r="B16" s="7" t="inlineStr">
        <is>
          <t>Garagem 2</t>
        </is>
      </c>
      <c r="C16" s="8" t="inlineStr">
        <is>
          <t>DRs Bipolares 30mA</t>
        </is>
      </c>
      <c r="D16" s="7" t="inlineStr">
        <is>
          <t>un</t>
        </is>
      </c>
      <c r="E16" s="9" t="n">
        <v>3.2</v>
      </c>
      <c r="F16" s="10" t="n">
        <v>180</v>
      </c>
      <c r="G16" s="10">
        <f>E16*F16</f>
        <v/>
      </c>
    </row>
    <row r="17">
      <c r="A17" s="7" t="inlineStr">
        <is>
          <t>3.5</t>
        </is>
      </c>
      <c r="B17" s="7" t="inlineStr">
        <is>
          <t>Garagem 2</t>
        </is>
      </c>
      <c r="C17" s="8" t="inlineStr">
        <is>
          <t>Eletrodutos PVC 25mm</t>
        </is>
      </c>
      <c r="D17" s="7" t="inlineStr">
        <is>
          <t>m</t>
        </is>
      </c>
      <c r="E17" s="9" t="n">
        <v>88</v>
      </c>
      <c r="F17" s="10" t="n">
        <v>8</v>
      </c>
      <c r="G17" s="10">
        <f>E17*F17</f>
        <v/>
      </c>
    </row>
    <row r="18">
      <c r="A18" s="7" t="inlineStr">
        <is>
          <t>3.6</t>
        </is>
      </c>
      <c r="B18" s="7" t="inlineStr">
        <is>
          <t>Garagem 2</t>
        </is>
      </c>
      <c r="C18" s="8" t="inlineStr">
        <is>
          <t>Cabos de Cobre 2,5mm²</t>
        </is>
      </c>
      <c r="D18" s="7" t="inlineStr">
        <is>
          <t>m</t>
        </is>
      </c>
      <c r="E18" s="9" t="n">
        <v>180</v>
      </c>
      <c r="F18" s="10" t="n">
        <v>4.5</v>
      </c>
      <c r="G18" s="10">
        <f>E18*F18</f>
        <v/>
      </c>
    </row>
    <row r="19">
      <c r="A19" s="11" t="inlineStr">
        <is>
          <t>Subtotal Garagem 2</t>
        </is>
      </c>
      <c r="B19" s="7" t="n"/>
      <c r="C19" s="7" t="n"/>
      <c r="D19" s="7" t="n"/>
      <c r="E19" s="7" t="n"/>
      <c r="F19" s="7" t="n"/>
      <c r="G19" s="12">
        <f>SUM(G13:G18)</f>
        <v/>
      </c>
    </row>
    <row r="21">
      <c r="A21" s="6" t="inlineStr"/>
      <c r="B21" s="6" t="inlineStr">
        <is>
          <t>Garagem 3</t>
        </is>
      </c>
      <c r="C21" s="6" t="inlineStr"/>
      <c r="D21" s="6" t="inlineStr"/>
      <c r="E21" s="6" t="n"/>
      <c r="F21" s="6" t="n"/>
      <c r="G21" s="6" t="n"/>
    </row>
    <row r="22">
      <c r="A22" s="7" t="inlineStr">
        <is>
          <t>3.1</t>
        </is>
      </c>
      <c r="B22" s="7" t="inlineStr">
        <is>
          <t>Garagem 3</t>
        </is>
      </c>
      <c r="C22" s="8" t="inlineStr">
        <is>
          <t>Quadros de Distribuição</t>
        </is>
      </c>
      <c r="D22" s="7" t="inlineStr">
        <is>
          <t>un</t>
        </is>
      </c>
      <c r="E22" s="9" t="n">
        <v>1.6</v>
      </c>
      <c r="F22" s="10" t="n">
        <v>1200</v>
      </c>
      <c r="G22" s="10">
        <f>E22*F22</f>
        <v/>
      </c>
    </row>
    <row r="23">
      <c r="A23" s="7" t="inlineStr">
        <is>
          <t>3.2</t>
        </is>
      </c>
      <c r="B23" s="7" t="inlineStr">
        <is>
          <t>Garagem 3</t>
        </is>
      </c>
      <c r="C23" s="8" t="inlineStr">
        <is>
          <t>Disjuntores Monopolares</t>
        </is>
      </c>
      <c r="D23" s="7" t="inlineStr">
        <is>
          <t>un</t>
        </is>
      </c>
      <c r="E23" s="9" t="n">
        <v>14</v>
      </c>
      <c r="F23" s="10" t="n">
        <v>35</v>
      </c>
      <c r="G23" s="10">
        <f>E23*F23</f>
        <v/>
      </c>
    </row>
    <row r="24">
      <c r="A24" s="7" t="inlineStr">
        <is>
          <t>3.3</t>
        </is>
      </c>
      <c r="B24" s="7" t="inlineStr">
        <is>
          <t>Garagem 3</t>
        </is>
      </c>
      <c r="C24" s="8" t="inlineStr">
        <is>
          <t>Disjuntores Bipolares</t>
        </is>
      </c>
      <c r="D24" s="7" t="inlineStr">
        <is>
          <t>un</t>
        </is>
      </c>
      <c r="E24" s="9" t="n">
        <v>4.800000000000001</v>
      </c>
      <c r="F24" s="10" t="n">
        <v>65</v>
      </c>
      <c r="G24" s="10">
        <f>E24*F24</f>
        <v/>
      </c>
    </row>
    <row r="25">
      <c r="A25" s="7" t="inlineStr">
        <is>
          <t>3.4</t>
        </is>
      </c>
      <c r="B25" s="7" t="inlineStr">
        <is>
          <t>Garagem 3</t>
        </is>
      </c>
      <c r="C25" s="8" t="inlineStr">
        <is>
          <t>DRs Bipolares 30mA</t>
        </is>
      </c>
      <c r="D25" s="7" t="inlineStr">
        <is>
          <t>un</t>
        </is>
      </c>
      <c r="E25" s="9" t="n">
        <v>3.2</v>
      </c>
      <c r="F25" s="10" t="n">
        <v>180</v>
      </c>
      <c r="G25" s="10">
        <f>E25*F25</f>
        <v/>
      </c>
    </row>
    <row r="26">
      <c r="A26" s="7" t="inlineStr">
        <is>
          <t>3.5</t>
        </is>
      </c>
      <c r="B26" s="7" t="inlineStr">
        <is>
          <t>Garagem 3</t>
        </is>
      </c>
      <c r="C26" s="8" t="inlineStr">
        <is>
          <t>Eletrodutos PVC 25mm</t>
        </is>
      </c>
      <c r="D26" s="7" t="inlineStr">
        <is>
          <t>m</t>
        </is>
      </c>
      <c r="E26" s="9" t="n">
        <v>88</v>
      </c>
      <c r="F26" s="10" t="n">
        <v>8</v>
      </c>
      <c r="G26" s="10">
        <f>E26*F26</f>
        <v/>
      </c>
    </row>
    <row r="27">
      <c r="A27" s="7" t="inlineStr">
        <is>
          <t>3.6</t>
        </is>
      </c>
      <c r="B27" s="7" t="inlineStr">
        <is>
          <t>Garagem 3</t>
        </is>
      </c>
      <c r="C27" s="8" t="inlineStr">
        <is>
          <t>Cabos de Cobre 2,5mm²</t>
        </is>
      </c>
      <c r="D27" s="7" t="inlineStr">
        <is>
          <t>m</t>
        </is>
      </c>
      <c r="E27" s="9" t="n">
        <v>180</v>
      </c>
      <c r="F27" s="10" t="n">
        <v>4.5</v>
      </c>
      <c r="G27" s="10">
        <f>E27*F27</f>
        <v/>
      </c>
    </row>
    <row r="28">
      <c r="A28" s="11" t="inlineStr">
        <is>
          <t>Subtotal Garagem 3</t>
        </is>
      </c>
      <c r="B28" s="7" t="n"/>
      <c r="C28" s="7" t="n"/>
      <c r="D28" s="7" t="n"/>
      <c r="E28" s="7" t="n"/>
      <c r="F28" s="7" t="n"/>
      <c r="G28" s="12">
        <f>SUM(G22:G27)</f>
        <v/>
      </c>
    </row>
    <row r="30">
      <c r="A30" s="6" t="inlineStr"/>
      <c r="B30" s="6" t="inlineStr">
        <is>
          <t>Garagem 4</t>
        </is>
      </c>
      <c r="C30" s="6" t="inlineStr"/>
      <c r="D30" s="6" t="inlineStr"/>
      <c r="E30" s="6" t="n"/>
      <c r="F30" s="6" t="n"/>
      <c r="G30" s="6" t="n"/>
    </row>
    <row r="31">
      <c r="A31" s="7" t="inlineStr">
        <is>
          <t>3.1</t>
        </is>
      </c>
      <c r="B31" s="7" t="inlineStr">
        <is>
          <t>Garagem 4</t>
        </is>
      </c>
      <c r="C31" s="8" t="inlineStr">
        <is>
          <t>Quadros de Distribuição</t>
        </is>
      </c>
      <c r="D31" s="7" t="inlineStr">
        <is>
          <t>un</t>
        </is>
      </c>
      <c r="E31" s="9" t="n">
        <v>1.6</v>
      </c>
      <c r="F31" s="10" t="n">
        <v>1200</v>
      </c>
      <c r="G31" s="10">
        <f>E31*F31</f>
        <v/>
      </c>
    </row>
    <row r="32">
      <c r="A32" s="7" t="inlineStr">
        <is>
          <t>3.2</t>
        </is>
      </c>
      <c r="B32" s="7" t="inlineStr">
        <is>
          <t>Garagem 4</t>
        </is>
      </c>
      <c r="C32" s="8" t="inlineStr">
        <is>
          <t>Disjuntores Monopolares</t>
        </is>
      </c>
      <c r="D32" s="7" t="inlineStr">
        <is>
          <t>un</t>
        </is>
      </c>
      <c r="E32" s="9" t="n">
        <v>14</v>
      </c>
      <c r="F32" s="10" t="n">
        <v>35</v>
      </c>
      <c r="G32" s="10">
        <f>E32*F32</f>
        <v/>
      </c>
    </row>
    <row r="33">
      <c r="A33" s="7" t="inlineStr">
        <is>
          <t>3.3</t>
        </is>
      </c>
      <c r="B33" s="7" t="inlineStr">
        <is>
          <t>Garagem 4</t>
        </is>
      </c>
      <c r="C33" s="8" t="inlineStr">
        <is>
          <t>Disjuntores Bipolares</t>
        </is>
      </c>
      <c r="D33" s="7" t="inlineStr">
        <is>
          <t>un</t>
        </is>
      </c>
      <c r="E33" s="9" t="n">
        <v>4.800000000000001</v>
      </c>
      <c r="F33" s="10" t="n">
        <v>65</v>
      </c>
      <c r="G33" s="10">
        <f>E33*F33</f>
        <v/>
      </c>
    </row>
    <row r="34">
      <c r="A34" s="7" t="inlineStr">
        <is>
          <t>3.4</t>
        </is>
      </c>
      <c r="B34" s="7" t="inlineStr">
        <is>
          <t>Garagem 4</t>
        </is>
      </c>
      <c r="C34" s="8" t="inlineStr">
        <is>
          <t>DRs Bipolares 30mA</t>
        </is>
      </c>
      <c r="D34" s="7" t="inlineStr">
        <is>
          <t>un</t>
        </is>
      </c>
      <c r="E34" s="9" t="n">
        <v>3.2</v>
      </c>
      <c r="F34" s="10" t="n">
        <v>180</v>
      </c>
      <c r="G34" s="10">
        <f>E34*F34</f>
        <v/>
      </c>
    </row>
    <row r="35">
      <c r="A35" s="7" t="inlineStr">
        <is>
          <t>3.5</t>
        </is>
      </c>
      <c r="B35" s="7" t="inlineStr">
        <is>
          <t>Garagem 4</t>
        </is>
      </c>
      <c r="C35" s="8" t="inlineStr">
        <is>
          <t>Eletrodutos PVC 25mm</t>
        </is>
      </c>
      <c r="D35" s="7" t="inlineStr">
        <is>
          <t>m</t>
        </is>
      </c>
      <c r="E35" s="9" t="n">
        <v>88</v>
      </c>
      <c r="F35" s="10" t="n">
        <v>8</v>
      </c>
      <c r="G35" s="10">
        <f>E35*F35</f>
        <v/>
      </c>
    </row>
    <row r="36">
      <c r="A36" s="7" t="inlineStr">
        <is>
          <t>3.6</t>
        </is>
      </c>
      <c r="B36" s="7" t="inlineStr">
        <is>
          <t>Garagem 4</t>
        </is>
      </c>
      <c r="C36" s="8" t="inlineStr">
        <is>
          <t>Cabos de Cobre 2,5mm²</t>
        </is>
      </c>
      <c r="D36" s="7" t="inlineStr">
        <is>
          <t>m</t>
        </is>
      </c>
      <c r="E36" s="9" t="n">
        <v>180</v>
      </c>
      <c r="F36" s="10" t="n">
        <v>4.5</v>
      </c>
      <c r="G36" s="10">
        <f>E36*F36</f>
        <v/>
      </c>
    </row>
    <row r="37">
      <c r="A37" s="11" t="inlineStr">
        <is>
          <t>Subtotal Garagem 4</t>
        </is>
      </c>
      <c r="B37" s="7" t="n"/>
      <c r="C37" s="7" t="n"/>
      <c r="D37" s="7" t="n"/>
      <c r="E37" s="7" t="n"/>
      <c r="F37" s="7" t="n"/>
      <c r="G37" s="12">
        <f>SUM(G31:G36)</f>
        <v/>
      </c>
    </row>
    <row r="39">
      <c r="A39" s="6" t="inlineStr"/>
      <c r="B39" s="6" t="inlineStr">
        <is>
          <t>Garagem 5</t>
        </is>
      </c>
      <c r="C39" s="6" t="inlineStr"/>
      <c r="D39" s="6" t="inlineStr"/>
      <c r="E39" s="6" t="n"/>
      <c r="F39" s="6" t="n"/>
      <c r="G39" s="6" t="n"/>
    </row>
    <row r="40">
      <c r="A40" s="7" t="inlineStr">
        <is>
          <t>3.1</t>
        </is>
      </c>
      <c r="B40" s="7" t="inlineStr">
        <is>
          <t>Garagem 5</t>
        </is>
      </c>
      <c r="C40" s="8" t="inlineStr">
        <is>
          <t>Quadros de Distribuição</t>
        </is>
      </c>
      <c r="D40" s="7" t="inlineStr">
        <is>
          <t>un</t>
        </is>
      </c>
      <c r="E40" s="9" t="n">
        <v>1.6</v>
      </c>
      <c r="F40" s="10" t="n">
        <v>1200</v>
      </c>
      <c r="G40" s="10">
        <f>E40*F40</f>
        <v/>
      </c>
    </row>
    <row r="41">
      <c r="A41" s="7" t="inlineStr">
        <is>
          <t>3.2</t>
        </is>
      </c>
      <c r="B41" s="7" t="inlineStr">
        <is>
          <t>Garagem 5</t>
        </is>
      </c>
      <c r="C41" s="8" t="inlineStr">
        <is>
          <t>Disjuntores Monopolares</t>
        </is>
      </c>
      <c r="D41" s="7" t="inlineStr">
        <is>
          <t>un</t>
        </is>
      </c>
      <c r="E41" s="9" t="n">
        <v>14</v>
      </c>
      <c r="F41" s="10" t="n">
        <v>35</v>
      </c>
      <c r="G41" s="10">
        <f>E41*F41</f>
        <v/>
      </c>
    </row>
    <row r="42">
      <c r="A42" s="7" t="inlineStr">
        <is>
          <t>3.3</t>
        </is>
      </c>
      <c r="B42" s="7" t="inlineStr">
        <is>
          <t>Garagem 5</t>
        </is>
      </c>
      <c r="C42" s="8" t="inlineStr">
        <is>
          <t>Disjuntores Bipolares</t>
        </is>
      </c>
      <c r="D42" s="7" t="inlineStr">
        <is>
          <t>un</t>
        </is>
      </c>
      <c r="E42" s="9" t="n">
        <v>4.800000000000001</v>
      </c>
      <c r="F42" s="10" t="n">
        <v>65</v>
      </c>
      <c r="G42" s="10">
        <f>E42*F42</f>
        <v/>
      </c>
    </row>
    <row r="43">
      <c r="A43" s="7" t="inlineStr">
        <is>
          <t>3.4</t>
        </is>
      </c>
      <c r="B43" s="7" t="inlineStr">
        <is>
          <t>Garagem 5</t>
        </is>
      </c>
      <c r="C43" s="8" t="inlineStr">
        <is>
          <t>DRs Bipolares 30mA</t>
        </is>
      </c>
      <c r="D43" s="7" t="inlineStr">
        <is>
          <t>un</t>
        </is>
      </c>
      <c r="E43" s="9" t="n">
        <v>3.2</v>
      </c>
      <c r="F43" s="10" t="n">
        <v>180</v>
      </c>
      <c r="G43" s="10">
        <f>E43*F43</f>
        <v/>
      </c>
    </row>
    <row r="44">
      <c r="A44" s="7" t="inlineStr">
        <is>
          <t>3.5</t>
        </is>
      </c>
      <c r="B44" s="7" t="inlineStr">
        <is>
          <t>Garagem 5</t>
        </is>
      </c>
      <c r="C44" s="8" t="inlineStr">
        <is>
          <t>Eletrodutos PVC 25mm</t>
        </is>
      </c>
      <c r="D44" s="7" t="inlineStr">
        <is>
          <t>m</t>
        </is>
      </c>
      <c r="E44" s="9" t="n">
        <v>88</v>
      </c>
      <c r="F44" s="10" t="n">
        <v>8</v>
      </c>
      <c r="G44" s="10">
        <f>E44*F44</f>
        <v/>
      </c>
    </row>
    <row r="45">
      <c r="A45" s="7" t="inlineStr">
        <is>
          <t>3.6</t>
        </is>
      </c>
      <c r="B45" s="7" t="inlineStr">
        <is>
          <t>Garagem 5</t>
        </is>
      </c>
      <c r="C45" s="8" t="inlineStr">
        <is>
          <t>Cabos de Cobre 2,5mm²</t>
        </is>
      </c>
      <c r="D45" s="7" t="inlineStr">
        <is>
          <t>m</t>
        </is>
      </c>
      <c r="E45" s="9" t="n">
        <v>180</v>
      </c>
      <c r="F45" s="10" t="n">
        <v>4.5</v>
      </c>
      <c r="G45" s="10">
        <f>E45*F45</f>
        <v/>
      </c>
    </row>
    <row r="46">
      <c r="A46" s="11" t="inlineStr">
        <is>
          <t>Subtotal Garagem 5</t>
        </is>
      </c>
      <c r="B46" s="7" t="n"/>
      <c r="C46" s="7" t="n"/>
      <c r="D46" s="7" t="n"/>
      <c r="E46" s="7" t="n"/>
      <c r="F46" s="7" t="n"/>
      <c r="G46" s="12">
        <f>SUM(G40:G45)</f>
        <v/>
      </c>
    </row>
    <row r="48">
      <c r="A48" s="6" t="inlineStr"/>
      <c r="B48" s="6" t="inlineStr">
        <is>
          <t>Lazer (6º)</t>
        </is>
      </c>
      <c r="C48" s="6" t="inlineStr"/>
      <c r="D48" s="6" t="inlineStr"/>
      <c r="E48" s="6" t="n"/>
      <c r="F48" s="6" t="n"/>
      <c r="G48" s="6" t="n"/>
    </row>
    <row r="49">
      <c r="A49" s="7" t="inlineStr">
        <is>
          <t>3.1</t>
        </is>
      </c>
      <c r="B49" s="7" t="inlineStr">
        <is>
          <t>Lazer (6º)</t>
        </is>
      </c>
      <c r="C49" s="8" t="inlineStr">
        <is>
          <t>Quadros de Distribuição</t>
        </is>
      </c>
      <c r="D49" s="7" t="inlineStr">
        <is>
          <t>un</t>
        </is>
      </c>
      <c r="E49" s="9" t="n">
        <v>6</v>
      </c>
      <c r="F49" s="10" t="n">
        <v>1200</v>
      </c>
      <c r="G49" s="10">
        <f>E49*F49</f>
        <v/>
      </c>
    </row>
    <row r="50">
      <c r="A50" s="7" t="inlineStr">
        <is>
          <t>3.2</t>
        </is>
      </c>
      <c r="B50" s="7" t="inlineStr">
        <is>
          <t>Lazer (6º)</t>
        </is>
      </c>
      <c r="C50" s="8" t="inlineStr">
        <is>
          <t>Disjuntores Monopolares</t>
        </is>
      </c>
      <c r="D50" s="7" t="inlineStr">
        <is>
          <t>un</t>
        </is>
      </c>
      <c r="E50" s="9" t="n">
        <v>52.5</v>
      </c>
      <c r="F50" s="10" t="n">
        <v>35</v>
      </c>
      <c r="G50" s="10">
        <f>E50*F50</f>
        <v/>
      </c>
    </row>
    <row r="51">
      <c r="A51" s="7" t="inlineStr">
        <is>
          <t>3.3</t>
        </is>
      </c>
      <c r="B51" s="7" t="inlineStr">
        <is>
          <t>Lazer (6º)</t>
        </is>
      </c>
      <c r="C51" s="8" t="inlineStr">
        <is>
          <t>Disjuntores Bipolares</t>
        </is>
      </c>
      <c r="D51" s="7" t="inlineStr">
        <is>
          <t>un</t>
        </is>
      </c>
      <c r="E51" s="9" t="n">
        <v>18</v>
      </c>
      <c r="F51" s="10" t="n">
        <v>65</v>
      </c>
      <c r="G51" s="10">
        <f>E51*F51</f>
        <v/>
      </c>
    </row>
    <row r="52">
      <c r="A52" s="7" t="inlineStr">
        <is>
          <t>3.4</t>
        </is>
      </c>
      <c r="B52" s="7" t="inlineStr">
        <is>
          <t>Lazer (6º)</t>
        </is>
      </c>
      <c r="C52" s="8" t="inlineStr">
        <is>
          <t>DRs Bipolares 30mA</t>
        </is>
      </c>
      <c r="D52" s="7" t="inlineStr">
        <is>
          <t>un</t>
        </is>
      </c>
      <c r="E52" s="9" t="n">
        <v>12</v>
      </c>
      <c r="F52" s="10" t="n">
        <v>180</v>
      </c>
      <c r="G52" s="10">
        <f>E52*F52</f>
        <v/>
      </c>
    </row>
    <row r="53">
      <c r="A53" s="7" t="inlineStr">
        <is>
          <t>3.5</t>
        </is>
      </c>
      <c r="B53" s="7" t="inlineStr">
        <is>
          <t>Lazer (6º)</t>
        </is>
      </c>
      <c r="C53" s="8" t="inlineStr">
        <is>
          <t>Eletrodutos PVC 25mm</t>
        </is>
      </c>
      <c r="D53" s="7" t="inlineStr">
        <is>
          <t>m</t>
        </is>
      </c>
      <c r="E53" s="9" t="n">
        <v>330</v>
      </c>
      <c r="F53" s="10" t="n">
        <v>8</v>
      </c>
      <c r="G53" s="10">
        <f>E53*F53</f>
        <v/>
      </c>
    </row>
    <row r="54">
      <c r="A54" s="7" t="inlineStr">
        <is>
          <t>3.6</t>
        </is>
      </c>
      <c r="B54" s="7" t="inlineStr">
        <is>
          <t>Lazer (6º)</t>
        </is>
      </c>
      <c r="C54" s="8" t="inlineStr">
        <is>
          <t>Cabos de Cobre 2,5mm²</t>
        </is>
      </c>
      <c r="D54" s="7" t="inlineStr">
        <is>
          <t>m</t>
        </is>
      </c>
      <c r="E54" s="9" t="n">
        <v>675</v>
      </c>
      <c r="F54" s="10" t="n">
        <v>4.5</v>
      </c>
      <c r="G54" s="10">
        <f>E54*F54</f>
        <v/>
      </c>
    </row>
    <row r="55">
      <c r="A55" s="11" t="inlineStr">
        <is>
          <t>Subtotal Lazer (6º)</t>
        </is>
      </c>
      <c r="B55" s="7" t="n"/>
      <c r="C55" s="7" t="n"/>
      <c r="D55" s="7" t="n"/>
      <c r="E55" s="7" t="n"/>
      <c r="F55" s="7" t="n"/>
      <c r="G55" s="12">
        <f>SUM(G49:G54)</f>
        <v/>
      </c>
    </row>
    <row r="57">
      <c r="A57" s="6" t="inlineStr"/>
      <c r="B57" s="6" t="inlineStr">
        <is>
          <t>7º Pav (Tipo 2)</t>
        </is>
      </c>
      <c r="C57" s="6" t="inlineStr"/>
      <c r="D57" s="6" t="inlineStr"/>
      <c r="E57" s="6" t="n"/>
      <c r="F57" s="6" t="n"/>
      <c r="G57" s="6" t="n"/>
    </row>
    <row r="58">
      <c r="A58" s="7" t="inlineStr">
        <is>
          <t>3.1</t>
        </is>
      </c>
      <c r="B58" s="7" t="inlineStr">
        <is>
          <t>7º Pav (Tipo 2)</t>
        </is>
      </c>
      <c r="C58" s="8" t="inlineStr">
        <is>
          <t>Quadros de Distribuição</t>
        </is>
      </c>
      <c r="D58" s="7" t="inlineStr">
        <is>
          <t>un</t>
        </is>
      </c>
      <c r="E58" s="9" t="n">
        <v>4</v>
      </c>
      <c r="F58" s="10" t="n">
        <v>1200</v>
      </c>
      <c r="G58" s="10">
        <f>E58*F58</f>
        <v/>
      </c>
    </row>
    <row r="59">
      <c r="A59" s="7" t="inlineStr">
        <is>
          <t>3.2</t>
        </is>
      </c>
      <c r="B59" s="7" t="inlineStr">
        <is>
          <t>7º Pav (Tipo 2)</t>
        </is>
      </c>
      <c r="C59" s="8" t="inlineStr">
        <is>
          <t>Disjuntores Monopolares</t>
        </is>
      </c>
      <c r="D59" s="7" t="inlineStr">
        <is>
          <t>un</t>
        </is>
      </c>
      <c r="E59" s="9" t="n">
        <v>35</v>
      </c>
      <c r="F59" s="10" t="n">
        <v>35</v>
      </c>
      <c r="G59" s="10">
        <f>E59*F59</f>
        <v/>
      </c>
    </row>
    <row r="60">
      <c r="A60" s="7" t="inlineStr">
        <is>
          <t>3.3</t>
        </is>
      </c>
      <c r="B60" s="7" t="inlineStr">
        <is>
          <t>7º Pav (Tipo 2)</t>
        </is>
      </c>
      <c r="C60" s="8" t="inlineStr">
        <is>
          <t>Disjuntores Bipolares</t>
        </is>
      </c>
      <c r="D60" s="7" t="inlineStr">
        <is>
          <t>un</t>
        </is>
      </c>
      <c r="E60" s="9" t="n">
        <v>12</v>
      </c>
      <c r="F60" s="10" t="n">
        <v>65</v>
      </c>
      <c r="G60" s="10">
        <f>E60*F60</f>
        <v/>
      </c>
    </row>
    <row r="61">
      <c r="A61" s="7" t="inlineStr">
        <is>
          <t>3.4</t>
        </is>
      </c>
      <c r="B61" s="7" t="inlineStr">
        <is>
          <t>7º Pav (Tipo 2)</t>
        </is>
      </c>
      <c r="C61" s="8" t="inlineStr">
        <is>
          <t>DRs Bipolares 30mA</t>
        </is>
      </c>
      <c r="D61" s="7" t="inlineStr">
        <is>
          <t>un</t>
        </is>
      </c>
      <c r="E61" s="9" t="n">
        <v>8</v>
      </c>
      <c r="F61" s="10" t="n">
        <v>180</v>
      </c>
      <c r="G61" s="10">
        <f>E61*F61</f>
        <v/>
      </c>
    </row>
    <row r="62">
      <c r="A62" s="7" t="inlineStr">
        <is>
          <t>3.5</t>
        </is>
      </c>
      <c r="B62" s="7" t="inlineStr">
        <is>
          <t>7º Pav (Tipo 2)</t>
        </is>
      </c>
      <c r="C62" s="8" t="inlineStr">
        <is>
          <t>Eletrodutos PVC 25mm</t>
        </is>
      </c>
      <c r="D62" s="7" t="inlineStr">
        <is>
          <t>m</t>
        </is>
      </c>
      <c r="E62" s="9" t="n">
        <v>220</v>
      </c>
      <c r="F62" s="10" t="n">
        <v>8</v>
      </c>
      <c r="G62" s="10">
        <f>E62*F62</f>
        <v/>
      </c>
    </row>
    <row r="63">
      <c r="A63" s="7" t="inlineStr">
        <is>
          <t>3.6</t>
        </is>
      </c>
      <c r="B63" s="7" t="inlineStr">
        <is>
          <t>7º Pav (Tipo 2)</t>
        </is>
      </c>
      <c r="C63" s="8" t="inlineStr">
        <is>
          <t>Cabos de Cobre 2,5mm²</t>
        </is>
      </c>
      <c r="D63" s="7" t="inlineStr">
        <is>
          <t>m</t>
        </is>
      </c>
      <c r="E63" s="9" t="n">
        <v>450</v>
      </c>
      <c r="F63" s="10" t="n">
        <v>4.5</v>
      </c>
      <c r="G63" s="10">
        <f>E63*F63</f>
        <v/>
      </c>
    </row>
    <row r="64">
      <c r="A64" s="11" t="inlineStr">
        <is>
          <t>Subtotal 7º Pav (Tipo 2)</t>
        </is>
      </c>
      <c r="B64" s="7" t="n"/>
      <c r="C64" s="7" t="n"/>
      <c r="D64" s="7" t="n"/>
      <c r="E64" s="7" t="n"/>
      <c r="F64" s="7" t="n"/>
      <c r="G64" s="12">
        <f>SUM(G58:G63)</f>
        <v/>
      </c>
    </row>
    <row r="66">
      <c r="A66" s="6" t="inlineStr"/>
      <c r="B66" s="6" t="inlineStr">
        <is>
          <t>8º Pav (Tipo 3)</t>
        </is>
      </c>
      <c r="C66" s="6" t="inlineStr"/>
      <c r="D66" s="6" t="inlineStr"/>
      <c r="E66" s="6" t="n"/>
      <c r="F66" s="6" t="n"/>
      <c r="G66" s="6" t="n"/>
    </row>
    <row r="67">
      <c r="A67" s="7" t="inlineStr">
        <is>
          <t>3.1</t>
        </is>
      </c>
      <c r="B67" s="7" t="inlineStr">
        <is>
          <t>8º Pav (Tipo 3)</t>
        </is>
      </c>
      <c r="C67" s="8" t="inlineStr">
        <is>
          <t>Quadros de Distribuição</t>
        </is>
      </c>
      <c r="D67" s="7" t="inlineStr">
        <is>
          <t>un</t>
        </is>
      </c>
      <c r="E67" s="9" t="n">
        <v>4</v>
      </c>
      <c r="F67" s="10" t="n">
        <v>1200</v>
      </c>
      <c r="G67" s="10">
        <f>E67*F67</f>
        <v/>
      </c>
    </row>
    <row r="68">
      <c r="A68" s="7" t="inlineStr">
        <is>
          <t>3.2</t>
        </is>
      </c>
      <c r="B68" s="7" t="inlineStr">
        <is>
          <t>8º Pav (Tipo 3)</t>
        </is>
      </c>
      <c r="C68" s="8" t="inlineStr">
        <is>
          <t>Disjuntores Monopolares</t>
        </is>
      </c>
      <c r="D68" s="7" t="inlineStr">
        <is>
          <t>un</t>
        </is>
      </c>
      <c r="E68" s="9" t="n">
        <v>35</v>
      </c>
      <c r="F68" s="10" t="n">
        <v>35</v>
      </c>
      <c r="G68" s="10">
        <f>E68*F68</f>
        <v/>
      </c>
    </row>
    <row r="69">
      <c r="A69" s="7" t="inlineStr">
        <is>
          <t>3.3</t>
        </is>
      </c>
      <c r="B69" s="7" t="inlineStr">
        <is>
          <t>8º Pav (Tipo 3)</t>
        </is>
      </c>
      <c r="C69" s="8" t="inlineStr">
        <is>
          <t>Disjuntores Bipolares</t>
        </is>
      </c>
      <c r="D69" s="7" t="inlineStr">
        <is>
          <t>un</t>
        </is>
      </c>
      <c r="E69" s="9" t="n">
        <v>12</v>
      </c>
      <c r="F69" s="10" t="n">
        <v>65</v>
      </c>
      <c r="G69" s="10">
        <f>E69*F69</f>
        <v/>
      </c>
    </row>
    <row r="70">
      <c r="A70" s="7" t="inlineStr">
        <is>
          <t>3.4</t>
        </is>
      </c>
      <c r="B70" s="7" t="inlineStr">
        <is>
          <t>8º Pav (Tipo 3)</t>
        </is>
      </c>
      <c r="C70" s="8" t="inlineStr">
        <is>
          <t>DRs Bipolares 30mA</t>
        </is>
      </c>
      <c r="D70" s="7" t="inlineStr">
        <is>
          <t>un</t>
        </is>
      </c>
      <c r="E70" s="9" t="n">
        <v>8</v>
      </c>
      <c r="F70" s="10" t="n">
        <v>180</v>
      </c>
      <c r="G70" s="10">
        <f>E70*F70</f>
        <v/>
      </c>
    </row>
    <row r="71">
      <c r="A71" s="7" t="inlineStr">
        <is>
          <t>3.5</t>
        </is>
      </c>
      <c r="B71" s="7" t="inlineStr">
        <is>
          <t>8º Pav (Tipo 3)</t>
        </is>
      </c>
      <c r="C71" s="8" t="inlineStr">
        <is>
          <t>Eletrodutos PVC 25mm</t>
        </is>
      </c>
      <c r="D71" s="7" t="inlineStr">
        <is>
          <t>m</t>
        </is>
      </c>
      <c r="E71" s="9" t="n">
        <v>220</v>
      </c>
      <c r="F71" s="10" t="n">
        <v>8</v>
      </c>
      <c r="G71" s="10">
        <f>E71*F71</f>
        <v/>
      </c>
    </row>
    <row r="72">
      <c r="A72" s="7" t="inlineStr">
        <is>
          <t>3.6</t>
        </is>
      </c>
      <c r="B72" s="7" t="inlineStr">
        <is>
          <t>8º Pav (Tipo 3)</t>
        </is>
      </c>
      <c r="C72" s="8" t="inlineStr">
        <is>
          <t>Cabos de Cobre 2,5mm²</t>
        </is>
      </c>
      <c r="D72" s="7" t="inlineStr">
        <is>
          <t>m</t>
        </is>
      </c>
      <c r="E72" s="9" t="n">
        <v>450</v>
      </c>
      <c r="F72" s="10" t="n">
        <v>4.5</v>
      </c>
      <c r="G72" s="10">
        <f>E72*F72</f>
        <v/>
      </c>
    </row>
    <row r="73">
      <c r="A73" s="11" t="inlineStr">
        <is>
          <t>Subtotal 8º Pav (Tipo 3)</t>
        </is>
      </c>
      <c r="B73" s="7" t="n"/>
      <c r="C73" s="7" t="n"/>
      <c r="D73" s="7" t="n"/>
      <c r="E73" s="7" t="n"/>
      <c r="F73" s="7" t="n"/>
      <c r="G73" s="12">
        <f>SUM(G67:G72)</f>
        <v/>
      </c>
    </row>
    <row r="75">
      <c r="A75" s="6" t="inlineStr"/>
      <c r="B75" s="6" t="inlineStr">
        <is>
          <t>9º Pav (Tipo 4)</t>
        </is>
      </c>
      <c r="C75" s="6" t="inlineStr"/>
      <c r="D75" s="6" t="inlineStr"/>
      <c r="E75" s="6" t="n"/>
      <c r="F75" s="6" t="n"/>
      <c r="G75" s="6" t="n"/>
    </row>
    <row r="76">
      <c r="A76" s="7" t="inlineStr">
        <is>
          <t>3.1</t>
        </is>
      </c>
      <c r="B76" s="7" t="inlineStr">
        <is>
          <t>9º Pav (Tipo 4)</t>
        </is>
      </c>
      <c r="C76" s="8" t="inlineStr">
        <is>
          <t>Quadros de Distribuição</t>
        </is>
      </c>
      <c r="D76" s="7" t="inlineStr">
        <is>
          <t>un</t>
        </is>
      </c>
      <c r="E76" s="9" t="n">
        <v>4</v>
      </c>
      <c r="F76" s="10" t="n">
        <v>1200</v>
      </c>
      <c r="G76" s="10">
        <f>E76*F76</f>
        <v/>
      </c>
    </row>
    <row r="77">
      <c r="A77" s="7" t="inlineStr">
        <is>
          <t>3.2</t>
        </is>
      </c>
      <c r="B77" s="7" t="inlineStr">
        <is>
          <t>9º Pav (Tipo 4)</t>
        </is>
      </c>
      <c r="C77" s="8" t="inlineStr">
        <is>
          <t>Disjuntores Monopolares</t>
        </is>
      </c>
      <c r="D77" s="7" t="inlineStr">
        <is>
          <t>un</t>
        </is>
      </c>
      <c r="E77" s="9" t="n">
        <v>35</v>
      </c>
      <c r="F77" s="10" t="n">
        <v>35</v>
      </c>
      <c r="G77" s="10">
        <f>E77*F77</f>
        <v/>
      </c>
    </row>
    <row r="78">
      <c r="A78" s="7" t="inlineStr">
        <is>
          <t>3.3</t>
        </is>
      </c>
      <c r="B78" s="7" t="inlineStr">
        <is>
          <t>9º Pav (Tipo 4)</t>
        </is>
      </c>
      <c r="C78" s="8" t="inlineStr">
        <is>
          <t>Disjuntores Bipolares</t>
        </is>
      </c>
      <c r="D78" s="7" t="inlineStr">
        <is>
          <t>un</t>
        </is>
      </c>
      <c r="E78" s="9" t="n">
        <v>12</v>
      </c>
      <c r="F78" s="10" t="n">
        <v>65</v>
      </c>
      <c r="G78" s="10">
        <f>E78*F78</f>
        <v/>
      </c>
    </row>
    <row r="79">
      <c r="A79" s="7" t="inlineStr">
        <is>
          <t>3.4</t>
        </is>
      </c>
      <c r="B79" s="7" t="inlineStr">
        <is>
          <t>9º Pav (Tipo 4)</t>
        </is>
      </c>
      <c r="C79" s="8" t="inlineStr">
        <is>
          <t>DRs Bipolares 30mA</t>
        </is>
      </c>
      <c r="D79" s="7" t="inlineStr">
        <is>
          <t>un</t>
        </is>
      </c>
      <c r="E79" s="9" t="n">
        <v>8</v>
      </c>
      <c r="F79" s="10" t="n">
        <v>180</v>
      </c>
      <c r="G79" s="10">
        <f>E79*F79</f>
        <v/>
      </c>
    </row>
    <row r="80">
      <c r="A80" s="7" t="inlineStr">
        <is>
          <t>3.5</t>
        </is>
      </c>
      <c r="B80" s="7" t="inlineStr">
        <is>
          <t>9º Pav (Tipo 4)</t>
        </is>
      </c>
      <c r="C80" s="8" t="inlineStr">
        <is>
          <t>Eletrodutos PVC 25mm</t>
        </is>
      </c>
      <c r="D80" s="7" t="inlineStr">
        <is>
          <t>m</t>
        </is>
      </c>
      <c r="E80" s="9" t="n">
        <v>220</v>
      </c>
      <c r="F80" s="10" t="n">
        <v>8</v>
      </c>
      <c r="G80" s="10">
        <f>E80*F80</f>
        <v/>
      </c>
    </row>
    <row r="81">
      <c r="A81" s="7" t="inlineStr">
        <is>
          <t>3.6</t>
        </is>
      </c>
      <c r="B81" s="7" t="inlineStr">
        <is>
          <t>9º Pav (Tipo 4)</t>
        </is>
      </c>
      <c r="C81" s="8" t="inlineStr">
        <is>
          <t>Cabos de Cobre 2,5mm²</t>
        </is>
      </c>
      <c r="D81" s="7" t="inlineStr">
        <is>
          <t>m</t>
        </is>
      </c>
      <c r="E81" s="9" t="n">
        <v>450</v>
      </c>
      <c r="F81" s="10" t="n">
        <v>4.5</v>
      </c>
      <c r="G81" s="10">
        <f>E81*F81</f>
        <v/>
      </c>
    </row>
    <row r="82">
      <c r="A82" s="11" t="inlineStr">
        <is>
          <t>Subtotal 9º Pav (Tipo 4)</t>
        </is>
      </c>
      <c r="B82" s="7" t="n"/>
      <c r="C82" s="7" t="n"/>
      <c r="D82" s="7" t="n"/>
      <c r="E82" s="7" t="n"/>
      <c r="F82" s="7" t="n"/>
      <c r="G82" s="12">
        <f>SUM(G76:G81)</f>
        <v/>
      </c>
    </row>
    <row r="84">
      <c r="A84" s="6" t="inlineStr"/>
      <c r="B84" s="6" t="inlineStr">
        <is>
          <t>10º Pav (Tipo 5)</t>
        </is>
      </c>
      <c r="C84" s="6" t="inlineStr"/>
      <c r="D84" s="6" t="inlineStr"/>
      <c r="E84" s="6" t="n"/>
      <c r="F84" s="6" t="n"/>
      <c r="G84" s="6" t="n"/>
    </row>
    <row r="85">
      <c r="A85" s="7" t="inlineStr">
        <is>
          <t>3.1</t>
        </is>
      </c>
      <c r="B85" s="7" t="inlineStr">
        <is>
          <t>10º Pav (Tipo 5)</t>
        </is>
      </c>
      <c r="C85" s="8" t="inlineStr">
        <is>
          <t>Quadros de Distribuição</t>
        </is>
      </c>
      <c r="D85" s="7" t="inlineStr">
        <is>
          <t>un</t>
        </is>
      </c>
      <c r="E85" s="9" t="n">
        <v>4</v>
      </c>
      <c r="F85" s="10" t="n">
        <v>1200</v>
      </c>
      <c r="G85" s="10">
        <f>E85*F85</f>
        <v/>
      </c>
    </row>
    <row r="86">
      <c r="A86" s="7" t="inlineStr">
        <is>
          <t>3.2</t>
        </is>
      </c>
      <c r="B86" s="7" t="inlineStr">
        <is>
          <t>10º Pav (Tipo 5)</t>
        </is>
      </c>
      <c r="C86" s="8" t="inlineStr">
        <is>
          <t>Disjuntores Monopolares</t>
        </is>
      </c>
      <c r="D86" s="7" t="inlineStr">
        <is>
          <t>un</t>
        </is>
      </c>
      <c r="E86" s="9" t="n">
        <v>35</v>
      </c>
      <c r="F86" s="10" t="n">
        <v>35</v>
      </c>
      <c r="G86" s="10">
        <f>E86*F86</f>
        <v/>
      </c>
    </row>
    <row r="87">
      <c r="A87" s="7" t="inlineStr">
        <is>
          <t>3.3</t>
        </is>
      </c>
      <c r="B87" s="7" t="inlineStr">
        <is>
          <t>10º Pav (Tipo 5)</t>
        </is>
      </c>
      <c r="C87" s="8" t="inlineStr">
        <is>
          <t>Disjuntores Bipolares</t>
        </is>
      </c>
      <c r="D87" s="7" t="inlineStr">
        <is>
          <t>un</t>
        </is>
      </c>
      <c r="E87" s="9" t="n">
        <v>12</v>
      </c>
      <c r="F87" s="10" t="n">
        <v>65</v>
      </c>
      <c r="G87" s="10">
        <f>E87*F87</f>
        <v/>
      </c>
    </row>
    <row r="88">
      <c r="A88" s="7" t="inlineStr">
        <is>
          <t>3.4</t>
        </is>
      </c>
      <c r="B88" s="7" t="inlineStr">
        <is>
          <t>10º Pav (Tipo 5)</t>
        </is>
      </c>
      <c r="C88" s="8" t="inlineStr">
        <is>
          <t>DRs Bipolares 30mA</t>
        </is>
      </c>
      <c r="D88" s="7" t="inlineStr">
        <is>
          <t>un</t>
        </is>
      </c>
      <c r="E88" s="9" t="n">
        <v>8</v>
      </c>
      <c r="F88" s="10" t="n">
        <v>180</v>
      </c>
      <c r="G88" s="10">
        <f>E88*F88</f>
        <v/>
      </c>
    </row>
    <row r="89">
      <c r="A89" s="7" t="inlineStr">
        <is>
          <t>3.5</t>
        </is>
      </c>
      <c r="B89" s="7" t="inlineStr">
        <is>
          <t>10º Pav (Tipo 5)</t>
        </is>
      </c>
      <c r="C89" s="8" t="inlineStr">
        <is>
          <t>Eletrodutos PVC 25mm</t>
        </is>
      </c>
      <c r="D89" s="7" t="inlineStr">
        <is>
          <t>m</t>
        </is>
      </c>
      <c r="E89" s="9" t="n">
        <v>220</v>
      </c>
      <c r="F89" s="10" t="n">
        <v>8</v>
      </c>
      <c r="G89" s="10">
        <f>E89*F89</f>
        <v/>
      </c>
    </row>
    <row r="90">
      <c r="A90" s="7" t="inlineStr">
        <is>
          <t>3.6</t>
        </is>
      </c>
      <c r="B90" s="7" t="inlineStr">
        <is>
          <t>10º Pav (Tipo 5)</t>
        </is>
      </c>
      <c r="C90" s="8" t="inlineStr">
        <is>
          <t>Cabos de Cobre 2,5mm²</t>
        </is>
      </c>
      <c r="D90" s="7" t="inlineStr">
        <is>
          <t>m</t>
        </is>
      </c>
      <c r="E90" s="9" t="n">
        <v>450</v>
      </c>
      <c r="F90" s="10" t="n">
        <v>4.5</v>
      </c>
      <c r="G90" s="10">
        <f>E90*F90</f>
        <v/>
      </c>
    </row>
    <row r="91">
      <c r="A91" s="11" t="inlineStr">
        <is>
          <t>Subtotal 10º Pav (Tipo 5)</t>
        </is>
      </c>
      <c r="B91" s="7" t="n"/>
      <c r="C91" s="7" t="n"/>
      <c r="D91" s="7" t="n"/>
      <c r="E91" s="7" t="n"/>
      <c r="F91" s="7" t="n"/>
      <c r="G91" s="12">
        <f>SUM(G85:G90)</f>
        <v/>
      </c>
    </row>
    <row r="93">
      <c r="A93" s="6" t="inlineStr"/>
      <c r="B93" s="6" t="inlineStr">
        <is>
          <t>11º Pav (Tipo 6)</t>
        </is>
      </c>
      <c r="C93" s="6" t="inlineStr"/>
      <c r="D93" s="6" t="inlineStr"/>
      <c r="E93" s="6" t="n"/>
      <c r="F93" s="6" t="n"/>
      <c r="G93" s="6" t="n"/>
    </row>
    <row r="94">
      <c r="A94" s="7" t="inlineStr">
        <is>
          <t>3.1</t>
        </is>
      </c>
      <c r="B94" s="7" t="inlineStr">
        <is>
          <t>11º Pav (Tipo 6)</t>
        </is>
      </c>
      <c r="C94" s="8" t="inlineStr">
        <is>
          <t>Quadros de Distribuição</t>
        </is>
      </c>
      <c r="D94" s="7" t="inlineStr">
        <is>
          <t>un</t>
        </is>
      </c>
      <c r="E94" s="9" t="n">
        <v>4</v>
      </c>
      <c r="F94" s="10" t="n">
        <v>1200</v>
      </c>
      <c r="G94" s="10">
        <f>E94*F94</f>
        <v/>
      </c>
    </row>
    <row r="95">
      <c r="A95" s="7" t="inlineStr">
        <is>
          <t>3.2</t>
        </is>
      </c>
      <c r="B95" s="7" t="inlineStr">
        <is>
          <t>11º Pav (Tipo 6)</t>
        </is>
      </c>
      <c r="C95" s="8" t="inlineStr">
        <is>
          <t>Disjuntores Monopolares</t>
        </is>
      </c>
      <c r="D95" s="7" t="inlineStr">
        <is>
          <t>un</t>
        </is>
      </c>
      <c r="E95" s="9" t="n">
        <v>35</v>
      </c>
      <c r="F95" s="10" t="n">
        <v>35</v>
      </c>
      <c r="G95" s="10">
        <f>E95*F95</f>
        <v/>
      </c>
    </row>
    <row r="96">
      <c r="A96" s="7" t="inlineStr">
        <is>
          <t>3.3</t>
        </is>
      </c>
      <c r="B96" s="7" t="inlineStr">
        <is>
          <t>11º Pav (Tipo 6)</t>
        </is>
      </c>
      <c r="C96" s="8" t="inlineStr">
        <is>
          <t>Disjuntores Bipolares</t>
        </is>
      </c>
      <c r="D96" s="7" t="inlineStr">
        <is>
          <t>un</t>
        </is>
      </c>
      <c r="E96" s="9" t="n">
        <v>12</v>
      </c>
      <c r="F96" s="10" t="n">
        <v>65</v>
      </c>
      <c r="G96" s="10">
        <f>E96*F96</f>
        <v/>
      </c>
    </row>
    <row r="97">
      <c r="A97" s="7" t="inlineStr">
        <is>
          <t>3.4</t>
        </is>
      </c>
      <c r="B97" s="7" t="inlineStr">
        <is>
          <t>11º Pav (Tipo 6)</t>
        </is>
      </c>
      <c r="C97" s="8" t="inlineStr">
        <is>
          <t>DRs Bipolares 30mA</t>
        </is>
      </c>
      <c r="D97" s="7" t="inlineStr">
        <is>
          <t>un</t>
        </is>
      </c>
      <c r="E97" s="9" t="n">
        <v>8</v>
      </c>
      <c r="F97" s="10" t="n">
        <v>180</v>
      </c>
      <c r="G97" s="10">
        <f>E97*F97</f>
        <v/>
      </c>
    </row>
    <row r="98">
      <c r="A98" s="7" t="inlineStr">
        <is>
          <t>3.5</t>
        </is>
      </c>
      <c r="B98" s="7" t="inlineStr">
        <is>
          <t>11º Pav (Tipo 6)</t>
        </is>
      </c>
      <c r="C98" s="8" t="inlineStr">
        <is>
          <t>Eletrodutos PVC 25mm</t>
        </is>
      </c>
      <c r="D98" s="7" t="inlineStr">
        <is>
          <t>m</t>
        </is>
      </c>
      <c r="E98" s="9" t="n">
        <v>220</v>
      </c>
      <c r="F98" s="10" t="n">
        <v>8</v>
      </c>
      <c r="G98" s="10">
        <f>E98*F98</f>
        <v/>
      </c>
    </row>
    <row r="99">
      <c r="A99" s="7" t="inlineStr">
        <is>
          <t>3.6</t>
        </is>
      </c>
      <c r="B99" s="7" t="inlineStr">
        <is>
          <t>11º Pav (Tipo 6)</t>
        </is>
      </c>
      <c r="C99" s="8" t="inlineStr">
        <is>
          <t>Cabos de Cobre 2,5mm²</t>
        </is>
      </c>
      <c r="D99" s="7" t="inlineStr">
        <is>
          <t>m</t>
        </is>
      </c>
      <c r="E99" s="9" t="n">
        <v>450</v>
      </c>
      <c r="F99" s="10" t="n">
        <v>4.5</v>
      </c>
      <c r="G99" s="10">
        <f>E99*F99</f>
        <v/>
      </c>
    </row>
    <row r="100">
      <c r="A100" s="11" t="inlineStr">
        <is>
          <t>Subtotal 11º Pav (Tipo 6)</t>
        </is>
      </c>
      <c r="B100" s="7" t="n"/>
      <c r="C100" s="7" t="n"/>
      <c r="D100" s="7" t="n"/>
      <c r="E100" s="7" t="n"/>
      <c r="F100" s="7" t="n"/>
      <c r="G100" s="12">
        <f>SUM(G94:G99)</f>
        <v/>
      </c>
    </row>
    <row r="102">
      <c r="A102" s="6" t="inlineStr"/>
      <c r="B102" s="6" t="inlineStr">
        <is>
          <t>12º Pav (Tipo 7)</t>
        </is>
      </c>
      <c r="C102" s="6" t="inlineStr"/>
      <c r="D102" s="6" t="inlineStr"/>
      <c r="E102" s="6" t="n"/>
      <c r="F102" s="6" t="n"/>
      <c r="G102" s="6" t="n"/>
    </row>
    <row r="103">
      <c r="A103" s="7" t="inlineStr">
        <is>
          <t>3.1</t>
        </is>
      </c>
      <c r="B103" s="7" t="inlineStr">
        <is>
          <t>12º Pav (Tipo 7)</t>
        </is>
      </c>
      <c r="C103" s="8" t="inlineStr">
        <is>
          <t>Quadros de Distribuição</t>
        </is>
      </c>
      <c r="D103" s="7" t="inlineStr">
        <is>
          <t>un</t>
        </is>
      </c>
      <c r="E103" s="9" t="n">
        <v>4</v>
      </c>
      <c r="F103" s="10" t="n">
        <v>1200</v>
      </c>
      <c r="G103" s="10">
        <f>E103*F103</f>
        <v/>
      </c>
    </row>
    <row r="104">
      <c r="A104" s="7" t="inlineStr">
        <is>
          <t>3.2</t>
        </is>
      </c>
      <c r="B104" s="7" t="inlineStr">
        <is>
          <t>12º Pav (Tipo 7)</t>
        </is>
      </c>
      <c r="C104" s="8" t="inlineStr">
        <is>
          <t>Disjuntores Monopolares</t>
        </is>
      </c>
      <c r="D104" s="7" t="inlineStr">
        <is>
          <t>un</t>
        </is>
      </c>
      <c r="E104" s="9" t="n">
        <v>35</v>
      </c>
      <c r="F104" s="10" t="n">
        <v>35</v>
      </c>
      <c r="G104" s="10">
        <f>E104*F104</f>
        <v/>
      </c>
    </row>
    <row r="105">
      <c r="A105" s="7" t="inlineStr">
        <is>
          <t>3.3</t>
        </is>
      </c>
      <c r="B105" s="7" t="inlineStr">
        <is>
          <t>12º Pav (Tipo 7)</t>
        </is>
      </c>
      <c r="C105" s="8" t="inlineStr">
        <is>
          <t>Disjuntores Bipolares</t>
        </is>
      </c>
      <c r="D105" s="7" t="inlineStr">
        <is>
          <t>un</t>
        </is>
      </c>
      <c r="E105" s="9" t="n">
        <v>12</v>
      </c>
      <c r="F105" s="10" t="n">
        <v>65</v>
      </c>
      <c r="G105" s="10">
        <f>E105*F105</f>
        <v/>
      </c>
    </row>
    <row r="106">
      <c r="A106" s="7" t="inlineStr">
        <is>
          <t>3.4</t>
        </is>
      </c>
      <c r="B106" s="7" t="inlineStr">
        <is>
          <t>12º Pav (Tipo 7)</t>
        </is>
      </c>
      <c r="C106" s="8" t="inlineStr">
        <is>
          <t>DRs Bipolares 30mA</t>
        </is>
      </c>
      <c r="D106" s="7" t="inlineStr">
        <is>
          <t>un</t>
        </is>
      </c>
      <c r="E106" s="9" t="n">
        <v>8</v>
      </c>
      <c r="F106" s="10" t="n">
        <v>180</v>
      </c>
      <c r="G106" s="10">
        <f>E106*F106</f>
        <v/>
      </c>
    </row>
    <row r="107">
      <c r="A107" s="7" t="inlineStr">
        <is>
          <t>3.5</t>
        </is>
      </c>
      <c r="B107" s="7" t="inlineStr">
        <is>
          <t>12º Pav (Tipo 7)</t>
        </is>
      </c>
      <c r="C107" s="8" t="inlineStr">
        <is>
          <t>Eletrodutos PVC 25mm</t>
        </is>
      </c>
      <c r="D107" s="7" t="inlineStr">
        <is>
          <t>m</t>
        </is>
      </c>
      <c r="E107" s="9" t="n">
        <v>220</v>
      </c>
      <c r="F107" s="10" t="n">
        <v>8</v>
      </c>
      <c r="G107" s="10">
        <f>E107*F107</f>
        <v/>
      </c>
    </row>
    <row r="108">
      <c r="A108" s="7" t="inlineStr">
        <is>
          <t>3.6</t>
        </is>
      </c>
      <c r="B108" s="7" t="inlineStr">
        <is>
          <t>12º Pav (Tipo 7)</t>
        </is>
      </c>
      <c r="C108" s="8" t="inlineStr">
        <is>
          <t>Cabos de Cobre 2,5mm²</t>
        </is>
      </c>
      <c r="D108" s="7" t="inlineStr">
        <is>
          <t>m</t>
        </is>
      </c>
      <c r="E108" s="9" t="n">
        <v>450</v>
      </c>
      <c r="F108" s="10" t="n">
        <v>4.5</v>
      </c>
      <c r="G108" s="10">
        <f>E108*F108</f>
        <v/>
      </c>
    </row>
    <row r="109">
      <c r="A109" s="11" t="inlineStr">
        <is>
          <t>Subtotal 12º Pav (Tipo 7)</t>
        </is>
      </c>
      <c r="B109" s="7" t="n"/>
      <c r="C109" s="7" t="n"/>
      <c r="D109" s="7" t="n"/>
      <c r="E109" s="7" t="n"/>
      <c r="F109" s="7" t="n"/>
      <c r="G109" s="12">
        <f>SUM(G103:G108)</f>
        <v/>
      </c>
    </row>
    <row r="111">
      <c r="A111" s="6" t="inlineStr"/>
      <c r="B111" s="6" t="inlineStr">
        <is>
          <t>13º Pav (Tipo 8)</t>
        </is>
      </c>
      <c r="C111" s="6" t="inlineStr"/>
      <c r="D111" s="6" t="inlineStr"/>
      <c r="E111" s="6" t="n"/>
      <c r="F111" s="6" t="n"/>
      <c r="G111" s="6" t="n"/>
    </row>
    <row r="112">
      <c r="A112" s="7" t="inlineStr">
        <is>
          <t>3.1</t>
        </is>
      </c>
      <c r="B112" s="7" t="inlineStr">
        <is>
          <t>13º Pav (Tipo 8)</t>
        </is>
      </c>
      <c r="C112" s="8" t="inlineStr">
        <is>
          <t>Quadros de Distribuição</t>
        </is>
      </c>
      <c r="D112" s="7" t="inlineStr">
        <is>
          <t>un</t>
        </is>
      </c>
      <c r="E112" s="9" t="n">
        <v>4</v>
      </c>
      <c r="F112" s="10" t="n">
        <v>1200</v>
      </c>
      <c r="G112" s="10">
        <f>E112*F112</f>
        <v/>
      </c>
    </row>
    <row r="113">
      <c r="A113" s="7" t="inlineStr">
        <is>
          <t>3.2</t>
        </is>
      </c>
      <c r="B113" s="7" t="inlineStr">
        <is>
          <t>13º Pav (Tipo 8)</t>
        </is>
      </c>
      <c r="C113" s="8" t="inlineStr">
        <is>
          <t>Disjuntores Monopolares</t>
        </is>
      </c>
      <c r="D113" s="7" t="inlineStr">
        <is>
          <t>un</t>
        </is>
      </c>
      <c r="E113" s="9" t="n">
        <v>35</v>
      </c>
      <c r="F113" s="10" t="n">
        <v>35</v>
      </c>
      <c r="G113" s="10">
        <f>E113*F113</f>
        <v/>
      </c>
    </row>
    <row r="114">
      <c r="A114" s="7" t="inlineStr">
        <is>
          <t>3.3</t>
        </is>
      </c>
      <c r="B114" s="7" t="inlineStr">
        <is>
          <t>13º Pav (Tipo 8)</t>
        </is>
      </c>
      <c r="C114" s="8" t="inlineStr">
        <is>
          <t>Disjuntores Bipolares</t>
        </is>
      </c>
      <c r="D114" s="7" t="inlineStr">
        <is>
          <t>un</t>
        </is>
      </c>
      <c r="E114" s="9" t="n">
        <v>12</v>
      </c>
      <c r="F114" s="10" t="n">
        <v>65</v>
      </c>
      <c r="G114" s="10">
        <f>E114*F114</f>
        <v/>
      </c>
    </row>
    <row r="115">
      <c r="A115" s="7" t="inlineStr">
        <is>
          <t>3.4</t>
        </is>
      </c>
      <c r="B115" s="7" t="inlineStr">
        <is>
          <t>13º Pav (Tipo 8)</t>
        </is>
      </c>
      <c r="C115" s="8" t="inlineStr">
        <is>
          <t>DRs Bipolares 30mA</t>
        </is>
      </c>
      <c r="D115" s="7" t="inlineStr">
        <is>
          <t>un</t>
        </is>
      </c>
      <c r="E115" s="9" t="n">
        <v>8</v>
      </c>
      <c r="F115" s="10" t="n">
        <v>180</v>
      </c>
      <c r="G115" s="10">
        <f>E115*F115</f>
        <v/>
      </c>
    </row>
    <row r="116">
      <c r="A116" s="7" t="inlineStr">
        <is>
          <t>3.5</t>
        </is>
      </c>
      <c r="B116" s="7" t="inlineStr">
        <is>
          <t>13º Pav (Tipo 8)</t>
        </is>
      </c>
      <c r="C116" s="8" t="inlineStr">
        <is>
          <t>Eletrodutos PVC 25mm</t>
        </is>
      </c>
      <c r="D116" s="7" t="inlineStr">
        <is>
          <t>m</t>
        </is>
      </c>
      <c r="E116" s="9" t="n">
        <v>220</v>
      </c>
      <c r="F116" s="10" t="n">
        <v>8</v>
      </c>
      <c r="G116" s="10">
        <f>E116*F116</f>
        <v/>
      </c>
    </row>
    <row r="117">
      <c r="A117" s="7" t="inlineStr">
        <is>
          <t>3.6</t>
        </is>
      </c>
      <c r="B117" s="7" t="inlineStr">
        <is>
          <t>13º Pav (Tipo 8)</t>
        </is>
      </c>
      <c r="C117" s="8" t="inlineStr">
        <is>
          <t>Cabos de Cobre 2,5mm²</t>
        </is>
      </c>
      <c r="D117" s="7" t="inlineStr">
        <is>
          <t>m</t>
        </is>
      </c>
      <c r="E117" s="9" t="n">
        <v>450</v>
      </c>
      <c r="F117" s="10" t="n">
        <v>4.5</v>
      </c>
      <c r="G117" s="10">
        <f>E117*F117</f>
        <v/>
      </c>
    </row>
    <row r="118">
      <c r="A118" s="11" t="inlineStr">
        <is>
          <t>Subtotal 13º Pav (Tipo 8)</t>
        </is>
      </c>
      <c r="B118" s="7" t="n"/>
      <c r="C118" s="7" t="n"/>
      <c r="D118" s="7" t="n"/>
      <c r="E118" s="7" t="n"/>
      <c r="F118" s="7" t="n"/>
      <c r="G118" s="12">
        <f>SUM(G112:G117)</f>
        <v/>
      </c>
    </row>
    <row r="120">
      <c r="A120" s="6" t="inlineStr"/>
      <c r="B120" s="6" t="inlineStr">
        <is>
          <t>14º Pav (Tipo 9)</t>
        </is>
      </c>
      <c r="C120" s="6" t="inlineStr"/>
      <c r="D120" s="6" t="inlineStr"/>
      <c r="E120" s="6" t="n"/>
      <c r="F120" s="6" t="n"/>
      <c r="G120" s="6" t="n"/>
    </row>
    <row r="121">
      <c r="A121" s="7" t="inlineStr">
        <is>
          <t>3.1</t>
        </is>
      </c>
      <c r="B121" s="7" t="inlineStr">
        <is>
          <t>14º Pav (Tipo 9)</t>
        </is>
      </c>
      <c r="C121" s="8" t="inlineStr">
        <is>
          <t>Quadros de Distribuição</t>
        </is>
      </c>
      <c r="D121" s="7" t="inlineStr">
        <is>
          <t>un</t>
        </is>
      </c>
      <c r="E121" s="9" t="n">
        <v>4</v>
      </c>
      <c r="F121" s="10" t="n">
        <v>1200</v>
      </c>
      <c r="G121" s="10">
        <f>E121*F121</f>
        <v/>
      </c>
    </row>
    <row r="122">
      <c r="A122" s="7" t="inlineStr">
        <is>
          <t>3.2</t>
        </is>
      </c>
      <c r="B122" s="7" t="inlineStr">
        <is>
          <t>14º Pav (Tipo 9)</t>
        </is>
      </c>
      <c r="C122" s="8" t="inlineStr">
        <is>
          <t>Disjuntores Monopolares</t>
        </is>
      </c>
      <c r="D122" s="7" t="inlineStr">
        <is>
          <t>un</t>
        </is>
      </c>
      <c r="E122" s="9" t="n">
        <v>35</v>
      </c>
      <c r="F122" s="10" t="n">
        <v>35</v>
      </c>
      <c r="G122" s="10">
        <f>E122*F122</f>
        <v/>
      </c>
    </row>
    <row r="123">
      <c r="A123" s="7" t="inlineStr">
        <is>
          <t>3.3</t>
        </is>
      </c>
      <c r="B123" s="7" t="inlineStr">
        <is>
          <t>14º Pav (Tipo 9)</t>
        </is>
      </c>
      <c r="C123" s="8" t="inlineStr">
        <is>
          <t>Disjuntores Bipolares</t>
        </is>
      </c>
      <c r="D123" s="7" t="inlineStr">
        <is>
          <t>un</t>
        </is>
      </c>
      <c r="E123" s="9" t="n">
        <v>12</v>
      </c>
      <c r="F123" s="10" t="n">
        <v>65</v>
      </c>
      <c r="G123" s="10">
        <f>E123*F123</f>
        <v/>
      </c>
    </row>
    <row r="124">
      <c r="A124" s="7" t="inlineStr">
        <is>
          <t>3.4</t>
        </is>
      </c>
      <c r="B124" s="7" t="inlineStr">
        <is>
          <t>14º Pav (Tipo 9)</t>
        </is>
      </c>
      <c r="C124" s="8" t="inlineStr">
        <is>
          <t>DRs Bipolares 30mA</t>
        </is>
      </c>
      <c r="D124" s="7" t="inlineStr">
        <is>
          <t>un</t>
        </is>
      </c>
      <c r="E124" s="9" t="n">
        <v>8</v>
      </c>
      <c r="F124" s="10" t="n">
        <v>180</v>
      </c>
      <c r="G124" s="10">
        <f>E124*F124</f>
        <v/>
      </c>
    </row>
    <row r="125">
      <c r="A125" s="7" t="inlineStr">
        <is>
          <t>3.5</t>
        </is>
      </c>
      <c r="B125" s="7" t="inlineStr">
        <is>
          <t>14º Pav (Tipo 9)</t>
        </is>
      </c>
      <c r="C125" s="8" t="inlineStr">
        <is>
          <t>Eletrodutos PVC 25mm</t>
        </is>
      </c>
      <c r="D125" s="7" t="inlineStr">
        <is>
          <t>m</t>
        </is>
      </c>
      <c r="E125" s="9" t="n">
        <v>220</v>
      </c>
      <c r="F125" s="10" t="n">
        <v>8</v>
      </c>
      <c r="G125" s="10">
        <f>E125*F125</f>
        <v/>
      </c>
    </row>
    <row r="126">
      <c r="A126" s="7" t="inlineStr">
        <is>
          <t>3.6</t>
        </is>
      </c>
      <c r="B126" s="7" t="inlineStr">
        <is>
          <t>14º Pav (Tipo 9)</t>
        </is>
      </c>
      <c r="C126" s="8" t="inlineStr">
        <is>
          <t>Cabos de Cobre 2,5mm²</t>
        </is>
      </c>
      <c r="D126" s="7" t="inlineStr">
        <is>
          <t>m</t>
        </is>
      </c>
      <c r="E126" s="9" t="n">
        <v>450</v>
      </c>
      <c r="F126" s="10" t="n">
        <v>4.5</v>
      </c>
      <c r="G126" s="10">
        <f>E126*F126</f>
        <v/>
      </c>
    </row>
    <row r="127">
      <c r="A127" s="11" t="inlineStr">
        <is>
          <t>Subtotal 14º Pav (Tipo 9)</t>
        </is>
      </c>
      <c r="B127" s="7" t="n"/>
      <c r="C127" s="7" t="n"/>
      <c r="D127" s="7" t="n"/>
      <c r="E127" s="7" t="n"/>
      <c r="F127" s="7" t="n"/>
      <c r="G127" s="12">
        <f>SUM(G121:G126)</f>
        <v/>
      </c>
    </row>
    <row r="129">
      <c r="A129" s="6" t="inlineStr"/>
      <c r="B129" s="6" t="inlineStr">
        <is>
          <t>15º Pav (Tipo 10)</t>
        </is>
      </c>
      <c r="C129" s="6" t="inlineStr"/>
      <c r="D129" s="6" t="inlineStr"/>
      <c r="E129" s="6" t="n"/>
      <c r="F129" s="6" t="n"/>
      <c r="G129" s="6" t="n"/>
    </row>
    <row r="130">
      <c r="A130" s="7" t="inlineStr">
        <is>
          <t>3.1</t>
        </is>
      </c>
      <c r="B130" s="7" t="inlineStr">
        <is>
          <t>15º Pav (Tipo 10)</t>
        </is>
      </c>
      <c r="C130" s="8" t="inlineStr">
        <is>
          <t>Quadros de Distribuição</t>
        </is>
      </c>
      <c r="D130" s="7" t="inlineStr">
        <is>
          <t>un</t>
        </is>
      </c>
      <c r="E130" s="9" t="n">
        <v>4</v>
      </c>
      <c r="F130" s="10" t="n">
        <v>1200</v>
      </c>
      <c r="G130" s="10">
        <f>E130*F130</f>
        <v/>
      </c>
    </row>
    <row r="131">
      <c r="A131" s="7" t="inlineStr">
        <is>
          <t>3.2</t>
        </is>
      </c>
      <c r="B131" s="7" t="inlineStr">
        <is>
          <t>15º Pav (Tipo 10)</t>
        </is>
      </c>
      <c r="C131" s="8" t="inlineStr">
        <is>
          <t>Disjuntores Monopolares</t>
        </is>
      </c>
      <c r="D131" s="7" t="inlineStr">
        <is>
          <t>un</t>
        </is>
      </c>
      <c r="E131" s="9" t="n">
        <v>35</v>
      </c>
      <c r="F131" s="10" t="n">
        <v>35</v>
      </c>
      <c r="G131" s="10">
        <f>E131*F131</f>
        <v/>
      </c>
    </row>
    <row r="132">
      <c r="A132" s="7" t="inlineStr">
        <is>
          <t>3.3</t>
        </is>
      </c>
      <c r="B132" s="7" t="inlineStr">
        <is>
          <t>15º Pav (Tipo 10)</t>
        </is>
      </c>
      <c r="C132" s="8" t="inlineStr">
        <is>
          <t>Disjuntores Bipolares</t>
        </is>
      </c>
      <c r="D132" s="7" t="inlineStr">
        <is>
          <t>un</t>
        </is>
      </c>
      <c r="E132" s="9" t="n">
        <v>12</v>
      </c>
      <c r="F132" s="10" t="n">
        <v>65</v>
      </c>
      <c r="G132" s="10">
        <f>E132*F132</f>
        <v/>
      </c>
    </row>
    <row r="133">
      <c r="A133" s="7" t="inlineStr">
        <is>
          <t>3.4</t>
        </is>
      </c>
      <c r="B133" s="7" t="inlineStr">
        <is>
          <t>15º Pav (Tipo 10)</t>
        </is>
      </c>
      <c r="C133" s="8" t="inlineStr">
        <is>
          <t>DRs Bipolares 30mA</t>
        </is>
      </c>
      <c r="D133" s="7" t="inlineStr">
        <is>
          <t>un</t>
        </is>
      </c>
      <c r="E133" s="9" t="n">
        <v>8</v>
      </c>
      <c r="F133" s="10" t="n">
        <v>180</v>
      </c>
      <c r="G133" s="10">
        <f>E133*F133</f>
        <v/>
      </c>
    </row>
    <row r="134">
      <c r="A134" s="7" t="inlineStr">
        <is>
          <t>3.5</t>
        </is>
      </c>
      <c r="B134" s="7" t="inlineStr">
        <is>
          <t>15º Pav (Tipo 10)</t>
        </is>
      </c>
      <c r="C134" s="8" t="inlineStr">
        <is>
          <t>Eletrodutos PVC 25mm</t>
        </is>
      </c>
      <c r="D134" s="7" t="inlineStr">
        <is>
          <t>m</t>
        </is>
      </c>
      <c r="E134" s="9" t="n">
        <v>220</v>
      </c>
      <c r="F134" s="10" t="n">
        <v>8</v>
      </c>
      <c r="G134" s="10">
        <f>E134*F134</f>
        <v/>
      </c>
    </row>
    <row r="135">
      <c r="A135" s="7" t="inlineStr">
        <is>
          <t>3.6</t>
        </is>
      </c>
      <c r="B135" s="7" t="inlineStr">
        <is>
          <t>15º Pav (Tipo 10)</t>
        </is>
      </c>
      <c r="C135" s="8" t="inlineStr">
        <is>
          <t>Cabos de Cobre 2,5mm²</t>
        </is>
      </c>
      <c r="D135" s="7" t="inlineStr">
        <is>
          <t>m</t>
        </is>
      </c>
      <c r="E135" s="9" t="n">
        <v>450</v>
      </c>
      <c r="F135" s="10" t="n">
        <v>4.5</v>
      </c>
      <c r="G135" s="10">
        <f>E135*F135</f>
        <v/>
      </c>
    </row>
    <row r="136">
      <c r="A136" s="11" t="inlineStr">
        <is>
          <t>Subtotal 15º Pav (Tipo 10)</t>
        </is>
      </c>
      <c r="B136" s="7" t="n"/>
      <c r="C136" s="7" t="n"/>
      <c r="D136" s="7" t="n"/>
      <c r="E136" s="7" t="n"/>
      <c r="F136" s="7" t="n"/>
      <c r="G136" s="12">
        <f>SUM(G130:G135)</f>
        <v/>
      </c>
    </row>
    <row r="138">
      <c r="A138" s="6" t="inlineStr"/>
      <c r="B138" s="6" t="inlineStr">
        <is>
          <t>16º Pav (Tipo 11)</t>
        </is>
      </c>
      <c r="C138" s="6" t="inlineStr"/>
      <c r="D138" s="6" t="inlineStr"/>
      <c r="E138" s="6" t="n"/>
      <c r="F138" s="6" t="n"/>
      <c r="G138" s="6" t="n"/>
    </row>
    <row r="139">
      <c r="A139" s="7" t="inlineStr">
        <is>
          <t>3.1</t>
        </is>
      </c>
      <c r="B139" s="7" t="inlineStr">
        <is>
          <t>16º Pav (Tipo 11)</t>
        </is>
      </c>
      <c r="C139" s="8" t="inlineStr">
        <is>
          <t>Quadros de Distribuição</t>
        </is>
      </c>
      <c r="D139" s="7" t="inlineStr">
        <is>
          <t>un</t>
        </is>
      </c>
      <c r="E139" s="9" t="n">
        <v>4</v>
      </c>
      <c r="F139" s="10" t="n">
        <v>1200</v>
      </c>
      <c r="G139" s="10">
        <f>E139*F139</f>
        <v/>
      </c>
    </row>
    <row r="140">
      <c r="A140" s="7" t="inlineStr">
        <is>
          <t>3.2</t>
        </is>
      </c>
      <c r="B140" s="7" t="inlineStr">
        <is>
          <t>16º Pav (Tipo 11)</t>
        </is>
      </c>
      <c r="C140" s="8" t="inlineStr">
        <is>
          <t>Disjuntores Monopolares</t>
        </is>
      </c>
      <c r="D140" s="7" t="inlineStr">
        <is>
          <t>un</t>
        </is>
      </c>
      <c r="E140" s="9" t="n">
        <v>35</v>
      </c>
      <c r="F140" s="10" t="n">
        <v>35</v>
      </c>
      <c r="G140" s="10">
        <f>E140*F140</f>
        <v/>
      </c>
    </row>
    <row r="141">
      <c r="A141" s="7" t="inlineStr">
        <is>
          <t>3.3</t>
        </is>
      </c>
      <c r="B141" s="7" t="inlineStr">
        <is>
          <t>16º Pav (Tipo 11)</t>
        </is>
      </c>
      <c r="C141" s="8" t="inlineStr">
        <is>
          <t>Disjuntores Bipolares</t>
        </is>
      </c>
      <c r="D141" s="7" t="inlineStr">
        <is>
          <t>un</t>
        </is>
      </c>
      <c r="E141" s="9" t="n">
        <v>12</v>
      </c>
      <c r="F141" s="10" t="n">
        <v>65</v>
      </c>
      <c r="G141" s="10">
        <f>E141*F141</f>
        <v/>
      </c>
    </row>
    <row r="142">
      <c r="A142" s="7" t="inlineStr">
        <is>
          <t>3.4</t>
        </is>
      </c>
      <c r="B142" s="7" t="inlineStr">
        <is>
          <t>16º Pav (Tipo 11)</t>
        </is>
      </c>
      <c r="C142" s="8" t="inlineStr">
        <is>
          <t>DRs Bipolares 30mA</t>
        </is>
      </c>
      <c r="D142" s="7" t="inlineStr">
        <is>
          <t>un</t>
        </is>
      </c>
      <c r="E142" s="9" t="n">
        <v>8</v>
      </c>
      <c r="F142" s="10" t="n">
        <v>180</v>
      </c>
      <c r="G142" s="10">
        <f>E142*F142</f>
        <v/>
      </c>
    </row>
    <row r="143">
      <c r="A143" s="7" t="inlineStr">
        <is>
          <t>3.5</t>
        </is>
      </c>
      <c r="B143" s="7" t="inlineStr">
        <is>
          <t>16º Pav (Tipo 11)</t>
        </is>
      </c>
      <c r="C143" s="8" t="inlineStr">
        <is>
          <t>Eletrodutos PVC 25mm</t>
        </is>
      </c>
      <c r="D143" s="7" t="inlineStr">
        <is>
          <t>m</t>
        </is>
      </c>
      <c r="E143" s="9" t="n">
        <v>220</v>
      </c>
      <c r="F143" s="10" t="n">
        <v>8</v>
      </c>
      <c r="G143" s="10">
        <f>E143*F143</f>
        <v/>
      </c>
    </row>
    <row r="144">
      <c r="A144" s="7" t="inlineStr">
        <is>
          <t>3.6</t>
        </is>
      </c>
      <c r="B144" s="7" t="inlineStr">
        <is>
          <t>16º Pav (Tipo 11)</t>
        </is>
      </c>
      <c r="C144" s="8" t="inlineStr">
        <is>
          <t>Cabos de Cobre 2,5mm²</t>
        </is>
      </c>
      <c r="D144" s="7" t="inlineStr">
        <is>
          <t>m</t>
        </is>
      </c>
      <c r="E144" s="9" t="n">
        <v>450</v>
      </c>
      <c r="F144" s="10" t="n">
        <v>4.5</v>
      </c>
      <c r="G144" s="10">
        <f>E144*F144</f>
        <v/>
      </c>
    </row>
    <row r="145">
      <c r="A145" s="11" t="inlineStr">
        <is>
          <t>Subtotal 16º Pav (Tipo 11)</t>
        </is>
      </c>
      <c r="B145" s="7" t="n"/>
      <c r="C145" s="7" t="n"/>
      <c r="D145" s="7" t="n"/>
      <c r="E145" s="7" t="n"/>
      <c r="F145" s="7" t="n"/>
      <c r="G145" s="12">
        <f>SUM(G139:G144)</f>
        <v/>
      </c>
    </row>
    <row r="147">
      <c r="A147" s="6" t="inlineStr"/>
      <c r="B147" s="6" t="inlineStr">
        <is>
          <t>17º Pav (Tipo 12)</t>
        </is>
      </c>
      <c r="C147" s="6" t="inlineStr"/>
      <c r="D147" s="6" t="inlineStr"/>
      <c r="E147" s="6" t="n"/>
      <c r="F147" s="6" t="n"/>
      <c r="G147" s="6" t="n"/>
    </row>
    <row r="148">
      <c r="A148" s="7" t="inlineStr">
        <is>
          <t>3.1</t>
        </is>
      </c>
      <c r="B148" s="7" t="inlineStr">
        <is>
          <t>17º Pav (Tipo 12)</t>
        </is>
      </c>
      <c r="C148" s="8" t="inlineStr">
        <is>
          <t>Quadros de Distribuição</t>
        </is>
      </c>
      <c r="D148" s="7" t="inlineStr">
        <is>
          <t>un</t>
        </is>
      </c>
      <c r="E148" s="9" t="n">
        <v>4</v>
      </c>
      <c r="F148" s="10" t="n">
        <v>1200</v>
      </c>
      <c r="G148" s="10">
        <f>E148*F148</f>
        <v/>
      </c>
    </row>
    <row r="149">
      <c r="A149" s="7" t="inlineStr">
        <is>
          <t>3.2</t>
        </is>
      </c>
      <c r="B149" s="7" t="inlineStr">
        <is>
          <t>17º Pav (Tipo 12)</t>
        </is>
      </c>
      <c r="C149" s="8" t="inlineStr">
        <is>
          <t>Disjuntores Monopolares</t>
        </is>
      </c>
      <c r="D149" s="7" t="inlineStr">
        <is>
          <t>un</t>
        </is>
      </c>
      <c r="E149" s="9" t="n">
        <v>35</v>
      </c>
      <c r="F149" s="10" t="n">
        <v>35</v>
      </c>
      <c r="G149" s="10">
        <f>E149*F149</f>
        <v/>
      </c>
    </row>
    <row r="150">
      <c r="A150" s="7" t="inlineStr">
        <is>
          <t>3.3</t>
        </is>
      </c>
      <c r="B150" s="7" t="inlineStr">
        <is>
          <t>17º Pav (Tipo 12)</t>
        </is>
      </c>
      <c r="C150" s="8" t="inlineStr">
        <is>
          <t>Disjuntores Bipolares</t>
        </is>
      </c>
      <c r="D150" s="7" t="inlineStr">
        <is>
          <t>un</t>
        </is>
      </c>
      <c r="E150" s="9" t="n">
        <v>12</v>
      </c>
      <c r="F150" s="10" t="n">
        <v>65</v>
      </c>
      <c r="G150" s="10">
        <f>E150*F150</f>
        <v/>
      </c>
    </row>
    <row r="151">
      <c r="A151" s="7" t="inlineStr">
        <is>
          <t>3.4</t>
        </is>
      </c>
      <c r="B151" s="7" t="inlineStr">
        <is>
          <t>17º Pav (Tipo 12)</t>
        </is>
      </c>
      <c r="C151" s="8" t="inlineStr">
        <is>
          <t>DRs Bipolares 30mA</t>
        </is>
      </c>
      <c r="D151" s="7" t="inlineStr">
        <is>
          <t>un</t>
        </is>
      </c>
      <c r="E151" s="9" t="n">
        <v>8</v>
      </c>
      <c r="F151" s="10" t="n">
        <v>180</v>
      </c>
      <c r="G151" s="10">
        <f>E151*F151</f>
        <v/>
      </c>
    </row>
    <row r="152">
      <c r="A152" s="7" t="inlineStr">
        <is>
          <t>3.5</t>
        </is>
      </c>
      <c r="B152" s="7" t="inlineStr">
        <is>
          <t>17º Pav (Tipo 12)</t>
        </is>
      </c>
      <c r="C152" s="8" t="inlineStr">
        <is>
          <t>Eletrodutos PVC 25mm</t>
        </is>
      </c>
      <c r="D152" s="7" t="inlineStr">
        <is>
          <t>m</t>
        </is>
      </c>
      <c r="E152" s="9" t="n">
        <v>220</v>
      </c>
      <c r="F152" s="10" t="n">
        <v>8</v>
      </c>
      <c r="G152" s="10">
        <f>E152*F152</f>
        <v/>
      </c>
    </row>
    <row r="153">
      <c r="A153" s="7" t="inlineStr">
        <is>
          <t>3.6</t>
        </is>
      </c>
      <c r="B153" s="7" t="inlineStr">
        <is>
          <t>17º Pav (Tipo 12)</t>
        </is>
      </c>
      <c r="C153" s="8" t="inlineStr">
        <is>
          <t>Cabos de Cobre 2,5mm²</t>
        </is>
      </c>
      <c r="D153" s="7" t="inlineStr">
        <is>
          <t>m</t>
        </is>
      </c>
      <c r="E153" s="9" t="n">
        <v>450</v>
      </c>
      <c r="F153" s="10" t="n">
        <v>4.5</v>
      </c>
      <c r="G153" s="10">
        <f>E153*F153</f>
        <v/>
      </c>
    </row>
    <row r="154">
      <c r="A154" s="11" t="inlineStr">
        <is>
          <t>Subtotal 17º Pav (Tipo 12)</t>
        </is>
      </c>
      <c r="B154" s="7" t="n"/>
      <c r="C154" s="7" t="n"/>
      <c r="D154" s="7" t="n"/>
      <c r="E154" s="7" t="n"/>
      <c r="F154" s="7" t="n"/>
      <c r="G154" s="12">
        <f>SUM(G148:G153)</f>
        <v/>
      </c>
    </row>
    <row r="156">
      <c r="A156" s="6" t="inlineStr"/>
      <c r="B156" s="6" t="inlineStr">
        <is>
          <t>18º Pav (Tipo 13)</t>
        </is>
      </c>
      <c r="C156" s="6" t="inlineStr"/>
      <c r="D156" s="6" t="inlineStr"/>
      <c r="E156" s="6" t="n"/>
      <c r="F156" s="6" t="n"/>
      <c r="G156" s="6" t="n"/>
    </row>
    <row r="157">
      <c r="A157" s="7" t="inlineStr">
        <is>
          <t>3.1</t>
        </is>
      </c>
      <c r="B157" s="7" t="inlineStr">
        <is>
          <t>18º Pav (Tipo 13)</t>
        </is>
      </c>
      <c r="C157" s="8" t="inlineStr">
        <is>
          <t>Quadros de Distribuição</t>
        </is>
      </c>
      <c r="D157" s="7" t="inlineStr">
        <is>
          <t>un</t>
        </is>
      </c>
      <c r="E157" s="9" t="n">
        <v>4</v>
      </c>
      <c r="F157" s="10" t="n">
        <v>1200</v>
      </c>
      <c r="G157" s="10">
        <f>E157*F157</f>
        <v/>
      </c>
    </row>
    <row r="158">
      <c r="A158" s="7" t="inlineStr">
        <is>
          <t>3.2</t>
        </is>
      </c>
      <c r="B158" s="7" t="inlineStr">
        <is>
          <t>18º Pav (Tipo 13)</t>
        </is>
      </c>
      <c r="C158" s="8" t="inlineStr">
        <is>
          <t>Disjuntores Monopolares</t>
        </is>
      </c>
      <c r="D158" s="7" t="inlineStr">
        <is>
          <t>un</t>
        </is>
      </c>
      <c r="E158" s="9" t="n">
        <v>35</v>
      </c>
      <c r="F158" s="10" t="n">
        <v>35</v>
      </c>
      <c r="G158" s="10">
        <f>E158*F158</f>
        <v/>
      </c>
    </row>
    <row r="159">
      <c r="A159" s="7" t="inlineStr">
        <is>
          <t>3.3</t>
        </is>
      </c>
      <c r="B159" s="7" t="inlineStr">
        <is>
          <t>18º Pav (Tipo 13)</t>
        </is>
      </c>
      <c r="C159" s="8" t="inlineStr">
        <is>
          <t>Disjuntores Bipolares</t>
        </is>
      </c>
      <c r="D159" s="7" t="inlineStr">
        <is>
          <t>un</t>
        </is>
      </c>
      <c r="E159" s="9" t="n">
        <v>12</v>
      </c>
      <c r="F159" s="10" t="n">
        <v>65</v>
      </c>
      <c r="G159" s="10">
        <f>E159*F159</f>
        <v/>
      </c>
    </row>
    <row r="160">
      <c r="A160" s="7" t="inlineStr">
        <is>
          <t>3.4</t>
        </is>
      </c>
      <c r="B160" s="7" t="inlineStr">
        <is>
          <t>18º Pav (Tipo 13)</t>
        </is>
      </c>
      <c r="C160" s="8" t="inlineStr">
        <is>
          <t>DRs Bipolares 30mA</t>
        </is>
      </c>
      <c r="D160" s="7" t="inlineStr">
        <is>
          <t>un</t>
        </is>
      </c>
      <c r="E160" s="9" t="n">
        <v>8</v>
      </c>
      <c r="F160" s="10" t="n">
        <v>180</v>
      </c>
      <c r="G160" s="10">
        <f>E160*F160</f>
        <v/>
      </c>
    </row>
    <row r="161">
      <c r="A161" s="7" t="inlineStr">
        <is>
          <t>3.5</t>
        </is>
      </c>
      <c r="B161" s="7" t="inlineStr">
        <is>
          <t>18º Pav (Tipo 13)</t>
        </is>
      </c>
      <c r="C161" s="8" t="inlineStr">
        <is>
          <t>Eletrodutos PVC 25mm</t>
        </is>
      </c>
      <c r="D161" s="7" t="inlineStr">
        <is>
          <t>m</t>
        </is>
      </c>
      <c r="E161" s="9" t="n">
        <v>220</v>
      </c>
      <c r="F161" s="10" t="n">
        <v>8</v>
      </c>
      <c r="G161" s="10">
        <f>E161*F161</f>
        <v/>
      </c>
    </row>
    <row r="162">
      <c r="A162" s="7" t="inlineStr">
        <is>
          <t>3.6</t>
        </is>
      </c>
      <c r="B162" s="7" t="inlineStr">
        <is>
          <t>18º Pav (Tipo 13)</t>
        </is>
      </c>
      <c r="C162" s="8" t="inlineStr">
        <is>
          <t>Cabos de Cobre 2,5mm²</t>
        </is>
      </c>
      <c r="D162" s="7" t="inlineStr">
        <is>
          <t>m</t>
        </is>
      </c>
      <c r="E162" s="9" t="n">
        <v>450</v>
      </c>
      <c r="F162" s="10" t="n">
        <v>4.5</v>
      </c>
      <c r="G162" s="10">
        <f>E162*F162</f>
        <v/>
      </c>
    </row>
    <row r="163">
      <c r="A163" s="11" t="inlineStr">
        <is>
          <t>Subtotal 18º Pav (Tipo 13)</t>
        </is>
      </c>
      <c r="B163" s="7" t="n"/>
      <c r="C163" s="7" t="n"/>
      <c r="D163" s="7" t="n"/>
      <c r="E163" s="7" t="n"/>
      <c r="F163" s="7" t="n"/>
      <c r="G163" s="12">
        <f>SUM(G157:G162)</f>
        <v/>
      </c>
    </row>
    <row r="165">
      <c r="A165" s="6" t="inlineStr"/>
      <c r="B165" s="6" t="inlineStr">
        <is>
          <t>19º Pav (Tipo 14)</t>
        </is>
      </c>
      <c r="C165" s="6" t="inlineStr"/>
      <c r="D165" s="6" t="inlineStr"/>
      <c r="E165" s="6" t="n"/>
      <c r="F165" s="6" t="n"/>
      <c r="G165" s="6" t="n"/>
    </row>
    <row r="166">
      <c r="A166" s="7" t="inlineStr">
        <is>
          <t>3.1</t>
        </is>
      </c>
      <c r="B166" s="7" t="inlineStr">
        <is>
          <t>19º Pav (Tipo 14)</t>
        </is>
      </c>
      <c r="C166" s="8" t="inlineStr">
        <is>
          <t>Quadros de Distribuição</t>
        </is>
      </c>
      <c r="D166" s="7" t="inlineStr">
        <is>
          <t>un</t>
        </is>
      </c>
      <c r="E166" s="9" t="n">
        <v>4</v>
      </c>
      <c r="F166" s="10" t="n">
        <v>1200</v>
      </c>
      <c r="G166" s="10">
        <f>E166*F166</f>
        <v/>
      </c>
    </row>
    <row r="167">
      <c r="A167" s="7" t="inlineStr">
        <is>
          <t>3.2</t>
        </is>
      </c>
      <c r="B167" s="7" t="inlineStr">
        <is>
          <t>19º Pav (Tipo 14)</t>
        </is>
      </c>
      <c r="C167" s="8" t="inlineStr">
        <is>
          <t>Disjuntores Monopolares</t>
        </is>
      </c>
      <c r="D167" s="7" t="inlineStr">
        <is>
          <t>un</t>
        </is>
      </c>
      <c r="E167" s="9" t="n">
        <v>35</v>
      </c>
      <c r="F167" s="10" t="n">
        <v>35</v>
      </c>
      <c r="G167" s="10">
        <f>E167*F167</f>
        <v/>
      </c>
    </row>
    <row r="168">
      <c r="A168" s="7" t="inlineStr">
        <is>
          <t>3.3</t>
        </is>
      </c>
      <c r="B168" s="7" t="inlineStr">
        <is>
          <t>19º Pav (Tipo 14)</t>
        </is>
      </c>
      <c r="C168" s="8" t="inlineStr">
        <is>
          <t>Disjuntores Bipolares</t>
        </is>
      </c>
      <c r="D168" s="7" t="inlineStr">
        <is>
          <t>un</t>
        </is>
      </c>
      <c r="E168" s="9" t="n">
        <v>12</v>
      </c>
      <c r="F168" s="10" t="n">
        <v>65</v>
      </c>
      <c r="G168" s="10">
        <f>E168*F168</f>
        <v/>
      </c>
    </row>
    <row r="169">
      <c r="A169" s="7" t="inlineStr">
        <is>
          <t>3.4</t>
        </is>
      </c>
      <c r="B169" s="7" t="inlineStr">
        <is>
          <t>19º Pav (Tipo 14)</t>
        </is>
      </c>
      <c r="C169" s="8" t="inlineStr">
        <is>
          <t>DRs Bipolares 30mA</t>
        </is>
      </c>
      <c r="D169" s="7" t="inlineStr">
        <is>
          <t>un</t>
        </is>
      </c>
      <c r="E169" s="9" t="n">
        <v>8</v>
      </c>
      <c r="F169" s="10" t="n">
        <v>180</v>
      </c>
      <c r="G169" s="10">
        <f>E169*F169</f>
        <v/>
      </c>
    </row>
    <row r="170">
      <c r="A170" s="7" t="inlineStr">
        <is>
          <t>3.5</t>
        </is>
      </c>
      <c r="B170" s="7" t="inlineStr">
        <is>
          <t>19º Pav (Tipo 14)</t>
        </is>
      </c>
      <c r="C170" s="8" t="inlineStr">
        <is>
          <t>Eletrodutos PVC 25mm</t>
        </is>
      </c>
      <c r="D170" s="7" t="inlineStr">
        <is>
          <t>m</t>
        </is>
      </c>
      <c r="E170" s="9" t="n">
        <v>220</v>
      </c>
      <c r="F170" s="10" t="n">
        <v>8</v>
      </c>
      <c r="G170" s="10">
        <f>E170*F170</f>
        <v/>
      </c>
    </row>
    <row r="171">
      <c r="A171" s="7" t="inlineStr">
        <is>
          <t>3.6</t>
        </is>
      </c>
      <c r="B171" s="7" t="inlineStr">
        <is>
          <t>19º Pav (Tipo 14)</t>
        </is>
      </c>
      <c r="C171" s="8" t="inlineStr">
        <is>
          <t>Cabos de Cobre 2,5mm²</t>
        </is>
      </c>
      <c r="D171" s="7" t="inlineStr">
        <is>
          <t>m</t>
        </is>
      </c>
      <c r="E171" s="9" t="n">
        <v>450</v>
      </c>
      <c r="F171" s="10" t="n">
        <v>4.5</v>
      </c>
      <c r="G171" s="10">
        <f>E171*F171</f>
        <v/>
      </c>
    </row>
    <row r="172">
      <c r="A172" s="11" t="inlineStr">
        <is>
          <t>Subtotal 19º Pav (Tipo 14)</t>
        </is>
      </c>
      <c r="B172" s="7" t="n"/>
      <c r="C172" s="7" t="n"/>
      <c r="D172" s="7" t="n"/>
      <c r="E172" s="7" t="n"/>
      <c r="F172" s="7" t="n"/>
      <c r="G172" s="12">
        <f>SUM(G166:G171)</f>
        <v/>
      </c>
    </row>
    <row r="174">
      <c r="A174" s="6" t="inlineStr"/>
      <c r="B174" s="6" t="inlineStr">
        <is>
          <t>20º Pav (Tipo 15)</t>
        </is>
      </c>
      <c r="C174" s="6" t="inlineStr"/>
      <c r="D174" s="6" t="inlineStr"/>
      <c r="E174" s="6" t="n"/>
      <c r="F174" s="6" t="n"/>
      <c r="G174" s="6" t="n"/>
    </row>
    <row r="175">
      <c r="A175" s="7" t="inlineStr">
        <is>
          <t>3.1</t>
        </is>
      </c>
      <c r="B175" s="7" t="inlineStr">
        <is>
          <t>20º Pav (Tipo 15)</t>
        </is>
      </c>
      <c r="C175" s="8" t="inlineStr">
        <is>
          <t>Quadros de Distribuição</t>
        </is>
      </c>
      <c r="D175" s="7" t="inlineStr">
        <is>
          <t>un</t>
        </is>
      </c>
      <c r="E175" s="9" t="n">
        <v>4</v>
      </c>
      <c r="F175" s="10" t="n">
        <v>1200</v>
      </c>
      <c r="G175" s="10">
        <f>E175*F175</f>
        <v/>
      </c>
    </row>
    <row r="176">
      <c r="A176" s="7" t="inlineStr">
        <is>
          <t>3.2</t>
        </is>
      </c>
      <c r="B176" s="7" t="inlineStr">
        <is>
          <t>20º Pav (Tipo 15)</t>
        </is>
      </c>
      <c r="C176" s="8" t="inlineStr">
        <is>
          <t>Disjuntores Monopolares</t>
        </is>
      </c>
      <c r="D176" s="7" t="inlineStr">
        <is>
          <t>un</t>
        </is>
      </c>
      <c r="E176" s="9" t="n">
        <v>35</v>
      </c>
      <c r="F176" s="10" t="n">
        <v>35</v>
      </c>
      <c r="G176" s="10">
        <f>E176*F176</f>
        <v/>
      </c>
    </row>
    <row r="177">
      <c r="A177" s="7" t="inlineStr">
        <is>
          <t>3.3</t>
        </is>
      </c>
      <c r="B177" s="7" t="inlineStr">
        <is>
          <t>20º Pav (Tipo 15)</t>
        </is>
      </c>
      <c r="C177" s="8" t="inlineStr">
        <is>
          <t>Disjuntores Bipolares</t>
        </is>
      </c>
      <c r="D177" s="7" t="inlineStr">
        <is>
          <t>un</t>
        </is>
      </c>
      <c r="E177" s="9" t="n">
        <v>12</v>
      </c>
      <c r="F177" s="10" t="n">
        <v>65</v>
      </c>
      <c r="G177" s="10">
        <f>E177*F177</f>
        <v/>
      </c>
    </row>
    <row r="178">
      <c r="A178" s="7" t="inlineStr">
        <is>
          <t>3.4</t>
        </is>
      </c>
      <c r="B178" s="7" t="inlineStr">
        <is>
          <t>20º Pav (Tipo 15)</t>
        </is>
      </c>
      <c r="C178" s="8" t="inlineStr">
        <is>
          <t>DRs Bipolares 30mA</t>
        </is>
      </c>
      <c r="D178" s="7" t="inlineStr">
        <is>
          <t>un</t>
        </is>
      </c>
      <c r="E178" s="9" t="n">
        <v>8</v>
      </c>
      <c r="F178" s="10" t="n">
        <v>180</v>
      </c>
      <c r="G178" s="10">
        <f>E178*F178</f>
        <v/>
      </c>
    </row>
    <row r="179">
      <c r="A179" s="7" t="inlineStr">
        <is>
          <t>3.5</t>
        </is>
      </c>
      <c r="B179" s="7" t="inlineStr">
        <is>
          <t>20º Pav (Tipo 15)</t>
        </is>
      </c>
      <c r="C179" s="8" t="inlineStr">
        <is>
          <t>Eletrodutos PVC 25mm</t>
        </is>
      </c>
      <c r="D179" s="7" t="inlineStr">
        <is>
          <t>m</t>
        </is>
      </c>
      <c r="E179" s="9" t="n">
        <v>220</v>
      </c>
      <c r="F179" s="10" t="n">
        <v>8</v>
      </c>
      <c r="G179" s="10">
        <f>E179*F179</f>
        <v/>
      </c>
    </row>
    <row r="180">
      <c r="A180" s="7" t="inlineStr">
        <is>
          <t>3.6</t>
        </is>
      </c>
      <c r="B180" s="7" t="inlineStr">
        <is>
          <t>20º Pav (Tipo 15)</t>
        </is>
      </c>
      <c r="C180" s="8" t="inlineStr">
        <is>
          <t>Cabos de Cobre 2,5mm²</t>
        </is>
      </c>
      <c r="D180" s="7" t="inlineStr">
        <is>
          <t>m</t>
        </is>
      </c>
      <c r="E180" s="9" t="n">
        <v>450</v>
      </c>
      <c r="F180" s="10" t="n">
        <v>4.5</v>
      </c>
      <c r="G180" s="10">
        <f>E180*F180</f>
        <v/>
      </c>
    </row>
    <row r="181">
      <c r="A181" s="11" t="inlineStr">
        <is>
          <t>Subtotal 20º Pav (Tipo 15)</t>
        </is>
      </c>
      <c r="B181" s="7" t="n"/>
      <c r="C181" s="7" t="n"/>
      <c r="D181" s="7" t="n"/>
      <c r="E181" s="7" t="n"/>
      <c r="F181" s="7" t="n"/>
      <c r="G181" s="12">
        <f>SUM(G175:G180)</f>
        <v/>
      </c>
    </row>
    <row r="183">
      <c r="A183" s="6" t="inlineStr"/>
      <c r="B183" s="6" t="inlineStr">
        <is>
          <t>21º Pav (Tipo 16)</t>
        </is>
      </c>
      <c r="C183" s="6" t="inlineStr"/>
      <c r="D183" s="6" t="inlineStr"/>
      <c r="E183" s="6" t="n"/>
      <c r="F183" s="6" t="n"/>
      <c r="G183" s="6" t="n"/>
    </row>
    <row r="184">
      <c r="A184" s="7" t="inlineStr">
        <is>
          <t>3.1</t>
        </is>
      </c>
      <c r="B184" s="7" t="inlineStr">
        <is>
          <t>21º Pav (Tipo 16)</t>
        </is>
      </c>
      <c r="C184" s="8" t="inlineStr">
        <is>
          <t>Quadros de Distribuição</t>
        </is>
      </c>
      <c r="D184" s="7" t="inlineStr">
        <is>
          <t>un</t>
        </is>
      </c>
      <c r="E184" s="9" t="n">
        <v>4</v>
      </c>
      <c r="F184" s="10" t="n">
        <v>1200</v>
      </c>
      <c r="G184" s="10">
        <f>E184*F184</f>
        <v/>
      </c>
    </row>
    <row r="185">
      <c r="A185" s="7" t="inlineStr">
        <is>
          <t>3.2</t>
        </is>
      </c>
      <c r="B185" s="7" t="inlineStr">
        <is>
          <t>21º Pav (Tipo 16)</t>
        </is>
      </c>
      <c r="C185" s="8" t="inlineStr">
        <is>
          <t>Disjuntores Monopolares</t>
        </is>
      </c>
      <c r="D185" s="7" t="inlineStr">
        <is>
          <t>un</t>
        </is>
      </c>
      <c r="E185" s="9" t="n">
        <v>35</v>
      </c>
      <c r="F185" s="10" t="n">
        <v>35</v>
      </c>
      <c r="G185" s="10">
        <f>E185*F185</f>
        <v/>
      </c>
    </row>
    <row r="186">
      <c r="A186" s="7" t="inlineStr">
        <is>
          <t>3.3</t>
        </is>
      </c>
      <c r="B186" s="7" t="inlineStr">
        <is>
          <t>21º Pav (Tipo 16)</t>
        </is>
      </c>
      <c r="C186" s="8" t="inlineStr">
        <is>
          <t>Disjuntores Bipolares</t>
        </is>
      </c>
      <c r="D186" s="7" t="inlineStr">
        <is>
          <t>un</t>
        </is>
      </c>
      <c r="E186" s="9" t="n">
        <v>12</v>
      </c>
      <c r="F186" s="10" t="n">
        <v>65</v>
      </c>
      <c r="G186" s="10">
        <f>E186*F186</f>
        <v/>
      </c>
    </row>
    <row r="187">
      <c r="A187" s="7" t="inlineStr">
        <is>
          <t>3.4</t>
        </is>
      </c>
      <c r="B187" s="7" t="inlineStr">
        <is>
          <t>21º Pav (Tipo 16)</t>
        </is>
      </c>
      <c r="C187" s="8" t="inlineStr">
        <is>
          <t>DRs Bipolares 30mA</t>
        </is>
      </c>
      <c r="D187" s="7" t="inlineStr">
        <is>
          <t>un</t>
        </is>
      </c>
      <c r="E187" s="9" t="n">
        <v>8</v>
      </c>
      <c r="F187" s="10" t="n">
        <v>180</v>
      </c>
      <c r="G187" s="10">
        <f>E187*F187</f>
        <v/>
      </c>
    </row>
    <row r="188">
      <c r="A188" s="7" t="inlineStr">
        <is>
          <t>3.5</t>
        </is>
      </c>
      <c r="B188" s="7" t="inlineStr">
        <is>
          <t>21º Pav (Tipo 16)</t>
        </is>
      </c>
      <c r="C188" s="8" t="inlineStr">
        <is>
          <t>Eletrodutos PVC 25mm</t>
        </is>
      </c>
      <c r="D188" s="7" t="inlineStr">
        <is>
          <t>m</t>
        </is>
      </c>
      <c r="E188" s="9" t="n">
        <v>220</v>
      </c>
      <c r="F188" s="10" t="n">
        <v>8</v>
      </c>
      <c r="G188" s="10">
        <f>E188*F188</f>
        <v/>
      </c>
    </row>
    <row r="189">
      <c r="A189" s="7" t="inlineStr">
        <is>
          <t>3.6</t>
        </is>
      </c>
      <c r="B189" s="7" t="inlineStr">
        <is>
          <t>21º Pav (Tipo 16)</t>
        </is>
      </c>
      <c r="C189" s="8" t="inlineStr">
        <is>
          <t>Cabos de Cobre 2,5mm²</t>
        </is>
      </c>
      <c r="D189" s="7" t="inlineStr">
        <is>
          <t>m</t>
        </is>
      </c>
      <c r="E189" s="9" t="n">
        <v>450</v>
      </c>
      <c r="F189" s="10" t="n">
        <v>4.5</v>
      </c>
      <c r="G189" s="10">
        <f>E189*F189</f>
        <v/>
      </c>
    </row>
    <row r="190">
      <c r="A190" s="11" t="inlineStr">
        <is>
          <t>Subtotal 21º Pav (Tipo 16)</t>
        </is>
      </c>
      <c r="B190" s="7" t="n"/>
      <c r="C190" s="7" t="n"/>
      <c r="D190" s="7" t="n"/>
      <c r="E190" s="7" t="n"/>
      <c r="F190" s="7" t="n"/>
      <c r="G190" s="12">
        <f>SUM(G184:G189)</f>
        <v/>
      </c>
    </row>
    <row r="192">
      <c r="A192" s="6" t="inlineStr"/>
      <c r="B192" s="6" t="inlineStr">
        <is>
          <t>22º Pav (Tipo 17)</t>
        </is>
      </c>
      <c r="C192" s="6" t="inlineStr"/>
      <c r="D192" s="6" t="inlineStr"/>
      <c r="E192" s="6" t="n"/>
      <c r="F192" s="6" t="n"/>
      <c r="G192" s="6" t="n"/>
    </row>
    <row r="193">
      <c r="A193" s="7" t="inlineStr">
        <is>
          <t>3.1</t>
        </is>
      </c>
      <c r="B193" s="7" t="inlineStr">
        <is>
          <t>22º Pav (Tipo 17)</t>
        </is>
      </c>
      <c r="C193" s="8" t="inlineStr">
        <is>
          <t>Quadros de Distribuição</t>
        </is>
      </c>
      <c r="D193" s="7" t="inlineStr">
        <is>
          <t>un</t>
        </is>
      </c>
      <c r="E193" s="9" t="n">
        <v>4</v>
      </c>
      <c r="F193" s="10" t="n">
        <v>1200</v>
      </c>
      <c r="G193" s="10">
        <f>E193*F193</f>
        <v/>
      </c>
    </row>
    <row r="194">
      <c r="A194" s="7" t="inlineStr">
        <is>
          <t>3.2</t>
        </is>
      </c>
      <c r="B194" s="7" t="inlineStr">
        <is>
          <t>22º Pav (Tipo 17)</t>
        </is>
      </c>
      <c r="C194" s="8" t="inlineStr">
        <is>
          <t>Disjuntores Monopolares</t>
        </is>
      </c>
      <c r="D194" s="7" t="inlineStr">
        <is>
          <t>un</t>
        </is>
      </c>
      <c r="E194" s="9" t="n">
        <v>35</v>
      </c>
      <c r="F194" s="10" t="n">
        <v>35</v>
      </c>
      <c r="G194" s="10">
        <f>E194*F194</f>
        <v/>
      </c>
    </row>
    <row r="195">
      <c r="A195" s="7" t="inlineStr">
        <is>
          <t>3.3</t>
        </is>
      </c>
      <c r="B195" s="7" t="inlineStr">
        <is>
          <t>22º Pav (Tipo 17)</t>
        </is>
      </c>
      <c r="C195" s="8" t="inlineStr">
        <is>
          <t>Disjuntores Bipolares</t>
        </is>
      </c>
      <c r="D195" s="7" t="inlineStr">
        <is>
          <t>un</t>
        </is>
      </c>
      <c r="E195" s="9" t="n">
        <v>12</v>
      </c>
      <c r="F195" s="10" t="n">
        <v>65</v>
      </c>
      <c r="G195" s="10">
        <f>E195*F195</f>
        <v/>
      </c>
    </row>
    <row r="196">
      <c r="A196" s="7" t="inlineStr">
        <is>
          <t>3.4</t>
        </is>
      </c>
      <c r="B196" s="7" t="inlineStr">
        <is>
          <t>22º Pav (Tipo 17)</t>
        </is>
      </c>
      <c r="C196" s="8" t="inlineStr">
        <is>
          <t>DRs Bipolares 30mA</t>
        </is>
      </c>
      <c r="D196" s="7" t="inlineStr">
        <is>
          <t>un</t>
        </is>
      </c>
      <c r="E196" s="9" t="n">
        <v>8</v>
      </c>
      <c r="F196" s="10" t="n">
        <v>180</v>
      </c>
      <c r="G196" s="10">
        <f>E196*F196</f>
        <v/>
      </c>
    </row>
    <row r="197">
      <c r="A197" s="7" t="inlineStr">
        <is>
          <t>3.5</t>
        </is>
      </c>
      <c r="B197" s="7" t="inlineStr">
        <is>
          <t>22º Pav (Tipo 17)</t>
        </is>
      </c>
      <c r="C197" s="8" t="inlineStr">
        <is>
          <t>Eletrodutos PVC 25mm</t>
        </is>
      </c>
      <c r="D197" s="7" t="inlineStr">
        <is>
          <t>m</t>
        </is>
      </c>
      <c r="E197" s="9" t="n">
        <v>220</v>
      </c>
      <c r="F197" s="10" t="n">
        <v>8</v>
      </c>
      <c r="G197" s="10">
        <f>E197*F197</f>
        <v/>
      </c>
    </row>
    <row r="198">
      <c r="A198" s="7" t="inlineStr">
        <is>
          <t>3.6</t>
        </is>
      </c>
      <c r="B198" s="7" t="inlineStr">
        <is>
          <t>22º Pav (Tipo 17)</t>
        </is>
      </c>
      <c r="C198" s="8" t="inlineStr">
        <is>
          <t>Cabos de Cobre 2,5mm²</t>
        </is>
      </c>
      <c r="D198" s="7" t="inlineStr">
        <is>
          <t>m</t>
        </is>
      </c>
      <c r="E198" s="9" t="n">
        <v>450</v>
      </c>
      <c r="F198" s="10" t="n">
        <v>4.5</v>
      </c>
      <c r="G198" s="10">
        <f>E198*F198</f>
        <v/>
      </c>
    </row>
    <row r="199">
      <c r="A199" s="11" t="inlineStr">
        <is>
          <t>Subtotal 22º Pav (Tipo 17)</t>
        </is>
      </c>
      <c r="B199" s="7" t="n"/>
      <c r="C199" s="7" t="n"/>
      <c r="D199" s="7" t="n"/>
      <c r="E199" s="7" t="n"/>
      <c r="F199" s="7" t="n"/>
      <c r="G199" s="12">
        <f>SUM(G193:G198)</f>
        <v/>
      </c>
    </row>
    <row r="201">
      <c r="A201" s="6" t="inlineStr"/>
      <c r="B201" s="6" t="inlineStr">
        <is>
          <t>23º Pav (Tipo 18)</t>
        </is>
      </c>
      <c r="C201" s="6" t="inlineStr"/>
      <c r="D201" s="6" t="inlineStr"/>
      <c r="E201" s="6" t="n"/>
      <c r="F201" s="6" t="n"/>
      <c r="G201" s="6" t="n"/>
    </row>
    <row r="202">
      <c r="A202" s="7" t="inlineStr">
        <is>
          <t>3.1</t>
        </is>
      </c>
      <c r="B202" s="7" t="inlineStr">
        <is>
          <t>23º Pav (Tipo 18)</t>
        </is>
      </c>
      <c r="C202" s="8" t="inlineStr">
        <is>
          <t>Quadros de Distribuição</t>
        </is>
      </c>
      <c r="D202" s="7" t="inlineStr">
        <is>
          <t>un</t>
        </is>
      </c>
      <c r="E202" s="9" t="n">
        <v>4</v>
      </c>
      <c r="F202" s="10" t="n">
        <v>1200</v>
      </c>
      <c r="G202" s="10">
        <f>E202*F202</f>
        <v/>
      </c>
    </row>
    <row r="203">
      <c r="A203" s="7" t="inlineStr">
        <is>
          <t>3.2</t>
        </is>
      </c>
      <c r="B203" s="7" t="inlineStr">
        <is>
          <t>23º Pav (Tipo 18)</t>
        </is>
      </c>
      <c r="C203" s="8" t="inlineStr">
        <is>
          <t>Disjuntores Monopolares</t>
        </is>
      </c>
      <c r="D203" s="7" t="inlineStr">
        <is>
          <t>un</t>
        </is>
      </c>
      <c r="E203" s="9" t="n">
        <v>35</v>
      </c>
      <c r="F203" s="10" t="n">
        <v>35</v>
      </c>
      <c r="G203" s="10">
        <f>E203*F203</f>
        <v/>
      </c>
    </row>
    <row r="204">
      <c r="A204" s="7" t="inlineStr">
        <is>
          <t>3.3</t>
        </is>
      </c>
      <c r="B204" s="7" t="inlineStr">
        <is>
          <t>23º Pav (Tipo 18)</t>
        </is>
      </c>
      <c r="C204" s="8" t="inlineStr">
        <is>
          <t>Disjuntores Bipolares</t>
        </is>
      </c>
      <c r="D204" s="7" t="inlineStr">
        <is>
          <t>un</t>
        </is>
      </c>
      <c r="E204" s="9" t="n">
        <v>12</v>
      </c>
      <c r="F204" s="10" t="n">
        <v>65</v>
      </c>
      <c r="G204" s="10">
        <f>E204*F204</f>
        <v/>
      </c>
    </row>
    <row r="205">
      <c r="A205" s="7" t="inlineStr">
        <is>
          <t>3.4</t>
        </is>
      </c>
      <c r="B205" s="7" t="inlineStr">
        <is>
          <t>23º Pav (Tipo 18)</t>
        </is>
      </c>
      <c r="C205" s="8" t="inlineStr">
        <is>
          <t>DRs Bipolares 30mA</t>
        </is>
      </c>
      <c r="D205" s="7" t="inlineStr">
        <is>
          <t>un</t>
        </is>
      </c>
      <c r="E205" s="9" t="n">
        <v>8</v>
      </c>
      <c r="F205" s="10" t="n">
        <v>180</v>
      </c>
      <c r="G205" s="10">
        <f>E205*F205</f>
        <v/>
      </c>
    </row>
    <row r="206">
      <c r="A206" s="7" t="inlineStr">
        <is>
          <t>3.5</t>
        </is>
      </c>
      <c r="B206" s="7" t="inlineStr">
        <is>
          <t>23º Pav (Tipo 18)</t>
        </is>
      </c>
      <c r="C206" s="8" t="inlineStr">
        <is>
          <t>Eletrodutos PVC 25mm</t>
        </is>
      </c>
      <c r="D206" s="7" t="inlineStr">
        <is>
          <t>m</t>
        </is>
      </c>
      <c r="E206" s="9" t="n">
        <v>220</v>
      </c>
      <c r="F206" s="10" t="n">
        <v>8</v>
      </c>
      <c r="G206" s="10">
        <f>E206*F206</f>
        <v/>
      </c>
    </row>
    <row r="207">
      <c r="A207" s="7" t="inlineStr">
        <is>
          <t>3.6</t>
        </is>
      </c>
      <c r="B207" s="7" t="inlineStr">
        <is>
          <t>23º Pav (Tipo 18)</t>
        </is>
      </c>
      <c r="C207" s="8" t="inlineStr">
        <is>
          <t>Cabos de Cobre 2,5mm²</t>
        </is>
      </c>
      <c r="D207" s="7" t="inlineStr">
        <is>
          <t>m</t>
        </is>
      </c>
      <c r="E207" s="9" t="n">
        <v>450</v>
      </c>
      <c r="F207" s="10" t="n">
        <v>4.5</v>
      </c>
      <c r="G207" s="10">
        <f>E207*F207</f>
        <v/>
      </c>
    </row>
    <row r="208">
      <c r="A208" s="11" t="inlineStr">
        <is>
          <t>Subtotal 23º Pav (Tipo 18)</t>
        </is>
      </c>
      <c r="B208" s="7" t="n"/>
      <c r="C208" s="7" t="n"/>
      <c r="D208" s="7" t="n"/>
      <c r="E208" s="7" t="n"/>
      <c r="F208" s="7" t="n"/>
      <c r="G208" s="12">
        <f>SUM(G202:G207)</f>
        <v/>
      </c>
    </row>
    <row r="210">
      <c r="A210" s="6" t="inlineStr"/>
      <c r="B210" s="6" t="inlineStr">
        <is>
          <t>Ático (24º)</t>
        </is>
      </c>
      <c r="C210" s="6" t="inlineStr"/>
      <c r="D210" s="6" t="inlineStr"/>
      <c r="E210" s="6" t="n"/>
      <c r="F210" s="6" t="n"/>
      <c r="G210" s="6" t="n"/>
    </row>
    <row r="211">
      <c r="A211" s="7" t="inlineStr">
        <is>
          <t>3.1</t>
        </is>
      </c>
      <c r="B211" s="7" t="inlineStr">
        <is>
          <t>Ático (24º)</t>
        </is>
      </c>
      <c r="C211" s="8" t="inlineStr">
        <is>
          <t>Quadros de Distribuição</t>
        </is>
      </c>
      <c r="D211" s="7" t="inlineStr">
        <is>
          <t>un</t>
        </is>
      </c>
      <c r="E211" s="9" t="n">
        <v>4</v>
      </c>
      <c r="F211" s="10" t="n">
        <v>1200</v>
      </c>
      <c r="G211" s="10">
        <f>E211*F211</f>
        <v/>
      </c>
    </row>
    <row r="212">
      <c r="A212" s="7" t="inlineStr">
        <is>
          <t>3.2</t>
        </is>
      </c>
      <c r="B212" s="7" t="inlineStr">
        <is>
          <t>Ático (24º)</t>
        </is>
      </c>
      <c r="C212" s="8" t="inlineStr">
        <is>
          <t>Disjuntores Monopolares</t>
        </is>
      </c>
      <c r="D212" s="7" t="inlineStr">
        <is>
          <t>un</t>
        </is>
      </c>
      <c r="E212" s="9" t="n">
        <v>35</v>
      </c>
      <c r="F212" s="10" t="n">
        <v>35</v>
      </c>
      <c r="G212" s="10">
        <f>E212*F212</f>
        <v/>
      </c>
    </row>
    <row r="213">
      <c r="A213" s="7" t="inlineStr">
        <is>
          <t>3.3</t>
        </is>
      </c>
      <c r="B213" s="7" t="inlineStr">
        <is>
          <t>Ático (24º)</t>
        </is>
      </c>
      <c r="C213" s="8" t="inlineStr">
        <is>
          <t>Disjuntores Bipolares</t>
        </is>
      </c>
      <c r="D213" s="7" t="inlineStr">
        <is>
          <t>un</t>
        </is>
      </c>
      <c r="E213" s="9" t="n">
        <v>12</v>
      </c>
      <c r="F213" s="10" t="n">
        <v>65</v>
      </c>
      <c r="G213" s="10">
        <f>E213*F213</f>
        <v/>
      </c>
    </row>
    <row r="214">
      <c r="A214" s="7" t="inlineStr">
        <is>
          <t>3.4</t>
        </is>
      </c>
      <c r="B214" s="7" t="inlineStr">
        <is>
          <t>Ático (24º)</t>
        </is>
      </c>
      <c r="C214" s="8" t="inlineStr">
        <is>
          <t>DRs Bipolares 30mA</t>
        </is>
      </c>
      <c r="D214" s="7" t="inlineStr">
        <is>
          <t>un</t>
        </is>
      </c>
      <c r="E214" s="9" t="n">
        <v>8</v>
      </c>
      <c r="F214" s="10" t="n">
        <v>180</v>
      </c>
      <c r="G214" s="10">
        <f>E214*F214</f>
        <v/>
      </c>
    </row>
    <row r="215">
      <c r="A215" s="7" t="inlineStr">
        <is>
          <t>3.5</t>
        </is>
      </c>
      <c r="B215" s="7" t="inlineStr">
        <is>
          <t>Ático (24º)</t>
        </is>
      </c>
      <c r="C215" s="8" t="inlineStr">
        <is>
          <t>Eletrodutos PVC 25mm</t>
        </is>
      </c>
      <c r="D215" s="7" t="inlineStr">
        <is>
          <t>m</t>
        </is>
      </c>
      <c r="E215" s="9" t="n">
        <v>220</v>
      </c>
      <c r="F215" s="10" t="n">
        <v>8</v>
      </c>
      <c r="G215" s="10">
        <f>E215*F215</f>
        <v/>
      </c>
    </row>
    <row r="216">
      <c r="A216" s="7" t="inlineStr">
        <is>
          <t>3.6</t>
        </is>
      </c>
      <c r="B216" s="7" t="inlineStr">
        <is>
          <t>Ático (24º)</t>
        </is>
      </c>
      <c r="C216" s="8" t="inlineStr">
        <is>
          <t>Cabos de Cobre 2,5mm²</t>
        </is>
      </c>
      <c r="D216" s="7" t="inlineStr">
        <is>
          <t>m</t>
        </is>
      </c>
      <c r="E216" s="9" t="n">
        <v>450</v>
      </c>
      <c r="F216" s="10" t="n">
        <v>4.5</v>
      </c>
      <c r="G216" s="10">
        <f>E216*F216</f>
        <v/>
      </c>
    </row>
    <row r="217">
      <c r="A217" s="11" t="inlineStr">
        <is>
          <t>Subtotal Ático (24º)</t>
        </is>
      </c>
      <c r="B217" s="7" t="n"/>
      <c r="C217" s="7" t="n"/>
      <c r="D217" s="7" t="n"/>
      <c r="E217" s="7" t="n"/>
      <c r="F217" s="7" t="n"/>
      <c r="G217" s="12">
        <f>SUM(G211:G216)</f>
        <v/>
      </c>
    </row>
    <row r="219">
      <c r="A219" s="6" t="inlineStr"/>
      <c r="B219" s="6" t="inlineStr">
        <is>
          <t>Técnico 1 (25º)</t>
        </is>
      </c>
      <c r="C219" s="6" t="inlineStr"/>
      <c r="D219" s="6" t="inlineStr"/>
      <c r="E219" s="6" t="n"/>
      <c r="F219" s="6" t="n"/>
      <c r="G219" s="6" t="n"/>
    </row>
    <row r="220">
      <c r="A220" s="7" t="inlineStr">
        <is>
          <t>3.1</t>
        </is>
      </c>
      <c r="B220" s="7" t="inlineStr">
        <is>
          <t>Técnico 1 (25º)</t>
        </is>
      </c>
      <c r="C220" s="8" t="inlineStr">
        <is>
          <t>Quadros de Distribuição</t>
        </is>
      </c>
      <c r="D220" s="7" t="inlineStr">
        <is>
          <t>un</t>
        </is>
      </c>
      <c r="E220" s="9" t="n">
        <v>2.4</v>
      </c>
      <c r="F220" s="10" t="n">
        <v>1200</v>
      </c>
      <c r="G220" s="10">
        <f>E220*F220</f>
        <v/>
      </c>
    </row>
    <row r="221">
      <c r="A221" s="7" t="inlineStr">
        <is>
          <t>3.2</t>
        </is>
      </c>
      <c r="B221" s="7" t="inlineStr">
        <is>
          <t>Técnico 1 (25º)</t>
        </is>
      </c>
      <c r="C221" s="8" t="inlineStr">
        <is>
          <t>Disjuntores Monopolares</t>
        </is>
      </c>
      <c r="D221" s="7" t="inlineStr">
        <is>
          <t>un</t>
        </is>
      </c>
      <c r="E221" s="9" t="n">
        <v>21</v>
      </c>
      <c r="F221" s="10" t="n">
        <v>35</v>
      </c>
      <c r="G221" s="10">
        <f>E221*F221</f>
        <v/>
      </c>
    </row>
    <row r="222">
      <c r="A222" s="7" t="inlineStr">
        <is>
          <t>3.3</t>
        </is>
      </c>
      <c r="B222" s="7" t="inlineStr">
        <is>
          <t>Técnico 1 (25º)</t>
        </is>
      </c>
      <c r="C222" s="8" t="inlineStr">
        <is>
          <t>Disjuntores Bipolares</t>
        </is>
      </c>
      <c r="D222" s="7" t="inlineStr">
        <is>
          <t>un</t>
        </is>
      </c>
      <c r="E222" s="9" t="n">
        <v>7.199999999999999</v>
      </c>
      <c r="F222" s="10" t="n">
        <v>65</v>
      </c>
      <c r="G222" s="10">
        <f>E222*F222</f>
        <v/>
      </c>
    </row>
    <row r="223">
      <c r="A223" s="7" t="inlineStr">
        <is>
          <t>3.4</t>
        </is>
      </c>
      <c r="B223" s="7" t="inlineStr">
        <is>
          <t>Técnico 1 (25º)</t>
        </is>
      </c>
      <c r="C223" s="8" t="inlineStr">
        <is>
          <t>DRs Bipolares 30mA</t>
        </is>
      </c>
      <c r="D223" s="7" t="inlineStr">
        <is>
          <t>un</t>
        </is>
      </c>
      <c r="E223" s="9" t="n">
        <v>4.8</v>
      </c>
      <c r="F223" s="10" t="n">
        <v>180</v>
      </c>
      <c r="G223" s="10">
        <f>E223*F223</f>
        <v/>
      </c>
    </row>
    <row r="224">
      <c r="A224" s="7" t="inlineStr">
        <is>
          <t>3.5</t>
        </is>
      </c>
      <c r="B224" s="7" t="inlineStr">
        <is>
          <t>Técnico 1 (25º)</t>
        </is>
      </c>
      <c r="C224" s="8" t="inlineStr">
        <is>
          <t>Eletrodutos PVC 25mm</t>
        </is>
      </c>
      <c r="D224" s="7" t="inlineStr">
        <is>
          <t>m</t>
        </is>
      </c>
      <c r="E224" s="9" t="n">
        <v>132</v>
      </c>
      <c r="F224" s="10" t="n">
        <v>8</v>
      </c>
      <c r="G224" s="10">
        <f>E224*F224</f>
        <v/>
      </c>
    </row>
    <row r="225">
      <c r="A225" s="7" t="inlineStr">
        <is>
          <t>3.6</t>
        </is>
      </c>
      <c r="B225" s="7" t="inlineStr">
        <is>
          <t>Técnico 1 (25º)</t>
        </is>
      </c>
      <c r="C225" s="8" t="inlineStr">
        <is>
          <t>Cabos de Cobre 2,5mm²</t>
        </is>
      </c>
      <c r="D225" s="7" t="inlineStr">
        <is>
          <t>m</t>
        </is>
      </c>
      <c r="E225" s="9" t="n">
        <v>270</v>
      </c>
      <c r="F225" s="10" t="n">
        <v>4.5</v>
      </c>
      <c r="G225" s="10">
        <f>E225*F225</f>
        <v/>
      </c>
    </row>
    <row r="226">
      <c r="A226" s="11" t="inlineStr">
        <is>
          <t>Subtotal Técnico 1 (25º)</t>
        </is>
      </c>
      <c r="B226" s="7" t="n"/>
      <c r="C226" s="7" t="n"/>
      <c r="D226" s="7" t="n"/>
      <c r="E226" s="7" t="n"/>
      <c r="F226" s="7" t="n"/>
      <c r="G226" s="12">
        <f>SUM(G220:G225)</f>
        <v/>
      </c>
    </row>
    <row r="228">
      <c r="A228" s="6" t="inlineStr"/>
      <c r="B228" s="6" t="inlineStr">
        <is>
          <t>Técnico 2 (26º)</t>
        </is>
      </c>
      <c r="C228" s="6" t="inlineStr"/>
      <c r="D228" s="6" t="inlineStr"/>
      <c r="E228" s="6" t="n"/>
      <c r="F228" s="6" t="n"/>
      <c r="G228" s="6" t="n"/>
    </row>
    <row r="229">
      <c r="A229" s="7" t="inlineStr">
        <is>
          <t>3.1</t>
        </is>
      </c>
      <c r="B229" s="7" t="inlineStr">
        <is>
          <t>Técnico 2 (26º)</t>
        </is>
      </c>
      <c r="C229" s="8" t="inlineStr">
        <is>
          <t>Quadros de Distribuição</t>
        </is>
      </c>
      <c r="D229" s="7" t="inlineStr">
        <is>
          <t>un</t>
        </is>
      </c>
      <c r="E229" s="9" t="n">
        <v>2.4</v>
      </c>
      <c r="F229" s="10" t="n">
        <v>1200</v>
      </c>
      <c r="G229" s="10">
        <f>E229*F229</f>
        <v/>
      </c>
    </row>
    <row r="230">
      <c r="A230" s="7" t="inlineStr">
        <is>
          <t>3.2</t>
        </is>
      </c>
      <c r="B230" s="7" t="inlineStr">
        <is>
          <t>Técnico 2 (26º)</t>
        </is>
      </c>
      <c r="C230" s="8" t="inlineStr">
        <is>
          <t>Disjuntores Monopolares</t>
        </is>
      </c>
      <c r="D230" s="7" t="inlineStr">
        <is>
          <t>un</t>
        </is>
      </c>
      <c r="E230" s="9" t="n">
        <v>21</v>
      </c>
      <c r="F230" s="10" t="n">
        <v>35</v>
      </c>
      <c r="G230" s="10">
        <f>E230*F230</f>
        <v/>
      </c>
    </row>
    <row r="231">
      <c r="A231" s="7" t="inlineStr">
        <is>
          <t>3.3</t>
        </is>
      </c>
      <c r="B231" s="7" t="inlineStr">
        <is>
          <t>Técnico 2 (26º)</t>
        </is>
      </c>
      <c r="C231" s="8" t="inlineStr">
        <is>
          <t>Disjuntores Bipolares</t>
        </is>
      </c>
      <c r="D231" s="7" t="inlineStr">
        <is>
          <t>un</t>
        </is>
      </c>
      <c r="E231" s="9" t="n">
        <v>7.199999999999999</v>
      </c>
      <c r="F231" s="10" t="n">
        <v>65</v>
      </c>
      <c r="G231" s="10">
        <f>E231*F231</f>
        <v/>
      </c>
    </row>
    <row r="232">
      <c r="A232" s="7" t="inlineStr">
        <is>
          <t>3.4</t>
        </is>
      </c>
      <c r="B232" s="7" t="inlineStr">
        <is>
          <t>Técnico 2 (26º)</t>
        </is>
      </c>
      <c r="C232" s="8" t="inlineStr">
        <is>
          <t>DRs Bipolares 30mA</t>
        </is>
      </c>
      <c r="D232" s="7" t="inlineStr">
        <is>
          <t>un</t>
        </is>
      </c>
      <c r="E232" s="9" t="n">
        <v>4.8</v>
      </c>
      <c r="F232" s="10" t="n">
        <v>180</v>
      </c>
      <c r="G232" s="10">
        <f>E232*F232</f>
        <v/>
      </c>
    </row>
    <row r="233">
      <c r="A233" s="7" t="inlineStr">
        <is>
          <t>3.5</t>
        </is>
      </c>
      <c r="B233" s="7" t="inlineStr">
        <is>
          <t>Técnico 2 (26º)</t>
        </is>
      </c>
      <c r="C233" s="8" t="inlineStr">
        <is>
          <t>Eletrodutos PVC 25mm</t>
        </is>
      </c>
      <c r="D233" s="7" t="inlineStr">
        <is>
          <t>m</t>
        </is>
      </c>
      <c r="E233" s="9" t="n">
        <v>132</v>
      </c>
      <c r="F233" s="10" t="n">
        <v>8</v>
      </c>
      <c r="G233" s="10">
        <f>E233*F233</f>
        <v/>
      </c>
    </row>
    <row r="234">
      <c r="A234" s="7" t="inlineStr">
        <is>
          <t>3.6</t>
        </is>
      </c>
      <c r="B234" s="7" t="inlineStr">
        <is>
          <t>Técnico 2 (26º)</t>
        </is>
      </c>
      <c r="C234" s="8" t="inlineStr">
        <is>
          <t>Cabos de Cobre 2,5mm²</t>
        </is>
      </c>
      <c r="D234" s="7" t="inlineStr">
        <is>
          <t>m</t>
        </is>
      </c>
      <c r="E234" s="9" t="n">
        <v>270</v>
      </c>
      <c r="F234" s="10" t="n">
        <v>4.5</v>
      </c>
      <c r="G234" s="10">
        <f>E234*F234</f>
        <v/>
      </c>
    </row>
    <row r="235">
      <c r="A235" s="11" t="inlineStr">
        <is>
          <t>Subtotal Técnico 2 (26º)</t>
        </is>
      </c>
      <c r="B235" s="7" t="n"/>
      <c r="C235" s="7" t="n"/>
      <c r="D235" s="7" t="n"/>
      <c r="E235" s="7" t="n"/>
      <c r="F235" s="7" t="n"/>
      <c r="G235" s="12">
        <f>SUM(G229:G234)</f>
        <v/>
      </c>
    </row>
    <row r="237">
      <c r="A237" s="6" t="inlineStr"/>
      <c r="B237" s="6" t="inlineStr">
        <is>
          <t>Técnico 3 (27º)</t>
        </is>
      </c>
      <c r="C237" s="6" t="inlineStr"/>
      <c r="D237" s="6" t="inlineStr"/>
      <c r="E237" s="6" t="n"/>
      <c r="F237" s="6" t="n"/>
      <c r="G237" s="6" t="n"/>
    </row>
    <row r="238">
      <c r="A238" s="7" t="inlineStr">
        <is>
          <t>3.1</t>
        </is>
      </c>
      <c r="B238" s="7" t="inlineStr">
        <is>
          <t>Técnico 3 (27º)</t>
        </is>
      </c>
      <c r="C238" s="8" t="inlineStr">
        <is>
          <t>Quadros de Distribuição</t>
        </is>
      </c>
      <c r="D238" s="7" t="inlineStr">
        <is>
          <t>un</t>
        </is>
      </c>
      <c r="E238" s="9" t="n">
        <v>2.4</v>
      </c>
      <c r="F238" s="10" t="n">
        <v>1200</v>
      </c>
      <c r="G238" s="10">
        <f>E238*F238</f>
        <v/>
      </c>
    </row>
    <row r="239">
      <c r="A239" s="7" t="inlineStr">
        <is>
          <t>3.2</t>
        </is>
      </c>
      <c r="B239" s="7" t="inlineStr">
        <is>
          <t>Técnico 3 (27º)</t>
        </is>
      </c>
      <c r="C239" s="8" t="inlineStr">
        <is>
          <t>Disjuntores Monopolares</t>
        </is>
      </c>
      <c r="D239" s="7" t="inlineStr">
        <is>
          <t>un</t>
        </is>
      </c>
      <c r="E239" s="9" t="n">
        <v>21</v>
      </c>
      <c r="F239" s="10" t="n">
        <v>35</v>
      </c>
      <c r="G239" s="10">
        <f>E239*F239</f>
        <v/>
      </c>
    </row>
    <row r="240">
      <c r="A240" s="7" t="inlineStr">
        <is>
          <t>3.3</t>
        </is>
      </c>
      <c r="B240" s="7" t="inlineStr">
        <is>
          <t>Técnico 3 (27º)</t>
        </is>
      </c>
      <c r="C240" s="8" t="inlineStr">
        <is>
          <t>Disjuntores Bipolares</t>
        </is>
      </c>
      <c r="D240" s="7" t="inlineStr">
        <is>
          <t>un</t>
        </is>
      </c>
      <c r="E240" s="9" t="n">
        <v>7.199999999999999</v>
      </c>
      <c r="F240" s="10" t="n">
        <v>65</v>
      </c>
      <c r="G240" s="10">
        <f>E240*F240</f>
        <v/>
      </c>
    </row>
    <row r="241">
      <c r="A241" s="7" t="inlineStr">
        <is>
          <t>3.4</t>
        </is>
      </c>
      <c r="B241" s="7" t="inlineStr">
        <is>
          <t>Técnico 3 (27º)</t>
        </is>
      </c>
      <c r="C241" s="8" t="inlineStr">
        <is>
          <t>DRs Bipolares 30mA</t>
        </is>
      </c>
      <c r="D241" s="7" t="inlineStr">
        <is>
          <t>un</t>
        </is>
      </c>
      <c r="E241" s="9" t="n">
        <v>4.8</v>
      </c>
      <c r="F241" s="10" t="n">
        <v>180</v>
      </c>
      <c r="G241" s="10">
        <f>E241*F241</f>
        <v/>
      </c>
    </row>
    <row r="242">
      <c r="A242" s="7" t="inlineStr">
        <is>
          <t>3.5</t>
        </is>
      </c>
      <c r="B242" s="7" t="inlineStr">
        <is>
          <t>Técnico 3 (27º)</t>
        </is>
      </c>
      <c r="C242" s="8" t="inlineStr">
        <is>
          <t>Eletrodutos PVC 25mm</t>
        </is>
      </c>
      <c r="D242" s="7" t="inlineStr">
        <is>
          <t>m</t>
        </is>
      </c>
      <c r="E242" s="9" t="n">
        <v>132</v>
      </c>
      <c r="F242" s="10" t="n">
        <v>8</v>
      </c>
      <c r="G242" s="10">
        <f>E242*F242</f>
        <v/>
      </c>
    </row>
    <row r="243">
      <c r="A243" s="7" t="inlineStr">
        <is>
          <t>3.6</t>
        </is>
      </c>
      <c r="B243" s="7" t="inlineStr">
        <is>
          <t>Técnico 3 (27º)</t>
        </is>
      </c>
      <c r="C243" s="8" t="inlineStr">
        <is>
          <t>Cabos de Cobre 2,5mm²</t>
        </is>
      </c>
      <c r="D243" s="7" t="inlineStr">
        <is>
          <t>m</t>
        </is>
      </c>
      <c r="E243" s="9" t="n">
        <v>270</v>
      </c>
      <c r="F243" s="10" t="n">
        <v>4.5</v>
      </c>
      <c r="G243" s="10">
        <f>E243*F243</f>
        <v/>
      </c>
    </row>
    <row r="244">
      <c r="A244" s="11" t="inlineStr">
        <is>
          <t>Subtotal Técnico 3 (27º)</t>
        </is>
      </c>
      <c r="B244" s="7" t="n"/>
      <c r="C244" s="7" t="n"/>
      <c r="D244" s="7" t="n"/>
      <c r="E244" s="7" t="n"/>
      <c r="F244" s="7" t="n"/>
      <c r="G244" s="12">
        <f>SUM(G238:G243)</f>
        <v/>
      </c>
    </row>
    <row r="247">
      <c r="A247" s="13" t="inlineStr">
        <is>
          <t>TOTAL ELÉTRICO</t>
        </is>
      </c>
      <c r="B247" s="7" t="n"/>
      <c r="C247" s="7" t="n"/>
      <c r="D247" s="7" t="n"/>
      <c r="E247" s="7" t="n"/>
      <c r="F247" s="7" t="n"/>
      <c r="G247" s="12">
        <f>SUM(G3:G246)</f>
        <v/>
      </c>
    </row>
  </sheetData>
  <mergeCells count="29">
    <mergeCell ref="A172:F172"/>
    <mergeCell ref="A46:F46"/>
    <mergeCell ref="A208:F208"/>
    <mergeCell ref="A217:F217"/>
    <mergeCell ref="A118:F118"/>
    <mergeCell ref="A37:F37"/>
    <mergeCell ref="A136:F136"/>
    <mergeCell ref="A145:F145"/>
    <mergeCell ref="A163:F163"/>
    <mergeCell ref="A154:F154"/>
    <mergeCell ref="A55:F55"/>
    <mergeCell ref="A235:F235"/>
    <mergeCell ref="A247:F247"/>
    <mergeCell ref="A181:F181"/>
    <mergeCell ref="A244:F244"/>
    <mergeCell ref="A100:F100"/>
    <mergeCell ref="A91:F91"/>
    <mergeCell ref="A109:F109"/>
    <mergeCell ref="A190:F190"/>
    <mergeCell ref="A10:F10"/>
    <mergeCell ref="A28:F28"/>
    <mergeCell ref="A1:G1"/>
    <mergeCell ref="A199:F199"/>
    <mergeCell ref="A19:F19"/>
    <mergeCell ref="A127:F127"/>
    <mergeCell ref="A64:F64"/>
    <mergeCell ref="A73:F73"/>
    <mergeCell ref="A226:F226"/>
    <mergeCell ref="A82:F8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0" customWidth="1" min="4" max="4"/>
    <col width="12" customWidth="1" min="5" max="5"/>
    <col width="16" customWidth="1" min="6" max="6"/>
    <col width="16" customWidth="1" min="7" max="7"/>
  </cols>
  <sheetData>
    <row r="1">
      <c r="A1" s="4" t="inlineStr">
        <is>
          <t>4. PPCI - POR PAVIMENTO</t>
        </is>
      </c>
    </row>
    <row r="2">
      <c r="A2" s="5" t="inlineStr">
        <is>
          <t>Item</t>
        </is>
      </c>
      <c r="B2" s="5" t="inlineStr">
        <is>
          <t>Pavimento</t>
        </is>
      </c>
      <c r="C2" s="5" t="inlineStr">
        <is>
          <t>Descrição</t>
        </is>
      </c>
      <c r="D2" s="5" t="inlineStr">
        <is>
          <t>Unidade</t>
        </is>
      </c>
      <c r="E2" s="5" t="inlineStr">
        <is>
          <t>Quantidade</t>
        </is>
      </c>
      <c r="F2" s="5" t="inlineStr">
        <is>
          <t>Custo Unit. (R$)</t>
        </is>
      </c>
      <c r="G2" s="5" t="inlineStr">
        <is>
          <t>Custo Total (R$)</t>
        </is>
      </c>
    </row>
    <row r="3">
      <c r="A3" s="6" t="inlineStr"/>
      <c r="B3" s="6" t="inlineStr">
        <is>
          <t>Térreo</t>
        </is>
      </c>
      <c r="C3" s="6" t="inlineStr"/>
      <c r="D3" s="6" t="inlineStr"/>
      <c r="E3" s="6" t="n"/>
      <c r="F3" s="6" t="n"/>
      <c r="G3" s="6" t="n"/>
    </row>
    <row r="4">
      <c r="A4" s="7" t="inlineStr">
        <is>
          <t>4.1</t>
        </is>
      </c>
      <c r="B4" s="7" t="inlineStr">
        <is>
          <t>Térreo</t>
        </is>
      </c>
      <c r="C4" s="8" t="inlineStr">
        <is>
          <t>Hidrante DN 65 Completo</t>
        </is>
      </c>
      <c r="D4" s="7" t="inlineStr">
        <is>
          <t>un</t>
        </is>
      </c>
      <c r="E4" s="9" t="n">
        <v>1</v>
      </c>
      <c r="F4" s="10" t="n">
        <v>1800</v>
      </c>
      <c r="G4" s="10">
        <f>E4*F4</f>
        <v/>
      </c>
    </row>
    <row r="5">
      <c r="A5" s="7" t="inlineStr">
        <is>
          <t>4.2</t>
        </is>
      </c>
      <c r="B5" s="7" t="inlineStr">
        <is>
          <t>Térreo</t>
        </is>
      </c>
      <c r="C5" s="8" t="inlineStr">
        <is>
          <t>Detector de Fumaça Endereçável</t>
        </is>
      </c>
      <c r="D5" s="7" t="inlineStr">
        <is>
          <t>un</t>
        </is>
      </c>
      <c r="E5" s="9" t="n">
        <v>4</v>
      </c>
      <c r="F5" s="10" t="n">
        <v>380</v>
      </c>
      <c r="G5" s="10">
        <f>E5*F5</f>
        <v/>
      </c>
    </row>
    <row r="6">
      <c r="A6" s="11" t="inlineStr">
        <is>
          <t>Subtotal Térreo</t>
        </is>
      </c>
      <c r="B6" s="7" t="n"/>
      <c r="C6" s="7" t="n"/>
      <c r="D6" s="7" t="n"/>
      <c r="E6" s="7" t="n"/>
      <c r="F6" s="7" t="n"/>
      <c r="G6" s="12">
        <f>SUM(G4:G5)</f>
        <v/>
      </c>
    </row>
    <row r="8">
      <c r="A8" s="6" t="inlineStr"/>
      <c r="B8" s="6" t="inlineStr">
        <is>
          <t>Garagem 2</t>
        </is>
      </c>
      <c r="C8" s="6" t="inlineStr"/>
      <c r="D8" s="6" t="inlineStr"/>
      <c r="E8" s="6" t="n"/>
      <c r="F8" s="6" t="n"/>
      <c r="G8" s="6" t="n"/>
    </row>
    <row r="9">
      <c r="A9" s="7" t="inlineStr">
        <is>
          <t>4.2</t>
        </is>
      </c>
      <c r="B9" s="7" t="inlineStr">
        <is>
          <t>Garagem 2</t>
        </is>
      </c>
      <c r="C9" s="8" t="inlineStr">
        <is>
          <t>Detector de Fumaça Endereçável</t>
        </is>
      </c>
      <c r="D9" s="7" t="inlineStr">
        <is>
          <t>un</t>
        </is>
      </c>
      <c r="E9" s="9" t="n">
        <v>6</v>
      </c>
      <c r="F9" s="10" t="n">
        <v>380</v>
      </c>
      <c r="G9" s="10">
        <f>E9*F9</f>
        <v/>
      </c>
    </row>
    <row r="10">
      <c r="A10" s="11" t="inlineStr">
        <is>
          <t>Subtotal Garagem 2</t>
        </is>
      </c>
      <c r="B10" s="7" t="n"/>
      <c r="C10" s="7" t="n"/>
      <c r="D10" s="7" t="n"/>
      <c r="E10" s="7" t="n"/>
      <c r="F10" s="7" t="n"/>
      <c r="G10" s="12">
        <f>SUM(G9:G9)</f>
        <v/>
      </c>
    </row>
    <row r="12">
      <c r="A12" s="6" t="inlineStr"/>
      <c r="B12" s="6" t="inlineStr">
        <is>
          <t>Garagem 3</t>
        </is>
      </c>
      <c r="C12" s="6" t="inlineStr"/>
      <c r="D12" s="6" t="inlineStr"/>
      <c r="E12" s="6" t="n"/>
      <c r="F12" s="6" t="n"/>
      <c r="G12" s="6" t="n"/>
    </row>
    <row r="13">
      <c r="A13" s="7" t="inlineStr">
        <is>
          <t>4.2</t>
        </is>
      </c>
      <c r="B13" s="7" t="inlineStr">
        <is>
          <t>Garagem 3</t>
        </is>
      </c>
      <c r="C13" s="8" t="inlineStr">
        <is>
          <t>Detector de Fumaça Endereçável</t>
        </is>
      </c>
      <c r="D13" s="7" t="inlineStr">
        <is>
          <t>un</t>
        </is>
      </c>
      <c r="E13" s="9" t="n">
        <v>6</v>
      </c>
      <c r="F13" s="10" t="n">
        <v>380</v>
      </c>
      <c r="G13" s="10">
        <f>E13*F13</f>
        <v/>
      </c>
    </row>
    <row r="14">
      <c r="A14" s="11" t="inlineStr">
        <is>
          <t>Subtotal Garagem 3</t>
        </is>
      </c>
      <c r="B14" s="7" t="n"/>
      <c r="C14" s="7" t="n"/>
      <c r="D14" s="7" t="n"/>
      <c r="E14" s="7" t="n"/>
      <c r="F14" s="7" t="n"/>
      <c r="G14" s="12">
        <f>SUM(G13:G13)</f>
        <v/>
      </c>
    </row>
    <row r="16">
      <c r="A16" s="6" t="inlineStr"/>
      <c r="B16" s="6" t="inlineStr">
        <is>
          <t>Garagem 4</t>
        </is>
      </c>
      <c r="C16" s="6" t="inlineStr"/>
      <c r="D16" s="6" t="inlineStr"/>
      <c r="E16" s="6" t="n"/>
      <c r="F16" s="6" t="n"/>
      <c r="G16" s="6" t="n"/>
    </row>
    <row r="17">
      <c r="A17" s="7" t="inlineStr">
        <is>
          <t>4.2</t>
        </is>
      </c>
      <c r="B17" s="7" t="inlineStr">
        <is>
          <t>Garagem 4</t>
        </is>
      </c>
      <c r="C17" s="8" t="inlineStr">
        <is>
          <t>Detector de Fumaça Endereçável</t>
        </is>
      </c>
      <c r="D17" s="7" t="inlineStr">
        <is>
          <t>un</t>
        </is>
      </c>
      <c r="E17" s="9" t="n">
        <v>6</v>
      </c>
      <c r="F17" s="10" t="n">
        <v>380</v>
      </c>
      <c r="G17" s="10">
        <f>E17*F17</f>
        <v/>
      </c>
    </row>
    <row r="18">
      <c r="A18" s="11" t="inlineStr">
        <is>
          <t>Subtotal Garagem 4</t>
        </is>
      </c>
      <c r="B18" s="7" t="n"/>
      <c r="C18" s="7" t="n"/>
      <c r="D18" s="7" t="n"/>
      <c r="E18" s="7" t="n"/>
      <c r="F18" s="7" t="n"/>
      <c r="G18" s="12">
        <f>SUM(G17:G17)</f>
        <v/>
      </c>
    </row>
    <row r="20">
      <c r="A20" s="6" t="inlineStr"/>
      <c r="B20" s="6" t="inlineStr">
        <is>
          <t>Garagem 5</t>
        </is>
      </c>
      <c r="C20" s="6" t="inlineStr"/>
      <c r="D20" s="6" t="inlineStr"/>
      <c r="E20" s="6" t="n"/>
      <c r="F20" s="6" t="n"/>
      <c r="G20" s="6" t="n"/>
    </row>
    <row r="21">
      <c r="A21" s="7" t="inlineStr">
        <is>
          <t>4.2</t>
        </is>
      </c>
      <c r="B21" s="7" t="inlineStr">
        <is>
          <t>Garagem 5</t>
        </is>
      </c>
      <c r="C21" s="8" t="inlineStr">
        <is>
          <t>Detector de Fumaça Endereçável</t>
        </is>
      </c>
      <c r="D21" s="7" t="inlineStr">
        <is>
          <t>un</t>
        </is>
      </c>
      <c r="E21" s="9" t="n">
        <v>6</v>
      </c>
      <c r="F21" s="10" t="n">
        <v>380</v>
      </c>
      <c r="G21" s="10">
        <f>E21*F21</f>
        <v/>
      </c>
    </row>
    <row r="22">
      <c r="A22" s="11" t="inlineStr">
        <is>
          <t>Subtotal Garagem 5</t>
        </is>
      </c>
      <c r="B22" s="7" t="n"/>
      <c r="C22" s="7" t="n"/>
      <c r="D22" s="7" t="n"/>
      <c r="E22" s="7" t="n"/>
      <c r="F22" s="7" t="n"/>
      <c r="G22" s="12">
        <f>SUM(G21:G21)</f>
        <v/>
      </c>
    </row>
    <row r="24">
      <c r="A24" s="6" t="inlineStr"/>
      <c r="B24" s="6" t="inlineStr">
        <is>
          <t>Lazer (6º)</t>
        </is>
      </c>
      <c r="C24" s="6" t="inlineStr"/>
      <c r="D24" s="6" t="inlineStr"/>
      <c r="E24" s="6" t="n"/>
      <c r="F24" s="6" t="n"/>
      <c r="G24" s="6" t="n"/>
    </row>
    <row r="25">
      <c r="A25" s="7" t="inlineStr">
        <is>
          <t>4.1</t>
        </is>
      </c>
      <c r="B25" s="7" t="inlineStr">
        <is>
          <t>Lazer (6º)</t>
        </is>
      </c>
      <c r="C25" s="8" t="inlineStr">
        <is>
          <t>Hidrante DN 65 Completo</t>
        </is>
      </c>
      <c r="D25" s="7" t="inlineStr">
        <is>
          <t>un</t>
        </is>
      </c>
      <c r="E25" s="9" t="n">
        <v>1</v>
      </c>
      <c r="F25" s="10" t="n">
        <v>1800</v>
      </c>
      <c r="G25" s="10">
        <f>E25*F25</f>
        <v/>
      </c>
    </row>
    <row r="26">
      <c r="A26" s="7" t="inlineStr">
        <is>
          <t>4.2</t>
        </is>
      </c>
      <c r="B26" s="7" t="inlineStr">
        <is>
          <t>Lazer (6º)</t>
        </is>
      </c>
      <c r="C26" s="8" t="inlineStr">
        <is>
          <t>Detector de Fumaça Endereçável</t>
        </is>
      </c>
      <c r="D26" s="7" t="inlineStr">
        <is>
          <t>un</t>
        </is>
      </c>
      <c r="E26" s="9" t="n">
        <v>4</v>
      </c>
      <c r="F26" s="10" t="n">
        <v>380</v>
      </c>
      <c r="G26" s="10">
        <f>E26*F26</f>
        <v/>
      </c>
    </row>
    <row r="27">
      <c r="A27" s="11" t="inlineStr">
        <is>
          <t>Subtotal Lazer (6º)</t>
        </is>
      </c>
      <c r="B27" s="7" t="n"/>
      <c r="C27" s="7" t="n"/>
      <c r="D27" s="7" t="n"/>
      <c r="E27" s="7" t="n"/>
      <c r="F27" s="7" t="n"/>
      <c r="G27" s="12">
        <f>SUM(G25:G26)</f>
        <v/>
      </c>
    </row>
    <row r="29">
      <c r="A29" s="6" t="inlineStr"/>
      <c r="B29" s="6" t="inlineStr">
        <is>
          <t>7º Pav (Tipo 2)</t>
        </is>
      </c>
      <c r="C29" s="6" t="inlineStr"/>
      <c r="D29" s="6" t="inlineStr"/>
      <c r="E29" s="6" t="n"/>
      <c r="F29" s="6" t="n"/>
      <c r="G29" s="6" t="n"/>
    </row>
    <row r="30">
      <c r="A30" s="7" t="inlineStr">
        <is>
          <t>4.1</t>
        </is>
      </c>
      <c r="B30" s="7" t="inlineStr">
        <is>
          <t>7º Pav (Tipo 2)</t>
        </is>
      </c>
      <c r="C30" s="8" t="inlineStr">
        <is>
          <t>Hidrante DN 65 Completo</t>
        </is>
      </c>
      <c r="D30" s="7" t="inlineStr">
        <is>
          <t>un</t>
        </is>
      </c>
      <c r="E30" s="9" t="n">
        <v>1</v>
      </c>
      <c r="F30" s="10" t="n">
        <v>1800</v>
      </c>
      <c r="G30" s="10">
        <f>E30*F30</f>
        <v/>
      </c>
    </row>
    <row r="31">
      <c r="A31" s="7" t="inlineStr">
        <is>
          <t>4.2</t>
        </is>
      </c>
      <c r="B31" s="7" t="inlineStr">
        <is>
          <t>7º Pav (Tipo 2)</t>
        </is>
      </c>
      <c r="C31" s="8" t="inlineStr">
        <is>
          <t>Detector de Fumaça Endereçável</t>
        </is>
      </c>
      <c r="D31" s="7" t="inlineStr">
        <is>
          <t>un</t>
        </is>
      </c>
      <c r="E31" s="9" t="n">
        <v>8</v>
      </c>
      <c r="F31" s="10" t="n">
        <v>380</v>
      </c>
      <c r="G31" s="10">
        <f>E31*F31</f>
        <v/>
      </c>
    </row>
    <row r="32">
      <c r="A32" s="11" t="inlineStr">
        <is>
          <t>Subtotal 7º Pav (Tipo 2)</t>
        </is>
      </c>
      <c r="B32" s="7" t="n"/>
      <c r="C32" s="7" t="n"/>
      <c r="D32" s="7" t="n"/>
      <c r="E32" s="7" t="n"/>
      <c r="F32" s="7" t="n"/>
      <c r="G32" s="12">
        <f>SUM(G30:G31)</f>
        <v/>
      </c>
    </row>
    <row r="34">
      <c r="A34" s="6" t="inlineStr"/>
      <c r="B34" s="6" t="inlineStr">
        <is>
          <t>8º Pav (Tipo 3)</t>
        </is>
      </c>
      <c r="C34" s="6" t="inlineStr"/>
      <c r="D34" s="6" t="inlineStr"/>
      <c r="E34" s="6" t="n"/>
      <c r="F34" s="6" t="n"/>
      <c r="G34" s="6" t="n"/>
    </row>
    <row r="35">
      <c r="A35" s="7" t="inlineStr">
        <is>
          <t>4.1</t>
        </is>
      </c>
      <c r="B35" s="7" t="inlineStr">
        <is>
          <t>8º Pav (Tipo 3)</t>
        </is>
      </c>
      <c r="C35" s="8" t="inlineStr">
        <is>
          <t>Hidrante DN 65 Completo</t>
        </is>
      </c>
      <c r="D35" s="7" t="inlineStr">
        <is>
          <t>un</t>
        </is>
      </c>
      <c r="E35" s="9" t="n">
        <v>1</v>
      </c>
      <c r="F35" s="10" t="n">
        <v>1800</v>
      </c>
      <c r="G35" s="10">
        <f>E35*F35</f>
        <v/>
      </c>
    </row>
    <row r="36">
      <c r="A36" s="7" t="inlineStr">
        <is>
          <t>4.2</t>
        </is>
      </c>
      <c r="B36" s="7" t="inlineStr">
        <is>
          <t>8º Pav (Tipo 3)</t>
        </is>
      </c>
      <c r="C36" s="8" t="inlineStr">
        <is>
          <t>Detector de Fumaça Endereçável</t>
        </is>
      </c>
      <c r="D36" s="7" t="inlineStr">
        <is>
          <t>un</t>
        </is>
      </c>
      <c r="E36" s="9" t="n">
        <v>8</v>
      </c>
      <c r="F36" s="10" t="n">
        <v>380</v>
      </c>
      <c r="G36" s="10">
        <f>E36*F36</f>
        <v/>
      </c>
    </row>
    <row r="37">
      <c r="A37" s="11" t="inlineStr">
        <is>
          <t>Subtotal 8º Pav (Tipo 3)</t>
        </is>
      </c>
      <c r="B37" s="7" t="n"/>
      <c r="C37" s="7" t="n"/>
      <c r="D37" s="7" t="n"/>
      <c r="E37" s="7" t="n"/>
      <c r="F37" s="7" t="n"/>
      <c r="G37" s="12">
        <f>SUM(G35:G36)</f>
        <v/>
      </c>
    </row>
    <row r="39">
      <c r="A39" s="6" t="inlineStr"/>
      <c r="B39" s="6" t="inlineStr">
        <is>
          <t>9º Pav (Tipo 4)</t>
        </is>
      </c>
      <c r="C39" s="6" t="inlineStr"/>
      <c r="D39" s="6" t="inlineStr"/>
      <c r="E39" s="6" t="n"/>
      <c r="F39" s="6" t="n"/>
      <c r="G39" s="6" t="n"/>
    </row>
    <row r="40">
      <c r="A40" s="7" t="inlineStr">
        <is>
          <t>4.1</t>
        </is>
      </c>
      <c r="B40" s="7" t="inlineStr">
        <is>
          <t>9º Pav (Tipo 4)</t>
        </is>
      </c>
      <c r="C40" s="8" t="inlineStr">
        <is>
          <t>Hidrante DN 65 Completo</t>
        </is>
      </c>
      <c r="D40" s="7" t="inlineStr">
        <is>
          <t>un</t>
        </is>
      </c>
      <c r="E40" s="9" t="n">
        <v>1</v>
      </c>
      <c r="F40" s="10" t="n">
        <v>1800</v>
      </c>
      <c r="G40" s="10">
        <f>E40*F40</f>
        <v/>
      </c>
    </row>
    <row r="41">
      <c r="A41" s="7" t="inlineStr">
        <is>
          <t>4.2</t>
        </is>
      </c>
      <c r="B41" s="7" t="inlineStr">
        <is>
          <t>9º Pav (Tipo 4)</t>
        </is>
      </c>
      <c r="C41" s="8" t="inlineStr">
        <is>
          <t>Detector de Fumaça Endereçável</t>
        </is>
      </c>
      <c r="D41" s="7" t="inlineStr">
        <is>
          <t>un</t>
        </is>
      </c>
      <c r="E41" s="9" t="n">
        <v>8</v>
      </c>
      <c r="F41" s="10" t="n">
        <v>380</v>
      </c>
      <c r="G41" s="10">
        <f>E41*F41</f>
        <v/>
      </c>
    </row>
    <row r="42">
      <c r="A42" s="11" t="inlineStr">
        <is>
          <t>Subtotal 9º Pav (Tipo 4)</t>
        </is>
      </c>
      <c r="B42" s="7" t="n"/>
      <c r="C42" s="7" t="n"/>
      <c r="D42" s="7" t="n"/>
      <c r="E42" s="7" t="n"/>
      <c r="F42" s="7" t="n"/>
      <c r="G42" s="12">
        <f>SUM(G40:G41)</f>
        <v/>
      </c>
    </row>
    <row r="44">
      <c r="A44" s="6" t="inlineStr"/>
      <c r="B44" s="6" t="inlineStr">
        <is>
          <t>10º Pav (Tipo 5)</t>
        </is>
      </c>
      <c r="C44" s="6" t="inlineStr"/>
      <c r="D44" s="6" t="inlineStr"/>
      <c r="E44" s="6" t="n"/>
      <c r="F44" s="6" t="n"/>
      <c r="G44" s="6" t="n"/>
    </row>
    <row r="45">
      <c r="A45" s="7" t="inlineStr">
        <is>
          <t>4.1</t>
        </is>
      </c>
      <c r="B45" s="7" t="inlineStr">
        <is>
          <t>10º Pav (Tipo 5)</t>
        </is>
      </c>
      <c r="C45" s="8" t="inlineStr">
        <is>
          <t>Hidrante DN 65 Completo</t>
        </is>
      </c>
      <c r="D45" s="7" t="inlineStr">
        <is>
          <t>un</t>
        </is>
      </c>
      <c r="E45" s="9" t="n">
        <v>1</v>
      </c>
      <c r="F45" s="10" t="n">
        <v>1800</v>
      </c>
      <c r="G45" s="10">
        <f>E45*F45</f>
        <v/>
      </c>
    </row>
    <row r="46">
      <c r="A46" s="7" t="inlineStr">
        <is>
          <t>4.2</t>
        </is>
      </c>
      <c r="B46" s="7" t="inlineStr">
        <is>
          <t>10º Pav (Tipo 5)</t>
        </is>
      </c>
      <c r="C46" s="8" t="inlineStr">
        <is>
          <t>Detector de Fumaça Endereçável</t>
        </is>
      </c>
      <c r="D46" s="7" t="inlineStr">
        <is>
          <t>un</t>
        </is>
      </c>
      <c r="E46" s="9" t="n">
        <v>8</v>
      </c>
      <c r="F46" s="10" t="n">
        <v>380</v>
      </c>
      <c r="G46" s="10">
        <f>E46*F46</f>
        <v/>
      </c>
    </row>
    <row r="47">
      <c r="A47" s="11" t="inlineStr">
        <is>
          <t>Subtotal 10º Pav (Tipo 5)</t>
        </is>
      </c>
      <c r="B47" s="7" t="n"/>
      <c r="C47" s="7" t="n"/>
      <c r="D47" s="7" t="n"/>
      <c r="E47" s="7" t="n"/>
      <c r="F47" s="7" t="n"/>
      <c r="G47" s="12">
        <f>SUM(G45:G46)</f>
        <v/>
      </c>
    </row>
    <row r="49">
      <c r="A49" s="6" t="inlineStr"/>
      <c r="B49" s="6" t="inlineStr">
        <is>
          <t>11º Pav (Tipo 6)</t>
        </is>
      </c>
      <c r="C49" s="6" t="inlineStr"/>
      <c r="D49" s="6" t="inlineStr"/>
      <c r="E49" s="6" t="n"/>
      <c r="F49" s="6" t="n"/>
      <c r="G49" s="6" t="n"/>
    </row>
    <row r="50">
      <c r="A50" s="7" t="inlineStr">
        <is>
          <t>4.1</t>
        </is>
      </c>
      <c r="B50" s="7" t="inlineStr">
        <is>
          <t>11º Pav (Tipo 6)</t>
        </is>
      </c>
      <c r="C50" s="8" t="inlineStr">
        <is>
          <t>Hidrante DN 65 Completo</t>
        </is>
      </c>
      <c r="D50" s="7" t="inlineStr">
        <is>
          <t>un</t>
        </is>
      </c>
      <c r="E50" s="9" t="n">
        <v>1</v>
      </c>
      <c r="F50" s="10" t="n">
        <v>1800</v>
      </c>
      <c r="G50" s="10">
        <f>E50*F50</f>
        <v/>
      </c>
    </row>
    <row r="51">
      <c r="A51" s="7" t="inlineStr">
        <is>
          <t>4.2</t>
        </is>
      </c>
      <c r="B51" s="7" t="inlineStr">
        <is>
          <t>11º Pav (Tipo 6)</t>
        </is>
      </c>
      <c r="C51" s="8" t="inlineStr">
        <is>
          <t>Detector de Fumaça Endereçável</t>
        </is>
      </c>
      <c r="D51" s="7" t="inlineStr">
        <is>
          <t>un</t>
        </is>
      </c>
      <c r="E51" s="9" t="n">
        <v>8</v>
      </c>
      <c r="F51" s="10" t="n">
        <v>380</v>
      </c>
      <c r="G51" s="10">
        <f>E51*F51</f>
        <v/>
      </c>
    </row>
    <row r="52">
      <c r="A52" s="11" t="inlineStr">
        <is>
          <t>Subtotal 11º Pav (Tipo 6)</t>
        </is>
      </c>
      <c r="B52" s="7" t="n"/>
      <c r="C52" s="7" t="n"/>
      <c r="D52" s="7" t="n"/>
      <c r="E52" s="7" t="n"/>
      <c r="F52" s="7" t="n"/>
      <c r="G52" s="12">
        <f>SUM(G50:G51)</f>
        <v/>
      </c>
    </row>
    <row r="54">
      <c r="A54" s="6" t="inlineStr"/>
      <c r="B54" s="6" t="inlineStr">
        <is>
          <t>12º Pav (Tipo 7)</t>
        </is>
      </c>
      <c r="C54" s="6" t="inlineStr"/>
      <c r="D54" s="6" t="inlineStr"/>
      <c r="E54" s="6" t="n"/>
      <c r="F54" s="6" t="n"/>
      <c r="G54" s="6" t="n"/>
    </row>
    <row r="55">
      <c r="A55" s="7" t="inlineStr">
        <is>
          <t>4.1</t>
        </is>
      </c>
      <c r="B55" s="7" t="inlineStr">
        <is>
          <t>12º Pav (Tipo 7)</t>
        </is>
      </c>
      <c r="C55" s="8" t="inlineStr">
        <is>
          <t>Hidrante DN 65 Completo</t>
        </is>
      </c>
      <c r="D55" s="7" t="inlineStr">
        <is>
          <t>un</t>
        </is>
      </c>
      <c r="E55" s="9" t="n">
        <v>1</v>
      </c>
      <c r="F55" s="10" t="n">
        <v>1800</v>
      </c>
      <c r="G55" s="10">
        <f>E55*F55</f>
        <v/>
      </c>
    </row>
    <row r="56">
      <c r="A56" s="7" t="inlineStr">
        <is>
          <t>4.2</t>
        </is>
      </c>
      <c r="B56" s="7" t="inlineStr">
        <is>
          <t>12º Pav (Tipo 7)</t>
        </is>
      </c>
      <c r="C56" s="8" t="inlineStr">
        <is>
          <t>Detector de Fumaça Endereçável</t>
        </is>
      </c>
      <c r="D56" s="7" t="inlineStr">
        <is>
          <t>un</t>
        </is>
      </c>
      <c r="E56" s="9" t="n">
        <v>8</v>
      </c>
      <c r="F56" s="10" t="n">
        <v>380</v>
      </c>
      <c r="G56" s="10">
        <f>E56*F56</f>
        <v/>
      </c>
    </row>
    <row r="57">
      <c r="A57" s="11" t="inlineStr">
        <is>
          <t>Subtotal 12º Pav (Tipo 7)</t>
        </is>
      </c>
      <c r="B57" s="7" t="n"/>
      <c r="C57" s="7" t="n"/>
      <c r="D57" s="7" t="n"/>
      <c r="E57" s="7" t="n"/>
      <c r="F57" s="7" t="n"/>
      <c r="G57" s="12">
        <f>SUM(G55:G56)</f>
        <v/>
      </c>
    </row>
    <row r="59">
      <c r="A59" s="6" t="inlineStr"/>
      <c r="B59" s="6" t="inlineStr">
        <is>
          <t>13º Pav (Tipo 8)</t>
        </is>
      </c>
      <c r="C59" s="6" t="inlineStr"/>
      <c r="D59" s="6" t="inlineStr"/>
      <c r="E59" s="6" t="n"/>
      <c r="F59" s="6" t="n"/>
      <c r="G59" s="6" t="n"/>
    </row>
    <row r="60">
      <c r="A60" s="7" t="inlineStr">
        <is>
          <t>4.1</t>
        </is>
      </c>
      <c r="B60" s="7" t="inlineStr">
        <is>
          <t>13º Pav (Tipo 8)</t>
        </is>
      </c>
      <c r="C60" s="8" t="inlineStr">
        <is>
          <t>Hidrante DN 65 Completo</t>
        </is>
      </c>
      <c r="D60" s="7" t="inlineStr">
        <is>
          <t>un</t>
        </is>
      </c>
      <c r="E60" s="9" t="n">
        <v>1</v>
      </c>
      <c r="F60" s="10" t="n">
        <v>1800</v>
      </c>
      <c r="G60" s="10">
        <f>E60*F60</f>
        <v/>
      </c>
    </row>
    <row r="61">
      <c r="A61" s="7" t="inlineStr">
        <is>
          <t>4.2</t>
        </is>
      </c>
      <c r="B61" s="7" t="inlineStr">
        <is>
          <t>13º Pav (Tipo 8)</t>
        </is>
      </c>
      <c r="C61" s="8" t="inlineStr">
        <is>
          <t>Detector de Fumaça Endereçável</t>
        </is>
      </c>
      <c r="D61" s="7" t="inlineStr">
        <is>
          <t>un</t>
        </is>
      </c>
      <c r="E61" s="9" t="n">
        <v>8</v>
      </c>
      <c r="F61" s="10" t="n">
        <v>380</v>
      </c>
      <c r="G61" s="10">
        <f>E61*F61</f>
        <v/>
      </c>
    </row>
    <row r="62">
      <c r="A62" s="11" t="inlineStr">
        <is>
          <t>Subtotal 13º Pav (Tipo 8)</t>
        </is>
      </c>
      <c r="B62" s="7" t="n"/>
      <c r="C62" s="7" t="n"/>
      <c r="D62" s="7" t="n"/>
      <c r="E62" s="7" t="n"/>
      <c r="F62" s="7" t="n"/>
      <c r="G62" s="12">
        <f>SUM(G60:G61)</f>
        <v/>
      </c>
    </row>
    <row r="64">
      <c r="A64" s="6" t="inlineStr"/>
      <c r="B64" s="6" t="inlineStr">
        <is>
          <t>14º Pav (Tipo 9)</t>
        </is>
      </c>
      <c r="C64" s="6" t="inlineStr"/>
      <c r="D64" s="6" t="inlineStr"/>
      <c r="E64" s="6" t="n"/>
      <c r="F64" s="6" t="n"/>
      <c r="G64" s="6" t="n"/>
    </row>
    <row r="65">
      <c r="A65" s="7" t="inlineStr">
        <is>
          <t>4.1</t>
        </is>
      </c>
      <c r="B65" s="7" t="inlineStr">
        <is>
          <t>14º Pav (Tipo 9)</t>
        </is>
      </c>
      <c r="C65" s="8" t="inlineStr">
        <is>
          <t>Hidrante DN 65 Completo</t>
        </is>
      </c>
      <c r="D65" s="7" t="inlineStr">
        <is>
          <t>un</t>
        </is>
      </c>
      <c r="E65" s="9" t="n">
        <v>1</v>
      </c>
      <c r="F65" s="10" t="n">
        <v>1800</v>
      </c>
      <c r="G65" s="10">
        <f>E65*F65</f>
        <v/>
      </c>
    </row>
    <row r="66">
      <c r="A66" s="7" t="inlineStr">
        <is>
          <t>4.2</t>
        </is>
      </c>
      <c r="B66" s="7" t="inlineStr">
        <is>
          <t>14º Pav (Tipo 9)</t>
        </is>
      </c>
      <c r="C66" s="8" t="inlineStr">
        <is>
          <t>Detector de Fumaça Endereçável</t>
        </is>
      </c>
      <c r="D66" s="7" t="inlineStr">
        <is>
          <t>un</t>
        </is>
      </c>
      <c r="E66" s="9" t="n">
        <v>8</v>
      </c>
      <c r="F66" s="10" t="n">
        <v>380</v>
      </c>
      <c r="G66" s="10">
        <f>E66*F66</f>
        <v/>
      </c>
    </row>
    <row r="67">
      <c r="A67" s="11" t="inlineStr">
        <is>
          <t>Subtotal 14º Pav (Tipo 9)</t>
        </is>
      </c>
      <c r="B67" s="7" t="n"/>
      <c r="C67" s="7" t="n"/>
      <c r="D67" s="7" t="n"/>
      <c r="E67" s="7" t="n"/>
      <c r="F67" s="7" t="n"/>
      <c r="G67" s="12">
        <f>SUM(G65:G66)</f>
        <v/>
      </c>
    </row>
    <row r="69">
      <c r="A69" s="6" t="inlineStr"/>
      <c r="B69" s="6" t="inlineStr">
        <is>
          <t>15º Pav (Tipo 10)</t>
        </is>
      </c>
      <c r="C69" s="6" t="inlineStr"/>
      <c r="D69" s="6" t="inlineStr"/>
      <c r="E69" s="6" t="n"/>
      <c r="F69" s="6" t="n"/>
      <c r="G69" s="6" t="n"/>
    </row>
    <row r="70">
      <c r="A70" s="7" t="inlineStr">
        <is>
          <t>4.1</t>
        </is>
      </c>
      <c r="B70" s="7" t="inlineStr">
        <is>
          <t>15º Pav (Tipo 10)</t>
        </is>
      </c>
      <c r="C70" s="8" t="inlineStr">
        <is>
          <t>Hidrante DN 65 Completo</t>
        </is>
      </c>
      <c r="D70" s="7" t="inlineStr">
        <is>
          <t>un</t>
        </is>
      </c>
      <c r="E70" s="9" t="n">
        <v>1</v>
      </c>
      <c r="F70" s="10" t="n">
        <v>1800</v>
      </c>
      <c r="G70" s="10">
        <f>E70*F70</f>
        <v/>
      </c>
    </row>
    <row r="71">
      <c r="A71" s="7" t="inlineStr">
        <is>
          <t>4.2</t>
        </is>
      </c>
      <c r="B71" s="7" t="inlineStr">
        <is>
          <t>15º Pav (Tipo 10)</t>
        </is>
      </c>
      <c r="C71" s="8" t="inlineStr">
        <is>
          <t>Detector de Fumaça Endereçável</t>
        </is>
      </c>
      <c r="D71" s="7" t="inlineStr">
        <is>
          <t>un</t>
        </is>
      </c>
      <c r="E71" s="9" t="n">
        <v>8</v>
      </c>
      <c r="F71" s="10" t="n">
        <v>380</v>
      </c>
      <c r="G71" s="10">
        <f>E71*F71</f>
        <v/>
      </c>
    </row>
    <row r="72">
      <c r="A72" s="11" t="inlineStr">
        <is>
          <t>Subtotal 15º Pav (Tipo 10)</t>
        </is>
      </c>
      <c r="B72" s="7" t="n"/>
      <c r="C72" s="7" t="n"/>
      <c r="D72" s="7" t="n"/>
      <c r="E72" s="7" t="n"/>
      <c r="F72" s="7" t="n"/>
      <c r="G72" s="12">
        <f>SUM(G70:G71)</f>
        <v/>
      </c>
    </row>
    <row r="74">
      <c r="A74" s="6" t="inlineStr"/>
      <c r="B74" s="6" t="inlineStr">
        <is>
          <t>16º Pav (Tipo 11)</t>
        </is>
      </c>
      <c r="C74" s="6" t="inlineStr"/>
      <c r="D74" s="6" t="inlineStr"/>
      <c r="E74" s="6" t="n"/>
      <c r="F74" s="6" t="n"/>
      <c r="G74" s="6" t="n"/>
    </row>
    <row r="75">
      <c r="A75" s="7" t="inlineStr">
        <is>
          <t>4.1</t>
        </is>
      </c>
      <c r="B75" s="7" t="inlineStr">
        <is>
          <t>16º Pav (Tipo 11)</t>
        </is>
      </c>
      <c r="C75" s="8" t="inlineStr">
        <is>
          <t>Hidrante DN 65 Completo</t>
        </is>
      </c>
      <c r="D75" s="7" t="inlineStr">
        <is>
          <t>un</t>
        </is>
      </c>
      <c r="E75" s="9" t="n">
        <v>1</v>
      </c>
      <c r="F75" s="10" t="n">
        <v>1800</v>
      </c>
      <c r="G75" s="10">
        <f>E75*F75</f>
        <v/>
      </c>
    </row>
    <row r="76">
      <c r="A76" s="7" t="inlineStr">
        <is>
          <t>4.2</t>
        </is>
      </c>
      <c r="B76" s="7" t="inlineStr">
        <is>
          <t>16º Pav (Tipo 11)</t>
        </is>
      </c>
      <c r="C76" s="8" t="inlineStr">
        <is>
          <t>Detector de Fumaça Endereçável</t>
        </is>
      </c>
      <c r="D76" s="7" t="inlineStr">
        <is>
          <t>un</t>
        </is>
      </c>
      <c r="E76" s="9" t="n">
        <v>8</v>
      </c>
      <c r="F76" s="10" t="n">
        <v>380</v>
      </c>
      <c r="G76" s="10">
        <f>E76*F76</f>
        <v/>
      </c>
    </row>
    <row r="77">
      <c r="A77" s="11" t="inlineStr">
        <is>
          <t>Subtotal 16º Pav (Tipo 11)</t>
        </is>
      </c>
      <c r="B77" s="7" t="n"/>
      <c r="C77" s="7" t="n"/>
      <c r="D77" s="7" t="n"/>
      <c r="E77" s="7" t="n"/>
      <c r="F77" s="7" t="n"/>
      <c r="G77" s="12">
        <f>SUM(G75:G76)</f>
        <v/>
      </c>
    </row>
    <row r="79">
      <c r="A79" s="6" t="inlineStr"/>
      <c r="B79" s="6" t="inlineStr">
        <is>
          <t>17º Pav (Tipo 12)</t>
        </is>
      </c>
      <c r="C79" s="6" t="inlineStr"/>
      <c r="D79" s="6" t="inlineStr"/>
      <c r="E79" s="6" t="n"/>
      <c r="F79" s="6" t="n"/>
      <c r="G79" s="6" t="n"/>
    </row>
    <row r="80">
      <c r="A80" s="7" t="inlineStr">
        <is>
          <t>4.1</t>
        </is>
      </c>
      <c r="B80" s="7" t="inlineStr">
        <is>
          <t>17º Pav (Tipo 12)</t>
        </is>
      </c>
      <c r="C80" s="8" t="inlineStr">
        <is>
          <t>Hidrante DN 65 Completo</t>
        </is>
      </c>
      <c r="D80" s="7" t="inlineStr">
        <is>
          <t>un</t>
        </is>
      </c>
      <c r="E80" s="9" t="n">
        <v>1</v>
      </c>
      <c r="F80" s="10" t="n">
        <v>1800</v>
      </c>
      <c r="G80" s="10">
        <f>E80*F80</f>
        <v/>
      </c>
    </row>
    <row r="81">
      <c r="A81" s="7" t="inlineStr">
        <is>
          <t>4.2</t>
        </is>
      </c>
      <c r="B81" s="7" t="inlineStr">
        <is>
          <t>17º Pav (Tipo 12)</t>
        </is>
      </c>
      <c r="C81" s="8" t="inlineStr">
        <is>
          <t>Detector de Fumaça Endereçável</t>
        </is>
      </c>
      <c r="D81" s="7" t="inlineStr">
        <is>
          <t>un</t>
        </is>
      </c>
      <c r="E81" s="9" t="n">
        <v>8</v>
      </c>
      <c r="F81" s="10" t="n">
        <v>380</v>
      </c>
      <c r="G81" s="10">
        <f>E81*F81</f>
        <v/>
      </c>
    </row>
    <row r="82">
      <c r="A82" s="11" t="inlineStr">
        <is>
          <t>Subtotal 17º Pav (Tipo 12)</t>
        </is>
      </c>
      <c r="B82" s="7" t="n"/>
      <c r="C82" s="7" t="n"/>
      <c r="D82" s="7" t="n"/>
      <c r="E82" s="7" t="n"/>
      <c r="F82" s="7" t="n"/>
      <c r="G82" s="12">
        <f>SUM(G80:G81)</f>
        <v/>
      </c>
    </row>
    <row r="84">
      <c r="A84" s="6" t="inlineStr"/>
      <c r="B84" s="6" t="inlineStr">
        <is>
          <t>18º Pav (Tipo 13)</t>
        </is>
      </c>
      <c r="C84" s="6" t="inlineStr"/>
      <c r="D84" s="6" t="inlineStr"/>
      <c r="E84" s="6" t="n"/>
      <c r="F84" s="6" t="n"/>
      <c r="G84" s="6" t="n"/>
    </row>
    <row r="85">
      <c r="A85" s="7" t="inlineStr">
        <is>
          <t>4.1</t>
        </is>
      </c>
      <c r="B85" s="7" t="inlineStr">
        <is>
          <t>18º Pav (Tipo 13)</t>
        </is>
      </c>
      <c r="C85" s="8" t="inlineStr">
        <is>
          <t>Hidrante DN 65 Completo</t>
        </is>
      </c>
      <c r="D85" s="7" t="inlineStr">
        <is>
          <t>un</t>
        </is>
      </c>
      <c r="E85" s="9" t="n">
        <v>1</v>
      </c>
      <c r="F85" s="10" t="n">
        <v>1800</v>
      </c>
      <c r="G85" s="10">
        <f>E85*F85</f>
        <v/>
      </c>
    </row>
    <row r="86">
      <c r="A86" s="7" t="inlineStr">
        <is>
          <t>4.2</t>
        </is>
      </c>
      <c r="B86" s="7" t="inlineStr">
        <is>
          <t>18º Pav (Tipo 13)</t>
        </is>
      </c>
      <c r="C86" s="8" t="inlineStr">
        <is>
          <t>Detector de Fumaça Endereçável</t>
        </is>
      </c>
      <c r="D86" s="7" t="inlineStr">
        <is>
          <t>un</t>
        </is>
      </c>
      <c r="E86" s="9" t="n">
        <v>8</v>
      </c>
      <c r="F86" s="10" t="n">
        <v>380</v>
      </c>
      <c r="G86" s="10">
        <f>E86*F86</f>
        <v/>
      </c>
    </row>
    <row r="87">
      <c r="A87" s="11" t="inlineStr">
        <is>
          <t>Subtotal 18º Pav (Tipo 13)</t>
        </is>
      </c>
      <c r="B87" s="7" t="n"/>
      <c r="C87" s="7" t="n"/>
      <c r="D87" s="7" t="n"/>
      <c r="E87" s="7" t="n"/>
      <c r="F87" s="7" t="n"/>
      <c r="G87" s="12">
        <f>SUM(G85:G86)</f>
        <v/>
      </c>
    </row>
    <row r="89">
      <c r="A89" s="6" t="inlineStr"/>
      <c r="B89" s="6" t="inlineStr">
        <is>
          <t>19º Pav (Tipo 14)</t>
        </is>
      </c>
      <c r="C89" s="6" t="inlineStr"/>
      <c r="D89" s="6" t="inlineStr"/>
      <c r="E89" s="6" t="n"/>
      <c r="F89" s="6" t="n"/>
      <c r="G89" s="6" t="n"/>
    </row>
    <row r="90">
      <c r="A90" s="7" t="inlineStr">
        <is>
          <t>4.1</t>
        </is>
      </c>
      <c r="B90" s="7" t="inlineStr">
        <is>
          <t>19º Pav (Tipo 14)</t>
        </is>
      </c>
      <c r="C90" s="8" t="inlineStr">
        <is>
          <t>Hidrante DN 65 Completo</t>
        </is>
      </c>
      <c r="D90" s="7" t="inlineStr">
        <is>
          <t>un</t>
        </is>
      </c>
      <c r="E90" s="9" t="n">
        <v>1</v>
      </c>
      <c r="F90" s="10" t="n">
        <v>1800</v>
      </c>
      <c r="G90" s="10">
        <f>E90*F90</f>
        <v/>
      </c>
    </row>
    <row r="91">
      <c r="A91" s="7" t="inlineStr">
        <is>
          <t>4.2</t>
        </is>
      </c>
      <c r="B91" s="7" t="inlineStr">
        <is>
          <t>19º Pav (Tipo 14)</t>
        </is>
      </c>
      <c r="C91" s="8" t="inlineStr">
        <is>
          <t>Detector de Fumaça Endereçável</t>
        </is>
      </c>
      <c r="D91" s="7" t="inlineStr">
        <is>
          <t>un</t>
        </is>
      </c>
      <c r="E91" s="9" t="n">
        <v>8</v>
      </c>
      <c r="F91" s="10" t="n">
        <v>380</v>
      </c>
      <c r="G91" s="10">
        <f>E91*F91</f>
        <v/>
      </c>
    </row>
    <row r="92">
      <c r="A92" s="11" t="inlineStr">
        <is>
          <t>Subtotal 19º Pav (Tipo 14)</t>
        </is>
      </c>
      <c r="B92" s="7" t="n"/>
      <c r="C92" s="7" t="n"/>
      <c r="D92" s="7" t="n"/>
      <c r="E92" s="7" t="n"/>
      <c r="F92" s="7" t="n"/>
      <c r="G92" s="12">
        <f>SUM(G90:G91)</f>
        <v/>
      </c>
    </row>
    <row r="94">
      <c r="A94" s="6" t="inlineStr"/>
      <c r="B94" s="6" t="inlineStr">
        <is>
          <t>20º Pav (Tipo 15)</t>
        </is>
      </c>
      <c r="C94" s="6" t="inlineStr"/>
      <c r="D94" s="6" t="inlineStr"/>
      <c r="E94" s="6" t="n"/>
      <c r="F94" s="6" t="n"/>
      <c r="G94" s="6" t="n"/>
    </row>
    <row r="95">
      <c r="A95" s="7" t="inlineStr">
        <is>
          <t>4.1</t>
        </is>
      </c>
      <c r="B95" s="7" t="inlineStr">
        <is>
          <t>20º Pav (Tipo 15)</t>
        </is>
      </c>
      <c r="C95" s="8" t="inlineStr">
        <is>
          <t>Hidrante DN 65 Completo</t>
        </is>
      </c>
      <c r="D95" s="7" t="inlineStr">
        <is>
          <t>un</t>
        </is>
      </c>
      <c r="E95" s="9" t="n">
        <v>1</v>
      </c>
      <c r="F95" s="10" t="n">
        <v>1800</v>
      </c>
      <c r="G95" s="10">
        <f>E95*F95</f>
        <v/>
      </c>
    </row>
    <row r="96">
      <c r="A96" s="7" t="inlineStr">
        <is>
          <t>4.2</t>
        </is>
      </c>
      <c r="B96" s="7" t="inlineStr">
        <is>
          <t>20º Pav (Tipo 15)</t>
        </is>
      </c>
      <c r="C96" s="8" t="inlineStr">
        <is>
          <t>Detector de Fumaça Endereçável</t>
        </is>
      </c>
      <c r="D96" s="7" t="inlineStr">
        <is>
          <t>un</t>
        </is>
      </c>
      <c r="E96" s="9" t="n">
        <v>8</v>
      </c>
      <c r="F96" s="10" t="n">
        <v>380</v>
      </c>
      <c r="G96" s="10">
        <f>E96*F96</f>
        <v/>
      </c>
    </row>
    <row r="97">
      <c r="A97" s="11" t="inlineStr">
        <is>
          <t>Subtotal 20º Pav (Tipo 15)</t>
        </is>
      </c>
      <c r="B97" s="7" t="n"/>
      <c r="C97" s="7" t="n"/>
      <c r="D97" s="7" t="n"/>
      <c r="E97" s="7" t="n"/>
      <c r="F97" s="7" t="n"/>
      <c r="G97" s="12">
        <f>SUM(G95:G96)</f>
        <v/>
      </c>
    </row>
    <row r="99">
      <c r="A99" s="6" t="inlineStr"/>
      <c r="B99" s="6" t="inlineStr">
        <is>
          <t>21º Pav (Tipo 16)</t>
        </is>
      </c>
      <c r="C99" s="6" t="inlineStr"/>
      <c r="D99" s="6" t="inlineStr"/>
      <c r="E99" s="6" t="n"/>
      <c r="F99" s="6" t="n"/>
      <c r="G99" s="6" t="n"/>
    </row>
    <row r="100">
      <c r="A100" s="7" t="inlineStr">
        <is>
          <t>4.1</t>
        </is>
      </c>
      <c r="B100" s="7" t="inlineStr">
        <is>
          <t>21º Pav (Tipo 16)</t>
        </is>
      </c>
      <c r="C100" s="8" t="inlineStr">
        <is>
          <t>Hidrante DN 65 Completo</t>
        </is>
      </c>
      <c r="D100" s="7" t="inlineStr">
        <is>
          <t>un</t>
        </is>
      </c>
      <c r="E100" s="9" t="n">
        <v>1</v>
      </c>
      <c r="F100" s="10" t="n">
        <v>1800</v>
      </c>
      <c r="G100" s="10">
        <f>E100*F100</f>
        <v/>
      </c>
    </row>
    <row r="101">
      <c r="A101" s="7" t="inlineStr">
        <is>
          <t>4.2</t>
        </is>
      </c>
      <c r="B101" s="7" t="inlineStr">
        <is>
          <t>21º Pav (Tipo 16)</t>
        </is>
      </c>
      <c r="C101" s="8" t="inlineStr">
        <is>
          <t>Detector de Fumaça Endereçável</t>
        </is>
      </c>
      <c r="D101" s="7" t="inlineStr">
        <is>
          <t>un</t>
        </is>
      </c>
      <c r="E101" s="9" t="n">
        <v>8</v>
      </c>
      <c r="F101" s="10" t="n">
        <v>380</v>
      </c>
      <c r="G101" s="10">
        <f>E101*F101</f>
        <v/>
      </c>
    </row>
    <row r="102">
      <c r="A102" s="11" t="inlineStr">
        <is>
          <t>Subtotal 21º Pav (Tipo 16)</t>
        </is>
      </c>
      <c r="B102" s="7" t="n"/>
      <c r="C102" s="7" t="n"/>
      <c r="D102" s="7" t="n"/>
      <c r="E102" s="7" t="n"/>
      <c r="F102" s="7" t="n"/>
      <c r="G102" s="12">
        <f>SUM(G100:G101)</f>
        <v/>
      </c>
    </row>
    <row r="104">
      <c r="A104" s="6" t="inlineStr"/>
      <c r="B104" s="6" t="inlineStr">
        <is>
          <t>22º Pav (Tipo 17)</t>
        </is>
      </c>
      <c r="C104" s="6" t="inlineStr"/>
      <c r="D104" s="6" t="inlineStr"/>
      <c r="E104" s="6" t="n"/>
      <c r="F104" s="6" t="n"/>
      <c r="G104" s="6" t="n"/>
    </row>
    <row r="105">
      <c r="A105" s="7" t="inlineStr">
        <is>
          <t>4.1</t>
        </is>
      </c>
      <c r="B105" s="7" t="inlineStr">
        <is>
          <t>22º Pav (Tipo 17)</t>
        </is>
      </c>
      <c r="C105" s="8" t="inlineStr">
        <is>
          <t>Hidrante DN 65 Completo</t>
        </is>
      </c>
      <c r="D105" s="7" t="inlineStr">
        <is>
          <t>un</t>
        </is>
      </c>
      <c r="E105" s="9" t="n">
        <v>1</v>
      </c>
      <c r="F105" s="10" t="n">
        <v>1800</v>
      </c>
      <c r="G105" s="10">
        <f>E105*F105</f>
        <v/>
      </c>
    </row>
    <row r="106">
      <c r="A106" s="7" t="inlineStr">
        <is>
          <t>4.2</t>
        </is>
      </c>
      <c r="B106" s="7" t="inlineStr">
        <is>
          <t>22º Pav (Tipo 17)</t>
        </is>
      </c>
      <c r="C106" s="8" t="inlineStr">
        <is>
          <t>Detector de Fumaça Endereçável</t>
        </is>
      </c>
      <c r="D106" s="7" t="inlineStr">
        <is>
          <t>un</t>
        </is>
      </c>
      <c r="E106" s="9" t="n">
        <v>8</v>
      </c>
      <c r="F106" s="10" t="n">
        <v>380</v>
      </c>
      <c r="G106" s="10">
        <f>E106*F106</f>
        <v/>
      </c>
    </row>
    <row r="107">
      <c r="A107" s="11" t="inlineStr">
        <is>
          <t>Subtotal 22º Pav (Tipo 17)</t>
        </is>
      </c>
      <c r="B107" s="7" t="n"/>
      <c r="C107" s="7" t="n"/>
      <c r="D107" s="7" t="n"/>
      <c r="E107" s="7" t="n"/>
      <c r="F107" s="7" t="n"/>
      <c r="G107" s="12">
        <f>SUM(G105:G106)</f>
        <v/>
      </c>
    </row>
    <row r="109">
      <c r="A109" s="6" t="inlineStr"/>
      <c r="B109" s="6" t="inlineStr">
        <is>
          <t>23º Pav (Tipo 18)</t>
        </is>
      </c>
      <c r="C109" s="6" t="inlineStr"/>
      <c r="D109" s="6" t="inlineStr"/>
      <c r="E109" s="6" t="n"/>
      <c r="F109" s="6" t="n"/>
      <c r="G109" s="6" t="n"/>
    </row>
    <row r="110">
      <c r="A110" s="7" t="inlineStr">
        <is>
          <t>4.1</t>
        </is>
      </c>
      <c r="B110" s="7" t="inlineStr">
        <is>
          <t>23º Pav (Tipo 18)</t>
        </is>
      </c>
      <c r="C110" s="8" t="inlineStr">
        <is>
          <t>Hidrante DN 65 Completo</t>
        </is>
      </c>
      <c r="D110" s="7" t="inlineStr">
        <is>
          <t>un</t>
        </is>
      </c>
      <c r="E110" s="9" t="n">
        <v>1</v>
      </c>
      <c r="F110" s="10" t="n">
        <v>1800</v>
      </c>
      <c r="G110" s="10">
        <f>E110*F110</f>
        <v/>
      </c>
    </row>
    <row r="111">
      <c r="A111" s="7" t="inlineStr">
        <is>
          <t>4.2</t>
        </is>
      </c>
      <c r="B111" s="7" t="inlineStr">
        <is>
          <t>23º Pav (Tipo 18)</t>
        </is>
      </c>
      <c r="C111" s="8" t="inlineStr">
        <is>
          <t>Detector de Fumaça Endereçável</t>
        </is>
      </c>
      <c r="D111" s="7" t="inlineStr">
        <is>
          <t>un</t>
        </is>
      </c>
      <c r="E111" s="9" t="n">
        <v>8</v>
      </c>
      <c r="F111" s="10" t="n">
        <v>380</v>
      </c>
      <c r="G111" s="10">
        <f>E111*F111</f>
        <v/>
      </c>
    </row>
    <row r="112">
      <c r="A112" s="11" t="inlineStr">
        <is>
          <t>Subtotal 23º Pav (Tipo 18)</t>
        </is>
      </c>
      <c r="B112" s="7" t="n"/>
      <c r="C112" s="7" t="n"/>
      <c r="D112" s="7" t="n"/>
      <c r="E112" s="7" t="n"/>
      <c r="F112" s="7" t="n"/>
      <c r="G112" s="12">
        <f>SUM(G110:G111)</f>
        <v/>
      </c>
    </row>
    <row r="114">
      <c r="A114" s="6" t="inlineStr"/>
      <c r="B114" s="6" t="inlineStr">
        <is>
          <t>Ático (24º)</t>
        </is>
      </c>
      <c r="C114" s="6" t="inlineStr"/>
      <c r="D114" s="6" t="inlineStr"/>
      <c r="E114" s="6" t="n"/>
      <c r="F114" s="6" t="n"/>
      <c r="G114" s="6" t="n"/>
    </row>
    <row r="115">
      <c r="A115" s="7" t="inlineStr">
        <is>
          <t>4.1</t>
        </is>
      </c>
      <c r="B115" s="7" t="inlineStr">
        <is>
          <t>Ático (24º)</t>
        </is>
      </c>
      <c r="C115" s="8" t="inlineStr">
        <is>
          <t>Hidrante DN 65 Completo</t>
        </is>
      </c>
      <c r="D115" s="7" t="inlineStr">
        <is>
          <t>un</t>
        </is>
      </c>
      <c r="E115" s="9" t="n">
        <v>1</v>
      </c>
      <c r="F115" s="10" t="n">
        <v>1800</v>
      </c>
      <c r="G115" s="10">
        <f>E115*F115</f>
        <v/>
      </c>
    </row>
    <row r="116">
      <c r="A116" s="7" t="inlineStr">
        <is>
          <t>4.2</t>
        </is>
      </c>
      <c r="B116" s="7" t="inlineStr">
        <is>
          <t>Ático (24º)</t>
        </is>
      </c>
      <c r="C116" s="8" t="inlineStr">
        <is>
          <t>Detector de Fumaça Endereçável</t>
        </is>
      </c>
      <c r="D116" s="7" t="inlineStr">
        <is>
          <t>un</t>
        </is>
      </c>
      <c r="E116" s="9" t="n">
        <v>4</v>
      </c>
      <c r="F116" s="10" t="n">
        <v>380</v>
      </c>
      <c r="G116" s="10">
        <f>E116*F116</f>
        <v/>
      </c>
    </row>
    <row r="117">
      <c r="A117" s="11" t="inlineStr">
        <is>
          <t>Subtotal Ático (24º)</t>
        </is>
      </c>
      <c r="B117" s="7" t="n"/>
      <c r="C117" s="7" t="n"/>
      <c r="D117" s="7" t="n"/>
      <c r="E117" s="7" t="n"/>
      <c r="F117" s="7" t="n"/>
      <c r="G117" s="12">
        <f>SUM(G115:G116)</f>
        <v/>
      </c>
    </row>
    <row r="119">
      <c r="A119" s="6" t="inlineStr"/>
      <c r="B119" s="6" t="inlineStr">
        <is>
          <t>Técnico 1 (25º)</t>
        </is>
      </c>
      <c r="C119" s="6" t="inlineStr"/>
      <c r="D119" s="6" t="inlineStr"/>
      <c r="E119" s="6" t="n"/>
      <c r="F119" s="6" t="n"/>
      <c r="G119" s="6" t="n"/>
    </row>
    <row r="120">
      <c r="A120" s="7" t="inlineStr">
        <is>
          <t>4.2</t>
        </is>
      </c>
      <c r="B120" s="7" t="inlineStr">
        <is>
          <t>Técnico 1 (25º)</t>
        </is>
      </c>
      <c r="C120" s="8" t="inlineStr">
        <is>
          <t>Detector de Fumaça Endereçável</t>
        </is>
      </c>
      <c r="D120" s="7" t="inlineStr">
        <is>
          <t>un</t>
        </is>
      </c>
      <c r="E120" s="9" t="n">
        <v>4</v>
      </c>
      <c r="F120" s="10" t="n">
        <v>380</v>
      </c>
      <c r="G120" s="10">
        <f>E120*F120</f>
        <v/>
      </c>
    </row>
    <row r="121">
      <c r="A121" s="11" t="inlineStr">
        <is>
          <t>Subtotal Técnico 1 (25º)</t>
        </is>
      </c>
      <c r="B121" s="7" t="n"/>
      <c r="C121" s="7" t="n"/>
      <c r="D121" s="7" t="n"/>
      <c r="E121" s="7" t="n"/>
      <c r="F121" s="7" t="n"/>
      <c r="G121" s="12">
        <f>SUM(G120:G120)</f>
        <v/>
      </c>
    </row>
    <row r="123">
      <c r="A123" s="6" t="inlineStr"/>
      <c r="B123" s="6" t="inlineStr">
        <is>
          <t>Técnico 2 (26º)</t>
        </is>
      </c>
      <c r="C123" s="6" t="inlineStr"/>
      <c r="D123" s="6" t="inlineStr"/>
      <c r="E123" s="6" t="n"/>
      <c r="F123" s="6" t="n"/>
      <c r="G123" s="6" t="n"/>
    </row>
    <row r="124">
      <c r="A124" s="7" t="inlineStr">
        <is>
          <t>4.2</t>
        </is>
      </c>
      <c r="B124" s="7" t="inlineStr">
        <is>
          <t>Técnico 2 (26º)</t>
        </is>
      </c>
      <c r="C124" s="8" t="inlineStr">
        <is>
          <t>Detector de Fumaça Endereçável</t>
        </is>
      </c>
      <c r="D124" s="7" t="inlineStr">
        <is>
          <t>un</t>
        </is>
      </c>
      <c r="E124" s="9" t="n">
        <v>4</v>
      </c>
      <c r="F124" s="10" t="n">
        <v>380</v>
      </c>
      <c r="G124" s="10">
        <f>E124*F124</f>
        <v/>
      </c>
    </row>
    <row r="125">
      <c r="A125" s="11" t="inlineStr">
        <is>
          <t>Subtotal Técnico 2 (26º)</t>
        </is>
      </c>
      <c r="B125" s="7" t="n"/>
      <c r="C125" s="7" t="n"/>
      <c r="D125" s="7" t="n"/>
      <c r="E125" s="7" t="n"/>
      <c r="F125" s="7" t="n"/>
      <c r="G125" s="12">
        <f>SUM(G124:G124)</f>
        <v/>
      </c>
    </row>
    <row r="127">
      <c r="A127" s="6" t="inlineStr"/>
      <c r="B127" s="6" t="inlineStr">
        <is>
          <t>Técnico 3 (27º)</t>
        </is>
      </c>
      <c r="C127" s="6" t="inlineStr"/>
      <c r="D127" s="6" t="inlineStr"/>
      <c r="E127" s="6" t="n"/>
      <c r="F127" s="6" t="n"/>
      <c r="G127" s="6" t="n"/>
    </row>
    <row r="128">
      <c r="A128" s="7" t="inlineStr">
        <is>
          <t>4.2</t>
        </is>
      </c>
      <c r="B128" s="7" t="inlineStr">
        <is>
          <t>Técnico 3 (27º)</t>
        </is>
      </c>
      <c r="C128" s="8" t="inlineStr">
        <is>
          <t>Detector de Fumaça Endereçável</t>
        </is>
      </c>
      <c r="D128" s="7" t="inlineStr">
        <is>
          <t>un</t>
        </is>
      </c>
      <c r="E128" s="9" t="n">
        <v>4</v>
      </c>
      <c r="F128" s="10" t="n">
        <v>380</v>
      </c>
      <c r="G128" s="10">
        <f>E128*F128</f>
        <v/>
      </c>
    </row>
    <row r="129">
      <c r="A129" s="11" t="inlineStr">
        <is>
          <t>Subtotal Técnico 3 (27º)</t>
        </is>
      </c>
      <c r="B129" s="7" t="n"/>
      <c r="C129" s="7" t="n"/>
      <c r="D129" s="7" t="n"/>
      <c r="E129" s="7" t="n"/>
      <c r="F129" s="7" t="n"/>
      <c r="G129" s="12">
        <f>SUM(G128:G128)</f>
        <v/>
      </c>
    </row>
    <row r="132">
      <c r="A132" s="13" t="inlineStr">
        <is>
          <t>TOTAL PPCI</t>
        </is>
      </c>
      <c r="B132" s="7" t="n"/>
      <c r="C132" s="7" t="n"/>
      <c r="D132" s="7" t="n"/>
      <c r="E132" s="7" t="n"/>
      <c r="F132" s="7" t="n"/>
      <c r="G132" s="12">
        <f>SUM(G3:G131)</f>
        <v/>
      </c>
    </row>
  </sheetData>
  <mergeCells count="29">
    <mergeCell ref="A37:F37"/>
    <mergeCell ref="A27:F27"/>
    <mergeCell ref="A18:F18"/>
    <mergeCell ref="A57:F57"/>
    <mergeCell ref="A129:F129"/>
    <mergeCell ref="A47:F47"/>
    <mergeCell ref="A42:F42"/>
    <mergeCell ref="A14:F14"/>
    <mergeCell ref="A32:F32"/>
    <mergeCell ref="A22:F22"/>
    <mergeCell ref="A97:F97"/>
    <mergeCell ref="A62:F62"/>
    <mergeCell ref="A72:F72"/>
    <mergeCell ref="A125:F125"/>
    <mergeCell ref="A52:F52"/>
    <mergeCell ref="A10:F10"/>
    <mergeCell ref="A1:G1"/>
    <mergeCell ref="A112:F112"/>
    <mergeCell ref="A121:F121"/>
    <mergeCell ref="A102:F102"/>
    <mergeCell ref="A117:F117"/>
    <mergeCell ref="A67:F67"/>
    <mergeCell ref="A92:F92"/>
    <mergeCell ref="A77:F77"/>
    <mergeCell ref="A107:F107"/>
    <mergeCell ref="A82:F82"/>
    <mergeCell ref="A132:F132"/>
    <mergeCell ref="A6:F6"/>
    <mergeCell ref="A87:F8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0" customWidth="1" min="4" max="4"/>
    <col width="12" customWidth="1" min="5" max="5"/>
    <col width="16" customWidth="1" min="6" max="6"/>
    <col width="16" customWidth="1" min="7" max="7"/>
  </cols>
  <sheetData>
    <row r="1">
      <c r="A1" s="4" t="inlineStr">
        <is>
          <t>5. VEDAÇÕES - POR PAVIMENTO</t>
        </is>
      </c>
    </row>
    <row r="2">
      <c r="A2" s="5" t="inlineStr">
        <is>
          <t>Item</t>
        </is>
      </c>
      <c r="B2" s="5" t="inlineStr">
        <is>
          <t>Pavimento</t>
        </is>
      </c>
      <c r="C2" s="5" t="inlineStr">
        <is>
          <t>Descrição</t>
        </is>
      </c>
      <c r="D2" s="5" t="inlineStr">
        <is>
          <t>Unidade</t>
        </is>
      </c>
      <c r="E2" s="5" t="inlineStr">
        <is>
          <t>Quantidade</t>
        </is>
      </c>
      <c r="F2" s="5" t="inlineStr">
        <is>
          <t>Custo Unit. (R$)</t>
        </is>
      </c>
      <c r="G2" s="5" t="inlineStr">
        <is>
          <t>Custo Total (R$)</t>
        </is>
      </c>
    </row>
    <row r="3">
      <c r="A3" s="6" t="inlineStr"/>
      <c r="B3" s="6" t="inlineStr">
        <is>
          <t>Térreo</t>
        </is>
      </c>
      <c r="C3" s="6" t="inlineStr"/>
      <c r="D3" s="6" t="inlineStr"/>
      <c r="E3" s="6" t="n"/>
      <c r="F3" s="6" t="n"/>
      <c r="G3" s="6" t="n"/>
    </row>
    <row r="4">
      <c r="A4" s="7" t="inlineStr">
        <is>
          <t>5.1</t>
        </is>
      </c>
      <c r="B4" s="7" t="inlineStr">
        <is>
          <t>Térreo</t>
        </is>
      </c>
      <c r="C4" s="8" t="inlineStr">
        <is>
          <t>Alvenaria Bloco Cerâmico 14x19x29</t>
        </is>
      </c>
      <c r="D4" s="7" t="inlineStr">
        <is>
          <t>m²</t>
        </is>
      </c>
      <c r="E4" s="9" t="n">
        <v>180</v>
      </c>
      <c r="F4" s="10" t="n">
        <v>35</v>
      </c>
      <c r="G4" s="10">
        <f>E4*F4</f>
        <v/>
      </c>
    </row>
    <row r="5">
      <c r="A5" s="7" t="inlineStr">
        <is>
          <t>5.2</t>
        </is>
      </c>
      <c r="B5" s="7" t="inlineStr">
        <is>
          <t>Térreo</t>
        </is>
      </c>
      <c r="C5" s="8" t="inlineStr">
        <is>
          <t>Chapisco</t>
        </is>
      </c>
      <c r="D5" s="7" t="inlineStr">
        <is>
          <t>m²</t>
        </is>
      </c>
      <c r="E5" s="9" t="n">
        <v>360</v>
      </c>
      <c r="F5" s="10" t="n">
        <v>8.5</v>
      </c>
      <c r="G5" s="10">
        <f>E5*F5</f>
        <v/>
      </c>
    </row>
    <row r="6">
      <c r="A6" s="7" t="inlineStr">
        <is>
          <t>5.3</t>
        </is>
      </c>
      <c r="B6" s="7" t="inlineStr">
        <is>
          <t>Térreo</t>
        </is>
      </c>
      <c r="C6" s="8" t="inlineStr">
        <is>
          <t>Reboco Paulista</t>
        </is>
      </c>
      <c r="D6" s="7" t="inlineStr">
        <is>
          <t>m²</t>
        </is>
      </c>
      <c r="E6" s="9" t="n">
        <v>360</v>
      </c>
      <c r="F6" s="10" t="n">
        <v>28</v>
      </c>
      <c r="G6" s="10">
        <f>E6*F6</f>
        <v/>
      </c>
    </row>
    <row r="7">
      <c r="A7" s="11" t="inlineStr">
        <is>
          <t>Subtotal Térreo</t>
        </is>
      </c>
      <c r="B7" s="7" t="n"/>
      <c r="C7" s="7" t="n"/>
      <c r="D7" s="7" t="n"/>
      <c r="E7" s="7" t="n"/>
      <c r="F7" s="7" t="n"/>
      <c r="G7" s="12">
        <f>SUM(G4:G6)</f>
        <v/>
      </c>
    </row>
    <row r="9">
      <c r="A9" s="6" t="inlineStr"/>
      <c r="B9" s="6" t="inlineStr">
        <is>
          <t>Garagem 2</t>
        </is>
      </c>
      <c r="C9" s="6" t="inlineStr"/>
      <c r="D9" s="6" t="inlineStr"/>
      <c r="E9" s="6" t="n"/>
      <c r="F9" s="6" t="n"/>
      <c r="G9" s="6" t="n"/>
    </row>
    <row r="10">
      <c r="A10" s="7" t="inlineStr">
        <is>
          <t>5.1</t>
        </is>
      </c>
      <c r="B10" s="7" t="inlineStr">
        <is>
          <t>Garagem 2</t>
        </is>
      </c>
      <c r="C10" s="8" t="inlineStr">
        <is>
          <t>Alvenaria Bloco Cerâmico 14x19x29</t>
        </is>
      </c>
      <c r="D10" s="7" t="inlineStr">
        <is>
          <t>m²</t>
        </is>
      </c>
      <c r="E10" s="9" t="n">
        <v>36</v>
      </c>
      <c r="F10" s="10" t="n">
        <v>35</v>
      </c>
      <c r="G10" s="10">
        <f>E10*F10</f>
        <v/>
      </c>
    </row>
    <row r="11">
      <c r="A11" s="7" t="inlineStr">
        <is>
          <t>5.2</t>
        </is>
      </c>
      <c r="B11" s="7" t="inlineStr">
        <is>
          <t>Garagem 2</t>
        </is>
      </c>
      <c r="C11" s="8" t="inlineStr">
        <is>
          <t>Chapisco</t>
        </is>
      </c>
      <c r="D11" s="7" t="inlineStr">
        <is>
          <t>m²</t>
        </is>
      </c>
      <c r="E11" s="9" t="n">
        <v>72</v>
      </c>
      <c r="F11" s="10" t="n">
        <v>8.5</v>
      </c>
      <c r="G11" s="10">
        <f>E11*F11</f>
        <v/>
      </c>
    </row>
    <row r="12">
      <c r="A12" s="7" t="inlineStr">
        <is>
          <t>5.3</t>
        </is>
      </c>
      <c r="B12" s="7" t="inlineStr">
        <is>
          <t>Garagem 2</t>
        </is>
      </c>
      <c r="C12" s="8" t="inlineStr">
        <is>
          <t>Reboco Paulista</t>
        </is>
      </c>
      <c r="D12" s="7" t="inlineStr">
        <is>
          <t>m²</t>
        </is>
      </c>
      <c r="E12" s="9" t="n">
        <v>72</v>
      </c>
      <c r="F12" s="10" t="n">
        <v>28</v>
      </c>
      <c r="G12" s="10">
        <f>E12*F12</f>
        <v/>
      </c>
    </row>
    <row r="13">
      <c r="A13" s="11" t="inlineStr">
        <is>
          <t>Subtotal Garagem 2</t>
        </is>
      </c>
      <c r="B13" s="7" t="n"/>
      <c r="C13" s="7" t="n"/>
      <c r="D13" s="7" t="n"/>
      <c r="E13" s="7" t="n"/>
      <c r="F13" s="7" t="n"/>
      <c r="G13" s="12">
        <f>SUM(G10:G12)</f>
        <v/>
      </c>
    </row>
    <row r="15">
      <c r="A15" s="6" t="inlineStr"/>
      <c r="B15" s="6" t="inlineStr">
        <is>
          <t>Garagem 3</t>
        </is>
      </c>
      <c r="C15" s="6" t="inlineStr"/>
      <c r="D15" s="6" t="inlineStr"/>
      <c r="E15" s="6" t="n"/>
      <c r="F15" s="6" t="n"/>
      <c r="G15" s="6" t="n"/>
    </row>
    <row r="16">
      <c r="A16" s="7" t="inlineStr">
        <is>
          <t>5.1</t>
        </is>
      </c>
      <c r="B16" s="7" t="inlineStr">
        <is>
          <t>Garagem 3</t>
        </is>
      </c>
      <c r="C16" s="8" t="inlineStr">
        <is>
          <t>Alvenaria Bloco Cerâmico 14x19x29</t>
        </is>
      </c>
      <c r="D16" s="7" t="inlineStr">
        <is>
          <t>m²</t>
        </is>
      </c>
      <c r="E16" s="9" t="n">
        <v>36</v>
      </c>
      <c r="F16" s="10" t="n">
        <v>35</v>
      </c>
      <c r="G16" s="10">
        <f>E16*F16</f>
        <v/>
      </c>
    </row>
    <row r="17">
      <c r="A17" s="7" t="inlineStr">
        <is>
          <t>5.2</t>
        </is>
      </c>
      <c r="B17" s="7" t="inlineStr">
        <is>
          <t>Garagem 3</t>
        </is>
      </c>
      <c r="C17" s="8" t="inlineStr">
        <is>
          <t>Chapisco</t>
        </is>
      </c>
      <c r="D17" s="7" t="inlineStr">
        <is>
          <t>m²</t>
        </is>
      </c>
      <c r="E17" s="9" t="n">
        <v>72</v>
      </c>
      <c r="F17" s="10" t="n">
        <v>8.5</v>
      </c>
      <c r="G17" s="10">
        <f>E17*F17</f>
        <v/>
      </c>
    </row>
    <row r="18">
      <c r="A18" s="7" t="inlineStr">
        <is>
          <t>5.3</t>
        </is>
      </c>
      <c r="B18" s="7" t="inlineStr">
        <is>
          <t>Garagem 3</t>
        </is>
      </c>
      <c r="C18" s="8" t="inlineStr">
        <is>
          <t>Reboco Paulista</t>
        </is>
      </c>
      <c r="D18" s="7" t="inlineStr">
        <is>
          <t>m²</t>
        </is>
      </c>
      <c r="E18" s="9" t="n">
        <v>72</v>
      </c>
      <c r="F18" s="10" t="n">
        <v>28</v>
      </c>
      <c r="G18" s="10">
        <f>E18*F18</f>
        <v/>
      </c>
    </row>
    <row r="19">
      <c r="A19" s="11" t="inlineStr">
        <is>
          <t>Subtotal Garagem 3</t>
        </is>
      </c>
      <c r="B19" s="7" t="n"/>
      <c r="C19" s="7" t="n"/>
      <c r="D19" s="7" t="n"/>
      <c r="E19" s="7" t="n"/>
      <c r="F19" s="7" t="n"/>
      <c r="G19" s="12">
        <f>SUM(G16:G18)</f>
        <v/>
      </c>
    </row>
    <row r="21">
      <c r="A21" s="6" t="inlineStr"/>
      <c r="B21" s="6" t="inlineStr">
        <is>
          <t>Garagem 4</t>
        </is>
      </c>
      <c r="C21" s="6" t="inlineStr"/>
      <c r="D21" s="6" t="inlineStr"/>
      <c r="E21" s="6" t="n"/>
      <c r="F21" s="6" t="n"/>
      <c r="G21" s="6" t="n"/>
    </row>
    <row r="22">
      <c r="A22" s="7" t="inlineStr">
        <is>
          <t>5.1</t>
        </is>
      </c>
      <c r="B22" s="7" t="inlineStr">
        <is>
          <t>Garagem 4</t>
        </is>
      </c>
      <c r="C22" s="8" t="inlineStr">
        <is>
          <t>Alvenaria Bloco Cerâmico 14x19x29</t>
        </is>
      </c>
      <c r="D22" s="7" t="inlineStr">
        <is>
          <t>m²</t>
        </is>
      </c>
      <c r="E22" s="9" t="n">
        <v>36</v>
      </c>
      <c r="F22" s="10" t="n">
        <v>35</v>
      </c>
      <c r="G22" s="10">
        <f>E22*F22</f>
        <v/>
      </c>
    </row>
    <row r="23">
      <c r="A23" s="7" t="inlineStr">
        <is>
          <t>5.2</t>
        </is>
      </c>
      <c r="B23" s="7" t="inlineStr">
        <is>
          <t>Garagem 4</t>
        </is>
      </c>
      <c r="C23" s="8" t="inlineStr">
        <is>
          <t>Chapisco</t>
        </is>
      </c>
      <c r="D23" s="7" t="inlineStr">
        <is>
          <t>m²</t>
        </is>
      </c>
      <c r="E23" s="9" t="n">
        <v>72</v>
      </c>
      <c r="F23" s="10" t="n">
        <v>8.5</v>
      </c>
      <c r="G23" s="10">
        <f>E23*F23</f>
        <v/>
      </c>
    </row>
    <row r="24">
      <c r="A24" s="7" t="inlineStr">
        <is>
          <t>5.3</t>
        </is>
      </c>
      <c r="B24" s="7" t="inlineStr">
        <is>
          <t>Garagem 4</t>
        </is>
      </c>
      <c r="C24" s="8" t="inlineStr">
        <is>
          <t>Reboco Paulista</t>
        </is>
      </c>
      <c r="D24" s="7" t="inlineStr">
        <is>
          <t>m²</t>
        </is>
      </c>
      <c r="E24" s="9" t="n">
        <v>72</v>
      </c>
      <c r="F24" s="10" t="n">
        <v>28</v>
      </c>
      <c r="G24" s="10">
        <f>E24*F24</f>
        <v/>
      </c>
    </row>
    <row r="25">
      <c r="A25" s="11" t="inlineStr">
        <is>
          <t>Subtotal Garagem 4</t>
        </is>
      </c>
      <c r="B25" s="7" t="n"/>
      <c r="C25" s="7" t="n"/>
      <c r="D25" s="7" t="n"/>
      <c r="E25" s="7" t="n"/>
      <c r="F25" s="7" t="n"/>
      <c r="G25" s="12">
        <f>SUM(G22:G24)</f>
        <v/>
      </c>
    </row>
    <row r="27">
      <c r="A27" s="6" t="inlineStr"/>
      <c r="B27" s="6" t="inlineStr">
        <is>
          <t>Garagem 5</t>
        </is>
      </c>
      <c r="C27" s="6" t="inlineStr"/>
      <c r="D27" s="6" t="inlineStr"/>
      <c r="E27" s="6" t="n"/>
      <c r="F27" s="6" t="n"/>
      <c r="G27" s="6" t="n"/>
    </row>
    <row r="28">
      <c r="A28" s="7" t="inlineStr">
        <is>
          <t>5.1</t>
        </is>
      </c>
      <c r="B28" s="7" t="inlineStr">
        <is>
          <t>Garagem 5</t>
        </is>
      </c>
      <c r="C28" s="8" t="inlineStr">
        <is>
          <t>Alvenaria Bloco Cerâmico 14x19x29</t>
        </is>
      </c>
      <c r="D28" s="7" t="inlineStr">
        <is>
          <t>m²</t>
        </is>
      </c>
      <c r="E28" s="9" t="n">
        <v>36</v>
      </c>
      <c r="F28" s="10" t="n">
        <v>35</v>
      </c>
      <c r="G28" s="10">
        <f>E28*F28</f>
        <v/>
      </c>
    </row>
    <row r="29">
      <c r="A29" s="7" t="inlineStr">
        <is>
          <t>5.2</t>
        </is>
      </c>
      <c r="B29" s="7" t="inlineStr">
        <is>
          <t>Garagem 5</t>
        </is>
      </c>
      <c r="C29" s="8" t="inlineStr">
        <is>
          <t>Chapisco</t>
        </is>
      </c>
      <c r="D29" s="7" t="inlineStr">
        <is>
          <t>m²</t>
        </is>
      </c>
      <c r="E29" s="9" t="n">
        <v>72</v>
      </c>
      <c r="F29" s="10" t="n">
        <v>8.5</v>
      </c>
      <c r="G29" s="10">
        <f>E29*F29</f>
        <v/>
      </c>
    </row>
    <row r="30">
      <c r="A30" s="7" t="inlineStr">
        <is>
          <t>5.3</t>
        </is>
      </c>
      <c r="B30" s="7" t="inlineStr">
        <is>
          <t>Garagem 5</t>
        </is>
      </c>
      <c r="C30" s="8" t="inlineStr">
        <is>
          <t>Reboco Paulista</t>
        </is>
      </c>
      <c r="D30" s="7" t="inlineStr">
        <is>
          <t>m²</t>
        </is>
      </c>
      <c r="E30" s="9" t="n">
        <v>72</v>
      </c>
      <c r="F30" s="10" t="n">
        <v>28</v>
      </c>
      <c r="G30" s="10">
        <f>E30*F30</f>
        <v/>
      </c>
    </row>
    <row r="31">
      <c r="A31" s="11" t="inlineStr">
        <is>
          <t>Subtotal Garagem 5</t>
        </is>
      </c>
      <c r="B31" s="7" t="n"/>
      <c r="C31" s="7" t="n"/>
      <c r="D31" s="7" t="n"/>
      <c r="E31" s="7" t="n"/>
      <c r="F31" s="7" t="n"/>
      <c r="G31" s="12">
        <f>SUM(G28:G30)</f>
        <v/>
      </c>
    </row>
    <row r="33">
      <c r="A33" s="6" t="inlineStr"/>
      <c r="B33" s="6" t="inlineStr">
        <is>
          <t>Lazer (6º)</t>
        </is>
      </c>
      <c r="C33" s="6" t="inlineStr"/>
      <c r="D33" s="6" t="inlineStr"/>
      <c r="E33" s="6" t="n"/>
      <c r="F33" s="6" t="n"/>
      <c r="G33" s="6" t="n"/>
    </row>
    <row r="34">
      <c r="A34" s="7" t="inlineStr">
        <is>
          <t>5.1</t>
        </is>
      </c>
      <c r="B34" s="7" t="inlineStr">
        <is>
          <t>Lazer (6º)</t>
        </is>
      </c>
      <c r="C34" s="8" t="inlineStr">
        <is>
          <t>Alvenaria Bloco Cerâmico 14x19x29</t>
        </is>
      </c>
      <c r="D34" s="7" t="inlineStr">
        <is>
          <t>m²</t>
        </is>
      </c>
      <c r="E34" s="9" t="n">
        <v>180</v>
      </c>
      <c r="F34" s="10" t="n">
        <v>35</v>
      </c>
      <c r="G34" s="10">
        <f>E34*F34</f>
        <v/>
      </c>
    </row>
    <row r="35">
      <c r="A35" s="7" t="inlineStr">
        <is>
          <t>5.2</t>
        </is>
      </c>
      <c r="B35" s="7" t="inlineStr">
        <is>
          <t>Lazer (6º)</t>
        </is>
      </c>
      <c r="C35" s="8" t="inlineStr">
        <is>
          <t>Chapisco</t>
        </is>
      </c>
      <c r="D35" s="7" t="inlineStr">
        <is>
          <t>m²</t>
        </is>
      </c>
      <c r="E35" s="9" t="n">
        <v>360</v>
      </c>
      <c r="F35" s="10" t="n">
        <v>8.5</v>
      </c>
      <c r="G35" s="10">
        <f>E35*F35</f>
        <v/>
      </c>
    </row>
    <row r="36">
      <c r="A36" s="7" t="inlineStr">
        <is>
          <t>5.3</t>
        </is>
      </c>
      <c r="B36" s="7" t="inlineStr">
        <is>
          <t>Lazer (6º)</t>
        </is>
      </c>
      <c r="C36" s="8" t="inlineStr">
        <is>
          <t>Reboco Paulista</t>
        </is>
      </c>
      <c r="D36" s="7" t="inlineStr">
        <is>
          <t>m²</t>
        </is>
      </c>
      <c r="E36" s="9" t="n">
        <v>360</v>
      </c>
      <c r="F36" s="10" t="n">
        <v>28</v>
      </c>
      <c r="G36" s="10">
        <f>E36*F36</f>
        <v/>
      </c>
    </row>
    <row r="37">
      <c r="A37" s="11" t="inlineStr">
        <is>
          <t>Subtotal Lazer (6º)</t>
        </is>
      </c>
      <c r="B37" s="7" t="n"/>
      <c r="C37" s="7" t="n"/>
      <c r="D37" s="7" t="n"/>
      <c r="E37" s="7" t="n"/>
      <c r="F37" s="7" t="n"/>
      <c r="G37" s="12">
        <f>SUM(G34:G36)</f>
        <v/>
      </c>
    </row>
    <row r="39">
      <c r="A39" s="6" t="inlineStr"/>
      <c r="B39" s="6" t="inlineStr">
        <is>
          <t>7º Pav (Tipo 2)</t>
        </is>
      </c>
      <c r="C39" s="6" t="inlineStr"/>
      <c r="D39" s="6" t="inlineStr"/>
      <c r="E39" s="6" t="n"/>
      <c r="F39" s="6" t="n"/>
      <c r="G39" s="6" t="n"/>
    </row>
    <row r="40">
      <c r="A40" s="7" t="inlineStr">
        <is>
          <t>5.1</t>
        </is>
      </c>
      <c r="B40" s="7" t="inlineStr">
        <is>
          <t>7º Pav (Tipo 2)</t>
        </is>
      </c>
      <c r="C40" s="8" t="inlineStr">
        <is>
          <t>Alvenaria Bloco Cerâmico 14x19x29</t>
        </is>
      </c>
      <c r="D40" s="7" t="inlineStr">
        <is>
          <t>m²</t>
        </is>
      </c>
      <c r="E40" s="9" t="n">
        <v>180</v>
      </c>
      <c r="F40" s="10" t="n">
        <v>35</v>
      </c>
      <c r="G40" s="10">
        <f>E40*F40</f>
        <v/>
      </c>
    </row>
    <row r="41">
      <c r="A41" s="7" t="inlineStr">
        <is>
          <t>5.2</t>
        </is>
      </c>
      <c r="B41" s="7" t="inlineStr">
        <is>
          <t>7º Pav (Tipo 2)</t>
        </is>
      </c>
      <c r="C41" s="8" t="inlineStr">
        <is>
          <t>Chapisco</t>
        </is>
      </c>
      <c r="D41" s="7" t="inlineStr">
        <is>
          <t>m²</t>
        </is>
      </c>
      <c r="E41" s="9" t="n">
        <v>360</v>
      </c>
      <c r="F41" s="10" t="n">
        <v>8.5</v>
      </c>
      <c r="G41" s="10">
        <f>E41*F41</f>
        <v/>
      </c>
    </row>
    <row r="42">
      <c r="A42" s="7" t="inlineStr">
        <is>
          <t>5.3</t>
        </is>
      </c>
      <c r="B42" s="7" t="inlineStr">
        <is>
          <t>7º Pav (Tipo 2)</t>
        </is>
      </c>
      <c r="C42" s="8" t="inlineStr">
        <is>
          <t>Reboco Paulista</t>
        </is>
      </c>
      <c r="D42" s="7" t="inlineStr">
        <is>
          <t>m²</t>
        </is>
      </c>
      <c r="E42" s="9" t="n">
        <v>360</v>
      </c>
      <c r="F42" s="10" t="n">
        <v>28</v>
      </c>
      <c r="G42" s="10">
        <f>E42*F42</f>
        <v/>
      </c>
    </row>
    <row r="43">
      <c r="A43" s="11" t="inlineStr">
        <is>
          <t>Subtotal 7º Pav (Tipo 2)</t>
        </is>
      </c>
      <c r="B43" s="7" t="n"/>
      <c r="C43" s="7" t="n"/>
      <c r="D43" s="7" t="n"/>
      <c r="E43" s="7" t="n"/>
      <c r="F43" s="7" t="n"/>
      <c r="G43" s="12">
        <f>SUM(G40:G42)</f>
        <v/>
      </c>
    </row>
    <row r="45">
      <c r="A45" s="6" t="inlineStr"/>
      <c r="B45" s="6" t="inlineStr">
        <is>
          <t>8º Pav (Tipo 3)</t>
        </is>
      </c>
      <c r="C45" s="6" t="inlineStr"/>
      <c r="D45" s="6" t="inlineStr"/>
      <c r="E45" s="6" t="n"/>
      <c r="F45" s="6" t="n"/>
      <c r="G45" s="6" t="n"/>
    </row>
    <row r="46">
      <c r="A46" s="7" t="inlineStr">
        <is>
          <t>5.1</t>
        </is>
      </c>
      <c r="B46" s="7" t="inlineStr">
        <is>
          <t>8º Pav (Tipo 3)</t>
        </is>
      </c>
      <c r="C46" s="8" t="inlineStr">
        <is>
          <t>Alvenaria Bloco Cerâmico 14x19x29</t>
        </is>
      </c>
      <c r="D46" s="7" t="inlineStr">
        <is>
          <t>m²</t>
        </is>
      </c>
      <c r="E46" s="9" t="n">
        <v>180</v>
      </c>
      <c r="F46" s="10" t="n">
        <v>35</v>
      </c>
      <c r="G46" s="10">
        <f>E46*F46</f>
        <v/>
      </c>
    </row>
    <row r="47">
      <c r="A47" s="7" t="inlineStr">
        <is>
          <t>5.2</t>
        </is>
      </c>
      <c r="B47" s="7" t="inlineStr">
        <is>
          <t>8º Pav (Tipo 3)</t>
        </is>
      </c>
      <c r="C47" s="8" t="inlineStr">
        <is>
          <t>Chapisco</t>
        </is>
      </c>
      <c r="D47" s="7" t="inlineStr">
        <is>
          <t>m²</t>
        </is>
      </c>
      <c r="E47" s="9" t="n">
        <v>360</v>
      </c>
      <c r="F47" s="10" t="n">
        <v>8.5</v>
      </c>
      <c r="G47" s="10">
        <f>E47*F47</f>
        <v/>
      </c>
    </row>
    <row r="48">
      <c r="A48" s="7" t="inlineStr">
        <is>
          <t>5.3</t>
        </is>
      </c>
      <c r="B48" s="7" t="inlineStr">
        <is>
          <t>8º Pav (Tipo 3)</t>
        </is>
      </c>
      <c r="C48" s="8" t="inlineStr">
        <is>
          <t>Reboco Paulista</t>
        </is>
      </c>
      <c r="D48" s="7" t="inlineStr">
        <is>
          <t>m²</t>
        </is>
      </c>
      <c r="E48" s="9" t="n">
        <v>360</v>
      </c>
      <c r="F48" s="10" t="n">
        <v>28</v>
      </c>
      <c r="G48" s="10">
        <f>E48*F48</f>
        <v/>
      </c>
    </row>
    <row r="49">
      <c r="A49" s="11" t="inlineStr">
        <is>
          <t>Subtotal 8º Pav (Tipo 3)</t>
        </is>
      </c>
      <c r="B49" s="7" t="n"/>
      <c r="C49" s="7" t="n"/>
      <c r="D49" s="7" t="n"/>
      <c r="E49" s="7" t="n"/>
      <c r="F49" s="7" t="n"/>
      <c r="G49" s="12">
        <f>SUM(G46:G48)</f>
        <v/>
      </c>
    </row>
    <row r="51">
      <c r="A51" s="6" t="inlineStr"/>
      <c r="B51" s="6" t="inlineStr">
        <is>
          <t>9º Pav (Tipo 4)</t>
        </is>
      </c>
      <c r="C51" s="6" t="inlineStr"/>
      <c r="D51" s="6" t="inlineStr"/>
      <c r="E51" s="6" t="n"/>
      <c r="F51" s="6" t="n"/>
      <c r="G51" s="6" t="n"/>
    </row>
    <row r="52">
      <c r="A52" s="7" t="inlineStr">
        <is>
          <t>5.1</t>
        </is>
      </c>
      <c r="B52" s="7" t="inlineStr">
        <is>
          <t>9º Pav (Tipo 4)</t>
        </is>
      </c>
      <c r="C52" s="8" t="inlineStr">
        <is>
          <t>Alvenaria Bloco Cerâmico 14x19x29</t>
        </is>
      </c>
      <c r="D52" s="7" t="inlineStr">
        <is>
          <t>m²</t>
        </is>
      </c>
      <c r="E52" s="9" t="n">
        <v>180</v>
      </c>
      <c r="F52" s="10" t="n">
        <v>35</v>
      </c>
      <c r="G52" s="10">
        <f>E52*F52</f>
        <v/>
      </c>
    </row>
    <row r="53">
      <c r="A53" s="7" t="inlineStr">
        <is>
          <t>5.2</t>
        </is>
      </c>
      <c r="B53" s="7" t="inlineStr">
        <is>
          <t>9º Pav (Tipo 4)</t>
        </is>
      </c>
      <c r="C53" s="8" t="inlineStr">
        <is>
          <t>Chapisco</t>
        </is>
      </c>
      <c r="D53" s="7" t="inlineStr">
        <is>
          <t>m²</t>
        </is>
      </c>
      <c r="E53" s="9" t="n">
        <v>360</v>
      </c>
      <c r="F53" s="10" t="n">
        <v>8.5</v>
      </c>
      <c r="G53" s="10">
        <f>E53*F53</f>
        <v/>
      </c>
    </row>
    <row r="54">
      <c r="A54" s="7" t="inlineStr">
        <is>
          <t>5.3</t>
        </is>
      </c>
      <c r="B54" s="7" t="inlineStr">
        <is>
          <t>9º Pav (Tipo 4)</t>
        </is>
      </c>
      <c r="C54" s="8" t="inlineStr">
        <is>
          <t>Reboco Paulista</t>
        </is>
      </c>
      <c r="D54" s="7" t="inlineStr">
        <is>
          <t>m²</t>
        </is>
      </c>
      <c r="E54" s="9" t="n">
        <v>360</v>
      </c>
      <c r="F54" s="10" t="n">
        <v>28</v>
      </c>
      <c r="G54" s="10">
        <f>E54*F54</f>
        <v/>
      </c>
    </row>
    <row r="55">
      <c r="A55" s="11" t="inlineStr">
        <is>
          <t>Subtotal 9º Pav (Tipo 4)</t>
        </is>
      </c>
      <c r="B55" s="7" t="n"/>
      <c r="C55" s="7" t="n"/>
      <c r="D55" s="7" t="n"/>
      <c r="E55" s="7" t="n"/>
      <c r="F55" s="7" t="n"/>
      <c r="G55" s="12">
        <f>SUM(G52:G54)</f>
        <v/>
      </c>
    </row>
    <row r="57">
      <c r="A57" s="6" t="inlineStr"/>
      <c r="B57" s="6" t="inlineStr">
        <is>
          <t>10º Pav (Tipo 5)</t>
        </is>
      </c>
      <c r="C57" s="6" t="inlineStr"/>
      <c r="D57" s="6" t="inlineStr"/>
      <c r="E57" s="6" t="n"/>
      <c r="F57" s="6" t="n"/>
      <c r="G57" s="6" t="n"/>
    </row>
    <row r="58">
      <c r="A58" s="7" t="inlineStr">
        <is>
          <t>5.1</t>
        </is>
      </c>
      <c r="B58" s="7" t="inlineStr">
        <is>
          <t>10º Pav (Tipo 5)</t>
        </is>
      </c>
      <c r="C58" s="8" t="inlineStr">
        <is>
          <t>Alvenaria Bloco Cerâmico 14x19x29</t>
        </is>
      </c>
      <c r="D58" s="7" t="inlineStr">
        <is>
          <t>m²</t>
        </is>
      </c>
      <c r="E58" s="9" t="n">
        <v>180</v>
      </c>
      <c r="F58" s="10" t="n">
        <v>35</v>
      </c>
      <c r="G58" s="10">
        <f>E58*F58</f>
        <v/>
      </c>
    </row>
    <row r="59">
      <c r="A59" s="7" t="inlineStr">
        <is>
          <t>5.2</t>
        </is>
      </c>
      <c r="B59" s="7" t="inlineStr">
        <is>
          <t>10º Pav (Tipo 5)</t>
        </is>
      </c>
      <c r="C59" s="8" t="inlineStr">
        <is>
          <t>Chapisco</t>
        </is>
      </c>
      <c r="D59" s="7" t="inlineStr">
        <is>
          <t>m²</t>
        </is>
      </c>
      <c r="E59" s="9" t="n">
        <v>360</v>
      </c>
      <c r="F59" s="10" t="n">
        <v>8.5</v>
      </c>
      <c r="G59" s="10">
        <f>E59*F59</f>
        <v/>
      </c>
    </row>
    <row r="60">
      <c r="A60" s="7" t="inlineStr">
        <is>
          <t>5.3</t>
        </is>
      </c>
      <c r="B60" s="7" t="inlineStr">
        <is>
          <t>10º Pav (Tipo 5)</t>
        </is>
      </c>
      <c r="C60" s="8" t="inlineStr">
        <is>
          <t>Reboco Paulista</t>
        </is>
      </c>
      <c r="D60" s="7" t="inlineStr">
        <is>
          <t>m²</t>
        </is>
      </c>
      <c r="E60" s="9" t="n">
        <v>360</v>
      </c>
      <c r="F60" s="10" t="n">
        <v>28</v>
      </c>
      <c r="G60" s="10">
        <f>E60*F60</f>
        <v/>
      </c>
    </row>
    <row r="61">
      <c r="A61" s="11" t="inlineStr">
        <is>
          <t>Subtotal 10º Pav (Tipo 5)</t>
        </is>
      </c>
      <c r="B61" s="7" t="n"/>
      <c r="C61" s="7" t="n"/>
      <c r="D61" s="7" t="n"/>
      <c r="E61" s="7" t="n"/>
      <c r="F61" s="7" t="n"/>
      <c r="G61" s="12">
        <f>SUM(G58:G60)</f>
        <v/>
      </c>
    </row>
    <row r="63">
      <c r="A63" s="6" t="inlineStr"/>
      <c r="B63" s="6" t="inlineStr">
        <is>
          <t>11º Pav (Tipo 6)</t>
        </is>
      </c>
      <c r="C63" s="6" t="inlineStr"/>
      <c r="D63" s="6" t="inlineStr"/>
      <c r="E63" s="6" t="n"/>
      <c r="F63" s="6" t="n"/>
      <c r="G63" s="6" t="n"/>
    </row>
    <row r="64">
      <c r="A64" s="7" t="inlineStr">
        <is>
          <t>5.1</t>
        </is>
      </c>
      <c r="B64" s="7" t="inlineStr">
        <is>
          <t>11º Pav (Tipo 6)</t>
        </is>
      </c>
      <c r="C64" s="8" t="inlineStr">
        <is>
          <t>Alvenaria Bloco Cerâmico 14x19x29</t>
        </is>
      </c>
      <c r="D64" s="7" t="inlineStr">
        <is>
          <t>m²</t>
        </is>
      </c>
      <c r="E64" s="9" t="n">
        <v>180</v>
      </c>
      <c r="F64" s="10" t="n">
        <v>35</v>
      </c>
      <c r="G64" s="10">
        <f>E64*F64</f>
        <v/>
      </c>
    </row>
    <row r="65">
      <c r="A65" s="7" t="inlineStr">
        <is>
          <t>5.2</t>
        </is>
      </c>
      <c r="B65" s="7" t="inlineStr">
        <is>
          <t>11º Pav (Tipo 6)</t>
        </is>
      </c>
      <c r="C65" s="8" t="inlineStr">
        <is>
          <t>Chapisco</t>
        </is>
      </c>
      <c r="D65" s="7" t="inlineStr">
        <is>
          <t>m²</t>
        </is>
      </c>
      <c r="E65" s="9" t="n">
        <v>360</v>
      </c>
      <c r="F65" s="10" t="n">
        <v>8.5</v>
      </c>
      <c r="G65" s="10">
        <f>E65*F65</f>
        <v/>
      </c>
    </row>
    <row r="66">
      <c r="A66" s="7" t="inlineStr">
        <is>
          <t>5.3</t>
        </is>
      </c>
      <c r="B66" s="7" t="inlineStr">
        <is>
          <t>11º Pav (Tipo 6)</t>
        </is>
      </c>
      <c r="C66" s="8" t="inlineStr">
        <is>
          <t>Reboco Paulista</t>
        </is>
      </c>
      <c r="D66" s="7" t="inlineStr">
        <is>
          <t>m²</t>
        </is>
      </c>
      <c r="E66" s="9" t="n">
        <v>360</v>
      </c>
      <c r="F66" s="10" t="n">
        <v>28</v>
      </c>
      <c r="G66" s="10">
        <f>E66*F66</f>
        <v/>
      </c>
    </row>
    <row r="67">
      <c r="A67" s="11" t="inlineStr">
        <is>
          <t>Subtotal 11º Pav (Tipo 6)</t>
        </is>
      </c>
      <c r="B67" s="7" t="n"/>
      <c r="C67" s="7" t="n"/>
      <c r="D67" s="7" t="n"/>
      <c r="E67" s="7" t="n"/>
      <c r="F67" s="7" t="n"/>
      <c r="G67" s="12">
        <f>SUM(G64:G66)</f>
        <v/>
      </c>
    </row>
    <row r="69">
      <c r="A69" s="6" t="inlineStr"/>
      <c r="B69" s="6" t="inlineStr">
        <is>
          <t>12º Pav (Tipo 7)</t>
        </is>
      </c>
      <c r="C69" s="6" t="inlineStr"/>
      <c r="D69" s="6" t="inlineStr"/>
      <c r="E69" s="6" t="n"/>
      <c r="F69" s="6" t="n"/>
      <c r="G69" s="6" t="n"/>
    </row>
    <row r="70">
      <c r="A70" s="7" t="inlineStr">
        <is>
          <t>5.1</t>
        </is>
      </c>
      <c r="B70" s="7" t="inlineStr">
        <is>
          <t>12º Pav (Tipo 7)</t>
        </is>
      </c>
      <c r="C70" s="8" t="inlineStr">
        <is>
          <t>Alvenaria Bloco Cerâmico 14x19x29</t>
        </is>
      </c>
      <c r="D70" s="7" t="inlineStr">
        <is>
          <t>m²</t>
        </is>
      </c>
      <c r="E70" s="9" t="n">
        <v>180</v>
      </c>
      <c r="F70" s="10" t="n">
        <v>35</v>
      </c>
      <c r="G70" s="10">
        <f>E70*F70</f>
        <v/>
      </c>
    </row>
    <row r="71">
      <c r="A71" s="7" t="inlineStr">
        <is>
          <t>5.2</t>
        </is>
      </c>
      <c r="B71" s="7" t="inlineStr">
        <is>
          <t>12º Pav (Tipo 7)</t>
        </is>
      </c>
      <c r="C71" s="8" t="inlineStr">
        <is>
          <t>Chapisco</t>
        </is>
      </c>
      <c r="D71" s="7" t="inlineStr">
        <is>
          <t>m²</t>
        </is>
      </c>
      <c r="E71" s="9" t="n">
        <v>360</v>
      </c>
      <c r="F71" s="10" t="n">
        <v>8.5</v>
      </c>
      <c r="G71" s="10">
        <f>E71*F71</f>
        <v/>
      </c>
    </row>
    <row r="72">
      <c r="A72" s="7" t="inlineStr">
        <is>
          <t>5.3</t>
        </is>
      </c>
      <c r="B72" s="7" t="inlineStr">
        <is>
          <t>12º Pav (Tipo 7)</t>
        </is>
      </c>
      <c r="C72" s="8" t="inlineStr">
        <is>
          <t>Reboco Paulista</t>
        </is>
      </c>
      <c r="D72" s="7" t="inlineStr">
        <is>
          <t>m²</t>
        </is>
      </c>
      <c r="E72" s="9" t="n">
        <v>360</v>
      </c>
      <c r="F72" s="10" t="n">
        <v>28</v>
      </c>
      <c r="G72" s="10">
        <f>E72*F72</f>
        <v/>
      </c>
    </row>
    <row r="73">
      <c r="A73" s="11" t="inlineStr">
        <is>
          <t>Subtotal 12º Pav (Tipo 7)</t>
        </is>
      </c>
      <c r="B73" s="7" t="n"/>
      <c r="C73" s="7" t="n"/>
      <c r="D73" s="7" t="n"/>
      <c r="E73" s="7" t="n"/>
      <c r="F73" s="7" t="n"/>
      <c r="G73" s="12">
        <f>SUM(G70:G72)</f>
        <v/>
      </c>
    </row>
    <row r="75">
      <c r="A75" s="6" t="inlineStr"/>
      <c r="B75" s="6" t="inlineStr">
        <is>
          <t>13º Pav (Tipo 8)</t>
        </is>
      </c>
      <c r="C75" s="6" t="inlineStr"/>
      <c r="D75" s="6" t="inlineStr"/>
      <c r="E75" s="6" t="n"/>
      <c r="F75" s="6" t="n"/>
      <c r="G75" s="6" t="n"/>
    </row>
    <row r="76">
      <c r="A76" s="7" t="inlineStr">
        <is>
          <t>5.1</t>
        </is>
      </c>
      <c r="B76" s="7" t="inlineStr">
        <is>
          <t>13º Pav (Tipo 8)</t>
        </is>
      </c>
      <c r="C76" s="8" t="inlineStr">
        <is>
          <t>Alvenaria Bloco Cerâmico 14x19x29</t>
        </is>
      </c>
      <c r="D76" s="7" t="inlineStr">
        <is>
          <t>m²</t>
        </is>
      </c>
      <c r="E76" s="9" t="n">
        <v>180</v>
      </c>
      <c r="F76" s="10" t="n">
        <v>35</v>
      </c>
      <c r="G76" s="10">
        <f>E76*F76</f>
        <v/>
      </c>
    </row>
    <row r="77">
      <c r="A77" s="7" t="inlineStr">
        <is>
          <t>5.2</t>
        </is>
      </c>
      <c r="B77" s="7" t="inlineStr">
        <is>
          <t>13º Pav (Tipo 8)</t>
        </is>
      </c>
      <c r="C77" s="8" t="inlineStr">
        <is>
          <t>Chapisco</t>
        </is>
      </c>
      <c r="D77" s="7" t="inlineStr">
        <is>
          <t>m²</t>
        </is>
      </c>
      <c r="E77" s="9" t="n">
        <v>360</v>
      </c>
      <c r="F77" s="10" t="n">
        <v>8.5</v>
      </c>
      <c r="G77" s="10">
        <f>E77*F77</f>
        <v/>
      </c>
    </row>
    <row r="78">
      <c r="A78" s="7" t="inlineStr">
        <is>
          <t>5.3</t>
        </is>
      </c>
      <c r="B78" s="7" t="inlineStr">
        <is>
          <t>13º Pav (Tipo 8)</t>
        </is>
      </c>
      <c r="C78" s="8" t="inlineStr">
        <is>
          <t>Reboco Paulista</t>
        </is>
      </c>
      <c r="D78" s="7" t="inlineStr">
        <is>
          <t>m²</t>
        </is>
      </c>
      <c r="E78" s="9" t="n">
        <v>360</v>
      </c>
      <c r="F78" s="10" t="n">
        <v>28</v>
      </c>
      <c r="G78" s="10">
        <f>E78*F78</f>
        <v/>
      </c>
    </row>
    <row r="79">
      <c r="A79" s="11" t="inlineStr">
        <is>
          <t>Subtotal 13º Pav (Tipo 8)</t>
        </is>
      </c>
      <c r="B79" s="7" t="n"/>
      <c r="C79" s="7" t="n"/>
      <c r="D79" s="7" t="n"/>
      <c r="E79" s="7" t="n"/>
      <c r="F79" s="7" t="n"/>
      <c r="G79" s="12">
        <f>SUM(G76:G78)</f>
        <v/>
      </c>
    </row>
    <row r="81">
      <c r="A81" s="6" t="inlineStr"/>
      <c r="B81" s="6" t="inlineStr">
        <is>
          <t>14º Pav (Tipo 9)</t>
        </is>
      </c>
      <c r="C81" s="6" t="inlineStr"/>
      <c r="D81" s="6" t="inlineStr"/>
      <c r="E81" s="6" t="n"/>
      <c r="F81" s="6" t="n"/>
      <c r="G81" s="6" t="n"/>
    </row>
    <row r="82">
      <c r="A82" s="7" t="inlineStr">
        <is>
          <t>5.1</t>
        </is>
      </c>
      <c r="B82" s="7" t="inlineStr">
        <is>
          <t>14º Pav (Tipo 9)</t>
        </is>
      </c>
      <c r="C82" s="8" t="inlineStr">
        <is>
          <t>Alvenaria Bloco Cerâmico 14x19x29</t>
        </is>
      </c>
      <c r="D82" s="7" t="inlineStr">
        <is>
          <t>m²</t>
        </is>
      </c>
      <c r="E82" s="9" t="n">
        <v>180</v>
      </c>
      <c r="F82" s="10" t="n">
        <v>35</v>
      </c>
      <c r="G82" s="10">
        <f>E82*F82</f>
        <v/>
      </c>
    </row>
    <row r="83">
      <c r="A83" s="7" t="inlineStr">
        <is>
          <t>5.2</t>
        </is>
      </c>
      <c r="B83" s="7" t="inlineStr">
        <is>
          <t>14º Pav (Tipo 9)</t>
        </is>
      </c>
      <c r="C83" s="8" t="inlineStr">
        <is>
          <t>Chapisco</t>
        </is>
      </c>
      <c r="D83" s="7" t="inlineStr">
        <is>
          <t>m²</t>
        </is>
      </c>
      <c r="E83" s="9" t="n">
        <v>360</v>
      </c>
      <c r="F83" s="10" t="n">
        <v>8.5</v>
      </c>
      <c r="G83" s="10">
        <f>E83*F83</f>
        <v/>
      </c>
    </row>
    <row r="84">
      <c r="A84" s="7" t="inlineStr">
        <is>
          <t>5.3</t>
        </is>
      </c>
      <c r="B84" s="7" t="inlineStr">
        <is>
          <t>14º Pav (Tipo 9)</t>
        </is>
      </c>
      <c r="C84" s="8" t="inlineStr">
        <is>
          <t>Reboco Paulista</t>
        </is>
      </c>
      <c r="D84" s="7" t="inlineStr">
        <is>
          <t>m²</t>
        </is>
      </c>
      <c r="E84" s="9" t="n">
        <v>360</v>
      </c>
      <c r="F84" s="10" t="n">
        <v>28</v>
      </c>
      <c r="G84" s="10">
        <f>E84*F84</f>
        <v/>
      </c>
    </row>
    <row r="85">
      <c r="A85" s="11" t="inlineStr">
        <is>
          <t>Subtotal 14º Pav (Tipo 9)</t>
        </is>
      </c>
      <c r="B85" s="7" t="n"/>
      <c r="C85" s="7" t="n"/>
      <c r="D85" s="7" t="n"/>
      <c r="E85" s="7" t="n"/>
      <c r="F85" s="7" t="n"/>
      <c r="G85" s="12">
        <f>SUM(G82:G84)</f>
        <v/>
      </c>
    </row>
    <row r="87">
      <c r="A87" s="6" t="inlineStr"/>
      <c r="B87" s="6" t="inlineStr">
        <is>
          <t>15º Pav (Tipo 10)</t>
        </is>
      </c>
      <c r="C87" s="6" t="inlineStr"/>
      <c r="D87" s="6" t="inlineStr"/>
      <c r="E87" s="6" t="n"/>
      <c r="F87" s="6" t="n"/>
      <c r="G87" s="6" t="n"/>
    </row>
    <row r="88">
      <c r="A88" s="7" t="inlineStr">
        <is>
          <t>5.1</t>
        </is>
      </c>
      <c r="B88" s="7" t="inlineStr">
        <is>
          <t>15º Pav (Tipo 10)</t>
        </is>
      </c>
      <c r="C88" s="8" t="inlineStr">
        <is>
          <t>Alvenaria Bloco Cerâmico 14x19x29</t>
        </is>
      </c>
      <c r="D88" s="7" t="inlineStr">
        <is>
          <t>m²</t>
        </is>
      </c>
      <c r="E88" s="9" t="n">
        <v>180</v>
      </c>
      <c r="F88" s="10" t="n">
        <v>35</v>
      </c>
      <c r="G88" s="10">
        <f>E88*F88</f>
        <v/>
      </c>
    </row>
    <row r="89">
      <c r="A89" s="7" t="inlineStr">
        <is>
          <t>5.2</t>
        </is>
      </c>
      <c r="B89" s="7" t="inlineStr">
        <is>
          <t>15º Pav (Tipo 10)</t>
        </is>
      </c>
      <c r="C89" s="8" t="inlineStr">
        <is>
          <t>Chapisco</t>
        </is>
      </c>
      <c r="D89" s="7" t="inlineStr">
        <is>
          <t>m²</t>
        </is>
      </c>
      <c r="E89" s="9" t="n">
        <v>360</v>
      </c>
      <c r="F89" s="10" t="n">
        <v>8.5</v>
      </c>
      <c r="G89" s="10">
        <f>E89*F89</f>
        <v/>
      </c>
    </row>
    <row r="90">
      <c r="A90" s="7" t="inlineStr">
        <is>
          <t>5.3</t>
        </is>
      </c>
      <c r="B90" s="7" t="inlineStr">
        <is>
          <t>15º Pav (Tipo 10)</t>
        </is>
      </c>
      <c r="C90" s="8" t="inlineStr">
        <is>
          <t>Reboco Paulista</t>
        </is>
      </c>
      <c r="D90" s="7" t="inlineStr">
        <is>
          <t>m²</t>
        </is>
      </c>
      <c r="E90" s="9" t="n">
        <v>360</v>
      </c>
      <c r="F90" s="10" t="n">
        <v>28</v>
      </c>
      <c r="G90" s="10">
        <f>E90*F90</f>
        <v/>
      </c>
    </row>
    <row r="91">
      <c r="A91" s="11" t="inlineStr">
        <is>
          <t>Subtotal 15º Pav (Tipo 10)</t>
        </is>
      </c>
      <c r="B91" s="7" t="n"/>
      <c r="C91" s="7" t="n"/>
      <c r="D91" s="7" t="n"/>
      <c r="E91" s="7" t="n"/>
      <c r="F91" s="7" t="n"/>
      <c r="G91" s="12">
        <f>SUM(G88:G90)</f>
        <v/>
      </c>
    </row>
    <row r="93">
      <c r="A93" s="6" t="inlineStr"/>
      <c r="B93" s="6" t="inlineStr">
        <is>
          <t>16º Pav (Tipo 11)</t>
        </is>
      </c>
      <c r="C93" s="6" t="inlineStr"/>
      <c r="D93" s="6" t="inlineStr"/>
      <c r="E93" s="6" t="n"/>
      <c r="F93" s="6" t="n"/>
      <c r="G93" s="6" t="n"/>
    </row>
    <row r="94">
      <c r="A94" s="7" t="inlineStr">
        <is>
          <t>5.1</t>
        </is>
      </c>
      <c r="B94" s="7" t="inlineStr">
        <is>
          <t>16º Pav (Tipo 11)</t>
        </is>
      </c>
      <c r="C94" s="8" t="inlineStr">
        <is>
          <t>Alvenaria Bloco Cerâmico 14x19x29</t>
        </is>
      </c>
      <c r="D94" s="7" t="inlineStr">
        <is>
          <t>m²</t>
        </is>
      </c>
      <c r="E94" s="9" t="n">
        <v>180</v>
      </c>
      <c r="F94" s="10" t="n">
        <v>35</v>
      </c>
      <c r="G94" s="10">
        <f>E94*F94</f>
        <v/>
      </c>
    </row>
    <row r="95">
      <c r="A95" s="7" t="inlineStr">
        <is>
          <t>5.2</t>
        </is>
      </c>
      <c r="B95" s="7" t="inlineStr">
        <is>
          <t>16º Pav (Tipo 11)</t>
        </is>
      </c>
      <c r="C95" s="8" t="inlineStr">
        <is>
          <t>Chapisco</t>
        </is>
      </c>
      <c r="D95" s="7" t="inlineStr">
        <is>
          <t>m²</t>
        </is>
      </c>
      <c r="E95" s="9" t="n">
        <v>360</v>
      </c>
      <c r="F95" s="10" t="n">
        <v>8.5</v>
      </c>
      <c r="G95" s="10">
        <f>E95*F95</f>
        <v/>
      </c>
    </row>
    <row r="96">
      <c r="A96" s="7" t="inlineStr">
        <is>
          <t>5.3</t>
        </is>
      </c>
      <c r="B96" s="7" t="inlineStr">
        <is>
          <t>16º Pav (Tipo 11)</t>
        </is>
      </c>
      <c r="C96" s="8" t="inlineStr">
        <is>
          <t>Reboco Paulista</t>
        </is>
      </c>
      <c r="D96" s="7" t="inlineStr">
        <is>
          <t>m²</t>
        </is>
      </c>
      <c r="E96" s="9" t="n">
        <v>360</v>
      </c>
      <c r="F96" s="10" t="n">
        <v>28</v>
      </c>
      <c r="G96" s="10">
        <f>E96*F96</f>
        <v/>
      </c>
    </row>
    <row r="97">
      <c r="A97" s="11" t="inlineStr">
        <is>
          <t>Subtotal 16º Pav (Tipo 11)</t>
        </is>
      </c>
      <c r="B97" s="7" t="n"/>
      <c r="C97" s="7" t="n"/>
      <c r="D97" s="7" t="n"/>
      <c r="E97" s="7" t="n"/>
      <c r="F97" s="7" t="n"/>
      <c r="G97" s="12">
        <f>SUM(G94:G96)</f>
        <v/>
      </c>
    </row>
    <row r="99">
      <c r="A99" s="6" t="inlineStr"/>
      <c r="B99" s="6" t="inlineStr">
        <is>
          <t>17º Pav (Tipo 12)</t>
        </is>
      </c>
      <c r="C99" s="6" t="inlineStr"/>
      <c r="D99" s="6" t="inlineStr"/>
      <c r="E99" s="6" t="n"/>
      <c r="F99" s="6" t="n"/>
      <c r="G99" s="6" t="n"/>
    </row>
    <row r="100">
      <c r="A100" s="7" t="inlineStr">
        <is>
          <t>5.1</t>
        </is>
      </c>
      <c r="B100" s="7" t="inlineStr">
        <is>
          <t>17º Pav (Tipo 12)</t>
        </is>
      </c>
      <c r="C100" s="8" t="inlineStr">
        <is>
          <t>Alvenaria Bloco Cerâmico 14x19x29</t>
        </is>
      </c>
      <c r="D100" s="7" t="inlineStr">
        <is>
          <t>m²</t>
        </is>
      </c>
      <c r="E100" s="9" t="n">
        <v>180</v>
      </c>
      <c r="F100" s="10" t="n">
        <v>35</v>
      </c>
      <c r="G100" s="10">
        <f>E100*F100</f>
        <v/>
      </c>
    </row>
    <row r="101">
      <c r="A101" s="7" t="inlineStr">
        <is>
          <t>5.2</t>
        </is>
      </c>
      <c r="B101" s="7" t="inlineStr">
        <is>
          <t>17º Pav (Tipo 12)</t>
        </is>
      </c>
      <c r="C101" s="8" t="inlineStr">
        <is>
          <t>Chapisco</t>
        </is>
      </c>
      <c r="D101" s="7" t="inlineStr">
        <is>
          <t>m²</t>
        </is>
      </c>
      <c r="E101" s="9" t="n">
        <v>360</v>
      </c>
      <c r="F101" s="10" t="n">
        <v>8.5</v>
      </c>
      <c r="G101" s="10">
        <f>E101*F101</f>
        <v/>
      </c>
    </row>
    <row r="102">
      <c r="A102" s="7" t="inlineStr">
        <is>
          <t>5.3</t>
        </is>
      </c>
      <c r="B102" s="7" t="inlineStr">
        <is>
          <t>17º Pav (Tipo 12)</t>
        </is>
      </c>
      <c r="C102" s="8" t="inlineStr">
        <is>
          <t>Reboco Paulista</t>
        </is>
      </c>
      <c r="D102" s="7" t="inlineStr">
        <is>
          <t>m²</t>
        </is>
      </c>
      <c r="E102" s="9" t="n">
        <v>360</v>
      </c>
      <c r="F102" s="10" t="n">
        <v>28</v>
      </c>
      <c r="G102" s="10">
        <f>E102*F102</f>
        <v/>
      </c>
    </row>
    <row r="103">
      <c r="A103" s="11" t="inlineStr">
        <is>
          <t>Subtotal 17º Pav (Tipo 12)</t>
        </is>
      </c>
      <c r="B103" s="7" t="n"/>
      <c r="C103" s="7" t="n"/>
      <c r="D103" s="7" t="n"/>
      <c r="E103" s="7" t="n"/>
      <c r="F103" s="7" t="n"/>
      <c r="G103" s="12">
        <f>SUM(G100:G102)</f>
        <v/>
      </c>
    </row>
    <row r="105">
      <c r="A105" s="6" t="inlineStr"/>
      <c r="B105" s="6" t="inlineStr">
        <is>
          <t>18º Pav (Tipo 13)</t>
        </is>
      </c>
      <c r="C105" s="6" t="inlineStr"/>
      <c r="D105" s="6" t="inlineStr"/>
      <c r="E105" s="6" t="n"/>
      <c r="F105" s="6" t="n"/>
      <c r="G105" s="6" t="n"/>
    </row>
    <row r="106">
      <c r="A106" s="7" t="inlineStr">
        <is>
          <t>5.1</t>
        </is>
      </c>
      <c r="B106" s="7" t="inlineStr">
        <is>
          <t>18º Pav (Tipo 13)</t>
        </is>
      </c>
      <c r="C106" s="8" t="inlineStr">
        <is>
          <t>Alvenaria Bloco Cerâmico 14x19x29</t>
        </is>
      </c>
      <c r="D106" s="7" t="inlineStr">
        <is>
          <t>m²</t>
        </is>
      </c>
      <c r="E106" s="9" t="n">
        <v>180</v>
      </c>
      <c r="F106" s="10" t="n">
        <v>35</v>
      </c>
      <c r="G106" s="10">
        <f>E106*F106</f>
        <v/>
      </c>
    </row>
    <row r="107">
      <c r="A107" s="7" t="inlineStr">
        <is>
          <t>5.2</t>
        </is>
      </c>
      <c r="B107" s="7" t="inlineStr">
        <is>
          <t>18º Pav (Tipo 13)</t>
        </is>
      </c>
      <c r="C107" s="8" t="inlineStr">
        <is>
          <t>Chapisco</t>
        </is>
      </c>
      <c r="D107" s="7" t="inlineStr">
        <is>
          <t>m²</t>
        </is>
      </c>
      <c r="E107" s="9" t="n">
        <v>360</v>
      </c>
      <c r="F107" s="10" t="n">
        <v>8.5</v>
      </c>
      <c r="G107" s="10">
        <f>E107*F107</f>
        <v/>
      </c>
    </row>
    <row r="108">
      <c r="A108" s="7" t="inlineStr">
        <is>
          <t>5.3</t>
        </is>
      </c>
      <c r="B108" s="7" t="inlineStr">
        <is>
          <t>18º Pav (Tipo 13)</t>
        </is>
      </c>
      <c r="C108" s="8" t="inlineStr">
        <is>
          <t>Reboco Paulista</t>
        </is>
      </c>
      <c r="D108" s="7" t="inlineStr">
        <is>
          <t>m²</t>
        </is>
      </c>
      <c r="E108" s="9" t="n">
        <v>360</v>
      </c>
      <c r="F108" s="10" t="n">
        <v>28</v>
      </c>
      <c r="G108" s="10">
        <f>E108*F108</f>
        <v/>
      </c>
    </row>
    <row r="109">
      <c r="A109" s="11" t="inlineStr">
        <is>
          <t>Subtotal 18º Pav (Tipo 13)</t>
        </is>
      </c>
      <c r="B109" s="7" t="n"/>
      <c r="C109" s="7" t="n"/>
      <c r="D109" s="7" t="n"/>
      <c r="E109" s="7" t="n"/>
      <c r="F109" s="7" t="n"/>
      <c r="G109" s="12">
        <f>SUM(G106:G108)</f>
        <v/>
      </c>
    </row>
    <row r="111">
      <c r="A111" s="6" t="inlineStr"/>
      <c r="B111" s="6" t="inlineStr">
        <is>
          <t>19º Pav (Tipo 14)</t>
        </is>
      </c>
      <c r="C111" s="6" t="inlineStr"/>
      <c r="D111" s="6" t="inlineStr"/>
      <c r="E111" s="6" t="n"/>
      <c r="F111" s="6" t="n"/>
      <c r="G111" s="6" t="n"/>
    </row>
    <row r="112">
      <c r="A112" s="7" t="inlineStr">
        <is>
          <t>5.1</t>
        </is>
      </c>
      <c r="B112" s="7" t="inlineStr">
        <is>
          <t>19º Pav (Tipo 14)</t>
        </is>
      </c>
      <c r="C112" s="8" t="inlineStr">
        <is>
          <t>Alvenaria Bloco Cerâmico 14x19x29</t>
        </is>
      </c>
      <c r="D112" s="7" t="inlineStr">
        <is>
          <t>m²</t>
        </is>
      </c>
      <c r="E112" s="9" t="n">
        <v>180</v>
      </c>
      <c r="F112" s="10" t="n">
        <v>35</v>
      </c>
      <c r="G112" s="10">
        <f>E112*F112</f>
        <v/>
      </c>
    </row>
    <row r="113">
      <c r="A113" s="7" t="inlineStr">
        <is>
          <t>5.2</t>
        </is>
      </c>
      <c r="B113" s="7" t="inlineStr">
        <is>
          <t>19º Pav (Tipo 14)</t>
        </is>
      </c>
      <c r="C113" s="8" t="inlineStr">
        <is>
          <t>Chapisco</t>
        </is>
      </c>
      <c r="D113" s="7" t="inlineStr">
        <is>
          <t>m²</t>
        </is>
      </c>
      <c r="E113" s="9" t="n">
        <v>360</v>
      </c>
      <c r="F113" s="10" t="n">
        <v>8.5</v>
      </c>
      <c r="G113" s="10">
        <f>E113*F113</f>
        <v/>
      </c>
    </row>
    <row r="114">
      <c r="A114" s="7" t="inlineStr">
        <is>
          <t>5.3</t>
        </is>
      </c>
      <c r="B114" s="7" t="inlineStr">
        <is>
          <t>19º Pav (Tipo 14)</t>
        </is>
      </c>
      <c r="C114" s="8" t="inlineStr">
        <is>
          <t>Reboco Paulista</t>
        </is>
      </c>
      <c r="D114" s="7" t="inlineStr">
        <is>
          <t>m²</t>
        </is>
      </c>
      <c r="E114" s="9" t="n">
        <v>360</v>
      </c>
      <c r="F114" s="10" t="n">
        <v>28</v>
      </c>
      <c r="G114" s="10">
        <f>E114*F114</f>
        <v/>
      </c>
    </row>
    <row r="115">
      <c r="A115" s="11" t="inlineStr">
        <is>
          <t>Subtotal 19º Pav (Tipo 14)</t>
        </is>
      </c>
      <c r="B115" s="7" t="n"/>
      <c r="C115" s="7" t="n"/>
      <c r="D115" s="7" t="n"/>
      <c r="E115" s="7" t="n"/>
      <c r="F115" s="7" t="n"/>
      <c r="G115" s="12">
        <f>SUM(G112:G114)</f>
        <v/>
      </c>
    </row>
    <row r="117">
      <c r="A117" s="6" t="inlineStr"/>
      <c r="B117" s="6" t="inlineStr">
        <is>
          <t>20º Pav (Tipo 15)</t>
        </is>
      </c>
      <c r="C117" s="6" t="inlineStr"/>
      <c r="D117" s="6" t="inlineStr"/>
      <c r="E117" s="6" t="n"/>
      <c r="F117" s="6" t="n"/>
      <c r="G117" s="6" t="n"/>
    </row>
    <row r="118">
      <c r="A118" s="7" t="inlineStr">
        <is>
          <t>5.1</t>
        </is>
      </c>
      <c r="B118" s="7" t="inlineStr">
        <is>
          <t>20º Pav (Tipo 15)</t>
        </is>
      </c>
      <c r="C118" s="8" t="inlineStr">
        <is>
          <t>Alvenaria Bloco Cerâmico 14x19x29</t>
        </is>
      </c>
      <c r="D118" s="7" t="inlineStr">
        <is>
          <t>m²</t>
        </is>
      </c>
      <c r="E118" s="9" t="n">
        <v>180</v>
      </c>
      <c r="F118" s="10" t="n">
        <v>35</v>
      </c>
      <c r="G118" s="10">
        <f>E118*F118</f>
        <v/>
      </c>
    </row>
    <row r="119">
      <c r="A119" s="7" t="inlineStr">
        <is>
          <t>5.2</t>
        </is>
      </c>
      <c r="B119" s="7" t="inlineStr">
        <is>
          <t>20º Pav (Tipo 15)</t>
        </is>
      </c>
      <c r="C119" s="8" t="inlineStr">
        <is>
          <t>Chapisco</t>
        </is>
      </c>
      <c r="D119" s="7" t="inlineStr">
        <is>
          <t>m²</t>
        </is>
      </c>
      <c r="E119" s="9" t="n">
        <v>360</v>
      </c>
      <c r="F119" s="10" t="n">
        <v>8.5</v>
      </c>
      <c r="G119" s="10">
        <f>E119*F119</f>
        <v/>
      </c>
    </row>
    <row r="120">
      <c r="A120" s="7" t="inlineStr">
        <is>
          <t>5.3</t>
        </is>
      </c>
      <c r="B120" s="7" t="inlineStr">
        <is>
          <t>20º Pav (Tipo 15)</t>
        </is>
      </c>
      <c r="C120" s="8" t="inlineStr">
        <is>
          <t>Reboco Paulista</t>
        </is>
      </c>
      <c r="D120" s="7" t="inlineStr">
        <is>
          <t>m²</t>
        </is>
      </c>
      <c r="E120" s="9" t="n">
        <v>360</v>
      </c>
      <c r="F120" s="10" t="n">
        <v>28</v>
      </c>
      <c r="G120" s="10">
        <f>E120*F120</f>
        <v/>
      </c>
    </row>
    <row r="121">
      <c r="A121" s="11" t="inlineStr">
        <is>
          <t>Subtotal 20º Pav (Tipo 15)</t>
        </is>
      </c>
      <c r="B121" s="7" t="n"/>
      <c r="C121" s="7" t="n"/>
      <c r="D121" s="7" t="n"/>
      <c r="E121" s="7" t="n"/>
      <c r="F121" s="7" t="n"/>
      <c r="G121" s="12">
        <f>SUM(G118:G120)</f>
        <v/>
      </c>
    </row>
    <row r="123">
      <c r="A123" s="6" t="inlineStr"/>
      <c r="B123" s="6" t="inlineStr">
        <is>
          <t>21º Pav (Tipo 16)</t>
        </is>
      </c>
      <c r="C123" s="6" t="inlineStr"/>
      <c r="D123" s="6" t="inlineStr"/>
      <c r="E123" s="6" t="n"/>
      <c r="F123" s="6" t="n"/>
      <c r="G123" s="6" t="n"/>
    </row>
    <row r="124">
      <c r="A124" s="7" t="inlineStr">
        <is>
          <t>5.1</t>
        </is>
      </c>
      <c r="B124" s="7" t="inlineStr">
        <is>
          <t>21º Pav (Tipo 16)</t>
        </is>
      </c>
      <c r="C124" s="8" t="inlineStr">
        <is>
          <t>Alvenaria Bloco Cerâmico 14x19x29</t>
        </is>
      </c>
      <c r="D124" s="7" t="inlineStr">
        <is>
          <t>m²</t>
        </is>
      </c>
      <c r="E124" s="9" t="n">
        <v>180</v>
      </c>
      <c r="F124" s="10" t="n">
        <v>35</v>
      </c>
      <c r="G124" s="10">
        <f>E124*F124</f>
        <v/>
      </c>
    </row>
    <row r="125">
      <c r="A125" s="7" t="inlineStr">
        <is>
          <t>5.2</t>
        </is>
      </c>
      <c r="B125" s="7" t="inlineStr">
        <is>
          <t>21º Pav (Tipo 16)</t>
        </is>
      </c>
      <c r="C125" s="8" t="inlineStr">
        <is>
          <t>Chapisco</t>
        </is>
      </c>
      <c r="D125" s="7" t="inlineStr">
        <is>
          <t>m²</t>
        </is>
      </c>
      <c r="E125" s="9" t="n">
        <v>360</v>
      </c>
      <c r="F125" s="10" t="n">
        <v>8.5</v>
      </c>
      <c r="G125" s="10">
        <f>E125*F125</f>
        <v/>
      </c>
    </row>
    <row r="126">
      <c r="A126" s="7" t="inlineStr">
        <is>
          <t>5.3</t>
        </is>
      </c>
      <c r="B126" s="7" t="inlineStr">
        <is>
          <t>21º Pav (Tipo 16)</t>
        </is>
      </c>
      <c r="C126" s="8" t="inlineStr">
        <is>
          <t>Reboco Paulista</t>
        </is>
      </c>
      <c r="D126" s="7" t="inlineStr">
        <is>
          <t>m²</t>
        </is>
      </c>
      <c r="E126" s="9" t="n">
        <v>360</v>
      </c>
      <c r="F126" s="10" t="n">
        <v>28</v>
      </c>
      <c r="G126" s="10">
        <f>E126*F126</f>
        <v/>
      </c>
    </row>
    <row r="127">
      <c r="A127" s="11" t="inlineStr">
        <is>
          <t>Subtotal 21º Pav (Tipo 16)</t>
        </is>
      </c>
      <c r="B127" s="7" t="n"/>
      <c r="C127" s="7" t="n"/>
      <c r="D127" s="7" t="n"/>
      <c r="E127" s="7" t="n"/>
      <c r="F127" s="7" t="n"/>
      <c r="G127" s="12">
        <f>SUM(G124:G126)</f>
        <v/>
      </c>
    </row>
    <row r="129">
      <c r="A129" s="6" t="inlineStr"/>
      <c r="B129" s="6" t="inlineStr">
        <is>
          <t>22º Pav (Tipo 17)</t>
        </is>
      </c>
      <c r="C129" s="6" t="inlineStr"/>
      <c r="D129" s="6" t="inlineStr"/>
      <c r="E129" s="6" t="n"/>
      <c r="F129" s="6" t="n"/>
      <c r="G129" s="6" t="n"/>
    </row>
    <row r="130">
      <c r="A130" s="7" t="inlineStr">
        <is>
          <t>5.1</t>
        </is>
      </c>
      <c r="B130" s="7" t="inlineStr">
        <is>
          <t>22º Pav (Tipo 17)</t>
        </is>
      </c>
      <c r="C130" s="8" t="inlineStr">
        <is>
          <t>Alvenaria Bloco Cerâmico 14x19x29</t>
        </is>
      </c>
      <c r="D130" s="7" t="inlineStr">
        <is>
          <t>m²</t>
        </is>
      </c>
      <c r="E130" s="9" t="n">
        <v>180</v>
      </c>
      <c r="F130" s="10" t="n">
        <v>35</v>
      </c>
      <c r="G130" s="10">
        <f>E130*F130</f>
        <v/>
      </c>
    </row>
    <row r="131">
      <c r="A131" s="7" t="inlineStr">
        <is>
          <t>5.2</t>
        </is>
      </c>
      <c r="B131" s="7" t="inlineStr">
        <is>
          <t>22º Pav (Tipo 17)</t>
        </is>
      </c>
      <c r="C131" s="8" t="inlineStr">
        <is>
          <t>Chapisco</t>
        </is>
      </c>
      <c r="D131" s="7" t="inlineStr">
        <is>
          <t>m²</t>
        </is>
      </c>
      <c r="E131" s="9" t="n">
        <v>360</v>
      </c>
      <c r="F131" s="10" t="n">
        <v>8.5</v>
      </c>
      <c r="G131" s="10">
        <f>E131*F131</f>
        <v/>
      </c>
    </row>
    <row r="132">
      <c r="A132" s="7" t="inlineStr">
        <is>
          <t>5.3</t>
        </is>
      </c>
      <c r="B132" s="7" t="inlineStr">
        <is>
          <t>22º Pav (Tipo 17)</t>
        </is>
      </c>
      <c r="C132" s="8" t="inlineStr">
        <is>
          <t>Reboco Paulista</t>
        </is>
      </c>
      <c r="D132" s="7" t="inlineStr">
        <is>
          <t>m²</t>
        </is>
      </c>
      <c r="E132" s="9" t="n">
        <v>360</v>
      </c>
      <c r="F132" s="10" t="n">
        <v>28</v>
      </c>
      <c r="G132" s="10">
        <f>E132*F132</f>
        <v/>
      </c>
    </row>
    <row r="133">
      <c r="A133" s="11" t="inlineStr">
        <is>
          <t>Subtotal 22º Pav (Tipo 17)</t>
        </is>
      </c>
      <c r="B133" s="7" t="n"/>
      <c r="C133" s="7" t="n"/>
      <c r="D133" s="7" t="n"/>
      <c r="E133" s="7" t="n"/>
      <c r="F133" s="7" t="n"/>
      <c r="G133" s="12">
        <f>SUM(G130:G132)</f>
        <v/>
      </c>
    </row>
    <row r="135">
      <c r="A135" s="6" t="inlineStr"/>
      <c r="B135" s="6" t="inlineStr">
        <is>
          <t>23º Pav (Tipo 18)</t>
        </is>
      </c>
      <c r="C135" s="6" t="inlineStr"/>
      <c r="D135" s="6" t="inlineStr"/>
      <c r="E135" s="6" t="n"/>
      <c r="F135" s="6" t="n"/>
      <c r="G135" s="6" t="n"/>
    </row>
    <row r="136">
      <c r="A136" s="7" t="inlineStr">
        <is>
          <t>5.1</t>
        </is>
      </c>
      <c r="B136" s="7" t="inlineStr">
        <is>
          <t>23º Pav (Tipo 18)</t>
        </is>
      </c>
      <c r="C136" s="8" t="inlineStr">
        <is>
          <t>Alvenaria Bloco Cerâmico 14x19x29</t>
        </is>
      </c>
      <c r="D136" s="7" t="inlineStr">
        <is>
          <t>m²</t>
        </is>
      </c>
      <c r="E136" s="9" t="n">
        <v>180</v>
      </c>
      <c r="F136" s="10" t="n">
        <v>35</v>
      </c>
      <c r="G136" s="10">
        <f>E136*F136</f>
        <v/>
      </c>
    </row>
    <row r="137">
      <c r="A137" s="7" t="inlineStr">
        <is>
          <t>5.2</t>
        </is>
      </c>
      <c r="B137" s="7" t="inlineStr">
        <is>
          <t>23º Pav (Tipo 18)</t>
        </is>
      </c>
      <c r="C137" s="8" t="inlineStr">
        <is>
          <t>Chapisco</t>
        </is>
      </c>
      <c r="D137" s="7" t="inlineStr">
        <is>
          <t>m²</t>
        </is>
      </c>
      <c r="E137" s="9" t="n">
        <v>360</v>
      </c>
      <c r="F137" s="10" t="n">
        <v>8.5</v>
      </c>
      <c r="G137" s="10">
        <f>E137*F137</f>
        <v/>
      </c>
    </row>
    <row r="138">
      <c r="A138" s="7" t="inlineStr">
        <is>
          <t>5.3</t>
        </is>
      </c>
      <c r="B138" s="7" t="inlineStr">
        <is>
          <t>23º Pav (Tipo 18)</t>
        </is>
      </c>
      <c r="C138" s="8" t="inlineStr">
        <is>
          <t>Reboco Paulista</t>
        </is>
      </c>
      <c r="D138" s="7" t="inlineStr">
        <is>
          <t>m²</t>
        </is>
      </c>
      <c r="E138" s="9" t="n">
        <v>360</v>
      </c>
      <c r="F138" s="10" t="n">
        <v>28</v>
      </c>
      <c r="G138" s="10">
        <f>E138*F138</f>
        <v/>
      </c>
    </row>
    <row r="139">
      <c r="A139" s="11" t="inlineStr">
        <is>
          <t>Subtotal 23º Pav (Tipo 18)</t>
        </is>
      </c>
      <c r="B139" s="7" t="n"/>
      <c r="C139" s="7" t="n"/>
      <c r="D139" s="7" t="n"/>
      <c r="E139" s="7" t="n"/>
      <c r="F139" s="7" t="n"/>
      <c r="G139" s="12">
        <f>SUM(G136:G138)</f>
        <v/>
      </c>
    </row>
    <row r="141">
      <c r="A141" s="6" t="inlineStr"/>
      <c r="B141" s="6" t="inlineStr">
        <is>
          <t>Ático (24º)</t>
        </is>
      </c>
      <c r="C141" s="6" t="inlineStr"/>
      <c r="D141" s="6" t="inlineStr"/>
      <c r="E141" s="6" t="n"/>
      <c r="F141" s="6" t="n"/>
      <c r="G141" s="6" t="n"/>
    </row>
    <row r="142">
      <c r="A142" s="7" t="inlineStr">
        <is>
          <t>5.1</t>
        </is>
      </c>
      <c r="B142" s="7" t="inlineStr">
        <is>
          <t>Ático (24º)</t>
        </is>
      </c>
      <c r="C142" s="8" t="inlineStr">
        <is>
          <t>Alvenaria Bloco Cerâmico 14x19x29</t>
        </is>
      </c>
      <c r="D142" s="7" t="inlineStr">
        <is>
          <t>m²</t>
        </is>
      </c>
      <c r="E142" s="9" t="n">
        <v>180</v>
      </c>
      <c r="F142" s="10" t="n">
        <v>35</v>
      </c>
      <c r="G142" s="10">
        <f>E142*F142</f>
        <v/>
      </c>
    </row>
    <row r="143">
      <c r="A143" s="7" t="inlineStr">
        <is>
          <t>5.2</t>
        </is>
      </c>
      <c r="B143" s="7" t="inlineStr">
        <is>
          <t>Ático (24º)</t>
        </is>
      </c>
      <c r="C143" s="8" t="inlineStr">
        <is>
          <t>Chapisco</t>
        </is>
      </c>
      <c r="D143" s="7" t="inlineStr">
        <is>
          <t>m²</t>
        </is>
      </c>
      <c r="E143" s="9" t="n">
        <v>360</v>
      </c>
      <c r="F143" s="10" t="n">
        <v>8.5</v>
      </c>
      <c r="G143" s="10">
        <f>E143*F143</f>
        <v/>
      </c>
    </row>
    <row r="144">
      <c r="A144" s="7" t="inlineStr">
        <is>
          <t>5.3</t>
        </is>
      </c>
      <c r="B144" s="7" t="inlineStr">
        <is>
          <t>Ático (24º)</t>
        </is>
      </c>
      <c r="C144" s="8" t="inlineStr">
        <is>
          <t>Reboco Paulista</t>
        </is>
      </c>
      <c r="D144" s="7" t="inlineStr">
        <is>
          <t>m²</t>
        </is>
      </c>
      <c r="E144" s="9" t="n">
        <v>360</v>
      </c>
      <c r="F144" s="10" t="n">
        <v>28</v>
      </c>
      <c r="G144" s="10">
        <f>E144*F144</f>
        <v/>
      </c>
    </row>
    <row r="145">
      <c r="A145" s="11" t="inlineStr">
        <is>
          <t>Subtotal Ático (24º)</t>
        </is>
      </c>
      <c r="B145" s="7" t="n"/>
      <c r="C145" s="7" t="n"/>
      <c r="D145" s="7" t="n"/>
      <c r="E145" s="7" t="n"/>
      <c r="F145" s="7" t="n"/>
      <c r="G145" s="12">
        <f>SUM(G142:G144)</f>
        <v/>
      </c>
    </row>
    <row r="147">
      <c r="A147" s="6" t="inlineStr"/>
      <c r="B147" s="6" t="inlineStr">
        <is>
          <t>Técnico 1 (25º)</t>
        </is>
      </c>
      <c r="C147" s="6" t="inlineStr"/>
      <c r="D147" s="6" t="inlineStr"/>
      <c r="E147" s="6" t="n"/>
      <c r="F147" s="6" t="n"/>
      <c r="G147" s="6" t="n"/>
    </row>
    <row r="148">
      <c r="A148" s="7" t="inlineStr">
        <is>
          <t>5.1</t>
        </is>
      </c>
      <c r="B148" s="7" t="inlineStr">
        <is>
          <t>Técnico 1 (25º)</t>
        </is>
      </c>
      <c r="C148" s="8" t="inlineStr">
        <is>
          <t>Alvenaria Bloco Cerâmico 14x19x29</t>
        </is>
      </c>
      <c r="D148" s="7" t="inlineStr">
        <is>
          <t>m²</t>
        </is>
      </c>
      <c r="E148" s="9" t="n">
        <v>54</v>
      </c>
      <c r="F148" s="10" t="n">
        <v>35</v>
      </c>
      <c r="G148" s="10">
        <f>E148*F148</f>
        <v/>
      </c>
    </row>
    <row r="149">
      <c r="A149" s="7" t="inlineStr">
        <is>
          <t>5.2</t>
        </is>
      </c>
      <c r="B149" s="7" t="inlineStr">
        <is>
          <t>Técnico 1 (25º)</t>
        </is>
      </c>
      <c r="C149" s="8" t="inlineStr">
        <is>
          <t>Chapisco</t>
        </is>
      </c>
      <c r="D149" s="7" t="inlineStr">
        <is>
          <t>m²</t>
        </is>
      </c>
      <c r="E149" s="9" t="n">
        <v>108</v>
      </c>
      <c r="F149" s="10" t="n">
        <v>8.5</v>
      </c>
      <c r="G149" s="10">
        <f>E149*F149</f>
        <v/>
      </c>
    </row>
    <row r="150">
      <c r="A150" s="7" t="inlineStr">
        <is>
          <t>5.3</t>
        </is>
      </c>
      <c r="B150" s="7" t="inlineStr">
        <is>
          <t>Técnico 1 (25º)</t>
        </is>
      </c>
      <c r="C150" s="8" t="inlineStr">
        <is>
          <t>Reboco Paulista</t>
        </is>
      </c>
      <c r="D150" s="7" t="inlineStr">
        <is>
          <t>m²</t>
        </is>
      </c>
      <c r="E150" s="9" t="n">
        <v>108</v>
      </c>
      <c r="F150" s="10" t="n">
        <v>28</v>
      </c>
      <c r="G150" s="10">
        <f>E150*F150</f>
        <v/>
      </c>
    </row>
    <row r="151">
      <c r="A151" s="11" t="inlineStr">
        <is>
          <t>Subtotal Técnico 1 (25º)</t>
        </is>
      </c>
      <c r="B151" s="7" t="n"/>
      <c r="C151" s="7" t="n"/>
      <c r="D151" s="7" t="n"/>
      <c r="E151" s="7" t="n"/>
      <c r="F151" s="7" t="n"/>
      <c r="G151" s="12">
        <f>SUM(G148:G150)</f>
        <v/>
      </c>
    </row>
    <row r="153">
      <c r="A153" s="6" t="inlineStr"/>
      <c r="B153" s="6" t="inlineStr">
        <is>
          <t>Técnico 2 (26º)</t>
        </is>
      </c>
      <c r="C153" s="6" t="inlineStr"/>
      <c r="D153" s="6" t="inlineStr"/>
      <c r="E153" s="6" t="n"/>
      <c r="F153" s="6" t="n"/>
      <c r="G153" s="6" t="n"/>
    </row>
    <row r="154">
      <c r="A154" s="7" t="inlineStr">
        <is>
          <t>5.1</t>
        </is>
      </c>
      <c r="B154" s="7" t="inlineStr">
        <is>
          <t>Técnico 2 (26º)</t>
        </is>
      </c>
      <c r="C154" s="8" t="inlineStr">
        <is>
          <t>Alvenaria Bloco Cerâmico 14x19x29</t>
        </is>
      </c>
      <c r="D154" s="7" t="inlineStr">
        <is>
          <t>m²</t>
        </is>
      </c>
      <c r="E154" s="9" t="n">
        <v>54</v>
      </c>
      <c r="F154" s="10" t="n">
        <v>35</v>
      </c>
      <c r="G154" s="10">
        <f>E154*F154</f>
        <v/>
      </c>
    </row>
    <row r="155">
      <c r="A155" s="7" t="inlineStr">
        <is>
          <t>5.2</t>
        </is>
      </c>
      <c r="B155" s="7" t="inlineStr">
        <is>
          <t>Técnico 2 (26º)</t>
        </is>
      </c>
      <c r="C155" s="8" t="inlineStr">
        <is>
          <t>Chapisco</t>
        </is>
      </c>
      <c r="D155" s="7" t="inlineStr">
        <is>
          <t>m²</t>
        </is>
      </c>
      <c r="E155" s="9" t="n">
        <v>108</v>
      </c>
      <c r="F155" s="10" t="n">
        <v>8.5</v>
      </c>
      <c r="G155" s="10">
        <f>E155*F155</f>
        <v/>
      </c>
    </row>
    <row r="156">
      <c r="A156" s="7" t="inlineStr">
        <is>
          <t>5.3</t>
        </is>
      </c>
      <c r="B156" s="7" t="inlineStr">
        <is>
          <t>Técnico 2 (26º)</t>
        </is>
      </c>
      <c r="C156" s="8" t="inlineStr">
        <is>
          <t>Reboco Paulista</t>
        </is>
      </c>
      <c r="D156" s="7" t="inlineStr">
        <is>
          <t>m²</t>
        </is>
      </c>
      <c r="E156" s="9" t="n">
        <v>108</v>
      </c>
      <c r="F156" s="10" t="n">
        <v>28</v>
      </c>
      <c r="G156" s="10">
        <f>E156*F156</f>
        <v/>
      </c>
    </row>
    <row r="157">
      <c r="A157" s="11" t="inlineStr">
        <is>
          <t>Subtotal Técnico 2 (26º)</t>
        </is>
      </c>
      <c r="B157" s="7" t="n"/>
      <c r="C157" s="7" t="n"/>
      <c r="D157" s="7" t="n"/>
      <c r="E157" s="7" t="n"/>
      <c r="F157" s="7" t="n"/>
      <c r="G157" s="12">
        <f>SUM(G154:G156)</f>
        <v/>
      </c>
    </row>
    <row r="159">
      <c r="A159" s="6" t="inlineStr"/>
      <c r="B159" s="6" t="inlineStr">
        <is>
          <t>Técnico 3 (27º)</t>
        </is>
      </c>
      <c r="C159" s="6" t="inlineStr"/>
      <c r="D159" s="6" t="inlineStr"/>
      <c r="E159" s="6" t="n"/>
      <c r="F159" s="6" t="n"/>
      <c r="G159" s="6" t="n"/>
    </row>
    <row r="160">
      <c r="A160" s="7" t="inlineStr">
        <is>
          <t>5.1</t>
        </is>
      </c>
      <c r="B160" s="7" t="inlineStr">
        <is>
          <t>Técnico 3 (27º)</t>
        </is>
      </c>
      <c r="C160" s="8" t="inlineStr">
        <is>
          <t>Alvenaria Bloco Cerâmico 14x19x29</t>
        </is>
      </c>
      <c r="D160" s="7" t="inlineStr">
        <is>
          <t>m²</t>
        </is>
      </c>
      <c r="E160" s="9" t="n">
        <v>54</v>
      </c>
      <c r="F160" s="10" t="n">
        <v>35</v>
      </c>
      <c r="G160" s="10">
        <f>E160*F160</f>
        <v/>
      </c>
    </row>
    <row r="161">
      <c r="A161" s="7" t="inlineStr">
        <is>
          <t>5.2</t>
        </is>
      </c>
      <c r="B161" s="7" t="inlineStr">
        <is>
          <t>Técnico 3 (27º)</t>
        </is>
      </c>
      <c r="C161" s="8" t="inlineStr">
        <is>
          <t>Chapisco</t>
        </is>
      </c>
      <c r="D161" s="7" t="inlineStr">
        <is>
          <t>m²</t>
        </is>
      </c>
      <c r="E161" s="9" t="n">
        <v>108</v>
      </c>
      <c r="F161" s="10" t="n">
        <v>8.5</v>
      </c>
      <c r="G161" s="10">
        <f>E161*F161</f>
        <v/>
      </c>
    </row>
    <row r="162">
      <c r="A162" s="7" t="inlineStr">
        <is>
          <t>5.3</t>
        </is>
      </c>
      <c r="B162" s="7" t="inlineStr">
        <is>
          <t>Técnico 3 (27º)</t>
        </is>
      </c>
      <c r="C162" s="8" t="inlineStr">
        <is>
          <t>Reboco Paulista</t>
        </is>
      </c>
      <c r="D162" s="7" t="inlineStr">
        <is>
          <t>m²</t>
        </is>
      </c>
      <c r="E162" s="9" t="n">
        <v>108</v>
      </c>
      <c r="F162" s="10" t="n">
        <v>28</v>
      </c>
      <c r="G162" s="10">
        <f>E162*F162</f>
        <v/>
      </c>
    </row>
    <row r="163">
      <c r="A163" s="11" t="inlineStr">
        <is>
          <t>Subtotal Técnico 3 (27º)</t>
        </is>
      </c>
      <c r="B163" s="7" t="n"/>
      <c r="C163" s="7" t="n"/>
      <c r="D163" s="7" t="n"/>
      <c r="E163" s="7" t="n"/>
      <c r="F163" s="7" t="n"/>
      <c r="G163" s="12">
        <f>SUM(G160:G162)</f>
        <v/>
      </c>
    </row>
    <row r="166">
      <c r="A166" s="13" t="inlineStr">
        <is>
          <t>TOTAL VEDAÇÕES</t>
        </is>
      </c>
      <c r="B166" s="7" t="n"/>
      <c r="C166" s="7" t="n"/>
      <c r="D166" s="7" t="n"/>
      <c r="E166" s="7" t="n"/>
      <c r="F166" s="7" t="n"/>
      <c r="G166" s="12">
        <f>SUM(G3:G165)</f>
        <v/>
      </c>
    </row>
  </sheetData>
  <mergeCells count="29">
    <mergeCell ref="A37:F37"/>
    <mergeCell ref="A133:F133"/>
    <mergeCell ref="A145:F145"/>
    <mergeCell ref="A163:F163"/>
    <mergeCell ref="A139:F139"/>
    <mergeCell ref="A55:F55"/>
    <mergeCell ref="A85:F85"/>
    <mergeCell ref="A151:F151"/>
    <mergeCell ref="A97:F97"/>
    <mergeCell ref="A91:F91"/>
    <mergeCell ref="A109:F109"/>
    <mergeCell ref="A43:F43"/>
    <mergeCell ref="A121:F121"/>
    <mergeCell ref="A1:G1"/>
    <mergeCell ref="A115:F115"/>
    <mergeCell ref="A13:F13"/>
    <mergeCell ref="A19:F19"/>
    <mergeCell ref="A67:F67"/>
    <mergeCell ref="A31:F31"/>
    <mergeCell ref="A127:F127"/>
    <mergeCell ref="A157:F157"/>
    <mergeCell ref="A166:F166"/>
    <mergeCell ref="A73:F73"/>
    <mergeCell ref="A49:F49"/>
    <mergeCell ref="A103:F103"/>
    <mergeCell ref="A79:F79"/>
    <mergeCell ref="A61:F61"/>
    <mergeCell ref="A7:F7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0" customWidth="1" min="4" max="4"/>
    <col width="12" customWidth="1" min="5" max="5"/>
    <col width="16" customWidth="1" min="6" max="6"/>
    <col width="16" customWidth="1" min="7" max="7"/>
  </cols>
  <sheetData>
    <row r="1">
      <c r="A1" s="4" t="inlineStr">
        <is>
          <t>6. ACABAMENTOS - POR PAVIMENTO</t>
        </is>
      </c>
    </row>
    <row r="2">
      <c r="A2" s="5" t="inlineStr">
        <is>
          <t>Item</t>
        </is>
      </c>
      <c r="B2" s="5" t="inlineStr">
        <is>
          <t>Pavimento</t>
        </is>
      </c>
      <c r="C2" s="5" t="inlineStr">
        <is>
          <t>Descrição</t>
        </is>
      </c>
      <c r="D2" s="5" t="inlineStr">
        <is>
          <t>Unidade</t>
        </is>
      </c>
      <c r="E2" s="5" t="inlineStr">
        <is>
          <t>Quantidade</t>
        </is>
      </c>
      <c r="F2" s="5" t="inlineStr">
        <is>
          <t>Custo Unit. (R$)</t>
        </is>
      </c>
      <c r="G2" s="5" t="inlineStr">
        <is>
          <t>Custo Total (R$)</t>
        </is>
      </c>
    </row>
    <row r="3">
      <c r="A3" s="6" t="inlineStr"/>
      <c r="B3" s="6" t="inlineStr">
        <is>
          <t>Térreo</t>
        </is>
      </c>
      <c r="C3" s="6" t="inlineStr"/>
      <c r="D3" s="6" t="inlineStr"/>
      <c r="E3" s="6" t="n"/>
      <c r="F3" s="6" t="n"/>
      <c r="G3" s="6" t="n"/>
    </row>
    <row r="4">
      <c r="A4" s="7" t="inlineStr">
        <is>
          <t>6.1</t>
        </is>
      </c>
      <c r="B4" s="7" t="inlineStr">
        <is>
          <t>Térreo</t>
        </is>
      </c>
      <c r="C4" s="8" t="inlineStr">
        <is>
          <t>Piso Cerâmico Padrão Alto</t>
        </is>
      </c>
      <c r="D4" s="7" t="inlineStr">
        <is>
          <t>m²</t>
        </is>
      </c>
      <c r="E4" s="9" t="n">
        <v>170</v>
      </c>
      <c r="F4" s="10" t="n">
        <v>48</v>
      </c>
      <c r="G4" s="10">
        <f>E4*F4</f>
        <v/>
      </c>
    </row>
    <row r="5">
      <c r="A5" s="7" t="inlineStr">
        <is>
          <t>6.2</t>
        </is>
      </c>
      <c r="B5" s="7" t="inlineStr">
        <is>
          <t>Térreo</t>
        </is>
      </c>
      <c r="C5" s="8" t="inlineStr">
        <is>
          <t>Pintura Látex Acrílica (paredes + teto)</t>
        </is>
      </c>
      <c r="D5" s="7" t="inlineStr">
        <is>
          <t>m²</t>
        </is>
      </c>
      <c r="E5" s="9" t="n">
        <v>765</v>
      </c>
      <c r="F5" s="10" t="n">
        <v>18</v>
      </c>
      <c r="G5" s="10">
        <f>E5*F5</f>
        <v/>
      </c>
    </row>
    <row r="6">
      <c r="A6" s="11" t="inlineStr">
        <is>
          <t>Subtotal Térreo</t>
        </is>
      </c>
      <c r="B6" s="7" t="n"/>
      <c r="C6" s="7" t="n"/>
      <c r="D6" s="7" t="n"/>
      <c r="E6" s="7" t="n"/>
      <c r="F6" s="7" t="n"/>
      <c r="G6" s="12">
        <f>SUM(G4:G5)</f>
        <v/>
      </c>
    </row>
    <row r="8">
      <c r="A8" s="6" t="inlineStr"/>
      <c r="B8" s="6" t="inlineStr">
        <is>
          <t>Garagem 2</t>
        </is>
      </c>
      <c r="C8" s="6" t="inlineStr"/>
      <c r="D8" s="6" t="inlineStr"/>
      <c r="E8" s="6" t="n"/>
      <c r="F8" s="6" t="n"/>
      <c r="G8" s="6" t="n"/>
    </row>
    <row r="9">
      <c r="A9" s="7" t="inlineStr">
        <is>
          <t>6.1</t>
        </is>
      </c>
      <c r="B9" s="7" t="inlineStr">
        <is>
          <t>Garagem 2</t>
        </is>
      </c>
      <c r="C9" s="8" t="inlineStr">
        <is>
          <t>Piso Cerâmico Padrão Alto</t>
        </is>
      </c>
      <c r="D9" s="7" t="inlineStr">
        <is>
          <t>m²</t>
        </is>
      </c>
      <c r="E9" s="9" t="n">
        <v>136</v>
      </c>
      <c r="F9" s="10" t="n">
        <v>48</v>
      </c>
      <c r="G9" s="10">
        <f>E9*F9</f>
        <v/>
      </c>
    </row>
    <row r="10">
      <c r="A10" s="7" t="inlineStr">
        <is>
          <t>6.2</t>
        </is>
      </c>
      <c r="B10" s="7" t="inlineStr">
        <is>
          <t>Garagem 2</t>
        </is>
      </c>
      <c r="C10" s="8" t="inlineStr">
        <is>
          <t>Pintura Látex Acrílica (paredes + teto)</t>
        </is>
      </c>
      <c r="D10" s="7" t="inlineStr">
        <is>
          <t>m²</t>
        </is>
      </c>
      <c r="E10" s="9" t="n">
        <v>612</v>
      </c>
      <c r="F10" s="10" t="n">
        <v>18</v>
      </c>
      <c r="G10" s="10">
        <f>E10*F10</f>
        <v/>
      </c>
    </row>
    <row r="11">
      <c r="A11" s="11" t="inlineStr">
        <is>
          <t>Subtotal Garagem 2</t>
        </is>
      </c>
      <c r="B11" s="7" t="n"/>
      <c r="C11" s="7" t="n"/>
      <c r="D11" s="7" t="n"/>
      <c r="E11" s="7" t="n"/>
      <c r="F11" s="7" t="n"/>
      <c r="G11" s="12">
        <f>SUM(G9:G10)</f>
        <v/>
      </c>
    </row>
    <row r="13">
      <c r="A13" s="6" t="inlineStr"/>
      <c r="B13" s="6" t="inlineStr">
        <is>
          <t>Garagem 3</t>
        </is>
      </c>
      <c r="C13" s="6" t="inlineStr"/>
      <c r="D13" s="6" t="inlineStr"/>
      <c r="E13" s="6" t="n"/>
      <c r="F13" s="6" t="n"/>
      <c r="G13" s="6" t="n"/>
    </row>
    <row r="14">
      <c r="A14" s="7" t="inlineStr">
        <is>
          <t>6.1</t>
        </is>
      </c>
      <c r="B14" s="7" t="inlineStr">
        <is>
          <t>Garagem 3</t>
        </is>
      </c>
      <c r="C14" s="8" t="inlineStr">
        <is>
          <t>Piso Cerâmico Padrão Alto</t>
        </is>
      </c>
      <c r="D14" s="7" t="inlineStr">
        <is>
          <t>m²</t>
        </is>
      </c>
      <c r="E14" s="9" t="n">
        <v>136</v>
      </c>
      <c r="F14" s="10" t="n">
        <v>48</v>
      </c>
      <c r="G14" s="10">
        <f>E14*F14</f>
        <v/>
      </c>
    </row>
    <row r="15">
      <c r="A15" s="7" t="inlineStr">
        <is>
          <t>6.2</t>
        </is>
      </c>
      <c r="B15" s="7" t="inlineStr">
        <is>
          <t>Garagem 3</t>
        </is>
      </c>
      <c r="C15" s="8" t="inlineStr">
        <is>
          <t>Pintura Látex Acrílica (paredes + teto)</t>
        </is>
      </c>
      <c r="D15" s="7" t="inlineStr">
        <is>
          <t>m²</t>
        </is>
      </c>
      <c r="E15" s="9" t="n">
        <v>612</v>
      </c>
      <c r="F15" s="10" t="n">
        <v>18</v>
      </c>
      <c r="G15" s="10">
        <f>E15*F15</f>
        <v/>
      </c>
    </row>
    <row r="16">
      <c r="A16" s="11" t="inlineStr">
        <is>
          <t>Subtotal Garagem 3</t>
        </is>
      </c>
      <c r="B16" s="7" t="n"/>
      <c r="C16" s="7" t="n"/>
      <c r="D16" s="7" t="n"/>
      <c r="E16" s="7" t="n"/>
      <c r="F16" s="7" t="n"/>
      <c r="G16" s="12">
        <f>SUM(G14:G15)</f>
        <v/>
      </c>
    </row>
    <row r="18">
      <c r="A18" s="6" t="inlineStr"/>
      <c r="B18" s="6" t="inlineStr">
        <is>
          <t>Garagem 4</t>
        </is>
      </c>
      <c r="C18" s="6" t="inlineStr"/>
      <c r="D18" s="6" t="inlineStr"/>
      <c r="E18" s="6" t="n"/>
      <c r="F18" s="6" t="n"/>
      <c r="G18" s="6" t="n"/>
    </row>
    <row r="19">
      <c r="A19" s="7" t="inlineStr">
        <is>
          <t>6.1</t>
        </is>
      </c>
      <c r="B19" s="7" t="inlineStr">
        <is>
          <t>Garagem 4</t>
        </is>
      </c>
      <c r="C19" s="8" t="inlineStr">
        <is>
          <t>Piso Cerâmico Padrão Alto</t>
        </is>
      </c>
      <c r="D19" s="7" t="inlineStr">
        <is>
          <t>m²</t>
        </is>
      </c>
      <c r="E19" s="9" t="n">
        <v>136</v>
      </c>
      <c r="F19" s="10" t="n">
        <v>48</v>
      </c>
      <c r="G19" s="10">
        <f>E19*F19</f>
        <v/>
      </c>
    </row>
    <row r="20">
      <c r="A20" s="7" t="inlineStr">
        <is>
          <t>6.2</t>
        </is>
      </c>
      <c r="B20" s="7" t="inlineStr">
        <is>
          <t>Garagem 4</t>
        </is>
      </c>
      <c r="C20" s="8" t="inlineStr">
        <is>
          <t>Pintura Látex Acrílica (paredes + teto)</t>
        </is>
      </c>
      <c r="D20" s="7" t="inlineStr">
        <is>
          <t>m²</t>
        </is>
      </c>
      <c r="E20" s="9" t="n">
        <v>612</v>
      </c>
      <c r="F20" s="10" t="n">
        <v>18</v>
      </c>
      <c r="G20" s="10">
        <f>E20*F20</f>
        <v/>
      </c>
    </row>
    <row r="21">
      <c r="A21" s="11" t="inlineStr">
        <is>
          <t>Subtotal Garagem 4</t>
        </is>
      </c>
      <c r="B21" s="7" t="n"/>
      <c r="C21" s="7" t="n"/>
      <c r="D21" s="7" t="n"/>
      <c r="E21" s="7" t="n"/>
      <c r="F21" s="7" t="n"/>
      <c r="G21" s="12">
        <f>SUM(G19:G20)</f>
        <v/>
      </c>
    </row>
    <row r="23">
      <c r="A23" s="6" t="inlineStr"/>
      <c r="B23" s="6" t="inlineStr">
        <is>
          <t>Garagem 5</t>
        </is>
      </c>
      <c r="C23" s="6" t="inlineStr"/>
      <c r="D23" s="6" t="inlineStr"/>
      <c r="E23" s="6" t="n"/>
      <c r="F23" s="6" t="n"/>
      <c r="G23" s="6" t="n"/>
    </row>
    <row r="24">
      <c r="A24" s="7" t="inlineStr">
        <is>
          <t>6.1</t>
        </is>
      </c>
      <c r="B24" s="7" t="inlineStr">
        <is>
          <t>Garagem 5</t>
        </is>
      </c>
      <c r="C24" s="8" t="inlineStr">
        <is>
          <t>Piso Cerâmico Padrão Alto</t>
        </is>
      </c>
      <c r="D24" s="7" t="inlineStr">
        <is>
          <t>m²</t>
        </is>
      </c>
      <c r="E24" s="9" t="n">
        <v>136</v>
      </c>
      <c r="F24" s="10" t="n">
        <v>48</v>
      </c>
      <c r="G24" s="10">
        <f>E24*F24</f>
        <v/>
      </c>
    </row>
    <row r="25">
      <c r="A25" s="7" t="inlineStr">
        <is>
          <t>6.2</t>
        </is>
      </c>
      <c r="B25" s="7" t="inlineStr">
        <is>
          <t>Garagem 5</t>
        </is>
      </c>
      <c r="C25" s="8" t="inlineStr">
        <is>
          <t>Pintura Látex Acrílica (paredes + teto)</t>
        </is>
      </c>
      <c r="D25" s="7" t="inlineStr">
        <is>
          <t>m²</t>
        </is>
      </c>
      <c r="E25" s="9" t="n">
        <v>612</v>
      </c>
      <c r="F25" s="10" t="n">
        <v>18</v>
      </c>
      <c r="G25" s="10">
        <f>E25*F25</f>
        <v/>
      </c>
    </row>
    <row r="26">
      <c r="A26" s="11" t="inlineStr">
        <is>
          <t>Subtotal Garagem 5</t>
        </is>
      </c>
      <c r="B26" s="7" t="n"/>
      <c r="C26" s="7" t="n"/>
      <c r="D26" s="7" t="n"/>
      <c r="E26" s="7" t="n"/>
      <c r="F26" s="7" t="n"/>
      <c r="G26" s="12">
        <f>SUM(G24:G25)</f>
        <v/>
      </c>
    </row>
    <row r="28">
      <c r="A28" s="6" t="inlineStr"/>
      <c r="B28" s="6" t="inlineStr">
        <is>
          <t>Lazer (6º)</t>
        </is>
      </c>
      <c r="C28" s="6" t="inlineStr"/>
      <c r="D28" s="6" t="inlineStr"/>
      <c r="E28" s="6" t="n"/>
      <c r="F28" s="6" t="n"/>
      <c r="G28" s="6" t="n"/>
    </row>
    <row r="29">
      <c r="A29" s="7" t="inlineStr">
        <is>
          <t>6.1</t>
        </is>
      </c>
      <c r="B29" s="7" t="inlineStr">
        <is>
          <t>Lazer (6º)</t>
        </is>
      </c>
      <c r="C29" s="8" t="inlineStr">
        <is>
          <t>Piso Cerâmico Padrão Alto</t>
        </is>
      </c>
      <c r="D29" s="7" t="inlineStr">
        <is>
          <t>m²</t>
        </is>
      </c>
      <c r="E29" s="9" t="n">
        <v>170</v>
      </c>
      <c r="F29" s="10" t="n">
        <v>48</v>
      </c>
      <c r="G29" s="10">
        <f>E29*F29</f>
        <v/>
      </c>
    </row>
    <row r="30">
      <c r="A30" s="7" t="inlineStr">
        <is>
          <t>6.2</t>
        </is>
      </c>
      <c r="B30" s="7" t="inlineStr">
        <is>
          <t>Lazer (6º)</t>
        </is>
      </c>
      <c r="C30" s="8" t="inlineStr">
        <is>
          <t>Pintura Látex Acrílica (paredes + teto)</t>
        </is>
      </c>
      <c r="D30" s="7" t="inlineStr">
        <is>
          <t>m²</t>
        </is>
      </c>
      <c r="E30" s="9" t="n">
        <v>765</v>
      </c>
      <c r="F30" s="10" t="n">
        <v>18</v>
      </c>
      <c r="G30" s="10">
        <f>E30*F30</f>
        <v/>
      </c>
    </row>
    <row r="31">
      <c r="A31" s="11" t="inlineStr">
        <is>
          <t>Subtotal Lazer (6º)</t>
        </is>
      </c>
      <c r="B31" s="7" t="n"/>
      <c r="C31" s="7" t="n"/>
      <c r="D31" s="7" t="n"/>
      <c r="E31" s="7" t="n"/>
      <c r="F31" s="7" t="n"/>
      <c r="G31" s="12">
        <f>SUM(G29:G30)</f>
        <v/>
      </c>
    </row>
    <row r="33">
      <c r="A33" s="6" t="inlineStr"/>
      <c r="B33" s="6" t="inlineStr">
        <is>
          <t>7º Pav (Tipo 2)</t>
        </is>
      </c>
      <c r="C33" s="6" t="inlineStr"/>
      <c r="D33" s="6" t="inlineStr"/>
      <c r="E33" s="6" t="n"/>
      <c r="F33" s="6" t="n"/>
      <c r="G33" s="6" t="n"/>
    </row>
    <row r="34">
      <c r="A34" s="7" t="inlineStr">
        <is>
          <t>6.1</t>
        </is>
      </c>
      <c r="B34" s="7" t="inlineStr">
        <is>
          <t>7º Pav (Tipo 2)</t>
        </is>
      </c>
      <c r="C34" s="8" t="inlineStr">
        <is>
          <t>Piso Cerâmico Padrão Alto</t>
        </is>
      </c>
      <c r="D34" s="7" t="inlineStr">
        <is>
          <t>m²</t>
        </is>
      </c>
      <c r="E34" s="9" t="n">
        <v>170</v>
      </c>
      <c r="F34" s="10" t="n">
        <v>48</v>
      </c>
      <c r="G34" s="10">
        <f>E34*F34</f>
        <v/>
      </c>
    </row>
    <row r="35">
      <c r="A35" s="7" t="inlineStr">
        <is>
          <t>6.2</t>
        </is>
      </c>
      <c r="B35" s="7" t="inlineStr">
        <is>
          <t>7º Pav (Tipo 2)</t>
        </is>
      </c>
      <c r="C35" s="8" t="inlineStr">
        <is>
          <t>Pintura Látex Acrílica (paredes + teto)</t>
        </is>
      </c>
      <c r="D35" s="7" t="inlineStr">
        <is>
          <t>m²</t>
        </is>
      </c>
      <c r="E35" s="9" t="n">
        <v>765</v>
      </c>
      <c r="F35" s="10" t="n">
        <v>18</v>
      </c>
      <c r="G35" s="10">
        <f>E35*F35</f>
        <v/>
      </c>
    </row>
    <row r="36">
      <c r="A36" s="11" t="inlineStr">
        <is>
          <t>Subtotal 7º Pav (Tipo 2)</t>
        </is>
      </c>
      <c r="B36" s="7" t="n"/>
      <c r="C36" s="7" t="n"/>
      <c r="D36" s="7" t="n"/>
      <c r="E36" s="7" t="n"/>
      <c r="F36" s="7" t="n"/>
      <c r="G36" s="12">
        <f>SUM(G34:G35)</f>
        <v/>
      </c>
    </row>
    <row r="38">
      <c r="A38" s="6" t="inlineStr"/>
      <c r="B38" s="6" t="inlineStr">
        <is>
          <t>8º Pav (Tipo 3)</t>
        </is>
      </c>
      <c r="C38" s="6" t="inlineStr"/>
      <c r="D38" s="6" t="inlineStr"/>
      <c r="E38" s="6" t="n"/>
      <c r="F38" s="6" t="n"/>
      <c r="G38" s="6" t="n"/>
    </row>
    <row r="39">
      <c r="A39" s="7" t="inlineStr">
        <is>
          <t>6.1</t>
        </is>
      </c>
      <c r="B39" s="7" t="inlineStr">
        <is>
          <t>8º Pav (Tipo 3)</t>
        </is>
      </c>
      <c r="C39" s="8" t="inlineStr">
        <is>
          <t>Piso Cerâmico Padrão Alto</t>
        </is>
      </c>
      <c r="D39" s="7" t="inlineStr">
        <is>
          <t>m²</t>
        </is>
      </c>
      <c r="E39" s="9" t="n">
        <v>170</v>
      </c>
      <c r="F39" s="10" t="n">
        <v>48</v>
      </c>
      <c r="G39" s="10">
        <f>E39*F39</f>
        <v/>
      </c>
    </row>
    <row r="40">
      <c r="A40" s="7" t="inlineStr">
        <is>
          <t>6.2</t>
        </is>
      </c>
      <c r="B40" s="7" t="inlineStr">
        <is>
          <t>8º Pav (Tipo 3)</t>
        </is>
      </c>
      <c r="C40" s="8" t="inlineStr">
        <is>
          <t>Pintura Látex Acrílica (paredes + teto)</t>
        </is>
      </c>
      <c r="D40" s="7" t="inlineStr">
        <is>
          <t>m²</t>
        </is>
      </c>
      <c r="E40" s="9" t="n">
        <v>765</v>
      </c>
      <c r="F40" s="10" t="n">
        <v>18</v>
      </c>
      <c r="G40" s="10">
        <f>E40*F40</f>
        <v/>
      </c>
    </row>
    <row r="41">
      <c r="A41" s="11" t="inlineStr">
        <is>
          <t>Subtotal 8º Pav (Tipo 3)</t>
        </is>
      </c>
      <c r="B41" s="7" t="n"/>
      <c r="C41" s="7" t="n"/>
      <c r="D41" s="7" t="n"/>
      <c r="E41" s="7" t="n"/>
      <c r="F41" s="7" t="n"/>
      <c r="G41" s="12">
        <f>SUM(G39:G40)</f>
        <v/>
      </c>
    </row>
    <row r="43">
      <c r="A43" s="6" t="inlineStr"/>
      <c r="B43" s="6" t="inlineStr">
        <is>
          <t>9º Pav (Tipo 4)</t>
        </is>
      </c>
      <c r="C43" s="6" t="inlineStr"/>
      <c r="D43" s="6" t="inlineStr"/>
      <c r="E43" s="6" t="n"/>
      <c r="F43" s="6" t="n"/>
      <c r="G43" s="6" t="n"/>
    </row>
    <row r="44">
      <c r="A44" s="7" t="inlineStr">
        <is>
          <t>6.1</t>
        </is>
      </c>
      <c r="B44" s="7" t="inlineStr">
        <is>
          <t>9º Pav (Tipo 4)</t>
        </is>
      </c>
      <c r="C44" s="8" t="inlineStr">
        <is>
          <t>Piso Cerâmico Padrão Alto</t>
        </is>
      </c>
      <c r="D44" s="7" t="inlineStr">
        <is>
          <t>m²</t>
        </is>
      </c>
      <c r="E44" s="9" t="n">
        <v>170</v>
      </c>
      <c r="F44" s="10" t="n">
        <v>48</v>
      </c>
      <c r="G44" s="10">
        <f>E44*F44</f>
        <v/>
      </c>
    </row>
    <row r="45">
      <c r="A45" s="7" t="inlineStr">
        <is>
          <t>6.2</t>
        </is>
      </c>
      <c r="B45" s="7" t="inlineStr">
        <is>
          <t>9º Pav (Tipo 4)</t>
        </is>
      </c>
      <c r="C45" s="8" t="inlineStr">
        <is>
          <t>Pintura Látex Acrílica (paredes + teto)</t>
        </is>
      </c>
      <c r="D45" s="7" t="inlineStr">
        <is>
          <t>m²</t>
        </is>
      </c>
      <c r="E45" s="9" t="n">
        <v>765</v>
      </c>
      <c r="F45" s="10" t="n">
        <v>18</v>
      </c>
      <c r="G45" s="10">
        <f>E45*F45</f>
        <v/>
      </c>
    </row>
    <row r="46">
      <c r="A46" s="11" t="inlineStr">
        <is>
          <t>Subtotal 9º Pav (Tipo 4)</t>
        </is>
      </c>
      <c r="B46" s="7" t="n"/>
      <c r="C46" s="7" t="n"/>
      <c r="D46" s="7" t="n"/>
      <c r="E46" s="7" t="n"/>
      <c r="F46" s="7" t="n"/>
      <c r="G46" s="12">
        <f>SUM(G44:G45)</f>
        <v/>
      </c>
    </row>
    <row r="48">
      <c r="A48" s="6" t="inlineStr"/>
      <c r="B48" s="6" t="inlineStr">
        <is>
          <t>10º Pav (Tipo 5)</t>
        </is>
      </c>
      <c r="C48" s="6" t="inlineStr"/>
      <c r="D48" s="6" t="inlineStr"/>
      <c r="E48" s="6" t="n"/>
      <c r="F48" s="6" t="n"/>
      <c r="G48" s="6" t="n"/>
    </row>
    <row r="49">
      <c r="A49" s="7" t="inlineStr">
        <is>
          <t>6.1</t>
        </is>
      </c>
      <c r="B49" s="7" t="inlineStr">
        <is>
          <t>10º Pav (Tipo 5)</t>
        </is>
      </c>
      <c r="C49" s="8" t="inlineStr">
        <is>
          <t>Piso Cerâmico Padrão Alto</t>
        </is>
      </c>
      <c r="D49" s="7" t="inlineStr">
        <is>
          <t>m²</t>
        </is>
      </c>
      <c r="E49" s="9" t="n">
        <v>170</v>
      </c>
      <c r="F49" s="10" t="n">
        <v>48</v>
      </c>
      <c r="G49" s="10">
        <f>E49*F49</f>
        <v/>
      </c>
    </row>
    <row r="50">
      <c r="A50" s="7" t="inlineStr">
        <is>
          <t>6.2</t>
        </is>
      </c>
      <c r="B50" s="7" t="inlineStr">
        <is>
          <t>10º Pav (Tipo 5)</t>
        </is>
      </c>
      <c r="C50" s="8" t="inlineStr">
        <is>
          <t>Pintura Látex Acrílica (paredes + teto)</t>
        </is>
      </c>
      <c r="D50" s="7" t="inlineStr">
        <is>
          <t>m²</t>
        </is>
      </c>
      <c r="E50" s="9" t="n">
        <v>765</v>
      </c>
      <c r="F50" s="10" t="n">
        <v>18</v>
      </c>
      <c r="G50" s="10">
        <f>E50*F50</f>
        <v/>
      </c>
    </row>
    <row r="51">
      <c r="A51" s="11" t="inlineStr">
        <is>
          <t>Subtotal 10º Pav (Tipo 5)</t>
        </is>
      </c>
      <c r="B51" s="7" t="n"/>
      <c r="C51" s="7" t="n"/>
      <c r="D51" s="7" t="n"/>
      <c r="E51" s="7" t="n"/>
      <c r="F51" s="7" t="n"/>
      <c r="G51" s="12">
        <f>SUM(G49:G50)</f>
        <v/>
      </c>
    </row>
    <row r="53">
      <c r="A53" s="6" t="inlineStr"/>
      <c r="B53" s="6" t="inlineStr">
        <is>
          <t>11º Pav (Tipo 6)</t>
        </is>
      </c>
      <c r="C53" s="6" t="inlineStr"/>
      <c r="D53" s="6" t="inlineStr"/>
      <c r="E53" s="6" t="n"/>
      <c r="F53" s="6" t="n"/>
      <c r="G53" s="6" t="n"/>
    </row>
    <row r="54">
      <c r="A54" s="7" t="inlineStr">
        <is>
          <t>6.1</t>
        </is>
      </c>
      <c r="B54" s="7" t="inlineStr">
        <is>
          <t>11º Pav (Tipo 6)</t>
        </is>
      </c>
      <c r="C54" s="8" t="inlineStr">
        <is>
          <t>Piso Cerâmico Padrão Alto</t>
        </is>
      </c>
      <c r="D54" s="7" t="inlineStr">
        <is>
          <t>m²</t>
        </is>
      </c>
      <c r="E54" s="9" t="n">
        <v>170</v>
      </c>
      <c r="F54" s="10" t="n">
        <v>48</v>
      </c>
      <c r="G54" s="10">
        <f>E54*F54</f>
        <v/>
      </c>
    </row>
    <row r="55">
      <c r="A55" s="7" t="inlineStr">
        <is>
          <t>6.2</t>
        </is>
      </c>
      <c r="B55" s="7" t="inlineStr">
        <is>
          <t>11º Pav (Tipo 6)</t>
        </is>
      </c>
      <c r="C55" s="8" t="inlineStr">
        <is>
          <t>Pintura Látex Acrílica (paredes + teto)</t>
        </is>
      </c>
      <c r="D55" s="7" t="inlineStr">
        <is>
          <t>m²</t>
        </is>
      </c>
      <c r="E55" s="9" t="n">
        <v>765</v>
      </c>
      <c r="F55" s="10" t="n">
        <v>18</v>
      </c>
      <c r="G55" s="10">
        <f>E55*F55</f>
        <v/>
      </c>
    </row>
    <row r="56">
      <c r="A56" s="11" t="inlineStr">
        <is>
          <t>Subtotal 11º Pav (Tipo 6)</t>
        </is>
      </c>
      <c r="B56" s="7" t="n"/>
      <c r="C56" s="7" t="n"/>
      <c r="D56" s="7" t="n"/>
      <c r="E56" s="7" t="n"/>
      <c r="F56" s="7" t="n"/>
      <c r="G56" s="12">
        <f>SUM(G54:G55)</f>
        <v/>
      </c>
    </row>
    <row r="58">
      <c r="A58" s="6" t="inlineStr"/>
      <c r="B58" s="6" t="inlineStr">
        <is>
          <t>12º Pav (Tipo 7)</t>
        </is>
      </c>
      <c r="C58" s="6" t="inlineStr"/>
      <c r="D58" s="6" t="inlineStr"/>
      <c r="E58" s="6" t="n"/>
      <c r="F58" s="6" t="n"/>
      <c r="G58" s="6" t="n"/>
    </row>
    <row r="59">
      <c r="A59" s="7" t="inlineStr">
        <is>
          <t>6.1</t>
        </is>
      </c>
      <c r="B59" s="7" t="inlineStr">
        <is>
          <t>12º Pav (Tipo 7)</t>
        </is>
      </c>
      <c r="C59" s="8" t="inlineStr">
        <is>
          <t>Piso Cerâmico Padrão Alto</t>
        </is>
      </c>
      <c r="D59" s="7" t="inlineStr">
        <is>
          <t>m²</t>
        </is>
      </c>
      <c r="E59" s="9" t="n">
        <v>170</v>
      </c>
      <c r="F59" s="10" t="n">
        <v>48</v>
      </c>
      <c r="G59" s="10">
        <f>E59*F59</f>
        <v/>
      </c>
    </row>
    <row r="60">
      <c r="A60" s="7" t="inlineStr">
        <is>
          <t>6.2</t>
        </is>
      </c>
      <c r="B60" s="7" t="inlineStr">
        <is>
          <t>12º Pav (Tipo 7)</t>
        </is>
      </c>
      <c r="C60" s="8" t="inlineStr">
        <is>
          <t>Pintura Látex Acrílica (paredes + teto)</t>
        </is>
      </c>
      <c r="D60" s="7" t="inlineStr">
        <is>
          <t>m²</t>
        </is>
      </c>
      <c r="E60" s="9" t="n">
        <v>765</v>
      </c>
      <c r="F60" s="10" t="n">
        <v>18</v>
      </c>
      <c r="G60" s="10">
        <f>E60*F60</f>
        <v/>
      </c>
    </row>
    <row r="61">
      <c r="A61" s="11" t="inlineStr">
        <is>
          <t>Subtotal 12º Pav (Tipo 7)</t>
        </is>
      </c>
      <c r="B61" s="7" t="n"/>
      <c r="C61" s="7" t="n"/>
      <c r="D61" s="7" t="n"/>
      <c r="E61" s="7" t="n"/>
      <c r="F61" s="7" t="n"/>
      <c r="G61" s="12">
        <f>SUM(G59:G60)</f>
        <v/>
      </c>
    </row>
    <row r="63">
      <c r="A63" s="6" t="inlineStr"/>
      <c r="B63" s="6" t="inlineStr">
        <is>
          <t>13º Pav (Tipo 8)</t>
        </is>
      </c>
      <c r="C63" s="6" t="inlineStr"/>
      <c r="D63" s="6" t="inlineStr"/>
      <c r="E63" s="6" t="n"/>
      <c r="F63" s="6" t="n"/>
      <c r="G63" s="6" t="n"/>
    </row>
    <row r="64">
      <c r="A64" s="7" t="inlineStr">
        <is>
          <t>6.1</t>
        </is>
      </c>
      <c r="B64" s="7" t="inlineStr">
        <is>
          <t>13º Pav (Tipo 8)</t>
        </is>
      </c>
      <c r="C64" s="8" t="inlineStr">
        <is>
          <t>Piso Cerâmico Padrão Alto</t>
        </is>
      </c>
      <c r="D64" s="7" t="inlineStr">
        <is>
          <t>m²</t>
        </is>
      </c>
      <c r="E64" s="9" t="n">
        <v>170</v>
      </c>
      <c r="F64" s="10" t="n">
        <v>48</v>
      </c>
      <c r="G64" s="10">
        <f>E64*F64</f>
        <v/>
      </c>
    </row>
    <row r="65">
      <c r="A65" s="7" t="inlineStr">
        <is>
          <t>6.2</t>
        </is>
      </c>
      <c r="B65" s="7" t="inlineStr">
        <is>
          <t>13º Pav (Tipo 8)</t>
        </is>
      </c>
      <c r="C65" s="8" t="inlineStr">
        <is>
          <t>Pintura Látex Acrílica (paredes + teto)</t>
        </is>
      </c>
      <c r="D65" s="7" t="inlineStr">
        <is>
          <t>m²</t>
        </is>
      </c>
      <c r="E65" s="9" t="n">
        <v>765</v>
      </c>
      <c r="F65" s="10" t="n">
        <v>18</v>
      </c>
      <c r="G65" s="10">
        <f>E65*F65</f>
        <v/>
      </c>
    </row>
    <row r="66">
      <c r="A66" s="11" t="inlineStr">
        <is>
          <t>Subtotal 13º Pav (Tipo 8)</t>
        </is>
      </c>
      <c r="B66" s="7" t="n"/>
      <c r="C66" s="7" t="n"/>
      <c r="D66" s="7" t="n"/>
      <c r="E66" s="7" t="n"/>
      <c r="F66" s="7" t="n"/>
      <c r="G66" s="12">
        <f>SUM(G64:G65)</f>
        <v/>
      </c>
    </row>
    <row r="68">
      <c r="A68" s="6" t="inlineStr"/>
      <c r="B68" s="6" t="inlineStr">
        <is>
          <t>14º Pav (Tipo 9)</t>
        </is>
      </c>
      <c r="C68" s="6" t="inlineStr"/>
      <c r="D68" s="6" t="inlineStr"/>
      <c r="E68" s="6" t="n"/>
      <c r="F68" s="6" t="n"/>
      <c r="G68" s="6" t="n"/>
    </row>
    <row r="69">
      <c r="A69" s="7" t="inlineStr">
        <is>
          <t>6.1</t>
        </is>
      </c>
      <c r="B69" s="7" t="inlineStr">
        <is>
          <t>14º Pav (Tipo 9)</t>
        </is>
      </c>
      <c r="C69" s="8" t="inlineStr">
        <is>
          <t>Piso Cerâmico Padrão Alto</t>
        </is>
      </c>
      <c r="D69" s="7" t="inlineStr">
        <is>
          <t>m²</t>
        </is>
      </c>
      <c r="E69" s="9" t="n">
        <v>170</v>
      </c>
      <c r="F69" s="10" t="n">
        <v>48</v>
      </c>
      <c r="G69" s="10">
        <f>E69*F69</f>
        <v/>
      </c>
    </row>
    <row r="70">
      <c r="A70" s="7" t="inlineStr">
        <is>
          <t>6.2</t>
        </is>
      </c>
      <c r="B70" s="7" t="inlineStr">
        <is>
          <t>14º Pav (Tipo 9)</t>
        </is>
      </c>
      <c r="C70" s="8" t="inlineStr">
        <is>
          <t>Pintura Látex Acrílica (paredes + teto)</t>
        </is>
      </c>
      <c r="D70" s="7" t="inlineStr">
        <is>
          <t>m²</t>
        </is>
      </c>
      <c r="E70" s="9" t="n">
        <v>765</v>
      </c>
      <c r="F70" s="10" t="n">
        <v>18</v>
      </c>
      <c r="G70" s="10">
        <f>E70*F70</f>
        <v/>
      </c>
    </row>
    <row r="71">
      <c r="A71" s="11" t="inlineStr">
        <is>
          <t>Subtotal 14º Pav (Tipo 9)</t>
        </is>
      </c>
      <c r="B71" s="7" t="n"/>
      <c r="C71" s="7" t="n"/>
      <c r="D71" s="7" t="n"/>
      <c r="E71" s="7" t="n"/>
      <c r="F71" s="7" t="n"/>
      <c r="G71" s="12">
        <f>SUM(G69:G70)</f>
        <v/>
      </c>
    </row>
    <row r="73">
      <c r="A73" s="6" t="inlineStr"/>
      <c r="B73" s="6" t="inlineStr">
        <is>
          <t>15º Pav (Tipo 10)</t>
        </is>
      </c>
      <c r="C73" s="6" t="inlineStr"/>
      <c r="D73" s="6" t="inlineStr"/>
      <c r="E73" s="6" t="n"/>
      <c r="F73" s="6" t="n"/>
      <c r="G73" s="6" t="n"/>
    </row>
    <row r="74">
      <c r="A74" s="7" t="inlineStr">
        <is>
          <t>6.1</t>
        </is>
      </c>
      <c r="B74" s="7" t="inlineStr">
        <is>
          <t>15º Pav (Tipo 10)</t>
        </is>
      </c>
      <c r="C74" s="8" t="inlineStr">
        <is>
          <t>Piso Cerâmico Padrão Alto</t>
        </is>
      </c>
      <c r="D74" s="7" t="inlineStr">
        <is>
          <t>m²</t>
        </is>
      </c>
      <c r="E74" s="9" t="n">
        <v>170</v>
      </c>
      <c r="F74" s="10" t="n">
        <v>48</v>
      </c>
      <c r="G74" s="10">
        <f>E74*F74</f>
        <v/>
      </c>
    </row>
    <row r="75">
      <c r="A75" s="7" t="inlineStr">
        <is>
          <t>6.2</t>
        </is>
      </c>
      <c r="B75" s="7" t="inlineStr">
        <is>
          <t>15º Pav (Tipo 10)</t>
        </is>
      </c>
      <c r="C75" s="8" t="inlineStr">
        <is>
          <t>Pintura Látex Acrílica (paredes + teto)</t>
        </is>
      </c>
      <c r="D75" s="7" t="inlineStr">
        <is>
          <t>m²</t>
        </is>
      </c>
      <c r="E75" s="9" t="n">
        <v>765</v>
      </c>
      <c r="F75" s="10" t="n">
        <v>18</v>
      </c>
      <c r="G75" s="10">
        <f>E75*F75</f>
        <v/>
      </c>
    </row>
    <row r="76">
      <c r="A76" s="11" t="inlineStr">
        <is>
          <t>Subtotal 15º Pav (Tipo 10)</t>
        </is>
      </c>
      <c r="B76" s="7" t="n"/>
      <c r="C76" s="7" t="n"/>
      <c r="D76" s="7" t="n"/>
      <c r="E76" s="7" t="n"/>
      <c r="F76" s="7" t="n"/>
      <c r="G76" s="12">
        <f>SUM(G74:G75)</f>
        <v/>
      </c>
    </row>
    <row r="78">
      <c r="A78" s="6" t="inlineStr"/>
      <c r="B78" s="6" t="inlineStr">
        <is>
          <t>16º Pav (Tipo 11)</t>
        </is>
      </c>
      <c r="C78" s="6" t="inlineStr"/>
      <c r="D78" s="6" t="inlineStr"/>
      <c r="E78" s="6" t="n"/>
      <c r="F78" s="6" t="n"/>
      <c r="G78" s="6" t="n"/>
    </row>
    <row r="79">
      <c r="A79" s="7" t="inlineStr">
        <is>
          <t>6.1</t>
        </is>
      </c>
      <c r="B79" s="7" t="inlineStr">
        <is>
          <t>16º Pav (Tipo 11)</t>
        </is>
      </c>
      <c r="C79" s="8" t="inlineStr">
        <is>
          <t>Piso Cerâmico Padrão Alto</t>
        </is>
      </c>
      <c r="D79" s="7" t="inlineStr">
        <is>
          <t>m²</t>
        </is>
      </c>
      <c r="E79" s="9" t="n">
        <v>170</v>
      </c>
      <c r="F79" s="10" t="n">
        <v>48</v>
      </c>
      <c r="G79" s="10">
        <f>E79*F79</f>
        <v/>
      </c>
    </row>
    <row r="80">
      <c r="A80" s="7" t="inlineStr">
        <is>
          <t>6.2</t>
        </is>
      </c>
      <c r="B80" s="7" t="inlineStr">
        <is>
          <t>16º Pav (Tipo 11)</t>
        </is>
      </c>
      <c r="C80" s="8" t="inlineStr">
        <is>
          <t>Pintura Látex Acrílica (paredes + teto)</t>
        </is>
      </c>
      <c r="D80" s="7" t="inlineStr">
        <is>
          <t>m²</t>
        </is>
      </c>
      <c r="E80" s="9" t="n">
        <v>765</v>
      </c>
      <c r="F80" s="10" t="n">
        <v>18</v>
      </c>
      <c r="G80" s="10">
        <f>E80*F80</f>
        <v/>
      </c>
    </row>
    <row r="81">
      <c r="A81" s="11" t="inlineStr">
        <is>
          <t>Subtotal 16º Pav (Tipo 11)</t>
        </is>
      </c>
      <c r="B81" s="7" t="n"/>
      <c r="C81" s="7" t="n"/>
      <c r="D81" s="7" t="n"/>
      <c r="E81" s="7" t="n"/>
      <c r="F81" s="7" t="n"/>
      <c r="G81" s="12">
        <f>SUM(G79:G80)</f>
        <v/>
      </c>
    </row>
    <row r="83">
      <c r="A83" s="6" t="inlineStr"/>
      <c r="B83" s="6" t="inlineStr">
        <is>
          <t>17º Pav (Tipo 12)</t>
        </is>
      </c>
      <c r="C83" s="6" t="inlineStr"/>
      <c r="D83" s="6" t="inlineStr"/>
      <c r="E83" s="6" t="n"/>
      <c r="F83" s="6" t="n"/>
      <c r="G83" s="6" t="n"/>
    </row>
    <row r="84">
      <c r="A84" s="7" t="inlineStr">
        <is>
          <t>6.1</t>
        </is>
      </c>
      <c r="B84" s="7" t="inlineStr">
        <is>
          <t>17º Pav (Tipo 12)</t>
        </is>
      </c>
      <c r="C84" s="8" t="inlineStr">
        <is>
          <t>Piso Cerâmico Padrão Alto</t>
        </is>
      </c>
      <c r="D84" s="7" t="inlineStr">
        <is>
          <t>m²</t>
        </is>
      </c>
      <c r="E84" s="9" t="n">
        <v>170</v>
      </c>
      <c r="F84" s="10" t="n">
        <v>48</v>
      </c>
      <c r="G84" s="10">
        <f>E84*F84</f>
        <v/>
      </c>
    </row>
    <row r="85">
      <c r="A85" s="7" t="inlineStr">
        <is>
          <t>6.2</t>
        </is>
      </c>
      <c r="B85" s="7" t="inlineStr">
        <is>
          <t>17º Pav (Tipo 12)</t>
        </is>
      </c>
      <c r="C85" s="8" t="inlineStr">
        <is>
          <t>Pintura Látex Acrílica (paredes + teto)</t>
        </is>
      </c>
      <c r="D85" s="7" t="inlineStr">
        <is>
          <t>m²</t>
        </is>
      </c>
      <c r="E85" s="9" t="n">
        <v>765</v>
      </c>
      <c r="F85" s="10" t="n">
        <v>18</v>
      </c>
      <c r="G85" s="10">
        <f>E85*F85</f>
        <v/>
      </c>
    </row>
    <row r="86">
      <c r="A86" s="11" t="inlineStr">
        <is>
          <t>Subtotal 17º Pav (Tipo 12)</t>
        </is>
      </c>
      <c r="B86" s="7" t="n"/>
      <c r="C86" s="7" t="n"/>
      <c r="D86" s="7" t="n"/>
      <c r="E86" s="7" t="n"/>
      <c r="F86" s="7" t="n"/>
      <c r="G86" s="12">
        <f>SUM(G84:G85)</f>
        <v/>
      </c>
    </row>
    <row r="88">
      <c r="A88" s="6" t="inlineStr"/>
      <c r="B88" s="6" t="inlineStr">
        <is>
          <t>18º Pav (Tipo 13)</t>
        </is>
      </c>
      <c r="C88" s="6" t="inlineStr"/>
      <c r="D88" s="6" t="inlineStr"/>
      <c r="E88" s="6" t="n"/>
      <c r="F88" s="6" t="n"/>
      <c r="G88" s="6" t="n"/>
    </row>
    <row r="89">
      <c r="A89" s="7" t="inlineStr">
        <is>
          <t>6.1</t>
        </is>
      </c>
      <c r="B89" s="7" t="inlineStr">
        <is>
          <t>18º Pav (Tipo 13)</t>
        </is>
      </c>
      <c r="C89" s="8" t="inlineStr">
        <is>
          <t>Piso Cerâmico Padrão Alto</t>
        </is>
      </c>
      <c r="D89" s="7" t="inlineStr">
        <is>
          <t>m²</t>
        </is>
      </c>
      <c r="E89" s="9" t="n">
        <v>170</v>
      </c>
      <c r="F89" s="10" t="n">
        <v>48</v>
      </c>
      <c r="G89" s="10">
        <f>E89*F89</f>
        <v/>
      </c>
    </row>
    <row r="90">
      <c r="A90" s="7" t="inlineStr">
        <is>
          <t>6.2</t>
        </is>
      </c>
      <c r="B90" s="7" t="inlineStr">
        <is>
          <t>18º Pav (Tipo 13)</t>
        </is>
      </c>
      <c r="C90" s="8" t="inlineStr">
        <is>
          <t>Pintura Látex Acrílica (paredes + teto)</t>
        </is>
      </c>
      <c r="D90" s="7" t="inlineStr">
        <is>
          <t>m²</t>
        </is>
      </c>
      <c r="E90" s="9" t="n">
        <v>765</v>
      </c>
      <c r="F90" s="10" t="n">
        <v>18</v>
      </c>
      <c r="G90" s="10">
        <f>E90*F90</f>
        <v/>
      </c>
    </row>
    <row r="91">
      <c r="A91" s="11" t="inlineStr">
        <is>
          <t>Subtotal 18º Pav (Tipo 13)</t>
        </is>
      </c>
      <c r="B91" s="7" t="n"/>
      <c r="C91" s="7" t="n"/>
      <c r="D91" s="7" t="n"/>
      <c r="E91" s="7" t="n"/>
      <c r="F91" s="7" t="n"/>
      <c r="G91" s="12">
        <f>SUM(G89:G90)</f>
        <v/>
      </c>
    </row>
    <row r="93">
      <c r="A93" s="6" t="inlineStr"/>
      <c r="B93" s="6" t="inlineStr">
        <is>
          <t>19º Pav (Tipo 14)</t>
        </is>
      </c>
      <c r="C93" s="6" t="inlineStr"/>
      <c r="D93" s="6" t="inlineStr"/>
      <c r="E93" s="6" t="n"/>
      <c r="F93" s="6" t="n"/>
      <c r="G93" s="6" t="n"/>
    </row>
    <row r="94">
      <c r="A94" s="7" t="inlineStr">
        <is>
          <t>6.1</t>
        </is>
      </c>
      <c r="B94" s="7" t="inlineStr">
        <is>
          <t>19º Pav (Tipo 14)</t>
        </is>
      </c>
      <c r="C94" s="8" t="inlineStr">
        <is>
          <t>Piso Cerâmico Padrão Alto</t>
        </is>
      </c>
      <c r="D94" s="7" t="inlineStr">
        <is>
          <t>m²</t>
        </is>
      </c>
      <c r="E94" s="9" t="n">
        <v>170</v>
      </c>
      <c r="F94" s="10" t="n">
        <v>48</v>
      </c>
      <c r="G94" s="10">
        <f>E94*F94</f>
        <v/>
      </c>
    </row>
    <row r="95">
      <c r="A95" s="7" t="inlineStr">
        <is>
          <t>6.2</t>
        </is>
      </c>
      <c r="B95" s="7" t="inlineStr">
        <is>
          <t>19º Pav (Tipo 14)</t>
        </is>
      </c>
      <c r="C95" s="8" t="inlineStr">
        <is>
          <t>Pintura Látex Acrílica (paredes + teto)</t>
        </is>
      </c>
      <c r="D95" s="7" t="inlineStr">
        <is>
          <t>m²</t>
        </is>
      </c>
      <c r="E95" s="9" t="n">
        <v>765</v>
      </c>
      <c r="F95" s="10" t="n">
        <v>18</v>
      </c>
      <c r="G95" s="10">
        <f>E95*F95</f>
        <v/>
      </c>
    </row>
    <row r="96">
      <c r="A96" s="11" t="inlineStr">
        <is>
          <t>Subtotal 19º Pav (Tipo 14)</t>
        </is>
      </c>
      <c r="B96" s="7" t="n"/>
      <c r="C96" s="7" t="n"/>
      <c r="D96" s="7" t="n"/>
      <c r="E96" s="7" t="n"/>
      <c r="F96" s="7" t="n"/>
      <c r="G96" s="12">
        <f>SUM(G94:G95)</f>
        <v/>
      </c>
    </row>
    <row r="98">
      <c r="A98" s="6" t="inlineStr"/>
      <c r="B98" s="6" t="inlineStr">
        <is>
          <t>20º Pav (Tipo 15)</t>
        </is>
      </c>
      <c r="C98" s="6" t="inlineStr"/>
      <c r="D98" s="6" t="inlineStr"/>
      <c r="E98" s="6" t="n"/>
      <c r="F98" s="6" t="n"/>
      <c r="G98" s="6" t="n"/>
    </row>
    <row r="99">
      <c r="A99" s="7" t="inlineStr">
        <is>
          <t>6.1</t>
        </is>
      </c>
      <c r="B99" s="7" t="inlineStr">
        <is>
          <t>20º Pav (Tipo 15)</t>
        </is>
      </c>
      <c r="C99" s="8" t="inlineStr">
        <is>
          <t>Piso Cerâmico Padrão Alto</t>
        </is>
      </c>
      <c r="D99" s="7" t="inlineStr">
        <is>
          <t>m²</t>
        </is>
      </c>
      <c r="E99" s="9" t="n">
        <v>170</v>
      </c>
      <c r="F99" s="10" t="n">
        <v>48</v>
      </c>
      <c r="G99" s="10">
        <f>E99*F99</f>
        <v/>
      </c>
    </row>
    <row r="100">
      <c r="A100" s="7" t="inlineStr">
        <is>
          <t>6.2</t>
        </is>
      </c>
      <c r="B100" s="7" t="inlineStr">
        <is>
          <t>20º Pav (Tipo 15)</t>
        </is>
      </c>
      <c r="C100" s="8" t="inlineStr">
        <is>
          <t>Pintura Látex Acrílica (paredes + teto)</t>
        </is>
      </c>
      <c r="D100" s="7" t="inlineStr">
        <is>
          <t>m²</t>
        </is>
      </c>
      <c r="E100" s="9" t="n">
        <v>765</v>
      </c>
      <c r="F100" s="10" t="n">
        <v>18</v>
      </c>
      <c r="G100" s="10">
        <f>E100*F100</f>
        <v/>
      </c>
    </row>
    <row r="101">
      <c r="A101" s="11" t="inlineStr">
        <is>
          <t>Subtotal 20º Pav (Tipo 15)</t>
        </is>
      </c>
      <c r="B101" s="7" t="n"/>
      <c r="C101" s="7" t="n"/>
      <c r="D101" s="7" t="n"/>
      <c r="E101" s="7" t="n"/>
      <c r="F101" s="7" t="n"/>
      <c r="G101" s="12">
        <f>SUM(G99:G100)</f>
        <v/>
      </c>
    </row>
    <row r="103">
      <c r="A103" s="6" t="inlineStr"/>
      <c r="B103" s="6" t="inlineStr">
        <is>
          <t>21º Pav (Tipo 16)</t>
        </is>
      </c>
      <c r="C103" s="6" t="inlineStr"/>
      <c r="D103" s="6" t="inlineStr"/>
      <c r="E103" s="6" t="n"/>
      <c r="F103" s="6" t="n"/>
      <c r="G103" s="6" t="n"/>
    </row>
    <row r="104">
      <c r="A104" s="7" t="inlineStr">
        <is>
          <t>6.1</t>
        </is>
      </c>
      <c r="B104" s="7" t="inlineStr">
        <is>
          <t>21º Pav (Tipo 16)</t>
        </is>
      </c>
      <c r="C104" s="8" t="inlineStr">
        <is>
          <t>Piso Cerâmico Padrão Alto</t>
        </is>
      </c>
      <c r="D104" s="7" t="inlineStr">
        <is>
          <t>m²</t>
        </is>
      </c>
      <c r="E104" s="9" t="n">
        <v>170</v>
      </c>
      <c r="F104" s="10" t="n">
        <v>48</v>
      </c>
      <c r="G104" s="10">
        <f>E104*F104</f>
        <v/>
      </c>
    </row>
    <row r="105">
      <c r="A105" s="7" t="inlineStr">
        <is>
          <t>6.2</t>
        </is>
      </c>
      <c r="B105" s="7" t="inlineStr">
        <is>
          <t>21º Pav (Tipo 16)</t>
        </is>
      </c>
      <c r="C105" s="8" t="inlineStr">
        <is>
          <t>Pintura Látex Acrílica (paredes + teto)</t>
        </is>
      </c>
      <c r="D105" s="7" t="inlineStr">
        <is>
          <t>m²</t>
        </is>
      </c>
      <c r="E105" s="9" t="n">
        <v>765</v>
      </c>
      <c r="F105" s="10" t="n">
        <v>18</v>
      </c>
      <c r="G105" s="10">
        <f>E105*F105</f>
        <v/>
      </c>
    </row>
    <row r="106">
      <c r="A106" s="11" t="inlineStr">
        <is>
          <t>Subtotal 21º Pav (Tipo 16)</t>
        </is>
      </c>
      <c r="B106" s="7" t="n"/>
      <c r="C106" s="7" t="n"/>
      <c r="D106" s="7" t="n"/>
      <c r="E106" s="7" t="n"/>
      <c r="F106" s="7" t="n"/>
      <c r="G106" s="12">
        <f>SUM(G104:G105)</f>
        <v/>
      </c>
    </row>
    <row r="108">
      <c r="A108" s="6" t="inlineStr"/>
      <c r="B108" s="6" t="inlineStr">
        <is>
          <t>22º Pav (Tipo 17)</t>
        </is>
      </c>
      <c r="C108" s="6" t="inlineStr"/>
      <c r="D108" s="6" t="inlineStr"/>
      <c r="E108" s="6" t="n"/>
      <c r="F108" s="6" t="n"/>
      <c r="G108" s="6" t="n"/>
    </row>
    <row r="109">
      <c r="A109" s="7" t="inlineStr">
        <is>
          <t>6.1</t>
        </is>
      </c>
      <c r="B109" s="7" t="inlineStr">
        <is>
          <t>22º Pav (Tipo 17)</t>
        </is>
      </c>
      <c r="C109" s="8" t="inlineStr">
        <is>
          <t>Piso Cerâmico Padrão Alto</t>
        </is>
      </c>
      <c r="D109" s="7" t="inlineStr">
        <is>
          <t>m²</t>
        </is>
      </c>
      <c r="E109" s="9" t="n">
        <v>170</v>
      </c>
      <c r="F109" s="10" t="n">
        <v>48</v>
      </c>
      <c r="G109" s="10">
        <f>E109*F109</f>
        <v/>
      </c>
    </row>
    <row r="110">
      <c r="A110" s="7" t="inlineStr">
        <is>
          <t>6.2</t>
        </is>
      </c>
      <c r="B110" s="7" t="inlineStr">
        <is>
          <t>22º Pav (Tipo 17)</t>
        </is>
      </c>
      <c r="C110" s="8" t="inlineStr">
        <is>
          <t>Pintura Látex Acrílica (paredes + teto)</t>
        </is>
      </c>
      <c r="D110" s="7" t="inlineStr">
        <is>
          <t>m²</t>
        </is>
      </c>
      <c r="E110" s="9" t="n">
        <v>765</v>
      </c>
      <c r="F110" s="10" t="n">
        <v>18</v>
      </c>
      <c r="G110" s="10">
        <f>E110*F110</f>
        <v/>
      </c>
    </row>
    <row r="111">
      <c r="A111" s="11" t="inlineStr">
        <is>
          <t>Subtotal 22º Pav (Tipo 17)</t>
        </is>
      </c>
      <c r="B111" s="7" t="n"/>
      <c r="C111" s="7" t="n"/>
      <c r="D111" s="7" t="n"/>
      <c r="E111" s="7" t="n"/>
      <c r="F111" s="7" t="n"/>
      <c r="G111" s="12">
        <f>SUM(G109:G110)</f>
        <v/>
      </c>
    </row>
    <row r="113">
      <c r="A113" s="6" t="inlineStr"/>
      <c r="B113" s="6" t="inlineStr">
        <is>
          <t>23º Pav (Tipo 18)</t>
        </is>
      </c>
      <c r="C113" s="6" t="inlineStr"/>
      <c r="D113" s="6" t="inlineStr"/>
      <c r="E113" s="6" t="n"/>
      <c r="F113" s="6" t="n"/>
      <c r="G113" s="6" t="n"/>
    </row>
    <row r="114">
      <c r="A114" s="7" t="inlineStr">
        <is>
          <t>6.1</t>
        </is>
      </c>
      <c r="B114" s="7" t="inlineStr">
        <is>
          <t>23º Pav (Tipo 18)</t>
        </is>
      </c>
      <c r="C114" s="8" t="inlineStr">
        <is>
          <t>Piso Cerâmico Padrão Alto</t>
        </is>
      </c>
      <c r="D114" s="7" t="inlineStr">
        <is>
          <t>m²</t>
        </is>
      </c>
      <c r="E114" s="9" t="n">
        <v>170</v>
      </c>
      <c r="F114" s="10" t="n">
        <v>48</v>
      </c>
      <c r="G114" s="10">
        <f>E114*F114</f>
        <v/>
      </c>
    </row>
    <row r="115">
      <c r="A115" s="7" t="inlineStr">
        <is>
          <t>6.2</t>
        </is>
      </c>
      <c r="B115" s="7" t="inlineStr">
        <is>
          <t>23º Pav (Tipo 18)</t>
        </is>
      </c>
      <c r="C115" s="8" t="inlineStr">
        <is>
          <t>Pintura Látex Acrílica (paredes + teto)</t>
        </is>
      </c>
      <c r="D115" s="7" t="inlineStr">
        <is>
          <t>m²</t>
        </is>
      </c>
      <c r="E115" s="9" t="n">
        <v>765</v>
      </c>
      <c r="F115" s="10" t="n">
        <v>18</v>
      </c>
      <c r="G115" s="10">
        <f>E115*F115</f>
        <v/>
      </c>
    </row>
    <row r="116">
      <c r="A116" s="11" t="inlineStr">
        <is>
          <t>Subtotal 23º Pav (Tipo 18)</t>
        </is>
      </c>
      <c r="B116" s="7" t="n"/>
      <c r="C116" s="7" t="n"/>
      <c r="D116" s="7" t="n"/>
      <c r="E116" s="7" t="n"/>
      <c r="F116" s="7" t="n"/>
      <c r="G116" s="12">
        <f>SUM(G114:G115)</f>
        <v/>
      </c>
    </row>
    <row r="118">
      <c r="A118" s="6" t="inlineStr"/>
      <c r="B118" s="6" t="inlineStr">
        <is>
          <t>Ático (24º)</t>
        </is>
      </c>
      <c r="C118" s="6" t="inlineStr"/>
      <c r="D118" s="6" t="inlineStr"/>
      <c r="E118" s="6" t="n"/>
      <c r="F118" s="6" t="n"/>
      <c r="G118" s="6" t="n"/>
    </row>
    <row r="119">
      <c r="A119" s="7" t="inlineStr">
        <is>
          <t>6.1</t>
        </is>
      </c>
      <c r="B119" s="7" t="inlineStr">
        <is>
          <t>Ático (24º)</t>
        </is>
      </c>
      <c r="C119" s="8" t="inlineStr">
        <is>
          <t>Piso Cerâmico Padrão Alto</t>
        </is>
      </c>
      <c r="D119" s="7" t="inlineStr">
        <is>
          <t>m²</t>
        </is>
      </c>
      <c r="E119" s="9" t="n">
        <v>170</v>
      </c>
      <c r="F119" s="10" t="n">
        <v>48</v>
      </c>
      <c r="G119" s="10">
        <f>E119*F119</f>
        <v/>
      </c>
    </row>
    <row r="120">
      <c r="A120" s="7" t="inlineStr">
        <is>
          <t>6.2</t>
        </is>
      </c>
      <c r="B120" s="7" t="inlineStr">
        <is>
          <t>Ático (24º)</t>
        </is>
      </c>
      <c r="C120" s="8" t="inlineStr">
        <is>
          <t>Pintura Látex Acrílica (paredes + teto)</t>
        </is>
      </c>
      <c r="D120" s="7" t="inlineStr">
        <is>
          <t>m²</t>
        </is>
      </c>
      <c r="E120" s="9" t="n">
        <v>765</v>
      </c>
      <c r="F120" s="10" t="n">
        <v>18</v>
      </c>
      <c r="G120" s="10">
        <f>E120*F120</f>
        <v/>
      </c>
    </row>
    <row r="121">
      <c r="A121" s="11" t="inlineStr">
        <is>
          <t>Subtotal Ático (24º)</t>
        </is>
      </c>
      <c r="B121" s="7" t="n"/>
      <c r="C121" s="7" t="n"/>
      <c r="D121" s="7" t="n"/>
      <c r="E121" s="7" t="n"/>
      <c r="F121" s="7" t="n"/>
      <c r="G121" s="12">
        <f>SUM(G119:G120)</f>
        <v/>
      </c>
    </row>
    <row r="123">
      <c r="A123" s="6" t="inlineStr"/>
      <c r="B123" s="6" t="inlineStr">
        <is>
          <t>Técnico 1 (25º)</t>
        </is>
      </c>
      <c r="C123" s="6" t="inlineStr"/>
      <c r="D123" s="6" t="inlineStr"/>
      <c r="E123" s="6" t="n"/>
      <c r="F123" s="6" t="n"/>
      <c r="G123" s="6" t="n"/>
    </row>
    <row r="124">
      <c r="A124" s="7" t="inlineStr">
        <is>
          <t>6.1</t>
        </is>
      </c>
      <c r="B124" s="7" t="inlineStr">
        <is>
          <t>Técnico 1 (25º)</t>
        </is>
      </c>
      <c r="C124" s="8" t="inlineStr">
        <is>
          <t>Piso Cerâmico Padrão Alto</t>
        </is>
      </c>
      <c r="D124" s="7" t="inlineStr">
        <is>
          <t>m²</t>
        </is>
      </c>
      <c r="E124" s="9" t="n">
        <v>68</v>
      </c>
      <c r="F124" s="10" t="n">
        <v>48</v>
      </c>
      <c r="G124" s="10">
        <f>E124*F124</f>
        <v/>
      </c>
    </row>
    <row r="125">
      <c r="A125" s="7" t="inlineStr">
        <is>
          <t>6.2</t>
        </is>
      </c>
      <c r="B125" s="7" t="inlineStr">
        <is>
          <t>Técnico 1 (25º)</t>
        </is>
      </c>
      <c r="C125" s="8" t="inlineStr">
        <is>
          <t>Pintura Látex Acrílica (paredes + teto)</t>
        </is>
      </c>
      <c r="D125" s="7" t="inlineStr">
        <is>
          <t>m²</t>
        </is>
      </c>
      <c r="E125" s="9" t="n">
        <v>306</v>
      </c>
      <c r="F125" s="10" t="n">
        <v>18</v>
      </c>
      <c r="G125" s="10">
        <f>E125*F125</f>
        <v/>
      </c>
    </row>
    <row r="126">
      <c r="A126" s="11" t="inlineStr">
        <is>
          <t>Subtotal Técnico 1 (25º)</t>
        </is>
      </c>
      <c r="B126" s="7" t="n"/>
      <c r="C126" s="7" t="n"/>
      <c r="D126" s="7" t="n"/>
      <c r="E126" s="7" t="n"/>
      <c r="F126" s="7" t="n"/>
      <c r="G126" s="12">
        <f>SUM(G124:G125)</f>
        <v/>
      </c>
    </row>
    <row r="128">
      <c r="A128" s="6" t="inlineStr"/>
      <c r="B128" s="6" t="inlineStr">
        <is>
          <t>Técnico 2 (26º)</t>
        </is>
      </c>
      <c r="C128" s="6" t="inlineStr"/>
      <c r="D128" s="6" t="inlineStr"/>
      <c r="E128" s="6" t="n"/>
      <c r="F128" s="6" t="n"/>
      <c r="G128" s="6" t="n"/>
    </row>
    <row r="129">
      <c r="A129" s="7" t="inlineStr">
        <is>
          <t>6.1</t>
        </is>
      </c>
      <c r="B129" s="7" t="inlineStr">
        <is>
          <t>Técnico 2 (26º)</t>
        </is>
      </c>
      <c r="C129" s="8" t="inlineStr">
        <is>
          <t>Piso Cerâmico Padrão Alto</t>
        </is>
      </c>
      <c r="D129" s="7" t="inlineStr">
        <is>
          <t>m²</t>
        </is>
      </c>
      <c r="E129" s="9" t="n">
        <v>68</v>
      </c>
      <c r="F129" s="10" t="n">
        <v>48</v>
      </c>
      <c r="G129" s="10">
        <f>E129*F129</f>
        <v/>
      </c>
    </row>
    <row r="130">
      <c r="A130" s="7" t="inlineStr">
        <is>
          <t>6.2</t>
        </is>
      </c>
      <c r="B130" s="7" t="inlineStr">
        <is>
          <t>Técnico 2 (26º)</t>
        </is>
      </c>
      <c r="C130" s="8" t="inlineStr">
        <is>
          <t>Pintura Látex Acrílica (paredes + teto)</t>
        </is>
      </c>
      <c r="D130" s="7" t="inlineStr">
        <is>
          <t>m²</t>
        </is>
      </c>
      <c r="E130" s="9" t="n">
        <v>306</v>
      </c>
      <c r="F130" s="10" t="n">
        <v>18</v>
      </c>
      <c r="G130" s="10">
        <f>E130*F130</f>
        <v/>
      </c>
    </row>
    <row r="131">
      <c r="A131" s="11" t="inlineStr">
        <is>
          <t>Subtotal Técnico 2 (26º)</t>
        </is>
      </c>
      <c r="B131" s="7" t="n"/>
      <c r="C131" s="7" t="n"/>
      <c r="D131" s="7" t="n"/>
      <c r="E131" s="7" t="n"/>
      <c r="F131" s="7" t="n"/>
      <c r="G131" s="12">
        <f>SUM(G129:G130)</f>
        <v/>
      </c>
    </row>
    <row r="133">
      <c r="A133" s="6" t="inlineStr"/>
      <c r="B133" s="6" t="inlineStr">
        <is>
          <t>Técnico 3 (27º)</t>
        </is>
      </c>
      <c r="C133" s="6" t="inlineStr"/>
      <c r="D133" s="6" t="inlineStr"/>
      <c r="E133" s="6" t="n"/>
      <c r="F133" s="6" t="n"/>
      <c r="G133" s="6" t="n"/>
    </row>
    <row r="134">
      <c r="A134" s="7" t="inlineStr">
        <is>
          <t>6.1</t>
        </is>
      </c>
      <c r="B134" s="7" t="inlineStr">
        <is>
          <t>Técnico 3 (27º)</t>
        </is>
      </c>
      <c r="C134" s="8" t="inlineStr">
        <is>
          <t>Piso Cerâmico Padrão Alto</t>
        </is>
      </c>
      <c r="D134" s="7" t="inlineStr">
        <is>
          <t>m²</t>
        </is>
      </c>
      <c r="E134" s="9" t="n">
        <v>68</v>
      </c>
      <c r="F134" s="10" t="n">
        <v>48</v>
      </c>
      <c r="G134" s="10">
        <f>E134*F134</f>
        <v/>
      </c>
    </row>
    <row r="135">
      <c r="A135" s="7" t="inlineStr">
        <is>
          <t>6.2</t>
        </is>
      </c>
      <c r="B135" s="7" t="inlineStr">
        <is>
          <t>Técnico 3 (27º)</t>
        </is>
      </c>
      <c r="C135" s="8" t="inlineStr">
        <is>
          <t>Pintura Látex Acrílica (paredes + teto)</t>
        </is>
      </c>
      <c r="D135" s="7" t="inlineStr">
        <is>
          <t>m²</t>
        </is>
      </c>
      <c r="E135" s="9" t="n">
        <v>306</v>
      </c>
      <c r="F135" s="10" t="n">
        <v>18</v>
      </c>
      <c r="G135" s="10">
        <f>E135*F135</f>
        <v/>
      </c>
    </row>
    <row r="136">
      <c r="A136" s="11" t="inlineStr">
        <is>
          <t>Subtotal Técnico 3 (27º)</t>
        </is>
      </c>
      <c r="B136" s="7" t="n"/>
      <c r="C136" s="7" t="n"/>
      <c r="D136" s="7" t="n"/>
      <c r="E136" s="7" t="n"/>
      <c r="F136" s="7" t="n"/>
      <c r="G136" s="12">
        <f>SUM(G134:G135)</f>
        <v/>
      </c>
    </row>
    <row r="139">
      <c r="A139" s="13" t="inlineStr">
        <is>
          <t>TOTAL ACABAMENTOS</t>
        </is>
      </c>
      <c r="B139" s="7" t="n"/>
      <c r="C139" s="7" t="n"/>
      <c r="D139" s="7" t="n"/>
      <c r="E139" s="7" t="n"/>
      <c r="F139" s="7" t="n"/>
      <c r="G139" s="12">
        <f>SUM(G3:G138)</f>
        <v/>
      </c>
    </row>
  </sheetData>
  <mergeCells count="29">
    <mergeCell ref="A41:F41"/>
    <mergeCell ref="A16:F16"/>
    <mergeCell ref="A46:F46"/>
    <mergeCell ref="A66:F66"/>
    <mergeCell ref="A136:F136"/>
    <mergeCell ref="A56:F56"/>
    <mergeCell ref="A26:F26"/>
    <mergeCell ref="A21:F21"/>
    <mergeCell ref="A101:F101"/>
    <mergeCell ref="A86:F86"/>
    <mergeCell ref="A139:F139"/>
    <mergeCell ref="A71:F71"/>
    <mergeCell ref="A76:F76"/>
    <mergeCell ref="A116:F116"/>
    <mergeCell ref="A126:F126"/>
    <mergeCell ref="A106:F106"/>
    <mergeCell ref="A131:F131"/>
    <mergeCell ref="A96:F96"/>
    <mergeCell ref="A91:F91"/>
    <mergeCell ref="A81:F81"/>
    <mergeCell ref="A121:F121"/>
    <mergeCell ref="A1:G1"/>
    <mergeCell ref="A111:F111"/>
    <mergeCell ref="A31:F31"/>
    <mergeCell ref="A11:F11"/>
    <mergeCell ref="A51:F51"/>
    <mergeCell ref="A36:F36"/>
    <mergeCell ref="A61:F61"/>
    <mergeCell ref="A6:F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0" customWidth="1" min="4" max="4"/>
    <col width="12" customWidth="1" min="5" max="5"/>
    <col width="16" customWidth="1" min="6" max="6"/>
    <col width="16" customWidth="1" min="7" max="7"/>
  </cols>
  <sheetData>
    <row r="1">
      <c r="A1" s="4" t="inlineStr">
        <is>
          <t>RESUMO GERAL - CONSOLIDADO</t>
        </is>
      </c>
    </row>
    <row r="2">
      <c r="A2" s="5" t="inlineStr">
        <is>
          <t>Item</t>
        </is>
      </c>
      <c r="B2" s="5" t="inlineStr">
        <is>
          <t>Pavimento</t>
        </is>
      </c>
      <c r="C2" s="5" t="inlineStr">
        <is>
          <t>Descrição</t>
        </is>
      </c>
      <c r="D2" s="5" t="inlineStr">
        <is>
          <t>Unidade</t>
        </is>
      </c>
      <c r="E2" s="5" t="inlineStr">
        <is>
          <t>Quantidade</t>
        </is>
      </c>
      <c r="F2" s="5" t="inlineStr">
        <is>
          <t>Custo Unit. (R$)</t>
        </is>
      </c>
      <c r="G2" s="5" t="inlineStr">
        <is>
          <t>Custo Total (R$)</t>
        </is>
      </c>
    </row>
    <row r="3">
      <c r="A3" s="6" t="inlineStr">
        <is>
          <t>1</t>
        </is>
      </c>
      <c r="B3" s="6" t="inlineStr"/>
      <c r="C3" s="6" t="inlineStr">
        <is>
          <t>ESTRUTURA</t>
        </is>
      </c>
      <c r="D3" s="6" t="inlineStr"/>
      <c r="E3" s="6" t="n"/>
      <c r="F3" s="6" t="n"/>
      <c r="G3" s="6">
        <f>'1. ESTRUTURA'!G1000</f>
        <v/>
      </c>
    </row>
    <row r="5">
      <c r="A5" s="6" t="inlineStr">
        <is>
          <t>2</t>
        </is>
      </c>
      <c r="B5" s="6" t="inlineStr"/>
      <c r="C5" s="6" t="inlineStr">
        <is>
          <t>HIDROSSANITÁRIO</t>
        </is>
      </c>
      <c r="D5" s="6" t="inlineStr"/>
      <c r="E5" s="6" t="n"/>
      <c r="F5" s="6" t="n"/>
      <c r="G5" s="6">
        <f>'2. HIDROSSANITÁRIO'!G1000</f>
        <v/>
      </c>
    </row>
    <row r="7">
      <c r="A7" s="6" t="inlineStr">
        <is>
          <t>3</t>
        </is>
      </c>
      <c r="B7" s="6" t="inlineStr"/>
      <c r="C7" s="6" t="inlineStr">
        <is>
          <t>ELÉTRICO</t>
        </is>
      </c>
      <c r="D7" s="6" t="inlineStr"/>
      <c r="E7" s="6" t="n"/>
      <c r="F7" s="6" t="n"/>
      <c r="G7" s="6">
        <f>'3. ELÉTRICO'!G1000</f>
        <v/>
      </c>
    </row>
    <row r="9">
      <c r="A9" s="6" t="inlineStr">
        <is>
          <t>4</t>
        </is>
      </c>
      <c r="B9" s="6" t="inlineStr"/>
      <c r="C9" s="6" t="inlineStr">
        <is>
          <t>PPCI</t>
        </is>
      </c>
      <c r="D9" s="6" t="inlineStr"/>
      <c r="E9" s="6" t="n"/>
      <c r="F9" s="6" t="n"/>
      <c r="G9" s="6">
        <f>'4. PPCI'!G1000</f>
        <v/>
      </c>
    </row>
    <row r="11">
      <c r="A11" s="6" t="inlineStr">
        <is>
          <t>5</t>
        </is>
      </c>
      <c r="B11" s="6" t="inlineStr"/>
      <c r="C11" s="6" t="inlineStr">
        <is>
          <t>VEDAÇÕES</t>
        </is>
      </c>
      <c r="D11" s="6" t="inlineStr"/>
      <c r="E11" s="6" t="n"/>
      <c r="F11" s="6" t="n"/>
      <c r="G11" s="6">
        <f>'5. VEDAÇÕES'!G1000</f>
        <v/>
      </c>
    </row>
    <row r="13">
      <c r="A13" s="6" t="inlineStr">
        <is>
          <t>6</t>
        </is>
      </c>
      <c r="B13" s="6" t="inlineStr"/>
      <c r="C13" s="6" t="inlineStr">
        <is>
          <t>ACABAMENTOS</t>
        </is>
      </c>
      <c r="D13" s="6" t="inlineStr"/>
      <c r="E13" s="6" t="n"/>
      <c r="F13" s="6" t="n"/>
      <c r="G13" s="6">
        <f>'6. ACABAMENTOS'!G1000</f>
        <v/>
      </c>
    </row>
    <row r="16">
      <c r="A16" s="14" t="inlineStr">
        <is>
          <t>TOTAL GERAL (SEM BDI)</t>
        </is>
      </c>
      <c r="G16" s="15">
        <f>G3+G5+G7+G9+G11+G13</f>
        <v/>
      </c>
    </row>
    <row r="18">
      <c r="A18" s="14" t="inlineStr">
        <is>
          <t>TOTAL COM BDI 25.0%</t>
        </is>
      </c>
      <c r="G18" s="15">
        <f>G16*(1+0.25)</f>
        <v/>
      </c>
    </row>
  </sheetData>
  <mergeCells count="3">
    <mergeCell ref="A16:F16"/>
    <mergeCell ref="A1:G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2026-03-13T12:27:14Z</dcterms:created>
  <dcterms:modified xmlns:dcterms="http://purl.org/dc/terms/" xmlns:xsi="http://www.w3.org/2001/XMLSchema-instance" xsi:type="dcterms:W3CDTF">2026-03-13T12:27:14Z</dcterms:modified>
</cp:coreProperties>
</file>