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ÍNDICES" sheetId="6" state="visible" r:id="rId6"/>
    <sheet xmlns:r="http://schemas.openxmlformats.org/officeDocument/2006/relationships" name="ESTRUTURAL" sheetId="7" state="visible" r:id="rId7"/>
    <sheet xmlns:r="http://schemas.openxmlformats.org/officeDocument/2006/relationships" name="INSTALACOES" sheetId="8" state="visible" r:id="rId8"/>
    <sheet xmlns:r="http://schemas.openxmlformats.org/officeDocument/2006/relationships" name="ACABAMENTOS" sheetId="9" state="visible" r:id="rId9"/>
    <sheet xmlns:r="http://schemas.openxmlformats.org/officeDocument/2006/relationships" name="CI_DETALHADO" sheetId="10" state="visible" r:id="rId10"/>
    <sheet xmlns:r="http://schemas.openxmlformats.org/officeDocument/2006/relationships" name="BENCHMARK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</font>
    <font>
      <sz val="11"/>
    </font>
    <font>
      <b val="1"/>
      <sz val="13"/>
    </font>
    <font>
      <b val="1"/>
      <sz val="12"/>
    </font>
    <font>
      <b val="1"/>
      <color rgb="00FFFFFF"/>
      <sz val="12"/>
    </font>
    <font>
      <b val="1"/>
      <sz val="11"/>
    </font>
    <font>
      <sz val="14"/>
    </font>
  </fonts>
  <fills count="1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  <fill>
      <patternFill patternType="solid">
        <fgColor rgb="00E67E22"/>
        <bgColor rgb="00E67E22"/>
      </patternFill>
    </fill>
    <fill>
      <patternFill patternType="solid">
        <fgColor rgb="0016A085"/>
        <bgColor rgb="0016A085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95A5A6"/>
        <bgColor rgb="0095A5A6"/>
      </patternFill>
    </fill>
    <fill>
      <patternFill patternType="solid">
        <fgColor rgb="00D35400"/>
        <bgColor rgb="00D35400"/>
      </patternFill>
    </fill>
    <fill>
      <patternFill patternType="solid">
        <fgColor rgb="005D4037"/>
        <bgColor rgb="005D4037"/>
      </patternFill>
    </fill>
    <fill>
      <patternFill patternType="solid">
        <fgColor rgb="007F8C8D"/>
        <bgColor rgb="007F8C8D"/>
      </patternFill>
    </fill>
    <fill>
      <patternFill patternType="solid">
        <fgColor rgb="0034495E"/>
        <bgColor rgb="0034495E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0" fontId="7" fillId="6" borderId="0" pivotButton="0" quotePrefix="0" xfId="0"/>
    <xf numFmtId="1" fontId="0" fillId="4" borderId="1" applyAlignment="1" pivotButton="0" quotePrefix="0" xfId="0">
      <alignment horizontal="right" vertical="center"/>
    </xf>
    <xf numFmtId="0" fontId="7" fillId="7" borderId="0" pivotButton="0" quotePrefix="0" xfId="0"/>
    <xf numFmtId="0" fontId="7" fillId="8" borderId="0" pivotButton="0" quotePrefix="0" xfId="0"/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7" fillId="9" borderId="0" pivotButton="0" quotePrefix="0" xfId="0"/>
    <xf numFmtId="0" fontId="1" fillId="6" borderId="0" pivotButton="0" quotePrefix="0" xfId="0"/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0" fontId="1" fillId="1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2" borderId="0" pivotButton="0" quotePrefix="0" xfId="0"/>
    <xf numFmtId="167" fontId="3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7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3">
        <f>DADOS_PROJETO!B2</f>
        <v/>
      </c>
    </row>
    <row r="5">
      <c r="A5" s="2" t="inlineStr">
        <is>
          <t>Área Construída:</t>
        </is>
      </c>
      <c r="B5" s="3">
        <f>DADOS_PROJETO!B6&amp;" m²"</f>
        <v/>
      </c>
    </row>
    <row r="6">
      <c r="A6" s="2" t="inlineStr">
        <is>
          <t>Unidades:</t>
        </is>
      </c>
      <c r="B6" s="3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4">
        <f>CUSTOS_MACROGRUPO!G20</f>
        <v/>
      </c>
    </row>
    <row r="9">
      <c r="A9" s="2" t="inlineStr">
        <is>
          <t>Custo/m²:</t>
        </is>
      </c>
      <c r="B9" s="5">
        <f>CUSTOS_MACROGRUPO!G20/DADOS_PROJETO!B6</f>
        <v/>
      </c>
    </row>
    <row r="10">
      <c r="A10" s="2" t="inlineStr">
        <is>
          <t>Custo/Unidade:</t>
        </is>
      </c>
      <c r="B10" s="5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5">
        <f>DADOS_PROJETO!B19</f>
        <v/>
      </c>
    </row>
    <row r="13">
      <c r="A13" s="2" t="inlineStr">
        <is>
          <t>Fator CUB:</t>
        </is>
      </c>
      <c r="B13" s="5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3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3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3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DADOS DO PROJETO</t>
        </is>
      </c>
    </row>
    <row r="2">
      <c r="A2" s="2" t="inlineStr">
        <is>
          <t>Nome do Projeto</t>
        </is>
      </c>
      <c r="B2" s="7" t="inlineStr">
        <is>
          <t>Edifício Oxford — Mussi Empreendimentos</t>
        </is>
      </c>
    </row>
    <row r="3">
      <c r="A3" s="2" t="inlineStr">
        <is>
          <t>Código</t>
        </is>
      </c>
      <c r="B3" s="7" t="inlineStr">
        <is>
          <t>OXFORD-MUSSI</t>
        </is>
      </c>
    </row>
    <row r="4">
      <c r="A4" s="2" t="inlineStr">
        <is>
          <t>Cidade</t>
        </is>
      </c>
      <c r="B4" s="7" t="inlineStr">
        <is>
          <t>Itajaí/SC</t>
        </is>
      </c>
    </row>
    <row r="5">
      <c r="A5" t="inlineStr"/>
      <c r="B5" t="inlineStr"/>
    </row>
    <row r="6">
      <c r="A6" s="2" t="inlineStr">
        <is>
          <t>Área Construída (m²)</t>
        </is>
      </c>
      <c r="B6" s="8" t="n">
        <v>7500</v>
      </c>
    </row>
    <row r="7">
      <c r="A7" s="2" t="inlineStr">
        <is>
          <t>Unidades Residenciais</t>
        </is>
      </c>
      <c r="B7" s="8" t="n">
        <v>95</v>
      </c>
    </row>
    <row r="8">
      <c r="A8" s="2" t="inlineStr">
        <is>
          <t>Unidades Comerciais</t>
        </is>
      </c>
      <c r="B8" s="8" t="n">
        <v>2</v>
      </c>
    </row>
    <row r="9">
      <c r="A9" s="2" t="inlineStr">
        <is>
          <t>Número de Pavimentos</t>
        </is>
      </c>
      <c r="B9" s="8" t="n">
        <v>27</v>
      </c>
    </row>
    <row r="10">
      <c r="A10" s="2" t="inlineStr">
        <is>
          <t>Pavimentos Tipo</t>
        </is>
      </c>
      <c r="B10" s="8" t="n">
        <v>17</v>
      </c>
    </row>
    <row r="11">
      <c r="A11" s="2" t="inlineStr">
        <is>
          <t>Pavimentos Garagem</t>
        </is>
      </c>
      <c r="B11" s="8" t="n">
        <v>5</v>
      </c>
    </row>
    <row r="12">
      <c r="A12" s="2" t="inlineStr">
        <is>
          <t>Elevadores</t>
        </is>
      </c>
      <c r="B12" s="8" t="n">
        <v>2</v>
      </c>
    </row>
    <row r="13">
      <c r="A13" s="2" t="inlineStr">
        <is>
          <t>Vagas</t>
        </is>
      </c>
      <c r="B13" s="8" t="n">
        <v>136</v>
      </c>
    </row>
    <row r="14">
      <c r="A14" s="2" t="inlineStr">
        <is>
          <t>Área Terreno (m²)</t>
        </is>
      </c>
      <c r="B14" s="8" t="n">
        <v>1200</v>
      </c>
    </row>
    <row r="15">
      <c r="A15" s="2" t="inlineStr">
        <is>
          <t>Número de Subsolos</t>
        </is>
      </c>
      <c r="B15" s="8" t="n">
        <v>0</v>
      </c>
    </row>
    <row r="16">
      <c r="A16" t="inlineStr"/>
      <c r="B16" t="inlineStr"/>
    </row>
    <row r="17">
      <c r="A17" s="2" t="inlineStr">
        <is>
          <t>Prazo (meses)</t>
        </is>
      </c>
      <c r="B17" s="8" t="n">
        <v>36</v>
      </c>
    </row>
    <row r="18">
      <c r="A18" t="inlineStr"/>
      <c r="B18" t="inlineStr"/>
    </row>
    <row r="19">
      <c r="A19" s="2" t="inlineStr">
        <is>
          <t>CUB Atual (R$/m²)</t>
        </is>
      </c>
      <c r="B19" s="8" t="n">
        <v>3050</v>
      </c>
    </row>
    <row r="20">
      <c r="A20" s="2" t="inlineStr">
        <is>
          <t>CUB Base mar/2026 (R$/m²)</t>
        </is>
      </c>
      <c r="B20" s="8" t="n">
        <v>3050</v>
      </c>
    </row>
    <row r="21">
      <c r="A21" s="2" t="inlineStr">
        <is>
          <t>Data-base</t>
        </is>
      </c>
      <c r="B21" s="7" t="inlineStr">
        <is>
          <t>mar/2026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6" t="inlineStr">
        <is>
          <t>#</t>
        </is>
      </c>
      <c r="B1" s="6" t="inlineStr">
        <is>
          <t>Pergunta</t>
        </is>
      </c>
      <c r="C1" s="6" t="inlineStr">
        <is>
          <t>Resposta</t>
        </is>
      </c>
      <c r="D1" s="6" t="inlineStr">
        <is>
          <t>Macrogrupos Afetados</t>
        </is>
      </c>
    </row>
    <row r="2">
      <c r="A2" s="9" t="inlineStr">
        <is>
          <t>Q1</t>
        </is>
      </c>
      <c r="B2" s="2" t="inlineStr">
        <is>
          <t>Tipo de Fundação</t>
        </is>
      </c>
      <c r="C2" s="7" t="inlineStr">
        <is>
          <t>Hélice Contínua</t>
        </is>
      </c>
      <c r="D2" s="10" t="inlineStr">
        <is>
          <t>Infraestrutura</t>
        </is>
      </c>
    </row>
    <row r="3">
      <c r="A3" s="9" t="inlineStr">
        <is>
          <t>Q2</t>
        </is>
      </c>
      <c r="B3" s="2" t="inlineStr">
        <is>
          <t>Tipo de Laje</t>
        </is>
      </c>
      <c r="C3" s="7" t="inlineStr">
        <is>
          <t>Cubetas</t>
        </is>
      </c>
      <c r="D3" s="10" t="inlineStr">
        <is>
          <t>Supraestrutura</t>
        </is>
      </c>
    </row>
    <row r="4">
      <c r="A4" s="9" t="inlineStr">
        <is>
          <t>Q3</t>
        </is>
      </c>
      <c r="B4" s="2" t="inlineStr">
        <is>
          <t>Contenção</t>
        </is>
      </c>
      <c r="C4" s="7" t="inlineStr">
        <is>
          <t>Não</t>
        </is>
      </c>
      <c r="D4" s="10" t="inlineStr">
        <is>
          <t>Infraestrutura</t>
        </is>
      </c>
    </row>
    <row r="5">
      <c r="A5" s="9" t="inlineStr">
        <is>
          <t>Q4</t>
        </is>
      </c>
      <c r="B5" s="2" t="inlineStr">
        <is>
          <t>Subsolos</t>
        </is>
      </c>
      <c r="C5" s="7" t="inlineStr">
        <is>
          <t>0</t>
        </is>
      </c>
      <c r="D5" s="10" t="inlineStr">
        <is>
          <t>Mov. Terra, Infraestrutura, Impermeabilização</t>
        </is>
      </c>
    </row>
    <row r="6">
      <c r="A6" s="9" t="inlineStr">
        <is>
          <t>Q5</t>
        </is>
      </c>
      <c r="B6" s="2" t="inlineStr">
        <is>
          <t>Padrão</t>
        </is>
      </c>
      <c r="C6" s="7" t="inlineStr">
        <is>
          <t>Alto</t>
        </is>
      </c>
      <c r="D6" s="10" t="inlineStr">
        <is>
          <t>Rev. Int. Parede, Teto, Pisos, Pintura, Esquadrias, Fachada, Complementares</t>
        </is>
      </c>
    </row>
    <row r="7">
      <c r="A7" s="9" t="inlineStr">
        <is>
          <t>Q6</t>
        </is>
      </c>
      <c r="B7" s="2" t="inlineStr">
        <is>
          <t>Esquadria</t>
        </is>
      </c>
      <c r="C7" s="7" t="inlineStr">
        <is>
          <t>Pintura eletrostática</t>
        </is>
      </c>
      <c r="D7" s="10" t="inlineStr">
        <is>
          <t>Esquadrias</t>
        </is>
      </c>
    </row>
    <row r="8">
      <c r="A8" s="9" t="inlineStr">
        <is>
          <t>Q7</t>
        </is>
      </c>
      <c r="B8" s="2" t="inlineStr">
        <is>
          <t>Piso</t>
        </is>
      </c>
      <c r="C8" s="7" t="inlineStr">
        <is>
          <t>Porcelanato padrão</t>
        </is>
      </c>
      <c r="D8" s="10" t="inlineStr">
        <is>
          <t>Pisos</t>
        </is>
      </c>
    </row>
    <row r="9">
      <c r="A9" s="9" t="inlineStr">
        <is>
          <t>Q8</t>
        </is>
      </c>
      <c r="B9" s="2" t="inlineStr">
        <is>
          <t>Vedação</t>
        </is>
      </c>
      <c r="C9" s="7" t="inlineStr">
        <is>
          <t>Misto</t>
        </is>
      </c>
      <c r="D9" s="10" t="inlineStr">
        <is>
          <t>Alvenaria</t>
        </is>
      </c>
    </row>
    <row r="10">
      <c r="A10" s="9" t="inlineStr">
        <is>
          <t>Q9</t>
        </is>
      </c>
      <c r="B10" s="2" t="inlineStr">
        <is>
          <t>Forro</t>
        </is>
      </c>
      <c r="C10" s="7" t="inlineStr">
        <is>
          <t>Gesso liso</t>
        </is>
      </c>
      <c r="D10" s="10" t="inlineStr">
        <is>
          <t>Teto</t>
        </is>
      </c>
    </row>
    <row r="11">
      <c r="A11" s="9" t="inlineStr">
        <is>
          <t>Q10</t>
        </is>
      </c>
      <c r="B11" s="2" t="inlineStr">
        <is>
          <t>Fachada</t>
        </is>
      </c>
      <c r="C11" s="7" t="inlineStr">
        <is>
          <t>Misto</t>
        </is>
      </c>
      <c r="D11" s="10" t="inlineStr">
        <is>
          <t>Fachada</t>
        </is>
      </c>
    </row>
    <row r="12">
      <c r="A12" s="9" t="inlineStr">
        <is>
          <t>Q11</t>
        </is>
      </c>
      <c r="B12" s="2" t="inlineStr">
        <is>
          <t>MO Fachada</t>
        </is>
      </c>
      <c r="C12" s="7" t="inlineStr">
        <is>
          <t>Empreitada</t>
        </is>
      </c>
      <c r="D12" s="10" t="inlineStr">
        <is>
          <t>Fachada</t>
        </is>
      </c>
    </row>
    <row r="13">
      <c r="A13" s="9" t="inlineStr">
        <is>
          <t>Q12</t>
        </is>
      </c>
      <c r="B13" s="2" t="inlineStr">
        <is>
          <t>Cobertura Habitável</t>
        </is>
      </c>
      <c r="C13" s="7" t="inlineStr">
        <is>
          <t>Completa</t>
        </is>
      </c>
      <c r="D13" s="10" t="inlineStr">
        <is>
          <t>Complementares</t>
        </is>
      </c>
    </row>
    <row r="14">
      <c r="A14" s="9" t="inlineStr">
        <is>
          <t>Q13</t>
        </is>
      </c>
      <c r="B14" s="2" t="inlineStr">
        <is>
          <t>Aquecimento</t>
        </is>
      </c>
      <c r="C14" s="7" t="inlineStr">
        <is>
          <t>Gás individual</t>
        </is>
      </c>
      <c r="D14" s="10" t="inlineStr">
        <is>
          <t>Instalações</t>
        </is>
      </c>
    </row>
    <row r="15">
      <c r="A15" s="9" t="inlineStr">
        <is>
          <t>Q14</t>
        </is>
      </c>
      <c r="B15" s="2" t="inlineStr">
        <is>
          <t>Automação</t>
        </is>
      </c>
      <c r="C15" s="7" t="inlineStr">
        <is>
          <t>Básico</t>
        </is>
      </c>
      <c r="D15" s="10" t="inlineStr">
        <is>
          <t>Sist. Especiais</t>
        </is>
      </c>
    </row>
    <row r="16">
      <c r="A16" s="9" t="inlineStr">
        <is>
          <t>Q15</t>
        </is>
      </c>
      <c r="B16" s="2" t="inlineStr">
        <is>
          <t>Energia</t>
        </is>
      </c>
      <c r="C16" s="7" t="inlineStr">
        <is>
          <t>Sem</t>
        </is>
      </c>
      <c r="D16" s="10" t="inlineStr">
        <is>
          <t>Sist. Especiais</t>
        </is>
      </c>
    </row>
    <row r="17">
      <c r="A17" s="9" t="inlineStr">
        <is>
          <t>Q16</t>
        </is>
      </c>
      <c r="B17" s="2" t="inlineStr">
        <is>
          <t>Lazer</t>
        </is>
      </c>
      <c r="C17" s="7" t="inlineStr">
        <is>
          <t>Completo</t>
        </is>
      </c>
      <c r="D17" s="10" t="inlineStr">
        <is>
          <t>Complementares</t>
        </is>
      </c>
    </row>
    <row r="18">
      <c r="A18" s="9" t="inlineStr">
        <is>
          <t>Q17</t>
        </is>
      </c>
      <c r="B18" s="2" t="inlineStr">
        <is>
          <t>Paisagismo</t>
        </is>
      </c>
      <c r="C18" s="7" t="inlineStr">
        <is>
          <t>Básico</t>
        </is>
      </c>
      <c r="D18" s="10" t="inlineStr">
        <is>
          <t>Complementares</t>
        </is>
      </c>
    </row>
    <row r="19">
      <c r="A19" s="9" t="inlineStr">
        <is>
          <t>Q18</t>
        </is>
      </c>
      <c r="B19" s="2" t="inlineStr">
        <is>
          <t>Mobiliário</t>
        </is>
      </c>
      <c r="C19" s="7" t="inlineStr">
        <is>
          <t>Básico</t>
        </is>
      </c>
      <c r="D19" s="10" t="inlineStr">
        <is>
          <t>Complementares</t>
        </is>
      </c>
    </row>
    <row r="20">
      <c r="A20" s="9" t="inlineStr">
        <is>
          <t>Q19</t>
        </is>
      </c>
      <c r="B20" s="2" t="inlineStr">
        <is>
          <t>Prazo</t>
        </is>
      </c>
      <c r="C20" s="7" t="inlineStr">
        <is>
          <t>36</t>
        </is>
      </c>
      <c r="D20" s="10" t="inlineStr">
        <is>
          <t>Gerenciamento</t>
        </is>
      </c>
    </row>
    <row r="21">
      <c r="A21" s="9" t="inlineStr">
        <is>
          <t>Q20</t>
        </is>
      </c>
      <c r="B21" s="2" t="inlineStr">
        <is>
          <t>Região</t>
        </is>
      </c>
      <c r="C21" s="7" t="inlineStr">
        <is>
          <t>Litoral SC</t>
        </is>
      </c>
      <c r="D21" s="10" t="inlineStr">
        <is>
          <t>Todos os macrogrupos</t>
        </is>
      </c>
    </row>
    <row r="22">
      <c r="A22" s="9" t="inlineStr">
        <is>
          <t>Q21</t>
        </is>
      </c>
      <c r="B22" s="2" t="inlineStr">
        <is>
          <t>Gerador</t>
        </is>
      </c>
      <c r="C22" s="7" t="inlineStr">
        <is>
          <t>Sim</t>
        </is>
      </c>
      <c r="D22" s="10" t="inlineStr">
        <is>
          <t>Sist. Especiais</t>
        </is>
      </c>
    </row>
    <row r="23">
      <c r="A23" s="9" t="inlineStr">
        <is>
          <t>Q22</t>
        </is>
      </c>
      <c r="B23" s="2" t="inlineStr">
        <is>
          <t>Subestação</t>
        </is>
      </c>
      <c r="C23" s="7" t="inlineStr">
        <is>
          <t>Sim</t>
        </is>
      </c>
      <c r="D23" s="10" t="inlineStr">
        <is>
          <t>Sist. Especiais</t>
        </is>
      </c>
    </row>
    <row r="24">
      <c r="A24" s="9" t="inlineStr">
        <is>
          <t>Q23</t>
        </is>
      </c>
      <c r="B24" s="2" t="inlineStr">
        <is>
          <t>Fotovoltaicas</t>
        </is>
      </c>
      <c r="C24" s="7" t="inlineStr">
        <is>
          <t>Não</t>
        </is>
      </c>
      <c r="D24" s="10" t="inlineStr">
        <is>
          <t>Sist. Especiais</t>
        </is>
      </c>
    </row>
    <row r="25">
      <c r="A25" s="9" t="inlineStr">
        <is>
          <t>Q24</t>
        </is>
      </c>
      <c r="B25" s="2" t="inlineStr">
        <is>
          <t>Carro Elétrico</t>
        </is>
      </c>
      <c r="C25" s="7" t="inlineStr">
        <is>
          <t>Não</t>
        </is>
      </c>
      <c r="D25" s="10" t="inlineStr">
        <is>
          <t>Instalações</t>
        </is>
      </c>
    </row>
    <row r="26">
      <c r="A26" s="9" t="inlineStr">
        <is>
          <t>Q25</t>
        </is>
      </c>
      <c r="B26" s="2" t="inlineStr">
        <is>
          <t>Pressurização</t>
        </is>
      </c>
      <c r="C26" s="7" t="inlineStr">
        <is>
          <t>Sim</t>
        </is>
      </c>
      <c r="D26" s="10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6" t="inlineStr">
        <is>
          <t>MATRIZ DE FATORES</t>
        </is>
      </c>
    </row>
    <row r="2">
      <c r="A2" s="6" t="inlineStr">
        <is>
          <t>Macrogrupo</t>
        </is>
      </c>
      <c r="B2" s="6" t="inlineStr">
        <is>
          <t>Q1</t>
        </is>
      </c>
      <c r="C2" s="6" t="inlineStr">
        <is>
          <t>Q2</t>
        </is>
      </c>
      <c r="D2" s="6" t="inlineStr">
        <is>
          <t>Q3</t>
        </is>
      </c>
      <c r="E2" s="6" t="inlineStr">
        <is>
          <t>Q4</t>
        </is>
      </c>
      <c r="F2" s="6" t="inlineStr">
        <is>
          <t>Q5</t>
        </is>
      </c>
      <c r="G2" s="6" t="inlineStr">
        <is>
          <t>Q6</t>
        </is>
      </c>
      <c r="H2" s="6" t="inlineStr">
        <is>
          <t>Q7</t>
        </is>
      </c>
      <c r="I2" s="6" t="inlineStr">
        <is>
          <t>Q8</t>
        </is>
      </c>
      <c r="J2" s="6" t="inlineStr">
        <is>
          <t>Q9</t>
        </is>
      </c>
      <c r="K2" s="6" t="inlineStr">
        <is>
          <t>Q10</t>
        </is>
      </c>
      <c r="L2" s="6" t="inlineStr">
        <is>
          <t>Q11</t>
        </is>
      </c>
      <c r="M2" s="6" t="inlineStr">
        <is>
          <t>Q12</t>
        </is>
      </c>
      <c r="N2" s="6" t="inlineStr">
        <is>
          <t>Q13</t>
        </is>
      </c>
      <c r="O2" s="6" t="inlineStr">
        <is>
          <t>Q14</t>
        </is>
      </c>
      <c r="P2" s="6" t="inlineStr">
        <is>
          <t>Q15</t>
        </is>
      </c>
      <c r="Q2" s="6" t="inlineStr">
        <is>
          <t>Q16</t>
        </is>
      </c>
      <c r="R2" s="6" t="inlineStr">
        <is>
          <t>Q17</t>
        </is>
      </c>
      <c r="S2" s="6" t="inlineStr">
        <is>
          <t>Q18</t>
        </is>
      </c>
      <c r="T2" s="6" t="inlineStr">
        <is>
          <t>Q19</t>
        </is>
      </c>
      <c r="U2" s="6" t="inlineStr">
        <is>
          <t>Q20</t>
        </is>
      </c>
      <c r="V2" s="6" t="inlineStr">
        <is>
          <t>Q21</t>
        </is>
      </c>
      <c r="W2" s="6" t="inlineStr">
        <is>
          <t>Q22</t>
        </is>
      </c>
      <c r="X2" s="6" t="inlineStr">
        <is>
          <t>Q23</t>
        </is>
      </c>
      <c r="Y2" s="6" t="inlineStr">
        <is>
          <t>Q24</t>
        </is>
      </c>
      <c r="Z2" s="6" t="inlineStr">
        <is>
          <t>Q25</t>
        </is>
      </c>
      <c r="AA2" s="6" t="inlineStr">
        <is>
          <t>Fator Briefing</t>
        </is>
      </c>
    </row>
    <row r="3">
      <c r="A3" s="2" t="inlineStr">
        <is>
          <t>Gerenciamento</t>
        </is>
      </c>
      <c r="B3" s="11">
        <f>1</f>
        <v/>
      </c>
      <c r="C3" s="11">
        <f>1</f>
        <v/>
      </c>
      <c r="D3" s="11">
        <f>1</f>
        <v/>
      </c>
      <c r="E3" s="11">
        <f>1</f>
        <v/>
      </c>
      <c r="F3" s="11">
        <f>1</f>
        <v/>
      </c>
      <c r="G3" s="11">
        <f>1</f>
        <v/>
      </c>
      <c r="H3" s="11">
        <f>1</f>
        <v/>
      </c>
      <c r="I3" s="11">
        <f>1</f>
        <v/>
      </c>
      <c r="J3" s="11">
        <f>1</f>
        <v/>
      </c>
      <c r="K3" s="11">
        <f>1</f>
        <v/>
      </c>
      <c r="L3" s="11">
        <f>1</f>
        <v/>
      </c>
      <c r="M3" s="11">
        <f>1</f>
        <v/>
      </c>
      <c r="N3" s="11">
        <f>1</f>
        <v/>
      </c>
      <c r="O3" s="11">
        <f>1</f>
        <v/>
      </c>
      <c r="P3" s="11">
        <f>1</f>
        <v/>
      </c>
      <c r="Q3" s="11">
        <f>1</f>
        <v/>
      </c>
      <c r="R3" s="11">
        <f>1</f>
        <v/>
      </c>
      <c r="S3" s="11">
        <f>1</f>
        <v/>
      </c>
      <c r="T3" s="11">
        <f>IF(BRIEFING!$C$20="18",0.6,IF(BRIEFING!$C$20="24",0.75,IF(BRIEFING!$C$20="30",0.88,IF(BRIEFING!$C$20="36",1.0,IF(BRIEFING!$C$20="42",1.15,IF(BRIEFING!$C$20="48",1.3,1))))))</f>
        <v/>
      </c>
      <c r="U3" s="11">
        <f>IF(BRIEFING!$C$21="Interior SC",0.95,IF(BRIEFING!$C$21="Litoral SC",1.0,IF(BRIEFING!$C$21="Capital Floripa",1.05,IF(BRIEFING!$C$21="Litoral SP",1.15,IF(BRIEFING!$C$21="Capital SP-RJ",1.25,1)))))</f>
        <v/>
      </c>
      <c r="V3" s="11">
        <f>1</f>
        <v/>
      </c>
      <c r="W3" s="11">
        <f>1</f>
        <v/>
      </c>
      <c r="X3" s="11">
        <f>1</f>
        <v/>
      </c>
      <c r="Y3" s="11">
        <f>1</f>
        <v/>
      </c>
      <c r="Z3" s="11">
        <f>1</f>
        <v/>
      </c>
      <c r="AA3" s="12">
        <f>PRODUCT(B3:Z3)</f>
        <v/>
      </c>
    </row>
    <row r="4">
      <c r="A4" s="2" t="inlineStr">
        <is>
          <t>Mov. Terra</t>
        </is>
      </c>
      <c r="B4" s="11">
        <f>1</f>
        <v/>
      </c>
      <c r="C4" s="11">
        <f>1</f>
        <v/>
      </c>
      <c r="D4" s="11">
        <f>1</f>
        <v/>
      </c>
      <c r="E4" s="11">
        <f>IF(BRIEFING!$C$5="0",1.0,IF(BRIEFING!$C$5="1",2.0,IF(BRIEFING!$C$5="2",3.5,IF(BRIEFING!$C$5="3+",5.0,1))))</f>
        <v/>
      </c>
      <c r="F4" s="11">
        <f>1</f>
        <v/>
      </c>
      <c r="G4" s="11">
        <f>1</f>
        <v/>
      </c>
      <c r="H4" s="11">
        <f>1</f>
        <v/>
      </c>
      <c r="I4" s="11">
        <f>1</f>
        <v/>
      </c>
      <c r="J4" s="11">
        <f>1</f>
        <v/>
      </c>
      <c r="K4" s="11">
        <f>1</f>
        <v/>
      </c>
      <c r="L4" s="11">
        <f>1</f>
        <v/>
      </c>
      <c r="M4" s="11">
        <f>1</f>
        <v/>
      </c>
      <c r="N4" s="11">
        <f>1</f>
        <v/>
      </c>
      <c r="O4" s="11">
        <f>1</f>
        <v/>
      </c>
      <c r="P4" s="11">
        <f>1</f>
        <v/>
      </c>
      <c r="Q4" s="11">
        <f>1</f>
        <v/>
      </c>
      <c r="R4" s="11">
        <f>1</f>
        <v/>
      </c>
      <c r="S4" s="11">
        <f>1</f>
        <v/>
      </c>
      <c r="T4" s="11">
        <f>1</f>
        <v/>
      </c>
      <c r="U4" s="11">
        <f>IF(BRIEFING!$C$21="Interior SC",0.95,IF(BRIEFING!$C$21="Litoral SC",1.0,IF(BRIEFING!$C$21="Capital Floripa",1.05,IF(BRIEFING!$C$21="Litoral SP",1.15,IF(BRIEFING!$C$21="Capital SP-RJ",1.25,1)))))</f>
        <v/>
      </c>
      <c r="V4" s="11">
        <f>1</f>
        <v/>
      </c>
      <c r="W4" s="11">
        <f>1</f>
        <v/>
      </c>
      <c r="X4" s="11">
        <f>1</f>
        <v/>
      </c>
      <c r="Y4" s="11">
        <f>1</f>
        <v/>
      </c>
      <c r="Z4" s="11">
        <f>1</f>
        <v/>
      </c>
      <c r="AA4" s="12">
        <f>PRODUCT(B4:Z4)</f>
        <v/>
      </c>
    </row>
    <row r="5">
      <c r="A5" s="2" t="inlineStr">
        <is>
          <t>Infraestrutura</t>
        </is>
      </c>
      <c r="B5" s="11">
        <f>IF(BRIEFING!$C$2="Hélice Contínua",1.0,IF(BRIEFING!$C$2="Estaca Franki",0.9,IF(BRIEFING!$C$2="Tubulão",1.15,IF(BRIEFING!$C$2="Sapata/Radier",0.75,IF(BRIEFING!$C$2="Estaca raiz",1.1,1)))))</f>
        <v/>
      </c>
      <c r="C5" s="11">
        <f>1</f>
        <v/>
      </c>
      <c r="D5" s="11">
        <f>IF(BRIEFING!$C$4="Não",1.0,IF(BRIEFING!$C$4="Cortina de estacas",1.4,IF(BRIEFING!$C$4="Muro de arrimo",1.2,IF(BRIEFING!$C$4="Solo grampeado",1.3,IF(BRIEFING!$C$4="Tirantes",1.35,1)))))</f>
        <v/>
      </c>
      <c r="E5" s="11">
        <f>IF(BRIEFING!$C$5="0",1.0,IF(BRIEFING!$C$5="1",1.2,IF(BRIEFING!$C$5="2",1.4,IF(BRIEFING!$C$5="3+",1.6,1))))</f>
        <v/>
      </c>
      <c r="F5" s="11">
        <f>1</f>
        <v/>
      </c>
      <c r="G5" s="11">
        <f>1</f>
        <v/>
      </c>
      <c r="H5" s="11">
        <f>1</f>
        <v/>
      </c>
      <c r="I5" s="11">
        <f>1</f>
        <v/>
      </c>
      <c r="J5" s="11">
        <f>1</f>
        <v/>
      </c>
      <c r="K5" s="11">
        <f>1</f>
        <v/>
      </c>
      <c r="L5" s="11">
        <f>1</f>
        <v/>
      </c>
      <c r="M5" s="11">
        <f>1</f>
        <v/>
      </c>
      <c r="N5" s="11">
        <f>1</f>
        <v/>
      </c>
      <c r="O5" s="11">
        <f>1</f>
        <v/>
      </c>
      <c r="P5" s="11">
        <f>1</f>
        <v/>
      </c>
      <c r="Q5" s="11">
        <f>1</f>
        <v/>
      </c>
      <c r="R5" s="11">
        <f>1</f>
        <v/>
      </c>
      <c r="S5" s="11">
        <f>1</f>
        <v/>
      </c>
      <c r="T5" s="11">
        <f>1</f>
        <v/>
      </c>
      <c r="U5" s="11">
        <f>IF(BRIEFING!$C$21="Interior SC",0.95,IF(BRIEFING!$C$21="Litoral SC",1.0,IF(BRIEFING!$C$21="Capital Floripa",1.05,IF(BRIEFING!$C$21="Litoral SP",1.15,IF(BRIEFING!$C$21="Capital SP-RJ",1.25,1)))))</f>
        <v/>
      </c>
      <c r="V5" s="11">
        <f>1</f>
        <v/>
      </c>
      <c r="W5" s="11">
        <f>1</f>
        <v/>
      </c>
      <c r="X5" s="11">
        <f>1</f>
        <v/>
      </c>
      <c r="Y5" s="11">
        <f>1</f>
        <v/>
      </c>
      <c r="Z5" s="11">
        <f>1</f>
        <v/>
      </c>
      <c r="AA5" s="12">
        <f>PRODUCT(B5:Z5)</f>
        <v/>
      </c>
    </row>
    <row r="6">
      <c r="A6" s="2" t="inlineStr">
        <is>
          <t>Supraestrutura</t>
        </is>
      </c>
      <c r="B6" s="11">
        <f>1</f>
        <v/>
      </c>
      <c r="C6" s="11">
        <f>IF(BRIEFING!$C$3="Cubetas",1.0,IF(BRIEFING!$C$3="Protendida",1.05,IF(BRIEFING!$C$3="Maciça",1.1,IF(BRIEFING!$C$3="Mista",1.03,IF(BRIEFING!$C$3="Treliçada",0.95,1)))))</f>
        <v/>
      </c>
      <c r="D6" s="11">
        <f>1</f>
        <v/>
      </c>
      <c r="E6" s="11">
        <f>1</f>
        <v/>
      </c>
      <c r="F6" s="11">
        <f>1</f>
        <v/>
      </c>
      <c r="G6" s="11">
        <f>1</f>
        <v/>
      </c>
      <c r="H6" s="11">
        <f>1</f>
        <v/>
      </c>
      <c r="I6" s="11">
        <f>1</f>
        <v/>
      </c>
      <c r="J6" s="11">
        <f>1</f>
        <v/>
      </c>
      <c r="K6" s="11">
        <f>1</f>
        <v/>
      </c>
      <c r="L6" s="11">
        <f>1</f>
        <v/>
      </c>
      <c r="M6" s="11">
        <f>1</f>
        <v/>
      </c>
      <c r="N6" s="11">
        <f>1</f>
        <v/>
      </c>
      <c r="O6" s="11">
        <f>1</f>
        <v/>
      </c>
      <c r="P6" s="11">
        <f>1</f>
        <v/>
      </c>
      <c r="Q6" s="11">
        <f>1</f>
        <v/>
      </c>
      <c r="R6" s="11">
        <f>1</f>
        <v/>
      </c>
      <c r="S6" s="11">
        <f>1</f>
        <v/>
      </c>
      <c r="T6" s="11">
        <f>1</f>
        <v/>
      </c>
      <c r="U6" s="11">
        <f>IF(BRIEFING!$C$21="Interior SC",0.95,IF(BRIEFING!$C$21="Litoral SC",1.0,IF(BRIEFING!$C$21="Capital Floripa",1.05,IF(BRIEFING!$C$21="Litoral SP",1.15,IF(BRIEFING!$C$21="Capital SP-RJ",1.25,1)))))</f>
        <v/>
      </c>
      <c r="V6" s="11">
        <f>1</f>
        <v/>
      </c>
      <c r="W6" s="11">
        <f>1</f>
        <v/>
      </c>
      <c r="X6" s="11">
        <f>1</f>
        <v/>
      </c>
      <c r="Y6" s="11">
        <f>1</f>
        <v/>
      </c>
      <c r="Z6" s="11">
        <f>1</f>
        <v/>
      </c>
      <c r="AA6" s="12">
        <f>PRODUCT(B6:Z6)</f>
        <v/>
      </c>
    </row>
    <row r="7">
      <c r="A7" s="2" t="inlineStr">
        <is>
          <t>Alvenaria</t>
        </is>
      </c>
      <c r="B7" s="11">
        <f>1</f>
        <v/>
      </c>
      <c r="C7" s="11">
        <f>1</f>
        <v/>
      </c>
      <c r="D7" s="11">
        <f>1</f>
        <v/>
      </c>
      <c r="E7" s="11">
        <f>1</f>
        <v/>
      </c>
      <c r="F7" s="11">
        <f>1</f>
        <v/>
      </c>
      <c r="G7" s="11">
        <f>1</f>
        <v/>
      </c>
      <c r="H7" s="11">
        <f>1</f>
        <v/>
      </c>
      <c r="I7" s="11">
        <f>IF(BRIEFING!$C$9="Alvenaria",1.0,IF(BRIEFING!$C$9="Drywall",1.8,IF(BRIEFING!$C$9="Misto",1.3,1)))</f>
        <v/>
      </c>
      <c r="J7" s="11">
        <f>1</f>
        <v/>
      </c>
      <c r="K7" s="11">
        <f>1</f>
        <v/>
      </c>
      <c r="L7" s="11">
        <f>1</f>
        <v/>
      </c>
      <c r="M7" s="11">
        <f>1</f>
        <v/>
      </c>
      <c r="N7" s="11">
        <f>1</f>
        <v/>
      </c>
      <c r="O7" s="11">
        <f>1</f>
        <v/>
      </c>
      <c r="P7" s="11">
        <f>1</f>
        <v/>
      </c>
      <c r="Q7" s="11">
        <f>1</f>
        <v/>
      </c>
      <c r="R7" s="11">
        <f>1</f>
        <v/>
      </c>
      <c r="S7" s="11">
        <f>1</f>
        <v/>
      </c>
      <c r="T7" s="11">
        <f>1</f>
        <v/>
      </c>
      <c r="U7" s="11">
        <f>IF(BRIEFING!$C$21="Interior SC",0.95,IF(BRIEFING!$C$21="Litoral SC",1.0,IF(BRIEFING!$C$21="Capital Floripa",1.05,IF(BRIEFING!$C$21="Litoral SP",1.15,IF(BRIEFING!$C$21="Capital SP-RJ",1.25,1)))))</f>
        <v/>
      </c>
      <c r="V7" s="11">
        <f>1</f>
        <v/>
      </c>
      <c r="W7" s="11">
        <f>1</f>
        <v/>
      </c>
      <c r="X7" s="11">
        <f>1</f>
        <v/>
      </c>
      <c r="Y7" s="11">
        <f>1</f>
        <v/>
      </c>
      <c r="Z7" s="11">
        <f>1</f>
        <v/>
      </c>
      <c r="AA7" s="12">
        <f>PRODUCT(B7:Z7)</f>
        <v/>
      </c>
    </row>
    <row r="8">
      <c r="A8" s="2" t="inlineStr">
        <is>
          <t>Impermeabilização</t>
        </is>
      </c>
      <c r="B8" s="11">
        <f>1</f>
        <v/>
      </c>
      <c r="C8" s="11">
        <f>1</f>
        <v/>
      </c>
      <c r="D8" s="11">
        <f>1</f>
        <v/>
      </c>
      <c r="E8" s="11">
        <f>IF(BRIEFING!$C$5="0",1.0,IF(BRIEFING!$C$5="1",1.3,IF(BRIEFING!$C$5="2",1.6,IF(BRIEFING!$C$5="3+",1.9,1))))</f>
        <v/>
      </c>
      <c r="F8" s="11">
        <f>1</f>
        <v/>
      </c>
      <c r="G8" s="11">
        <f>1</f>
        <v/>
      </c>
      <c r="H8" s="11">
        <f>1</f>
        <v/>
      </c>
      <c r="I8" s="11">
        <f>1</f>
        <v/>
      </c>
      <c r="J8" s="11">
        <f>1</f>
        <v/>
      </c>
      <c r="K8" s="11">
        <f>1</f>
        <v/>
      </c>
      <c r="L8" s="11">
        <f>1</f>
        <v/>
      </c>
      <c r="M8" s="11">
        <f>1</f>
        <v/>
      </c>
      <c r="N8" s="11">
        <f>1</f>
        <v/>
      </c>
      <c r="O8" s="11">
        <f>1</f>
        <v/>
      </c>
      <c r="P8" s="11">
        <f>1</f>
        <v/>
      </c>
      <c r="Q8" s="11">
        <f>1</f>
        <v/>
      </c>
      <c r="R8" s="11">
        <f>1</f>
        <v/>
      </c>
      <c r="S8" s="11">
        <f>1</f>
        <v/>
      </c>
      <c r="T8" s="11">
        <f>1</f>
        <v/>
      </c>
      <c r="U8" s="11">
        <f>IF(BRIEFING!$C$21="Interior SC",0.95,IF(BRIEFING!$C$21="Litoral SC",1.0,IF(BRIEFING!$C$21="Capital Floripa",1.05,IF(BRIEFING!$C$21="Litoral SP",1.15,IF(BRIEFING!$C$21="Capital SP-RJ",1.25,1)))))</f>
        <v/>
      </c>
      <c r="V8" s="11">
        <f>1</f>
        <v/>
      </c>
      <c r="W8" s="11">
        <f>1</f>
        <v/>
      </c>
      <c r="X8" s="11">
        <f>1</f>
        <v/>
      </c>
      <c r="Y8" s="11">
        <f>1</f>
        <v/>
      </c>
      <c r="Z8" s="11">
        <f>1</f>
        <v/>
      </c>
      <c r="AA8" s="12">
        <f>PRODUCT(B8:Z8)</f>
        <v/>
      </c>
    </row>
    <row r="9">
      <c r="A9" s="2" t="inlineStr">
        <is>
          <t>Instalações</t>
        </is>
      </c>
      <c r="B9" s="11">
        <f>1</f>
        <v/>
      </c>
      <c r="C9" s="11">
        <f>1</f>
        <v/>
      </c>
      <c r="D9" s="11">
        <f>1</f>
        <v/>
      </c>
      <c r="E9" s="11">
        <f>1</f>
        <v/>
      </c>
      <c r="F9" s="11">
        <f>1</f>
        <v/>
      </c>
      <c r="G9" s="11">
        <f>1</f>
        <v/>
      </c>
      <c r="H9" s="11">
        <f>1</f>
        <v/>
      </c>
      <c r="I9" s="11">
        <f>1</f>
        <v/>
      </c>
      <c r="J9" s="11">
        <f>1</f>
        <v/>
      </c>
      <c r="K9" s="11">
        <f>1</f>
        <v/>
      </c>
      <c r="L9" s="11">
        <f>1</f>
        <v/>
      </c>
      <c r="M9" s="11">
        <f>1</f>
        <v/>
      </c>
      <c r="N9" s="11">
        <f>IF(BRIEFING!$C$14="Gás individual",1.0,IF(BRIEFING!$C$14="Central",1.15,IF(BRIEFING!$C$14="Solar",1.2,IF(BRIEFING!$C$14="Bomba calor",1.25,IF(BRIEFING!$C$14="Sem",0.9,1)))))</f>
        <v/>
      </c>
      <c r="O9" s="11">
        <f>1</f>
        <v/>
      </c>
      <c r="P9" s="11">
        <f>1</f>
        <v/>
      </c>
      <c r="Q9" s="11">
        <f>1</f>
        <v/>
      </c>
      <c r="R9" s="11">
        <f>1</f>
        <v/>
      </c>
      <c r="S9" s="11">
        <f>1</f>
        <v/>
      </c>
      <c r="T9" s="11">
        <f>1</f>
        <v/>
      </c>
      <c r="U9" s="11">
        <f>IF(BRIEFING!$C$21="Interior SC",0.95,IF(BRIEFING!$C$21="Litoral SC",1.0,IF(BRIEFING!$C$21="Capital Floripa",1.05,IF(BRIEFING!$C$21="Litoral SP",1.15,IF(BRIEFING!$C$21="Capital SP-RJ",1.25,1)))))</f>
        <v/>
      </c>
      <c r="V9" s="11">
        <f>1</f>
        <v/>
      </c>
      <c r="W9" s="11">
        <f>1</f>
        <v/>
      </c>
      <c r="X9" s="11">
        <f>1</f>
        <v/>
      </c>
      <c r="Y9" s="11">
        <f>IF(BRIEFING!$C$25="Sim",1.05,IF(BRIEFING!$C$25="Não",1.0,1))</f>
        <v/>
      </c>
      <c r="Z9" s="11">
        <f>IF(BRIEFING!$C$26="Sim",1.08,IF(BRIEFING!$C$26="Não",1.0,1))</f>
        <v/>
      </c>
      <c r="AA9" s="12">
        <f>PRODUCT(B9:Z9)</f>
        <v/>
      </c>
    </row>
    <row r="10">
      <c r="A10" s="2" t="inlineStr">
        <is>
          <t>Sist. Especiais</t>
        </is>
      </c>
      <c r="B10" s="11">
        <f>1</f>
        <v/>
      </c>
      <c r="C10" s="11">
        <f>1</f>
        <v/>
      </c>
      <c r="D10" s="11">
        <f>1</f>
        <v/>
      </c>
      <c r="E10" s="11">
        <f>1</f>
        <v/>
      </c>
      <c r="F10" s="11">
        <f>1</f>
        <v/>
      </c>
      <c r="G10" s="11">
        <f>1</f>
        <v/>
      </c>
      <c r="H10" s="11">
        <f>1</f>
        <v/>
      </c>
      <c r="I10" s="11">
        <f>1</f>
        <v/>
      </c>
      <c r="J10" s="11">
        <f>1</f>
        <v/>
      </c>
      <c r="K10" s="11">
        <f>1</f>
        <v/>
      </c>
      <c r="L10" s="11">
        <f>1</f>
        <v/>
      </c>
      <c r="M10" s="11">
        <f>1</f>
        <v/>
      </c>
      <c r="N10" s="11">
        <f>1</f>
        <v/>
      </c>
      <c r="O10" s="11">
        <f>IF(BRIEFING!$C$15="Mínimo",0.85,IF(BRIEFING!$C$15="Básico",1.0,IF(BRIEFING!$C$15="Completo",1.3,IF(BRIEFING!$C$15="Premium",1.6,1))))</f>
        <v/>
      </c>
      <c r="P10" s="11">
        <f>IF(BRIEFING!$C$16="Sem",1.0,IF(BRIEFING!$C$16="Solar comum",1.1,IF(BRIEFING!$C$16="Solar completo",1.2,1)))</f>
        <v/>
      </c>
      <c r="Q10" s="11">
        <f>1</f>
        <v/>
      </c>
      <c r="R10" s="11">
        <f>1</f>
        <v/>
      </c>
      <c r="S10" s="11">
        <f>1</f>
        <v/>
      </c>
      <c r="T10" s="11">
        <f>1</f>
        <v/>
      </c>
      <c r="U10" s="11">
        <f>IF(BRIEFING!$C$21="Interior SC",0.95,IF(BRIEFING!$C$21="Litoral SC",1.0,IF(BRIEFING!$C$21="Capital Floripa",1.05,IF(BRIEFING!$C$21="Litoral SP",1.15,IF(BRIEFING!$C$21="Capital SP-RJ",1.25,1)))))</f>
        <v/>
      </c>
      <c r="V10" s="11">
        <f>IF(BRIEFING!$C$22="Sim",1.15,IF(BRIEFING!$C$22="Não",1.0,1))</f>
        <v/>
      </c>
      <c r="W10" s="11">
        <f>IF(BRIEFING!$C$23="Sim",1.1,IF(BRIEFING!$C$23="Não",1.0,1))</f>
        <v/>
      </c>
      <c r="X10" s="11">
        <f>IF(BRIEFING!$C$24="Sim",1.1,IF(BRIEFING!$C$24="Não",1.0,1))</f>
        <v/>
      </c>
      <c r="Y10" s="11">
        <f>1</f>
        <v/>
      </c>
      <c r="Z10" s="11">
        <f>1</f>
        <v/>
      </c>
      <c r="AA10" s="12">
        <f>PRODUCT(B10:Z10)</f>
        <v/>
      </c>
    </row>
    <row r="11">
      <c r="A11" s="2" t="inlineStr">
        <is>
          <t>Climatização</t>
        </is>
      </c>
      <c r="B11" s="11">
        <f>1</f>
        <v/>
      </c>
      <c r="C11" s="11">
        <f>1</f>
        <v/>
      </c>
      <c r="D11" s="11">
        <f>1</f>
        <v/>
      </c>
      <c r="E11" s="11">
        <f>1</f>
        <v/>
      </c>
      <c r="F11" s="11">
        <f>1</f>
        <v/>
      </c>
      <c r="G11" s="11">
        <f>1</f>
        <v/>
      </c>
      <c r="H11" s="11">
        <f>1</f>
        <v/>
      </c>
      <c r="I11" s="11">
        <f>1</f>
        <v/>
      </c>
      <c r="J11" s="11">
        <f>1</f>
        <v/>
      </c>
      <c r="K11" s="11">
        <f>1</f>
        <v/>
      </c>
      <c r="L11" s="11">
        <f>1</f>
        <v/>
      </c>
      <c r="M11" s="11">
        <f>1</f>
        <v/>
      </c>
      <c r="N11" s="11">
        <f>1</f>
        <v/>
      </c>
      <c r="O11" s="11">
        <f>1</f>
        <v/>
      </c>
      <c r="P11" s="11">
        <f>1</f>
        <v/>
      </c>
      <c r="Q11" s="11">
        <f>1</f>
        <v/>
      </c>
      <c r="R11" s="11">
        <f>1</f>
        <v/>
      </c>
      <c r="S11" s="11">
        <f>1</f>
        <v/>
      </c>
      <c r="T11" s="11">
        <f>1</f>
        <v/>
      </c>
      <c r="U11" s="11">
        <f>IF(BRIEFING!$C$21="Interior SC",0.95,IF(BRIEFING!$C$21="Litoral SC",1.0,IF(BRIEFING!$C$21="Capital Floripa",1.05,IF(BRIEFING!$C$21="Litoral SP",1.15,IF(BRIEFING!$C$21="Capital SP-RJ",1.25,1)))))</f>
        <v/>
      </c>
      <c r="V11" s="11">
        <f>1</f>
        <v/>
      </c>
      <c r="W11" s="11">
        <f>1</f>
        <v/>
      </c>
      <c r="X11" s="11">
        <f>1</f>
        <v/>
      </c>
      <c r="Y11" s="11">
        <f>1</f>
        <v/>
      </c>
      <c r="Z11" s="11">
        <f>1</f>
        <v/>
      </c>
      <c r="AA11" s="12">
        <f>PRODUCT(B11:Z11)</f>
        <v/>
      </c>
    </row>
    <row r="12">
      <c r="A12" s="2" t="inlineStr">
        <is>
          <t>Rev. Int. Parede</t>
        </is>
      </c>
      <c r="B12" s="11">
        <f>1</f>
        <v/>
      </c>
      <c r="C12" s="11">
        <f>1</f>
        <v/>
      </c>
      <c r="D12" s="11">
        <f>1</f>
        <v/>
      </c>
      <c r="E12" s="11">
        <f>1</f>
        <v/>
      </c>
      <c r="F12" s="11">
        <f>IF(BRIEFING!$C$6="Econômico",0.65,IF(BRIEFING!$C$6="Standard",0.8,IF(BRIEFING!$C$6="Alto",1.0,IF(BRIEFING!$C$6="Super Alto",1.2,IF(BRIEFING!$C$6="Luxo",1.45,1)))))</f>
        <v/>
      </c>
      <c r="G12" s="11">
        <f>1</f>
        <v/>
      </c>
      <c r="H12" s="11">
        <f>1</f>
        <v/>
      </c>
      <c r="I12" s="11">
        <f>1</f>
        <v/>
      </c>
      <c r="J12" s="11">
        <f>1</f>
        <v/>
      </c>
      <c r="K12" s="11">
        <f>1</f>
        <v/>
      </c>
      <c r="L12" s="11">
        <f>1</f>
        <v/>
      </c>
      <c r="M12" s="11">
        <f>1</f>
        <v/>
      </c>
      <c r="N12" s="11">
        <f>1</f>
        <v/>
      </c>
      <c r="O12" s="11">
        <f>1</f>
        <v/>
      </c>
      <c r="P12" s="11">
        <f>1</f>
        <v/>
      </c>
      <c r="Q12" s="11">
        <f>1</f>
        <v/>
      </c>
      <c r="R12" s="11">
        <f>1</f>
        <v/>
      </c>
      <c r="S12" s="11">
        <f>1</f>
        <v/>
      </c>
      <c r="T12" s="11">
        <f>1</f>
        <v/>
      </c>
      <c r="U12" s="11">
        <f>IF(BRIEFING!$C$21="Interior SC",0.95,IF(BRIEFING!$C$21="Litoral SC",1.0,IF(BRIEFING!$C$21="Capital Floripa",1.05,IF(BRIEFING!$C$21="Litoral SP",1.15,IF(BRIEFING!$C$21="Capital SP-RJ",1.25,1)))))</f>
        <v/>
      </c>
      <c r="V12" s="11">
        <f>1</f>
        <v/>
      </c>
      <c r="W12" s="11">
        <f>1</f>
        <v/>
      </c>
      <c r="X12" s="11">
        <f>1</f>
        <v/>
      </c>
      <c r="Y12" s="11">
        <f>1</f>
        <v/>
      </c>
      <c r="Z12" s="11">
        <f>1</f>
        <v/>
      </c>
      <c r="AA12" s="12">
        <f>PRODUCT(B12:Z12)</f>
        <v/>
      </c>
    </row>
    <row r="13">
      <c r="A13" s="2" t="inlineStr">
        <is>
          <t>Teto</t>
        </is>
      </c>
      <c r="B13" s="11">
        <f>1</f>
        <v/>
      </c>
      <c r="C13" s="11">
        <f>1</f>
        <v/>
      </c>
      <c r="D13" s="11">
        <f>1</f>
        <v/>
      </c>
      <c r="E13" s="11">
        <f>1</f>
        <v/>
      </c>
      <c r="F13" s="11">
        <f>IF(BRIEFING!$C$6="Econômico",0.7,IF(BRIEFING!$C$6="Standard",0.8,IF(BRIEFING!$C$6="Alto",1.0,IF(BRIEFING!$C$6="Super Alto",1.2,IF(BRIEFING!$C$6="Luxo",1.4,1)))))</f>
        <v/>
      </c>
      <c r="G13" s="11">
        <f>1</f>
        <v/>
      </c>
      <c r="H13" s="11">
        <f>1</f>
        <v/>
      </c>
      <c r="I13" s="11">
        <f>1</f>
        <v/>
      </c>
      <c r="J13" s="11">
        <f>IF(BRIEFING!$C$10="Estucamento",0.8,IF(BRIEFING!$C$10="Gesso liso",1.0,IF(BRIEFING!$C$10="Gesso negativo",1.15,IF(BRIEFING!$C$10="Gesso sanca",1.2,IF(BRIEFING!$C$10="Mineral",1.1,1)))))</f>
        <v/>
      </c>
      <c r="K13" s="11">
        <f>1</f>
        <v/>
      </c>
      <c r="L13" s="11">
        <f>1</f>
        <v/>
      </c>
      <c r="M13" s="11">
        <f>1</f>
        <v/>
      </c>
      <c r="N13" s="11">
        <f>1</f>
        <v/>
      </c>
      <c r="O13" s="11">
        <f>1</f>
        <v/>
      </c>
      <c r="P13" s="11">
        <f>1</f>
        <v/>
      </c>
      <c r="Q13" s="11">
        <f>1</f>
        <v/>
      </c>
      <c r="R13" s="11">
        <f>1</f>
        <v/>
      </c>
      <c r="S13" s="11">
        <f>1</f>
        <v/>
      </c>
      <c r="T13" s="11">
        <f>1</f>
        <v/>
      </c>
      <c r="U13" s="11">
        <f>IF(BRIEFING!$C$21="Interior SC",0.95,IF(BRIEFING!$C$21="Litoral SC",1.0,IF(BRIEFING!$C$21="Capital Floripa",1.05,IF(BRIEFING!$C$21="Litoral SP",1.15,IF(BRIEFING!$C$21="Capital SP-RJ",1.25,1)))))</f>
        <v/>
      </c>
      <c r="V13" s="11">
        <f>1</f>
        <v/>
      </c>
      <c r="W13" s="11">
        <f>1</f>
        <v/>
      </c>
      <c r="X13" s="11">
        <f>1</f>
        <v/>
      </c>
      <c r="Y13" s="11">
        <f>1</f>
        <v/>
      </c>
      <c r="Z13" s="11">
        <f>1</f>
        <v/>
      </c>
      <c r="AA13" s="12">
        <f>PRODUCT(B13:Z13)</f>
        <v/>
      </c>
    </row>
    <row r="14">
      <c r="A14" s="2" t="inlineStr">
        <is>
          <t>Pisos</t>
        </is>
      </c>
      <c r="B14" s="11">
        <f>1</f>
        <v/>
      </c>
      <c r="C14" s="11">
        <f>1</f>
        <v/>
      </c>
      <c r="D14" s="11">
        <f>1</f>
        <v/>
      </c>
      <c r="E14" s="11">
        <f>1</f>
        <v/>
      </c>
      <c r="F14" s="11">
        <f>IF(BRIEFING!$C$6="Econômico",0.6,IF(BRIEFING!$C$6="Standard",0.75,IF(BRIEFING!$C$6="Alto",1.0,IF(BRIEFING!$C$6="Super Alto",1.3,IF(BRIEFING!$C$6="Luxo",1.7,1)))))</f>
        <v/>
      </c>
      <c r="G14" s="11">
        <f>1</f>
        <v/>
      </c>
      <c r="H14" s="11">
        <f>IF(BRIEFING!$C$8="Porcelanato padrão",1.0,IF(BRIEFING!$C$8="Cerâmica",0.75,IF(BRIEFING!$C$8="Vinílico",0.85,IF(BRIEFING!$C$8="Importado",1.5,IF(BRIEFING!$C$8="Mármore",2.0,1)))))</f>
        <v/>
      </c>
      <c r="I14" s="11">
        <f>1</f>
        <v/>
      </c>
      <c r="J14" s="11">
        <f>1</f>
        <v/>
      </c>
      <c r="K14" s="11">
        <f>1</f>
        <v/>
      </c>
      <c r="L14" s="11">
        <f>1</f>
        <v/>
      </c>
      <c r="M14" s="11">
        <f>1</f>
        <v/>
      </c>
      <c r="N14" s="11">
        <f>1</f>
        <v/>
      </c>
      <c r="O14" s="11">
        <f>1</f>
        <v/>
      </c>
      <c r="P14" s="11">
        <f>1</f>
        <v/>
      </c>
      <c r="Q14" s="11">
        <f>1</f>
        <v/>
      </c>
      <c r="R14" s="11">
        <f>1</f>
        <v/>
      </c>
      <c r="S14" s="11">
        <f>1</f>
        <v/>
      </c>
      <c r="T14" s="11">
        <f>1</f>
        <v/>
      </c>
      <c r="U14" s="11">
        <f>IF(BRIEFING!$C$21="Interior SC",0.95,IF(BRIEFING!$C$21="Litoral SC",1.0,IF(BRIEFING!$C$21="Capital Floripa",1.05,IF(BRIEFING!$C$21="Litoral SP",1.15,IF(BRIEFING!$C$21="Capital SP-RJ",1.25,1)))))</f>
        <v/>
      </c>
      <c r="V14" s="11">
        <f>1</f>
        <v/>
      </c>
      <c r="W14" s="11">
        <f>1</f>
        <v/>
      </c>
      <c r="X14" s="11">
        <f>1</f>
        <v/>
      </c>
      <c r="Y14" s="11">
        <f>1</f>
        <v/>
      </c>
      <c r="Z14" s="11">
        <f>1</f>
        <v/>
      </c>
      <c r="AA14" s="12">
        <f>PRODUCT(B14:Z14)</f>
        <v/>
      </c>
    </row>
    <row r="15">
      <c r="A15" s="2" t="inlineStr">
        <is>
          <t>Pintura</t>
        </is>
      </c>
      <c r="B15" s="11">
        <f>1</f>
        <v/>
      </c>
      <c r="C15" s="11">
        <f>1</f>
        <v/>
      </c>
      <c r="D15" s="11">
        <f>1</f>
        <v/>
      </c>
      <c r="E15" s="11">
        <f>1</f>
        <v/>
      </c>
      <c r="F15" s="11">
        <f>IF(BRIEFING!$C$6="Econômico",0.85,IF(BRIEFING!$C$6="Standard",0.9,IF(BRIEFING!$C$6="Alto",1.0,IF(BRIEFING!$C$6="Super Alto",1.1,IF(BRIEFING!$C$6="Luxo",1.2,1)))))</f>
        <v/>
      </c>
      <c r="G15" s="11">
        <f>1</f>
        <v/>
      </c>
      <c r="H15" s="11">
        <f>1</f>
        <v/>
      </c>
      <c r="I15" s="11">
        <f>1</f>
        <v/>
      </c>
      <c r="J15" s="11">
        <f>1</f>
        <v/>
      </c>
      <c r="K15" s="11">
        <f>1</f>
        <v/>
      </c>
      <c r="L15" s="11">
        <f>1</f>
        <v/>
      </c>
      <c r="M15" s="11">
        <f>1</f>
        <v/>
      </c>
      <c r="N15" s="11">
        <f>1</f>
        <v/>
      </c>
      <c r="O15" s="11">
        <f>1</f>
        <v/>
      </c>
      <c r="P15" s="11">
        <f>1</f>
        <v/>
      </c>
      <c r="Q15" s="11">
        <f>1</f>
        <v/>
      </c>
      <c r="R15" s="11">
        <f>1</f>
        <v/>
      </c>
      <c r="S15" s="11">
        <f>1</f>
        <v/>
      </c>
      <c r="T15" s="11">
        <f>1</f>
        <v/>
      </c>
      <c r="U15" s="11">
        <f>IF(BRIEFING!$C$21="Interior SC",0.95,IF(BRIEFING!$C$21="Litoral SC",1.0,IF(BRIEFING!$C$21="Capital Floripa",1.05,IF(BRIEFING!$C$21="Litoral SP",1.15,IF(BRIEFING!$C$21="Capital SP-RJ",1.25,1)))))</f>
        <v/>
      </c>
      <c r="V15" s="11">
        <f>1</f>
        <v/>
      </c>
      <c r="W15" s="11">
        <f>1</f>
        <v/>
      </c>
      <c r="X15" s="11">
        <f>1</f>
        <v/>
      </c>
      <c r="Y15" s="11">
        <f>1</f>
        <v/>
      </c>
      <c r="Z15" s="11">
        <f>1</f>
        <v/>
      </c>
      <c r="AA15" s="12">
        <f>PRODUCT(B15:Z15)</f>
        <v/>
      </c>
    </row>
    <row r="16">
      <c r="A16" s="2" t="inlineStr">
        <is>
          <t>Esquadrias</t>
        </is>
      </c>
      <c r="B16" s="11">
        <f>1</f>
        <v/>
      </c>
      <c r="C16" s="11">
        <f>1</f>
        <v/>
      </c>
      <c r="D16" s="11">
        <f>1</f>
        <v/>
      </c>
      <c r="E16" s="11">
        <f>1</f>
        <v/>
      </c>
      <c r="F16" s="11">
        <f>IF(BRIEFING!$C$6="Econômico",0.55,IF(BRIEFING!$C$6="Standard",0.7,IF(BRIEFING!$C$6="Alto",1.0,IF(BRIEFING!$C$6="Super Alto",1.35,IF(BRIEFING!$C$6="Luxo",1.6,1)))))</f>
        <v/>
      </c>
      <c r="G16" s="11">
        <f>IF(BRIEFING!$C$7="Alumínio anodizado",1.0,IF(BRIEFING!$C$7="Pintura eletrostática",1.15,IF(BRIEFING!$C$7="PVC",0.9,IF(BRIEFING!$C$7="Alto desempenho",1.4,1))))</f>
        <v/>
      </c>
      <c r="H16" s="11">
        <f>1</f>
        <v/>
      </c>
      <c r="I16" s="11">
        <f>1</f>
        <v/>
      </c>
      <c r="J16" s="11">
        <f>1</f>
        <v/>
      </c>
      <c r="K16" s="11">
        <f>1</f>
        <v/>
      </c>
      <c r="L16" s="11">
        <f>1</f>
        <v/>
      </c>
      <c r="M16" s="11">
        <f>1</f>
        <v/>
      </c>
      <c r="N16" s="11">
        <f>1</f>
        <v/>
      </c>
      <c r="O16" s="11">
        <f>1</f>
        <v/>
      </c>
      <c r="P16" s="11">
        <f>1</f>
        <v/>
      </c>
      <c r="Q16" s="11">
        <f>1</f>
        <v/>
      </c>
      <c r="R16" s="11">
        <f>1</f>
        <v/>
      </c>
      <c r="S16" s="11">
        <f>1</f>
        <v/>
      </c>
      <c r="T16" s="11">
        <f>1</f>
        <v/>
      </c>
      <c r="U16" s="11">
        <f>IF(BRIEFING!$C$21="Interior SC",0.95,IF(BRIEFING!$C$21="Litoral SC",1.0,IF(BRIEFING!$C$21="Capital Floripa",1.05,IF(BRIEFING!$C$21="Litoral SP",1.15,IF(BRIEFING!$C$21="Capital SP-RJ",1.25,1)))))</f>
        <v/>
      </c>
      <c r="V16" s="11">
        <f>1</f>
        <v/>
      </c>
      <c r="W16" s="11">
        <f>1</f>
        <v/>
      </c>
      <c r="X16" s="11">
        <f>1</f>
        <v/>
      </c>
      <c r="Y16" s="11">
        <f>1</f>
        <v/>
      </c>
      <c r="Z16" s="11">
        <f>1</f>
        <v/>
      </c>
      <c r="AA16" s="12">
        <f>PRODUCT(B16:Z16)</f>
        <v/>
      </c>
    </row>
    <row r="17">
      <c r="A17" s="2" t="inlineStr">
        <is>
          <t>Louças e Metais</t>
        </is>
      </c>
      <c r="B17" s="11">
        <f>1</f>
        <v/>
      </c>
      <c r="C17" s="11">
        <f>1</f>
        <v/>
      </c>
      <c r="D17" s="11">
        <f>1</f>
        <v/>
      </c>
      <c r="E17" s="11">
        <f>1</f>
        <v/>
      </c>
      <c r="F17" s="11">
        <f>1</f>
        <v/>
      </c>
      <c r="G17" s="11">
        <f>1</f>
        <v/>
      </c>
      <c r="H17" s="11">
        <f>1</f>
        <v/>
      </c>
      <c r="I17" s="11">
        <f>1</f>
        <v/>
      </c>
      <c r="J17" s="11">
        <f>1</f>
        <v/>
      </c>
      <c r="K17" s="11">
        <f>1</f>
        <v/>
      </c>
      <c r="L17" s="11">
        <f>1</f>
        <v/>
      </c>
      <c r="M17" s="11">
        <f>1</f>
        <v/>
      </c>
      <c r="N17" s="11">
        <f>1</f>
        <v/>
      </c>
      <c r="O17" s="11">
        <f>1</f>
        <v/>
      </c>
      <c r="P17" s="11">
        <f>1</f>
        <v/>
      </c>
      <c r="Q17" s="11">
        <f>1</f>
        <v/>
      </c>
      <c r="R17" s="11">
        <f>1</f>
        <v/>
      </c>
      <c r="S17" s="11">
        <f>1</f>
        <v/>
      </c>
      <c r="T17" s="11">
        <f>1</f>
        <v/>
      </c>
      <c r="U17" s="11">
        <f>IF(BRIEFING!$C$21="Interior SC",0.95,IF(BRIEFING!$C$21="Litoral SC",1.0,IF(BRIEFING!$C$21="Capital Floripa",1.05,IF(BRIEFING!$C$21="Litoral SP",1.15,IF(BRIEFING!$C$21="Capital SP-RJ",1.25,1)))))</f>
        <v/>
      </c>
      <c r="V17" s="11">
        <f>1</f>
        <v/>
      </c>
      <c r="W17" s="11">
        <f>1</f>
        <v/>
      </c>
      <c r="X17" s="11">
        <f>1</f>
        <v/>
      </c>
      <c r="Y17" s="11">
        <f>1</f>
        <v/>
      </c>
      <c r="Z17" s="11">
        <f>1</f>
        <v/>
      </c>
      <c r="AA17" s="12">
        <f>PRODUCT(B17:Z17)</f>
        <v/>
      </c>
    </row>
    <row r="18">
      <c r="A18" s="2" t="inlineStr">
        <is>
          <t>Fachada</t>
        </is>
      </c>
      <c r="B18" s="11">
        <f>1</f>
        <v/>
      </c>
      <c r="C18" s="11">
        <f>1</f>
        <v/>
      </c>
      <c r="D18" s="11">
        <f>1</f>
        <v/>
      </c>
      <c r="E18" s="11">
        <f>1</f>
        <v/>
      </c>
      <c r="F18" s="11">
        <f>IF(BRIEFING!$C$6="Econômico",0.8,IF(BRIEFING!$C$6="Standard",0.85,IF(BRIEFING!$C$6="Alto",1.0,IF(BRIEFING!$C$6="Super Alto",1.25,IF(BRIEFING!$C$6="Luxo",1.5,1)))))</f>
        <v/>
      </c>
      <c r="G18" s="11">
        <f>1</f>
        <v/>
      </c>
      <c r="H18" s="11">
        <f>1</f>
        <v/>
      </c>
      <c r="I18" s="11">
        <f>1</f>
        <v/>
      </c>
      <c r="J18" s="11">
        <f>1</f>
        <v/>
      </c>
      <c r="K18" s="11">
        <f>IF(BRIEFING!$C$11="Textura + pintura",1.0,IF(BRIEFING!$C$11="Cerâmica/Pastilha",1.4,IF(BRIEFING!$C$11="ACM",1.8,IF(BRIEFING!$C$11="Pele de vidro",2.5,IF(BRIEFING!$C$11="Misto",1.3,1)))))</f>
        <v/>
      </c>
      <c r="L18" s="11">
        <f>IF(BRIEFING!$C$12="Equipe própria",1.0,IF(BRIEFING!$C$12="Empreitada",1.2,1))</f>
        <v/>
      </c>
      <c r="M18" s="11">
        <f>1</f>
        <v/>
      </c>
      <c r="N18" s="11">
        <f>1</f>
        <v/>
      </c>
      <c r="O18" s="11">
        <f>1</f>
        <v/>
      </c>
      <c r="P18" s="11">
        <f>1</f>
        <v/>
      </c>
      <c r="Q18" s="11">
        <f>1</f>
        <v/>
      </c>
      <c r="R18" s="11">
        <f>1</f>
        <v/>
      </c>
      <c r="S18" s="11">
        <f>1</f>
        <v/>
      </c>
      <c r="T18" s="11">
        <f>1</f>
        <v/>
      </c>
      <c r="U18" s="11">
        <f>IF(BRIEFING!$C$21="Interior SC",0.95,IF(BRIEFING!$C$21="Litoral SC",1.0,IF(BRIEFING!$C$21="Capital Floripa",1.05,IF(BRIEFING!$C$21="Litoral SP",1.15,IF(BRIEFING!$C$21="Capital SP-RJ",1.25,1)))))</f>
        <v/>
      </c>
      <c r="V18" s="11">
        <f>1</f>
        <v/>
      </c>
      <c r="W18" s="11">
        <f>1</f>
        <v/>
      </c>
      <c r="X18" s="11">
        <f>1</f>
        <v/>
      </c>
      <c r="Y18" s="11">
        <f>1</f>
        <v/>
      </c>
      <c r="Z18" s="11">
        <f>1</f>
        <v/>
      </c>
      <c r="AA18" s="12">
        <f>PRODUCT(B18:Z18)</f>
        <v/>
      </c>
    </row>
    <row r="19">
      <c r="A19" s="2" t="inlineStr">
        <is>
          <t>Complementares</t>
        </is>
      </c>
      <c r="B19" s="11">
        <f>1</f>
        <v/>
      </c>
      <c r="C19" s="11">
        <f>1</f>
        <v/>
      </c>
      <c r="D19" s="11">
        <f>1</f>
        <v/>
      </c>
      <c r="E19" s="11">
        <f>1</f>
        <v/>
      </c>
      <c r="F19" s="11">
        <f>IF(BRIEFING!$C$6="Econômico",0.7,IF(BRIEFING!$C$6="Standard",0.85,IF(BRIEFING!$C$6="Alto",1.0,IF(BRIEFING!$C$6="Super Alto",1.2,IF(BRIEFING!$C$6="Luxo",1.5,1)))))</f>
        <v/>
      </c>
      <c r="G19" s="11">
        <f>1</f>
        <v/>
      </c>
      <c r="H19" s="11">
        <f>1</f>
        <v/>
      </c>
      <c r="I19" s="11">
        <f>1</f>
        <v/>
      </c>
      <c r="J19" s="11">
        <f>1</f>
        <v/>
      </c>
      <c r="K19" s="11">
        <f>1</f>
        <v/>
      </c>
      <c r="L19" s="11">
        <f>1</f>
        <v/>
      </c>
      <c r="M19" s="11">
        <f>IF(BRIEFING!$C$13="Não",1.0,IF(BRIEFING!$C$13="Básica",1.1,IF(BRIEFING!$C$13="Completa",1.25,1)))</f>
        <v/>
      </c>
      <c r="N19" s="11">
        <f>1</f>
        <v/>
      </c>
      <c r="O19" s="11">
        <f>1</f>
        <v/>
      </c>
      <c r="P19" s="11">
        <f>1</f>
        <v/>
      </c>
      <c r="Q19" s="11">
        <f>IF(BRIEFING!$C$17="Básico",0.7,IF(BRIEFING!$C$17="Completo",1.0,IF(BRIEFING!$C$17="Premium",1.4,1)))</f>
        <v/>
      </c>
      <c r="R19" s="11">
        <f>IF(BRIEFING!$C$18="Sem",0.85,IF(BRIEFING!$C$18="Básico",1.0,IF(BRIEFING!$C$18="Elaborado",1.2,IF(BRIEFING!$C$18="Premium",1.5,1))))</f>
        <v/>
      </c>
      <c r="S19" s="11">
        <f>IF(BRIEFING!$C$19="Sem",0.85,IF(BRIEFING!$C$19="Básico",1.0,IF(BRIEFING!$C$19="Completo",1.25,IF(BRIEFING!$C$19="Decorado",1.5,1))))</f>
        <v/>
      </c>
      <c r="T19" s="11">
        <f>1</f>
        <v/>
      </c>
      <c r="U19" s="11">
        <f>IF(BRIEFING!$C$21="Interior SC",0.95,IF(BRIEFING!$C$21="Litoral SC",1.0,IF(BRIEFING!$C$21="Capital Floripa",1.05,IF(BRIEFING!$C$21="Litoral SP",1.15,IF(BRIEFING!$C$21="Capital SP-RJ",1.25,1)))))</f>
        <v/>
      </c>
      <c r="V19" s="11">
        <f>1</f>
        <v/>
      </c>
      <c r="W19" s="11">
        <f>1</f>
        <v/>
      </c>
      <c r="X19" s="11">
        <f>1</f>
        <v/>
      </c>
      <c r="Y19" s="11">
        <f>1</f>
        <v/>
      </c>
      <c r="Z19" s="11">
        <f>1</f>
        <v/>
      </c>
      <c r="AA19" s="12">
        <f>PRODUCT(B19:Z19)</f>
        <v/>
      </c>
    </row>
    <row r="20">
      <c r="A20" s="2" t="inlineStr">
        <is>
          <t>Imprevistos</t>
        </is>
      </c>
      <c r="B20" s="11">
        <f>1</f>
        <v/>
      </c>
      <c r="C20" s="11">
        <f>1</f>
        <v/>
      </c>
      <c r="D20" s="11">
        <f>1</f>
        <v/>
      </c>
      <c r="E20" s="11">
        <f>1</f>
        <v/>
      </c>
      <c r="F20" s="11">
        <f>1</f>
        <v/>
      </c>
      <c r="G20" s="11">
        <f>1</f>
        <v/>
      </c>
      <c r="H20" s="11">
        <f>1</f>
        <v/>
      </c>
      <c r="I20" s="11">
        <f>1</f>
        <v/>
      </c>
      <c r="J20" s="11">
        <f>1</f>
        <v/>
      </c>
      <c r="K20" s="11">
        <f>1</f>
        <v/>
      </c>
      <c r="L20" s="11">
        <f>1</f>
        <v/>
      </c>
      <c r="M20" s="11">
        <f>1</f>
        <v/>
      </c>
      <c r="N20" s="11">
        <f>1</f>
        <v/>
      </c>
      <c r="O20" s="11">
        <f>1</f>
        <v/>
      </c>
      <c r="P20" s="11">
        <f>1</f>
        <v/>
      </c>
      <c r="Q20" s="11">
        <f>1</f>
        <v/>
      </c>
      <c r="R20" s="11">
        <f>1</f>
        <v/>
      </c>
      <c r="S20" s="11">
        <f>1</f>
        <v/>
      </c>
      <c r="T20" s="11">
        <f>1</f>
        <v/>
      </c>
      <c r="U20" s="11">
        <f>IF(BRIEFING!$C$21="Interior SC",0.95,IF(BRIEFING!$C$21="Litoral SC",1.0,IF(BRIEFING!$C$21="Capital Floripa",1.05,IF(BRIEFING!$C$21="Litoral SP",1.15,IF(BRIEFING!$C$21="Capital SP-RJ",1.25,1)))))</f>
        <v/>
      </c>
      <c r="V20" s="11">
        <f>1</f>
        <v/>
      </c>
      <c r="W20" s="11">
        <f>1</f>
        <v/>
      </c>
      <c r="X20" s="11">
        <f>1</f>
        <v/>
      </c>
      <c r="Y20" s="11">
        <f>1</f>
        <v/>
      </c>
      <c r="Z20" s="11">
        <f>1</f>
        <v/>
      </c>
      <c r="AA20" s="12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6" t="inlineStr">
        <is>
          <t>#</t>
        </is>
      </c>
      <c r="B1" s="6" t="inlineStr">
        <is>
          <t>Macrogrupo</t>
        </is>
      </c>
      <c r="C1" s="6" t="inlineStr">
        <is>
          <t>Base R$/m²</t>
        </is>
      </c>
      <c r="D1" s="6" t="inlineStr">
        <is>
          <t>Fator CUB</t>
        </is>
      </c>
      <c r="E1" s="6" t="inlineStr">
        <is>
          <t>Fator Briefing</t>
        </is>
      </c>
      <c r="F1" s="6" t="inlineStr">
        <is>
          <t>R$/m² Ajustado</t>
        </is>
      </c>
      <c r="G1" s="6" t="inlineStr">
        <is>
          <t>Valor Total</t>
        </is>
      </c>
      <c r="H1" s="6" t="inlineStr">
        <is>
          <t>%</t>
        </is>
      </c>
      <c r="I1" s="6" t="inlineStr">
        <is>
          <t>Faixa Min</t>
        </is>
      </c>
      <c r="J1" s="6" t="inlineStr">
        <is>
          <t>Faixa Max</t>
        </is>
      </c>
      <c r="K1" s="6" t="inlineStr">
        <is>
          <t>Status</t>
        </is>
      </c>
    </row>
    <row r="2">
      <c r="A2" s="9" t="n">
        <v>1</v>
      </c>
      <c r="B2" s="2" t="inlineStr">
        <is>
          <t>Gerenciamento</t>
        </is>
      </c>
      <c r="C2" s="13" t="n">
        <v>434.3</v>
      </c>
      <c r="D2" s="11">
        <f>DADOS_PROJETO!$B$19/DADOS_PROJETO!$B$20</f>
        <v/>
      </c>
      <c r="E2" s="11">
        <f>FATORES!$AA$3</f>
        <v/>
      </c>
      <c r="F2" s="14">
        <f>C2*D2*E2</f>
        <v/>
      </c>
      <c r="G2" s="14">
        <f>F2*DADOS_PROJETO!$B$6</f>
        <v/>
      </c>
      <c r="H2" s="15">
        <f>G2/SUM($G$2:$G$19)</f>
        <v/>
      </c>
      <c r="I2" s="13" t="n">
        <v>221.6</v>
      </c>
      <c r="J2" s="13" t="n">
        <v>609.41</v>
      </c>
      <c r="K2" s="16">
        <f>IF(AND(F2&gt;=I2,F2&lt;=J2),"✓",IF(OR(F2&lt;I2*0.8,F2&gt;J2*1.2),"✗","⚠"))</f>
        <v/>
      </c>
    </row>
    <row r="3">
      <c r="A3" s="9" t="n">
        <v>2</v>
      </c>
      <c r="B3" s="2" t="inlineStr">
        <is>
          <t>Mov. Terra</t>
        </is>
      </c>
      <c r="C3" s="13" t="n">
        <v>17.62</v>
      </c>
      <c r="D3" s="11">
        <f>DADOS_PROJETO!$B$19/DADOS_PROJETO!$B$20</f>
        <v/>
      </c>
      <c r="E3" s="11">
        <f>FATORES!$AA$4</f>
        <v/>
      </c>
      <c r="F3" s="14">
        <f>C3*D3*E3</f>
        <v/>
      </c>
      <c r="G3" s="14">
        <f>F3*DADOS_PROJETO!$B$6</f>
        <v/>
      </c>
      <c r="H3" s="15">
        <f>G3/SUM($G$2:$G$19)</f>
        <v/>
      </c>
      <c r="I3" s="13" t="n">
        <v>7.76</v>
      </c>
      <c r="J3" s="13" t="n">
        <v>66.48</v>
      </c>
      <c r="K3" s="16">
        <f>IF(AND(F3&gt;=I3,F3&lt;=J3),"✓",IF(OR(F3&lt;I3*0.8,F3&gt;J3*1.2),"✗","⚠"))</f>
        <v/>
      </c>
    </row>
    <row r="4">
      <c r="A4" s="9" t="n">
        <v>3</v>
      </c>
      <c r="B4" s="2" t="inlineStr">
        <is>
          <t>Infraestrutura</t>
        </is>
      </c>
      <c r="C4" s="13" t="n">
        <v>235.34</v>
      </c>
      <c r="D4" s="11">
        <f>DADOS_PROJETO!$B$19/DADOS_PROJETO!$B$20</f>
        <v/>
      </c>
      <c r="E4" s="11">
        <f>FATORES!$AA$5</f>
        <v/>
      </c>
      <c r="F4" s="14">
        <f>C4*D4*E4</f>
        <v/>
      </c>
      <c r="G4" s="14">
        <f>F4*DADOS_PROJETO!$B$6</f>
        <v/>
      </c>
      <c r="H4" s="15">
        <f>G4/SUM($G$2:$G$19)</f>
        <v/>
      </c>
      <c r="I4" s="13" t="n">
        <v>132.96</v>
      </c>
      <c r="J4" s="13" t="n">
        <v>310.24</v>
      </c>
      <c r="K4" s="16">
        <f>IF(AND(F4&gt;=I4,F4&lt;=J4),"✓",IF(OR(F4&lt;I4*0.8,F4&gt;J4*1.2),"✗","⚠"))</f>
        <v/>
      </c>
    </row>
    <row r="5">
      <c r="A5" s="9" t="n">
        <v>4</v>
      </c>
      <c r="B5" s="2" t="inlineStr">
        <is>
          <t>Supraestrutura</t>
        </is>
      </c>
      <c r="C5" s="13" t="n">
        <v>768.5</v>
      </c>
      <c r="D5" s="11">
        <f>DADOS_PROJETO!$B$19/DADOS_PROJETO!$B$20</f>
        <v/>
      </c>
      <c r="E5" s="11">
        <f>FATORES!$AA$6</f>
        <v/>
      </c>
      <c r="F5" s="14">
        <f>C5*D5*E5</f>
        <v/>
      </c>
      <c r="G5" s="14">
        <f>F5*DADOS_PROJETO!$B$6</f>
        <v/>
      </c>
      <c r="H5" s="15">
        <f>G5/SUM($G$2:$G$19)</f>
        <v/>
      </c>
      <c r="I5" s="13" t="n">
        <v>498.61</v>
      </c>
      <c r="J5" s="13" t="n">
        <v>1052.61</v>
      </c>
      <c r="K5" s="16">
        <f>IF(AND(F5&gt;=I5,F5&lt;=J5),"✓",IF(OR(F5&lt;I5*0.8,F5&gt;J5*1.2),"✗","⚠"))</f>
        <v/>
      </c>
    </row>
    <row r="6">
      <c r="A6" s="9" t="n">
        <v>5</v>
      </c>
      <c r="B6" s="2" t="inlineStr">
        <is>
          <t>Alvenaria</t>
        </is>
      </c>
      <c r="C6" s="13" t="n">
        <v>161.59</v>
      </c>
      <c r="D6" s="11">
        <f>DADOS_PROJETO!$B$19/DADOS_PROJETO!$B$20</f>
        <v/>
      </c>
      <c r="E6" s="11">
        <f>FATORES!$AA$7</f>
        <v/>
      </c>
      <c r="F6" s="14">
        <f>C6*D6*E6</f>
        <v/>
      </c>
      <c r="G6" s="14">
        <f>F6*DADOS_PROJETO!$B$6</f>
        <v/>
      </c>
      <c r="H6" s="15">
        <f>G6/SUM($G$2:$G$19)</f>
        <v/>
      </c>
      <c r="I6" s="13" t="n">
        <v>66.48</v>
      </c>
      <c r="J6" s="13" t="n">
        <v>332.4</v>
      </c>
      <c r="K6" s="16">
        <f>IF(AND(F6&gt;=I6,F6&lt;=J6),"✓",IF(OR(F6&lt;I6*0.8,F6&gt;J6*1.2),"✗","⚠"))</f>
        <v/>
      </c>
    </row>
    <row r="7">
      <c r="A7" s="9" t="n">
        <v>6</v>
      </c>
      <c r="B7" s="2" t="inlineStr">
        <is>
          <t>Impermeabilização</t>
        </is>
      </c>
      <c r="C7" s="13" t="n">
        <v>58.92</v>
      </c>
      <c r="D7" s="11">
        <f>DADOS_PROJETO!$B$19/DADOS_PROJETO!$B$20</f>
        <v/>
      </c>
      <c r="E7" s="11">
        <f>FATORES!$AA$8</f>
        <v/>
      </c>
      <c r="F7" s="14">
        <f>C7*D7*E7</f>
        <v/>
      </c>
      <c r="G7" s="14">
        <f>F7*DADOS_PROJETO!$B$6</f>
        <v/>
      </c>
      <c r="H7" s="15">
        <f>G7/SUM($G$2:$G$19)</f>
        <v/>
      </c>
      <c r="I7" s="13" t="n">
        <v>39.89</v>
      </c>
      <c r="J7" s="13" t="n">
        <v>95.29000000000001</v>
      </c>
      <c r="K7" s="16">
        <f>IF(AND(F7&gt;=I7,F7&lt;=J7),"✓",IF(OR(F7&lt;I7*0.8,F7&gt;J7*1.2),"✗","⚠"))</f>
        <v/>
      </c>
    </row>
    <row r="8">
      <c r="A8" s="9" t="n">
        <v>7</v>
      </c>
      <c r="B8" s="2" t="inlineStr">
        <is>
          <t>Instalações</t>
        </is>
      </c>
      <c r="C8" s="13" t="n">
        <v>387.67</v>
      </c>
      <c r="D8" s="11">
        <f>DADOS_PROJETO!$B$19/DADOS_PROJETO!$B$20</f>
        <v/>
      </c>
      <c r="E8" s="11">
        <f>FATORES!$AA$9</f>
        <v/>
      </c>
      <c r="F8" s="14">
        <f>C8*D8*E8</f>
        <v/>
      </c>
      <c r="G8" s="14">
        <f>F8*DADOS_PROJETO!$B$6</f>
        <v/>
      </c>
      <c r="H8" s="15">
        <f>G8/SUM($G$2:$G$19)</f>
        <v/>
      </c>
      <c r="I8" s="13" t="n">
        <v>349.02</v>
      </c>
      <c r="J8" s="13" t="n">
        <v>554.01</v>
      </c>
      <c r="K8" s="16">
        <f>IF(AND(F8&gt;=I8,F8&lt;=J8),"✓",IF(OR(F8&lt;I8*0.8,F8&gt;J8*1.2),"✗","⚠"))</f>
        <v/>
      </c>
    </row>
    <row r="9">
      <c r="A9" s="9" t="n">
        <v>8</v>
      </c>
      <c r="B9" s="2" t="inlineStr">
        <is>
          <t>Sist. Especiais</t>
        </is>
      </c>
      <c r="C9" s="13" t="n">
        <v>186.83</v>
      </c>
      <c r="D9" s="11">
        <f>DADOS_PROJETO!$B$19/DADOS_PROJETO!$B$20</f>
        <v/>
      </c>
      <c r="E9" s="11">
        <f>FATORES!$AA$10</f>
        <v/>
      </c>
      <c r="F9" s="14">
        <f>C9*D9*E9</f>
        <v/>
      </c>
      <c r="G9" s="14">
        <f>F9*DADOS_PROJETO!$B$6</f>
        <v/>
      </c>
      <c r="H9" s="15">
        <f>G9/SUM($G$2:$G$19)</f>
        <v/>
      </c>
      <c r="I9" s="13" t="n">
        <v>110.8</v>
      </c>
      <c r="J9" s="13" t="n">
        <v>443.21</v>
      </c>
      <c r="K9" s="16">
        <f>IF(AND(F9&gt;=I9,F9&lt;=J9),"✓",IF(OR(F9&lt;I9*0.8,F9&gt;J9*1.2),"✗","⚠"))</f>
        <v/>
      </c>
    </row>
    <row r="10">
      <c r="A10" s="9" t="n">
        <v>9</v>
      </c>
      <c r="B10" s="2" t="inlineStr">
        <is>
          <t>Climatização</t>
        </is>
      </c>
      <c r="C10" s="13" t="n">
        <v>45.46</v>
      </c>
      <c r="D10" s="11">
        <f>DADOS_PROJETO!$B$19/DADOS_PROJETO!$B$20</f>
        <v/>
      </c>
      <c r="E10" s="11">
        <f>FATORES!$AA$11</f>
        <v/>
      </c>
      <c r="F10" s="14">
        <f>C10*D10*E10</f>
        <v/>
      </c>
      <c r="G10" s="14">
        <f>F10*DADOS_PROJETO!$B$6</f>
        <v/>
      </c>
      <c r="H10" s="15">
        <f>G10/SUM($G$2:$G$19)</f>
        <v/>
      </c>
      <c r="I10" s="13" t="n">
        <v>0</v>
      </c>
      <c r="J10" s="13" t="n">
        <v>88.64</v>
      </c>
      <c r="K10" s="16">
        <f>IF(AND(F10&gt;=I10,F10&lt;=J10),"✓",IF(OR(F10&lt;I10*0.8,F10&gt;J10*1.2),"✗","⚠"))</f>
        <v/>
      </c>
    </row>
    <row r="11">
      <c r="A11" s="9" t="n">
        <v>10</v>
      </c>
      <c r="B11" s="2" t="inlineStr">
        <is>
          <t>Rev. Int. Parede</t>
        </is>
      </c>
      <c r="C11" s="13" t="n">
        <v>183.15</v>
      </c>
      <c r="D11" s="11">
        <f>DADOS_PROJETO!$B$19/DADOS_PROJETO!$B$20</f>
        <v/>
      </c>
      <c r="E11" s="11">
        <f>FATORES!$AA$12</f>
        <v/>
      </c>
      <c r="F11" s="14">
        <f>C11*D11*E11</f>
        <v/>
      </c>
      <c r="G11" s="14">
        <f>F11*DADOS_PROJETO!$B$6</f>
        <v/>
      </c>
      <c r="H11" s="15">
        <f>G11/SUM($G$2:$G$19)</f>
        <v/>
      </c>
      <c r="I11" s="13" t="n">
        <v>110.8</v>
      </c>
      <c r="J11" s="13" t="n">
        <v>265.92</v>
      </c>
      <c r="K11" s="16">
        <f>IF(AND(F11&gt;=I11,F11&lt;=J11),"✓",IF(OR(F11&lt;I11*0.8,F11&gt;J11*1.2),"✗","⚠"))</f>
        <v/>
      </c>
    </row>
    <row r="12">
      <c r="A12" s="9" t="n">
        <v>11</v>
      </c>
      <c r="B12" s="2" t="inlineStr">
        <is>
          <t>Teto</t>
        </is>
      </c>
      <c r="C12" s="13" t="n">
        <v>68.36</v>
      </c>
      <c r="D12" s="11">
        <f>DADOS_PROJETO!$B$19/DADOS_PROJETO!$B$20</f>
        <v/>
      </c>
      <c r="E12" s="11">
        <f>FATORES!$AA$13</f>
        <v/>
      </c>
      <c r="F12" s="14">
        <f>C12*D12*E12</f>
        <v/>
      </c>
      <c r="G12" s="14">
        <f>F12*DADOS_PROJETO!$B$6</f>
        <v/>
      </c>
      <c r="H12" s="15">
        <f>G12/SUM($G$2:$G$19)</f>
        <v/>
      </c>
      <c r="I12" s="13" t="n">
        <v>49.86</v>
      </c>
      <c r="J12" s="13" t="n">
        <v>155.12</v>
      </c>
      <c r="K12" s="16">
        <f>IF(AND(F12&gt;=I12,F12&lt;=J12),"✓",IF(OR(F12&lt;I12*0.8,F12&gt;J12*1.2),"✗","⚠"))</f>
        <v/>
      </c>
    </row>
    <row r="13">
      <c r="A13" s="9" t="n">
        <v>12</v>
      </c>
      <c r="B13" s="2" t="inlineStr">
        <is>
          <t>Pisos</t>
        </is>
      </c>
      <c r="C13" s="13" t="n">
        <v>207.83</v>
      </c>
      <c r="D13" s="11">
        <f>DADOS_PROJETO!$B$19/DADOS_PROJETO!$B$20</f>
        <v/>
      </c>
      <c r="E13" s="11">
        <f>FATORES!$AA$14</f>
        <v/>
      </c>
      <c r="F13" s="14">
        <f>C13*D13*E13</f>
        <v/>
      </c>
      <c r="G13" s="14">
        <f>F13*DADOS_PROJETO!$B$6</f>
        <v/>
      </c>
      <c r="H13" s="15">
        <f>G13/SUM($G$2:$G$19)</f>
        <v/>
      </c>
      <c r="I13" s="13" t="n">
        <v>138.5</v>
      </c>
      <c r="J13" s="13" t="n">
        <v>387.81</v>
      </c>
      <c r="K13" s="16">
        <f>IF(AND(F13&gt;=I13,F13&lt;=J13),"✓",IF(OR(F13&lt;I13*0.8,F13&gt;J13*1.2),"✗","⚠"))</f>
        <v/>
      </c>
    </row>
    <row r="14">
      <c r="A14" s="9" t="n">
        <v>13</v>
      </c>
      <c r="B14" s="2" t="inlineStr">
        <is>
          <t>Pintura</t>
        </is>
      </c>
      <c r="C14" s="13" t="n">
        <v>133.91</v>
      </c>
      <c r="D14" s="11">
        <f>DADOS_PROJETO!$B$19/DADOS_PROJETO!$B$20</f>
        <v/>
      </c>
      <c r="E14" s="11">
        <f>FATORES!$AA$15</f>
        <v/>
      </c>
      <c r="F14" s="14">
        <f>C14*D14*E14</f>
        <v/>
      </c>
      <c r="G14" s="14">
        <f>F14*DADOS_PROJETO!$B$6</f>
        <v/>
      </c>
      <c r="H14" s="15">
        <f>G14/SUM($G$2:$G$19)</f>
        <v/>
      </c>
      <c r="I14" s="13" t="n">
        <v>106.37</v>
      </c>
      <c r="J14" s="13" t="n">
        <v>221.6</v>
      </c>
      <c r="K14" s="16">
        <f>IF(AND(F14&gt;=I14,F14&lt;=J14),"✓",IF(OR(F14&lt;I14*0.8,F14&gt;J14*1.2),"✗","⚠"))</f>
        <v/>
      </c>
    </row>
    <row r="15">
      <c r="A15" s="9" t="n">
        <v>14</v>
      </c>
      <c r="B15" s="2" t="inlineStr">
        <is>
          <t>Esquadrias</t>
        </is>
      </c>
      <c r="C15" s="13" t="n">
        <v>376.33</v>
      </c>
      <c r="D15" s="11">
        <f>DADOS_PROJETO!$B$19/DADOS_PROJETO!$B$20</f>
        <v/>
      </c>
      <c r="E15" s="11">
        <f>FATORES!$AA$16</f>
        <v/>
      </c>
      <c r="F15" s="14">
        <f>C15*D15*E15</f>
        <v/>
      </c>
      <c r="G15" s="14">
        <f>F15*DADOS_PROJETO!$B$6</f>
        <v/>
      </c>
      <c r="H15" s="15">
        <f>G15/SUM($G$2:$G$19)</f>
        <v/>
      </c>
      <c r="I15" s="13" t="n">
        <v>221.6</v>
      </c>
      <c r="J15" s="13" t="n">
        <v>775.61</v>
      </c>
      <c r="K15" s="16">
        <f>IF(AND(F15&gt;=I15,F15&lt;=J15),"✓",IF(OR(F15&lt;I15*0.8,F15&gt;J15*1.2),"✗","⚠"))</f>
        <v/>
      </c>
    </row>
    <row r="16">
      <c r="A16" s="9" t="n">
        <v>15</v>
      </c>
      <c r="B16" s="2" t="inlineStr">
        <is>
          <t>Louças e Metais</t>
        </is>
      </c>
      <c r="C16" s="13" t="n">
        <v>29.2</v>
      </c>
      <c r="D16" s="11">
        <f>DADOS_PROJETO!$B$19/DADOS_PROJETO!$B$20</f>
        <v/>
      </c>
      <c r="E16" s="11">
        <f>FATORES!$AA$17</f>
        <v/>
      </c>
      <c r="F16" s="14">
        <f>C16*D16*E16</f>
        <v/>
      </c>
      <c r="G16" s="14">
        <f>F16*DADOS_PROJETO!$B$6</f>
        <v/>
      </c>
      <c r="H16" s="15">
        <f>G16/SUM($G$2:$G$19)</f>
        <v/>
      </c>
      <c r="I16" s="13" t="n">
        <v>33.24</v>
      </c>
      <c r="J16" s="13" t="n">
        <v>132.96</v>
      </c>
      <c r="K16" s="16">
        <f>IF(AND(F16&gt;=I16,F16&lt;=J16),"✓",IF(OR(F16&lt;I16*0.8,F16&gt;J16*1.2),"✗","⚠"))</f>
        <v/>
      </c>
    </row>
    <row r="17">
      <c r="A17" s="9" t="n">
        <v>16</v>
      </c>
      <c r="B17" s="2" t="inlineStr">
        <is>
          <t>Fachada</t>
        </is>
      </c>
      <c r="C17" s="13" t="n">
        <v>137.45</v>
      </c>
      <c r="D17" s="11">
        <f>DADOS_PROJETO!$B$19/DADOS_PROJETO!$B$20</f>
        <v/>
      </c>
      <c r="E17" s="11">
        <f>FATORES!$AA$18</f>
        <v/>
      </c>
      <c r="F17" s="14">
        <f>C17*D17*E17</f>
        <v/>
      </c>
      <c r="G17" s="14">
        <f>F17*DADOS_PROJETO!$B$6</f>
        <v/>
      </c>
      <c r="H17" s="15">
        <f>G17/SUM($G$2:$G$19)</f>
        <v/>
      </c>
      <c r="I17" s="13" t="n">
        <v>60.94</v>
      </c>
      <c r="J17" s="13" t="n">
        <v>304.7</v>
      </c>
      <c r="K17" s="16">
        <f>IF(AND(F17&gt;=I17,F17&lt;=J17),"✓",IF(OR(F17&lt;I17*0.8,F17&gt;J17*1.2),"✗","⚠"))</f>
        <v/>
      </c>
    </row>
    <row r="18">
      <c r="A18" s="9" t="n">
        <v>17</v>
      </c>
      <c r="B18" s="2" t="inlineStr">
        <is>
          <t>Complementares</t>
        </is>
      </c>
      <c r="C18" s="13" t="n">
        <v>195.93</v>
      </c>
      <c r="D18" s="11">
        <f>DADOS_PROJETO!$B$19/DADOS_PROJETO!$B$20</f>
        <v/>
      </c>
      <c r="E18" s="11">
        <f>FATORES!$AA$19</f>
        <v/>
      </c>
      <c r="F18" s="14">
        <f>C18*D18*E18</f>
        <v/>
      </c>
      <c r="G18" s="14">
        <f>F18*DADOS_PROJETO!$B$6</f>
        <v/>
      </c>
      <c r="H18" s="15">
        <f>G18/SUM($G$2:$G$19)</f>
        <v/>
      </c>
      <c r="I18" s="13" t="n">
        <v>110.8</v>
      </c>
      <c r="J18" s="13" t="n">
        <v>554.01</v>
      </c>
      <c r="K18" s="16">
        <f>IF(AND(F18&gt;=I18,F18&lt;=J18),"✓",IF(OR(F18&lt;I18*0.8,F18&gt;J18*1.2),"✗","⚠"))</f>
        <v/>
      </c>
    </row>
    <row r="19">
      <c r="A19" s="9" t="n">
        <v>18</v>
      </c>
      <c r="B19" s="2" t="inlineStr">
        <is>
          <t>Imprevistos</t>
        </is>
      </c>
      <c r="C19" s="13" t="n">
        <v>57.64</v>
      </c>
      <c r="D19" s="11">
        <f>DADOS_PROJETO!$B$19/DADOS_PROJETO!$B$20</f>
        <v/>
      </c>
      <c r="E19" s="11">
        <f>FATORES!$AA$20</f>
        <v/>
      </c>
      <c r="F19" s="14">
        <f>C19*D19*E19</f>
        <v/>
      </c>
      <c r="G19" s="14">
        <f>F19*DADOS_PROJETO!$B$6</f>
        <v/>
      </c>
      <c r="H19" s="15">
        <f>G19/SUM($G$2:$G$19)</f>
        <v/>
      </c>
      <c r="I19" s="13" t="n">
        <v>38.78</v>
      </c>
      <c r="J19" s="13" t="n">
        <v>132.96</v>
      </c>
      <c r="K19" s="16">
        <f>IF(AND(F19&gt;=I19,F19&lt;=J19),"✓",IF(OR(F19&lt;I19*0.8,F19&gt;J19*1.2),"✗","⚠"))</f>
        <v/>
      </c>
    </row>
    <row r="20">
      <c r="A20" t="inlineStr"/>
      <c r="B20" s="17" t="inlineStr">
        <is>
          <t>TOTAL</t>
        </is>
      </c>
      <c r="G20" s="18">
        <f>SUM(G2:G19)</f>
        <v/>
      </c>
      <c r="H20" s="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ÍNDICES DE REFERÊNCIA</t>
        </is>
      </c>
    </row>
    <row r="3">
      <c r="A3" s="20" t="inlineStr">
        <is>
          <t>A. ÍNDICES ESTRUTURAIS POR TIPO DE LAJE</t>
        </is>
      </c>
    </row>
    <row r="4">
      <c r="A4" s="6" t="inlineStr">
        <is>
          <t>Parâmetro</t>
        </is>
      </c>
      <c r="B4" s="6" t="inlineStr">
        <is>
          <t>Cubetas</t>
        </is>
      </c>
      <c r="C4" s="6" t="inlineStr">
        <is>
          <t>Protendida</t>
        </is>
      </c>
      <c r="D4" s="6" t="inlineStr">
        <is>
          <t>Maciça</t>
        </is>
      </c>
      <c r="E4" s="6" t="inlineStr">
        <is>
          <t>Treliçada</t>
        </is>
      </c>
    </row>
    <row r="5">
      <c r="A5" s="2" t="inlineStr">
        <is>
          <t>Concreto (m³/m² AC)</t>
        </is>
      </c>
      <c r="B5" s="11" t="n">
        <v>0.22</v>
      </c>
      <c r="C5" s="11" t="n">
        <v>0.2</v>
      </c>
      <c r="D5" s="11" t="n">
        <v>0.25</v>
      </c>
      <c r="E5" s="11" t="n">
        <v>0.19</v>
      </c>
    </row>
    <row r="6">
      <c r="A6" s="2" t="inlineStr">
        <is>
          <t>Aço (kg/m³)</t>
        </is>
      </c>
      <c r="B6" s="21" t="n">
        <v>90</v>
      </c>
      <c r="C6" s="21" t="n">
        <v>110</v>
      </c>
      <c r="D6" s="21" t="n">
        <v>85</v>
      </c>
      <c r="E6" s="21" t="n">
        <v>80</v>
      </c>
    </row>
    <row r="7">
      <c r="A7" s="2" t="inlineStr">
        <is>
          <t>Forma (m²/m³)</t>
        </is>
      </c>
      <c r="B7" s="11" t="n">
        <v>10</v>
      </c>
      <c r="C7" s="11" t="n">
        <v>9</v>
      </c>
      <c r="D7" s="11" t="n">
        <v>11</v>
      </c>
      <c r="E7" s="11" t="n">
        <v>12</v>
      </c>
    </row>
    <row r="10">
      <c r="A10" s="22" t="inlineStr">
        <is>
          <t>B. ÍNDICES DE ACABAMENTOS</t>
        </is>
      </c>
    </row>
    <row r="11">
      <c r="A11" s="6" t="inlineStr">
        <is>
          <t>Item</t>
        </is>
      </c>
      <c r="B11" s="6" t="inlineStr">
        <is>
          <t>Índice (m²/m² AC)</t>
        </is>
      </c>
      <c r="C11" s="6" t="inlineStr">
        <is>
          <t>Referência</t>
        </is>
      </c>
    </row>
    <row r="12">
      <c r="A12" t="inlineStr">
        <is>
          <t>Chapisco interno</t>
        </is>
      </c>
      <c r="B12" s="11" t="n">
        <v>1.8</v>
      </c>
      <c r="C12" s="10" t="inlineStr">
        <is>
          <t>Área de parede interna</t>
        </is>
      </c>
    </row>
    <row r="13">
      <c r="A13" t="inlineStr">
        <is>
          <t>Reboco interno</t>
        </is>
      </c>
      <c r="B13" s="11" t="n">
        <v>1.8</v>
      </c>
      <c r="C13" s="10" t="inlineStr">
        <is>
          <t>Idem</t>
        </is>
      </c>
    </row>
    <row r="14">
      <c r="A14" t="inlineStr">
        <is>
          <t>Estucamento</t>
        </is>
      </c>
      <c r="B14" s="11" t="n">
        <v>1.5</v>
      </c>
      <c r="C14" s="10" t="inlineStr">
        <is>
          <t>Área pintável</t>
        </is>
      </c>
    </row>
    <row r="15">
      <c r="A15" t="inlineStr">
        <is>
          <t>Cerâmico parede</t>
        </is>
      </c>
      <c r="B15" s="11" t="n">
        <v>0.3</v>
      </c>
      <c r="C15" s="10" t="inlineStr">
        <is>
          <t>BWCs + cozinhas</t>
        </is>
      </c>
    </row>
    <row r="16">
      <c r="A16" t="inlineStr">
        <is>
          <t>Porcelanato parede</t>
        </is>
      </c>
      <c r="B16" s="11" t="n">
        <v>0.15</v>
      </c>
      <c r="C16" s="10" t="inlineStr">
        <is>
          <t>BWCs padrão alto</t>
        </is>
      </c>
    </row>
    <row r="17">
      <c r="A17" t="inlineStr">
        <is>
          <t>Contrapiso</t>
        </is>
      </c>
      <c r="B17" s="11" t="n">
        <v>0.85</v>
      </c>
      <c r="C17" s="10" t="inlineStr">
        <is>
          <t>Áreas internas</t>
        </is>
      </c>
    </row>
    <row r="18">
      <c r="A18" t="inlineStr">
        <is>
          <t>Porcelanato piso</t>
        </is>
      </c>
      <c r="B18" s="11" t="n">
        <v>0.55</v>
      </c>
      <c r="C18" s="10" t="inlineStr">
        <is>
          <t>Áreas secas</t>
        </is>
      </c>
    </row>
    <row r="19">
      <c r="A19" t="inlineStr">
        <is>
          <t>Cerâmico piso</t>
        </is>
      </c>
      <c r="B19" s="11" t="n">
        <v>0.15</v>
      </c>
      <c r="C19" s="10" t="inlineStr">
        <is>
          <t>BWCs + A. serviço</t>
        </is>
      </c>
    </row>
    <row r="20">
      <c r="A20" t="inlineStr">
        <is>
          <t>Rodapé</t>
        </is>
      </c>
      <c r="B20" s="11" t="n">
        <v>0.4</v>
      </c>
      <c r="C20" s="10" t="inlineStr">
        <is>
          <t>m/m² AC</t>
        </is>
      </c>
    </row>
    <row r="21">
      <c r="A21" t="inlineStr">
        <is>
          <t>Forro gesso</t>
        </is>
      </c>
      <c r="B21" s="11" t="n">
        <v>0.7</v>
      </c>
      <c r="C21" s="10" t="inlineStr">
        <is>
          <t>Área de teto</t>
        </is>
      </c>
    </row>
    <row r="22">
      <c r="A22" t="inlineStr">
        <is>
          <t>Pintura interna</t>
        </is>
      </c>
      <c r="B22" s="11" t="n">
        <v>2.2</v>
      </c>
      <c r="C22" s="10" t="inlineStr">
        <is>
          <t>Paredes + teto</t>
        </is>
      </c>
    </row>
    <row r="23">
      <c r="A23" t="inlineStr">
        <is>
          <t>Textura externa</t>
        </is>
      </c>
      <c r="B23" s="11" t="n">
        <v>0.45</v>
      </c>
      <c r="C23" s="10" t="inlineStr">
        <is>
          <t>Fachada</t>
        </is>
      </c>
    </row>
    <row r="24">
      <c r="A24" t="inlineStr">
        <is>
          <t>Chapisco externo</t>
        </is>
      </c>
      <c r="B24" s="11" t="n">
        <v>0.45</v>
      </c>
      <c r="C24" s="10" t="inlineStr">
        <is>
          <t>Fachada</t>
        </is>
      </c>
    </row>
    <row r="25">
      <c r="A25" t="inlineStr">
        <is>
          <t>Reboco externo</t>
        </is>
      </c>
      <c r="B25" s="11" t="n">
        <v>0.45</v>
      </c>
      <c r="C25" s="10" t="inlineStr">
        <is>
          <t>Fachada</t>
        </is>
      </c>
    </row>
    <row r="28">
      <c r="A28" s="23" t="inlineStr">
        <is>
          <t>C. ÍNDICES DE INSTALAÇÕES</t>
        </is>
      </c>
    </row>
    <row r="29">
      <c r="A29" s="6" t="inlineStr">
        <is>
          <t>Disciplina</t>
        </is>
      </c>
      <c r="B29" s="6" t="inlineStr">
        <is>
          <t>R$/m² típico</t>
        </is>
      </c>
      <c r="C29" s="6" t="inlineStr">
        <is>
          <t>% do grupo</t>
        </is>
      </c>
    </row>
    <row r="30">
      <c r="A30" t="inlineStr">
        <is>
          <t>Hidrossanitárias</t>
        </is>
      </c>
      <c r="B30" s="24" t="n">
        <v>120</v>
      </c>
      <c r="C30" s="25" t="n">
        <v>0.33</v>
      </c>
    </row>
    <row r="31">
      <c r="A31" t="inlineStr">
        <is>
          <t>Elétricas</t>
        </is>
      </c>
      <c r="B31" s="24" t="n">
        <v>110</v>
      </c>
      <c r="C31" s="25" t="n">
        <v>0.3</v>
      </c>
    </row>
    <row r="32">
      <c r="A32" t="inlineStr">
        <is>
          <t>Preventivas</t>
        </is>
      </c>
      <c r="B32" s="24" t="n">
        <v>60</v>
      </c>
      <c r="C32" s="25" t="n">
        <v>0.16</v>
      </c>
    </row>
    <row r="33">
      <c r="A33" t="inlineStr">
        <is>
          <t>Gás</t>
        </is>
      </c>
      <c r="B33" s="24" t="n">
        <v>35</v>
      </c>
      <c r="C33" s="25" t="n">
        <v>0.1</v>
      </c>
    </row>
    <row r="34">
      <c r="A34" t="inlineStr">
        <is>
          <t>Telecom</t>
        </is>
      </c>
      <c r="B34" s="24" t="n">
        <v>40</v>
      </c>
      <c r="C34" s="25" t="n">
        <v>0.11</v>
      </c>
    </row>
    <row r="37">
      <c r="A37" s="26" t="inlineStr">
        <is>
          <t>D. VERBAS PARAMÉTRICAS</t>
        </is>
      </c>
    </row>
    <row r="38">
      <c r="A38" s="6" t="inlineStr">
        <is>
          <t>Item</t>
        </is>
      </c>
      <c r="B38" s="6" t="inlineStr">
        <is>
          <t>R$/m²</t>
        </is>
      </c>
      <c r="C38" s="6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10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10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10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10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8" customWidth="1" min="4" max="4"/>
    <col width="1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DETALHAMENTO ESTRUTURAL</t>
        </is>
      </c>
    </row>
    <row r="3">
      <c r="A3" s="27" t="inlineStr">
        <is>
          <t>CONCRETO (45% da Supraestrutura)</t>
        </is>
      </c>
    </row>
    <row r="4">
      <c r="A4" s="6" t="inlineStr">
        <is>
          <t>Elemento</t>
        </is>
      </c>
      <c r="B4" s="6" t="inlineStr">
        <is>
          <t>Peso %</t>
        </is>
      </c>
      <c r="C4" s="6" t="inlineStr">
        <is>
          <t>Qtd (m³)</t>
        </is>
      </c>
      <c r="D4" s="6" t="inlineStr">
        <is>
          <t>Un</t>
        </is>
      </c>
      <c r="E4" s="6" t="inlineStr">
        <is>
          <t>PU (R$/m³)</t>
        </is>
      </c>
      <c r="F4" s="6" t="inlineStr">
        <is>
          <t>Total (R$)</t>
        </is>
      </c>
      <c r="G4" s="6" t="inlineStr">
        <is>
          <t>R$/m²</t>
        </is>
      </c>
      <c r="H4" s="6" t="inlineStr">
        <is>
          <t>Índice</t>
        </is>
      </c>
    </row>
    <row r="5">
      <c r="A5" t="inlineStr">
        <is>
          <t>Pilares</t>
        </is>
      </c>
      <c r="B5" s="28" t="n">
        <v>0.25</v>
      </c>
      <c r="C5" s="13">
        <f>0.055*DADOS_PROJETO!$B$6</f>
        <v/>
      </c>
      <c r="D5" t="inlineStr">
        <is>
          <t>m³</t>
        </is>
      </c>
      <c r="E5" s="13">
        <f>IF(C5&gt;0,F5/C5,0)</f>
        <v/>
      </c>
      <c r="F5" s="13">
        <f>CUSTOS_MACROGRUPO!$G$5*0.45*B5</f>
        <v/>
      </c>
      <c r="G5" s="13">
        <f>F5/DADOS_PROJETO!$B$6</f>
        <v/>
      </c>
      <c r="H5" s="29" t="n">
        <v>0.055</v>
      </c>
    </row>
    <row r="6">
      <c r="A6" t="inlineStr">
        <is>
          <t>Vigas</t>
        </is>
      </c>
      <c r="B6" s="28" t="n">
        <v>0.3</v>
      </c>
      <c r="C6" s="13">
        <f>0.066*DADOS_PROJETO!$B$6</f>
        <v/>
      </c>
      <c r="D6" t="inlineStr">
        <is>
          <t>m³</t>
        </is>
      </c>
      <c r="E6" s="13">
        <f>IF(C6&gt;0,F6/C6,0)</f>
        <v/>
      </c>
      <c r="F6" s="13">
        <f>CUSTOS_MACROGRUPO!$G$5*0.45*B6</f>
        <v/>
      </c>
      <c r="G6" s="13">
        <f>F6/DADOS_PROJETO!$B$6</f>
        <v/>
      </c>
      <c r="H6" s="29" t="n">
        <v>0.066</v>
      </c>
    </row>
    <row r="7">
      <c r="A7" t="inlineStr">
        <is>
          <t>Lajes</t>
        </is>
      </c>
      <c r="B7" s="28" t="n">
        <v>0.35</v>
      </c>
      <c r="C7" s="13">
        <f>0.077*DADOS_PROJETO!$B$6</f>
        <v/>
      </c>
      <c r="D7" t="inlineStr">
        <is>
          <t>m³</t>
        </is>
      </c>
      <c r="E7" s="13">
        <f>IF(C7&gt;0,F7/C7,0)</f>
        <v/>
      </c>
      <c r="F7" s="13">
        <f>CUSTOS_MACROGRUPO!$G$5*0.45*B7</f>
        <v/>
      </c>
      <c r="G7" s="13">
        <f>F7/DADOS_PROJETO!$B$6</f>
        <v/>
      </c>
      <c r="H7" s="29" t="n">
        <v>0.077</v>
      </c>
    </row>
    <row r="8">
      <c r="A8" t="inlineStr">
        <is>
          <t>Escadas</t>
        </is>
      </c>
      <c r="B8" s="28" t="n">
        <v>0.1</v>
      </c>
      <c r="C8" s="13">
        <f>0.022*DADOS_PROJETO!$B$6</f>
        <v/>
      </c>
      <c r="D8" t="inlineStr">
        <is>
          <t>m³</t>
        </is>
      </c>
      <c r="E8" s="13">
        <f>IF(C8&gt;0,F8/C8,0)</f>
        <v/>
      </c>
      <c r="F8" s="13">
        <f>CUSTOS_MACROGRUPO!$G$5*0.45*B8</f>
        <v/>
      </c>
      <c r="G8" s="13">
        <f>F8/DADOS_PROJETO!$B$6</f>
        <v/>
      </c>
      <c r="H8" s="29" t="n">
        <v>0.022</v>
      </c>
    </row>
    <row r="9">
      <c r="A9" s="2" t="inlineStr">
        <is>
          <t>TOTAL CONCRETO</t>
        </is>
      </c>
      <c r="C9" s="30">
        <f>SUM(C5:C8)</f>
        <v/>
      </c>
      <c r="F9" s="30">
        <f>SUM(F5:F8)</f>
        <v/>
      </c>
      <c r="G9" s="30">
        <f>F9/DADOS_PROJETO!$B$6</f>
        <v/>
      </c>
      <c r="H9" s="31">
        <f>C9/DADOS_PROJETO!$B$6</f>
        <v/>
      </c>
    </row>
    <row r="11">
      <c r="A11" s="32" t="inlineStr">
        <is>
          <t>AÇO (30% da Supraestrutura)</t>
        </is>
      </c>
    </row>
    <row r="12">
      <c r="A12" s="6" t="inlineStr">
        <is>
          <t>Elemento</t>
        </is>
      </c>
      <c r="B12" s="6" t="inlineStr">
        <is>
          <t>Peso %</t>
        </is>
      </c>
      <c r="C12" s="6" t="inlineStr">
        <is>
          <t>Peso (kg)</t>
        </is>
      </c>
      <c r="D12" s="6" t="inlineStr">
        <is>
          <t>Un</t>
        </is>
      </c>
      <c r="E12" s="6" t="inlineStr">
        <is>
          <t>Taxa (kg/m³)</t>
        </is>
      </c>
      <c r="F12" s="6" t="inlineStr">
        <is>
          <t>Total (R$)</t>
        </is>
      </c>
      <c r="G12" s="6" t="inlineStr">
        <is>
          <t>R$/m²</t>
        </is>
      </c>
      <c r="H12" s="6" t="inlineStr"/>
    </row>
    <row r="13">
      <c r="A13" t="inlineStr">
        <is>
          <t>Pilares</t>
        </is>
      </c>
      <c r="B13" s="28" t="n">
        <v>0.25</v>
      </c>
      <c r="C13" s="33">
        <f>95*C5</f>
        <v/>
      </c>
      <c r="D13" t="inlineStr">
        <is>
          <t>kg</t>
        </is>
      </c>
      <c r="E13" s="21" t="n">
        <v>95</v>
      </c>
      <c r="F13" s="13">
        <f>CUSTOS_MACROGRUPO!$G$5*0.30*B13</f>
        <v/>
      </c>
      <c r="G13" s="13">
        <f>F13/DADOS_PROJETO!$B$6</f>
        <v/>
      </c>
    </row>
    <row r="14">
      <c r="A14" t="inlineStr">
        <is>
          <t>Vigas</t>
        </is>
      </c>
      <c r="B14" s="28" t="n">
        <v>0.3</v>
      </c>
      <c r="C14" s="33">
        <f>90*C6</f>
        <v/>
      </c>
      <c r="D14" t="inlineStr">
        <is>
          <t>kg</t>
        </is>
      </c>
      <c r="E14" s="21" t="n">
        <v>90</v>
      </c>
      <c r="F14" s="13">
        <f>CUSTOS_MACROGRUPO!$G$5*0.30*B14</f>
        <v/>
      </c>
      <c r="G14" s="13">
        <f>F14/DADOS_PROJETO!$B$6</f>
        <v/>
      </c>
    </row>
    <row r="15">
      <c r="A15" t="inlineStr">
        <is>
          <t>Lajes</t>
        </is>
      </c>
      <c r="B15" s="28" t="n">
        <v>0.35</v>
      </c>
      <c r="C15" s="33">
        <f>88*C7</f>
        <v/>
      </c>
      <c r="D15" t="inlineStr">
        <is>
          <t>kg</t>
        </is>
      </c>
      <c r="E15" s="21" t="n">
        <v>88</v>
      </c>
      <c r="F15" s="13">
        <f>CUSTOS_MACROGRUPO!$G$5*0.30*B15</f>
        <v/>
      </c>
      <c r="G15" s="13">
        <f>F15/DADOS_PROJETO!$B$6</f>
        <v/>
      </c>
    </row>
    <row r="16">
      <c r="A16" t="inlineStr">
        <is>
          <t>Escadas</t>
        </is>
      </c>
      <c r="B16" s="28" t="n">
        <v>0.1</v>
      </c>
      <c r="C16" s="33">
        <f>85*C8</f>
        <v/>
      </c>
      <c r="D16" t="inlineStr">
        <is>
          <t>kg</t>
        </is>
      </c>
      <c r="E16" s="21" t="n">
        <v>85</v>
      </c>
      <c r="F16" s="13">
        <f>CUSTOS_MACROGRUPO!$G$5*0.30*B16</f>
        <v/>
      </c>
      <c r="G16" s="13">
        <f>F16/DADOS_PROJETO!$B$6</f>
        <v/>
      </c>
    </row>
    <row r="17">
      <c r="A17" s="2" t="inlineStr">
        <is>
          <t>TOTAL AÇO</t>
        </is>
      </c>
      <c r="C17" s="34">
        <f>SUM(C13:C16)</f>
        <v/>
      </c>
      <c r="F17" s="30">
        <f>SUM(F13:F16)</f>
        <v/>
      </c>
      <c r="G17" s="30">
        <f>F17/DADOS_PROJETO!$B$6</f>
        <v/>
      </c>
    </row>
    <row r="19">
      <c r="A19" s="35" t="inlineStr">
        <is>
          <t>FORMA (25% da Supraestrutura)</t>
        </is>
      </c>
    </row>
    <row r="20">
      <c r="A20" s="6" t="inlineStr">
        <is>
          <t>Tipo</t>
        </is>
      </c>
      <c r="B20" s="6" t="inlineStr">
        <is>
          <t>Peso %</t>
        </is>
      </c>
      <c r="C20" s="6" t="inlineStr">
        <is>
          <t>Área (m²)</t>
        </is>
      </c>
      <c r="D20" s="6" t="inlineStr">
        <is>
          <t>Un</t>
        </is>
      </c>
      <c r="E20" s="6" t="inlineStr"/>
      <c r="F20" s="6" t="inlineStr">
        <is>
          <t>Total (R$)</t>
        </is>
      </c>
      <c r="G20" s="6" t="inlineStr">
        <is>
          <t>R$/m²</t>
        </is>
      </c>
      <c r="H20" s="6" t="inlineStr"/>
    </row>
    <row r="21">
      <c r="A21" t="inlineStr">
        <is>
          <t>Madeira/compensado pilares</t>
        </is>
      </c>
      <c r="B21" s="28" t="n">
        <v>0.3</v>
      </c>
      <c r="C21" s="33">
        <f>10*C9*B21</f>
        <v/>
      </c>
      <c r="D21" t="inlineStr">
        <is>
          <t>m²</t>
        </is>
      </c>
      <c r="F21" s="13">
        <f>CUSTOS_MACROGRUPO!$G$5*0.25*B21</f>
        <v/>
      </c>
      <c r="G21" s="13">
        <f>F21/DADOS_PROJETO!$B$6</f>
        <v/>
      </c>
    </row>
    <row r="22">
      <c r="A22" t="inlineStr">
        <is>
          <t>Madeira/compensado vigas</t>
        </is>
      </c>
      <c r="B22" s="28" t="n">
        <v>0.35</v>
      </c>
      <c r="C22" s="33">
        <f>10*C9*B22</f>
        <v/>
      </c>
      <c r="D22" t="inlineStr">
        <is>
          <t>m²</t>
        </is>
      </c>
      <c r="F22" s="13">
        <f>CUSTOS_MACROGRUPO!$G$5*0.25*B22</f>
        <v/>
      </c>
      <c r="G22" s="13">
        <f>F22/DADOS_PROJETO!$B$6</f>
        <v/>
      </c>
    </row>
    <row r="23">
      <c r="A23" t="inlineStr">
        <is>
          <t>Cubetas/forma lajes</t>
        </is>
      </c>
      <c r="B23" s="28" t="n">
        <v>0.35</v>
      </c>
      <c r="C23" s="33">
        <f>10*C9*B23</f>
        <v/>
      </c>
      <c r="D23" t="inlineStr">
        <is>
          <t>m²</t>
        </is>
      </c>
      <c r="F23" s="13">
        <f>CUSTOS_MACROGRUPO!$G$5*0.25*B23</f>
        <v/>
      </c>
      <c r="G23" s="13">
        <f>F23/DADOS_PROJETO!$B$6</f>
        <v/>
      </c>
    </row>
    <row r="24">
      <c r="A24" s="2" t="inlineStr">
        <is>
          <t>TOTAL FORMA</t>
        </is>
      </c>
      <c r="C24" s="34">
        <f>SUM(C21:C23)</f>
        <v/>
      </c>
      <c r="F24" s="30">
        <f>SUM(F21:F23)</f>
        <v/>
      </c>
      <c r="G24" s="30">
        <f>F24/DADOS_PROJETO!$B$6</f>
        <v/>
      </c>
    </row>
    <row r="26">
      <c r="A26" s="36" t="inlineStr">
        <is>
          <t>FUNDAÇÃO (85% da Infraestrutura)</t>
        </is>
      </c>
    </row>
    <row r="27">
      <c r="A27" s="6" t="inlineStr">
        <is>
          <t>Item</t>
        </is>
      </c>
      <c r="B27" s="6" t="inlineStr">
        <is>
          <t>Peso %</t>
        </is>
      </c>
      <c r="C27" s="6" t="inlineStr"/>
      <c r="D27" s="6" t="inlineStr"/>
      <c r="E27" s="6" t="inlineStr"/>
      <c r="F27" s="6" t="inlineStr">
        <is>
          <t>Total (R$)</t>
        </is>
      </c>
      <c r="G27" s="6" t="inlineStr">
        <is>
          <t>R$/m²</t>
        </is>
      </c>
      <c r="H27" s="6" t="inlineStr"/>
    </row>
    <row r="28">
      <c r="A28" t="inlineStr">
        <is>
          <t>Estacas (HC)</t>
        </is>
      </c>
      <c r="B28" s="28" t="n">
        <v>0.6</v>
      </c>
      <c r="F28" s="13">
        <f>CUSTOS_MACROGRUPO!$G$4*0.85*B28</f>
        <v/>
      </c>
      <c r="G28" s="13">
        <f>F28/DADOS_PROJETO!$B$6</f>
        <v/>
      </c>
    </row>
    <row r="29">
      <c r="A29" t="inlineStr">
        <is>
          <t>Blocos de coroamento</t>
        </is>
      </c>
      <c r="B29" s="28" t="n">
        <v>0.25</v>
      </c>
      <c r="F29" s="13">
        <f>CUSTOS_MACROGRUPO!$G$4*0.85*B29</f>
        <v/>
      </c>
      <c r="G29" s="13">
        <f>F29/DADOS_PROJETO!$B$6</f>
        <v/>
      </c>
    </row>
    <row r="30">
      <c r="A30" t="inlineStr">
        <is>
          <t>Vigas baldrame</t>
        </is>
      </c>
      <c r="B30" s="28" t="n">
        <v>0.15</v>
      </c>
      <c r="F30" s="13">
        <f>CUSTOS_MACROGRUPO!$G$4*0.85*B30</f>
        <v/>
      </c>
      <c r="G30" s="13">
        <f>F30/DADOS_PROJETO!$B$6</f>
        <v/>
      </c>
    </row>
    <row r="31">
      <c r="A31" s="2" t="inlineStr">
        <is>
          <t>TOTAL FUNDAÇÃO</t>
        </is>
      </c>
      <c r="F31" s="30">
        <f>SUM(F28:F30)</f>
        <v/>
      </c>
      <c r="G31" s="30">
        <f>F31/DADOS_PROJETO!$B$6</f>
        <v/>
      </c>
    </row>
    <row r="33">
      <c r="A33" s="37" t="inlineStr">
        <is>
          <t>CONTENÇÃO (15% da Infraestrutura, se houver)</t>
        </is>
      </c>
    </row>
    <row r="34">
      <c r="A34" t="inlineStr">
        <is>
          <t>Contenção</t>
        </is>
      </c>
      <c r="F34" s="13">
        <f>IF(BRIEFING!$C$4&lt;&gt;"Não",CUSTOS_MACROGRUPO!$G$4*0.15,0)</f>
        <v/>
      </c>
      <c r="G34" s="13">
        <f>F34/DADOS_PROJETO!$B$6</f>
        <v/>
      </c>
    </row>
    <row r="36">
      <c r="A36" s="38" t="inlineStr">
        <is>
          <t>ÍNDICES CALCULADOS</t>
        </is>
      </c>
    </row>
    <row r="37">
      <c r="A37" t="inlineStr">
        <is>
          <t>Concreto/AC (m³/m²)</t>
        </is>
      </c>
      <c r="F37" s="31">
        <f>C9/DADOS_PROJETO!$B$6</f>
        <v/>
      </c>
    </row>
    <row r="38">
      <c r="A38" t="inlineStr">
        <is>
          <t>Taxa Aço Global (kg/m³)</t>
        </is>
      </c>
      <c r="F38" s="39">
        <f>C17/C9</f>
        <v/>
      </c>
    </row>
    <row r="39">
      <c r="A39" t="inlineStr">
        <is>
          <t>Forma/AC (m²/m²)</t>
        </is>
      </c>
      <c r="F39" s="31">
        <f>C24/DADOS_PROJETO!$B$6</f>
        <v/>
      </c>
    </row>
  </sheetData>
  <mergeCells count="7">
    <mergeCell ref="A26:H26"/>
    <mergeCell ref="A3:H3"/>
    <mergeCell ref="A19:H19"/>
    <mergeCell ref="A11:H11"/>
    <mergeCell ref="A33:H33"/>
    <mergeCell ref="A36:H3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DETALHAMENTO DE INSTALAÇÕES</t>
        </is>
      </c>
    </row>
    <row r="3">
      <c r="A3" s="40" t="inlineStr">
        <is>
          <t>INSTALAÇÕES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>
        <is>
          <t>MO 55% (R$)</t>
        </is>
      </c>
      <c r="F4" s="6" t="inlineStr">
        <is>
          <t>Material 45% (R$)</t>
        </is>
      </c>
      <c r="G4" s="6" t="inlineStr"/>
    </row>
    <row r="5">
      <c r="A5" t="inlineStr">
        <is>
          <t>Hidrossanitárias</t>
        </is>
      </c>
      <c r="B5" s="28" t="n">
        <v>0.33</v>
      </c>
      <c r="C5" s="13">
        <f>CUSTOS_MACROGRUPO!$G$8*B5</f>
        <v/>
      </c>
      <c r="D5" s="13">
        <f>C5/DADOS_PROJETO!$B$6</f>
        <v/>
      </c>
      <c r="E5" s="13">
        <f>C5*0.55</f>
        <v/>
      </c>
      <c r="F5" s="13">
        <f>C5*0.45</f>
        <v/>
      </c>
    </row>
    <row r="6">
      <c r="A6" t="inlineStr">
        <is>
          <t>Elétricas</t>
        </is>
      </c>
      <c r="B6" s="28" t="n">
        <v>0.3</v>
      </c>
      <c r="C6" s="13">
        <f>CUSTOS_MACROGRUPO!$G$8*B6</f>
        <v/>
      </c>
      <c r="D6" s="13">
        <f>C6/DADOS_PROJETO!$B$6</f>
        <v/>
      </c>
      <c r="E6" s="13">
        <f>C6*0.55</f>
        <v/>
      </c>
      <c r="F6" s="13">
        <f>C6*0.45</f>
        <v/>
      </c>
    </row>
    <row r="7">
      <c r="A7" t="inlineStr">
        <is>
          <t>Preventivas</t>
        </is>
      </c>
      <c r="B7" s="28" t="n">
        <v>0.16</v>
      </c>
      <c r="C7" s="13">
        <f>CUSTOS_MACROGRUPO!$G$8*B7</f>
        <v/>
      </c>
      <c r="D7" s="13">
        <f>C7/DADOS_PROJETO!$B$6</f>
        <v/>
      </c>
      <c r="E7" s="13">
        <f>C7*0.55</f>
        <v/>
      </c>
      <c r="F7" s="13">
        <f>C7*0.45</f>
        <v/>
      </c>
    </row>
    <row r="8">
      <c r="A8" t="inlineStr">
        <is>
          <t>Gás</t>
        </is>
      </c>
      <c r="B8" s="28" t="n">
        <v>0.1</v>
      </c>
      <c r="C8" s="13">
        <f>CUSTOS_MACROGRUPO!$G$8*B8</f>
        <v/>
      </c>
      <c r="D8" s="13">
        <f>C8/DADOS_PROJETO!$B$6</f>
        <v/>
      </c>
      <c r="E8" s="13">
        <f>C8*0.55</f>
        <v/>
      </c>
      <c r="F8" s="13">
        <f>C8*0.45</f>
        <v/>
      </c>
    </row>
    <row r="9">
      <c r="A9" t="inlineStr">
        <is>
          <t>Telecom</t>
        </is>
      </c>
      <c r="B9" s="28" t="n">
        <v>0.11</v>
      </c>
      <c r="C9" s="13">
        <f>CUSTOS_MACROGRUPO!$G$8*B9</f>
        <v/>
      </c>
      <c r="D9" s="13">
        <f>C9/DADOS_PROJETO!$B$6</f>
        <v/>
      </c>
      <c r="E9" s="13">
        <f>C9*0.55</f>
        <v/>
      </c>
      <c r="F9" s="13">
        <f>C9*0.45</f>
        <v/>
      </c>
    </row>
    <row r="10">
      <c r="A10" s="2" t="inlineStr">
        <is>
          <t>TOTAL INSTALAÇÕES</t>
        </is>
      </c>
      <c r="C10" s="30">
        <f>SUM(C5:C9)</f>
        <v/>
      </c>
      <c r="D10" s="30">
        <f>C10/DADOS_PROJETO!$B$6</f>
        <v/>
      </c>
      <c r="E10" s="30">
        <f>SUM(E5:E9)</f>
        <v/>
      </c>
      <c r="F10" s="30">
        <f>SUM(F5:F9)</f>
        <v/>
      </c>
    </row>
    <row r="12">
      <c r="A12" s="41" t="inlineStr">
        <is>
          <t>SISTEMAS ESPECIAIS</t>
        </is>
      </c>
    </row>
    <row r="13">
      <c r="A13" s="6" t="inlineStr">
        <is>
          <t>Item</t>
        </is>
      </c>
      <c r="B13" s="6" t="inlineStr">
        <is>
          <t>Peso %</t>
        </is>
      </c>
      <c r="C13" s="6" t="inlineStr">
        <is>
          <t>Valor (R$)</t>
        </is>
      </c>
      <c r="D13" s="6" t="inlineStr">
        <is>
          <t>R$/m²</t>
        </is>
      </c>
      <c r="E13" s="6" t="inlineStr"/>
      <c r="F13" s="6" t="inlineStr"/>
      <c r="G13" s="6" t="inlineStr"/>
    </row>
    <row r="14">
      <c r="A14" t="inlineStr">
        <is>
          <t>Elevadores</t>
        </is>
      </c>
      <c r="B14" s="28" t="n">
        <v>0.4</v>
      </c>
      <c r="C14" s="13">
        <f>CUSTOS_MACROGRUPO!$G$9*B14</f>
        <v/>
      </c>
      <c r="D14" s="13">
        <f>C14/DADOS_PROJETO!$B$6</f>
        <v/>
      </c>
    </row>
    <row r="15">
      <c r="A15" t="inlineStr">
        <is>
          <t>Gerador</t>
        </is>
      </c>
      <c r="B15" s="28" t="n">
        <v>0.2</v>
      </c>
      <c r="C15" s="13">
        <f>CUSTOS_MACROGRUPO!$G$9*B15</f>
        <v/>
      </c>
      <c r="D15" s="13">
        <f>C15/DADOS_PROJETO!$B$6</f>
        <v/>
      </c>
    </row>
    <row r="16">
      <c r="A16" t="inlineStr">
        <is>
          <t>Automação/CFTV</t>
        </is>
      </c>
      <c r="B16" s="28" t="n">
        <v>0.2</v>
      </c>
      <c r="C16" s="13">
        <f>CUSTOS_MACROGRUPO!$G$9*B16</f>
        <v/>
      </c>
      <c r="D16" s="13">
        <f>C16/DADOS_PROJETO!$B$6</f>
        <v/>
      </c>
    </row>
    <row r="17">
      <c r="A17" t="inlineStr">
        <is>
          <t>Pressuriz./Outros</t>
        </is>
      </c>
      <c r="B17" s="28" t="n">
        <v>0.2</v>
      </c>
      <c r="C17" s="13">
        <f>CUSTOS_MACROGRUPO!$G$9*B17</f>
        <v/>
      </c>
      <c r="D17" s="13">
        <f>C17/DADOS_PROJETO!$B$6</f>
        <v/>
      </c>
    </row>
    <row r="18">
      <c r="A18" s="2" t="inlineStr">
        <is>
          <t>TOTAL SIST. ESPECIAIS</t>
        </is>
      </c>
      <c r="C18" s="30">
        <f>SUM(C14:C17)</f>
        <v/>
      </c>
      <c r="D18" s="30">
        <f>C18/DADOS_PROJETO!$B$6</f>
        <v/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DETALHAMENTO DE ACABAMENTOS</t>
        </is>
      </c>
    </row>
    <row r="3">
      <c r="A3" s="42" t="inlineStr">
        <is>
          <t>REVESTIMENTOS DE PAREDE</t>
        </is>
      </c>
    </row>
    <row r="4">
      <c r="A4" s="6" t="inlineStr">
        <is>
          <t>Item</t>
        </is>
      </c>
      <c r="B4" s="6" t="inlineStr">
        <is>
          <t>Qtd</t>
        </is>
      </c>
      <c r="C4" s="6" t="inlineStr">
        <is>
          <t>Un</t>
        </is>
      </c>
      <c r="D4" s="6" t="inlineStr">
        <is>
          <t>PU Material (R$)</t>
        </is>
      </c>
      <c r="E4" s="6" t="inlineStr">
        <is>
          <t>PU MO (R$)</t>
        </is>
      </c>
      <c r="F4" s="6" t="inlineStr">
        <is>
          <t>Total Material (R$)</t>
        </is>
      </c>
      <c r="G4" s="6" t="inlineStr">
        <is>
          <t>Total MO (R$)</t>
        </is>
      </c>
      <c r="H4" s="6" t="inlineStr">
        <is>
          <t>Total (R$)</t>
        </is>
      </c>
    </row>
    <row r="5">
      <c r="A5" t="inlineStr">
        <is>
          <t>Chapisco interno</t>
        </is>
      </c>
      <c r="B5" s="13">
        <f>1.8*DADOS_PROJETO!$B$6</f>
        <v/>
      </c>
      <c r="C5" t="inlineStr">
        <is>
          <t>m²</t>
        </is>
      </c>
      <c r="D5" s="13">
        <f>IF(B5&gt;0,F5/B5,0)</f>
        <v/>
      </c>
      <c r="E5" s="13">
        <f>IF(B5&gt;0,G5/B5,0)</f>
        <v/>
      </c>
      <c r="F5" s="13">
        <f>CUSTOS_MACROGRUPO!$G$11*0.12*0.45</f>
        <v/>
      </c>
      <c r="G5" s="13">
        <f>CUSTOS_MACROGRUPO!$G$11*0.12*0.55</f>
        <v/>
      </c>
      <c r="H5" s="13">
        <f>F5+G5</f>
        <v/>
      </c>
    </row>
    <row r="6">
      <c r="A6" t="inlineStr">
        <is>
          <t>Reboco interno</t>
        </is>
      </c>
      <c r="B6" s="13">
        <f>1.8*DADOS_PROJETO!$B$6</f>
        <v/>
      </c>
      <c r="C6" t="inlineStr">
        <is>
          <t>m²</t>
        </is>
      </c>
      <c r="D6" s="13">
        <f>IF(B6&gt;0,F6/B6,0)</f>
        <v/>
      </c>
      <c r="E6" s="13">
        <f>IF(B6&gt;0,G6/B6,0)</f>
        <v/>
      </c>
      <c r="F6" s="13">
        <f>CUSTOS_MACROGRUPO!$G$11*0.35*0.45</f>
        <v/>
      </c>
      <c r="G6" s="13">
        <f>CUSTOS_MACROGRUPO!$G$11*0.35*0.55</f>
        <v/>
      </c>
      <c r="H6" s="13">
        <f>F6+G6</f>
        <v/>
      </c>
    </row>
    <row r="7">
      <c r="A7" t="inlineStr">
        <is>
          <t>Estucamento</t>
        </is>
      </c>
      <c r="B7" s="13">
        <f>1.5*DADOS_PROJETO!$B$6</f>
        <v/>
      </c>
      <c r="C7" t="inlineStr">
        <is>
          <t>m²</t>
        </is>
      </c>
      <c r="D7" s="13">
        <f>IF(B7&gt;0,F7/B7,0)</f>
        <v/>
      </c>
      <c r="E7" s="13">
        <f>IF(B7&gt;0,G7/B7,0)</f>
        <v/>
      </c>
      <c r="F7" s="13">
        <f>CUSTOS_MACROGRUPO!$G$11*0.25*0.45</f>
        <v/>
      </c>
      <c r="G7" s="13">
        <f>CUSTOS_MACROGRUPO!$G$11*0.25*0.55</f>
        <v/>
      </c>
      <c r="H7" s="13">
        <f>F7+G7</f>
        <v/>
      </c>
    </row>
    <row r="8">
      <c r="A8" t="inlineStr">
        <is>
          <t>Cerâmico parede</t>
        </is>
      </c>
      <c r="B8" s="13">
        <f>0.3*DADOS_PROJETO!$B$6</f>
        <v/>
      </c>
      <c r="C8" t="inlineStr">
        <is>
          <t>m²</t>
        </is>
      </c>
      <c r="D8" s="13">
        <f>IF(B8&gt;0,F8/B8,0)</f>
        <v/>
      </c>
      <c r="E8" s="13">
        <f>IF(B8&gt;0,G8/B8,0)</f>
        <v/>
      </c>
      <c r="F8" s="13">
        <f>CUSTOS_MACROGRUPO!$G$11*0.15*0.45</f>
        <v/>
      </c>
      <c r="G8" s="13">
        <f>CUSTOS_MACROGRUPO!$G$11*0.15*0.55</f>
        <v/>
      </c>
      <c r="H8" s="13">
        <f>F8+G8</f>
        <v/>
      </c>
    </row>
    <row r="9">
      <c r="A9" t="inlineStr">
        <is>
          <t>Porcelanato parede</t>
        </is>
      </c>
      <c r="B9" s="13">
        <f>0.15*DADOS_PROJETO!$B$6</f>
        <v/>
      </c>
      <c r="C9" t="inlineStr">
        <is>
          <t>m²</t>
        </is>
      </c>
      <c r="D9" s="13">
        <f>IF(B9&gt;0,F9/B9,0)</f>
        <v/>
      </c>
      <c r="E9" s="13">
        <f>IF(B9&gt;0,G9/B9,0)</f>
        <v/>
      </c>
      <c r="F9" s="13">
        <f>CUSTOS_MACROGRUPO!$G$11*0.13*0.45</f>
        <v/>
      </c>
      <c r="G9" s="13">
        <f>CUSTOS_MACROGRUPO!$G$11*0.13*0.55</f>
        <v/>
      </c>
      <c r="H9" s="13">
        <f>F9+G9</f>
        <v/>
      </c>
    </row>
    <row r="10">
      <c r="A10" s="2" t="inlineStr">
        <is>
          <t>TOTAL REV. PAREDE</t>
        </is>
      </c>
      <c r="F10" s="30">
        <f>SUM(F5:F9)</f>
        <v/>
      </c>
      <c r="G10" s="30">
        <f>SUM(G5:G9)</f>
        <v/>
      </c>
      <c r="H10" s="30">
        <f>F10+G10</f>
        <v/>
      </c>
    </row>
    <row r="12">
      <c r="A12" s="43" t="inlineStr">
        <is>
          <t>TETO</t>
        </is>
      </c>
    </row>
    <row r="13">
      <c r="A13" s="6" t="inlineStr">
        <is>
          <t>Item</t>
        </is>
      </c>
      <c r="B13" s="6" t="inlineStr">
        <is>
          <t>Qtd</t>
        </is>
      </c>
      <c r="C13" s="6" t="inlineStr">
        <is>
          <t>Un</t>
        </is>
      </c>
      <c r="D13" s="6" t="inlineStr">
        <is>
          <t>PU Material (R$)</t>
        </is>
      </c>
      <c r="E13" s="6" t="inlineStr">
        <is>
          <t>PU MO (R$)</t>
        </is>
      </c>
      <c r="F13" s="6" t="inlineStr">
        <is>
          <t>Total Material (R$)</t>
        </is>
      </c>
      <c r="G13" s="6" t="inlineStr">
        <is>
          <t>Total MO (R$)</t>
        </is>
      </c>
      <c r="H13" s="6" t="inlineStr">
        <is>
          <t>Total (R$)</t>
        </is>
      </c>
    </row>
    <row r="14">
      <c r="A14" t="inlineStr">
        <is>
          <t>Forro gesso acartonado</t>
        </is>
      </c>
      <c r="B14" s="13">
        <f>0.5*DADOS_PROJETO!$B$6</f>
        <v/>
      </c>
      <c r="C14" t="inlineStr">
        <is>
          <t>m²</t>
        </is>
      </c>
      <c r="D14" s="13">
        <f>IF(B14&gt;0,F14/B14,0)</f>
        <v/>
      </c>
      <c r="E14" s="13">
        <f>IF(B14&gt;0,G14/B14,0)</f>
        <v/>
      </c>
      <c r="F14" s="13">
        <f>CUSTOS_MACROGRUPO!$G$12*0.55*0.45</f>
        <v/>
      </c>
      <c r="G14" s="13">
        <f>CUSTOS_MACROGRUPO!$G$12*0.55*0.55</f>
        <v/>
      </c>
      <c r="H14" s="13">
        <f>F14+G14</f>
        <v/>
      </c>
    </row>
    <row r="15">
      <c r="A15" t="inlineStr">
        <is>
          <t>Forro gesso UR</t>
        </is>
      </c>
      <c r="B15" s="13">
        <f>0.2*DADOS_PROJETO!$B$6</f>
        <v/>
      </c>
      <c r="C15" t="inlineStr">
        <is>
          <t>m²</t>
        </is>
      </c>
      <c r="D15" s="13">
        <f>IF(B15&gt;0,F15/B15,0)</f>
        <v/>
      </c>
      <c r="E15" s="13">
        <f>IF(B15&gt;0,G15/B15,0)</f>
        <v/>
      </c>
      <c r="F15" s="13">
        <f>CUSTOS_MACROGRUPO!$G$12*0.3*0.45</f>
        <v/>
      </c>
      <c r="G15" s="13">
        <f>CUSTOS_MACROGRUPO!$G$12*0.3*0.55</f>
        <v/>
      </c>
      <c r="H15" s="13">
        <f>F15+G15</f>
        <v/>
      </c>
    </row>
    <row r="16">
      <c r="A16" t="inlineStr">
        <is>
          <t>Negativo/Tabica</t>
        </is>
      </c>
      <c r="B16" s="13">
        <f>0.1*DADOS_PROJETO!$B$6</f>
        <v/>
      </c>
      <c r="C16" t="inlineStr">
        <is>
          <t>m</t>
        </is>
      </c>
      <c r="D16" s="13">
        <f>IF(B16&gt;0,F16/B16,0)</f>
        <v/>
      </c>
      <c r="E16" s="13">
        <f>IF(B16&gt;0,G16/B16,0)</f>
        <v/>
      </c>
      <c r="F16" s="13">
        <f>CUSTOS_MACROGRUPO!$G$12*0.15*0.45</f>
        <v/>
      </c>
      <c r="G16" s="13">
        <f>CUSTOS_MACROGRUPO!$G$12*0.15*0.55</f>
        <v/>
      </c>
      <c r="H16" s="13">
        <f>F16+G16</f>
        <v/>
      </c>
    </row>
    <row r="17">
      <c r="A17" s="2" t="inlineStr">
        <is>
          <t>TOTAL TETO</t>
        </is>
      </c>
      <c r="F17" s="30">
        <f>SUM(F14:F16)</f>
        <v/>
      </c>
      <c r="G17" s="30">
        <f>SUM(G14:G16)</f>
        <v/>
      </c>
      <c r="H17" s="30">
        <f>F17+G17</f>
        <v/>
      </c>
    </row>
    <row r="19">
      <c r="A19" s="40" t="inlineStr">
        <is>
          <t>PISOS</t>
        </is>
      </c>
    </row>
    <row r="20">
      <c r="A20" s="6" t="inlineStr">
        <is>
          <t>Item</t>
        </is>
      </c>
      <c r="B20" s="6" t="inlineStr">
        <is>
          <t>Qtd</t>
        </is>
      </c>
      <c r="C20" s="6" t="inlineStr">
        <is>
          <t>Un</t>
        </is>
      </c>
      <c r="D20" s="6" t="inlineStr">
        <is>
          <t>PU Material (R$)</t>
        </is>
      </c>
      <c r="E20" s="6" t="inlineStr">
        <is>
          <t>PU MO (R$)</t>
        </is>
      </c>
      <c r="F20" s="6" t="inlineStr">
        <is>
          <t>Total Material (R$)</t>
        </is>
      </c>
      <c r="G20" s="6" t="inlineStr">
        <is>
          <t>Total MO (R$)</t>
        </is>
      </c>
      <c r="H20" s="6" t="inlineStr">
        <is>
          <t>Total (R$)</t>
        </is>
      </c>
    </row>
    <row r="21">
      <c r="A21" t="inlineStr">
        <is>
          <t>Contrapiso</t>
        </is>
      </c>
      <c r="B21" s="13">
        <f>0.85*DADOS_PROJETO!$B$6</f>
        <v/>
      </c>
      <c r="C21" t="inlineStr">
        <is>
          <t>m²</t>
        </is>
      </c>
      <c r="D21" s="13">
        <f>IF(B21&gt;0,F21/B21,0)</f>
        <v/>
      </c>
      <c r="E21" s="13">
        <f>IF(B21&gt;0,G21/B21,0)</f>
        <v/>
      </c>
      <c r="F21" s="13">
        <f>CUSTOS_MACROGRUPO!$G$13*0.2*0.45</f>
        <v/>
      </c>
      <c r="G21" s="13">
        <f>CUSTOS_MACROGRUPO!$G$13*0.2*0.55</f>
        <v/>
      </c>
      <c r="H21" s="13">
        <f>F21+G21</f>
        <v/>
      </c>
    </row>
    <row r="22">
      <c r="A22" t="inlineStr">
        <is>
          <t>Porcelanato piso</t>
        </is>
      </c>
      <c r="B22" s="13">
        <f>0.55*DADOS_PROJETO!$B$6</f>
        <v/>
      </c>
      <c r="C22" t="inlineStr">
        <is>
          <t>m²</t>
        </is>
      </c>
      <c r="D22" s="13">
        <f>IF(B22&gt;0,F22/B22,0)</f>
        <v/>
      </c>
      <c r="E22" s="13">
        <f>IF(B22&gt;0,G22/B22,0)</f>
        <v/>
      </c>
      <c r="F22" s="13">
        <f>CUSTOS_MACROGRUPO!$G$13*0.45*0.45</f>
        <v/>
      </c>
      <c r="G22" s="13">
        <f>CUSTOS_MACROGRUPO!$G$13*0.45*0.55</f>
        <v/>
      </c>
      <c r="H22" s="13">
        <f>F22+G22</f>
        <v/>
      </c>
    </row>
    <row r="23">
      <c r="A23" t="inlineStr">
        <is>
          <t>Cerâmico piso</t>
        </is>
      </c>
      <c r="B23" s="13">
        <f>0.15*DADOS_PROJETO!$B$6</f>
        <v/>
      </c>
      <c r="C23" t="inlineStr">
        <is>
          <t>m²</t>
        </is>
      </c>
      <c r="D23" s="13">
        <f>IF(B23&gt;0,F23/B23,0)</f>
        <v/>
      </c>
      <c r="E23" s="13">
        <f>IF(B23&gt;0,G23/B23,0)</f>
        <v/>
      </c>
      <c r="F23" s="13">
        <f>CUSTOS_MACROGRUPO!$G$13*0.1*0.45</f>
        <v/>
      </c>
      <c r="G23" s="13">
        <f>CUSTOS_MACROGRUPO!$G$13*0.1*0.55</f>
        <v/>
      </c>
      <c r="H23" s="13">
        <f>F23+G23</f>
        <v/>
      </c>
    </row>
    <row r="24">
      <c r="A24" t="inlineStr">
        <is>
          <t>Rodapé</t>
        </is>
      </c>
      <c r="B24" s="13">
        <f>0.4*DADOS_PROJETO!$B$6</f>
        <v/>
      </c>
      <c r="C24" t="inlineStr">
        <is>
          <t>m</t>
        </is>
      </c>
      <c r="D24" s="13">
        <f>IF(B24&gt;0,F24/B24,0)</f>
        <v/>
      </c>
      <c r="E24" s="13">
        <f>IF(B24&gt;0,G24/B24,0)</f>
        <v/>
      </c>
      <c r="F24" s="13">
        <f>CUSTOS_MACROGRUPO!$G$13*0.1*0.45</f>
        <v/>
      </c>
      <c r="G24" s="13">
        <f>CUSTOS_MACROGRUPO!$G$13*0.1*0.55</f>
        <v/>
      </c>
      <c r="H24" s="13">
        <f>F24+G24</f>
        <v/>
      </c>
    </row>
    <row r="25">
      <c r="A25" t="inlineStr">
        <is>
          <t>Soleira/peitoril</t>
        </is>
      </c>
      <c r="B25" s="13">
        <f>0.08*DADOS_PROJETO!$B$6</f>
        <v/>
      </c>
      <c r="C25" t="inlineStr">
        <is>
          <t>m²</t>
        </is>
      </c>
      <c r="D25" s="13">
        <f>IF(B25&gt;0,F25/B25,0)</f>
        <v/>
      </c>
      <c r="E25" s="13">
        <f>IF(B25&gt;0,G25/B25,0)</f>
        <v/>
      </c>
      <c r="F25" s="13">
        <f>CUSTOS_MACROGRUPO!$G$13*0.05*0.45</f>
        <v/>
      </c>
      <c r="G25" s="13">
        <f>CUSTOS_MACROGRUPO!$G$13*0.05*0.55</f>
        <v/>
      </c>
      <c r="H25" s="13">
        <f>F25+G25</f>
        <v/>
      </c>
    </row>
    <row r="26">
      <c r="A26" t="inlineStr">
        <is>
          <t>Outros</t>
        </is>
      </c>
      <c r="C26" t="inlineStr">
        <is>
          <t>m²</t>
        </is>
      </c>
      <c r="F26" s="13">
        <f>CUSTOS_MACROGRUPO!$G$13*0.1*0.45</f>
        <v/>
      </c>
      <c r="G26" s="13">
        <f>CUSTOS_MACROGRUPO!$G$13*0.1*0.55</f>
        <v/>
      </c>
      <c r="H26" s="13">
        <f>F26+G26</f>
        <v/>
      </c>
    </row>
    <row r="27">
      <c r="A27" s="2" t="inlineStr">
        <is>
          <t>TOTAL PISOS</t>
        </is>
      </c>
      <c r="F27" s="30">
        <f>SUM(F21:F26)</f>
        <v/>
      </c>
      <c r="G27" s="30">
        <f>SUM(G21:G26)</f>
        <v/>
      </c>
      <c r="H27" s="30">
        <f>F27+G27</f>
        <v/>
      </c>
    </row>
    <row r="29">
      <c r="A29" s="27" t="inlineStr">
        <is>
          <t>PINTURA</t>
        </is>
      </c>
    </row>
    <row r="30">
      <c r="A30" s="6" t="inlineStr">
        <is>
          <t>Item</t>
        </is>
      </c>
      <c r="B30" s="6" t="inlineStr">
        <is>
          <t>Qtd</t>
        </is>
      </c>
      <c r="C30" s="6" t="inlineStr">
        <is>
          <t>Un</t>
        </is>
      </c>
      <c r="D30" s="6" t="inlineStr">
        <is>
          <t>PU Material (R$)</t>
        </is>
      </c>
      <c r="E30" s="6" t="inlineStr">
        <is>
          <t>PU MO (R$)</t>
        </is>
      </c>
      <c r="F30" s="6" t="inlineStr">
        <is>
          <t>Total Material (R$)</t>
        </is>
      </c>
      <c r="G30" s="6" t="inlineStr">
        <is>
          <t>Total MO (R$)</t>
        </is>
      </c>
      <c r="H30" s="6" t="inlineStr">
        <is>
          <t>Total (R$)</t>
        </is>
      </c>
    </row>
    <row r="31">
      <c r="A31" t="inlineStr">
        <is>
          <t>Pintura parede (PVA/acrílica)</t>
        </is>
      </c>
      <c r="B31" s="13">
        <f>2.2*DADOS_PROJETO!$B$6</f>
        <v/>
      </c>
      <c r="C31" t="inlineStr">
        <is>
          <t>m²</t>
        </is>
      </c>
      <c r="D31" s="13">
        <f>IF(B31&gt;0,F31/B31,0)</f>
        <v/>
      </c>
      <c r="E31" s="13">
        <f>IF(B31&gt;0,G31/B31,0)</f>
        <v/>
      </c>
      <c r="F31" s="13">
        <f>CUSTOS_MACROGRUPO!$G$14*0.55*0.45</f>
        <v/>
      </c>
      <c r="G31" s="13">
        <f>CUSTOS_MACROGRUPO!$G$14*0.55*0.55</f>
        <v/>
      </c>
      <c r="H31" s="13">
        <f>F31+G31</f>
        <v/>
      </c>
    </row>
    <row r="32">
      <c r="A32" t="inlineStr">
        <is>
          <t>Pintura teto</t>
        </is>
      </c>
      <c r="B32" s="13">
        <f>0.7*DADOS_PROJETO!$B$6</f>
        <v/>
      </c>
      <c r="C32" t="inlineStr">
        <is>
          <t>m²</t>
        </is>
      </c>
      <c r="D32" s="13">
        <f>IF(B32&gt;0,F32/B32,0)</f>
        <v/>
      </c>
      <c r="E32" s="13">
        <f>IF(B32&gt;0,G32/B32,0)</f>
        <v/>
      </c>
      <c r="F32" s="13">
        <f>CUSTOS_MACROGRUPO!$G$14*0.25*0.45</f>
        <v/>
      </c>
      <c r="G32" s="13">
        <f>CUSTOS_MACROGRUPO!$G$14*0.25*0.55</f>
        <v/>
      </c>
      <c r="H32" s="13">
        <f>F32+G32</f>
        <v/>
      </c>
    </row>
    <row r="33">
      <c r="A33" t="inlineStr">
        <is>
          <t>Textura/Grafiato</t>
        </is>
      </c>
      <c r="B33" s="13">
        <f>0.15*DADOS_PROJETO!$B$6</f>
        <v/>
      </c>
      <c r="C33" t="inlineStr">
        <is>
          <t>m²</t>
        </is>
      </c>
      <c r="D33" s="13">
        <f>IF(B33&gt;0,F33/B33,0)</f>
        <v/>
      </c>
      <c r="E33" s="13">
        <f>IF(B33&gt;0,G33/B33,0)</f>
        <v/>
      </c>
      <c r="F33" s="13">
        <f>CUSTOS_MACROGRUPO!$G$14*0.1*0.45</f>
        <v/>
      </c>
      <c r="G33" s="13">
        <f>CUSTOS_MACROGRUPO!$G$14*0.1*0.55</f>
        <v/>
      </c>
      <c r="H33" s="13">
        <f>F33+G33</f>
        <v/>
      </c>
    </row>
    <row r="34">
      <c r="A34" t="inlineStr">
        <is>
          <t>Verniz/Epóxi</t>
        </is>
      </c>
      <c r="B34" s="13">
        <f>0.05*DADOS_PROJETO!$B$6</f>
        <v/>
      </c>
      <c r="C34" t="inlineStr">
        <is>
          <t>m²</t>
        </is>
      </c>
      <c r="D34" s="13">
        <f>IF(B34&gt;0,F34/B34,0)</f>
        <v/>
      </c>
      <c r="E34" s="13">
        <f>IF(B34&gt;0,G34/B34,0)</f>
        <v/>
      </c>
      <c r="F34" s="13">
        <f>CUSTOS_MACROGRUPO!$G$14*0.1*0.45</f>
        <v/>
      </c>
      <c r="G34" s="13">
        <f>CUSTOS_MACROGRUPO!$G$14*0.1*0.55</f>
        <v/>
      </c>
      <c r="H34" s="13">
        <f>F34+G34</f>
        <v/>
      </c>
    </row>
    <row r="35">
      <c r="A35" s="2" t="inlineStr">
        <is>
          <t>TOTAL PINTURA</t>
        </is>
      </c>
      <c r="F35" s="30">
        <f>SUM(F31:F34)</f>
        <v/>
      </c>
      <c r="G35" s="30">
        <f>SUM(G31:G34)</f>
        <v/>
      </c>
      <c r="H35" s="30">
        <f>F35+G35</f>
        <v/>
      </c>
    </row>
    <row r="37">
      <c r="A37" s="44" t="inlineStr">
        <is>
          <t>ESQUADRIAS</t>
        </is>
      </c>
    </row>
    <row r="38">
      <c r="A38" s="6" t="inlineStr">
        <is>
          <t>Item</t>
        </is>
      </c>
      <c r="B38" s="6" t="inlineStr">
        <is>
          <t>Qtd</t>
        </is>
      </c>
      <c r="C38" s="6" t="inlineStr">
        <is>
          <t>Un</t>
        </is>
      </c>
      <c r="D38" s="6" t="inlineStr">
        <is>
          <t>PU Material (R$)</t>
        </is>
      </c>
      <c r="E38" s="6" t="inlineStr">
        <is>
          <t>PU MO (R$)</t>
        </is>
      </c>
      <c r="F38" s="6" t="inlineStr">
        <is>
          <t>Total Material (R$)</t>
        </is>
      </c>
      <c r="G38" s="6" t="inlineStr">
        <is>
          <t>Total MO (R$)</t>
        </is>
      </c>
      <c r="H38" s="6" t="inlineStr">
        <is>
          <t>Total (R$)</t>
        </is>
      </c>
    </row>
    <row r="39">
      <c r="A39" t="inlineStr">
        <is>
          <t>Janelas alumínio</t>
        </is>
      </c>
      <c r="B39" s="13">
        <f>0.12*DADOS_PROJETO!$B$6</f>
        <v/>
      </c>
      <c r="C39" t="inlineStr">
        <is>
          <t>m²</t>
        </is>
      </c>
      <c r="D39" s="13">
        <f>IF(B39&gt;0,F39/B39,0)</f>
        <v/>
      </c>
      <c r="E39" s="13">
        <f>IF(B39&gt;0,G39/B39,0)</f>
        <v/>
      </c>
      <c r="F39" s="13">
        <f>CUSTOS_MACROGRUPO!$G$15*0.35*0.45</f>
        <v/>
      </c>
      <c r="G39" s="13">
        <f>CUSTOS_MACROGRUPO!$G$15*0.35*0.55</f>
        <v/>
      </c>
      <c r="H39" s="13">
        <f>F39+G39</f>
        <v/>
      </c>
    </row>
    <row r="40">
      <c r="A40" t="inlineStr">
        <is>
          <t>Portas internas</t>
        </is>
      </c>
      <c r="B40" s="13">
        <f>0.08*DADOS_PROJETO!$B$6</f>
        <v/>
      </c>
      <c r="C40" t="inlineStr">
        <is>
          <t>un</t>
        </is>
      </c>
      <c r="D40" s="13">
        <f>IF(B40&gt;0,F40/B40,0)</f>
        <v/>
      </c>
      <c r="E40" s="13">
        <f>IF(B40&gt;0,G40/B40,0)</f>
        <v/>
      </c>
      <c r="F40" s="13">
        <f>CUSTOS_MACROGRUPO!$G$15*0.25*0.45</f>
        <v/>
      </c>
      <c r="G40" s="13">
        <f>CUSTOS_MACROGRUPO!$G$15*0.25*0.55</f>
        <v/>
      </c>
      <c r="H40" s="13">
        <f>F40+G40</f>
        <v/>
      </c>
    </row>
    <row r="41">
      <c r="A41" t="inlineStr">
        <is>
          <t>Porta entrada</t>
        </is>
      </c>
      <c r="C41" t="inlineStr">
        <is>
          <t>un</t>
        </is>
      </c>
      <c r="F41" s="13">
        <f>CUSTOS_MACROGRUPO!$G$15*0.1*0.45</f>
        <v/>
      </c>
      <c r="G41" s="13">
        <f>CUSTOS_MACROGRUPO!$G$15*0.1*0.55</f>
        <v/>
      </c>
      <c r="H41" s="13">
        <f>F41+G41</f>
        <v/>
      </c>
    </row>
    <row r="42">
      <c r="A42" t="inlineStr">
        <is>
          <t>Vidros</t>
        </is>
      </c>
      <c r="B42" s="13">
        <f>0.15*DADOS_PROJETO!$B$6</f>
        <v/>
      </c>
      <c r="C42" t="inlineStr">
        <is>
          <t>m²</t>
        </is>
      </c>
      <c r="D42" s="13">
        <f>IF(B42&gt;0,F42/B42,0)</f>
        <v/>
      </c>
      <c r="E42" s="13">
        <f>IF(B42&gt;0,G42/B42,0)</f>
        <v/>
      </c>
      <c r="F42" s="13">
        <f>CUSTOS_MACROGRUPO!$G$15*0.2*0.45</f>
        <v/>
      </c>
      <c r="G42" s="13">
        <f>CUSTOS_MACROGRUPO!$G$15*0.2*0.55</f>
        <v/>
      </c>
      <c r="H42" s="13">
        <f>F42+G42</f>
        <v/>
      </c>
    </row>
    <row r="43">
      <c r="A43" t="inlineStr">
        <is>
          <t>Guarda-corpo</t>
        </is>
      </c>
      <c r="B43" s="13">
        <f>0.03*DADOS_PROJETO!$B$6</f>
        <v/>
      </c>
      <c r="C43" t="inlineStr">
        <is>
          <t>m²</t>
        </is>
      </c>
      <c r="D43" s="13">
        <f>IF(B43&gt;0,F43/B43,0)</f>
        <v/>
      </c>
      <c r="E43" s="13">
        <f>IF(B43&gt;0,G43/B43,0)</f>
        <v/>
      </c>
      <c r="F43" s="13">
        <f>CUSTOS_MACROGRUPO!$G$15*0.1*0.45</f>
        <v/>
      </c>
      <c r="G43" s="13">
        <f>CUSTOS_MACROGRUPO!$G$15*0.1*0.55</f>
        <v/>
      </c>
      <c r="H43" s="13">
        <f>F43+G43</f>
        <v/>
      </c>
    </row>
    <row r="44">
      <c r="A44" s="2" t="inlineStr">
        <is>
          <t>TOTAL ESQUADRIAS</t>
        </is>
      </c>
      <c r="F44" s="30">
        <f>SUM(F39:F43)</f>
        <v/>
      </c>
      <c r="G44" s="30">
        <f>SUM(G39:G43)</f>
        <v/>
      </c>
      <c r="H44" s="30">
        <f>F44+G44</f>
        <v/>
      </c>
    </row>
    <row r="46">
      <c r="A46" s="45" t="inlineStr">
        <is>
          <t>FACHADA</t>
        </is>
      </c>
    </row>
    <row r="47">
      <c r="A47" s="6" t="inlineStr">
        <is>
          <t>Item</t>
        </is>
      </c>
      <c r="B47" s="6" t="inlineStr">
        <is>
          <t>Qtd</t>
        </is>
      </c>
      <c r="C47" s="6" t="inlineStr">
        <is>
          <t>Un</t>
        </is>
      </c>
      <c r="D47" s="6" t="inlineStr">
        <is>
          <t>PU Material (R$)</t>
        </is>
      </c>
      <c r="E47" s="6" t="inlineStr">
        <is>
          <t>PU MO (R$)</t>
        </is>
      </c>
      <c r="F47" s="6" t="inlineStr">
        <is>
          <t>Total Material (R$)</t>
        </is>
      </c>
      <c r="G47" s="6" t="inlineStr">
        <is>
          <t>Total MO (R$)</t>
        </is>
      </c>
      <c r="H47" s="6" t="inlineStr">
        <is>
          <t>Total (R$)</t>
        </is>
      </c>
    </row>
    <row r="48">
      <c r="A48" t="inlineStr">
        <is>
          <t>Chapisco externo</t>
        </is>
      </c>
      <c r="B48" s="13">
        <f>0.45*DADOS_PROJETO!$B$6</f>
        <v/>
      </c>
      <c r="C48" t="inlineStr">
        <is>
          <t>m²</t>
        </is>
      </c>
      <c r="D48" s="13">
        <f>IF(B48&gt;0,F48/B48,0)</f>
        <v/>
      </c>
      <c r="E48" s="13">
        <f>IF(B48&gt;0,G48/B48,0)</f>
        <v/>
      </c>
      <c r="F48" s="13">
        <f>CUSTOS_MACROGRUPO!$G$17*0.1*0.45</f>
        <v/>
      </c>
      <c r="G48" s="13">
        <f>CUSTOS_MACROGRUPO!$G$17*0.1*0.55</f>
        <v/>
      </c>
      <c r="H48" s="13">
        <f>F48+G48</f>
        <v/>
      </c>
    </row>
    <row r="49">
      <c r="A49" t="inlineStr">
        <is>
          <t>Reboco externo</t>
        </is>
      </c>
      <c r="B49" s="13">
        <f>0.45*DADOS_PROJETO!$B$6</f>
        <v/>
      </c>
      <c r="C49" t="inlineStr">
        <is>
          <t>m²</t>
        </is>
      </c>
      <c r="D49" s="13">
        <f>IF(B49&gt;0,F49/B49,0)</f>
        <v/>
      </c>
      <c r="E49" s="13">
        <f>IF(B49&gt;0,G49/B49,0)</f>
        <v/>
      </c>
      <c r="F49" s="13">
        <f>CUSTOS_MACROGRUPO!$G$17*0.2*0.45</f>
        <v/>
      </c>
      <c r="G49" s="13">
        <f>CUSTOS_MACROGRUPO!$G$17*0.2*0.55</f>
        <v/>
      </c>
      <c r="H49" s="13">
        <f>F49+G49</f>
        <v/>
      </c>
    </row>
    <row r="50">
      <c r="A50" t="inlineStr">
        <is>
          <t>Textura/acabamento</t>
        </is>
      </c>
      <c r="B50" s="13">
        <f>0.45*DADOS_PROJETO!$B$6</f>
        <v/>
      </c>
      <c r="C50" t="inlineStr">
        <is>
          <t>m²</t>
        </is>
      </c>
      <c r="D50" s="13">
        <f>IF(B50&gt;0,F50/B50,0)</f>
        <v/>
      </c>
      <c r="E50" s="13">
        <f>IF(B50&gt;0,G50/B50,0)</f>
        <v/>
      </c>
      <c r="F50" s="13">
        <f>CUSTOS_MACROGRUPO!$G$17*0.4*0.45</f>
        <v/>
      </c>
      <c r="G50" s="13">
        <f>CUSTOS_MACROGRUPO!$G$17*0.4*0.55</f>
        <v/>
      </c>
      <c r="H50" s="13">
        <f>F50+G50</f>
        <v/>
      </c>
    </row>
    <row r="51">
      <c r="A51" t="inlineStr">
        <is>
          <t>Detalhes/frisos</t>
        </is>
      </c>
      <c r="C51" t="inlineStr">
        <is>
          <t>m²</t>
        </is>
      </c>
      <c r="F51" s="13">
        <f>CUSTOS_MACROGRUPO!$G$17*0.15*0.45</f>
        <v/>
      </c>
      <c r="G51" s="13">
        <f>CUSTOS_MACROGRUPO!$G$17*0.15*0.55</f>
        <v/>
      </c>
      <c r="H51" s="13">
        <f>F51+G51</f>
        <v/>
      </c>
    </row>
    <row r="52">
      <c r="A52" t="inlineStr">
        <is>
          <t>Selantes/juntas</t>
        </is>
      </c>
      <c r="C52" t="inlineStr">
        <is>
          <t>m²</t>
        </is>
      </c>
      <c r="F52" s="13">
        <f>CUSTOS_MACROGRUPO!$G$17*0.15*0.45</f>
        <v/>
      </c>
      <c r="G52" s="13">
        <f>CUSTOS_MACROGRUPO!$G$17*0.15*0.55</f>
        <v/>
      </c>
      <c r="H52" s="13">
        <f>F52+G52</f>
        <v/>
      </c>
    </row>
    <row r="53">
      <c r="A53" s="2" t="inlineStr">
        <is>
          <t>TOTAL FACHADA</t>
        </is>
      </c>
      <c r="F53" s="30">
        <f>SUM(F48:F52)</f>
        <v/>
      </c>
      <c r="G53" s="30">
        <f>SUM(G48:G52)</f>
        <v/>
      </c>
      <c r="H53" s="30">
        <f>F53+G53</f>
        <v/>
      </c>
    </row>
  </sheetData>
  <mergeCells count="7">
    <mergeCell ref="A12:H12"/>
    <mergeCell ref="A3:H3"/>
    <mergeCell ref="A46:H46"/>
    <mergeCell ref="A29:H29"/>
    <mergeCell ref="A19:H19"/>
    <mergeCell ref="A1:H1"/>
    <mergeCell ref="A37:H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CUSTOS INDIRETOS DETALHADOS</t>
        </is>
      </c>
    </row>
    <row r="3">
      <c r="A3" s="41" t="inlineStr">
        <is>
          <t>PROJETOS E CONSULTORIAS (25%)</t>
        </is>
      </c>
    </row>
    <row r="4">
      <c r="A4" s="6" t="inlineStr">
        <is>
          <t>Disciplina</t>
        </is>
      </c>
      <c r="B4" s="6" t="inlineStr">
        <is>
          <t>Peso %</t>
        </is>
      </c>
      <c r="C4" s="6" t="inlineStr">
        <is>
          <t>Valor (R$)</t>
        </is>
      </c>
      <c r="D4" s="6" t="inlineStr">
        <is>
          <t>R$/m²</t>
        </is>
      </c>
      <c r="E4" s="6" t="inlineStr"/>
      <c r="F4" s="6" t="inlineStr"/>
    </row>
    <row r="5">
      <c r="A5" t="inlineStr">
        <is>
          <t>Arquitetônico</t>
        </is>
      </c>
      <c r="B5" s="28" t="n">
        <v>0.25</v>
      </c>
      <c r="C5" s="13">
        <f>CUSTOS_MACROGRUPO!$G$2*0.25*B5</f>
        <v/>
      </c>
      <c r="D5" s="13">
        <f>C5/DADOS_PROJETO!$B$6</f>
        <v/>
      </c>
    </row>
    <row r="6">
      <c r="A6" t="inlineStr">
        <is>
          <t>Estrutural</t>
        </is>
      </c>
      <c r="B6" s="28" t="n">
        <v>0.2</v>
      </c>
      <c r="C6" s="13">
        <f>CUSTOS_MACROGRUPO!$G$2*0.25*B6</f>
        <v/>
      </c>
      <c r="D6" s="13">
        <f>C6/DADOS_PROJETO!$B$6</f>
        <v/>
      </c>
    </row>
    <row r="7">
      <c r="A7" t="inlineStr">
        <is>
          <t>Elétrico</t>
        </is>
      </c>
      <c r="B7" s="28" t="n">
        <v>0.12</v>
      </c>
      <c r="C7" s="13">
        <f>CUSTOS_MACROGRUPO!$G$2*0.25*B7</f>
        <v/>
      </c>
      <c r="D7" s="13">
        <f>C7/DADOS_PROJETO!$B$6</f>
        <v/>
      </c>
    </row>
    <row r="8">
      <c r="A8" t="inlineStr">
        <is>
          <t>Hidrossanitário</t>
        </is>
      </c>
      <c r="B8" s="28" t="n">
        <v>0.12</v>
      </c>
      <c r="C8" s="13">
        <f>CUSTOS_MACROGRUPO!$G$2*0.25*B8</f>
        <v/>
      </c>
      <c r="D8" s="13">
        <f>C8/DADOS_PROJETO!$B$6</f>
        <v/>
      </c>
    </row>
    <row r="9">
      <c r="A9" t="inlineStr">
        <is>
          <t>Preventivo</t>
        </is>
      </c>
      <c r="B9" s="28" t="n">
        <v>0.08</v>
      </c>
      <c r="C9" s="13">
        <f>CUSTOS_MACROGRUPO!$G$2*0.25*B9</f>
        <v/>
      </c>
      <c r="D9" s="13">
        <f>C9/DADOS_PROJETO!$B$6</f>
        <v/>
      </c>
    </row>
    <row r="10">
      <c r="A10" t="inlineStr">
        <is>
          <t>Climatização</t>
        </is>
      </c>
      <c r="B10" s="28" t="n">
        <v>0.05</v>
      </c>
      <c r="C10" s="13">
        <f>CUSTOS_MACROGRUPO!$G$2*0.25*B10</f>
        <v/>
      </c>
      <c r="D10" s="13">
        <f>C10/DADOS_PROJETO!$B$6</f>
        <v/>
      </c>
    </row>
    <row r="11">
      <c r="A11" t="inlineStr">
        <is>
          <t>Paisagismo</t>
        </is>
      </c>
      <c r="B11" s="28" t="n">
        <v>0.05</v>
      </c>
      <c r="C11" s="13">
        <f>CUSTOS_MACROGRUPO!$G$2*0.25*B11</f>
        <v/>
      </c>
      <c r="D11" s="13">
        <f>C11/DADOS_PROJETO!$B$6</f>
        <v/>
      </c>
    </row>
    <row r="12">
      <c r="A12" t="inlineStr">
        <is>
          <t>Interiores</t>
        </is>
      </c>
      <c r="B12" s="28" t="n">
        <v>0.05</v>
      </c>
      <c r="C12" s="13">
        <f>CUSTOS_MACROGRUPO!$G$2*0.25*B12</f>
        <v/>
      </c>
      <c r="D12" s="13">
        <f>C12/DADOS_PROJETO!$B$6</f>
        <v/>
      </c>
    </row>
    <row r="13">
      <c r="A13" t="inlineStr">
        <is>
          <t>Fundações</t>
        </is>
      </c>
      <c r="B13" s="28" t="n">
        <v>0.03</v>
      </c>
      <c r="C13" s="13">
        <f>CUSTOS_MACROGRUPO!$G$2*0.25*B13</f>
        <v/>
      </c>
      <c r="D13" s="13">
        <f>C13/DADOS_PROJETO!$B$6</f>
        <v/>
      </c>
    </row>
    <row r="14">
      <c r="A14" t="inlineStr">
        <is>
          <t>Outros</t>
        </is>
      </c>
      <c r="B14" s="28" t="n">
        <v>0.05</v>
      </c>
      <c r="C14" s="13">
        <f>CUSTOS_MACROGRUPO!$G$2*0.25*B14</f>
        <v/>
      </c>
      <c r="D14" s="13">
        <f>C14/DADOS_PROJETO!$B$6</f>
        <v/>
      </c>
    </row>
    <row r="15">
      <c r="A15" s="2" t="inlineStr">
        <is>
          <t>TOTAL PROJETOS</t>
        </is>
      </c>
      <c r="C15" s="30">
        <f>SUM(C5:C14)</f>
        <v/>
      </c>
      <c r="D15" s="30">
        <f>C15/DADOS_PROJETO!$B$6</f>
        <v/>
      </c>
    </row>
    <row r="17">
      <c r="A17" s="27" t="inlineStr">
        <is>
          <t>TAXAS E LICENÇAS (5%)</t>
        </is>
      </c>
    </row>
    <row r="18">
      <c r="A18" s="6" t="inlineStr">
        <is>
          <t>Disciplina</t>
        </is>
      </c>
      <c r="B18" s="6" t="inlineStr">
        <is>
          <t>Peso %</t>
        </is>
      </c>
      <c r="C18" s="6" t="inlineStr">
        <is>
          <t>Valor (R$)</t>
        </is>
      </c>
      <c r="D18" s="6" t="inlineStr">
        <is>
          <t>R$/m²</t>
        </is>
      </c>
      <c r="E18" s="6" t="inlineStr"/>
      <c r="F18" s="6" t="inlineStr"/>
    </row>
    <row r="19">
      <c r="A19" t="inlineStr">
        <is>
          <t>Alvará</t>
        </is>
      </c>
      <c r="B19" s="28" t="n">
        <v>0.25</v>
      </c>
      <c r="C19" s="13">
        <f>CUSTOS_MACROGRUPO!$G$2*0.05*B19</f>
        <v/>
      </c>
      <c r="D19" s="13">
        <f>C19/DADOS_PROJETO!$B$6</f>
        <v/>
      </c>
    </row>
    <row r="20">
      <c r="A20" t="inlineStr">
        <is>
          <t>ARTs/RRTs</t>
        </is>
      </c>
      <c r="B20" s="28" t="n">
        <v>0.2</v>
      </c>
      <c r="C20" s="13">
        <f>CUSTOS_MACROGRUPO!$G$2*0.05*B20</f>
        <v/>
      </c>
      <c r="D20" s="13">
        <f>C20/DADOS_PROJETO!$B$6</f>
        <v/>
      </c>
    </row>
    <row r="21">
      <c r="A21" t="inlineStr">
        <is>
          <t>Bombeiros</t>
        </is>
      </c>
      <c r="B21" s="28" t="n">
        <v>0.2</v>
      </c>
      <c r="C21" s="13">
        <f>CUSTOS_MACROGRUPO!$G$2*0.05*B21</f>
        <v/>
      </c>
      <c r="D21" s="13">
        <f>C21/DADOS_PROJETO!$B$6</f>
        <v/>
      </c>
    </row>
    <row r="22">
      <c r="A22" t="inlineStr">
        <is>
          <t>Habite-se</t>
        </is>
      </c>
      <c r="B22" s="28" t="n">
        <v>0.15</v>
      </c>
      <c r="C22" s="13">
        <f>CUSTOS_MACROGRUPO!$G$2*0.05*B22</f>
        <v/>
      </c>
      <c r="D22" s="13">
        <f>C22/DADOS_PROJETO!$B$6</f>
        <v/>
      </c>
    </row>
    <row r="23">
      <c r="A23" t="inlineStr">
        <is>
          <t>Registro Incorporação</t>
        </is>
      </c>
      <c r="B23" s="28" t="n">
        <v>0.1</v>
      </c>
      <c r="C23" s="13">
        <f>CUSTOS_MACROGRUPO!$G$2*0.05*B23</f>
        <v/>
      </c>
      <c r="D23" s="13">
        <f>C23/DADOS_PROJETO!$B$6</f>
        <v/>
      </c>
    </row>
    <row r="24">
      <c r="A24" t="inlineStr">
        <is>
          <t>Outras</t>
        </is>
      </c>
      <c r="B24" s="28" t="n">
        <v>0.1</v>
      </c>
      <c r="C24" s="13">
        <f>CUSTOS_MACROGRUPO!$G$2*0.05*B24</f>
        <v/>
      </c>
      <c r="D24" s="13">
        <f>C24/DADOS_PROJETO!$B$6</f>
        <v/>
      </c>
    </row>
    <row r="25">
      <c r="A25" s="2" t="inlineStr">
        <is>
          <t>TOTAL TAXAS</t>
        </is>
      </c>
      <c r="C25" s="30">
        <f>SUM(C19:C24)</f>
        <v/>
      </c>
      <c r="D25" s="30">
        <f>C25/DADOS_PROJETO!$B$6</f>
        <v/>
      </c>
    </row>
    <row r="27">
      <c r="A27" s="44" t="inlineStr">
        <is>
          <t>EQUIPE ADM (40%)</t>
        </is>
      </c>
    </row>
    <row r="28">
      <c r="A28" s="6" t="inlineStr">
        <is>
          <t>Função</t>
        </is>
      </c>
      <c r="B28" s="6" t="inlineStr">
        <is>
          <t>Peso %</t>
        </is>
      </c>
      <c r="C28" s="6" t="inlineStr">
        <is>
          <t>Valor (R$)</t>
        </is>
      </c>
      <c r="D28" s="6" t="inlineStr">
        <is>
          <t>Custo/mês (R$)</t>
        </is>
      </c>
      <c r="E28" s="6" t="inlineStr">
        <is>
          <t>Qtd</t>
        </is>
      </c>
      <c r="F28" s="6" t="inlineStr"/>
    </row>
    <row r="29">
      <c r="A29" t="inlineStr">
        <is>
          <t>Eng. Residente</t>
        </is>
      </c>
      <c r="B29" s="28" t="n">
        <v>0.3</v>
      </c>
      <c r="C29" s="13">
        <f>CUSTOS_MACROGRUPO!$G$2*0.40*B29</f>
        <v/>
      </c>
      <c r="D29" s="13">
        <f>C29/DADOS_PROJETO!$B$17</f>
        <v/>
      </c>
      <c r="E29" t="n">
        <v>1</v>
      </c>
    </row>
    <row r="30">
      <c r="A30" t="inlineStr">
        <is>
          <t>Mestre de Obras</t>
        </is>
      </c>
      <c r="B30" s="28" t="n">
        <v>0.25</v>
      </c>
      <c r="C30" s="13">
        <f>CUSTOS_MACROGRUPO!$G$2*0.40*B30</f>
        <v/>
      </c>
      <c r="D30" s="13">
        <f>C30/DADOS_PROJETO!$B$17</f>
        <v/>
      </c>
      <c r="E30" t="n">
        <v>1</v>
      </c>
    </row>
    <row r="31">
      <c r="A31" t="inlineStr">
        <is>
          <t>Almoxarife</t>
        </is>
      </c>
      <c r="B31" s="28" t="n">
        <v>0.12</v>
      </c>
      <c r="C31" s="13">
        <f>CUSTOS_MACROGRUPO!$G$2*0.40*B31</f>
        <v/>
      </c>
      <c r="D31" s="13">
        <f>C31/DADOS_PROJETO!$B$17</f>
        <v/>
      </c>
      <c r="E31" t="n">
        <v>1</v>
      </c>
    </row>
    <row r="32">
      <c r="A32" t="inlineStr">
        <is>
          <t>Téc. Segurança</t>
        </is>
      </c>
      <c r="B32" s="28" t="n">
        <v>0.12</v>
      </c>
      <c r="C32" s="13">
        <f>CUSTOS_MACROGRUPO!$G$2*0.40*B32</f>
        <v/>
      </c>
      <c r="D32" s="13">
        <f>C32/DADOS_PROJETO!$B$17</f>
        <v/>
      </c>
      <c r="E32" t="n">
        <v>1</v>
      </c>
    </row>
    <row r="33">
      <c r="A33" t="inlineStr">
        <is>
          <t>Admin. Obra</t>
        </is>
      </c>
      <c r="B33" s="28" t="n">
        <v>0.12</v>
      </c>
      <c r="C33" s="13">
        <f>CUSTOS_MACROGRUPO!$G$2*0.40*B33</f>
        <v/>
      </c>
      <c r="D33" s="13">
        <f>C33/DADOS_PROJETO!$B$17</f>
        <v/>
      </c>
      <c r="E33" t="n">
        <v>1</v>
      </c>
    </row>
    <row r="34">
      <c r="A34" t="inlineStr">
        <is>
          <t>Estagiários</t>
        </is>
      </c>
      <c r="B34" s="28" t="n">
        <v>0.09</v>
      </c>
      <c r="C34" s="13">
        <f>CUSTOS_MACROGRUPO!$G$2*0.40*B34</f>
        <v/>
      </c>
      <c r="D34" s="13">
        <f>C34/DADOS_PROJETO!$B$17</f>
        <v/>
      </c>
      <c r="E34" t="n">
        <v>2</v>
      </c>
    </row>
    <row r="35">
      <c r="A35" s="2" t="inlineStr">
        <is>
          <t>TOTAL EQUIPE ADM</t>
        </is>
      </c>
      <c r="C35" s="30">
        <f>SUM(C29:C34)</f>
        <v/>
      </c>
      <c r="D35" s="30">
        <f>C35/DADOS_PROJETO!$B$17</f>
        <v/>
      </c>
    </row>
    <row r="37">
      <c r="A37" s="46" t="inlineStr">
        <is>
          <t>EPCs (15%)</t>
        </is>
      </c>
    </row>
    <row r="38">
      <c r="A38" s="6" t="inlineStr">
        <is>
          <t>Disciplina</t>
        </is>
      </c>
      <c r="B38" s="6" t="inlineStr">
        <is>
          <t>Peso %</t>
        </is>
      </c>
      <c r="C38" s="6" t="inlineStr">
        <is>
          <t>Valor (R$)</t>
        </is>
      </c>
      <c r="D38" s="6" t="inlineStr">
        <is>
          <t>R$/m²</t>
        </is>
      </c>
      <c r="E38" s="6" t="inlineStr"/>
      <c r="F38" s="6" t="inlineStr"/>
    </row>
    <row r="39">
      <c r="A39" t="inlineStr">
        <is>
          <t>Bandeja proteção</t>
        </is>
      </c>
      <c r="B39" s="28" t="n">
        <v>0.25</v>
      </c>
      <c r="C39" s="13">
        <f>CUSTOS_MACROGRUPO!$G$2*0.15*B39</f>
        <v/>
      </c>
      <c r="D39" s="13">
        <f>C39/DADOS_PROJETO!$B$6</f>
        <v/>
      </c>
    </row>
    <row r="40">
      <c r="A40" t="inlineStr">
        <is>
          <t>Guarda-corpo</t>
        </is>
      </c>
      <c r="B40" s="28" t="n">
        <v>0.25</v>
      </c>
      <c r="C40" s="13">
        <f>CUSTOS_MACROGRUPO!$G$2*0.15*B40</f>
        <v/>
      </c>
      <c r="D40" s="13">
        <f>C40/DADOS_PROJETO!$B$6</f>
        <v/>
      </c>
    </row>
    <row r="41">
      <c r="A41" t="inlineStr">
        <is>
          <t>Tela proteção</t>
        </is>
      </c>
      <c r="B41" s="28" t="n">
        <v>0.2</v>
      </c>
      <c r="C41" s="13">
        <f>CUSTOS_MACROGRUPO!$G$2*0.15*B41</f>
        <v/>
      </c>
      <c r="D41" s="13">
        <f>C41/DADOS_PROJETO!$B$6</f>
        <v/>
      </c>
    </row>
    <row r="42">
      <c r="A42" t="inlineStr">
        <is>
          <t>Linha de vida</t>
        </is>
      </c>
      <c r="B42" s="28" t="n">
        <v>0.15</v>
      </c>
      <c r="C42" s="13">
        <f>CUSTOS_MACROGRUPO!$G$2*0.15*B42</f>
        <v/>
      </c>
      <c r="D42" s="13">
        <f>C42/DADOS_PROJETO!$B$6</f>
        <v/>
      </c>
    </row>
    <row r="43">
      <c r="A43" t="inlineStr">
        <is>
          <t>Sinalização</t>
        </is>
      </c>
      <c r="B43" s="28" t="n">
        <v>0.1</v>
      </c>
      <c r="C43" s="13">
        <f>CUSTOS_MACROGRUPO!$G$2*0.15*B43</f>
        <v/>
      </c>
      <c r="D43" s="13">
        <f>C43/DADOS_PROJETO!$B$6</f>
        <v/>
      </c>
    </row>
    <row r="44">
      <c r="A44" t="inlineStr">
        <is>
          <t>Outros</t>
        </is>
      </c>
      <c r="B44" s="28" t="n">
        <v>0.05</v>
      </c>
      <c r="C44" s="13">
        <f>CUSTOS_MACROGRUPO!$G$2*0.15*B44</f>
        <v/>
      </c>
      <c r="D44" s="13">
        <f>C44/DADOS_PROJETO!$B$6</f>
        <v/>
      </c>
    </row>
    <row r="45">
      <c r="A45" s="2" t="inlineStr">
        <is>
          <t>TOTAL EPCs</t>
        </is>
      </c>
      <c r="C45" s="30">
        <f>SUM(C39:C44)</f>
        <v/>
      </c>
      <c r="D45" s="30">
        <f>C45/DADOS_PROJETO!$B$6</f>
        <v/>
      </c>
    </row>
    <row r="47">
      <c r="A47" s="32" t="inlineStr">
        <is>
          <t>EQUIPAMENTOS (10%)</t>
        </is>
      </c>
    </row>
    <row r="48">
      <c r="A48" s="6" t="inlineStr">
        <is>
          <t>Disciplina</t>
        </is>
      </c>
      <c r="B48" s="6" t="inlineStr">
        <is>
          <t>Peso %</t>
        </is>
      </c>
      <c r="C48" s="6" t="inlineStr">
        <is>
          <t>Valor (R$)</t>
        </is>
      </c>
      <c r="D48" s="6" t="inlineStr">
        <is>
          <t>R$/m²</t>
        </is>
      </c>
      <c r="E48" s="6" t="inlineStr"/>
      <c r="F48" s="6" t="inlineStr"/>
    </row>
    <row r="49">
      <c r="A49" t="inlineStr">
        <is>
          <t>Cremalheira</t>
        </is>
      </c>
      <c r="B49" s="28" t="n">
        <v>0.4</v>
      </c>
      <c r="C49" s="13">
        <f>CUSTOS_MACROGRUPO!$G$2*0.10*B49</f>
        <v/>
      </c>
      <c r="D49" s="13">
        <f>C49/DADOS_PROJETO!$B$6</f>
        <v/>
      </c>
    </row>
    <row r="50">
      <c r="A50" t="inlineStr">
        <is>
          <t>Grua/Guindaste</t>
        </is>
      </c>
      <c r="B50" s="28" t="n">
        <v>0.3</v>
      </c>
      <c r="C50" s="13">
        <f>CUSTOS_MACROGRUPO!$G$2*0.10*B50</f>
        <v/>
      </c>
      <c r="D50" s="13">
        <f>C50/DADOS_PROJETO!$B$6</f>
        <v/>
      </c>
    </row>
    <row r="51">
      <c r="A51" t="inlineStr">
        <is>
          <t>Balancins</t>
        </is>
      </c>
      <c r="B51" s="28" t="n">
        <v>0.15</v>
      </c>
      <c r="C51" s="13">
        <f>CUSTOS_MACROGRUPO!$G$2*0.10*B51</f>
        <v/>
      </c>
      <c r="D51" s="13">
        <f>C51/DADOS_PROJETO!$B$6</f>
        <v/>
      </c>
    </row>
    <row r="52">
      <c r="A52" t="inlineStr">
        <is>
          <t>Mini-Grua</t>
        </is>
      </c>
      <c r="B52" s="28" t="n">
        <v>0.1</v>
      </c>
      <c r="C52" s="13">
        <f>CUSTOS_MACROGRUPO!$G$2*0.10*B52</f>
        <v/>
      </c>
      <c r="D52" s="13">
        <f>C52/DADOS_PROJETO!$B$6</f>
        <v/>
      </c>
    </row>
    <row r="53">
      <c r="A53" t="inlineStr">
        <is>
          <t>Outros</t>
        </is>
      </c>
      <c r="B53" s="28" t="n">
        <v>0.05</v>
      </c>
      <c r="C53" s="13">
        <f>CUSTOS_MACROGRUPO!$G$2*0.10*B53</f>
        <v/>
      </c>
      <c r="D53" s="13">
        <f>C53/DADOS_PROJETO!$B$6</f>
        <v/>
      </c>
    </row>
    <row r="54">
      <c r="A54" s="2" t="inlineStr">
        <is>
          <t>TOTAL EQUIPAMENTOS</t>
        </is>
      </c>
      <c r="C54" s="30">
        <f>SUM(C49:C53)</f>
        <v/>
      </c>
      <c r="D54" s="30">
        <f>C54/DADOS_PROJETO!$B$6</f>
        <v/>
      </c>
    </row>
    <row r="56">
      <c r="A56" s="37" t="inlineStr">
        <is>
          <t>ENSAIOS (5%)</t>
        </is>
      </c>
    </row>
    <row r="57">
      <c r="A57" s="6" t="inlineStr">
        <is>
          <t>Disciplina</t>
        </is>
      </c>
      <c r="B57" s="6" t="inlineStr">
        <is>
          <t>Peso %</t>
        </is>
      </c>
      <c r="C57" s="6" t="inlineStr">
        <is>
          <t>Valor (R$)</t>
        </is>
      </c>
      <c r="D57" s="6" t="inlineStr">
        <is>
          <t>R$/m²</t>
        </is>
      </c>
      <c r="E57" s="6" t="inlineStr"/>
      <c r="F57" s="6" t="inlineStr"/>
    </row>
    <row r="58">
      <c r="A58" t="inlineStr">
        <is>
          <t>Concreto (CP)</t>
        </is>
      </c>
      <c r="B58" s="28" t="n">
        <v>0.4</v>
      </c>
      <c r="C58" s="13">
        <f>CUSTOS_MACROGRUPO!$G$2*0.05*B58</f>
        <v/>
      </c>
      <c r="D58" s="13">
        <f>C58/DADOS_PROJETO!$B$6</f>
        <v/>
      </c>
    </row>
    <row r="59">
      <c r="A59" t="inlineStr">
        <is>
          <t>Aço</t>
        </is>
      </c>
      <c r="B59" s="28" t="n">
        <v>0.15</v>
      </c>
      <c r="C59" s="13">
        <f>CUSTOS_MACROGRUPO!$G$2*0.05*B59</f>
        <v/>
      </c>
      <c r="D59" s="13">
        <f>C59/DADOS_PROJETO!$B$6</f>
        <v/>
      </c>
    </row>
    <row r="60">
      <c r="A60" t="inlineStr">
        <is>
          <t>Solo/Fundações</t>
        </is>
      </c>
      <c r="B60" s="28" t="n">
        <v>0.2</v>
      </c>
      <c r="C60" s="13">
        <f>CUSTOS_MACROGRUPO!$G$2*0.05*B60</f>
        <v/>
      </c>
      <c r="D60" s="13">
        <f>C60/DADOS_PROJETO!$B$6</f>
        <v/>
      </c>
    </row>
    <row r="61">
      <c r="A61" t="inlineStr">
        <is>
          <t>Estanqueidade</t>
        </is>
      </c>
      <c r="B61" s="28" t="n">
        <v>0.15</v>
      </c>
      <c r="C61" s="13">
        <f>CUSTOS_MACROGRUPO!$G$2*0.05*B61</f>
        <v/>
      </c>
      <c r="D61" s="13">
        <f>C61/DADOS_PROJETO!$B$6</f>
        <v/>
      </c>
    </row>
    <row r="62">
      <c r="A62" t="inlineStr">
        <is>
          <t>Outros</t>
        </is>
      </c>
      <c r="B62" s="28" t="n">
        <v>0.1</v>
      </c>
      <c r="C62" s="13">
        <f>CUSTOS_MACROGRUPO!$G$2*0.05*B62</f>
        <v/>
      </c>
      <c r="D62" s="13">
        <f>C62/DADOS_PROJETO!$B$6</f>
        <v/>
      </c>
    </row>
    <row r="63">
      <c r="A63" s="2" t="inlineStr">
        <is>
          <t>TOTAL ENSAIOS</t>
        </is>
      </c>
      <c r="C63" s="30">
        <f>SUM(C58:C62)</f>
        <v/>
      </c>
      <c r="D63" s="30">
        <f>C63/DADOS_PROJETO!$B$6</f>
        <v/>
      </c>
    </row>
  </sheetData>
  <mergeCells count="7">
    <mergeCell ref="A47:F47"/>
    <mergeCell ref="A1:F1"/>
    <mergeCell ref="A37:F37"/>
    <mergeCell ref="A27:F27"/>
    <mergeCell ref="A17:F17"/>
    <mergeCell ref="A56:F56"/>
    <mergeCell ref="A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" t="inlineStr">
        <is>
          <t>BENCHMARK — PROJETOS DE REFERÊNCIA</t>
        </is>
      </c>
    </row>
    <row r="3">
      <c r="A3" s="6" t="inlineStr">
        <is>
          <t>Projeto</t>
        </is>
      </c>
      <c r="B3" s="6" t="inlineStr">
        <is>
          <t>Cidade</t>
        </is>
      </c>
      <c r="C3" s="6" t="inlineStr">
        <is>
          <t>AC (m²)</t>
        </is>
      </c>
      <c r="D3" s="6" t="inlineStr">
        <is>
          <t>NP</t>
        </is>
      </c>
      <c r="E3" s="6" t="inlineStr">
        <is>
          <t>Prazo (meses)</t>
        </is>
      </c>
      <c r="F3" s="6" t="inlineStr">
        <is>
          <t>CUB (R$/m²)</t>
        </is>
      </c>
      <c r="G3" s="6" t="inlineStr">
        <is>
          <t>R$/m² Original</t>
        </is>
      </c>
      <c r="H3" s="6" t="inlineStr">
        <is>
          <t>CUB Ratio</t>
        </is>
      </c>
      <c r="I3" s="6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47" t="n">
        <v>12880</v>
      </c>
      <c r="D4" t="n">
        <v>25</v>
      </c>
      <c r="E4" t="n">
        <v>36</v>
      </c>
      <c r="F4" s="48" t="n">
        <v>2753</v>
      </c>
      <c r="G4" s="48" t="n">
        <v>3291</v>
      </c>
      <c r="H4" s="49" t="n">
        <v>1.2</v>
      </c>
      <c r="I4" s="13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47" t="n">
        <v>9242</v>
      </c>
      <c r="D5" t="n">
        <v>20</v>
      </c>
      <c r="E5" t="n">
        <v>30</v>
      </c>
      <c r="F5" s="48" t="n">
        <v>3009</v>
      </c>
      <c r="G5" s="48" t="n">
        <v>3376</v>
      </c>
      <c r="H5" s="49" t="n">
        <v>1.12</v>
      </c>
      <c r="I5" s="13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47" t="n">
        <v>13144</v>
      </c>
      <c r="D6" t="n">
        <v>28</v>
      </c>
      <c r="E6" t="n">
        <v>36</v>
      </c>
      <c r="F6" s="48" t="n">
        <v>2900</v>
      </c>
      <c r="G6" s="48" t="n">
        <v>3150</v>
      </c>
      <c r="H6" s="49" t="n">
        <v>1.09</v>
      </c>
      <c r="I6" s="13">
        <f>H6*DADOS_PROJETO!$B$19</f>
        <v/>
      </c>
    </row>
    <row r="7">
      <c r="A7" t="inlineStr">
        <is>
          <t>Dlohn</t>
        </is>
      </c>
      <c r="B7" t="inlineStr">
        <is>
          <t>Blumenau</t>
        </is>
      </c>
      <c r="C7" s="47" t="n">
        <v>8500</v>
      </c>
      <c r="D7" t="n">
        <v>18</v>
      </c>
      <c r="E7" t="n">
        <v>24</v>
      </c>
      <c r="F7" s="48" t="n">
        <v>2800</v>
      </c>
      <c r="G7" s="48" t="n">
        <v>3080</v>
      </c>
      <c r="H7" s="49" t="n">
        <v>1.1</v>
      </c>
      <c r="I7" s="13">
        <f>H7*DADOS_PROJETO!$B$19</f>
        <v/>
      </c>
    </row>
    <row r="8">
      <c r="A8" t="inlineStr">
        <is>
          <t>Eternity</t>
        </is>
      </c>
      <c r="B8" t="inlineStr">
        <is>
          <t>Itajaí</t>
        </is>
      </c>
      <c r="C8" s="47" t="n">
        <v>11200</v>
      </c>
      <c r="D8" t="n">
        <v>22</v>
      </c>
      <c r="E8" t="n">
        <v>30</v>
      </c>
      <c r="F8" s="48" t="n">
        <v>2850</v>
      </c>
      <c r="G8" s="48" t="n">
        <v>3420</v>
      </c>
      <c r="H8" s="49" t="n">
        <v>1.2</v>
      </c>
      <c r="I8" s="13">
        <f>H8*DADOS_PROJETO!$B$19</f>
        <v/>
      </c>
    </row>
    <row r="9">
      <c r="A9" t="inlineStr">
        <is>
          <t>Lorenzo</t>
        </is>
      </c>
      <c r="B9" t="inlineStr">
        <is>
          <t>Itajaí</t>
        </is>
      </c>
      <c r="C9" s="47" t="n">
        <v>9800</v>
      </c>
      <c r="D9" t="n">
        <v>20</v>
      </c>
      <c r="E9" t="n">
        <v>28</v>
      </c>
      <c r="F9" s="48" t="n">
        <v>2780</v>
      </c>
      <c r="G9" s="48" t="n">
        <v>3190</v>
      </c>
      <c r="H9" s="49" t="n">
        <v>1.15</v>
      </c>
      <c r="I9" s="13">
        <f>H9*DADOS_PROJETO!$B$19</f>
        <v/>
      </c>
    </row>
    <row r="10">
      <c r="A10" t="inlineStr">
        <is>
          <t>Monolyt</t>
        </is>
      </c>
      <c r="B10" t="inlineStr">
        <is>
          <t>Floripa</t>
        </is>
      </c>
      <c r="C10" s="47" t="n">
        <v>18500</v>
      </c>
      <c r="D10" t="n">
        <v>32</v>
      </c>
      <c r="E10" t="n">
        <v>42</v>
      </c>
      <c r="F10" s="48" t="n">
        <v>2900</v>
      </c>
      <c r="G10" s="48" t="n">
        <v>3480</v>
      </c>
      <c r="H10" s="49" t="n">
        <v>1.2</v>
      </c>
      <c r="I10" s="13">
        <f>H10*DADOS_PROJETO!$B$19</f>
        <v/>
      </c>
    </row>
    <row r="11">
      <c r="A11" t="inlineStr">
        <is>
          <t>Cota365</t>
        </is>
      </c>
      <c r="B11" t="inlineStr">
        <is>
          <t>Floripa</t>
        </is>
      </c>
      <c r="C11" s="47" t="n">
        <v>10500</v>
      </c>
      <c r="D11" t="n">
        <v>24</v>
      </c>
      <c r="E11" t="n">
        <v>30</v>
      </c>
      <c r="F11" s="48" t="n">
        <v>2850</v>
      </c>
      <c r="G11" s="48" t="n">
        <v>3250</v>
      </c>
      <c r="H11" s="49" t="n">
        <v>1.14</v>
      </c>
      <c r="I11" s="13">
        <f>H11*DADOS_PROJETO!$B$19</f>
        <v/>
      </c>
    </row>
    <row r="13">
      <c r="A13" s="50" t="inlineStr">
        <is>
          <t>ESTE PROJETO</t>
        </is>
      </c>
      <c r="B13">
        <f>DADOS_PROJETO!B4</f>
        <v/>
      </c>
      <c r="C13" s="51">
        <f>DADOS_PROJETO!B6</f>
        <v/>
      </c>
      <c r="D13" s="2">
        <f>DADOS_PROJETO!B9</f>
        <v/>
      </c>
      <c r="E13" s="2">
        <f>DADOS_PROJETO!B17</f>
        <v/>
      </c>
      <c r="F13" s="30">
        <f>DADOS_PROJETO!B19</f>
        <v/>
      </c>
      <c r="G13" s="30">
        <f>CUSTOS_MACROGRUPO!G20/DADOS_PROJETO!B6</f>
        <v/>
      </c>
      <c r="H13" s="52">
        <f>(CUSTOS_MACROGRUPO!G20/DADOS_PROJETO!B6)/DADOS_PROJETO!B19</f>
        <v/>
      </c>
      <c r="I13" s="53">
        <f>CUSTOS_MACROGRUPO!G20/DADOS_PROJETO!B6</f>
        <v/>
      </c>
    </row>
    <row r="15">
      <c r="A15" s="43" t="inlineStr">
        <is>
          <t>COMPARATIVO POR MACROGRUPO (R$/m²)</t>
        </is>
      </c>
    </row>
    <row r="16">
      <c r="A16" s="6" t="inlineStr">
        <is>
          <t>Macrogrupo</t>
        </is>
      </c>
      <c r="B16" s="6" t="inlineStr">
        <is>
          <t>Média Base</t>
        </is>
      </c>
      <c r="C16" s="6" t="inlineStr">
        <is>
          <t>Este Projeto</t>
        </is>
      </c>
      <c r="D16" s="6" t="inlineStr">
        <is>
          <t>Diferença %</t>
        </is>
      </c>
    </row>
    <row r="17">
      <c r="A17" t="inlineStr">
        <is>
          <t>Gerenciamento</t>
        </is>
      </c>
      <c r="B17" s="24" t="n">
        <v>421</v>
      </c>
      <c r="C17" s="24">
        <f>CUSTOS_MACROGRUPO!F2</f>
        <v/>
      </c>
      <c r="D17" s="15">
        <f>(C17-B17)/B17</f>
        <v/>
      </c>
    </row>
    <row r="18">
      <c r="A18" t="inlineStr">
        <is>
          <t>Infraestrutura</t>
        </is>
      </c>
      <c r="B18" s="24" t="n">
        <v>233</v>
      </c>
      <c r="C18" s="24">
        <f>CUSTOS_MACROGRUPO!F4</f>
        <v/>
      </c>
      <c r="D18" s="15">
        <f>(C18-B18)/B18</f>
        <v/>
      </c>
    </row>
    <row r="19">
      <c r="A19" t="inlineStr">
        <is>
          <t>Supraestrutura</t>
        </is>
      </c>
      <c r="B19" s="24" t="n">
        <v>753</v>
      </c>
      <c r="C19" s="24">
        <f>CUSTOS_MACROGRUPO!F5</f>
        <v/>
      </c>
      <c r="D19" s="15">
        <f>(C19-B19)/B19</f>
        <v/>
      </c>
    </row>
    <row r="20">
      <c r="A20" t="inlineStr">
        <is>
          <t>Instalações</t>
        </is>
      </c>
      <c r="B20" s="24" t="n">
        <v>388</v>
      </c>
      <c r="C20" s="24">
        <f>CUSTOS_MACROGRUPO!F8</f>
        <v/>
      </c>
      <c r="D20" s="15">
        <f>(C20-B20)/B20</f>
        <v/>
      </c>
    </row>
    <row r="21">
      <c r="A21" t="inlineStr">
        <is>
          <t>Pisos</t>
        </is>
      </c>
      <c r="B21" s="24" t="n">
        <v>199</v>
      </c>
      <c r="C21" s="24">
        <f>CUSTOS_MACROGRUPO!F13</f>
        <v/>
      </c>
      <c r="D21" s="15">
        <f>(C21-B21)/B21</f>
        <v/>
      </c>
    </row>
    <row r="22">
      <c r="A22" t="inlineStr">
        <is>
          <t>Esquadrias</t>
        </is>
      </c>
      <c r="B22" s="24" t="n">
        <v>366</v>
      </c>
      <c r="C22" s="24">
        <f>CUSTOS_MACROGRUPO!F15</f>
        <v/>
      </c>
      <c r="D22" s="15">
        <f>(C22-B22)/B22</f>
        <v/>
      </c>
    </row>
    <row r="23">
      <c r="A23" t="inlineStr">
        <is>
          <t>Fachada</t>
        </is>
      </c>
      <c r="B23" s="24" t="n">
        <v>177</v>
      </c>
      <c r="C23" s="24">
        <f>CUSTOS_MACROGRUPO!F17</f>
        <v/>
      </c>
      <c r="D23" s="15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498DB"/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ANÁLISE DE PRODUTO</t>
        </is>
      </c>
    </row>
    <row r="3">
      <c r="A3" s="6" t="inlineStr">
        <is>
          <t>Indicador</t>
        </is>
      </c>
      <c r="B3" s="6" t="inlineStr">
        <is>
          <t>Este Projeto</t>
        </is>
      </c>
      <c r="C3" s="6" t="inlineStr">
        <is>
          <t>Faixa Típica</t>
        </is>
      </c>
      <c r="D3" s="6" t="inlineStr">
        <is>
          <t>Status</t>
        </is>
      </c>
    </row>
    <row r="4">
      <c r="A4" s="2" t="inlineStr">
        <is>
          <t>AC/UR (m²/UR)</t>
        </is>
      </c>
      <c r="B4" s="54">
        <f>DADOS_PROJETO!B6/DADOS_PROJETO!B7</f>
        <v/>
      </c>
      <c r="C4" s="9" t="inlineStr">
        <is>
          <t>90-160</t>
        </is>
      </c>
      <c r="D4" s="55">
        <f>IF(AND(B4&gt;=90,B4&lt;=160),"OK","ATENÇÃO")</f>
        <v/>
      </c>
    </row>
    <row r="5">
      <c r="A5" s="2" t="inlineStr">
        <is>
          <t>Custo/UR (R$)</t>
        </is>
      </c>
      <c r="B5" s="14">
        <f>CUSTOS_MACROGRUPO!G20/DADOS_PROJETO!B7</f>
        <v/>
      </c>
      <c r="C5" s="9" t="inlineStr">
        <is>
          <t>—</t>
        </is>
      </c>
    </row>
    <row r="6">
      <c r="A6" s="2" t="inlineStr">
        <is>
          <t>R$/m² (R$/m²)</t>
        </is>
      </c>
      <c r="B6" s="14">
        <f>CUSTOS_MACROGRUPO!G20/DADOS_PROJETO!B6</f>
        <v/>
      </c>
      <c r="C6" s="9" t="inlineStr">
        <is>
          <t>—</t>
        </is>
      </c>
    </row>
    <row r="7">
      <c r="A7" s="2" t="inlineStr">
        <is>
          <t>CUB Ratio</t>
        </is>
      </c>
      <c r="B7" s="54">
        <f>(CUSTOS_MACROGRUPO!G20/DADOS_PROJETO!B6)/DADOS_PROJETO!B19</f>
        <v/>
      </c>
      <c r="C7" s="9" t="inlineStr">
        <is>
          <t>1.00-1.50</t>
        </is>
      </c>
      <c r="D7" s="55">
        <f>IF(AND(B7&gt;=1,B7&lt;=1.5),"OK",IF(B7&gt;1.5,"ALTO","BAIXO"))</f>
        <v/>
      </c>
    </row>
    <row r="8">
      <c r="A8" s="2" t="inlineStr">
        <is>
          <t>Vagas/UR</t>
        </is>
      </c>
      <c r="B8" s="54">
        <f>DADOS_PROJETO!B13/DADOS_PROJETO!B7</f>
        <v/>
      </c>
      <c r="C8" s="9" t="inlineStr">
        <is>
          <t>1.0-2.0</t>
        </is>
      </c>
      <c r="D8" s="55">
        <f>IF(AND(B8&gt;=1,B8&lt;=2),"OK","ATENÇÃO")</f>
        <v/>
      </c>
    </row>
    <row r="9">
      <c r="A9" s="2" t="inlineStr">
        <is>
          <t>% Tipo (NPT/NP)</t>
        </is>
      </c>
      <c r="B9" s="56">
        <f>DADOS_PROJETO!B10/DADOS_PROJETO!B9</f>
        <v/>
      </c>
      <c r="C9" s="9" t="inlineStr">
        <is>
          <t>60-80%</t>
        </is>
      </c>
      <c r="D9" s="55">
        <f>IF(AND(B9&gt;=0.6,B9&lt;=0.8),"OK","ATENÇÃO")</f>
        <v/>
      </c>
    </row>
    <row r="10">
      <c r="A10" s="2" t="inlineStr">
        <is>
          <t>Elevador/UR</t>
        </is>
      </c>
      <c r="B10" s="54">
        <f>DADOS_PROJETO!B12/DADOS_PROJETO!B7</f>
        <v/>
      </c>
      <c r="C10" s="9" t="inlineStr">
        <is>
          <t>0.015-0.030</t>
        </is>
      </c>
      <c r="D10" s="55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6" t="inlineStr">
        <is>
          <t>ALERTAS E VALIDAÇÕES</t>
        </is>
      </c>
    </row>
    <row r="2">
      <c r="A2" s="6" t="inlineStr">
        <is>
          <t>Macrogrupo</t>
        </is>
      </c>
      <c r="B2" s="6" t="inlineStr">
        <is>
          <t>R$/m² Calculado</t>
        </is>
      </c>
      <c r="C2" s="6" t="inlineStr">
        <is>
          <t>Faixa Esperada</t>
        </is>
      </c>
      <c r="D2" s="6" t="inlineStr">
        <is>
          <t>Status</t>
        </is>
      </c>
    </row>
    <row r="3">
      <c r="A3">
        <f>CUSTOS_MACROGRUPO!B2</f>
        <v/>
      </c>
      <c r="B3" s="48">
        <f>CUSTOS_MACROGRUPO!F2</f>
        <v/>
      </c>
      <c r="C3">
        <f>CUSTOS_MACROGRUPO!I2&amp;" - "&amp;CUSTOS_MACROGRUPO!J2</f>
        <v/>
      </c>
      <c r="D3" s="57">
        <f>CUSTOS_MACROGRUPO!K2</f>
        <v/>
      </c>
    </row>
    <row r="4">
      <c r="A4">
        <f>CUSTOS_MACROGRUPO!B3</f>
        <v/>
      </c>
      <c r="B4" s="48">
        <f>CUSTOS_MACROGRUPO!F3</f>
        <v/>
      </c>
      <c r="C4">
        <f>CUSTOS_MACROGRUPO!I3&amp;" - "&amp;CUSTOS_MACROGRUPO!J3</f>
        <v/>
      </c>
      <c r="D4" s="57">
        <f>CUSTOS_MACROGRUPO!K3</f>
        <v/>
      </c>
    </row>
    <row r="5">
      <c r="A5">
        <f>CUSTOS_MACROGRUPO!B4</f>
        <v/>
      </c>
      <c r="B5" s="48">
        <f>CUSTOS_MACROGRUPO!F4</f>
        <v/>
      </c>
      <c r="C5">
        <f>CUSTOS_MACROGRUPO!I4&amp;" - "&amp;CUSTOS_MACROGRUPO!J4</f>
        <v/>
      </c>
      <c r="D5" s="57">
        <f>CUSTOS_MACROGRUPO!K4</f>
        <v/>
      </c>
    </row>
    <row r="6">
      <c r="A6">
        <f>CUSTOS_MACROGRUPO!B5</f>
        <v/>
      </c>
      <c r="B6" s="48">
        <f>CUSTOS_MACROGRUPO!F5</f>
        <v/>
      </c>
      <c r="C6">
        <f>CUSTOS_MACROGRUPO!I5&amp;" - "&amp;CUSTOS_MACROGRUPO!J5</f>
        <v/>
      </c>
      <c r="D6" s="57">
        <f>CUSTOS_MACROGRUPO!K5</f>
        <v/>
      </c>
    </row>
    <row r="7">
      <c r="A7">
        <f>CUSTOS_MACROGRUPO!B6</f>
        <v/>
      </c>
      <c r="B7" s="48">
        <f>CUSTOS_MACROGRUPO!F6</f>
        <v/>
      </c>
      <c r="C7">
        <f>CUSTOS_MACROGRUPO!I6&amp;" - "&amp;CUSTOS_MACROGRUPO!J6</f>
        <v/>
      </c>
      <c r="D7" s="57">
        <f>CUSTOS_MACROGRUPO!K6</f>
        <v/>
      </c>
    </row>
    <row r="8">
      <c r="A8">
        <f>CUSTOS_MACROGRUPO!B7</f>
        <v/>
      </c>
      <c r="B8" s="48">
        <f>CUSTOS_MACROGRUPO!F7</f>
        <v/>
      </c>
      <c r="C8">
        <f>CUSTOS_MACROGRUPO!I7&amp;" - "&amp;CUSTOS_MACROGRUPO!J7</f>
        <v/>
      </c>
      <c r="D8" s="57">
        <f>CUSTOS_MACROGRUPO!K7</f>
        <v/>
      </c>
    </row>
    <row r="9">
      <c r="A9">
        <f>CUSTOS_MACROGRUPO!B8</f>
        <v/>
      </c>
      <c r="B9" s="48">
        <f>CUSTOS_MACROGRUPO!F8</f>
        <v/>
      </c>
      <c r="C9">
        <f>CUSTOS_MACROGRUPO!I8&amp;" - "&amp;CUSTOS_MACROGRUPO!J8</f>
        <v/>
      </c>
      <c r="D9" s="57">
        <f>CUSTOS_MACROGRUPO!K8</f>
        <v/>
      </c>
    </row>
    <row r="10">
      <c r="A10">
        <f>CUSTOS_MACROGRUPO!B9</f>
        <v/>
      </c>
      <c r="B10" s="48">
        <f>CUSTOS_MACROGRUPO!F9</f>
        <v/>
      </c>
      <c r="C10">
        <f>CUSTOS_MACROGRUPO!I9&amp;" - "&amp;CUSTOS_MACROGRUPO!J9</f>
        <v/>
      </c>
      <c r="D10" s="57">
        <f>CUSTOS_MACROGRUPO!K9</f>
        <v/>
      </c>
    </row>
    <row r="11">
      <c r="A11">
        <f>CUSTOS_MACROGRUPO!B10</f>
        <v/>
      </c>
      <c r="B11" s="48">
        <f>CUSTOS_MACROGRUPO!F10</f>
        <v/>
      </c>
      <c r="C11">
        <f>CUSTOS_MACROGRUPO!I10&amp;" - "&amp;CUSTOS_MACROGRUPO!J10</f>
        <v/>
      </c>
      <c r="D11" s="57">
        <f>CUSTOS_MACROGRUPO!K10</f>
        <v/>
      </c>
    </row>
    <row r="12">
      <c r="A12">
        <f>CUSTOS_MACROGRUPO!B11</f>
        <v/>
      </c>
      <c r="B12" s="48">
        <f>CUSTOS_MACROGRUPO!F11</f>
        <v/>
      </c>
      <c r="C12">
        <f>CUSTOS_MACROGRUPO!I11&amp;" - "&amp;CUSTOS_MACROGRUPO!J11</f>
        <v/>
      </c>
      <c r="D12" s="57">
        <f>CUSTOS_MACROGRUPO!K11</f>
        <v/>
      </c>
    </row>
    <row r="13">
      <c r="A13">
        <f>CUSTOS_MACROGRUPO!B12</f>
        <v/>
      </c>
      <c r="B13" s="48">
        <f>CUSTOS_MACROGRUPO!F12</f>
        <v/>
      </c>
      <c r="C13">
        <f>CUSTOS_MACROGRUPO!I12&amp;" - "&amp;CUSTOS_MACROGRUPO!J12</f>
        <v/>
      </c>
      <c r="D13" s="57">
        <f>CUSTOS_MACROGRUPO!K12</f>
        <v/>
      </c>
    </row>
    <row r="14">
      <c r="A14">
        <f>CUSTOS_MACROGRUPO!B13</f>
        <v/>
      </c>
      <c r="B14" s="48">
        <f>CUSTOS_MACROGRUPO!F13</f>
        <v/>
      </c>
      <c r="C14">
        <f>CUSTOS_MACROGRUPO!I13&amp;" - "&amp;CUSTOS_MACROGRUPO!J13</f>
        <v/>
      </c>
      <c r="D14" s="57">
        <f>CUSTOS_MACROGRUPO!K13</f>
        <v/>
      </c>
    </row>
    <row r="15">
      <c r="A15">
        <f>CUSTOS_MACROGRUPO!B14</f>
        <v/>
      </c>
      <c r="B15" s="48">
        <f>CUSTOS_MACROGRUPO!F14</f>
        <v/>
      </c>
      <c r="C15">
        <f>CUSTOS_MACROGRUPO!I14&amp;" - "&amp;CUSTOS_MACROGRUPO!J14</f>
        <v/>
      </c>
      <c r="D15" s="57">
        <f>CUSTOS_MACROGRUPO!K14</f>
        <v/>
      </c>
    </row>
    <row r="16">
      <c r="A16">
        <f>CUSTOS_MACROGRUPO!B15</f>
        <v/>
      </c>
      <c r="B16" s="48">
        <f>CUSTOS_MACROGRUPO!F15</f>
        <v/>
      </c>
      <c r="C16">
        <f>CUSTOS_MACROGRUPO!I15&amp;" - "&amp;CUSTOS_MACROGRUPO!J15</f>
        <v/>
      </c>
      <c r="D16" s="57">
        <f>CUSTOS_MACROGRUPO!K15</f>
        <v/>
      </c>
    </row>
    <row r="17">
      <c r="A17">
        <f>CUSTOS_MACROGRUPO!B16</f>
        <v/>
      </c>
      <c r="B17" s="48">
        <f>CUSTOS_MACROGRUPO!F16</f>
        <v/>
      </c>
      <c r="C17">
        <f>CUSTOS_MACROGRUPO!I16&amp;" - "&amp;CUSTOS_MACROGRUPO!J16</f>
        <v/>
      </c>
      <c r="D17" s="57">
        <f>CUSTOS_MACROGRUPO!K16</f>
        <v/>
      </c>
    </row>
    <row r="18">
      <c r="A18">
        <f>CUSTOS_MACROGRUPO!B17</f>
        <v/>
      </c>
      <c r="B18" s="48">
        <f>CUSTOS_MACROGRUPO!F17</f>
        <v/>
      </c>
      <c r="C18">
        <f>CUSTOS_MACROGRUPO!I17&amp;" - "&amp;CUSTOS_MACROGRUPO!J17</f>
        <v/>
      </c>
      <c r="D18" s="57">
        <f>CUSTOS_MACROGRUPO!K17</f>
        <v/>
      </c>
    </row>
    <row r="19">
      <c r="A19">
        <f>CUSTOS_MACROGRUPO!B18</f>
        <v/>
      </c>
      <c r="B19" s="48">
        <f>CUSTOS_MACROGRUPO!F18</f>
        <v/>
      </c>
      <c r="C19">
        <f>CUSTOS_MACROGRUPO!I18&amp;" - "&amp;CUSTOS_MACROGRUPO!J18</f>
        <v/>
      </c>
      <c r="D19" s="57">
        <f>CUSTOS_MACROGRUPO!K18</f>
        <v/>
      </c>
    </row>
    <row r="20">
      <c r="A20">
        <f>CUSTOS_MACROGRUPO!B19</f>
        <v/>
      </c>
      <c r="B20" s="48">
        <f>CUSTOS_MACROGRUPO!F19</f>
        <v/>
      </c>
      <c r="C20">
        <f>CUSTOS_MACROGRUPO!I19&amp;" - "&amp;CUSTOS_MACROGRUPO!J19</f>
        <v/>
      </c>
      <c r="D20" s="57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PREMISSAS E LIMITAÇÕES</t>
        </is>
      </c>
    </row>
    <row r="2">
      <c r="A2" s="58" t="inlineStr"/>
    </row>
    <row r="3">
      <c r="A3" s="59" t="inlineStr">
        <is>
          <t>SOBRE ESTE TEMPLATE:</t>
        </is>
      </c>
    </row>
    <row r="4">
      <c r="A4" s="58" t="inlineStr">
        <is>
          <t>Este orçamento paramétrico foi desenvolvido pela Cartesian Engenharia para estimativas rápidas de custos de obras residenciais/comerciais.</t>
        </is>
      </c>
    </row>
    <row r="5">
      <c r="A5" s="58" t="inlineStr"/>
    </row>
    <row r="6">
      <c r="A6" s="59" t="inlineStr">
        <is>
          <t>BASE DE CALIBRAÇÃO:</t>
        </is>
      </c>
    </row>
    <row r="7">
      <c r="A7" s="58" t="inlineStr">
        <is>
          <t>- Mediana calibrada com 75 projetos reais executados entre 2022-2024</t>
        </is>
      </c>
    </row>
    <row r="8">
      <c r="A8" s="58" t="inlineStr">
        <is>
          <t>- Valores calibrados a valor presente (mar/2026)</t>
        </is>
      </c>
    </row>
    <row r="9">
      <c r="A9" s="58" t="inlineStr">
        <is>
          <t>- Faixas P10-P90 representam variação observada nos projetos da base</t>
        </is>
      </c>
    </row>
    <row r="10">
      <c r="A10" s="58" t="inlineStr"/>
    </row>
    <row r="11">
      <c r="A11" s="59" t="inlineStr">
        <is>
          <t>COMO USAR:</t>
        </is>
      </c>
    </row>
    <row r="12">
      <c r="A12" s="58" t="inlineStr">
        <is>
          <t>1. Preencha DADOS_PROJETO com informações do empreendimento</t>
        </is>
      </c>
    </row>
    <row r="13">
      <c r="A13" s="58" t="inlineStr">
        <is>
          <t>2. Responda as 25 perguntas do BRIEFING (use os dropdowns)</t>
        </is>
      </c>
    </row>
    <row r="14">
      <c r="A14" s="58" t="inlineStr">
        <is>
          <t>3. Os custos em CUSTOS_MACROGRUPO são calculados automaticamente</t>
        </is>
      </c>
    </row>
    <row r="15">
      <c r="A15" s="58" t="inlineStr">
        <is>
          <t>4. Verifique ALERTAS para validar se os valores estão dentro das faixas esperadas</t>
        </is>
      </c>
    </row>
    <row r="16">
      <c r="A16" s="58" t="inlineStr">
        <is>
          <t>5. Use PAINEL para visualização rápida dos principais indicadores</t>
        </is>
      </c>
    </row>
    <row r="17">
      <c r="A17" s="58" t="inlineStr"/>
    </row>
    <row r="18">
      <c r="A18" s="59" t="inlineStr">
        <is>
          <t>MODELO DE CÁLCULO:</t>
        </is>
      </c>
    </row>
    <row r="19">
      <c r="A19" s="58" t="inlineStr">
        <is>
          <t>Valor Final (R$/m²) = Base × Fator CUB × Fator Briefing Composto</t>
        </is>
      </c>
    </row>
    <row r="20">
      <c r="A20" s="58" t="inlineStr"/>
    </row>
    <row r="21">
      <c r="A21" s="58" t="inlineStr">
        <is>
          <t>Onde:</t>
        </is>
      </c>
    </row>
    <row r="22">
      <c r="A22" s="58" t="inlineStr">
        <is>
          <t>- Base = Mediana calibrada do macrogrupo (mar/2026)</t>
        </is>
      </c>
    </row>
    <row r="23">
      <c r="A23" s="58" t="inlineStr">
        <is>
          <t>- Fator CUB = CUB Atual / CUB Base (ajuste inflação)</t>
        </is>
      </c>
    </row>
    <row r="24">
      <c r="A24" s="58" t="inlineStr">
        <is>
          <t>- Fator Briefing Composto = Produto de todos os fatores das 25 perguntas</t>
        </is>
      </c>
    </row>
    <row r="25">
      <c r="A25" s="58" t="inlineStr"/>
    </row>
    <row r="26">
      <c r="A26" s="59" t="inlineStr">
        <is>
          <t>LIMITAÇÕES:</t>
        </is>
      </c>
    </row>
    <row r="27">
      <c r="A27" s="58" t="inlineStr">
        <is>
          <t>- Estimativa preliminar, não substitui orçamento executivo</t>
        </is>
      </c>
    </row>
    <row r="28">
      <c r="A28" s="58" t="inlineStr">
        <is>
          <t>- Não inclui: terreno, projetos, aprovações, marketing, impostos</t>
        </is>
      </c>
    </row>
    <row r="29">
      <c r="A29" s="58" t="inlineStr">
        <is>
          <t>- Climatização e Louças/Metais são placeholders (valor 0)</t>
        </is>
      </c>
    </row>
    <row r="30">
      <c r="A30" s="58" t="inlineStr">
        <is>
          <t>- Faixas podem variar conforme região e características específicas</t>
        </is>
      </c>
    </row>
    <row r="31">
      <c r="A31" s="58" t="inlineStr"/>
    </row>
    <row r="32">
      <c r="A32" s="59" t="inlineStr">
        <is>
          <t>ATENÇÃO:</t>
        </is>
      </c>
    </row>
    <row r="33">
      <c r="A33" s="58" t="inlineStr">
        <is>
          <t>- Semáforo verde: dentro da faixa P10-P90</t>
        </is>
      </c>
    </row>
    <row r="34">
      <c r="A34" s="58" t="inlineStr">
        <is>
          <t>- Semáforo amarelo: fora da faixa, mas dentro de ±20%</t>
        </is>
      </c>
    </row>
    <row r="35">
      <c r="A35" s="58" t="inlineStr">
        <is>
          <t>- Semáforo vermelho: &gt;20% fora da faixa (revisar premissas)</t>
        </is>
      </c>
    </row>
    <row r="36">
      <c r="A36" s="58" t="inlineStr"/>
    </row>
    <row r="37">
      <c r="A37" s="59" t="inlineStr">
        <is>
          <t>CONTATO:</t>
        </is>
      </c>
    </row>
    <row r="38">
      <c r="A38" s="58" t="inlineStr">
        <is>
          <t>Cartesian Engenharia</t>
        </is>
      </c>
    </row>
    <row r="39">
      <c r="A39" s="58" t="inlineStr">
        <is>
          <t>leonardo@cartesianengenharia.com</t>
        </is>
      </c>
    </row>
    <row r="40">
      <c r="A40" s="58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2026-03-13T02:43:25Z</dcterms:created>
  <dcterms:modified xmlns:dcterms="http://purl.org/dc/terms/" xmlns:xsi="http://www.w3.org/2001/XMLSchema-instance" xsi:type="dcterms:W3CDTF">2026-03-13T02:43:25Z</dcterms:modified>
</cp:coreProperties>
</file>