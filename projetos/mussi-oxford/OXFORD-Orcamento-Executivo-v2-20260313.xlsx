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1. ESTRUTURA (POR PAV)" sheetId="2" state="visible" r:id="rId2"/>
    <sheet xmlns:r="http://schemas.openxmlformats.org/officeDocument/2006/relationships" name="2. RESUMO CONSOLID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24"/>
    </font>
    <font>
      <b val="1"/>
    </font>
    <font>
      <b val="1"/>
      <sz val="14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8EA9DB"/>
        <bgColor rgb="008EA9DB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indent="1"/>
    </xf>
    <xf numFmtId="4" fontId="0" fillId="0" borderId="1" pivotButton="0" quotePrefix="0" xfId="0"/>
    <xf numFmtId="164" fontId="0" fillId="0" borderId="1" pivotButton="0" quotePrefix="0" xfId="0"/>
    <xf numFmtId="0" fontId="2" fillId="5" borderId="1" applyAlignment="1" pivotButton="0" quotePrefix="0" xfId="0">
      <alignment horizontal="right" indent="1"/>
    </xf>
    <xf numFmtId="164" fontId="2" fillId="5" borderId="1" pivotButton="0" quotePrefix="0" xfId="0"/>
    <xf numFmtId="0" fontId="2" fillId="5" borderId="1" applyAlignment="1" pivotButton="0" quotePrefix="0" xfId="0">
      <alignment horizontal="right"/>
    </xf>
    <xf numFmtId="0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30" customWidth="1" min="2" max="2"/>
    <col width="80" customWidth="1" min="3" max="3"/>
  </cols>
  <sheetData>
    <row r="2">
      <c r="B2" s="1" t="inlineStr">
        <is>
          <t>ORÇAMENTO EXECUTIVO</t>
        </is>
      </c>
    </row>
    <row r="3"/>
    <row r="5">
      <c r="B5" s="2" t="inlineStr">
        <is>
          <t>PROJETO:</t>
        </is>
      </c>
      <c r="C5" t="inlineStr">
        <is>
          <t>Oxford 600 Residence</t>
        </is>
      </c>
    </row>
    <row r="6">
      <c r="B6" s="2" t="inlineStr">
        <is>
          <t>CLIENTE:</t>
        </is>
      </c>
      <c r="C6" t="inlineStr">
        <is>
          <t>Mussi Empreendimentos</t>
        </is>
      </c>
    </row>
    <row r="7">
      <c r="B7" s="2" t="inlineStr">
        <is>
          <t>ENDEREÇO:</t>
        </is>
      </c>
      <c r="C7" t="inlineStr">
        <is>
          <t>Rua Uruguai / Rua Imbituba - Centro, Itajaí/SC</t>
        </is>
      </c>
    </row>
    <row r="8">
      <c r="B8" s="2" t="inlineStr">
        <is>
          <t>DATA-BASE:</t>
        </is>
      </c>
      <c r="C8" t="inlineStr">
        <is>
          <t>março/2026</t>
        </is>
      </c>
    </row>
    <row r="9">
      <c r="B9" s="2" t="inlineStr">
        <is>
          <t>RESPONSÁVEL TÉCNICO:</t>
        </is>
      </c>
      <c r="C9" t="inlineStr">
        <is>
          <t>Cartesian Engenharia</t>
        </is>
      </c>
    </row>
    <row r="10">
      <c r="B10" s="2" t="inlineStr">
        <is>
          <t>BDI APLICADO:</t>
        </is>
      </c>
      <c r="C10" t="inlineStr">
        <is>
          <t>25.0%</t>
        </is>
      </c>
    </row>
    <row r="11">
      <c r="B11" s="2" t="inlineStr">
        <is>
          <t>DATA DO ORÇAMENTO:</t>
        </is>
      </c>
      <c r="C11" t="inlineStr">
        <is>
          <t>13/03/2026</t>
        </is>
      </c>
    </row>
    <row r="12">
      <c r="B12" s="2" t="inlineStr">
        <is>
          <t>VERSÃO:</t>
        </is>
      </c>
      <c r="C12" t="inlineStr">
        <is>
          <t>v2 - Com divisão por pavimento</t>
        </is>
      </c>
    </row>
    <row r="15">
      <c r="B15" s="3" t="inlineStr">
        <is>
          <t>CARACTERÍSTICAS DO EMPREENDIMENTO</t>
        </is>
      </c>
    </row>
    <row r="16">
      <c r="B16" s="2" t="inlineStr">
        <is>
          <t>Pavimentos:</t>
        </is>
      </c>
      <c r="C16" t="inlineStr">
        <is>
          <t>27 níveis (Térreo + 4 Garagens + Lazer + 17 Tipos + Ático + 3 Técnicos)</t>
        </is>
      </c>
    </row>
    <row r="17">
      <c r="B17" s="2" t="inlineStr">
        <is>
          <t>Altura:</t>
        </is>
      </c>
      <c r="C17" t="inlineStr">
        <is>
          <t>71,90 m</t>
        </is>
      </c>
    </row>
    <row r="18">
      <c r="B18" s="2" t="inlineStr">
        <is>
          <t>Unidades Residenciais:</t>
        </is>
      </c>
      <c r="C18" t="inlineStr">
        <is>
          <t>~85-100 unidades</t>
        </is>
      </c>
    </row>
    <row r="19">
      <c r="B19" s="2" t="inlineStr">
        <is>
          <t>Vagas de Garagem:</t>
        </is>
      </c>
      <c r="C19" t="inlineStr">
        <is>
          <t>136 vagas</t>
        </is>
      </c>
    </row>
    <row r="20">
      <c r="B20" s="2" t="inlineStr">
        <is>
          <t>Lazer:</t>
        </is>
      </c>
      <c r="C20" t="inlineStr">
        <is>
          <t>432,88 m² (piscina, fitness, coworking, 9 ambientes)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INFRAESTRUTURA + SUPRAESTRUTURA - DIVISÃO POR PAVIMENTO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/>
      <c r="B3" s="6" t="inlineStr">
        <is>
          <t>Térreo</t>
        </is>
      </c>
      <c r="C3" s="6" t="inlineStr"/>
      <c r="D3" s="6" t="inlineStr"/>
      <c r="E3" s="6" t="n"/>
      <c r="F3" s="6" t="n"/>
      <c r="G3" s="6" t="n"/>
    </row>
    <row r="4">
      <c r="A4" s="7" t="inlineStr">
        <is>
          <t>1.1</t>
        </is>
      </c>
      <c r="B4" s="7" t="inlineStr">
        <is>
          <t>Térreo</t>
        </is>
      </c>
      <c r="C4" s="8" t="inlineStr">
        <is>
          <t>Concreto fck 30 MPa</t>
        </is>
      </c>
      <c r="D4" s="7" t="inlineStr">
        <is>
          <t>m³</t>
        </is>
      </c>
      <c r="E4" s="9" t="n">
        <v>341460</v>
      </c>
      <c r="F4" s="10" t="n">
        <v>750</v>
      </c>
      <c r="G4" s="10">
        <f>E4*F4</f>
        <v/>
      </c>
    </row>
    <row r="5">
      <c r="A5" s="7" t="inlineStr">
        <is>
          <t>1.2</t>
        </is>
      </c>
      <c r="B5" s="7" t="inlineStr">
        <is>
          <t>Térreo</t>
        </is>
      </c>
      <c r="C5" s="8" t="inlineStr">
        <is>
          <t>Aço CA-50 - Armadura</t>
        </is>
      </c>
      <c r="D5" s="7" t="inlineStr">
        <is>
          <t>kg</t>
        </is>
      </c>
      <c r="E5" s="9" t="n">
        <v>341.46</v>
      </c>
      <c r="F5" s="10" t="n">
        <v>7.5</v>
      </c>
      <c r="G5" s="10">
        <f>E5*F5</f>
        <v/>
      </c>
    </row>
    <row r="6">
      <c r="A6" s="11" t="inlineStr">
        <is>
          <t>Subtotal Térreo</t>
        </is>
      </c>
      <c r="B6" s="7" t="n"/>
      <c r="C6" s="7" t="n"/>
      <c r="D6" s="7" t="n"/>
      <c r="E6" s="7" t="n"/>
      <c r="F6" s="7" t="n"/>
      <c r="G6" s="12">
        <f>SUM(G4:G5)</f>
        <v/>
      </c>
    </row>
    <row r="8">
      <c r="A8" s="6" t="inlineStr"/>
      <c r="B8" s="6" t="inlineStr">
        <is>
          <t>Garagem 2</t>
        </is>
      </c>
      <c r="C8" s="6" t="inlineStr"/>
      <c r="D8" s="6" t="inlineStr"/>
      <c r="E8" s="6" t="n"/>
      <c r="F8" s="6" t="n"/>
      <c r="G8" s="6" t="n"/>
    </row>
    <row r="9">
      <c r="A9" s="7" t="inlineStr">
        <is>
          <t>1.1</t>
        </is>
      </c>
      <c r="B9" s="7" t="inlineStr">
        <is>
          <t>Garagem 2</t>
        </is>
      </c>
      <c r="C9" s="8" t="inlineStr">
        <is>
          <t>Concreto fck 30 MPa</t>
        </is>
      </c>
      <c r="D9" s="7" t="inlineStr">
        <is>
          <t>m³</t>
        </is>
      </c>
      <c r="E9" s="9" t="n">
        <v>175840</v>
      </c>
      <c r="F9" s="10" t="n">
        <v>750</v>
      </c>
      <c r="G9" s="10">
        <f>E9*F9</f>
        <v/>
      </c>
    </row>
    <row r="10">
      <c r="A10" s="7" t="inlineStr">
        <is>
          <t>1.2</t>
        </is>
      </c>
      <c r="B10" s="7" t="inlineStr">
        <is>
          <t>Garagem 2</t>
        </is>
      </c>
      <c r="C10" s="8" t="inlineStr">
        <is>
          <t>Aço CA-50 - Armadura</t>
        </is>
      </c>
      <c r="D10" s="7" t="inlineStr">
        <is>
          <t>kg</t>
        </is>
      </c>
      <c r="E10" s="9" t="n">
        <v>175.84</v>
      </c>
      <c r="F10" s="10" t="n">
        <v>7.5</v>
      </c>
      <c r="G10" s="10">
        <f>E10*F10</f>
        <v/>
      </c>
    </row>
    <row r="11">
      <c r="A11" s="11" t="inlineStr">
        <is>
          <t>Subtotal Garagem 2</t>
        </is>
      </c>
      <c r="B11" s="7" t="n"/>
      <c r="C11" s="7" t="n"/>
      <c r="D11" s="7" t="n"/>
      <c r="E11" s="7" t="n"/>
      <c r="F11" s="7" t="n"/>
      <c r="G11" s="12">
        <f>SUM(G9:G10)</f>
        <v/>
      </c>
    </row>
    <row r="13">
      <c r="A13" s="6" t="inlineStr"/>
      <c r="B13" s="6" t="inlineStr">
        <is>
          <t>15º Pavimento (Tipo 10)</t>
        </is>
      </c>
      <c r="C13" s="6" t="inlineStr"/>
      <c r="D13" s="6" t="inlineStr"/>
      <c r="E13" s="6" t="n"/>
      <c r="F13" s="6" t="n"/>
      <c r="G13" s="6" t="n"/>
    </row>
    <row r="14">
      <c r="A14" s="7" t="inlineStr">
        <is>
          <t>1.1</t>
        </is>
      </c>
      <c r="B14" s="7" t="inlineStr">
        <is>
          <t>15º Pavimento (Tipo 10)</t>
        </is>
      </c>
      <c r="C14" s="8" t="inlineStr">
        <is>
          <t>Concreto fck 30 MPa</t>
        </is>
      </c>
      <c r="D14" s="7" t="inlineStr">
        <is>
          <t>m³</t>
        </is>
      </c>
      <c r="E14" s="9" t="n">
        <v>122450</v>
      </c>
      <c r="F14" s="10" t="n">
        <v>750</v>
      </c>
      <c r="G14" s="10">
        <f>E14*F14</f>
        <v/>
      </c>
    </row>
    <row r="15">
      <c r="A15" s="7" t="inlineStr">
        <is>
          <t>1.2</t>
        </is>
      </c>
      <c r="B15" s="7" t="inlineStr">
        <is>
          <t>15º Pavimento (Tipo 10)</t>
        </is>
      </c>
      <c r="C15" s="8" t="inlineStr">
        <is>
          <t>Aço CA-50 - Armadura</t>
        </is>
      </c>
      <c r="D15" s="7" t="inlineStr">
        <is>
          <t>kg</t>
        </is>
      </c>
      <c r="E15" s="9" t="n">
        <v>122.45</v>
      </c>
      <c r="F15" s="10" t="n">
        <v>7.5</v>
      </c>
      <c r="G15" s="10">
        <f>E15*F15</f>
        <v/>
      </c>
    </row>
    <row r="16">
      <c r="A16" s="11" t="inlineStr">
        <is>
          <t>Subtotal 15º Pavimento (Tipo 10)</t>
        </is>
      </c>
      <c r="B16" s="7" t="n"/>
      <c r="C16" s="7" t="n"/>
      <c r="D16" s="7" t="n"/>
      <c r="E16" s="7" t="n"/>
      <c r="F16" s="7" t="n"/>
      <c r="G16" s="12">
        <f>SUM(G14:G15)</f>
        <v/>
      </c>
    </row>
    <row r="18">
      <c r="A18" s="6" t="inlineStr"/>
      <c r="B18" s="6" t="inlineStr">
        <is>
          <t>16º Pavimento (Tipo 11)</t>
        </is>
      </c>
      <c r="C18" s="6" t="inlineStr"/>
      <c r="D18" s="6" t="inlineStr"/>
      <c r="E18" s="6" t="n"/>
      <c r="F18" s="6" t="n"/>
      <c r="G18" s="6" t="n"/>
    </row>
    <row r="19">
      <c r="A19" s="7" t="inlineStr">
        <is>
          <t>1.1</t>
        </is>
      </c>
      <c r="B19" s="7" t="inlineStr">
        <is>
          <t>16º Pavimento (Tipo 11)</t>
        </is>
      </c>
      <c r="C19" s="8" t="inlineStr">
        <is>
          <t>Concreto fck 30 MPa</t>
        </is>
      </c>
      <c r="D19" s="7" t="inlineStr">
        <is>
          <t>m³</t>
        </is>
      </c>
      <c r="E19" s="9" t="n">
        <v>122450</v>
      </c>
      <c r="F19" s="10" t="n">
        <v>750</v>
      </c>
      <c r="G19" s="10">
        <f>E19*F19</f>
        <v/>
      </c>
    </row>
    <row r="20">
      <c r="A20" s="7" t="inlineStr">
        <is>
          <t>1.2</t>
        </is>
      </c>
      <c r="B20" s="7" t="inlineStr">
        <is>
          <t>16º Pavimento (Tipo 11)</t>
        </is>
      </c>
      <c r="C20" s="8" t="inlineStr">
        <is>
          <t>Aço CA-50 - Armadura</t>
        </is>
      </c>
      <c r="D20" s="7" t="inlineStr">
        <is>
          <t>kg</t>
        </is>
      </c>
      <c r="E20" s="9" t="n">
        <v>122.45</v>
      </c>
      <c r="F20" s="10" t="n">
        <v>7.5</v>
      </c>
      <c r="G20" s="10">
        <f>E20*F20</f>
        <v/>
      </c>
    </row>
    <row r="21">
      <c r="A21" s="11" t="inlineStr">
        <is>
          <t>Subtotal 16º Pavimento (Tipo 11)</t>
        </is>
      </c>
      <c r="B21" s="7" t="n"/>
      <c r="C21" s="7" t="n"/>
      <c r="D21" s="7" t="n"/>
      <c r="E21" s="7" t="n"/>
      <c r="F21" s="7" t="n"/>
      <c r="G21" s="12">
        <f>SUM(G19:G20)</f>
        <v/>
      </c>
    </row>
    <row r="23">
      <c r="A23" s="6" t="inlineStr"/>
      <c r="B23" s="6" t="inlineStr">
        <is>
          <t>17º Pavimento (Tipo 12)</t>
        </is>
      </c>
      <c r="C23" s="6" t="inlineStr"/>
      <c r="D23" s="6" t="inlineStr"/>
      <c r="E23" s="6" t="n"/>
      <c r="F23" s="6" t="n"/>
      <c r="G23" s="6" t="n"/>
    </row>
    <row r="24">
      <c r="A24" s="7" t="inlineStr">
        <is>
          <t>1.1</t>
        </is>
      </c>
      <c r="B24" s="7" t="inlineStr">
        <is>
          <t>17º Pavimento (Tipo 12)</t>
        </is>
      </c>
      <c r="C24" s="8" t="inlineStr">
        <is>
          <t>Concreto fck 30 MPa</t>
        </is>
      </c>
      <c r="D24" s="7" t="inlineStr">
        <is>
          <t>m³</t>
        </is>
      </c>
      <c r="E24" s="9" t="n">
        <v>122450</v>
      </c>
      <c r="F24" s="10" t="n">
        <v>750</v>
      </c>
      <c r="G24" s="10">
        <f>E24*F24</f>
        <v/>
      </c>
    </row>
    <row r="25">
      <c r="A25" s="7" t="inlineStr">
        <is>
          <t>1.2</t>
        </is>
      </c>
      <c r="B25" s="7" t="inlineStr">
        <is>
          <t>17º Pavimento (Tipo 12)</t>
        </is>
      </c>
      <c r="C25" s="8" t="inlineStr">
        <is>
          <t>Aço CA-50 - Armadura</t>
        </is>
      </c>
      <c r="D25" s="7" t="inlineStr">
        <is>
          <t>kg</t>
        </is>
      </c>
      <c r="E25" s="9" t="n">
        <v>122.45</v>
      </c>
      <c r="F25" s="10" t="n">
        <v>7.5</v>
      </c>
      <c r="G25" s="10">
        <f>E25*F25</f>
        <v/>
      </c>
    </row>
    <row r="26">
      <c r="A26" s="11" t="inlineStr">
        <is>
          <t>Subtotal 17º Pavimento (Tipo 12)</t>
        </is>
      </c>
      <c r="B26" s="7" t="n"/>
      <c r="C26" s="7" t="n"/>
      <c r="D26" s="7" t="n"/>
      <c r="E26" s="7" t="n"/>
      <c r="F26" s="7" t="n"/>
      <c r="G26" s="12">
        <f>SUM(G24:G25)</f>
        <v/>
      </c>
    </row>
    <row r="28">
      <c r="A28" s="6" t="inlineStr"/>
      <c r="B28" s="6" t="inlineStr">
        <is>
          <t>18º Pavimento (Tipo 13)</t>
        </is>
      </c>
      <c r="C28" s="6" t="inlineStr"/>
      <c r="D28" s="6" t="inlineStr"/>
      <c r="E28" s="6" t="n"/>
      <c r="F28" s="6" t="n"/>
      <c r="G28" s="6" t="n"/>
    </row>
    <row r="29">
      <c r="A29" s="7" t="inlineStr">
        <is>
          <t>1.1</t>
        </is>
      </c>
      <c r="B29" s="7" t="inlineStr">
        <is>
          <t>18º Pavimento (Tipo 13)</t>
        </is>
      </c>
      <c r="C29" s="8" t="inlineStr">
        <is>
          <t>Concreto fck 30 MPa</t>
        </is>
      </c>
      <c r="D29" s="7" t="inlineStr">
        <is>
          <t>m³</t>
        </is>
      </c>
      <c r="E29" s="9" t="n">
        <v>122450</v>
      </c>
      <c r="F29" s="10" t="n">
        <v>750</v>
      </c>
      <c r="G29" s="10">
        <f>E29*F29</f>
        <v/>
      </c>
    </row>
    <row r="30">
      <c r="A30" s="7" t="inlineStr">
        <is>
          <t>1.2</t>
        </is>
      </c>
      <c r="B30" s="7" t="inlineStr">
        <is>
          <t>18º Pavimento (Tipo 13)</t>
        </is>
      </c>
      <c r="C30" s="8" t="inlineStr">
        <is>
          <t>Aço CA-50 - Armadura</t>
        </is>
      </c>
      <c r="D30" s="7" t="inlineStr">
        <is>
          <t>kg</t>
        </is>
      </c>
      <c r="E30" s="9" t="n">
        <v>122.45</v>
      </c>
      <c r="F30" s="10" t="n">
        <v>7.5</v>
      </c>
      <c r="G30" s="10">
        <f>E30*F30</f>
        <v/>
      </c>
    </row>
    <row r="31">
      <c r="A31" s="11" t="inlineStr">
        <is>
          <t>Subtotal 18º Pavimento (Tipo 13)</t>
        </is>
      </c>
      <c r="B31" s="7" t="n"/>
      <c r="C31" s="7" t="n"/>
      <c r="D31" s="7" t="n"/>
      <c r="E31" s="7" t="n"/>
      <c r="F31" s="7" t="n"/>
      <c r="G31" s="12">
        <f>SUM(G29:G30)</f>
        <v/>
      </c>
    </row>
    <row r="33">
      <c r="A33" s="6" t="inlineStr"/>
      <c r="B33" s="6" t="inlineStr">
        <is>
          <t>19º Pavimento (Tipo 14)</t>
        </is>
      </c>
      <c r="C33" s="6" t="inlineStr"/>
      <c r="D33" s="6" t="inlineStr"/>
      <c r="E33" s="6" t="n"/>
      <c r="F33" s="6" t="n"/>
      <c r="G33" s="6" t="n"/>
    </row>
    <row r="34">
      <c r="A34" s="7" t="inlineStr">
        <is>
          <t>1.1</t>
        </is>
      </c>
      <c r="B34" s="7" t="inlineStr">
        <is>
          <t>19º Pavimento (Tipo 14)</t>
        </is>
      </c>
      <c r="C34" s="8" t="inlineStr">
        <is>
          <t>Concreto fck 30 MPa</t>
        </is>
      </c>
      <c r="D34" s="7" t="inlineStr">
        <is>
          <t>m³</t>
        </is>
      </c>
      <c r="E34" s="9" t="n">
        <v>122450</v>
      </c>
      <c r="F34" s="10" t="n">
        <v>750</v>
      </c>
      <c r="G34" s="10">
        <f>E34*F34</f>
        <v/>
      </c>
    </row>
    <row r="35">
      <c r="A35" s="7" t="inlineStr">
        <is>
          <t>1.2</t>
        </is>
      </c>
      <c r="B35" s="7" t="inlineStr">
        <is>
          <t>19º Pavimento (Tipo 14)</t>
        </is>
      </c>
      <c r="C35" s="8" t="inlineStr">
        <is>
          <t>Aço CA-50 - Armadura</t>
        </is>
      </c>
      <c r="D35" s="7" t="inlineStr">
        <is>
          <t>kg</t>
        </is>
      </c>
      <c r="E35" s="9" t="n">
        <v>122.45</v>
      </c>
      <c r="F35" s="10" t="n">
        <v>7.5</v>
      </c>
      <c r="G35" s="10">
        <f>E35*F35</f>
        <v/>
      </c>
    </row>
    <row r="36">
      <c r="A36" s="11" t="inlineStr">
        <is>
          <t>Subtotal 19º Pavimento (Tipo 14)</t>
        </is>
      </c>
      <c r="B36" s="7" t="n"/>
      <c r="C36" s="7" t="n"/>
      <c r="D36" s="7" t="n"/>
      <c r="E36" s="7" t="n"/>
      <c r="F36" s="7" t="n"/>
      <c r="G36" s="12">
        <f>SUM(G34:G35)</f>
        <v/>
      </c>
    </row>
    <row r="38">
      <c r="A38" s="6" t="inlineStr"/>
      <c r="B38" s="6" t="inlineStr">
        <is>
          <t>20º Pavimento (Tipo 15)</t>
        </is>
      </c>
      <c r="C38" s="6" t="inlineStr"/>
      <c r="D38" s="6" t="inlineStr"/>
      <c r="E38" s="6" t="n"/>
      <c r="F38" s="6" t="n"/>
      <c r="G38" s="6" t="n"/>
    </row>
    <row r="39">
      <c r="A39" s="7" t="inlineStr">
        <is>
          <t>1.1</t>
        </is>
      </c>
      <c r="B39" s="7" t="inlineStr">
        <is>
          <t>20º Pavimento (Tipo 15)</t>
        </is>
      </c>
      <c r="C39" s="8" t="inlineStr">
        <is>
          <t>Concreto fck 30 MPa</t>
        </is>
      </c>
      <c r="D39" s="7" t="inlineStr">
        <is>
          <t>m³</t>
        </is>
      </c>
      <c r="E39" s="9" t="n">
        <v>122450</v>
      </c>
      <c r="F39" s="10" t="n">
        <v>750</v>
      </c>
      <c r="G39" s="10">
        <f>E39*F39</f>
        <v/>
      </c>
    </row>
    <row r="40">
      <c r="A40" s="7" t="inlineStr">
        <is>
          <t>1.2</t>
        </is>
      </c>
      <c r="B40" s="7" t="inlineStr">
        <is>
          <t>20º Pavimento (Tipo 15)</t>
        </is>
      </c>
      <c r="C40" s="8" t="inlineStr">
        <is>
          <t>Aço CA-50 - Armadura</t>
        </is>
      </c>
      <c r="D40" s="7" t="inlineStr">
        <is>
          <t>kg</t>
        </is>
      </c>
      <c r="E40" s="9" t="n">
        <v>122.45</v>
      </c>
      <c r="F40" s="10" t="n">
        <v>7.5</v>
      </c>
      <c r="G40" s="10">
        <f>E40*F40</f>
        <v/>
      </c>
    </row>
    <row r="41">
      <c r="A41" s="11" t="inlineStr">
        <is>
          <t>Subtotal 20º Pavimento (Tipo 15)</t>
        </is>
      </c>
      <c r="B41" s="7" t="n"/>
      <c r="C41" s="7" t="n"/>
      <c r="D41" s="7" t="n"/>
      <c r="E41" s="7" t="n"/>
      <c r="F41" s="7" t="n"/>
      <c r="G41" s="12">
        <f>SUM(G39:G40)</f>
        <v/>
      </c>
    </row>
    <row r="43">
      <c r="A43" s="6" t="inlineStr"/>
      <c r="B43" s="6" t="inlineStr">
        <is>
          <t>21º Pavimento (Tipo 16)</t>
        </is>
      </c>
      <c r="C43" s="6" t="inlineStr"/>
      <c r="D43" s="6" t="inlineStr"/>
      <c r="E43" s="6" t="n"/>
      <c r="F43" s="6" t="n"/>
      <c r="G43" s="6" t="n"/>
    </row>
    <row r="44">
      <c r="A44" s="7" t="inlineStr">
        <is>
          <t>1.1</t>
        </is>
      </c>
      <c r="B44" s="7" t="inlineStr">
        <is>
          <t>21º Pavimento (Tipo 16)</t>
        </is>
      </c>
      <c r="C44" s="8" t="inlineStr">
        <is>
          <t>Concreto fck 30 MPa</t>
        </is>
      </c>
      <c r="D44" s="7" t="inlineStr">
        <is>
          <t>m³</t>
        </is>
      </c>
      <c r="E44" s="9" t="n">
        <v>122450</v>
      </c>
      <c r="F44" s="10" t="n">
        <v>750</v>
      </c>
      <c r="G44" s="10">
        <f>E44*F44</f>
        <v/>
      </c>
    </row>
    <row r="45">
      <c r="A45" s="7" t="inlineStr">
        <is>
          <t>1.2</t>
        </is>
      </c>
      <c r="B45" s="7" t="inlineStr">
        <is>
          <t>21º Pavimento (Tipo 16)</t>
        </is>
      </c>
      <c r="C45" s="8" t="inlineStr">
        <is>
          <t>Aço CA-50 - Armadura</t>
        </is>
      </c>
      <c r="D45" s="7" t="inlineStr">
        <is>
          <t>kg</t>
        </is>
      </c>
      <c r="E45" s="9" t="n">
        <v>122.45</v>
      </c>
      <c r="F45" s="10" t="n">
        <v>7.5</v>
      </c>
      <c r="G45" s="10">
        <f>E45*F45</f>
        <v/>
      </c>
    </row>
    <row r="46">
      <c r="A46" s="11" t="inlineStr">
        <is>
          <t>Subtotal 21º Pavimento (Tipo 16)</t>
        </is>
      </c>
      <c r="B46" s="7" t="n"/>
      <c r="C46" s="7" t="n"/>
      <c r="D46" s="7" t="n"/>
      <c r="E46" s="7" t="n"/>
      <c r="F46" s="7" t="n"/>
      <c r="G46" s="12">
        <f>SUM(G44:G45)</f>
        <v/>
      </c>
    </row>
    <row r="48">
      <c r="A48" s="6" t="inlineStr"/>
      <c r="B48" s="6" t="inlineStr">
        <is>
          <t>22º Pavimento (Tipo 17)</t>
        </is>
      </c>
      <c r="C48" s="6" t="inlineStr"/>
      <c r="D48" s="6" t="inlineStr"/>
      <c r="E48" s="6" t="n"/>
      <c r="F48" s="6" t="n"/>
      <c r="G48" s="6" t="n"/>
    </row>
    <row r="49">
      <c r="A49" s="7" t="inlineStr">
        <is>
          <t>1.1</t>
        </is>
      </c>
      <c r="B49" s="7" t="inlineStr">
        <is>
          <t>22º Pavimento (Tipo 17)</t>
        </is>
      </c>
      <c r="C49" s="8" t="inlineStr">
        <is>
          <t>Concreto fck 30 MPa</t>
        </is>
      </c>
      <c r="D49" s="7" t="inlineStr">
        <is>
          <t>m³</t>
        </is>
      </c>
      <c r="E49" s="9" t="n">
        <v>122450</v>
      </c>
      <c r="F49" s="10" t="n">
        <v>750</v>
      </c>
      <c r="G49" s="10">
        <f>E49*F49</f>
        <v/>
      </c>
    </row>
    <row r="50">
      <c r="A50" s="7" t="inlineStr">
        <is>
          <t>1.2</t>
        </is>
      </c>
      <c r="B50" s="7" t="inlineStr">
        <is>
          <t>22º Pavimento (Tipo 17)</t>
        </is>
      </c>
      <c r="C50" s="8" t="inlineStr">
        <is>
          <t>Aço CA-50 - Armadura</t>
        </is>
      </c>
      <c r="D50" s="7" t="inlineStr">
        <is>
          <t>kg</t>
        </is>
      </c>
      <c r="E50" s="9" t="n">
        <v>122.45</v>
      </c>
      <c r="F50" s="10" t="n">
        <v>7.5</v>
      </c>
      <c r="G50" s="10">
        <f>E50*F50</f>
        <v/>
      </c>
    </row>
    <row r="51">
      <c r="A51" s="11" t="inlineStr">
        <is>
          <t>Subtotal 22º Pavimento (Tipo 17)</t>
        </is>
      </c>
      <c r="B51" s="7" t="n"/>
      <c r="C51" s="7" t="n"/>
      <c r="D51" s="7" t="n"/>
      <c r="E51" s="7" t="n"/>
      <c r="F51" s="7" t="n"/>
      <c r="G51" s="12">
        <f>SUM(G49:G50)</f>
        <v/>
      </c>
    </row>
    <row r="53">
      <c r="A53" s="6" t="inlineStr"/>
      <c r="B53" s="6" t="inlineStr">
        <is>
          <t>23º Pavimento (Tipo 18)</t>
        </is>
      </c>
      <c r="C53" s="6" t="inlineStr"/>
      <c r="D53" s="6" t="inlineStr"/>
      <c r="E53" s="6" t="n"/>
      <c r="F53" s="6" t="n"/>
      <c r="G53" s="6" t="n"/>
    </row>
    <row r="54">
      <c r="A54" s="7" t="inlineStr">
        <is>
          <t>1.1</t>
        </is>
      </c>
      <c r="B54" s="7" t="inlineStr">
        <is>
          <t>23º Pavimento (Tipo 18)</t>
        </is>
      </c>
      <c r="C54" s="8" t="inlineStr">
        <is>
          <t>Concreto fck 30 MPa</t>
        </is>
      </c>
      <c r="D54" s="7" t="inlineStr">
        <is>
          <t>m³</t>
        </is>
      </c>
      <c r="E54" s="9" t="n">
        <v>122450</v>
      </c>
      <c r="F54" s="10" t="n">
        <v>750</v>
      </c>
      <c r="G54" s="10">
        <f>E54*F54</f>
        <v/>
      </c>
    </row>
    <row r="55">
      <c r="A55" s="7" t="inlineStr">
        <is>
          <t>1.2</t>
        </is>
      </c>
      <c r="B55" s="7" t="inlineStr">
        <is>
          <t>23º Pavimento (Tipo 18)</t>
        </is>
      </c>
      <c r="C55" s="8" t="inlineStr">
        <is>
          <t>Aço CA-50 - Armadura</t>
        </is>
      </c>
      <c r="D55" s="7" t="inlineStr">
        <is>
          <t>kg</t>
        </is>
      </c>
      <c r="E55" s="9" t="n">
        <v>122.45</v>
      </c>
      <c r="F55" s="10" t="n">
        <v>7.5</v>
      </c>
      <c r="G55" s="10">
        <f>E55*F55</f>
        <v/>
      </c>
    </row>
    <row r="56">
      <c r="A56" s="11" t="inlineStr">
        <is>
          <t>Subtotal 23º Pavimento (Tipo 18)</t>
        </is>
      </c>
      <c r="B56" s="7" t="n"/>
      <c r="C56" s="7" t="n"/>
      <c r="D56" s="7" t="n"/>
      <c r="E56" s="7" t="n"/>
      <c r="F56" s="7" t="n"/>
      <c r="G56" s="12">
        <f>SUM(G54:G55)</f>
        <v/>
      </c>
    </row>
    <row r="58">
      <c r="A58" s="6" t="inlineStr"/>
      <c r="B58" s="6" t="inlineStr">
        <is>
          <t>Ático (24º)</t>
        </is>
      </c>
      <c r="C58" s="6" t="inlineStr"/>
      <c r="D58" s="6" t="inlineStr"/>
      <c r="E58" s="6" t="n"/>
      <c r="F58" s="6" t="n"/>
      <c r="G58" s="6" t="n"/>
    </row>
    <row r="59">
      <c r="A59" s="7" t="inlineStr">
        <is>
          <t>1.1</t>
        </is>
      </c>
      <c r="B59" s="7" t="inlineStr">
        <is>
          <t>Ático (24º)</t>
        </is>
      </c>
      <c r="C59" s="8" t="inlineStr">
        <is>
          <t>Concreto fck 30 MPa</t>
        </is>
      </c>
      <c r="D59" s="7" t="inlineStr">
        <is>
          <t>m³</t>
        </is>
      </c>
      <c r="E59" s="9" t="n">
        <v>111440</v>
      </c>
      <c r="F59" s="10" t="n">
        <v>750</v>
      </c>
      <c r="G59" s="10">
        <f>E59*F59</f>
        <v/>
      </c>
    </row>
    <row r="60">
      <c r="A60" s="7" t="inlineStr">
        <is>
          <t>1.2</t>
        </is>
      </c>
      <c r="B60" s="7" t="inlineStr">
        <is>
          <t>Ático (24º)</t>
        </is>
      </c>
      <c r="C60" s="8" t="inlineStr">
        <is>
          <t>Aço CA-50 - Armadura</t>
        </is>
      </c>
      <c r="D60" s="7" t="inlineStr">
        <is>
          <t>kg</t>
        </is>
      </c>
      <c r="E60" s="9" t="n">
        <v>111.44</v>
      </c>
      <c r="F60" s="10" t="n">
        <v>7.5</v>
      </c>
      <c r="G60" s="10">
        <f>E60*F60</f>
        <v/>
      </c>
    </row>
    <row r="61">
      <c r="A61" s="11" t="inlineStr">
        <is>
          <t>Subtotal Ático (24º)</t>
        </is>
      </c>
      <c r="B61" s="7" t="n"/>
      <c r="C61" s="7" t="n"/>
      <c r="D61" s="7" t="n"/>
      <c r="E61" s="7" t="n"/>
      <c r="F61" s="7" t="n"/>
      <c r="G61" s="12">
        <f>SUM(G59:G60)</f>
        <v/>
      </c>
    </row>
    <row r="64">
      <c r="A64" s="13" t="inlineStr">
        <is>
          <t>TOTAL ESTRUTURA</t>
        </is>
      </c>
      <c r="B64" s="7" t="n"/>
      <c r="C64" s="7" t="n"/>
      <c r="D64" s="7" t="n"/>
      <c r="E64" s="7" t="n"/>
      <c r="F64" s="7" t="n"/>
      <c r="G64" s="12">
        <f>SUM(G3:G63)</f>
        <v/>
      </c>
    </row>
  </sheetData>
  <mergeCells count="14">
    <mergeCell ref="A41:F41"/>
    <mergeCell ref="A16:F16"/>
    <mergeCell ref="A11:F11"/>
    <mergeCell ref="A51:F51"/>
    <mergeCell ref="A1:G1"/>
    <mergeCell ref="A46:F46"/>
    <mergeCell ref="A36:F36"/>
    <mergeCell ref="A31:F31"/>
    <mergeCell ref="A61:F61"/>
    <mergeCell ref="A6:F6"/>
    <mergeCell ref="A56:F56"/>
    <mergeCell ref="A26:F26"/>
    <mergeCell ref="A21:F21"/>
    <mergeCell ref="A64:F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RESUMO CONSOLIDADO - TODOS OS SISTEMAS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>
        <is>
          <t>1</t>
        </is>
      </c>
      <c r="B3" s="6" t="inlineStr"/>
      <c r="C3" s="6" t="inlineStr">
        <is>
          <t>ESTRUTURA</t>
        </is>
      </c>
      <c r="D3" s="6" t="inlineStr"/>
      <c r="E3" s="6" t="n"/>
      <c r="F3" s="6" t="n"/>
      <c r="G3" s="6" t="n"/>
    </row>
    <row r="4">
      <c r="A4" s="7" t="inlineStr">
        <is>
          <t>1.1</t>
        </is>
      </c>
      <c r="B4" s="7" t="inlineStr"/>
      <c r="C4" s="8" t="inlineStr">
        <is>
          <t>Concreto Total (todos os fck)</t>
        </is>
      </c>
      <c r="D4" s="7" t="inlineStr">
        <is>
          <t>m³</t>
        </is>
      </c>
      <c r="E4" s="9" t="n">
        <v>914510</v>
      </c>
      <c r="F4" s="10" t="n">
        <v>750</v>
      </c>
      <c r="G4" s="10">
        <f>E4*F4</f>
        <v/>
      </c>
    </row>
    <row r="5">
      <c r="A5" s="7" t="inlineStr">
        <is>
          <t>1.2</t>
        </is>
      </c>
      <c r="B5" s="7" t="inlineStr"/>
      <c r="C5" s="8" t="inlineStr">
        <is>
          <t>Aço CA-50 Total</t>
        </is>
      </c>
      <c r="D5" s="7" t="inlineStr">
        <is>
          <t>kg</t>
        </is>
      </c>
      <c r="E5" s="9" t="n">
        <v>991.5600000000001</v>
      </c>
      <c r="F5" s="10" t="n">
        <v>7.5</v>
      </c>
      <c r="G5" s="10">
        <f>E5*F5</f>
        <v/>
      </c>
    </row>
    <row r="6">
      <c r="A6" s="13" t="inlineStr">
        <is>
          <t>SUBTOTAL ESTRUTURA</t>
        </is>
      </c>
      <c r="B6" s="7" t="n"/>
      <c r="C6" s="7" t="n"/>
      <c r="D6" s="7" t="n"/>
      <c r="E6" s="7" t="n"/>
      <c r="F6" s="7" t="n"/>
      <c r="G6" s="12">
        <f>SUM(G4:G5)</f>
        <v/>
      </c>
    </row>
    <row r="8">
      <c r="A8" s="6" t="inlineStr">
        <is>
          <t>2</t>
        </is>
      </c>
      <c r="B8" s="6" t="inlineStr"/>
      <c r="C8" s="6" t="inlineStr">
        <is>
          <t>HIDROSSANITÁRIO</t>
        </is>
      </c>
      <c r="D8" s="6" t="inlineStr"/>
      <c r="E8" s="6" t="n"/>
      <c r="F8" s="6" t="n"/>
      <c r="G8" s="6" t="n"/>
    </row>
    <row r="9">
      <c r="A9" s="7" t="inlineStr">
        <is>
          <t>2.1</t>
        </is>
      </c>
      <c r="B9" s="7" t="inlineStr"/>
      <c r="C9" s="8" t="inlineStr">
        <is>
          <t>Tubulações Água Fria PVC/PPR</t>
        </is>
      </c>
      <c r="D9" s="7" t="inlineStr">
        <is>
          <t>m</t>
        </is>
      </c>
      <c r="E9" s="9" t="n">
        <v>3600</v>
      </c>
      <c r="F9" s="10" t="n">
        <v>45</v>
      </c>
      <c r="G9" s="10">
        <f>E9*F9</f>
        <v/>
      </c>
    </row>
    <row r="10">
      <c r="A10" s="7" t="inlineStr">
        <is>
          <t>2.2</t>
        </is>
      </c>
      <c r="B10" s="7" t="inlineStr"/>
      <c r="C10" s="8" t="inlineStr">
        <is>
          <t>Tubulações Água Quente PPR</t>
        </is>
      </c>
      <c r="D10" s="7" t="inlineStr">
        <is>
          <t>m</t>
        </is>
      </c>
      <c r="E10" s="9" t="n">
        <v>1800</v>
      </c>
      <c r="F10" s="10" t="n">
        <v>85</v>
      </c>
      <c r="G10" s="10">
        <f>E10*F10</f>
        <v/>
      </c>
    </row>
    <row r="11">
      <c r="A11" s="7" t="inlineStr">
        <is>
          <t>2.3</t>
        </is>
      </c>
      <c r="B11" s="7" t="inlineStr"/>
      <c r="C11" s="8" t="inlineStr">
        <is>
          <t>Tubulações Esgoto PVC</t>
        </is>
      </c>
      <c r="D11" s="7" t="inlineStr">
        <is>
          <t>m</t>
        </is>
      </c>
      <c r="E11" s="9" t="n">
        <v>3000</v>
      </c>
      <c r="F11" s="10" t="n">
        <v>38</v>
      </c>
      <c r="G11" s="10">
        <f>E11*F11</f>
        <v/>
      </c>
    </row>
    <row r="12">
      <c r="A12" s="7" t="inlineStr">
        <is>
          <t>2.4</t>
        </is>
      </c>
      <c r="B12" s="7" t="inlineStr"/>
      <c r="C12" s="8" t="inlineStr">
        <is>
          <t>Tubulações Águas Pluviais PVC</t>
        </is>
      </c>
      <c r="D12" s="7" t="inlineStr">
        <is>
          <t>m</t>
        </is>
      </c>
      <c r="E12" s="9" t="n">
        <v>800</v>
      </c>
      <c r="F12" s="10" t="n">
        <v>42</v>
      </c>
      <c r="G12" s="10">
        <f>E12*F12</f>
        <v/>
      </c>
    </row>
    <row r="13">
      <c r="A13" s="7" t="inlineStr">
        <is>
          <t>2.5</t>
        </is>
      </c>
      <c r="B13" s="7" t="inlineStr"/>
      <c r="C13" s="8" t="inlineStr">
        <is>
          <t>Louças e Metais Sanitários</t>
        </is>
      </c>
      <c r="D13" s="7" t="inlineStr">
        <is>
          <t>cj</t>
        </is>
      </c>
      <c r="E13" s="9" t="n">
        <v>85</v>
      </c>
      <c r="F13" s="10" t="n">
        <v>2500</v>
      </c>
      <c r="G13" s="10">
        <f>E13*F13</f>
        <v/>
      </c>
    </row>
    <row r="14">
      <c r="A14" s="13" t="inlineStr">
        <is>
          <t>SUBTOTAL HIDROSSANITÁRIO</t>
        </is>
      </c>
      <c r="B14" s="7" t="n"/>
      <c r="C14" s="7" t="n"/>
      <c r="D14" s="7" t="n"/>
      <c r="E14" s="7" t="n"/>
      <c r="F14" s="7" t="n"/>
      <c r="G14" s="12">
        <f>SUM(G9:G13)</f>
        <v/>
      </c>
    </row>
    <row r="16">
      <c r="A16" s="6" t="inlineStr">
        <is>
          <t>3</t>
        </is>
      </c>
      <c r="B16" s="6" t="inlineStr"/>
      <c r="C16" s="6" t="inlineStr">
        <is>
          <t>ELÉTRICO</t>
        </is>
      </c>
      <c r="D16" s="6" t="inlineStr"/>
      <c r="E16" s="6" t="n"/>
      <c r="F16" s="6" t="n"/>
      <c r="G16" s="6" t="n"/>
    </row>
    <row r="17">
      <c r="A17" s="7" t="inlineStr">
        <is>
          <t>3.1</t>
        </is>
      </c>
      <c r="B17" s="7" t="inlineStr"/>
      <c r="C17" s="8" t="inlineStr">
        <is>
          <t>Quadros de Distribuição</t>
        </is>
      </c>
      <c r="D17" s="7" t="inlineStr">
        <is>
          <t>un</t>
        </is>
      </c>
      <c r="E17" s="9" t="n">
        <v>110</v>
      </c>
      <c r="F17" s="10" t="n">
        <v>1200</v>
      </c>
      <c r="G17" s="10">
        <f>E17*F17</f>
        <v/>
      </c>
    </row>
    <row r="18">
      <c r="A18" s="7" t="inlineStr">
        <is>
          <t>3.2</t>
        </is>
      </c>
      <c r="B18" s="7" t="inlineStr"/>
      <c r="C18" s="8" t="inlineStr">
        <is>
          <t>Disjuntores e DRs</t>
        </is>
      </c>
      <c r="D18" s="7" t="inlineStr">
        <is>
          <t>un</t>
        </is>
      </c>
      <c r="E18" s="9" t="n">
        <v>2820</v>
      </c>
      <c r="F18" s="10" t="n">
        <v>85</v>
      </c>
      <c r="G18" s="10">
        <f>E18*F18</f>
        <v/>
      </c>
    </row>
    <row r="19">
      <c r="A19" s="7" t="inlineStr">
        <is>
          <t>3.3</t>
        </is>
      </c>
      <c r="B19" s="7" t="inlineStr"/>
      <c r="C19" s="8" t="inlineStr">
        <is>
          <t>Eletrodutos e Caixas</t>
        </is>
      </c>
      <c r="D19" s="7" t="inlineStr">
        <is>
          <t>m</t>
        </is>
      </c>
      <c r="E19" s="9" t="n">
        <v>8500</v>
      </c>
      <c r="F19" s="10" t="n">
        <v>22</v>
      </c>
      <c r="G19" s="10">
        <f>E19*F19</f>
        <v/>
      </c>
    </row>
    <row r="20">
      <c r="A20" s="7" t="inlineStr">
        <is>
          <t>3.4</t>
        </is>
      </c>
      <c r="B20" s="7" t="inlineStr"/>
      <c r="C20" s="8" t="inlineStr">
        <is>
          <t>Cabos e Condutores</t>
        </is>
      </c>
      <c r="D20" s="7" t="inlineStr">
        <is>
          <t>m</t>
        </is>
      </c>
      <c r="E20" s="9" t="n">
        <v>25000</v>
      </c>
      <c r="F20" s="10" t="n">
        <v>8.5</v>
      </c>
      <c r="G20" s="10">
        <f>E20*F20</f>
        <v/>
      </c>
    </row>
    <row r="21">
      <c r="A21" s="7" t="inlineStr">
        <is>
          <t>3.5</t>
        </is>
      </c>
      <c r="B21" s="7" t="inlineStr"/>
      <c r="C21" s="8" t="inlineStr">
        <is>
          <t>Transformador 500 kVA</t>
        </is>
      </c>
      <c r="D21" s="7" t="inlineStr">
        <is>
          <t>un</t>
        </is>
      </c>
      <c r="E21" s="9" t="n">
        <v>1</v>
      </c>
      <c r="F21" s="10" t="n">
        <v>85000</v>
      </c>
      <c r="G21" s="10">
        <f>E21*F21</f>
        <v/>
      </c>
    </row>
    <row r="22">
      <c r="A22" s="7" t="inlineStr">
        <is>
          <t>3.6</t>
        </is>
      </c>
      <c r="B22" s="7" t="inlineStr"/>
      <c r="C22" s="8" t="inlineStr">
        <is>
          <t>Gerador 200 kVA</t>
        </is>
      </c>
      <c r="D22" s="7" t="inlineStr">
        <is>
          <t>un</t>
        </is>
      </c>
      <c r="E22" s="9" t="n">
        <v>1</v>
      </c>
      <c r="F22" s="10" t="n">
        <v>120000</v>
      </c>
      <c r="G22" s="10">
        <f>E22*F22</f>
        <v/>
      </c>
    </row>
    <row r="23">
      <c r="A23" s="13" t="inlineStr">
        <is>
          <t>SUBTOTAL ELÉTRICO</t>
        </is>
      </c>
      <c r="B23" s="7" t="n"/>
      <c r="C23" s="7" t="n"/>
      <c r="D23" s="7" t="n"/>
      <c r="E23" s="7" t="n"/>
      <c r="F23" s="7" t="n"/>
      <c r="G23" s="12">
        <f>SUM(G17:G22)</f>
        <v/>
      </c>
    </row>
    <row r="26">
      <c r="A26" s="14" t="inlineStr">
        <is>
          <t>TOTAL GERAL (SEM BDI)</t>
        </is>
      </c>
      <c r="G26" s="15">
        <f>G3+G8+G16</f>
        <v/>
      </c>
    </row>
  </sheetData>
  <mergeCells count="5">
    <mergeCell ref="A1:G1"/>
    <mergeCell ref="A14:F14"/>
    <mergeCell ref="A23:F23"/>
    <mergeCell ref="A6:F6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2026-03-13T12:24:00Z</dcterms:created>
  <dcterms:modified xmlns:dcterms="http://purl.org/dc/terms/" xmlns:xsi="http://www.w3.org/2001/XMLSchema-instance" xsi:type="dcterms:W3CDTF">2026-03-13T12:24:00Z</dcterms:modified>
</cp:coreProperties>
</file>