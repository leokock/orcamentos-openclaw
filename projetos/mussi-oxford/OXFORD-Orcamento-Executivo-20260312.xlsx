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RESUMO EXECUTIVO" sheetId="2" state="visible" r:id="rId2"/>
    <sheet xmlns:r="http://schemas.openxmlformats.org/officeDocument/2006/relationships" name="1. ESTRUTURA" sheetId="3" state="visible" r:id="rId3"/>
    <sheet xmlns:r="http://schemas.openxmlformats.org/officeDocument/2006/relationships" name="2. HIDROSSANITÁRIO" sheetId="4" state="visible" r:id="rId4"/>
    <sheet xmlns:r="http://schemas.openxmlformats.org/officeDocument/2006/relationships" name="3. ELÉTRICO" sheetId="5" state="visible" r:id="rId5"/>
    <sheet xmlns:r="http://schemas.openxmlformats.org/officeDocument/2006/relationships" name="4. PPCI" sheetId="6" state="visible" r:id="rId6"/>
    <sheet xmlns:r="http://schemas.openxmlformats.org/officeDocument/2006/relationships" name="5. VEDAÇÕES-ACABAMENTOS" sheetId="7" state="visible" r:id="rId7"/>
    <sheet xmlns:r="http://schemas.openxmlformats.org/officeDocument/2006/relationships" name="6. LAZ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b val="1"/>
      <color rgb="00FFFFFF"/>
      <sz val="24"/>
    </font>
    <font>
      <b val="1"/>
    </font>
    <font>
      <b val="1"/>
      <sz val="14"/>
    </font>
    <font>
      <b val="1"/>
      <color rgb="00FFFFFF"/>
      <sz val="16"/>
    </font>
    <font>
      <b val="1"/>
      <color rgb="00FFFFFF"/>
    </font>
    <font>
      <b val="1"/>
      <color rgb="00FFFFFF"/>
      <sz val="12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8EA9DB"/>
        <bgColor rgb="008EA9DB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164" fontId="0" fillId="0" borderId="0" pivotButton="0" quotePrefix="0" xfId="0"/>
    <xf numFmtId="0" fontId="6" fillId="4" borderId="0" pivotButton="0" quotePrefix="0" xfId="0"/>
    <xf numFmtId="164" fontId="6" fillId="4" borderId="0" pivotButton="0" quotePrefix="0" xfId="0"/>
    <xf numFmtId="0" fontId="7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0" fillId="0" borderId="1" applyAlignment="1" pivotButton="0" quotePrefix="0" xfId="0">
      <alignment indent="1"/>
    </xf>
    <xf numFmtId="0" fontId="0" fillId="0" borderId="1" applyAlignment="1" pivotButton="0" quotePrefix="0" xfId="0">
      <alignment indent="2"/>
    </xf>
    <xf numFmtId="4" fontId="0" fillId="0" borderId="1" pivotButton="0" quotePrefix="0" xfId="0"/>
    <xf numFmtId="164" fontId="0" fillId="0" borderId="1" pivotButton="0" quotePrefix="0" xfId="0"/>
    <xf numFmtId="0" fontId="2" fillId="5" borderId="1" applyAlignment="1" pivotButton="0" quotePrefix="0" xfId="0">
      <alignment horizontal="right"/>
    </xf>
    <xf numFmtId="164" fontId="2" fillId="5" borderId="1" pivotButton="0" quotePrefix="0" xfId="0"/>
    <xf numFmtId="0" fontId="6" fillId="4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30" customWidth="1" min="2" max="2"/>
    <col width="50" customWidth="1" min="3" max="3"/>
  </cols>
  <sheetData>
    <row r="2">
      <c r="B2" s="1" t="inlineStr">
        <is>
          <t>ORÇAMENTO EXECUTIVO</t>
        </is>
      </c>
    </row>
    <row r="3"/>
    <row r="5">
      <c r="B5" s="2" t="inlineStr">
        <is>
          <t>PROJETO:</t>
        </is>
      </c>
      <c r="C5" t="inlineStr">
        <is>
          <t>Oxford 600 Residence</t>
        </is>
      </c>
    </row>
    <row r="6">
      <c r="B6" s="2" t="inlineStr">
        <is>
          <t>CLIENTE:</t>
        </is>
      </c>
      <c r="C6" t="inlineStr">
        <is>
          <t>Mussi Empreendimentos</t>
        </is>
      </c>
    </row>
    <row r="7">
      <c r="B7" s="2" t="inlineStr">
        <is>
          <t>ENDEREÇO:</t>
        </is>
      </c>
      <c r="C7" t="inlineStr">
        <is>
          <t>Rua Uruguai / Rua Imbituba - Centro, Itajaí/SC</t>
        </is>
      </c>
    </row>
    <row r="8">
      <c r="B8" s="2" t="inlineStr">
        <is>
          <t>DATA-BASE:</t>
        </is>
      </c>
      <c r="C8" t="inlineStr">
        <is>
          <t>março/2026</t>
        </is>
      </c>
    </row>
    <row r="9">
      <c r="B9" s="2" t="inlineStr">
        <is>
          <t>RESPONSÁVEL TÉCNICO:</t>
        </is>
      </c>
      <c r="C9" t="inlineStr">
        <is>
          <t>Cartesian Engenharia</t>
        </is>
      </c>
    </row>
    <row r="10">
      <c r="B10" s="2" t="inlineStr">
        <is>
          <t>BDI APLICADO:</t>
        </is>
      </c>
      <c r="C10" t="inlineStr">
        <is>
          <t>25.0%</t>
        </is>
      </c>
    </row>
    <row r="11">
      <c r="B11" s="2" t="inlineStr">
        <is>
          <t>DATA DO ORÇAMENTO:</t>
        </is>
      </c>
      <c r="C11" t="inlineStr">
        <is>
          <t>12/03/2026</t>
        </is>
      </c>
    </row>
    <row r="14">
      <c r="B14" s="3" t="inlineStr">
        <is>
          <t>CARACTERÍSTICAS DO EMPREENDIMENTO</t>
        </is>
      </c>
    </row>
    <row r="15">
      <c r="B15" s="2" t="inlineStr">
        <is>
          <t>Pavimentos:</t>
        </is>
      </c>
      <c r="C15" t="inlineStr">
        <is>
          <t>27 níveis</t>
        </is>
      </c>
    </row>
    <row r="16">
      <c r="B16" s="2" t="inlineStr">
        <is>
          <t>Área Total:</t>
        </is>
      </c>
      <c r="C16" t="inlineStr">
        <is>
          <t>~15.200 m²</t>
        </is>
      </c>
    </row>
    <row r="17">
      <c r="B17" s="2" t="inlineStr">
        <is>
          <t>Altura:</t>
        </is>
      </c>
      <c r="C17" t="inlineStr">
        <is>
          <t>71,90 m</t>
        </is>
      </c>
    </row>
    <row r="18">
      <c r="B18" s="2" t="inlineStr">
        <is>
          <t>Unidades Residenciais:</t>
        </is>
      </c>
      <c r="C18" t="inlineStr">
        <is>
          <t>~85-100 unidades</t>
        </is>
      </c>
    </row>
    <row r="19">
      <c r="B19" s="2" t="inlineStr">
        <is>
          <t>Vagas de Garagem:</t>
        </is>
      </c>
      <c r="C19" t="inlineStr">
        <is>
          <t>136 vagas</t>
        </is>
      </c>
    </row>
    <row r="20">
      <c r="B20" s="2" t="inlineStr">
        <is>
          <t>Tipologia:</t>
        </is>
      </c>
      <c r="C20" t="inlineStr">
        <is>
          <t>Residencial + Comercial + Lazer</t>
        </is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35" customWidth="1" min="2" max="2"/>
    <col width="22" customWidth="1" min="3" max="3"/>
    <col width="18" customWidth="1" min="4" max="4"/>
    <col width="22" customWidth="1" min="5" max="5"/>
  </cols>
  <sheetData>
    <row r="2">
      <c r="B2" s="4" t="inlineStr">
        <is>
          <t>RESUMO EXECUTIVO DO ORÇAMENTO</t>
        </is>
      </c>
    </row>
    <row r="4">
      <c r="B4" s="5" t="inlineStr">
        <is>
          <t>SISTEMA</t>
        </is>
      </c>
      <c r="C4" s="5" t="inlineStr">
        <is>
          <t>CUSTO SEM BDI (R$)</t>
        </is>
      </c>
      <c r="D4" s="5" t="inlineStr">
        <is>
          <t>BDI 25% (R$)</t>
        </is>
      </c>
      <c r="E4" s="5" t="inlineStr">
        <is>
          <t>CUSTO COM BDI (R$)</t>
        </is>
      </c>
    </row>
    <row r="5">
      <c r="B5" s="2" t="inlineStr">
        <is>
          <t>Estrutura (Infra + Supra)</t>
        </is>
      </c>
      <c r="C5" s="6" t="n"/>
      <c r="D5" s="6" t="n"/>
      <c r="E5" s="6" t="n"/>
    </row>
    <row r="6">
      <c r="B6" s="2" t="inlineStr">
        <is>
          <t>Instalações Hidrossanitárias</t>
        </is>
      </c>
      <c r="C6" s="6" t="n"/>
      <c r="D6" s="6" t="n"/>
      <c r="E6" s="6" t="n"/>
    </row>
    <row r="7">
      <c r="B7" s="2" t="inlineStr">
        <is>
          <t>Instalações Elétricas</t>
        </is>
      </c>
      <c r="C7" s="6" t="n"/>
      <c r="D7" s="6" t="n"/>
      <c r="E7" s="6" t="n"/>
    </row>
    <row r="8">
      <c r="B8" s="2" t="inlineStr">
        <is>
          <t>PPCI</t>
        </is>
      </c>
      <c r="C8" s="6" t="n"/>
      <c r="D8" s="6" t="n"/>
      <c r="E8" s="6" t="n"/>
    </row>
    <row r="9">
      <c r="B9" s="2" t="inlineStr">
        <is>
          <t>Vedações e Acabamentos</t>
        </is>
      </c>
      <c r="C9" s="6" t="n"/>
      <c r="D9" s="6" t="n"/>
      <c r="E9" s="6" t="n"/>
    </row>
    <row r="10">
      <c r="B10" s="2" t="inlineStr">
        <is>
          <t>Áreas Comuns e Lazer</t>
        </is>
      </c>
      <c r="C10" s="6" t="n"/>
      <c r="D10" s="6" t="n"/>
      <c r="E10" s="6" t="n"/>
    </row>
    <row r="12">
      <c r="B12" s="7" t="inlineStr">
        <is>
          <t>TOTAL GERAL DO EMPREENDIMENTO</t>
        </is>
      </c>
      <c r="C12" s="8">
        <f>SUM(C5:C10)</f>
        <v/>
      </c>
      <c r="D12" s="8">
        <f>SUM(D5:D10)</f>
        <v/>
      </c>
      <c r="E12" s="8">
        <f>SUM(E5:E10)</f>
        <v/>
      </c>
    </row>
    <row r="15">
      <c r="B15" s="3" t="inlineStr">
        <is>
          <t>INDICADORES DO EMPREENDIMENTO</t>
        </is>
      </c>
    </row>
    <row r="16">
      <c r="B16" s="2" t="inlineStr">
        <is>
          <t>Área Total Construída:</t>
        </is>
      </c>
      <c r="C16" t="inlineStr">
        <is>
          <t>15.193,51 m²</t>
        </is>
      </c>
    </row>
    <row r="17">
      <c r="B17" s="2" t="inlineStr">
        <is>
          <t>Custo por m² (com BDI):</t>
        </is>
      </c>
      <c r="C17" s="6">
        <f>E12/15193.51</f>
        <v/>
      </c>
    </row>
    <row r="18">
      <c r="B18" s="2" t="inlineStr">
        <is>
          <t>Pavimentos:</t>
        </is>
      </c>
      <c r="C18" t="inlineStr">
        <is>
          <t>27 níveis</t>
        </is>
      </c>
    </row>
    <row r="19">
      <c r="B19" s="2" t="inlineStr">
        <is>
          <t>Altura:</t>
        </is>
      </c>
      <c r="C19" t="inlineStr">
        <is>
          <t>71,90 m</t>
        </is>
      </c>
    </row>
    <row r="20">
      <c r="B20" s="2" t="inlineStr">
        <is>
          <t>Unidades Residenciais:</t>
        </is>
      </c>
      <c r="C20" t="inlineStr">
        <is>
          <t>~85-100 unidades</t>
        </is>
      </c>
    </row>
    <row r="21">
      <c r="B21" s="2" t="inlineStr">
        <is>
          <t>Vagas de Garagem:</t>
        </is>
      </c>
      <c r="C21" t="inlineStr">
        <is>
          <t>136 vagas</t>
        </is>
      </c>
    </row>
  </sheetData>
  <mergeCells count="2">
    <mergeCell ref="B15:E15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9" t="inlineStr">
        <is>
          <t>INFRAESTRUTURA + SUPRAESTRUTURA</t>
        </is>
      </c>
    </row>
    <row r="2">
      <c r="A2" s="10" t="inlineStr">
        <is>
          <t>Item</t>
        </is>
      </c>
      <c r="B2" s="10" t="inlineStr">
        <is>
          <t>Descrição</t>
        </is>
      </c>
      <c r="C2" s="10" t="inlineStr">
        <is>
          <t>Unidade</t>
        </is>
      </c>
      <c r="D2" s="10" t="inlineStr">
        <is>
          <t>Quantidade</t>
        </is>
      </c>
      <c r="E2" s="10" t="inlineStr">
        <is>
          <t>Custo Unit. (R$)</t>
        </is>
      </c>
      <c r="F2" s="10" t="inlineStr">
        <is>
          <t>Custo Total (R$)</t>
        </is>
      </c>
    </row>
    <row r="3">
      <c r="A3" s="11" t="inlineStr">
        <is>
          <t>1</t>
        </is>
      </c>
      <c r="B3" s="12" t="inlineStr">
        <is>
          <t>FUNDAÇÃO</t>
        </is>
      </c>
      <c r="C3" s="11" t="inlineStr"/>
      <c r="D3" s="11" t="n"/>
      <c r="E3" s="11" t="n"/>
      <c r="F3" s="11" t="n"/>
    </row>
    <row r="4">
      <c r="A4" s="11" t="inlineStr">
        <is>
          <t>1.1</t>
        </is>
      </c>
      <c r="B4" s="13" t="inlineStr">
        <is>
          <t>Blocos de Concreto sobre Estacas</t>
        </is>
      </c>
      <c r="C4" s="11" t="inlineStr"/>
      <c r="D4" s="11" t="n"/>
      <c r="E4" s="11" t="n"/>
      <c r="F4" s="11" t="n"/>
    </row>
    <row r="5">
      <c r="A5" s="11" t="inlineStr">
        <is>
          <t>1.1.1</t>
        </is>
      </c>
      <c r="B5" s="14" t="inlineStr">
        <is>
          <t>Concreto fck 50 MPa - Blocos de Fundação</t>
        </is>
      </c>
      <c r="C5" s="11" t="inlineStr">
        <is>
          <t>m³</t>
        </is>
      </c>
      <c r="D5" s="15" t="n">
        <v>455.34</v>
      </c>
      <c r="E5" s="16" t="n">
        <v>850</v>
      </c>
      <c r="F5" s="16">
        <f>D5*E5</f>
        <v/>
      </c>
    </row>
    <row r="6">
      <c r="A6" s="11" t="inlineStr">
        <is>
          <t>1.1.2</t>
        </is>
      </c>
      <c r="B6" s="14" t="inlineStr">
        <is>
          <t>Aço CA-50 - Armadura de Fundação</t>
        </is>
      </c>
      <c r="C6" s="11" t="inlineStr">
        <is>
          <t>kg</t>
        </is>
      </c>
      <c r="D6" s="15" t="n">
        <v>54807</v>
      </c>
      <c r="E6" s="16" t="n">
        <v>7.5</v>
      </c>
      <c r="F6" s="16">
        <f>D6*E6</f>
        <v/>
      </c>
    </row>
    <row r="7">
      <c r="A7" s="11" t="inlineStr">
        <is>
          <t>1.1.3</t>
        </is>
      </c>
      <c r="B7" s="14" t="inlineStr">
        <is>
          <t>Formas de Madeira - Fundação</t>
        </is>
      </c>
      <c r="C7" s="11" t="inlineStr">
        <is>
          <t>m²</t>
        </is>
      </c>
      <c r="D7" s="15" t="n">
        <v>5464.08</v>
      </c>
      <c r="E7" s="16" t="n">
        <v>75</v>
      </c>
      <c r="F7" s="16">
        <f>D7*E7</f>
        <v/>
      </c>
    </row>
    <row r="8">
      <c r="A8" s="11" t="inlineStr">
        <is>
          <t>1.1.4</t>
        </is>
      </c>
      <c r="B8" s="14" t="inlineStr">
        <is>
          <t>Estacas Tipo 60 (estimado)</t>
        </is>
      </c>
      <c r="C8" s="11" t="inlineStr">
        <is>
          <t>m</t>
        </is>
      </c>
      <c r="D8" s="15" t="n">
        <v>800</v>
      </c>
      <c r="E8" s="16" t="n">
        <v>120</v>
      </c>
      <c r="F8" s="16">
        <f>D8*E8</f>
        <v/>
      </c>
    </row>
    <row r="9">
      <c r="A9" s="17" t="inlineStr">
        <is>
          <t>SUBTOTAL FUNDAÇÃO</t>
        </is>
      </c>
      <c r="B9" s="11" t="n"/>
      <c r="C9" s="11" t="n"/>
      <c r="D9" s="11" t="n"/>
      <c r="E9" s="11" t="n"/>
      <c r="F9" s="18">
        <f>SUM(F4:F8)</f>
        <v/>
      </c>
    </row>
    <row r="11">
      <c r="A11" s="11" t="inlineStr">
        <is>
          <t>2</t>
        </is>
      </c>
      <c r="B11" s="12" t="inlineStr">
        <is>
          <t>ESTRUTURA TORRE</t>
        </is>
      </c>
      <c r="C11" s="11" t="inlineStr"/>
      <c r="D11" s="11" t="n"/>
      <c r="E11" s="11" t="n"/>
      <c r="F11" s="11" t="n"/>
    </row>
    <row r="12">
      <c r="A12" s="11" t="inlineStr">
        <is>
          <t>2.1</t>
        </is>
      </c>
      <c r="B12" s="13" t="inlineStr">
        <is>
          <t>Lajes de Concreto Armado</t>
        </is>
      </c>
      <c r="C12" s="11" t="inlineStr"/>
      <c r="D12" s="11" t="n"/>
      <c r="E12" s="11" t="n"/>
      <c r="F12" s="11" t="n"/>
    </row>
    <row r="13">
      <c r="A13" s="11" t="inlineStr">
        <is>
          <t>2.1.1</t>
        </is>
      </c>
      <c r="B13" s="14" t="inlineStr">
        <is>
          <t>Concreto fck 30 MPa - Lajes</t>
        </is>
      </c>
      <c r="C13" s="11" t="inlineStr">
        <is>
          <t>m³</t>
        </is>
      </c>
      <c r="D13" s="15" t="n">
        <v>2390.08</v>
      </c>
      <c r="E13" s="16" t="n">
        <v>750</v>
      </c>
      <c r="F13" s="16">
        <f>D13*E13</f>
        <v/>
      </c>
    </row>
    <row r="14">
      <c r="A14" s="11" t="inlineStr">
        <is>
          <t>2.1.2</t>
        </is>
      </c>
      <c r="B14" s="14" t="inlineStr">
        <is>
          <t>Aço CA-50 - Armadura de Lajes</t>
        </is>
      </c>
      <c r="C14" s="11" t="inlineStr">
        <is>
          <t>kg</t>
        </is>
      </c>
      <c r="D14" s="15" t="n">
        <v>108342</v>
      </c>
      <c r="E14" s="16" t="n">
        <v>7.5</v>
      </c>
      <c r="F14" s="16">
        <f>D14*E14</f>
        <v/>
      </c>
    </row>
    <row r="15">
      <c r="A15" s="11" t="inlineStr">
        <is>
          <t>2.1.3</t>
        </is>
      </c>
      <c r="B15" s="14" t="inlineStr">
        <is>
          <t>Formas de Madeira - Lajes</t>
        </is>
      </c>
      <c r="C15" s="11" t="inlineStr">
        <is>
          <t>m²</t>
        </is>
      </c>
      <c r="D15" s="15" t="n">
        <v>28680.96</v>
      </c>
      <c r="E15" s="16" t="n">
        <v>75</v>
      </c>
      <c r="F15" s="16">
        <f>D15*E15</f>
        <v/>
      </c>
    </row>
    <row r="16">
      <c r="A16" s="11" t="inlineStr">
        <is>
          <t>2.2</t>
        </is>
      </c>
      <c r="B16" s="13" t="inlineStr">
        <is>
          <t>Vigas de Concreto Armado</t>
        </is>
      </c>
      <c r="C16" s="11" t="inlineStr"/>
      <c r="D16" s="11" t="n"/>
      <c r="E16" s="11" t="n"/>
      <c r="F16" s="11" t="n"/>
    </row>
    <row r="17">
      <c r="A17" s="11" t="inlineStr">
        <is>
          <t>2.2.1</t>
        </is>
      </c>
      <c r="B17" s="14" t="inlineStr">
        <is>
          <t>Concreto fck 35 MPa - Vigas (estimado)</t>
        </is>
      </c>
      <c r="C17" s="11" t="inlineStr">
        <is>
          <t>m³</t>
        </is>
      </c>
      <c r="D17" s="15" t="n">
        <v>350</v>
      </c>
      <c r="E17" s="16" t="n">
        <v>800</v>
      </c>
      <c r="F17" s="16">
        <f>D17*E17</f>
        <v/>
      </c>
    </row>
    <row r="18">
      <c r="A18" s="11" t="inlineStr">
        <is>
          <t>2.2.2</t>
        </is>
      </c>
      <c r="B18" s="14" t="inlineStr">
        <is>
          <t>Aço CA-50 - Armadura de Vigas</t>
        </is>
      </c>
      <c r="C18" s="11" t="inlineStr">
        <is>
          <t>kg</t>
        </is>
      </c>
      <c r="D18" s="15" t="n">
        <v>30203</v>
      </c>
      <c r="E18" s="16" t="n">
        <v>7.5</v>
      </c>
      <c r="F18" s="16">
        <f>D18*E18</f>
        <v/>
      </c>
    </row>
    <row r="19">
      <c r="A19" s="11" t="inlineStr">
        <is>
          <t>2.2.3</t>
        </is>
      </c>
      <c r="B19" s="14" t="inlineStr">
        <is>
          <t>Formas de Madeira - Vigas</t>
        </is>
      </c>
      <c r="C19" s="11" t="inlineStr">
        <is>
          <t>m²</t>
        </is>
      </c>
      <c r="D19" s="15" t="n">
        <v>4200</v>
      </c>
      <c r="E19" s="16" t="n">
        <v>75</v>
      </c>
      <c r="F19" s="16">
        <f>D19*E19</f>
        <v/>
      </c>
    </row>
    <row r="20">
      <c r="A20" s="11" t="inlineStr">
        <is>
          <t>2.3</t>
        </is>
      </c>
      <c r="B20" s="13" t="inlineStr">
        <is>
          <t>Pilares de Concreto Armado</t>
        </is>
      </c>
      <c r="C20" s="11" t="inlineStr"/>
      <c r="D20" s="11" t="n"/>
      <c r="E20" s="11" t="n"/>
      <c r="F20" s="11" t="n"/>
    </row>
    <row r="21">
      <c r="A21" s="11" t="inlineStr">
        <is>
          <t>2.3.1</t>
        </is>
      </c>
      <c r="B21" s="14" t="inlineStr">
        <is>
          <t>Concreto fck 40 MPa - Pilares (estimado)</t>
        </is>
      </c>
      <c r="C21" s="11" t="inlineStr">
        <is>
          <t>m³</t>
        </is>
      </c>
      <c r="D21" s="15" t="n">
        <v>150</v>
      </c>
      <c r="E21" s="16" t="n">
        <v>850</v>
      </c>
      <c r="F21" s="16">
        <f>D21*E21</f>
        <v/>
      </c>
    </row>
    <row r="22">
      <c r="A22" s="11" t="inlineStr">
        <is>
          <t>2.3.2</t>
        </is>
      </c>
      <c r="B22" s="14" t="inlineStr">
        <is>
          <t>Aço CA-50 - Armadura de Pilares</t>
        </is>
      </c>
      <c r="C22" s="11" t="inlineStr">
        <is>
          <t>kg</t>
        </is>
      </c>
      <c r="D22" s="15" t="n">
        <v>47000</v>
      </c>
      <c r="E22" s="16" t="n">
        <v>7.5</v>
      </c>
      <c r="F22" s="16">
        <f>D22*E22</f>
        <v/>
      </c>
    </row>
    <row r="23">
      <c r="A23" s="11" t="inlineStr">
        <is>
          <t>2.3.3</t>
        </is>
      </c>
      <c r="B23" s="14" t="inlineStr">
        <is>
          <t>Formas de Madeira - Pilares</t>
        </is>
      </c>
      <c r="C23" s="11" t="inlineStr">
        <is>
          <t>m²</t>
        </is>
      </c>
      <c r="D23" s="15" t="n">
        <v>1800</v>
      </c>
      <c r="E23" s="16" t="n">
        <v>75</v>
      </c>
      <c r="F23" s="16">
        <f>D23*E23</f>
        <v/>
      </c>
    </row>
    <row r="24">
      <c r="A24" s="17" t="inlineStr">
        <is>
          <t>SUBTOTAL ESTRUTURA TORRE</t>
        </is>
      </c>
      <c r="B24" s="11" t="n"/>
      <c r="C24" s="11" t="n"/>
      <c r="D24" s="11" t="n"/>
      <c r="E24" s="11" t="n"/>
      <c r="F24" s="18">
        <f>SUM(F13:F23)</f>
        <v/>
      </c>
    </row>
    <row r="26">
      <c r="A26" s="19" t="inlineStr">
        <is>
          <t>TOTAL ESTRUTURA (SEM BDI)</t>
        </is>
      </c>
      <c r="F26" s="8">
        <f>F12+F24</f>
        <v/>
      </c>
    </row>
    <row r="27">
      <c r="A27" s="20" t="inlineStr">
        <is>
          <t>BDI (25.0%)</t>
        </is>
      </c>
      <c r="F27" s="21">
        <f>F26*0.25</f>
        <v/>
      </c>
    </row>
    <row r="28">
      <c r="A28" s="19" t="inlineStr">
        <is>
          <t>TOTAL ESTRUTURA (COM BDI)</t>
        </is>
      </c>
      <c r="F28" s="8">
        <f>F26+F27</f>
        <v/>
      </c>
    </row>
  </sheetData>
  <mergeCells count="6">
    <mergeCell ref="A26:E26"/>
    <mergeCell ref="A24:E24"/>
    <mergeCell ref="A1:F1"/>
    <mergeCell ref="A28:E28"/>
    <mergeCell ref="A9:E9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9" t="inlineStr">
        <is>
          <t>INSTALAÇÕES HIDROSSANITÁRIAS</t>
        </is>
      </c>
    </row>
    <row r="2">
      <c r="A2" s="10" t="inlineStr">
        <is>
          <t>Item</t>
        </is>
      </c>
      <c r="B2" s="10" t="inlineStr">
        <is>
          <t>Descrição</t>
        </is>
      </c>
      <c r="C2" s="10" t="inlineStr">
        <is>
          <t>Unidade</t>
        </is>
      </c>
      <c r="D2" s="10" t="inlineStr">
        <is>
          <t>Quantidade</t>
        </is>
      </c>
      <c r="E2" s="10" t="inlineStr">
        <is>
          <t>Custo Unit. (R$)</t>
        </is>
      </c>
      <c r="F2" s="10" t="inlineStr">
        <is>
          <t>Custo Total (R$)</t>
        </is>
      </c>
    </row>
    <row r="3">
      <c r="A3" s="11" t="inlineStr">
        <is>
          <t>1</t>
        </is>
      </c>
      <c r="B3" s="12" t="inlineStr">
        <is>
          <t>ÁGUA FRIA</t>
        </is>
      </c>
      <c r="C3" s="11" t="inlineStr"/>
      <c r="D3" s="11" t="n"/>
      <c r="E3" s="11" t="n"/>
      <c r="F3" s="11" t="n"/>
    </row>
    <row r="4">
      <c r="A4" s="11" t="inlineStr">
        <is>
          <t>1.1</t>
        </is>
      </c>
      <c r="B4" s="13" t="inlineStr">
        <is>
          <t>Tubulações PVC Série R</t>
        </is>
      </c>
      <c r="C4" s="11" t="inlineStr"/>
      <c r="D4" s="11" t="n"/>
      <c r="E4" s="11" t="n"/>
      <c r="F4" s="11" t="n"/>
    </row>
    <row r="5">
      <c r="A5" s="11" t="inlineStr">
        <is>
          <t>1.1.1</t>
        </is>
      </c>
      <c r="B5" s="14" t="inlineStr">
        <is>
          <t>Tubo PVC Série R 150mm (ponta-lisa)</t>
        </is>
      </c>
      <c r="C5" s="11" t="inlineStr">
        <is>
          <t>m</t>
        </is>
      </c>
      <c r="D5" s="15" t="n">
        <v>587.95</v>
      </c>
      <c r="E5" s="16" t="n">
        <v>45</v>
      </c>
      <c r="F5" s="16">
        <f>D5*E5</f>
        <v/>
      </c>
    </row>
    <row r="6">
      <c r="A6" s="11" t="inlineStr">
        <is>
          <t>1.1.2</t>
        </is>
      </c>
      <c r="B6" s="14" t="inlineStr">
        <is>
          <t>Tubo PVC Série R 100mm (ponta-bolsa)</t>
        </is>
      </c>
      <c r="C6" s="11" t="inlineStr">
        <is>
          <t>m</t>
        </is>
      </c>
      <c r="D6" s="15" t="n">
        <v>465.01</v>
      </c>
      <c r="E6" s="16" t="n">
        <v>28</v>
      </c>
      <c r="F6" s="16">
        <f>D6*E6</f>
        <v/>
      </c>
    </row>
    <row r="7">
      <c r="A7" s="11" t="inlineStr">
        <is>
          <t>1.1.3</t>
        </is>
      </c>
      <c r="B7" s="14" t="inlineStr">
        <is>
          <t>Tubo PVC Série R 100mm (ponta-lisa)</t>
        </is>
      </c>
      <c r="C7" s="11" t="inlineStr">
        <is>
          <t>m</t>
        </is>
      </c>
      <c r="D7" s="15" t="n">
        <v>292.87</v>
      </c>
      <c r="E7" s="16" t="n">
        <v>28</v>
      </c>
      <c r="F7" s="16">
        <f>D7*E7</f>
        <v/>
      </c>
    </row>
    <row r="8">
      <c r="A8" s="11" t="inlineStr">
        <is>
          <t>1.1.4</t>
        </is>
      </c>
      <c r="B8" s="14" t="inlineStr">
        <is>
          <t>Tubo PVC Série R 75mm</t>
        </is>
      </c>
      <c r="C8" s="11" t="inlineStr">
        <is>
          <t>m</t>
        </is>
      </c>
      <c r="D8" s="15" t="n">
        <v>21.38</v>
      </c>
      <c r="E8" s="16" t="n">
        <v>18</v>
      </c>
      <c r="F8" s="16">
        <f>D8*E8</f>
        <v/>
      </c>
    </row>
    <row r="9">
      <c r="A9" s="11" t="inlineStr">
        <is>
          <t>1.1.5</t>
        </is>
      </c>
      <c r="B9" s="14" t="inlineStr">
        <is>
          <t>Tubo PVC Série R 50mm</t>
        </is>
      </c>
      <c r="C9" s="11" t="inlineStr">
        <is>
          <t>m</t>
        </is>
      </c>
      <c r="D9" s="15" t="n">
        <v>0.6899999999999999</v>
      </c>
      <c r="E9" s="16" t="n">
        <v>12</v>
      </c>
      <c r="F9" s="16">
        <f>D9*E9</f>
        <v/>
      </c>
    </row>
    <row r="10">
      <c r="A10" s="11" t="inlineStr">
        <is>
          <t>1.2</t>
        </is>
      </c>
      <c r="B10" s="13" t="inlineStr">
        <is>
          <t>Conexões e Acessórios Água Fria</t>
        </is>
      </c>
      <c r="C10" s="11" t="inlineStr"/>
      <c r="D10" s="11" t="n"/>
      <c r="E10" s="11" t="n"/>
      <c r="F10" s="11" t="n"/>
    </row>
    <row r="11">
      <c r="A11" s="11" t="inlineStr">
        <is>
          <t>1.2.1</t>
        </is>
      </c>
      <c r="B11" s="14" t="inlineStr">
        <is>
          <t>Joelho 45º Série R 150mm</t>
        </is>
      </c>
      <c r="C11" s="11" t="inlineStr">
        <is>
          <t>pç</t>
        </is>
      </c>
      <c r="D11" s="15" t="n">
        <v>103</v>
      </c>
      <c r="E11" s="16" t="n">
        <v>12</v>
      </c>
      <c r="F11" s="16">
        <f>D11*E11</f>
        <v/>
      </c>
    </row>
    <row r="12">
      <c r="A12" s="11" t="inlineStr">
        <is>
          <t>1.2.2</t>
        </is>
      </c>
      <c r="B12" s="14" t="inlineStr">
        <is>
          <t>Joelho 45º Série R 100mm</t>
        </is>
      </c>
      <c r="C12" s="11" t="inlineStr">
        <is>
          <t>pç</t>
        </is>
      </c>
      <c r="D12" s="15" t="n">
        <v>183</v>
      </c>
      <c r="E12" s="16" t="n">
        <v>8</v>
      </c>
      <c r="F12" s="16">
        <f>D12*E12</f>
        <v/>
      </c>
    </row>
    <row r="13">
      <c r="A13" s="11" t="inlineStr">
        <is>
          <t>1.2.3</t>
        </is>
      </c>
      <c r="B13" s="14" t="inlineStr">
        <is>
          <t>Joelho 45º Série R 75mm</t>
        </is>
      </c>
      <c r="C13" s="11" t="inlineStr">
        <is>
          <t>pç</t>
        </is>
      </c>
      <c r="D13" s="15" t="n">
        <v>12</v>
      </c>
      <c r="E13" s="16" t="n">
        <v>5</v>
      </c>
      <c r="F13" s="16">
        <f>D13*E13</f>
        <v/>
      </c>
    </row>
    <row r="14">
      <c r="A14" s="11" t="inlineStr">
        <is>
          <t>1.2.4</t>
        </is>
      </c>
      <c r="B14" s="14" t="inlineStr">
        <is>
          <t>Joelho 90º Série R 150mm</t>
        </is>
      </c>
      <c r="C14" s="11" t="inlineStr">
        <is>
          <t>pç</t>
        </is>
      </c>
      <c r="D14" s="15" t="n">
        <v>18</v>
      </c>
      <c r="E14" s="16" t="n">
        <v>12</v>
      </c>
      <c r="F14" s="16">
        <f>D14*E14</f>
        <v/>
      </c>
    </row>
    <row r="15">
      <c r="A15" s="11" t="inlineStr">
        <is>
          <t>1.2.5</t>
        </is>
      </c>
      <c r="B15" s="14" t="inlineStr">
        <is>
          <t>Joelho 90º Série R 100mm</t>
        </is>
      </c>
      <c r="C15" s="11" t="inlineStr">
        <is>
          <t>pç</t>
        </is>
      </c>
      <c r="D15" s="15" t="n">
        <v>29</v>
      </c>
      <c r="E15" s="16" t="n">
        <v>8</v>
      </c>
      <c r="F15" s="16">
        <f>D15*E15</f>
        <v/>
      </c>
    </row>
    <row r="16">
      <c r="A16" s="11" t="inlineStr">
        <is>
          <t>1.2.6</t>
        </is>
      </c>
      <c r="B16" s="14" t="inlineStr">
        <is>
          <t>Luva Série R 150mm</t>
        </is>
      </c>
      <c r="C16" s="11" t="inlineStr">
        <is>
          <t>pç</t>
        </is>
      </c>
      <c r="D16" s="15" t="n">
        <v>181</v>
      </c>
      <c r="E16" s="16" t="n">
        <v>10</v>
      </c>
      <c r="F16" s="16">
        <f>D16*E16</f>
        <v/>
      </c>
    </row>
    <row r="17">
      <c r="A17" s="11" t="inlineStr">
        <is>
          <t>1.2.7</t>
        </is>
      </c>
      <c r="B17" s="14" t="inlineStr">
        <is>
          <t>Luva Série R 100mm</t>
        </is>
      </c>
      <c r="C17" s="11" t="inlineStr">
        <is>
          <t>pç</t>
        </is>
      </c>
      <c r="D17" s="15" t="n">
        <v>302</v>
      </c>
      <c r="E17" s="16" t="n">
        <v>7</v>
      </c>
      <c r="F17" s="16">
        <f>D17*E17</f>
        <v/>
      </c>
    </row>
    <row r="18">
      <c r="A18" s="11" t="inlineStr">
        <is>
          <t>1.2.8</t>
        </is>
      </c>
      <c r="B18" s="14" t="inlineStr">
        <is>
          <t>Luva Série R 75mm</t>
        </is>
      </c>
      <c r="C18" s="11" t="inlineStr">
        <is>
          <t>pç</t>
        </is>
      </c>
      <c r="D18" s="15" t="n">
        <v>16</v>
      </c>
      <c r="E18" s="16" t="n">
        <v>4.5</v>
      </c>
      <c r="F18" s="16">
        <f>D18*E18</f>
        <v/>
      </c>
    </row>
    <row r="19">
      <c r="A19" s="11" t="inlineStr">
        <is>
          <t>1.2.9</t>
        </is>
      </c>
      <c r="B19" s="14" t="inlineStr">
        <is>
          <t>Redução Série R 150mm x 100mm</t>
        </is>
      </c>
      <c r="C19" s="11" t="inlineStr">
        <is>
          <t>pç</t>
        </is>
      </c>
      <c r="D19" s="15" t="n">
        <v>11</v>
      </c>
      <c r="E19" s="16" t="n">
        <v>15</v>
      </c>
      <c r="F19" s="16">
        <f>D19*E19</f>
        <v/>
      </c>
    </row>
    <row r="20">
      <c r="A20" s="17" t="inlineStr">
        <is>
          <t>SUBTOTAL ÁGUA FRIA</t>
        </is>
      </c>
      <c r="B20" s="11" t="n"/>
      <c r="C20" s="11" t="n"/>
      <c r="D20" s="11" t="n"/>
      <c r="E20" s="11" t="n"/>
      <c r="F20" s="18">
        <f>SUM(F4:F19)</f>
        <v/>
      </c>
    </row>
    <row r="22">
      <c r="A22" s="11" t="inlineStr">
        <is>
          <t>2</t>
        </is>
      </c>
      <c r="B22" s="12" t="inlineStr">
        <is>
          <t>ESGOTO SANITÁRIO</t>
        </is>
      </c>
      <c r="C22" s="11" t="inlineStr"/>
      <c r="D22" s="11" t="n"/>
      <c r="E22" s="11" t="n"/>
      <c r="F22" s="11" t="n"/>
    </row>
    <row r="23">
      <c r="A23" s="11" t="inlineStr">
        <is>
          <t>2.1</t>
        </is>
      </c>
      <c r="B23" s="13" t="inlineStr">
        <is>
          <t>Tubulações PVC Esgoto</t>
        </is>
      </c>
      <c r="C23" s="11" t="inlineStr"/>
      <c r="D23" s="11" t="n"/>
      <c r="E23" s="11" t="n"/>
      <c r="F23" s="11" t="n"/>
    </row>
    <row r="24">
      <c r="A24" s="11" t="inlineStr">
        <is>
          <t>2.1.1</t>
        </is>
      </c>
      <c r="B24" s="14" t="inlineStr">
        <is>
          <t>Tubo PVC Esgoto 150mm (ponta-lisa)</t>
        </is>
      </c>
      <c r="C24" s="11" t="inlineStr">
        <is>
          <t>m</t>
        </is>
      </c>
      <c r="D24" s="15" t="n">
        <v>198.09</v>
      </c>
      <c r="E24" s="16" t="n">
        <v>35</v>
      </c>
      <c r="F24" s="16">
        <f>D24*E24</f>
        <v/>
      </c>
    </row>
    <row r="25">
      <c r="A25" s="11" t="inlineStr">
        <is>
          <t>2.1.2</t>
        </is>
      </c>
      <c r="B25" s="14" t="inlineStr">
        <is>
          <t>Tubo PVC Esgoto 100mm (ponta-lisa)</t>
        </is>
      </c>
      <c r="C25" s="11" t="inlineStr">
        <is>
          <t>m</t>
        </is>
      </c>
      <c r="D25" s="15" t="n">
        <v>2288.45</v>
      </c>
      <c r="E25" s="16" t="n">
        <v>22</v>
      </c>
      <c r="F25" s="16">
        <f>D25*E25</f>
        <v/>
      </c>
    </row>
    <row r="26">
      <c r="A26" s="11" t="inlineStr">
        <is>
          <t>2.1.3</t>
        </is>
      </c>
      <c r="B26" s="14" t="inlineStr">
        <is>
          <t>Tubo PVC Esgoto 75mm (ponta-lisa)</t>
        </is>
      </c>
      <c r="C26" s="11" t="inlineStr">
        <is>
          <t>m</t>
        </is>
      </c>
      <c r="D26" s="15" t="n">
        <v>1083.54</v>
      </c>
      <c r="E26" s="16" t="n">
        <v>16</v>
      </c>
      <c r="F26" s="16">
        <f>D26*E26</f>
        <v/>
      </c>
    </row>
    <row r="27">
      <c r="A27" s="11" t="inlineStr">
        <is>
          <t>2.1.4</t>
        </is>
      </c>
      <c r="B27" s="14" t="inlineStr">
        <is>
          <t>Tubo PVC Esgoto 50mm (ponta-lisa)</t>
        </is>
      </c>
      <c r="C27" s="11" t="inlineStr">
        <is>
          <t>m</t>
        </is>
      </c>
      <c r="D27" s="15" t="n">
        <v>1854.26</v>
      </c>
      <c r="E27" s="16" t="n">
        <v>11</v>
      </c>
      <c r="F27" s="16">
        <f>D27*E27</f>
        <v/>
      </c>
    </row>
    <row r="28">
      <c r="A28" s="11" t="inlineStr">
        <is>
          <t>2.1.5</t>
        </is>
      </c>
      <c r="B28" s="14" t="inlineStr">
        <is>
          <t>Tubo PVC Esgoto 40mm</t>
        </is>
      </c>
      <c r="C28" s="11" t="inlineStr">
        <is>
          <t>m</t>
        </is>
      </c>
      <c r="D28" s="15" t="n">
        <v>766.48</v>
      </c>
      <c r="E28" s="16" t="n">
        <v>8</v>
      </c>
      <c r="F28" s="16">
        <f>D28*E28</f>
        <v/>
      </c>
    </row>
    <row r="29">
      <c r="A29" s="11" t="inlineStr">
        <is>
          <t>2.2</t>
        </is>
      </c>
      <c r="B29" s="13" t="inlineStr">
        <is>
          <t>Conexões Esgoto</t>
        </is>
      </c>
      <c r="C29" s="11" t="inlineStr"/>
      <c r="D29" s="11" t="n"/>
      <c r="E29" s="11" t="n"/>
      <c r="F29" s="11" t="n"/>
    </row>
    <row r="30">
      <c r="A30" s="11" t="inlineStr">
        <is>
          <t>2.2.1</t>
        </is>
      </c>
      <c r="B30" s="14" t="inlineStr">
        <is>
          <t>Joelho 45º 100mm</t>
        </is>
      </c>
      <c r="C30" s="11" t="inlineStr">
        <is>
          <t>pç</t>
        </is>
      </c>
      <c r="D30" s="15" t="n">
        <v>993</v>
      </c>
      <c r="E30" s="16" t="n">
        <v>6</v>
      </c>
      <c r="F30" s="16">
        <f>D30*E30</f>
        <v/>
      </c>
    </row>
    <row r="31">
      <c r="A31" s="11" t="inlineStr">
        <is>
          <t>2.2.2</t>
        </is>
      </c>
      <c r="B31" s="14" t="inlineStr">
        <is>
          <t>Joelho 45º 50mm</t>
        </is>
      </c>
      <c r="C31" s="11" t="inlineStr">
        <is>
          <t>pç</t>
        </is>
      </c>
      <c r="D31" s="15" t="n">
        <v>2471</v>
      </c>
      <c r="E31" s="16" t="n">
        <v>3.5</v>
      </c>
      <c r="F31" s="16">
        <f>D31*E31</f>
        <v/>
      </c>
    </row>
    <row r="32">
      <c r="A32" s="11" t="inlineStr">
        <is>
          <t>2.2.3</t>
        </is>
      </c>
      <c r="B32" s="14" t="inlineStr">
        <is>
          <t>Joelho 90º 100mm</t>
        </is>
      </c>
      <c r="C32" s="11" t="inlineStr">
        <is>
          <t>pç</t>
        </is>
      </c>
      <c r="D32" s="15" t="n">
        <v>351</v>
      </c>
      <c r="E32" s="16" t="n">
        <v>6</v>
      </c>
      <c r="F32" s="16">
        <f>D32*E32</f>
        <v/>
      </c>
    </row>
    <row r="33">
      <c r="A33" s="11" t="inlineStr">
        <is>
          <t>2.2.4</t>
        </is>
      </c>
      <c r="B33" s="14" t="inlineStr">
        <is>
          <t>Joelho 90º 50mm</t>
        </is>
      </c>
      <c r="C33" s="11" t="inlineStr">
        <is>
          <t>pç</t>
        </is>
      </c>
      <c r="D33" s="15" t="n">
        <v>1063</v>
      </c>
      <c r="E33" s="16" t="n">
        <v>3.5</v>
      </c>
      <c r="F33" s="16">
        <f>D33*E33</f>
        <v/>
      </c>
    </row>
    <row r="34">
      <c r="A34" s="11" t="inlineStr">
        <is>
          <t>2.2.5</t>
        </is>
      </c>
      <c r="B34" s="14" t="inlineStr">
        <is>
          <t>Luva Simples 100mm</t>
        </is>
      </c>
      <c r="C34" s="11" t="inlineStr">
        <is>
          <t>pç</t>
        </is>
      </c>
      <c r="D34" s="15" t="n">
        <v>1081</v>
      </c>
      <c r="E34" s="16" t="n">
        <v>5</v>
      </c>
      <c r="F34" s="16">
        <f>D34*E34</f>
        <v/>
      </c>
    </row>
    <row r="35">
      <c r="A35" s="11" t="inlineStr">
        <is>
          <t>2.2.6</t>
        </is>
      </c>
      <c r="B35" s="14" t="inlineStr">
        <is>
          <t>Luva Simples 50mm</t>
        </is>
      </c>
      <c r="C35" s="11" t="inlineStr">
        <is>
          <t>pç</t>
        </is>
      </c>
      <c r="D35" s="15" t="n">
        <v>1934</v>
      </c>
      <c r="E35" s="16" t="n">
        <v>2.5</v>
      </c>
      <c r="F35" s="16">
        <f>D35*E35</f>
        <v/>
      </c>
    </row>
    <row r="36">
      <c r="A36" s="11" t="inlineStr">
        <is>
          <t>2.2.7</t>
        </is>
      </c>
      <c r="B36" s="14" t="inlineStr">
        <is>
          <t>Tê Sanitário 100mm x 50mm</t>
        </is>
      </c>
      <c r="C36" s="11" t="inlineStr">
        <is>
          <t>pç</t>
        </is>
      </c>
      <c r="D36" s="15" t="n">
        <v>2</v>
      </c>
      <c r="E36" s="16" t="n">
        <v>8</v>
      </c>
      <c r="F36" s="16">
        <f>D36*E36</f>
        <v/>
      </c>
    </row>
    <row r="37">
      <c r="A37" s="11" t="inlineStr">
        <is>
          <t>2.2.8</t>
        </is>
      </c>
      <c r="B37" s="14" t="inlineStr">
        <is>
          <t>Tê Sanitário 50mm x 50mm</t>
        </is>
      </c>
      <c r="C37" s="11" t="inlineStr">
        <is>
          <t>pç</t>
        </is>
      </c>
      <c r="D37" s="15" t="n">
        <v>218</v>
      </c>
      <c r="E37" s="16" t="n">
        <v>4</v>
      </c>
      <c r="F37" s="16">
        <f>D37*E37</f>
        <v/>
      </c>
    </row>
    <row r="38">
      <c r="A38" s="11" t="inlineStr">
        <is>
          <t>2.3</t>
        </is>
      </c>
      <c r="B38" s="13" t="inlineStr">
        <is>
          <t>Caixas e Ralos</t>
        </is>
      </c>
      <c r="C38" s="11" t="inlineStr"/>
      <c r="D38" s="11" t="n"/>
      <c r="E38" s="11" t="n"/>
      <c r="F38" s="11" t="n"/>
    </row>
    <row r="39">
      <c r="A39" s="11" t="inlineStr">
        <is>
          <t>2.3.1</t>
        </is>
      </c>
      <c r="B39" s="14" t="inlineStr">
        <is>
          <t>Caixa Sifonada 150x150x50mm</t>
        </is>
      </c>
      <c r="C39" s="11" t="inlineStr">
        <is>
          <t>pç</t>
        </is>
      </c>
      <c r="D39" s="15" t="n">
        <v>568</v>
      </c>
      <c r="E39" s="16" t="n">
        <v>12</v>
      </c>
      <c r="F39" s="16">
        <f>D39*E39</f>
        <v/>
      </c>
    </row>
    <row r="40">
      <c r="A40" s="11" t="inlineStr">
        <is>
          <t>2.3.2</t>
        </is>
      </c>
      <c r="B40" s="14" t="inlineStr">
        <is>
          <t>Caixa Sifonada 150x185x75mm</t>
        </is>
      </c>
      <c r="C40" s="11" t="inlineStr">
        <is>
          <t>pç</t>
        </is>
      </c>
      <c r="D40" s="15" t="n">
        <v>8</v>
      </c>
      <c r="E40" s="16" t="n">
        <v>18</v>
      </c>
      <c r="F40" s="16">
        <f>D40*E40</f>
        <v/>
      </c>
    </row>
    <row r="41">
      <c r="A41" s="11" t="inlineStr">
        <is>
          <t>2.3.3</t>
        </is>
      </c>
      <c r="B41" s="14" t="inlineStr">
        <is>
          <t>Ralo Quadrado c/ Grelha 100mm</t>
        </is>
      </c>
      <c r="C41" s="11" t="inlineStr">
        <is>
          <t>pç</t>
        </is>
      </c>
      <c r="D41" s="15" t="n">
        <v>27</v>
      </c>
      <c r="E41" s="16" t="n">
        <v>15</v>
      </c>
      <c r="F41" s="16">
        <f>D41*E41</f>
        <v/>
      </c>
    </row>
    <row r="42">
      <c r="A42" s="11" t="inlineStr">
        <is>
          <t>2.3.4</t>
        </is>
      </c>
      <c r="B42" s="14" t="inlineStr">
        <is>
          <t>Ralo Abacaxi 100mm</t>
        </is>
      </c>
      <c r="C42" s="11" t="inlineStr">
        <is>
          <t>pç</t>
        </is>
      </c>
      <c r="D42" s="15" t="n">
        <v>10</v>
      </c>
      <c r="E42" s="16" t="n">
        <v>18</v>
      </c>
      <c r="F42" s="16">
        <f>D42*E42</f>
        <v/>
      </c>
    </row>
    <row r="43">
      <c r="A43" s="17" t="inlineStr">
        <is>
          <t>SUBTOTAL ESGOTO</t>
        </is>
      </c>
      <c r="B43" s="11" t="n"/>
      <c r="C43" s="11" t="n"/>
      <c r="D43" s="11" t="n"/>
      <c r="E43" s="11" t="n"/>
      <c r="F43" s="18">
        <f>SUM(F27:F42)</f>
        <v/>
      </c>
    </row>
    <row r="45">
      <c r="A45" s="11" t="inlineStr">
        <is>
          <t>3</t>
        </is>
      </c>
      <c r="B45" s="12" t="inlineStr">
        <is>
          <t>ÁGUAS PLUVIAIS</t>
        </is>
      </c>
      <c r="C45" s="11" t="inlineStr"/>
      <c r="D45" s="11" t="n"/>
      <c r="E45" s="11" t="n"/>
      <c r="F45" s="11" t="n"/>
    </row>
    <row r="46">
      <c r="A46" s="11" t="inlineStr">
        <is>
          <t>3.1</t>
        </is>
      </c>
      <c r="B46" s="13" t="inlineStr">
        <is>
          <t>Calha Retangular 100x100mm</t>
        </is>
      </c>
      <c r="C46" s="11" t="inlineStr">
        <is>
          <t>m</t>
        </is>
      </c>
      <c r="D46" s="15" t="n">
        <v>61.08</v>
      </c>
      <c r="E46" s="16" t="n">
        <v>45</v>
      </c>
      <c r="F46" s="16">
        <f>D46*E46</f>
        <v/>
      </c>
    </row>
    <row r="47">
      <c r="A47" s="11" t="inlineStr">
        <is>
          <t>3.2</t>
        </is>
      </c>
      <c r="B47" s="13" t="inlineStr">
        <is>
          <t>Calha Retangular 200x100mm</t>
        </is>
      </c>
      <c r="C47" s="11" t="inlineStr">
        <is>
          <t>m</t>
        </is>
      </c>
      <c r="D47" s="15" t="n">
        <v>19.49</v>
      </c>
      <c r="E47" s="16" t="n">
        <v>65</v>
      </c>
      <c r="F47" s="16">
        <f>D47*E47</f>
        <v/>
      </c>
    </row>
    <row r="48">
      <c r="A48" s="11" t="inlineStr">
        <is>
          <t>3.3</t>
        </is>
      </c>
      <c r="B48" s="13" t="inlineStr">
        <is>
          <t>Cabeceira Retangular 100x100mm</t>
        </is>
      </c>
      <c r="C48" s="11" t="inlineStr">
        <is>
          <t>pç</t>
        </is>
      </c>
      <c r="D48" s="15" t="n">
        <v>28</v>
      </c>
      <c r="E48" s="16" t="n">
        <v>35</v>
      </c>
      <c r="F48" s="16">
        <f>D48*E48</f>
        <v/>
      </c>
    </row>
    <row r="49">
      <c r="A49" s="11" t="inlineStr">
        <is>
          <t>3.4</t>
        </is>
      </c>
      <c r="B49" s="13" t="inlineStr">
        <is>
          <t>Caixa de Areia Pluvial 80x80cm</t>
        </is>
      </c>
      <c r="C49" s="11" t="inlineStr">
        <is>
          <t>pç</t>
        </is>
      </c>
      <c r="D49" s="15" t="n">
        <v>4</v>
      </c>
      <c r="E49" s="16" t="n">
        <v>180</v>
      </c>
      <c r="F49" s="16">
        <f>D49*E49</f>
        <v/>
      </c>
    </row>
    <row r="50">
      <c r="A50" s="17" t="inlineStr">
        <is>
          <t>SUBTOTAL ÁGUAS PLUVIAIS</t>
        </is>
      </c>
      <c r="B50" s="11" t="n"/>
      <c r="C50" s="11" t="n"/>
      <c r="D50" s="11" t="n"/>
      <c r="E50" s="11" t="n"/>
      <c r="F50" s="18">
        <f>SUM(F46:F49)</f>
        <v/>
      </c>
    </row>
    <row r="52">
      <c r="A52" s="11" t="inlineStr">
        <is>
          <t>4</t>
        </is>
      </c>
      <c r="B52" s="12" t="inlineStr">
        <is>
          <t>LOUÇAS E METAIS (ESTIMADO)</t>
        </is>
      </c>
      <c r="C52" s="11" t="inlineStr"/>
      <c r="D52" s="11" t="n"/>
      <c r="E52" s="11" t="n"/>
      <c r="F52" s="11" t="n"/>
    </row>
    <row r="53">
      <c r="A53" s="11" t="inlineStr">
        <is>
          <t>4.1</t>
        </is>
      </c>
      <c r="B53" s="13" t="inlineStr">
        <is>
          <t>Bacia Sanitária com Caixa Acoplada</t>
        </is>
      </c>
      <c r="C53" s="11" t="inlineStr">
        <is>
          <t>pç</t>
        </is>
      </c>
      <c r="D53" s="15" t="n">
        <v>220</v>
      </c>
      <c r="E53" s="16" t="n">
        <v>450</v>
      </c>
      <c r="F53" s="16">
        <f>D53*E53</f>
        <v/>
      </c>
    </row>
    <row r="54">
      <c r="A54" s="11" t="inlineStr">
        <is>
          <t>4.2</t>
        </is>
      </c>
      <c r="B54" s="13" t="inlineStr">
        <is>
          <t>Lavatório com Coluna</t>
        </is>
      </c>
      <c r="C54" s="11" t="inlineStr">
        <is>
          <t>pç</t>
        </is>
      </c>
      <c r="D54" s="15" t="n">
        <v>200</v>
      </c>
      <c r="E54" s="16" t="n">
        <v>280</v>
      </c>
      <c r="F54" s="16">
        <f>D54*E54</f>
        <v/>
      </c>
    </row>
    <row r="55">
      <c r="A55" s="11" t="inlineStr">
        <is>
          <t>4.3</t>
        </is>
      </c>
      <c r="B55" s="13" t="inlineStr">
        <is>
          <t>Pia de Cozinha Inox 1 Cuba</t>
        </is>
      </c>
      <c r="C55" s="11" t="inlineStr">
        <is>
          <t>pç</t>
        </is>
      </c>
      <c r="D55" s="15" t="n">
        <v>160</v>
      </c>
      <c r="E55" s="16" t="n">
        <v>350</v>
      </c>
      <c r="F55" s="16">
        <f>D55*E55</f>
        <v/>
      </c>
    </row>
    <row r="56">
      <c r="A56" s="11" t="inlineStr">
        <is>
          <t>4.4</t>
        </is>
      </c>
      <c r="B56" s="13" t="inlineStr">
        <is>
          <t>Tanque de Lavar Roupas</t>
        </is>
      </c>
      <c r="C56" s="11" t="inlineStr">
        <is>
          <t>pç</t>
        </is>
      </c>
      <c r="D56" s="15" t="n">
        <v>170</v>
      </c>
      <c r="E56" s="16" t="n">
        <v>250</v>
      </c>
      <c r="F56" s="16">
        <f>D56*E56</f>
        <v/>
      </c>
    </row>
    <row r="57">
      <c r="A57" s="11" t="inlineStr">
        <is>
          <t>4.5</t>
        </is>
      </c>
      <c r="B57" s="13" t="inlineStr">
        <is>
          <t>Torneira Lavatório Cromada</t>
        </is>
      </c>
      <c r="C57" s="11" t="inlineStr">
        <is>
          <t>pç</t>
        </is>
      </c>
      <c r="D57" s="15" t="n">
        <v>200</v>
      </c>
      <c r="E57" s="16" t="n">
        <v>120</v>
      </c>
      <c r="F57" s="16">
        <f>D57*E57</f>
        <v/>
      </c>
    </row>
    <row r="58">
      <c r="A58" s="11" t="inlineStr">
        <is>
          <t>4.6</t>
        </is>
      </c>
      <c r="B58" s="13" t="inlineStr">
        <is>
          <t>Torneira Pia Cromada</t>
        </is>
      </c>
      <c r="C58" s="11" t="inlineStr">
        <is>
          <t>pç</t>
        </is>
      </c>
      <c r="D58" s="15" t="n">
        <v>160</v>
      </c>
      <c r="E58" s="16" t="n">
        <v>150</v>
      </c>
      <c r="F58" s="16">
        <f>D58*E58</f>
        <v/>
      </c>
    </row>
    <row r="59">
      <c r="A59" s="11" t="inlineStr">
        <is>
          <t>4.7</t>
        </is>
      </c>
      <c r="B59" s="13" t="inlineStr">
        <is>
          <t>Registro de Gaveta 3/4"</t>
        </is>
      </c>
      <c r="C59" s="11" t="inlineStr">
        <is>
          <t>pç</t>
        </is>
      </c>
      <c r="D59" s="15" t="n">
        <v>300</v>
      </c>
      <c r="E59" s="16" t="n">
        <v>45</v>
      </c>
      <c r="F59" s="16">
        <f>D59*E59</f>
        <v/>
      </c>
    </row>
    <row r="60">
      <c r="A60" s="17" t="inlineStr">
        <is>
          <t>SUBTOTAL LOUÇAS E METAIS</t>
        </is>
      </c>
      <c r="B60" s="11" t="n"/>
      <c r="C60" s="11" t="n"/>
      <c r="D60" s="11" t="n"/>
      <c r="E60" s="11" t="n"/>
      <c r="F60" s="18">
        <f>SUM(F53:F59)</f>
        <v/>
      </c>
    </row>
    <row r="62">
      <c r="A62" s="11" t="inlineStr">
        <is>
          <t>5</t>
        </is>
      </c>
      <c r="B62" s="12" t="inlineStr">
        <is>
          <t>RESERVATÓRIOS</t>
        </is>
      </c>
      <c r="C62" s="11" t="inlineStr"/>
      <c r="D62" s="11" t="n"/>
      <c r="E62" s="11" t="n"/>
      <c r="F62" s="11" t="n"/>
    </row>
    <row r="63">
      <c r="A63" s="11" t="inlineStr">
        <is>
          <t>5.1</t>
        </is>
      </c>
      <c r="B63" s="13" t="inlineStr">
        <is>
          <t>Reservatório Superior (estimado 80.000L)</t>
        </is>
      </c>
      <c r="C63" s="11" t="inlineStr">
        <is>
          <t>un</t>
        </is>
      </c>
      <c r="D63" s="15" t="n">
        <v>1</v>
      </c>
      <c r="E63" s="16" t="n">
        <v>35000</v>
      </c>
      <c r="F63" s="16">
        <f>D63*E63</f>
        <v/>
      </c>
    </row>
    <row r="64">
      <c r="A64" s="11" t="inlineStr">
        <is>
          <t>5.2</t>
        </is>
      </c>
      <c r="B64" s="13" t="inlineStr">
        <is>
          <t>Reservatório Inferior (estimado 40.000L)</t>
        </is>
      </c>
      <c r="C64" s="11" t="inlineStr">
        <is>
          <t>un</t>
        </is>
      </c>
      <c r="D64" s="15" t="n">
        <v>1</v>
      </c>
      <c r="E64" s="16" t="n">
        <v>25000</v>
      </c>
      <c r="F64" s="16">
        <f>D64*E64</f>
        <v/>
      </c>
    </row>
    <row r="65">
      <c r="A65" s="11" t="inlineStr">
        <is>
          <t>5.3</t>
        </is>
      </c>
      <c r="B65" s="13" t="inlineStr">
        <is>
          <t>RTI - Reserva Técnica Incêndio (21.663L)</t>
        </is>
      </c>
      <c r="C65" s="11" t="inlineStr">
        <is>
          <t>un</t>
        </is>
      </c>
      <c r="D65" s="15" t="n">
        <v>1</v>
      </c>
      <c r="E65" s="16" t="n">
        <v>22000</v>
      </c>
      <c r="F65" s="16">
        <f>D65*E65</f>
        <v/>
      </c>
    </row>
    <row r="66">
      <c r="A66" s="17" t="inlineStr">
        <is>
          <t>SUBTOTAL RESERVATÓRIOS</t>
        </is>
      </c>
      <c r="B66" s="11" t="n"/>
      <c r="C66" s="11" t="n"/>
      <c r="D66" s="11" t="n"/>
      <c r="E66" s="11" t="n"/>
      <c r="F66" s="18">
        <f>SUM(F63:F65)</f>
        <v/>
      </c>
    </row>
    <row r="68">
      <c r="A68" s="19" t="inlineStr">
        <is>
          <t>TOTAL HIDROSSANITÁRIO (SEM BDI)</t>
        </is>
      </c>
    </row>
    <row r="69">
      <c r="A69" s="20" t="inlineStr">
        <is>
          <t>BDI (25.0%)</t>
        </is>
      </c>
      <c r="F69" s="21">
        <f>F68*0.25</f>
        <v/>
      </c>
    </row>
    <row r="70">
      <c r="A70" s="19" t="inlineStr">
        <is>
          <t>TOTAL HIDROSSANITÁRIO (COM BDI)</t>
        </is>
      </c>
      <c r="F70" s="8">
        <f>F68+F69</f>
        <v/>
      </c>
    </row>
  </sheetData>
  <mergeCells count="9">
    <mergeCell ref="A69:E69"/>
    <mergeCell ref="A50:E50"/>
    <mergeCell ref="A43:E43"/>
    <mergeCell ref="A20:E20"/>
    <mergeCell ref="A1:F1"/>
    <mergeCell ref="A60:E60"/>
    <mergeCell ref="A68:E68"/>
    <mergeCell ref="A66:E66"/>
    <mergeCell ref="A70:E7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9" t="inlineStr">
        <is>
          <t>INSTALAÇÕES ELÉTRICAS</t>
        </is>
      </c>
    </row>
    <row r="2">
      <c r="A2" s="10" t="inlineStr">
        <is>
          <t>Item</t>
        </is>
      </c>
      <c r="B2" s="10" t="inlineStr">
        <is>
          <t>Descrição</t>
        </is>
      </c>
      <c r="C2" s="10" t="inlineStr">
        <is>
          <t>Unidade</t>
        </is>
      </c>
      <c r="D2" s="10" t="inlineStr">
        <is>
          <t>Quantidade</t>
        </is>
      </c>
      <c r="E2" s="10" t="inlineStr">
        <is>
          <t>Custo Unit. (R$)</t>
        </is>
      </c>
      <c r="F2" s="10" t="inlineStr">
        <is>
          <t>Custo Total (R$)</t>
        </is>
      </c>
    </row>
    <row r="3">
      <c r="A3" s="11" t="inlineStr">
        <is>
          <t>1</t>
        </is>
      </c>
      <c r="B3" s="12" t="inlineStr">
        <is>
          <t>ENTRADA DE ENERGIA</t>
        </is>
      </c>
      <c r="C3" s="11" t="inlineStr"/>
      <c r="D3" s="11" t="n"/>
      <c r="E3" s="11" t="n"/>
      <c r="F3" s="11" t="n"/>
    </row>
    <row r="4">
      <c r="A4" s="11" t="inlineStr">
        <is>
          <t>1.1</t>
        </is>
      </c>
      <c r="B4" s="13" t="inlineStr">
        <is>
          <t>Transformador 500 kVA (óleo)</t>
        </is>
      </c>
      <c r="C4" s="11" t="inlineStr">
        <is>
          <t>un</t>
        </is>
      </c>
      <c r="D4" s="15" t="n">
        <v>1</v>
      </c>
      <c r="E4" s="16" t="n">
        <v>85000</v>
      </c>
      <c r="F4" s="16">
        <f>D4*E4</f>
        <v/>
      </c>
    </row>
    <row r="5">
      <c r="A5" s="11" t="inlineStr">
        <is>
          <t>1.2</t>
        </is>
      </c>
      <c r="B5" s="13" t="inlineStr">
        <is>
          <t>Cabine de Medição CELESC</t>
        </is>
      </c>
      <c r="C5" s="11" t="inlineStr">
        <is>
          <t>un</t>
        </is>
      </c>
      <c r="D5" s="15" t="n">
        <v>1</v>
      </c>
      <c r="E5" s="16" t="n">
        <v>35000</v>
      </c>
      <c r="F5" s="16">
        <f>D5*E5</f>
        <v/>
      </c>
    </row>
    <row r="6">
      <c r="A6" s="11" t="inlineStr">
        <is>
          <t>1.3</t>
        </is>
      </c>
      <c r="B6" s="13" t="inlineStr">
        <is>
          <t>Quadro Geral BT (QGBT) - 800A</t>
        </is>
      </c>
      <c r="C6" s="11" t="inlineStr">
        <is>
          <t>un</t>
        </is>
      </c>
      <c r="D6" s="15" t="n">
        <v>1</v>
      </c>
      <c r="E6" s="16" t="n">
        <v>45000</v>
      </c>
      <c r="F6" s="16">
        <f>D6*E6</f>
        <v/>
      </c>
    </row>
    <row r="7">
      <c r="A7" s="11" t="inlineStr">
        <is>
          <t>1.4</t>
        </is>
      </c>
      <c r="B7" s="13" t="inlineStr">
        <is>
          <t>Gerador 200 kVA (diesel)</t>
        </is>
      </c>
      <c r="C7" s="11" t="inlineStr">
        <is>
          <t>un</t>
        </is>
      </c>
      <c r="D7" s="15" t="n">
        <v>1</v>
      </c>
      <c r="E7" s="16" t="n">
        <v>120000</v>
      </c>
      <c r="F7" s="16">
        <f>D7*E7</f>
        <v/>
      </c>
    </row>
    <row r="8">
      <c r="A8" s="11" t="inlineStr">
        <is>
          <t>1.5</t>
        </is>
      </c>
      <c r="B8" s="13" t="inlineStr">
        <is>
          <t>QTA - Quadro Transferência Automática</t>
        </is>
      </c>
      <c r="C8" s="11" t="inlineStr">
        <is>
          <t>un</t>
        </is>
      </c>
      <c r="D8" s="15" t="n">
        <v>1</v>
      </c>
      <c r="E8" s="16" t="n">
        <v>25000</v>
      </c>
      <c r="F8" s="16">
        <f>D8*E8</f>
        <v/>
      </c>
    </row>
    <row r="9">
      <c r="A9" s="17" t="inlineStr">
        <is>
          <t>SUBTOTAL ENTRADA</t>
        </is>
      </c>
      <c r="B9" s="11" t="n"/>
      <c r="C9" s="11" t="n"/>
      <c r="D9" s="11" t="n"/>
      <c r="E9" s="11" t="n"/>
      <c r="F9" s="18">
        <f>SUM(F4:F8)</f>
        <v/>
      </c>
    </row>
    <row r="11">
      <c r="A11" s="11" t="inlineStr">
        <is>
          <t>2</t>
        </is>
      </c>
      <c r="B11" s="12" t="inlineStr">
        <is>
          <t>QUADROS DE DISTRIBUIÇÃO</t>
        </is>
      </c>
      <c r="C11" s="11" t="inlineStr"/>
      <c r="D11" s="11" t="n"/>
      <c r="E11" s="11" t="n"/>
      <c r="F11" s="11" t="n"/>
    </row>
    <row r="12">
      <c r="A12" s="11" t="inlineStr">
        <is>
          <t>2.1</t>
        </is>
      </c>
      <c r="B12" s="13" t="inlineStr">
        <is>
          <t>Quadros Residenciais (63A)</t>
        </is>
      </c>
      <c r="C12" s="11" t="inlineStr">
        <is>
          <t>un</t>
        </is>
      </c>
      <c r="D12" s="15" t="n">
        <v>70</v>
      </c>
      <c r="E12" s="16" t="n">
        <v>1200</v>
      </c>
      <c r="F12" s="16">
        <f>D12*E12</f>
        <v/>
      </c>
    </row>
    <row r="13">
      <c r="A13" s="11" t="inlineStr">
        <is>
          <t>2.2</t>
        </is>
      </c>
      <c r="B13" s="13" t="inlineStr">
        <is>
          <t>Quadros Comerciais (50-63A)</t>
        </is>
      </c>
      <c r="C13" s="11" t="inlineStr">
        <is>
          <t>un</t>
        </is>
      </c>
      <c r="D13" s="15" t="n">
        <v>5</v>
      </c>
      <c r="E13" s="16" t="n">
        <v>1500</v>
      </c>
      <c r="F13" s="16">
        <f>D13*E13</f>
        <v/>
      </c>
    </row>
    <row r="14">
      <c r="A14" s="11" t="inlineStr">
        <is>
          <t>2.3</t>
        </is>
      </c>
      <c r="B14" s="13" t="inlineStr">
        <is>
          <t>Quadros Garagem (63A)</t>
        </is>
      </c>
      <c r="C14" s="11" t="inlineStr">
        <is>
          <t>un</t>
        </is>
      </c>
      <c r="D14" s="15" t="n">
        <v>7</v>
      </c>
      <c r="E14" s="16" t="n">
        <v>1800</v>
      </c>
      <c r="F14" s="16">
        <f>D14*E14</f>
        <v/>
      </c>
    </row>
    <row r="15">
      <c r="A15" s="11" t="inlineStr">
        <is>
          <t>2.4</t>
        </is>
      </c>
      <c r="B15" s="13" t="inlineStr">
        <is>
          <t>Quadros Lazer (63-125A)</t>
        </is>
      </c>
      <c r="C15" s="11" t="inlineStr">
        <is>
          <t>un</t>
        </is>
      </c>
      <c r="D15" s="15" t="n">
        <v>3</v>
      </c>
      <c r="E15" s="16" t="n">
        <v>2200</v>
      </c>
      <c r="F15" s="16">
        <f>D15*E15</f>
        <v/>
      </c>
    </row>
    <row r="16">
      <c r="A16" s="11" t="inlineStr">
        <is>
          <t>2.5</t>
        </is>
      </c>
      <c r="B16" s="13" t="inlineStr">
        <is>
          <t>Quadros Técnicos (elevadores/bombas)</t>
        </is>
      </c>
      <c r="C16" s="11" t="inlineStr">
        <is>
          <t>un</t>
        </is>
      </c>
      <c r="D16" s="15" t="n">
        <v>4</v>
      </c>
      <c r="E16" s="16" t="n">
        <v>3500</v>
      </c>
      <c r="F16" s="16">
        <f>D16*E16</f>
        <v/>
      </c>
    </row>
    <row r="17">
      <c r="A17" s="11" t="inlineStr">
        <is>
          <t>2.6</t>
        </is>
      </c>
      <c r="B17" s="13" t="inlineStr">
        <is>
          <t>Quadros Serviço/Emergência</t>
        </is>
      </c>
      <c r="C17" s="11" t="inlineStr">
        <is>
          <t>un</t>
        </is>
      </c>
      <c r="D17" s="15" t="n">
        <v>21</v>
      </c>
      <c r="E17" s="16" t="n">
        <v>800</v>
      </c>
      <c r="F17" s="16">
        <f>D17*E17</f>
        <v/>
      </c>
    </row>
    <row r="18">
      <c r="A18" s="17" t="inlineStr">
        <is>
          <t>SUBTOTAL QUADROS</t>
        </is>
      </c>
      <c r="B18" s="11" t="n"/>
      <c r="C18" s="11" t="n"/>
      <c r="D18" s="11" t="n"/>
      <c r="E18" s="11" t="n"/>
      <c r="F18" s="18">
        <f>SUM(F12:F17)</f>
        <v/>
      </c>
    </row>
    <row r="20">
      <c r="A20" s="11" t="inlineStr">
        <is>
          <t>3</t>
        </is>
      </c>
      <c r="B20" s="12" t="inlineStr">
        <is>
          <t>DISJUNTORES E PROTEÇÕES</t>
        </is>
      </c>
      <c r="C20" s="11" t="inlineStr"/>
      <c r="D20" s="11" t="n"/>
      <c r="E20" s="11" t="n"/>
      <c r="F20" s="11" t="n"/>
    </row>
    <row r="21">
      <c r="A21" s="11" t="inlineStr">
        <is>
          <t>3.1</t>
        </is>
      </c>
      <c r="B21" s="13" t="inlineStr">
        <is>
          <t>Disjuntores Caixa Moldada (400-800A)</t>
        </is>
      </c>
      <c r="C21" s="11" t="inlineStr">
        <is>
          <t>un</t>
        </is>
      </c>
      <c r="D21" s="15" t="n">
        <v>6</v>
      </c>
      <c r="E21" s="16" t="n">
        <v>3500</v>
      </c>
      <c r="F21" s="16">
        <f>D21*E21</f>
        <v/>
      </c>
    </row>
    <row r="22">
      <c r="A22" s="11" t="inlineStr">
        <is>
          <t>3.2</t>
        </is>
      </c>
      <c r="B22" s="13" t="inlineStr">
        <is>
          <t>Disjuntores 100-200A</t>
        </is>
      </c>
      <c r="C22" s="11" t="inlineStr">
        <is>
          <t>un</t>
        </is>
      </c>
      <c r="D22" s="15" t="n">
        <v>15</v>
      </c>
      <c r="E22" s="16" t="n">
        <v>850</v>
      </c>
      <c r="F22" s="16">
        <f>D22*E22</f>
        <v/>
      </c>
    </row>
    <row r="23">
      <c r="A23" s="11" t="inlineStr">
        <is>
          <t>3.3</t>
        </is>
      </c>
      <c r="B23" s="13" t="inlineStr">
        <is>
          <t>Disjuntores 50-100A</t>
        </is>
      </c>
      <c r="C23" s="11" t="inlineStr">
        <is>
          <t>un</t>
        </is>
      </c>
      <c r="D23" s="15" t="n">
        <v>120</v>
      </c>
      <c r="E23" s="16" t="n">
        <v>180</v>
      </c>
      <c r="F23" s="16">
        <f>D23*E23</f>
        <v/>
      </c>
    </row>
    <row r="24">
      <c r="A24" s="11" t="inlineStr">
        <is>
          <t>3.4</t>
        </is>
      </c>
      <c r="B24" s="13" t="inlineStr">
        <is>
          <t>Disjuntores 20-50A</t>
        </is>
      </c>
      <c r="C24" s="11" t="inlineStr">
        <is>
          <t>un</t>
        </is>
      </c>
      <c r="D24" s="15" t="n">
        <v>900</v>
      </c>
      <c r="E24" s="16" t="n">
        <v>45</v>
      </c>
      <c r="F24" s="16">
        <f>D24*E24</f>
        <v/>
      </c>
    </row>
    <row r="25">
      <c r="A25" s="11" t="inlineStr">
        <is>
          <t>3.5</t>
        </is>
      </c>
      <c r="B25" s="13" t="inlineStr">
        <is>
          <t>Disjuntores 10-20A</t>
        </is>
      </c>
      <c r="C25" s="11" t="inlineStr">
        <is>
          <t>un</t>
        </is>
      </c>
      <c r="D25" s="15" t="n">
        <v>1100</v>
      </c>
      <c r="E25" s="16" t="n">
        <v>25</v>
      </c>
      <c r="F25" s="16">
        <f>D25*E25</f>
        <v/>
      </c>
    </row>
    <row r="26">
      <c r="A26" s="11" t="inlineStr">
        <is>
          <t>3.6</t>
        </is>
      </c>
      <c r="B26" s="13" t="inlineStr">
        <is>
          <t>Dispositivos DR (30-300mA)</t>
        </is>
      </c>
      <c r="C26" s="11" t="inlineStr">
        <is>
          <t>un</t>
        </is>
      </c>
      <c r="D26" s="15" t="n">
        <v>600</v>
      </c>
      <c r="E26" s="16" t="n">
        <v>120</v>
      </c>
      <c r="F26" s="16">
        <f>D26*E26</f>
        <v/>
      </c>
    </row>
    <row r="27">
      <c r="A27" s="17" t="inlineStr">
        <is>
          <t>SUBTOTAL DISJUNTORES</t>
        </is>
      </c>
      <c r="B27" s="11" t="n"/>
      <c r="C27" s="11" t="n"/>
      <c r="D27" s="11" t="n"/>
      <c r="E27" s="11" t="n"/>
      <c r="F27" s="18">
        <f>SUM(F21:F26)</f>
        <v/>
      </c>
    </row>
    <row r="29">
      <c r="A29" s="11" t="inlineStr">
        <is>
          <t>4</t>
        </is>
      </c>
      <c r="B29" s="12" t="inlineStr">
        <is>
          <t>CABOS E ELETRODUTOS</t>
        </is>
      </c>
      <c r="C29" s="11" t="inlineStr"/>
      <c r="D29" s="11" t="n"/>
      <c r="E29" s="11" t="n"/>
      <c r="F29" s="11" t="n"/>
    </row>
    <row r="30">
      <c r="A30" s="11" t="inlineStr">
        <is>
          <t>4.1</t>
        </is>
      </c>
      <c r="B30" s="13" t="inlineStr">
        <is>
          <t>Cabo 240mm² (prumada principal)</t>
        </is>
      </c>
      <c r="C30" s="11" t="inlineStr">
        <is>
          <t>m</t>
        </is>
      </c>
      <c r="D30" s="15" t="n">
        <v>250</v>
      </c>
      <c r="E30" s="16" t="n">
        <v>85</v>
      </c>
      <c r="F30" s="16">
        <f>D30*E30</f>
        <v/>
      </c>
    </row>
    <row r="31">
      <c r="A31" s="11" t="inlineStr">
        <is>
          <t>4.2</t>
        </is>
      </c>
      <c r="B31" s="13" t="inlineStr">
        <is>
          <t>Cabo 120mm²</t>
        </is>
      </c>
      <c r="C31" s="11" t="inlineStr">
        <is>
          <t>m</t>
        </is>
      </c>
      <c r="D31" s="15" t="n">
        <v>400</v>
      </c>
      <c r="E31" s="16" t="n">
        <v>45</v>
      </c>
      <c r="F31" s="16">
        <f>D31*E31</f>
        <v/>
      </c>
    </row>
    <row r="32">
      <c r="A32" s="11" t="inlineStr">
        <is>
          <t>4.3</t>
        </is>
      </c>
      <c r="B32" s="13" t="inlineStr">
        <is>
          <t>Cabo 70mm²</t>
        </is>
      </c>
      <c r="C32" s="11" t="inlineStr">
        <is>
          <t>m</t>
        </is>
      </c>
      <c r="D32" s="15" t="n">
        <v>600</v>
      </c>
      <c r="E32" s="16" t="n">
        <v>28</v>
      </c>
      <c r="F32" s="16">
        <f>D32*E32</f>
        <v/>
      </c>
    </row>
    <row r="33">
      <c r="A33" s="11" t="inlineStr">
        <is>
          <t>4.4</t>
        </is>
      </c>
      <c r="B33" s="13" t="inlineStr">
        <is>
          <t>Cabo 35mm²</t>
        </is>
      </c>
      <c r="C33" s="11" t="inlineStr">
        <is>
          <t>m</t>
        </is>
      </c>
      <c r="D33" s="15" t="n">
        <v>800</v>
      </c>
      <c r="E33" s="16" t="n">
        <v>18</v>
      </c>
      <c r="F33" s="16">
        <f>D33*E33</f>
        <v/>
      </c>
    </row>
    <row r="34">
      <c r="A34" s="11" t="inlineStr">
        <is>
          <t>4.5</t>
        </is>
      </c>
      <c r="B34" s="13" t="inlineStr">
        <is>
          <t>Cabo 16mm²</t>
        </is>
      </c>
      <c r="C34" s="11" t="inlineStr">
        <is>
          <t>m</t>
        </is>
      </c>
      <c r="D34" s="15" t="n">
        <v>1200</v>
      </c>
      <c r="E34" s="16" t="n">
        <v>9.5</v>
      </c>
      <c r="F34" s="16">
        <f>D34*E34</f>
        <v/>
      </c>
    </row>
    <row r="35">
      <c r="A35" s="11" t="inlineStr">
        <is>
          <t>4.6</t>
        </is>
      </c>
      <c r="B35" s="13" t="inlineStr">
        <is>
          <t>Cabo 10mm²</t>
        </is>
      </c>
      <c r="C35" s="11" t="inlineStr">
        <is>
          <t>m</t>
        </is>
      </c>
      <c r="D35" s="15" t="n">
        <v>2500</v>
      </c>
      <c r="E35" s="16" t="n">
        <v>6.5</v>
      </c>
      <c r="F35" s="16">
        <f>D35*E35</f>
        <v/>
      </c>
    </row>
    <row r="36">
      <c r="A36" s="11" t="inlineStr">
        <is>
          <t>4.7</t>
        </is>
      </c>
      <c r="B36" s="13" t="inlineStr">
        <is>
          <t>Cabo 6mm²</t>
        </is>
      </c>
      <c r="C36" s="11" t="inlineStr">
        <is>
          <t>m</t>
        </is>
      </c>
      <c r="D36" s="15" t="n">
        <v>3500</v>
      </c>
      <c r="E36" s="16" t="n">
        <v>4.5</v>
      </c>
      <c r="F36" s="16">
        <f>D36*E36</f>
        <v/>
      </c>
    </row>
    <row r="37">
      <c r="A37" s="11" t="inlineStr">
        <is>
          <t>4.8</t>
        </is>
      </c>
      <c r="B37" s="13" t="inlineStr">
        <is>
          <t>Cabo 4mm²</t>
        </is>
      </c>
      <c r="C37" s="11" t="inlineStr">
        <is>
          <t>m</t>
        </is>
      </c>
      <c r="D37" s="15" t="n">
        <v>5000</v>
      </c>
      <c r="E37" s="16" t="n">
        <v>3.2</v>
      </c>
      <c r="F37" s="16">
        <f>D37*E37</f>
        <v/>
      </c>
    </row>
    <row r="38">
      <c r="A38" s="11" t="inlineStr">
        <is>
          <t>4.9</t>
        </is>
      </c>
      <c r="B38" s="13" t="inlineStr">
        <is>
          <t>Cabo 2,5mm²</t>
        </is>
      </c>
      <c r="C38" s="11" t="inlineStr">
        <is>
          <t>m</t>
        </is>
      </c>
      <c r="D38" s="15" t="n">
        <v>8000</v>
      </c>
      <c r="E38" s="16" t="n">
        <v>2.3</v>
      </c>
      <c r="F38" s="16">
        <f>D38*E38</f>
        <v/>
      </c>
    </row>
    <row r="39">
      <c r="A39" s="11" t="inlineStr">
        <is>
          <t>4.10</t>
        </is>
      </c>
      <c r="B39" s="13" t="inlineStr">
        <is>
          <t>Cabo 1,5mm²</t>
        </is>
      </c>
      <c r="C39" s="11" t="inlineStr">
        <is>
          <t>m</t>
        </is>
      </c>
      <c r="D39" s="15" t="n">
        <v>12000</v>
      </c>
      <c r="E39" s="16" t="n">
        <v>1.8</v>
      </c>
      <c r="F39" s="16">
        <f>D39*E39</f>
        <v/>
      </c>
    </row>
    <row r="40">
      <c r="A40" s="11" t="inlineStr">
        <is>
          <t>4.11</t>
        </is>
      </c>
      <c r="B40" s="13" t="inlineStr">
        <is>
          <t>Eletrodutos PVC DN 20-150mm</t>
        </is>
      </c>
      <c r="C40" s="11" t="inlineStr">
        <is>
          <t>m</t>
        </is>
      </c>
      <c r="D40" s="15" t="n">
        <v>13550</v>
      </c>
      <c r="E40" s="16" t="n">
        <v>12</v>
      </c>
      <c r="F40" s="16">
        <f>D40*E40</f>
        <v/>
      </c>
    </row>
    <row r="41">
      <c r="A41" s="11" t="inlineStr">
        <is>
          <t>4.12</t>
        </is>
      </c>
      <c r="B41" s="13" t="inlineStr">
        <is>
          <t>Eletrocalhas Perfuradas</t>
        </is>
      </c>
      <c r="C41" s="11" t="inlineStr">
        <is>
          <t>m</t>
        </is>
      </c>
      <c r="D41" s="15" t="n">
        <v>1100</v>
      </c>
      <c r="E41" s="16" t="n">
        <v>45</v>
      </c>
      <c r="F41" s="16">
        <f>D41*E41</f>
        <v/>
      </c>
    </row>
    <row r="42">
      <c r="A42" s="17" t="inlineStr">
        <is>
          <t>SUBTOTAL CABOS/ELETRODUTOS</t>
        </is>
      </c>
      <c r="B42" s="11" t="n"/>
      <c r="C42" s="11" t="n"/>
      <c r="D42" s="11" t="n"/>
      <c r="E42" s="11" t="n"/>
      <c r="F42" s="18">
        <f>SUM(F30:F41)</f>
        <v/>
      </c>
    </row>
    <row r="44">
      <c r="A44" s="11" t="inlineStr">
        <is>
          <t>5</t>
        </is>
      </c>
      <c r="B44" s="12" t="inlineStr">
        <is>
          <t>ILUMINAÇÃO</t>
        </is>
      </c>
      <c r="C44" s="11" t="inlineStr"/>
      <c r="D44" s="11" t="n"/>
      <c r="E44" s="11" t="n"/>
      <c r="F44" s="11" t="n"/>
    </row>
    <row r="45">
      <c r="A45" s="11" t="inlineStr">
        <is>
          <t>5.1</t>
        </is>
      </c>
      <c r="B45" s="13" t="inlineStr">
        <is>
          <t>Luminárias LED Áreas Comuns (18-36W)</t>
        </is>
      </c>
      <c r="C45" s="11" t="inlineStr">
        <is>
          <t>un</t>
        </is>
      </c>
      <c r="D45" s="15" t="n">
        <v>180</v>
      </c>
      <c r="E45" s="16" t="n">
        <v>85</v>
      </c>
      <c r="F45" s="16">
        <f>D45*E45</f>
        <v/>
      </c>
    </row>
    <row r="46">
      <c r="A46" s="11" t="inlineStr">
        <is>
          <t>5.2</t>
        </is>
      </c>
      <c r="B46" s="13" t="inlineStr">
        <is>
          <t>Luminárias LED Garagens (36W estanque)</t>
        </is>
      </c>
      <c r="C46" s="11" t="inlineStr">
        <is>
          <t>un</t>
        </is>
      </c>
      <c r="D46" s="15" t="n">
        <v>120</v>
      </c>
      <c r="E46" s="16" t="n">
        <v>95</v>
      </c>
      <c r="F46" s="16">
        <f>D46*E46</f>
        <v/>
      </c>
    </row>
    <row r="47">
      <c r="A47" s="11" t="inlineStr">
        <is>
          <t>5.3</t>
        </is>
      </c>
      <c r="B47" s="13" t="inlineStr">
        <is>
          <t>Luminárias LED Lazer (decorativas)</t>
        </is>
      </c>
      <c r="C47" s="11" t="inlineStr">
        <is>
          <t>un</t>
        </is>
      </c>
      <c r="D47" s="15" t="n">
        <v>50</v>
      </c>
      <c r="E47" s="16" t="n">
        <v>150</v>
      </c>
      <c r="F47" s="16">
        <f>D47*E47</f>
        <v/>
      </c>
    </row>
    <row r="48">
      <c r="A48" s="11" t="inlineStr">
        <is>
          <t>5.4</t>
        </is>
      </c>
      <c r="B48" s="13" t="inlineStr">
        <is>
          <t>Refletores LED Fachada (100W RGB)</t>
        </is>
      </c>
      <c r="C48" s="11" t="inlineStr">
        <is>
          <t>un</t>
        </is>
      </c>
      <c r="D48" s="15" t="n">
        <v>8</v>
      </c>
      <c r="E48" s="16" t="n">
        <v>850</v>
      </c>
      <c r="F48" s="16">
        <f>D48*E48</f>
        <v/>
      </c>
    </row>
    <row r="49">
      <c r="A49" s="11" t="inlineStr">
        <is>
          <t>5.5</t>
        </is>
      </c>
      <c r="B49" s="13" t="inlineStr">
        <is>
          <t>Balizadores LED Jardim</t>
        </is>
      </c>
      <c r="C49" s="11" t="inlineStr">
        <is>
          <t>un</t>
        </is>
      </c>
      <c r="D49" s="15" t="n">
        <v>20</v>
      </c>
      <c r="E49" s="16" t="n">
        <v>120</v>
      </c>
      <c r="F49" s="16">
        <f>D49*E49</f>
        <v/>
      </c>
    </row>
    <row r="50">
      <c r="A50" s="11" t="inlineStr">
        <is>
          <t>5.6</t>
        </is>
      </c>
      <c r="B50" s="13" t="inlineStr">
        <is>
          <t>Iluminação Emergência (blocos autônomos)</t>
        </is>
      </c>
      <c r="C50" s="11" t="inlineStr">
        <is>
          <t>un</t>
        </is>
      </c>
      <c r="D50" s="15" t="n">
        <v>100</v>
      </c>
      <c r="E50" s="16" t="n">
        <v>180</v>
      </c>
      <c r="F50" s="16">
        <f>D50*E50</f>
        <v/>
      </c>
    </row>
    <row r="51">
      <c r="A51" s="17" t="inlineStr">
        <is>
          <t>SUBTOTAL ILUMINAÇÃO</t>
        </is>
      </c>
      <c r="B51" s="11" t="n"/>
      <c r="C51" s="11" t="n"/>
      <c r="D51" s="11" t="n"/>
      <c r="E51" s="11" t="n"/>
      <c r="F51" s="18">
        <f>SUM(F45:F50)</f>
        <v/>
      </c>
    </row>
    <row r="53">
      <c r="A53" s="11" t="inlineStr">
        <is>
          <t>6</t>
        </is>
      </c>
      <c r="B53" s="12" t="inlineStr">
        <is>
          <t>TOMADAS E PONTOS DE FORÇA</t>
        </is>
      </c>
      <c r="C53" s="11" t="inlineStr"/>
      <c r="D53" s="11" t="n"/>
      <c r="E53" s="11" t="n"/>
      <c r="F53" s="11" t="n"/>
    </row>
    <row r="54">
      <c r="A54" s="11" t="inlineStr">
        <is>
          <t>6.1</t>
        </is>
      </c>
      <c r="B54" s="13" t="inlineStr">
        <is>
          <t>Tomadas 2P+T 10A (TUG)</t>
        </is>
      </c>
      <c r="C54" s="11" t="inlineStr">
        <is>
          <t>un</t>
        </is>
      </c>
      <c r="D54" s="15" t="n">
        <v>1308</v>
      </c>
      <c r="E54" s="16" t="n">
        <v>18</v>
      </c>
      <c r="F54" s="16">
        <f>D54*E54</f>
        <v/>
      </c>
    </row>
    <row r="55">
      <c r="A55" s="11" t="inlineStr">
        <is>
          <t>6.2</t>
        </is>
      </c>
      <c r="B55" s="13" t="inlineStr">
        <is>
          <t>Tomadas 2P+T 20A (TUE)</t>
        </is>
      </c>
      <c r="C55" s="11" t="inlineStr">
        <is>
          <t>un</t>
        </is>
      </c>
      <c r="D55" s="15" t="n">
        <v>490</v>
      </c>
      <c r="E55" s="16" t="n">
        <v>28</v>
      </c>
      <c r="F55" s="16">
        <f>D55*E55</f>
        <v/>
      </c>
    </row>
    <row r="56">
      <c r="A56" s="11" t="inlineStr">
        <is>
          <t>6.3</t>
        </is>
      </c>
      <c r="B56" s="13" t="inlineStr">
        <is>
          <t>Pontos de Força (chuveiro/ar-cond)</t>
        </is>
      </c>
      <c r="C56" s="11" t="inlineStr">
        <is>
          <t>un</t>
        </is>
      </c>
      <c r="D56" s="15" t="n">
        <v>350</v>
      </c>
      <c r="E56" s="16" t="n">
        <v>45</v>
      </c>
      <c r="F56" s="16">
        <f>D56*E56</f>
        <v/>
      </c>
    </row>
    <row r="57">
      <c r="A57" s="17" t="inlineStr">
        <is>
          <t>SUBTOTAL TOMADAS</t>
        </is>
      </c>
      <c r="B57" s="11" t="n"/>
      <c r="C57" s="11" t="n"/>
      <c r="D57" s="11" t="n"/>
      <c r="E57" s="11" t="n"/>
      <c r="F57" s="18">
        <f>SUM(F54:F56)</f>
        <v/>
      </c>
    </row>
    <row r="59">
      <c r="A59" s="11" t="inlineStr">
        <is>
          <t>7</t>
        </is>
      </c>
      <c r="B59" s="12" t="inlineStr">
        <is>
          <t>SPDA - PROTEÇÃO CONTRA DESCARGAS</t>
        </is>
      </c>
      <c r="C59" s="11" t="inlineStr"/>
      <c r="D59" s="11" t="n"/>
      <c r="E59" s="11" t="n"/>
      <c r="F59" s="11" t="n"/>
    </row>
    <row r="60">
      <c r="A60" s="11" t="inlineStr">
        <is>
          <t>7.1</t>
        </is>
      </c>
      <c r="B60" s="13" t="inlineStr">
        <is>
          <t>Captor Franklin (haste 6m inox)</t>
        </is>
      </c>
      <c r="C60" s="11" t="inlineStr">
        <is>
          <t>un</t>
        </is>
      </c>
      <c r="D60" s="15" t="n">
        <v>4</v>
      </c>
      <c r="E60" s="16" t="n">
        <v>850</v>
      </c>
      <c r="F60" s="16">
        <f>D60*E60</f>
        <v/>
      </c>
    </row>
    <row r="61">
      <c r="A61" s="11" t="inlineStr">
        <is>
          <t>7.2</t>
        </is>
      </c>
      <c r="B61" s="13" t="inlineStr">
        <is>
          <t>Cabo Cobre Nu 50mm² (descidas)</t>
        </is>
      </c>
      <c r="C61" s="11" t="inlineStr">
        <is>
          <t>m</t>
        </is>
      </c>
      <c r="D61" s="15" t="n">
        <v>400</v>
      </c>
      <c r="E61" s="16" t="n">
        <v>35</v>
      </c>
      <c r="F61" s="16">
        <f>D61*E61</f>
        <v/>
      </c>
    </row>
    <row r="62">
      <c r="A62" s="11" t="inlineStr">
        <is>
          <t>7.3</t>
        </is>
      </c>
      <c r="B62" s="13" t="inlineStr">
        <is>
          <t>Cabo Cobre Nu 35mm² (malha)</t>
        </is>
      </c>
      <c r="C62" s="11" t="inlineStr">
        <is>
          <t>m</t>
        </is>
      </c>
      <c r="D62" s="15" t="n">
        <v>350</v>
      </c>
      <c r="E62" s="16" t="n">
        <v>28</v>
      </c>
      <c r="F62" s="16">
        <f>D62*E62</f>
        <v/>
      </c>
    </row>
    <row r="63">
      <c r="A63" s="11" t="inlineStr">
        <is>
          <t>7.4</t>
        </is>
      </c>
      <c r="B63" s="13" t="inlineStr">
        <is>
          <t>Conexões Solda Exotérmica</t>
        </is>
      </c>
      <c r="C63" s="11" t="inlineStr">
        <is>
          <t>un</t>
        </is>
      </c>
      <c r="D63" s="15" t="n">
        <v>120</v>
      </c>
      <c r="E63" s="16" t="n">
        <v>45</v>
      </c>
      <c r="F63" s="16">
        <f>D63*E63</f>
        <v/>
      </c>
    </row>
    <row r="64">
      <c r="A64" s="11" t="inlineStr">
        <is>
          <t>7.5</t>
        </is>
      </c>
      <c r="B64" s="13" t="inlineStr">
        <is>
          <t>Suportes e Fixações</t>
        </is>
      </c>
      <c r="C64" s="11" t="inlineStr">
        <is>
          <t>un</t>
        </is>
      </c>
      <c r="D64" s="15" t="n">
        <v>160</v>
      </c>
      <c r="E64" s="16" t="n">
        <v>15</v>
      </c>
      <c r="F64" s="16">
        <f>D64*E64</f>
        <v/>
      </c>
    </row>
    <row r="65">
      <c r="A65" s="11" t="inlineStr">
        <is>
          <t>7.6</t>
        </is>
      </c>
      <c r="B65" s="13" t="inlineStr">
        <is>
          <t>Caixas de Inspeção</t>
        </is>
      </c>
      <c r="C65" s="11" t="inlineStr">
        <is>
          <t>un</t>
        </is>
      </c>
      <c r="D65" s="15" t="n">
        <v>8</v>
      </c>
      <c r="E65" s="16" t="n">
        <v>180</v>
      </c>
      <c r="F65" s="16">
        <f>D65*E65</f>
        <v/>
      </c>
    </row>
    <row r="66">
      <c r="A66" s="17" t="inlineStr">
        <is>
          <t>SUBTOTAL SPDA</t>
        </is>
      </c>
      <c r="B66" s="11" t="n"/>
      <c r="C66" s="11" t="n"/>
      <c r="D66" s="11" t="n"/>
      <c r="E66" s="11" t="n"/>
      <c r="F66" s="18">
        <f>SUM(F60:F65)</f>
        <v/>
      </c>
    </row>
    <row r="68">
      <c r="A68" s="11" t="inlineStr">
        <is>
          <t>8</t>
        </is>
      </c>
      <c r="B68" s="12" t="inlineStr">
        <is>
          <t>AUTOMAÇÃO E CFTV</t>
        </is>
      </c>
      <c r="C68" s="11" t="inlineStr"/>
      <c r="D68" s="11" t="n"/>
      <c r="E68" s="11" t="n"/>
      <c r="F68" s="11" t="n"/>
    </row>
    <row r="69">
      <c r="A69" s="11" t="inlineStr">
        <is>
          <t>8.1</t>
        </is>
      </c>
      <c r="B69" s="13" t="inlineStr">
        <is>
          <t>Câmeras IP (2-4MP)</t>
        </is>
      </c>
      <c r="C69" s="11" t="inlineStr">
        <is>
          <t>un</t>
        </is>
      </c>
      <c r="D69" s="15" t="n">
        <v>50</v>
      </c>
      <c r="E69" s="16" t="n">
        <v>850</v>
      </c>
      <c r="F69" s="16">
        <f>D69*E69</f>
        <v/>
      </c>
    </row>
    <row r="70">
      <c r="A70" s="11" t="inlineStr">
        <is>
          <t>8.2</t>
        </is>
      </c>
      <c r="B70" s="13" t="inlineStr">
        <is>
          <t>NVR 64 canais + HD 16TB</t>
        </is>
      </c>
      <c r="C70" s="11" t="inlineStr">
        <is>
          <t>un</t>
        </is>
      </c>
      <c r="D70" s="15" t="n">
        <v>1</v>
      </c>
      <c r="E70" s="16" t="n">
        <v>8500</v>
      </c>
      <c r="F70" s="16">
        <f>D70*E70</f>
        <v/>
      </c>
    </row>
    <row r="71">
      <c r="A71" s="11" t="inlineStr">
        <is>
          <t>8.3</t>
        </is>
      </c>
      <c r="B71" s="13" t="inlineStr">
        <is>
          <t>Switches PoE 24 portas</t>
        </is>
      </c>
      <c r="C71" s="11" t="inlineStr">
        <is>
          <t>un</t>
        </is>
      </c>
      <c r="D71" s="15" t="n">
        <v>3</v>
      </c>
      <c r="E71" s="16" t="n">
        <v>2200</v>
      </c>
      <c r="F71" s="16">
        <f>D71*E71</f>
        <v/>
      </c>
    </row>
    <row r="72">
      <c r="A72" s="11" t="inlineStr">
        <is>
          <t>8.4</t>
        </is>
      </c>
      <c r="B72" s="13" t="inlineStr">
        <is>
          <t>Catraca Pedestre RFID</t>
        </is>
      </c>
      <c r="C72" s="11" t="inlineStr">
        <is>
          <t>un</t>
        </is>
      </c>
      <c r="D72" s="15" t="n">
        <v>2</v>
      </c>
      <c r="E72" s="16" t="n">
        <v>4500</v>
      </c>
      <c r="F72" s="16">
        <f>D72*E72</f>
        <v/>
      </c>
    </row>
    <row r="73">
      <c r="A73" s="11" t="inlineStr">
        <is>
          <t>8.5</t>
        </is>
      </c>
      <c r="B73" s="13" t="inlineStr">
        <is>
          <t>Cancela Veicular</t>
        </is>
      </c>
      <c r="C73" s="11" t="inlineStr">
        <is>
          <t>un</t>
        </is>
      </c>
      <c r="D73" s="15" t="n">
        <v>2</v>
      </c>
      <c r="E73" s="16" t="n">
        <v>3200</v>
      </c>
      <c r="F73" s="16">
        <f>D73*E73</f>
        <v/>
      </c>
    </row>
    <row r="74">
      <c r="A74" s="11" t="inlineStr">
        <is>
          <t>8.6</t>
        </is>
      </c>
      <c r="B74" s="13" t="inlineStr">
        <is>
          <t>Interfone/Vídeo Porteiro IP</t>
        </is>
      </c>
      <c r="C74" s="11" t="inlineStr">
        <is>
          <t>un</t>
        </is>
      </c>
      <c r="D74" s="15" t="n">
        <v>70</v>
      </c>
      <c r="E74" s="16" t="n">
        <v>350</v>
      </c>
      <c r="F74" s="16">
        <f>D74*E74</f>
        <v/>
      </c>
    </row>
    <row r="75">
      <c r="A75" s="11" t="inlineStr">
        <is>
          <t>8.7</t>
        </is>
      </c>
      <c r="B75" s="13" t="inlineStr">
        <is>
          <t>Rede Estruturada (cabos Cat6 + patch panel)</t>
        </is>
      </c>
      <c r="C75" s="11" t="inlineStr">
        <is>
          <t>vb</t>
        </is>
      </c>
      <c r="D75" s="15" t="n">
        <v>1</v>
      </c>
      <c r="E75" s="16" t="n">
        <v>45000</v>
      </c>
      <c r="F75" s="16">
        <f>D75*E75</f>
        <v/>
      </c>
    </row>
    <row r="76">
      <c r="A76" s="17" t="inlineStr">
        <is>
          <t>SUBTOTAL AUTOMAÇÃO/CFTV</t>
        </is>
      </c>
      <c r="B76" s="11" t="n"/>
      <c r="C76" s="11" t="n"/>
      <c r="D76" s="11" t="n"/>
      <c r="E76" s="11" t="n"/>
      <c r="F76" s="18">
        <f>SUM(F69:F75)</f>
        <v/>
      </c>
    </row>
    <row r="78">
      <c r="A78" s="19" t="inlineStr">
        <is>
          <t>TOTAL ELÉTRICO (SEM BDI)</t>
        </is>
      </c>
      <c r="F78" s="8" t="n"/>
    </row>
    <row r="79">
      <c r="A79" s="20" t="inlineStr">
        <is>
          <t>BDI (25.0%)</t>
        </is>
      </c>
      <c r="F79" s="21">
        <f>F78*0.25</f>
        <v/>
      </c>
    </row>
    <row r="80">
      <c r="A80" s="19" t="inlineStr">
        <is>
          <t>TOTAL ELÉTRICO (COM BDI)</t>
        </is>
      </c>
      <c r="F80" s="8">
        <f>F78+F79</f>
        <v/>
      </c>
    </row>
  </sheetData>
  <mergeCells count="12">
    <mergeCell ref="A18:E18"/>
    <mergeCell ref="A57:E57"/>
    <mergeCell ref="A78:E78"/>
    <mergeCell ref="A42:E42"/>
    <mergeCell ref="A1:F1"/>
    <mergeCell ref="A76:E76"/>
    <mergeCell ref="A51:E51"/>
    <mergeCell ref="A79:E79"/>
    <mergeCell ref="A66:E66"/>
    <mergeCell ref="A80:E80"/>
    <mergeCell ref="A9:E9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9" t="inlineStr">
        <is>
          <t>PREVENÇÃO E COMBATE A INCÊNDIO</t>
        </is>
      </c>
    </row>
    <row r="2">
      <c r="A2" s="10" t="inlineStr">
        <is>
          <t>Item</t>
        </is>
      </c>
      <c r="B2" s="10" t="inlineStr">
        <is>
          <t>Descrição</t>
        </is>
      </c>
      <c r="C2" s="10" t="inlineStr">
        <is>
          <t>Unidade</t>
        </is>
      </c>
      <c r="D2" s="10" t="inlineStr">
        <is>
          <t>Quantidade</t>
        </is>
      </c>
      <c r="E2" s="10" t="inlineStr">
        <is>
          <t>Custo Unit. (R$)</t>
        </is>
      </c>
      <c r="F2" s="10" t="inlineStr">
        <is>
          <t>Custo Total (R$)</t>
        </is>
      </c>
    </row>
    <row r="3">
      <c r="A3" s="11" t="inlineStr">
        <is>
          <t>1</t>
        </is>
      </c>
      <c r="B3" s="12" t="inlineStr">
        <is>
          <t>SISTEMA DE HIDRANTES (SHP)</t>
        </is>
      </c>
      <c r="C3" s="11" t="inlineStr"/>
      <c r="D3" s="11" t="n"/>
      <c r="E3" s="11" t="n"/>
      <c r="F3" s="11" t="n"/>
    </row>
    <row r="4">
      <c r="A4" s="11" t="inlineStr">
        <is>
          <t>1.1</t>
        </is>
      </c>
      <c r="B4" s="13" t="inlineStr">
        <is>
          <t>RTI - Reservatório Incêndio 21.663L</t>
        </is>
      </c>
      <c r="C4" s="11" t="inlineStr">
        <is>
          <t>un</t>
        </is>
      </c>
      <c r="D4" s="15" t="n">
        <v>1</v>
      </c>
      <c r="E4" s="16" t="n">
        <v>22000</v>
      </c>
      <c r="F4" s="16">
        <f>D4*E4</f>
        <v/>
      </c>
    </row>
    <row r="5">
      <c r="A5" s="11" t="inlineStr">
        <is>
          <t>1.2</t>
        </is>
      </c>
      <c r="B5" s="13" t="inlineStr">
        <is>
          <t>Hidrante Recalque Coluna 2½"</t>
        </is>
      </c>
      <c r="C5" s="11" t="inlineStr">
        <is>
          <t>un</t>
        </is>
      </c>
      <c r="D5" s="15" t="n">
        <v>1</v>
      </c>
      <c r="E5" s="16" t="n">
        <v>1500</v>
      </c>
      <c r="F5" s="16">
        <f>D5*E5</f>
        <v/>
      </c>
    </row>
    <row r="6">
      <c r="A6" s="11" t="inlineStr">
        <is>
          <t>1.3</t>
        </is>
      </c>
      <c r="B6" s="13" t="inlineStr">
        <is>
          <t>Hidrantes Internos DN 65mm c/ abrigo</t>
        </is>
      </c>
      <c r="C6" s="11" t="inlineStr">
        <is>
          <t>un</t>
        </is>
      </c>
      <c r="D6" s="15" t="n">
        <v>24</v>
      </c>
      <c r="E6" s="16" t="n">
        <v>850</v>
      </c>
      <c r="F6" s="16">
        <f>D6*E6</f>
        <v/>
      </c>
    </row>
    <row r="7">
      <c r="A7" s="11" t="inlineStr">
        <is>
          <t>1.4</t>
        </is>
      </c>
      <c r="B7" s="13" t="inlineStr">
        <is>
          <t>Tubulação Metálica DN 65-100mm</t>
        </is>
      </c>
      <c r="C7" s="11" t="inlineStr">
        <is>
          <t>m</t>
        </is>
      </c>
      <c r="D7" s="15" t="n">
        <v>500</v>
      </c>
      <c r="E7" s="16" t="n">
        <v>45</v>
      </c>
      <c r="F7" s="16">
        <f>D7*E7</f>
        <v/>
      </c>
    </row>
    <row r="8">
      <c r="A8" s="11" t="inlineStr">
        <is>
          <t>1.5</t>
        </is>
      </c>
      <c r="B8" s="13" t="inlineStr">
        <is>
          <t>Mangueiras 30m + Esguichos</t>
        </is>
      </c>
      <c r="C8" s="11" t="inlineStr">
        <is>
          <t>cj</t>
        </is>
      </c>
      <c r="D8" s="15" t="n">
        <v>24</v>
      </c>
      <c r="E8" s="16" t="n">
        <v>650</v>
      </c>
      <c r="F8" s="16">
        <f>D8*E8</f>
        <v/>
      </c>
    </row>
    <row r="9">
      <c r="A9" s="11" t="inlineStr">
        <is>
          <t>1.6</t>
        </is>
      </c>
      <c r="B9" s="13" t="inlineStr">
        <is>
          <t>Válvulas e Conexões</t>
        </is>
      </c>
      <c r="C9" s="11" t="inlineStr">
        <is>
          <t>vb</t>
        </is>
      </c>
      <c r="D9" s="15" t="n">
        <v>1</v>
      </c>
      <c r="E9" s="16" t="n">
        <v>8500</v>
      </c>
      <c r="F9" s="16">
        <f>D9*E9</f>
        <v/>
      </c>
    </row>
    <row r="10">
      <c r="A10" s="17" t="inlineStr">
        <is>
          <t>SUBTOTAL HIDRANTES</t>
        </is>
      </c>
      <c r="B10" s="11" t="n"/>
      <c r="C10" s="11" t="n"/>
      <c r="D10" s="11" t="n"/>
      <c r="E10" s="11" t="n"/>
      <c r="F10" s="18">
        <f>SUM(F4:F9)</f>
        <v/>
      </c>
    </row>
    <row r="12">
      <c r="A12" s="11" t="inlineStr">
        <is>
          <t>2</t>
        </is>
      </c>
      <c r="B12" s="12" t="inlineStr">
        <is>
          <t>EXTINTORES (SPE)</t>
        </is>
      </c>
      <c r="C12" s="11" t="inlineStr"/>
      <c r="D12" s="11" t="n"/>
      <c r="E12" s="11" t="n"/>
      <c r="F12" s="11" t="n"/>
    </row>
    <row r="13">
      <c r="A13" s="11" t="inlineStr">
        <is>
          <t>2.1</t>
        </is>
      </c>
      <c r="B13" s="13" t="inlineStr">
        <is>
          <t>Extintor PQS 6kg BC</t>
        </is>
      </c>
      <c r="C13" s="11" t="inlineStr">
        <is>
          <t>un</t>
        </is>
      </c>
      <c r="D13" s="15" t="n">
        <v>30</v>
      </c>
      <c r="E13" s="16" t="n">
        <v>180</v>
      </c>
      <c r="F13" s="16">
        <f>D13*E13</f>
        <v/>
      </c>
    </row>
    <row r="14">
      <c r="A14" s="11" t="inlineStr">
        <is>
          <t>2.2</t>
        </is>
      </c>
      <c r="B14" s="13" t="inlineStr">
        <is>
          <t>Extintor Água 10L</t>
        </is>
      </c>
      <c r="C14" s="11" t="inlineStr">
        <is>
          <t>un</t>
        </is>
      </c>
      <c r="D14" s="15" t="n">
        <v>12</v>
      </c>
      <c r="E14" s="16" t="n">
        <v>220</v>
      </c>
      <c r="F14" s="16">
        <f>D14*E14</f>
        <v/>
      </c>
    </row>
    <row r="15">
      <c r="A15" s="11" t="inlineStr">
        <is>
          <t>2.3</t>
        </is>
      </c>
      <c r="B15" s="13" t="inlineStr">
        <is>
          <t>Extintor CO₂ 6kg</t>
        </is>
      </c>
      <c r="C15" s="11" t="inlineStr">
        <is>
          <t>un</t>
        </is>
      </c>
      <c r="D15" s="15" t="n">
        <v>6</v>
      </c>
      <c r="E15" s="16" t="n">
        <v>350</v>
      </c>
      <c r="F15" s="16">
        <f>D15*E15</f>
        <v/>
      </c>
    </row>
    <row r="16">
      <c r="A16" s="11" t="inlineStr">
        <is>
          <t>2.4</t>
        </is>
      </c>
      <c r="B16" s="13" t="inlineStr">
        <is>
          <t>Abrigos + Suportes + Sinalização</t>
        </is>
      </c>
      <c r="C16" s="11" t="inlineStr">
        <is>
          <t>vb</t>
        </is>
      </c>
      <c r="D16" s="15" t="n">
        <v>1</v>
      </c>
      <c r="E16" s="16" t="n">
        <v>4500</v>
      </c>
      <c r="F16" s="16">
        <f>D16*E16</f>
        <v/>
      </c>
    </row>
    <row r="17">
      <c r="A17" s="17" t="inlineStr">
        <is>
          <t>SUBTOTAL EXTINTORES</t>
        </is>
      </c>
      <c r="B17" s="11" t="n"/>
      <c r="C17" s="11" t="n"/>
      <c r="D17" s="11" t="n"/>
      <c r="E17" s="11" t="n"/>
      <c r="F17" s="18">
        <f>SUM(F13:F16)</f>
        <v/>
      </c>
    </row>
    <row r="19">
      <c r="A19" s="11" t="inlineStr">
        <is>
          <t>3</t>
        </is>
      </c>
      <c r="B19" s="12" t="inlineStr">
        <is>
          <t>DETECÇÃO E ALARME (SDAI)</t>
        </is>
      </c>
      <c r="C19" s="11" t="inlineStr"/>
      <c r="D19" s="11" t="n"/>
      <c r="E19" s="11" t="n"/>
      <c r="F19" s="11" t="n"/>
    </row>
    <row r="20">
      <c r="A20" s="11" t="inlineStr">
        <is>
          <t>3.1</t>
        </is>
      </c>
      <c r="B20" s="13" t="inlineStr">
        <is>
          <t>Central Analógica 8 Laços</t>
        </is>
      </c>
      <c r="C20" s="11" t="inlineStr">
        <is>
          <t>un</t>
        </is>
      </c>
      <c r="D20" s="15" t="n">
        <v>1</v>
      </c>
      <c r="E20" s="16" t="n">
        <v>12000</v>
      </c>
      <c r="F20" s="16">
        <f>D20*E20</f>
        <v/>
      </c>
    </row>
    <row r="21">
      <c r="A21" s="11" t="inlineStr">
        <is>
          <t>3.2</t>
        </is>
      </c>
      <c r="B21" s="13" t="inlineStr">
        <is>
          <t>Detectores Fumaça/Temperatura</t>
        </is>
      </c>
      <c r="C21" s="11" t="inlineStr">
        <is>
          <t>un</t>
        </is>
      </c>
      <c r="D21" s="15" t="n">
        <v>150</v>
      </c>
      <c r="E21" s="16" t="n">
        <v>180</v>
      </c>
      <c r="F21" s="16">
        <f>D21*E21</f>
        <v/>
      </c>
    </row>
    <row r="22">
      <c r="A22" s="11" t="inlineStr">
        <is>
          <t>3.3</t>
        </is>
      </c>
      <c r="B22" s="13" t="inlineStr">
        <is>
          <t>Acionadores Manuais</t>
        </is>
      </c>
      <c r="C22" s="11" t="inlineStr">
        <is>
          <t>un</t>
        </is>
      </c>
      <c r="D22" s="15" t="n">
        <v>24</v>
      </c>
      <c r="E22" s="16" t="n">
        <v>120</v>
      </c>
      <c r="F22" s="16">
        <f>D22*E22</f>
        <v/>
      </c>
    </row>
    <row r="23">
      <c r="A23" s="11" t="inlineStr">
        <is>
          <t>3.4</t>
        </is>
      </c>
      <c r="B23" s="13" t="inlineStr">
        <is>
          <t>Avisadores Sonoros/Visuais</t>
        </is>
      </c>
      <c r="C23" s="11" t="inlineStr">
        <is>
          <t>un</t>
        </is>
      </c>
      <c r="D23" s="15" t="n">
        <v>24</v>
      </c>
      <c r="E23" s="16" t="n">
        <v>250</v>
      </c>
      <c r="F23" s="16">
        <f>D23*E23</f>
        <v/>
      </c>
    </row>
    <row r="24">
      <c r="A24" s="11" t="inlineStr">
        <is>
          <t>3.5</t>
        </is>
      </c>
      <c r="B24" s="13" t="inlineStr">
        <is>
          <t>Cabeamento + Eletrodutos</t>
        </is>
      </c>
      <c r="C24" s="11" t="inlineStr">
        <is>
          <t>vb</t>
        </is>
      </c>
      <c r="D24" s="15" t="n">
        <v>1</v>
      </c>
      <c r="E24" s="16" t="n">
        <v>18000</v>
      </c>
      <c r="F24" s="16">
        <f>D24*E24</f>
        <v/>
      </c>
    </row>
    <row r="25">
      <c r="A25" s="11" t="inlineStr">
        <is>
          <t>3.6</t>
        </is>
      </c>
      <c r="B25" s="13" t="inlineStr">
        <is>
          <t>Fonte/Nobreak Sistema</t>
        </is>
      </c>
      <c r="C25" s="11" t="inlineStr">
        <is>
          <t>un</t>
        </is>
      </c>
      <c r="D25" s="15" t="n">
        <v>1</v>
      </c>
      <c r="E25" s="16" t="n">
        <v>4500</v>
      </c>
      <c r="F25" s="16">
        <f>D25*E25</f>
        <v/>
      </c>
    </row>
    <row r="26">
      <c r="A26" s="17" t="inlineStr">
        <is>
          <t>SUBTOTAL DETECÇÃO</t>
        </is>
      </c>
      <c r="B26" s="11" t="n"/>
      <c r="C26" s="11" t="n"/>
      <c r="D26" s="11" t="n"/>
      <c r="E26" s="11" t="n"/>
      <c r="F26" s="18">
        <f>SUM(F20:F25)</f>
        <v/>
      </c>
    </row>
    <row r="28">
      <c r="A28" s="11" t="inlineStr">
        <is>
          <t>4</t>
        </is>
      </c>
      <c r="B28" s="12" t="inlineStr">
        <is>
          <t>ILUMINAÇÃO DE EMERGÊNCIA (SIE)</t>
        </is>
      </c>
      <c r="C28" s="11" t="inlineStr"/>
      <c r="D28" s="11" t="n"/>
      <c r="E28" s="11" t="n"/>
      <c r="F28" s="11" t="n"/>
    </row>
    <row r="29">
      <c r="A29" s="11" t="inlineStr">
        <is>
          <t>4.1</t>
        </is>
      </c>
      <c r="B29" s="13" t="inlineStr">
        <is>
          <t>Blocos Autônomos LED 3h</t>
        </is>
      </c>
      <c r="C29" s="11" t="inlineStr">
        <is>
          <t>un</t>
        </is>
      </c>
      <c r="D29" s="15" t="n">
        <v>100</v>
      </c>
      <c r="E29" s="16" t="n">
        <v>180</v>
      </c>
      <c r="F29" s="16">
        <f>D29*E29</f>
        <v/>
      </c>
    </row>
    <row r="30">
      <c r="A30" s="11" t="inlineStr">
        <is>
          <t>4.2</t>
        </is>
      </c>
      <c r="B30" s="13" t="inlineStr">
        <is>
          <t>Instalação + Cabeamento</t>
        </is>
      </c>
      <c r="C30" s="11" t="inlineStr">
        <is>
          <t>vb</t>
        </is>
      </c>
      <c r="D30" s="15" t="n">
        <v>1</v>
      </c>
      <c r="E30" s="16" t="n">
        <v>8000</v>
      </c>
      <c r="F30" s="16">
        <f>D30*E30</f>
        <v/>
      </c>
    </row>
    <row r="31">
      <c r="A31" s="17" t="inlineStr">
        <is>
          <t>SUBTOTAL ILUMINAÇÃO EMERGÊNCIA</t>
        </is>
      </c>
      <c r="B31" s="11" t="n"/>
      <c r="C31" s="11" t="n"/>
      <c r="D31" s="11" t="n"/>
      <c r="E31" s="11" t="n"/>
      <c r="F31" s="18">
        <f>SUM(F29:F30)</f>
        <v/>
      </c>
    </row>
    <row r="33">
      <c r="A33" s="11" t="inlineStr">
        <is>
          <t>5</t>
        </is>
      </c>
      <c r="B33" s="12" t="inlineStr">
        <is>
          <t>SINALIZAÇÃO (SAL)</t>
        </is>
      </c>
      <c r="C33" s="11" t="inlineStr"/>
      <c r="D33" s="11" t="n"/>
      <c r="E33" s="11" t="n"/>
      <c r="F33" s="11" t="n"/>
    </row>
    <row r="34">
      <c r="A34" s="11" t="inlineStr">
        <is>
          <t>5.1</t>
        </is>
      </c>
      <c r="B34" s="13" t="inlineStr">
        <is>
          <t>Placas Fotoluminescentes (saída/orientação)</t>
        </is>
      </c>
      <c r="C34" s="11" t="inlineStr">
        <is>
          <t>un</t>
        </is>
      </c>
      <c r="D34" s="15" t="n">
        <v>64</v>
      </c>
      <c r="E34" s="16" t="n">
        <v>45</v>
      </c>
      <c r="F34" s="16">
        <f>D34*E34</f>
        <v/>
      </c>
    </row>
    <row r="35">
      <c r="A35" s="11" t="inlineStr">
        <is>
          <t>5.2</t>
        </is>
      </c>
      <c r="B35" s="13" t="inlineStr">
        <is>
          <t>Placas Luminosas (escada/saída)</t>
        </is>
      </c>
      <c r="C35" s="11" t="inlineStr">
        <is>
          <t>un</t>
        </is>
      </c>
      <c r="D35" s="15" t="n">
        <v>20</v>
      </c>
      <c r="E35" s="16" t="n">
        <v>120</v>
      </c>
      <c r="F35" s="16">
        <f>D35*E35</f>
        <v/>
      </c>
    </row>
    <row r="36">
      <c r="A36" s="17" t="inlineStr">
        <is>
          <t>SUBTOTAL SINALIZAÇÃO</t>
        </is>
      </c>
      <c r="B36" s="11" t="n"/>
      <c r="C36" s="11" t="n"/>
      <c r="D36" s="11" t="n"/>
      <c r="E36" s="11" t="n"/>
      <c r="F36" s="18">
        <f>SUM(F34:F35)</f>
        <v/>
      </c>
    </row>
    <row r="38">
      <c r="A38" s="11" t="inlineStr">
        <is>
          <t>6</t>
        </is>
      </c>
      <c r="B38" s="12" t="inlineStr">
        <is>
          <t>PRESSURIZAÇÃO DE ESCADA</t>
        </is>
      </c>
      <c r="C38" s="11" t="inlineStr"/>
      <c r="D38" s="11" t="n"/>
      <c r="E38" s="11" t="n"/>
      <c r="F38" s="11" t="n"/>
    </row>
    <row r="39">
      <c r="A39" s="11" t="inlineStr">
        <is>
          <t>6.1</t>
        </is>
      </c>
      <c r="B39" s="13" t="inlineStr">
        <is>
          <t>Ventiladores TITAN BLD 560 (2 un)</t>
        </is>
      </c>
      <c r="C39" s="11" t="inlineStr">
        <is>
          <t>un</t>
        </is>
      </c>
      <c r="D39" s="15" t="n">
        <v>2</v>
      </c>
      <c r="E39" s="16" t="n">
        <v>35000</v>
      </c>
      <c r="F39" s="16">
        <f>D39*E39</f>
        <v/>
      </c>
    </row>
    <row r="40">
      <c r="A40" s="11" t="inlineStr">
        <is>
          <t>6.2</t>
        </is>
      </c>
      <c r="B40" s="13" t="inlineStr">
        <is>
          <t>Dampers Alívio DAG 600x600mm</t>
        </is>
      </c>
      <c r="C40" s="11" t="inlineStr">
        <is>
          <t>un</t>
        </is>
      </c>
      <c r="D40" s="15" t="n">
        <v>2</v>
      </c>
      <c r="E40" s="16" t="n">
        <v>2500</v>
      </c>
      <c r="F40" s="16">
        <f>D40*E40</f>
        <v/>
      </c>
    </row>
    <row r="41">
      <c r="A41" s="11" t="inlineStr">
        <is>
          <t>6.3</t>
        </is>
      </c>
      <c r="B41" s="13" t="inlineStr">
        <is>
          <t>Variador Frequência + Controle</t>
        </is>
      </c>
      <c r="C41" s="11" t="inlineStr">
        <is>
          <t>cj</t>
        </is>
      </c>
      <c r="D41" s="15" t="n">
        <v>1</v>
      </c>
      <c r="E41" s="16" t="n">
        <v>12000</v>
      </c>
      <c r="F41" s="16">
        <f>D41*E41</f>
        <v/>
      </c>
    </row>
    <row r="42">
      <c r="A42" s="11" t="inlineStr">
        <is>
          <t>6.4</t>
        </is>
      </c>
      <c r="B42" s="13" t="inlineStr">
        <is>
          <t>Sensor Pressão + Automação</t>
        </is>
      </c>
      <c r="C42" s="11" t="inlineStr">
        <is>
          <t>cj</t>
        </is>
      </c>
      <c r="D42" s="15" t="n">
        <v>1</v>
      </c>
      <c r="E42" s="16" t="n">
        <v>8000</v>
      </c>
      <c r="F42" s="16">
        <f>D42*E42</f>
        <v/>
      </c>
    </row>
    <row r="43">
      <c r="A43" s="11" t="inlineStr">
        <is>
          <t>6.5</t>
        </is>
      </c>
      <c r="B43" s="13" t="inlineStr">
        <is>
          <t>Dutos + Grelhas (24 pav.)</t>
        </is>
      </c>
      <c r="C43" s="11" t="inlineStr">
        <is>
          <t>vb</t>
        </is>
      </c>
      <c r="D43" s="15" t="n">
        <v>1</v>
      </c>
      <c r="E43" s="16" t="n">
        <v>45000</v>
      </c>
      <c r="F43" s="16">
        <f>D43*E43</f>
        <v/>
      </c>
    </row>
    <row r="44">
      <c r="A44" s="11" t="inlineStr">
        <is>
          <t>6.6</t>
        </is>
      </c>
      <c r="B44" s="13" t="inlineStr">
        <is>
          <t>Instalação + Comissionamento</t>
        </is>
      </c>
      <c r="C44" s="11" t="inlineStr">
        <is>
          <t>vb</t>
        </is>
      </c>
      <c r="D44" s="15" t="n">
        <v>1</v>
      </c>
      <c r="E44" s="16" t="n">
        <v>18000</v>
      </c>
      <c r="F44" s="16">
        <f>D44*E44</f>
        <v/>
      </c>
    </row>
    <row r="45">
      <c r="A45" s="17" t="inlineStr">
        <is>
          <t>SUBTOTAL PRESSURIZAÇÃO</t>
        </is>
      </c>
      <c r="B45" s="11" t="n"/>
      <c r="C45" s="11" t="n"/>
      <c r="D45" s="11" t="n"/>
      <c r="E45" s="11" t="n"/>
      <c r="F45" s="18">
        <f>SUM(F39:F44)</f>
        <v/>
      </c>
    </row>
    <row r="47">
      <c r="A47" s="11" t="inlineStr">
        <is>
          <t>7</t>
        </is>
      </c>
      <c r="B47" s="12" t="inlineStr">
        <is>
          <t>DESENFUMAGEM HALLS</t>
        </is>
      </c>
      <c r="C47" s="11" t="inlineStr"/>
      <c r="D47" s="11" t="n"/>
      <c r="E47" s="11" t="n"/>
      <c r="F47" s="11" t="n"/>
    </row>
    <row r="48">
      <c r="A48" s="11" t="inlineStr">
        <is>
          <t>7.1</t>
        </is>
      </c>
      <c r="B48" s="13" t="inlineStr">
        <is>
          <t>Exaustores 18.650 m³/h (principal + reserva)</t>
        </is>
      </c>
      <c r="C48" s="11" t="inlineStr">
        <is>
          <t>un</t>
        </is>
      </c>
      <c r="D48" s="15" t="n">
        <v>2</v>
      </c>
      <c r="E48" s="16" t="n">
        <v>28000</v>
      </c>
      <c r="F48" s="16">
        <f>D48*E48</f>
        <v/>
      </c>
    </row>
    <row r="49">
      <c r="A49" s="11" t="inlineStr">
        <is>
          <t>7.2</t>
        </is>
      </c>
      <c r="B49" s="13" t="inlineStr">
        <is>
          <t>Dampers Automáticos DRV 24Vcc</t>
        </is>
      </c>
      <c r="C49" s="11" t="inlineStr">
        <is>
          <t>un</t>
        </is>
      </c>
      <c r="D49" s="15" t="n">
        <v>24</v>
      </c>
      <c r="E49" s="16" t="n">
        <v>1800</v>
      </c>
      <c r="F49" s="16">
        <f>D49*E49</f>
        <v/>
      </c>
    </row>
    <row r="50">
      <c r="A50" s="11" t="inlineStr">
        <is>
          <t>7.3</t>
        </is>
      </c>
      <c r="B50" s="13" t="inlineStr">
        <is>
          <t>Detectores Fumaça Halls</t>
        </is>
      </c>
      <c r="C50" s="11" t="inlineStr">
        <is>
          <t>un</t>
        </is>
      </c>
      <c r="D50" s="15" t="n">
        <v>24</v>
      </c>
      <c r="E50" s="16" t="n">
        <v>180</v>
      </c>
      <c r="F50" s="16">
        <f>D50*E50</f>
        <v/>
      </c>
    </row>
    <row r="51">
      <c r="A51" s="11" t="inlineStr">
        <is>
          <t>7.4</t>
        </is>
      </c>
      <c r="B51" s="13" t="inlineStr">
        <is>
          <t>Central Controle Integrada</t>
        </is>
      </c>
      <c r="C51" s="11" t="inlineStr">
        <is>
          <t>un</t>
        </is>
      </c>
      <c r="D51" s="15" t="n">
        <v>1</v>
      </c>
      <c r="E51" s="16" t="n">
        <v>15000</v>
      </c>
      <c r="F51" s="16">
        <f>D51*E51</f>
        <v/>
      </c>
    </row>
    <row r="52">
      <c r="A52" s="11" t="inlineStr">
        <is>
          <t>7.5</t>
        </is>
      </c>
      <c r="B52" s="13" t="inlineStr">
        <is>
          <t>Dutos + Instalação</t>
        </is>
      </c>
      <c r="C52" s="11" t="inlineStr">
        <is>
          <t>vb</t>
        </is>
      </c>
      <c r="D52" s="15" t="n">
        <v>1</v>
      </c>
      <c r="E52" s="16" t="n">
        <v>35000</v>
      </c>
      <c r="F52" s="16">
        <f>D52*E52</f>
        <v/>
      </c>
    </row>
    <row r="53">
      <c r="A53" s="17" t="inlineStr">
        <is>
          <t>SUBTOTAL DESENFUMAGEM</t>
        </is>
      </c>
      <c r="B53" s="11" t="n"/>
      <c r="C53" s="11" t="n"/>
      <c r="D53" s="11" t="n"/>
      <c r="E53" s="11" t="n"/>
      <c r="F53" s="18">
        <f>SUM(F48:F52)</f>
        <v/>
      </c>
    </row>
    <row r="55">
      <c r="A55" s="11" t="inlineStr">
        <is>
          <t>8</t>
        </is>
      </c>
      <c r="B55" s="12" t="inlineStr">
        <is>
          <t>CENTRAL DE GÁS GLP</t>
        </is>
      </c>
      <c r="C55" s="11" t="inlineStr"/>
      <c r="D55" s="11" t="n"/>
      <c r="E55" s="11" t="n"/>
      <c r="F55" s="11" t="n"/>
    </row>
    <row r="56">
      <c r="A56" s="11" t="inlineStr">
        <is>
          <t>8.1</t>
        </is>
      </c>
      <c r="B56" s="13" t="inlineStr">
        <is>
          <t>Central P-190kg (4 cilindros)</t>
        </is>
      </c>
      <c r="C56" s="11" t="inlineStr">
        <is>
          <t>cj</t>
        </is>
      </c>
      <c r="D56" s="15" t="n">
        <v>1</v>
      </c>
      <c r="E56" s="16" t="n">
        <v>8500</v>
      </c>
      <c r="F56" s="16">
        <f>D56*E56</f>
        <v/>
      </c>
    </row>
    <row r="57">
      <c r="A57" s="11" t="inlineStr">
        <is>
          <t>8.2</t>
        </is>
      </c>
      <c r="B57" s="13" t="inlineStr">
        <is>
          <t>Tubulação Cobre + Aço (redes)</t>
        </is>
      </c>
      <c r="C57" s="11" t="inlineStr">
        <is>
          <t>m</t>
        </is>
      </c>
      <c r="D57" s="15" t="n">
        <v>500</v>
      </c>
      <c r="E57" s="16" t="n">
        <v>35</v>
      </c>
      <c r="F57" s="16">
        <f>D57*E57</f>
        <v/>
      </c>
    </row>
    <row r="58">
      <c r="A58" s="11" t="inlineStr">
        <is>
          <t>8.3</t>
        </is>
      </c>
      <c r="B58" s="13" t="inlineStr">
        <is>
          <t>Caixas Medidor/Regulador</t>
        </is>
      </c>
      <c r="C58" s="11" t="inlineStr">
        <is>
          <t>un</t>
        </is>
      </c>
      <c r="D58" s="15" t="n">
        <v>24</v>
      </c>
      <c r="E58" s="16" t="n">
        <v>450</v>
      </c>
      <c r="F58" s="16">
        <f>D58*E58</f>
        <v/>
      </c>
    </row>
    <row r="59">
      <c r="A59" s="11" t="inlineStr">
        <is>
          <t>8.4</t>
        </is>
      </c>
      <c r="B59" s="13" t="inlineStr">
        <is>
          <t>Válvulas + Registros</t>
        </is>
      </c>
      <c r="C59" s="11" t="inlineStr">
        <is>
          <t>vb</t>
        </is>
      </c>
      <c r="D59" s="15" t="n">
        <v>1</v>
      </c>
      <c r="E59" s="16" t="n">
        <v>6500</v>
      </c>
      <c r="F59" s="16">
        <f>D59*E59</f>
        <v/>
      </c>
    </row>
    <row r="60">
      <c r="A60" s="17" t="inlineStr">
        <is>
          <t>SUBTOTAL CENTRAL GÁS</t>
        </is>
      </c>
      <c r="B60" s="11" t="n"/>
      <c r="C60" s="11" t="n"/>
      <c r="D60" s="11" t="n"/>
      <c r="E60" s="11" t="n"/>
      <c r="F60" s="18">
        <f>SUM(F56:F59)</f>
        <v/>
      </c>
    </row>
    <row r="62">
      <c r="A62" s="19" t="inlineStr">
        <is>
          <t>TOTAL PPCI (SEM BDI)</t>
        </is>
      </c>
      <c r="F62" s="8" t="n"/>
    </row>
    <row r="63">
      <c r="A63" s="20" t="inlineStr">
        <is>
          <t>BDI (25.0%)</t>
        </is>
      </c>
      <c r="F63" s="21">
        <f>F62*0.25</f>
        <v/>
      </c>
    </row>
    <row r="64">
      <c r="A64" s="19" t="inlineStr">
        <is>
          <t>TOTAL PPCI (COM BDI)</t>
        </is>
      </c>
      <c r="F64" s="8">
        <f>F62+F63</f>
        <v/>
      </c>
    </row>
  </sheetData>
  <mergeCells count="12">
    <mergeCell ref="A53:E53"/>
    <mergeCell ref="A62:E62"/>
    <mergeCell ref="A26:E26"/>
    <mergeCell ref="A64:E64"/>
    <mergeCell ref="A10:E10"/>
    <mergeCell ref="A1:F1"/>
    <mergeCell ref="A60:E60"/>
    <mergeCell ref="A63:E63"/>
    <mergeCell ref="A45:E45"/>
    <mergeCell ref="A36:E36"/>
    <mergeCell ref="A31:E3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9" t="inlineStr">
        <is>
          <t>VEDAÇÕES E ACABAMENTOS</t>
        </is>
      </c>
    </row>
    <row r="2">
      <c r="A2" s="10" t="inlineStr">
        <is>
          <t>Item</t>
        </is>
      </c>
      <c r="B2" s="10" t="inlineStr">
        <is>
          <t>Descrição</t>
        </is>
      </c>
      <c r="C2" s="10" t="inlineStr">
        <is>
          <t>Unidade</t>
        </is>
      </c>
      <c r="D2" s="10" t="inlineStr">
        <is>
          <t>Quantidade</t>
        </is>
      </c>
      <c r="E2" s="10" t="inlineStr">
        <is>
          <t>Custo Unit. (R$)</t>
        </is>
      </c>
      <c r="F2" s="10" t="inlineStr">
        <is>
          <t>Custo Total (R$)</t>
        </is>
      </c>
    </row>
    <row r="3">
      <c r="A3" s="11" t="inlineStr">
        <is>
          <t>1</t>
        </is>
      </c>
      <c r="B3" s="12" t="inlineStr">
        <is>
          <t>ALVENARIA E VEDAÇÕES</t>
        </is>
      </c>
      <c r="C3" s="11" t="inlineStr"/>
      <c r="D3" s="11" t="n"/>
      <c r="E3" s="11" t="n"/>
      <c r="F3" s="11" t="n"/>
    </row>
    <row r="4">
      <c r="A4" s="11" t="inlineStr">
        <is>
          <t>1.1</t>
        </is>
      </c>
      <c r="B4" s="13" t="inlineStr">
        <is>
          <t>Alvenaria Bloco Cerâmico 9cm (estimado)</t>
        </is>
      </c>
      <c r="C4" s="11" t="inlineStr">
        <is>
          <t>m²</t>
        </is>
      </c>
      <c r="D4" s="15" t="n">
        <v>8000</v>
      </c>
      <c r="E4" s="16" t="n">
        <v>85</v>
      </c>
      <c r="F4" s="16">
        <f>D4*E4</f>
        <v/>
      </c>
    </row>
    <row r="5">
      <c r="A5" s="11" t="inlineStr">
        <is>
          <t>1.2</t>
        </is>
      </c>
      <c r="B5" s="13" t="inlineStr">
        <is>
          <t>Alvenaria Bloco Cerâmico 14cm (estimado)</t>
        </is>
      </c>
      <c r="C5" s="11" t="inlineStr">
        <is>
          <t>m²</t>
        </is>
      </c>
      <c r="D5" s="15" t="n">
        <v>3000</v>
      </c>
      <c r="E5" s="16" t="n">
        <v>95</v>
      </c>
      <c r="F5" s="16">
        <f>D5*E5</f>
        <v/>
      </c>
    </row>
    <row r="6">
      <c r="A6" s="11" t="inlineStr">
        <is>
          <t>1.3</t>
        </is>
      </c>
      <c r="B6" s="13" t="inlineStr">
        <is>
          <t>Vergas e Contravergas Concreto</t>
        </is>
      </c>
      <c r="C6" s="11" t="inlineStr">
        <is>
          <t>m</t>
        </is>
      </c>
      <c r="D6" s="15" t="n">
        <v>800</v>
      </c>
      <c r="E6" s="16" t="n">
        <v>45</v>
      </c>
      <c r="F6" s="16">
        <f>D6*E6</f>
        <v/>
      </c>
    </row>
    <row r="7">
      <c r="A7" s="17" t="inlineStr">
        <is>
          <t>SUBTOTAL ALVENARIA</t>
        </is>
      </c>
      <c r="B7" s="11" t="n"/>
      <c r="C7" s="11" t="n"/>
      <c r="D7" s="11" t="n"/>
      <c r="E7" s="11" t="n"/>
      <c r="F7" s="18">
        <f>SUM(F4:F6)</f>
        <v/>
      </c>
    </row>
    <row r="9">
      <c r="A9" s="11" t="inlineStr">
        <is>
          <t>2</t>
        </is>
      </c>
      <c r="B9" s="12" t="inlineStr">
        <is>
          <t>ESQUADRIAS</t>
        </is>
      </c>
      <c r="C9" s="11" t="inlineStr"/>
      <c r="D9" s="11" t="n"/>
      <c r="E9" s="11" t="n"/>
      <c r="F9" s="11" t="n"/>
    </row>
    <row r="10">
      <c r="A10" s="11" t="inlineStr">
        <is>
          <t>2.1</t>
        </is>
      </c>
      <c r="B10" s="13" t="inlineStr">
        <is>
          <t>Portas Madeira c/ Marco (unidades)</t>
        </is>
      </c>
      <c r="C10" s="11" t="inlineStr">
        <is>
          <t>un</t>
        </is>
      </c>
      <c r="D10" s="15" t="n">
        <v>450</v>
      </c>
      <c r="E10" s="16" t="n">
        <v>650</v>
      </c>
      <c r="F10" s="16">
        <f>D10*E10</f>
        <v/>
      </c>
    </row>
    <row r="11">
      <c r="A11" s="11" t="inlineStr">
        <is>
          <t>2.2</t>
        </is>
      </c>
      <c r="B11" s="13" t="inlineStr">
        <is>
          <t>Janelas Alumínio c/ Vidro (estimado)</t>
        </is>
      </c>
      <c r="C11" s="11" t="inlineStr">
        <is>
          <t>m²</t>
        </is>
      </c>
      <c r="D11" s="15" t="n">
        <v>1200</v>
      </c>
      <c r="E11" s="16" t="n">
        <v>380</v>
      </c>
      <c r="F11" s="16">
        <f>D11*E11</f>
        <v/>
      </c>
    </row>
    <row r="12">
      <c r="A12" s="11" t="inlineStr">
        <is>
          <t>2.3</t>
        </is>
      </c>
      <c r="B12" s="13" t="inlineStr">
        <is>
          <t>Portas de Vidro Temperado</t>
        </is>
      </c>
      <c r="C12" s="11" t="inlineStr">
        <is>
          <t>un</t>
        </is>
      </c>
      <c r="D12" s="15" t="n">
        <v>80</v>
      </c>
      <c r="E12" s="16" t="n">
        <v>1200</v>
      </c>
      <c r="F12" s="16">
        <f>D12*E12</f>
        <v/>
      </c>
    </row>
    <row r="13">
      <c r="A13" s="11" t="inlineStr">
        <is>
          <t>2.4</t>
        </is>
      </c>
      <c r="B13" s="13" t="inlineStr">
        <is>
          <t>Portas Corta-Fogo P-90</t>
        </is>
      </c>
      <c r="C13" s="11" t="inlineStr">
        <is>
          <t>un</t>
        </is>
      </c>
      <c r="D13" s="15" t="n">
        <v>24</v>
      </c>
      <c r="E13" s="16" t="n">
        <v>2500</v>
      </c>
      <c r="F13" s="16">
        <f>D13*E13</f>
        <v/>
      </c>
    </row>
    <row r="14">
      <c r="A14" s="11" t="inlineStr">
        <is>
          <t>2.5</t>
        </is>
      </c>
      <c r="B14" s="13" t="inlineStr">
        <is>
          <t>Portas Corta-Fogo P-30</t>
        </is>
      </c>
      <c r="C14" s="11" t="inlineStr">
        <is>
          <t>un</t>
        </is>
      </c>
      <c r="D14" s="15" t="n">
        <v>15</v>
      </c>
      <c r="E14" s="16" t="n">
        <v>1800</v>
      </c>
      <c r="F14" s="16">
        <f>D14*E14</f>
        <v/>
      </c>
    </row>
    <row r="15">
      <c r="A15" s="11" t="inlineStr">
        <is>
          <t>2.6</t>
        </is>
      </c>
      <c r="B15" s="13" t="inlineStr">
        <is>
          <t>Guarda-Corpos Vidro/Alumínio</t>
        </is>
      </c>
      <c r="C15" s="11" t="inlineStr">
        <is>
          <t>m</t>
        </is>
      </c>
      <c r="D15" s="15" t="n">
        <v>300</v>
      </c>
      <c r="E15" s="16" t="n">
        <v>450</v>
      </c>
      <c r="F15" s="16">
        <f>D15*E15</f>
        <v/>
      </c>
    </row>
    <row r="16">
      <c r="A16" s="17" t="inlineStr">
        <is>
          <t>SUBTOTAL ESQUADRIAS</t>
        </is>
      </c>
      <c r="B16" s="11" t="n"/>
      <c r="C16" s="11" t="n"/>
      <c r="D16" s="11" t="n"/>
      <c r="E16" s="11" t="n"/>
      <c r="F16" s="18">
        <f>SUM(F10:F15)</f>
        <v/>
      </c>
    </row>
    <row r="18">
      <c r="A18" s="11" t="inlineStr">
        <is>
          <t>3</t>
        </is>
      </c>
      <c r="B18" s="12" t="inlineStr">
        <is>
          <t>REVESTIMENTOS</t>
        </is>
      </c>
      <c r="C18" s="11" t="inlineStr"/>
      <c r="D18" s="11" t="n"/>
      <c r="E18" s="11" t="n"/>
      <c r="F18" s="11" t="n"/>
    </row>
    <row r="19">
      <c r="A19" s="11" t="inlineStr">
        <is>
          <t>3.1</t>
        </is>
      </c>
      <c r="B19" s="13" t="inlineStr">
        <is>
          <t>Chapisco + Emboço + Reboco (estimado)</t>
        </is>
      </c>
      <c r="C19" s="11" t="inlineStr">
        <is>
          <t>m²</t>
        </is>
      </c>
      <c r="D19" s="15" t="n">
        <v>15000</v>
      </c>
      <c r="E19" s="16" t="n">
        <v>55</v>
      </c>
      <c r="F19" s="16">
        <f>D19*E19</f>
        <v/>
      </c>
    </row>
    <row r="20">
      <c r="A20" s="11" t="inlineStr">
        <is>
          <t>3.2</t>
        </is>
      </c>
      <c r="B20" s="13" t="inlineStr">
        <is>
          <t>Cerâmica Piso Residencial (estimado)</t>
        </is>
      </c>
      <c r="C20" s="11" t="inlineStr">
        <is>
          <t>m²</t>
        </is>
      </c>
      <c r="D20" s="15" t="n">
        <v>3500</v>
      </c>
      <c r="E20" s="16" t="n">
        <v>85</v>
      </c>
      <c r="F20" s="16">
        <f>D20*E20</f>
        <v/>
      </c>
    </row>
    <row r="21">
      <c r="A21" s="11" t="inlineStr">
        <is>
          <t>3.3</t>
        </is>
      </c>
      <c r="B21" s="13" t="inlineStr">
        <is>
          <t>Porcelanato Áreas Comuns</t>
        </is>
      </c>
      <c r="C21" s="11" t="inlineStr">
        <is>
          <t>m²</t>
        </is>
      </c>
      <c r="D21" s="15" t="n">
        <v>1500</v>
      </c>
      <c r="E21" s="16" t="n">
        <v>120</v>
      </c>
      <c r="F21" s="16">
        <f>D21*E21</f>
        <v/>
      </c>
    </row>
    <row r="22">
      <c r="A22" s="11" t="inlineStr">
        <is>
          <t>3.4</t>
        </is>
      </c>
      <c r="B22" s="13" t="inlineStr">
        <is>
          <t>Cerâmica Parede Banheiros</t>
        </is>
      </c>
      <c r="C22" s="11" t="inlineStr">
        <is>
          <t>m²</t>
        </is>
      </c>
      <c r="D22" s="15" t="n">
        <v>2000</v>
      </c>
      <c r="E22" s="16" t="n">
        <v>75</v>
      </c>
      <c r="F22" s="16">
        <f>D22*E22</f>
        <v/>
      </c>
    </row>
    <row r="23">
      <c r="A23" s="11" t="inlineStr">
        <is>
          <t>3.5</t>
        </is>
      </c>
      <c r="B23" s="13" t="inlineStr">
        <is>
          <t>Gesso Liso Teto (estimado)</t>
        </is>
      </c>
      <c r="C23" s="11" t="inlineStr">
        <is>
          <t>m²</t>
        </is>
      </c>
      <c r="D23" s="15" t="n">
        <v>4000</v>
      </c>
      <c r="E23" s="16" t="n">
        <v>45</v>
      </c>
      <c r="F23" s="16">
        <f>D23*E23</f>
        <v/>
      </c>
    </row>
    <row r="24">
      <c r="A24" s="11" t="inlineStr">
        <is>
          <t>3.6</t>
        </is>
      </c>
      <c r="B24" s="13" t="inlineStr">
        <is>
          <t>Forro Gesso Drywall</t>
        </is>
      </c>
      <c r="C24" s="11" t="inlineStr">
        <is>
          <t>m²</t>
        </is>
      </c>
      <c r="D24" s="15" t="n">
        <v>1000</v>
      </c>
      <c r="E24" s="16" t="n">
        <v>65</v>
      </c>
      <c r="F24" s="16">
        <f>D24*E24</f>
        <v/>
      </c>
    </row>
    <row r="25">
      <c r="A25" s="17" t="inlineStr">
        <is>
          <t>SUBTOTAL REVESTIMENTOS</t>
        </is>
      </c>
      <c r="B25" s="11" t="n"/>
      <c r="C25" s="11" t="n"/>
      <c r="D25" s="11" t="n"/>
      <c r="E25" s="11" t="n"/>
      <c r="F25" s="18">
        <f>SUM(F19:F24)</f>
        <v/>
      </c>
    </row>
    <row r="27">
      <c r="A27" s="11" t="inlineStr">
        <is>
          <t>4</t>
        </is>
      </c>
      <c r="B27" s="12" t="inlineStr">
        <is>
          <t>PINTURA</t>
        </is>
      </c>
      <c r="C27" s="11" t="inlineStr"/>
      <c r="D27" s="11" t="n"/>
      <c r="E27" s="11" t="n"/>
      <c r="F27" s="11" t="n"/>
    </row>
    <row r="28">
      <c r="A28" s="11" t="inlineStr">
        <is>
          <t>4.1</t>
        </is>
      </c>
      <c r="B28" s="13" t="inlineStr">
        <is>
          <t>Pintura Interna Acrílica (estimado)</t>
        </is>
      </c>
      <c r="C28" s="11" t="inlineStr">
        <is>
          <t>m²</t>
        </is>
      </c>
      <c r="D28" s="15" t="n">
        <v>20000</v>
      </c>
      <c r="E28" s="16" t="n">
        <v>22</v>
      </c>
      <c r="F28" s="16">
        <f>D28*E28</f>
        <v/>
      </c>
    </row>
    <row r="29">
      <c r="A29" s="11" t="inlineStr">
        <is>
          <t>4.2</t>
        </is>
      </c>
      <c r="B29" s="13" t="inlineStr">
        <is>
          <t>Pintura Externa Textura Acrílica</t>
        </is>
      </c>
      <c r="C29" s="11" t="inlineStr">
        <is>
          <t>m²</t>
        </is>
      </c>
      <c r="D29" s="15" t="n">
        <v>3000</v>
      </c>
      <c r="E29" s="16" t="n">
        <v>35</v>
      </c>
      <c r="F29" s="16">
        <f>D29*E29</f>
        <v/>
      </c>
    </row>
    <row r="30">
      <c r="A30" s="11" t="inlineStr">
        <is>
          <t>4.3</t>
        </is>
      </c>
      <c r="B30" s="13" t="inlineStr">
        <is>
          <t>Pintura Esmalte Esquadrias</t>
        </is>
      </c>
      <c r="C30" s="11" t="inlineStr">
        <is>
          <t>m²</t>
        </is>
      </c>
      <c r="D30" s="15" t="n">
        <v>500</v>
      </c>
      <c r="E30" s="16" t="n">
        <v>45</v>
      </c>
      <c r="F30" s="16">
        <f>D30*E30</f>
        <v/>
      </c>
    </row>
    <row r="31">
      <c r="A31" s="17" t="inlineStr">
        <is>
          <t>SUBTOTAL PINTURA</t>
        </is>
      </c>
      <c r="B31" s="11" t="n"/>
      <c r="C31" s="11" t="n"/>
      <c r="D31" s="11" t="n"/>
      <c r="E31" s="11" t="n"/>
      <c r="F31" s="18">
        <f>SUM(F28:F30)</f>
        <v/>
      </c>
    </row>
    <row r="33">
      <c r="A33" s="19" t="inlineStr">
        <is>
          <t>TOTAL VEDAÇÕES/ACABAMENTOS (SEM BDI)</t>
        </is>
      </c>
      <c r="F33" s="8" t="n"/>
    </row>
    <row r="34">
      <c r="A34" s="20" t="inlineStr">
        <is>
          <t>BDI (25.0%)</t>
        </is>
      </c>
      <c r="F34" s="21">
        <f>F33*0.25</f>
        <v/>
      </c>
    </row>
    <row r="35">
      <c r="A35" s="19" t="inlineStr">
        <is>
          <t>TOTAL VEDAÇÕES/ACABAMENTOS (COM BDI)</t>
        </is>
      </c>
      <c r="F35" s="8">
        <f>F33+F34</f>
        <v/>
      </c>
    </row>
  </sheetData>
  <mergeCells count="8">
    <mergeCell ref="A34:E34"/>
    <mergeCell ref="A35:E35"/>
    <mergeCell ref="A16:E16"/>
    <mergeCell ref="A7:E7"/>
    <mergeCell ref="A1:F1"/>
    <mergeCell ref="A25:E25"/>
    <mergeCell ref="A33:E33"/>
    <mergeCell ref="A31:E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9" t="inlineStr">
        <is>
          <t>ÁREAS COMUNS E LAZER</t>
        </is>
      </c>
    </row>
    <row r="2">
      <c r="A2" s="10" t="inlineStr">
        <is>
          <t>Item</t>
        </is>
      </c>
      <c r="B2" s="10" t="inlineStr">
        <is>
          <t>Descrição</t>
        </is>
      </c>
      <c r="C2" s="10" t="inlineStr">
        <is>
          <t>Unidade</t>
        </is>
      </c>
      <c r="D2" s="10" t="inlineStr">
        <is>
          <t>Quantidade</t>
        </is>
      </c>
      <c r="E2" s="10" t="inlineStr">
        <is>
          <t>Custo Unit. (R$)</t>
        </is>
      </c>
      <c r="F2" s="10" t="inlineStr">
        <is>
          <t>Custo Total (R$)</t>
        </is>
      </c>
    </row>
    <row r="3">
      <c r="A3" s="11" t="inlineStr">
        <is>
          <t>1</t>
        </is>
      </c>
      <c r="B3" s="12" t="inlineStr">
        <is>
          <t>PISCINA</t>
        </is>
      </c>
      <c r="C3" s="11" t="inlineStr"/>
      <c r="D3" s="11" t="n"/>
      <c r="E3" s="11" t="n"/>
      <c r="F3" s="11" t="n"/>
    </row>
    <row r="4">
      <c r="A4" s="11" t="inlineStr">
        <is>
          <t>1.1</t>
        </is>
      </c>
      <c r="B4" s="13" t="inlineStr">
        <is>
          <t>Piscina Alvenaria c/ Revestimento</t>
        </is>
      </c>
      <c r="C4" s="11" t="inlineStr">
        <is>
          <t>m²</t>
        </is>
      </c>
      <c r="D4" s="15" t="n">
        <v>80</v>
      </c>
      <c r="E4" s="16" t="n">
        <v>850</v>
      </c>
      <c r="F4" s="16">
        <f>D4*E4</f>
        <v/>
      </c>
    </row>
    <row r="5">
      <c r="A5" s="11" t="inlineStr">
        <is>
          <t>1.2</t>
        </is>
      </c>
      <c r="B5" s="13" t="inlineStr">
        <is>
          <t>Casa de Máquinas Piscina</t>
        </is>
      </c>
      <c r="C5" s="11" t="inlineStr">
        <is>
          <t>cj</t>
        </is>
      </c>
      <c r="D5" s="15" t="n">
        <v>1</v>
      </c>
      <c r="E5" s="16" t="n">
        <v>18000</v>
      </c>
      <c r="F5" s="16">
        <f>D5*E5</f>
        <v/>
      </c>
    </row>
    <row r="6">
      <c r="A6" s="11" t="inlineStr">
        <is>
          <t>1.3</t>
        </is>
      </c>
      <c r="B6" s="13" t="inlineStr">
        <is>
          <t>Iluminação Subaquática LED</t>
        </is>
      </c>
      <c r="C6" s="11" t="inlineStr">
        <is>
          <t>un</t>
        </is>
      </c>
      <c r="D6" s="15" t="n">
        <v>6</v>
      </c>
      <c r="E6" s="16" t="n">
        <v>1200</v>
      </c>
      <c r="F6" s="16">
        <f>D6*E6</f>
        <v/>
      </c>
    </row>
    <row r="7">
      <c r="A7" s="11" t="inlineStr">
        <is>
          <t>1.4</t>
        </is>
      </c>
      <c r="B7" s="13" t="inlineStr">
        <is>
          <t>Deck Madeira/Composto</t>
        </is>
      </c>
      <c r="C7" s="11" t="inlineStr">
        <is>
          <t>m²</t>
        </is>
      </c>
      <c r="D7" s="15" t="n">
        <v>120</v>
      </c>
      <c r="E7" s="16" t="n">
        <v>280</v>
      </c>
      <c r="F7" s="16">
        <f>D7*E7</f>
        <v/>
      </c>
    </row>
    <row r="8">
      <c r="A8" s="17" t="inlineStr">
        <is>
          <t>SUBTOTAL PISCINA</t>
        </is>
      </c>
      <c r="B8" s="11" t="n"/>
      <c r="C8" s="11" t="n"/>
      <c r="D8" s="11" t="n"/>
      <c r="E8" s="11" t="n"/>
      <c r="F8" s="18">
        <f>SUM(F4:F7)</f>
        <v/>
      </c>
    </row>
    <row r="10">
      <c r="A10" s="11" t="inlineStr">
        <is>
          <t>2</t>
        </is>
      </c>
      <c r="B10" s="12" t="inlineStr">
        <is>
          <t>SALÃO DE FESTAS / ESPAÇO GOURMET</t>
        </is>
      </c>
      <c r="C10" s="11" t="inlineStr"/>
      <c r="D10" s="11" t="n"/>
      <c r="E10" s="11" t="n"/>
      <c r="F10" s="11" t="n"/>
    </row>
    <row r="11">
      <c r="A11" s="11" t="inlineStr">
        <is>
          <t>2.1</t>
        </is>
      </c>
      <c r="B11" s="13" t="inlineStr">
        <is>
          <t>Móveis Planejados Gourmet</t>
        </is>
      </c>
      <c r="C11" s="11" t="inlineStr">
        <is>
          <t>m</t>
        </is>
      </c>
      <c r="D11" s="15" t="n">
        <v>12</v>
      </c>
      <c r="E11" s="16" t="n">
        <v>1200</v>
      </c>
      <c r="F11" s="16">
        <f>D11*E11</f>
        <v/>
      </c>
    </row>
    <row r="12">
      <c r="A12" s="11" t="inlineStr">
        <is>
          <t>2.2</t>
        </is>
      </c>
      <c r="B12" s="13" t="inlineStr">
        <is>
          <t>Churrasqueira Elétrica/Gás</t>
        </is>
      </c>
      <c r="C12" s="11" t="inlineStr">
        <is>
          <t>un</t>
        </is>
      </c>
      <c r="D12" s="15" t="n">
        <v>2</v>
      </c>
      <c r="E12" s="16" t="n">
        <v>3500</v>
      </c>
      <c r="F12" s="16">
        <f>D12*E12</f>
        <v/>
      </c>
    </row>
    <row r="13">
      <c r="A13" s="11" t="inlineStr">
        <is>
          <t>2.3</t>
        </is>
      </c>
      <c r="B13" s="13" t="inlineStr">
        <is>
          <t>Bancadas Granito</t>
        </is>
      </c>
      <c r="C13" s="11" t="inlineStr">
        <is>
          <t>m²</t>
        </is>
      </c>
      <c r="D13" s="15" t="n">
        <v>15</v>
      </c>
      <c r="E13" s="16" t="n">
        <v>450</v>
      </c>
      <c r="F13" s="16">
        <f>D13*E13</f>
        <v/>
      </c>
    </row>
    <row r="14">
      <c r="A14" s="11" t="inlineStr">
        <is>
          <t>2.4</t>
        </is>
      </c>
      <c r="B14" s="13" t="inlineStr">
        <is>
          <t>Mobiliário Salão (mesas/cadeiras)</t>
        </is>
      </c>
      <c r="C14" s="11" t="inlineStr">
        <is>
          <t>cj</t>
        </is>
      </c>
      <c r="D14" s="15" t="n">
        <v>1</v>
      </c>
      <c r="E14" s="16" t="n">
        <v>25000</v>
      </c>
      <c r="F14" s="16">
        <f>D14*E14</f>
        <v/>
      </c>
    </row>
    <row r="15">
      <c r="A15" s="17" t="inlineStr">
        <is>
          <t>SUBTOTAL SALÃO</t>
        </is>
      </c>
      <c r="B15" s="11" t="n"/>
      <c r="C15" s="11" t="n"/>
      <c r="D15" s="11" t="n"/>
      <c r="E15" s="11" t="n"/>
      <c r="F15" s="18">
        <f>SUM(F11:F14)</f>
        <v/>
      </c>
    </row>
    <row r="17">
      <c r="A17" s="11" t="inlineStr">
        <is>
          <t>3</t>
        </is>
      </c>
      <c r="B17" s="12" t="inlineStr">
        <is>
          <t>FITNESS / ACADEMIA</t>
        </is>
      </c>
      <c r="C17" s="11" t="inlineStr"/>
      <c r="D17" s="11" t="n"/>
      <c r="E17" s="11" t="n"/>
      <c r="F17" s="11" t="n"/>
    </row>
    <row r="18">
      <c r="A18" s="11" t="inlineStr">
        <is>
          <t>3.1</t>
        </is>
      </c>
      <c r="B18" s="13" t="inlineStr">
        <is>
          <t>Piso Emborrachado Esportivo</t>
        </is>
      </c>
      <c r="C18" s="11" t="inlineStr">
        <is>
          <t>m²</t>
        </is>
      </c>
      <c r="D18" s="15" t="n">
        <v>80</v>
      </c>
      <c r="E18" s="16" t="n">
        <v>120</v>
      </c>
      <c r="F18" s="16">
        <f>D18*E18</f>
        <v/>
      </c>
    </row>
    <row r="19">
      <c r="A19" s="11" t="inlineStr">
        <is>
          <t>3.2</t>
        </is>
      </c>
      <c r="B19" s="13" t="inlineStr">
        <is>
          <t>Espelhos + Barras</t>
        </is>
      </c>
      <c r="C19" s="11" t="inlineStr">
        <is>
          <t>cj</t>
        </is>
      </c>
      <c r="D19" s="15" t="n">
        <v>1</v>
      </c>
      <c r="E19" s="16" t="n">
        <v>8500</v>
      </c>
      <c r="F19" s="16">
        <f>D19*E19</f>
        <v/>
      </c>
    </row>
    <row r="20">
      <c r="A20" s="11" t="inlineStr">
        <is>
          <t>3.3</t>
        </is>
      </c>
      <c r="B20" s="13" t="inlineStr">
        <is>
          <t>Ar-Condicionado Central</t>
        </is>
      </c>
      <c r="C20" s="11" t="inlineStr">
        <is>
          <t>un</t>
        </is>
      </c>
      <c r="D20" s="15" t="n">
        <v>1</v>
      </c>
      <c r="E20" s="16" t="n">
        <v>12000</v>
      </c>
      <c r="F20" s="16">
        <f>D20*E20</f>
        <v/>
      </c>
    </row>
    <row r="21">
      <c r="A21" s="11" t="inlineStr">
        <is>
          <t>3.4</t>
        </is>
      </c>
      <c r="B21" s="13" t="inlineStr">
        <is>
          <t>Equipamentos Academia (estimado)</t>
        </is>
      </c>
      <c r="C21" s="11" t="inlineStr">
        <is>
          <t>cj</t>
        </is>
      </c>
      <c r="D21" s="15" t="n">
        <v>1</v>
      </c>
      <c r="E21" s="16" t="n">
        <v>35000</v>
      </c>
      <c r="F21" s="16">
        <f>D21*E21</f>
        <v/>
      </c>
    </row>
    <row r="22">
      <c r="A22" s="17" t="inlineStr">
        <is>
          <t>SUBTOTAL FITNESS</t>
        </is>
      </c>
      <c r="B22" s="11" t="n"/>
      <c r="C22" s="11" t="n"/>
      <c r="D22" s="11" t="n"/>
      <c r="E22" s="11" t="n"/>
      <c r="F22" s="18">
        <f>SUM(F18:F21)</f>
        <v/>
      </c>
    </row>
    <row r="24">
      <c r="A24" s="11" t="inlineStr">
        <is>
          <t>4</t>
        </is>
      </c>
      <c r="B24" s="12" t="inlineStr">
        <is>
          <t>ESPAÇO COWORKING</t>
        </is>
      </c>
      <c r="C24" s="11" t="inlineStr"/>
      <c r="D24" s="11" t="n"/>
      <c r="E24" s="11" t="n"/>
      <c r="F24" s="11" t="n"/>
    </row>
    <row r="25">
      <c r="A25" s="11" t="inlineStr">
        <is>
          <t>4.1</t>
        </is>
      </c>
      <c r="B25" s="13" t="inlineStr">
        <is>
          <t>Mobiliário Escritório</t>
        </is>
      </c>
      <c r="C25" s="11" t="inlineStr">
        <is>
          <t>cj</t>
        </is>
      </c>
      <c r="D25" s="15" t="n">
        <v>1</v>
      </c>
      <c r="E25" s="16" t="n">
        <v>18000</v>
      </c>
      <c r="F25" s="16">
        <f>D25*E25</f>
        <v/>
      </c>
    </row>
    <row r="26">
      <c r="A26" s="11" t="inlineStr">
        <is>
          <t>4.2</t>
        </is>
      </c>
      <c r="B26" s="13" t="inlineStr">
        <is>
          <t>Infraestrutura de Rede Reforçada</t>
        </is>
      </c>
      <c r="C26" s="11" t="inlineStr">
        <is>
          <t>cj</t>
        </is>
      </c>
      <c r="D26" s="15" t="n">
        <v>1</v>
      </c>
      <c r="E26" s="16" t="n">
        <v>8000</v>
      </c>
      <c r="F26" s="16">
        <f>D26*E26</f>
        <v/>
      </c>
    </row>
    <row r="27">
      <c r="A27" s="11" t="inlineStr">
        <is>
          <t>4.3</t>
        </is>
      </c>
      <c r="B27" s="13" t="inlineStr">
        <is>
          <t>Divisórias Vidro/Drywall</t>
        </is>
      </c>
      <c r="C27" s="11" t="inlineStr">
        <is>
          <t>m²</t>
        </is>
      </c>
      <c r="D27" s="15" t="n">
        <v>40</v>
      </c>
      <c r="E27" s="16" t="n">
        <v>350</v>
      </c>
      <c r="F27" s="16">
        <f>D27*E27</f>
        <v/>
      </c>
    </row>
    <row r="28">
      <c r="A28" s="17" t="inlineStr">
        <is>
          <t>SUBTOTAL COWORKING</t>
        </is>
      </c>
      <c r="B28" s="11" t="n"/>
      <c r="C28" s="11" t="n"/>
      <c r="D28" s="11" t="n"/>
      <c r="E28" s="11" t="n"/>
      <c r="F28" s="18">
        <f>SUM(F25:F27)</f>
        <v/>
      </c>
    </row>
    <row r="30">
      <c r="A30" s="11" t="inlineStr">
        <is>
          <t>5</t>
        </is>
      </c>
      <c r="B30" s="12" t="inlineStr">
        <is>
          <t>PAISAGISMO E JARDINS</t>
        </is>
      </c>
      <c r="C30" s="11" t="inlineStr"/>
      <c r="D30" s="11" t="n"/>
      <c r="E30" s="11" t="n"/>
      <c r="F30" s="11" t="n"/>
    </row>
    <row r="31">
      <c r="A31" s="11" t="inlineStr">
        <is>
          <t>5.1</t>
        </is>
      </c>
      <c r="B31" s="13" t="inlineStr">
        <is>
          <t>Projeto Paisagístico Completo</t>
        </is>
      </c>
      <c r="C31" s="11" t="inlineStr">
        <is>
          <t>vb</t>
        </is>
      </c>
      <c r="D31" s="15" t="n">
        <v>1</v>
      </c>
      <c r="E31" s="16" t="n">
        <v>15000</v>
      </c>
      <c r="F31" s="16">
        <f>D31*E31</f>
        <v/>
      </c>
    </row>
    <row r="32">
      <c r="A32" s="11" t="inlineStr">
        <is>
          <t>5.2</t>
        </is>
      </c>
      <c r="B32" s="13" t="inlineStr">
        <is>
          <t>Plantio + Mudas + Adubação</t>
        </is>
      </c>
      <c r="C32" s="11" t="inlineStr">
        <is>
          <t>m²</t>
        </is>
      </c>
      <c r="D32" s="15" t="n">
        <v>200</v>
      </c>
      <c r="E32" s="16" t="n">
        <v>85</v>
      </c>
      <c r="F32" s="16">
        <f>D32*E32</f>
        <v/>
      </c>
    </row>
    <row r="33">
      <c r="A33" s="11" t="inlineStr">
        <is>
          <t>5.3</t>
        </is>
      </c>
      <c r="B33" s="13" t="inlineStr">
        <is>
          <t>Sistema Irrigação Automatizado</t>
        </is>
      </c>
      <c r="C33" s="11" t="inlineStr">
        <is>
          <t>cj</t>
        </is>
      </c>
      <c r="D33" s="15" t="n">
        <v>1</v>
      </c>
      <c r="E33" s="16" t="n">
        <v>12000</v>
      </c>
      <c r="F33" s="16">
        <f>D33*E33</f>
        <v/>
      </c>
    </row>
    <row r="34">
      <c r="A34" s="11" t="inlineStr">
        <is>
          <t>5.4</t>
        </is>
      </c>
      <c r="B34" s="13" t="inlineStr">
        <is>
          <t>Deck + Pergolado Madeira</t>
        </is>
      </c>
      <c r="C34" s="11" t="inlineStr">
        <is>
          <t>m²</t>
        </is>
      </c>
      <c r="D34" s="15" t="n">
        <v>60</v>
      </c>
      <c r="E34" s="16" t="n">
        <v>450</v>
      </c>
      <c r="F34" s="16">
        <f>D34*E34</f>
        <v/>
      </c>
    </row>
    <row r="35">
      <c r="A35" s="17" t="inlineStr">
        <is>
          <t>SUBTOTAL PAISAGISMO</t>
        </is>
      </c>
      <c r="B35" s="11" t="n"/>
      <c r="C35" s="11" t="n"/>
      <c r="D35" s="11" t="n"/>
      <c r="E35" s="11" t="n"/>
      <c r="F35" s="18">
        <f>SUM(F31:F34)</f>
        <v/>
      </c>
    </row>
    <row r="37">
      <c r="A37" s="19" t="inlineStr">
        <is>
          <t>TOTAL LAZER (SEM BDI)</t>
        </is>
      </c>
      <c r="F37" s="8" t="n"/>
    </row>
    <row r="38">
      <c r="A38" s="20" t="inlineStr">
        <is>
          <t>BDI (25.0%)</t>
        </is>
      </c>
      <c r="F38" s="21">
        <f>F37*0.25</f>
        <v/>
      </c>
    </row>
    <row r="39">
      <c r="A39" s="19" t="inlineStr">
        <is>
          <t>TOTAL LAZER (COM BDI)</t>
        </is>
      </c>
      <c r="F39" s="8">
        <f>F37+F38</f>
        <v/>
      </c>
    </row>
  </sheetData>
  <mergeCells count="9">
    <mergeCell ref="A39:E39"/>
    <mergeCell ref="A35:E35"/>
    <mergeCell ref="A38:E38"/>
    <mergeCell ref="A15:E15"/>
    <mergeCell ref="A28:E28"/>
    <mergeCell ref="A1:F1"/>
    <mergeCell ref="A37:E37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2026-03-13T02:47:24Z</dcterms:created>
  <dcterms:modified xmlns:dcterms="http://purl.org/dc/terms/" xmlns:xsi="http://www.w3.org/2001/XMLSchema-instance" xsi:type="dcterms:W3CDTF">2026-03-13T02:47:24Z</dcterms:modified>
</cp:coreProperties>
</file>