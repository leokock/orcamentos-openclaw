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b val="1"/>
      <color rgb="00FFFFFF"/>
      <sz val="12"/>
    </font>
    <font>
      <b val="1"/>
      <sz val="11"/>
    </font>
    <font>
      <sz val="14"/>
    </font>
  </fonts>
  <fills count="1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95A5A6"/>
        <bgColor rgb="0095A5A6"/>
      </patternFill>
    </fill>
    <fill>
      <patternFill patternType="solid">
        <fgColor rgb="00D35400"/>
        <bgColor rgb="00D35400"/>
      </patternFill>
    </fill>
    <fill>
      <patternFill patternType="solid">
        <fgColor rgb="005D4037"/>
        <bgColor rgb="005D4037"/>
      </patternFill>
    </fill>
    <fill>
      <patternFill patternType="solid">
        <fgColor rgb="007F8C8D"/>
        <bgColor rgb="007F8C8D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7" fillId="6" borderId="0" pivotButton="0" quotePrefix="0" xfId="0"/>
    <xf numFmtId="1" fontId="0" fillId="4" borderId="1" applyAlignment="1" pivotButton="0" quotePrefix="0" xfId="0">
      <alignment horizontal="right" vertical="center"/>
    </xf>
    <xf numFmtId="0" fontId="7" fillId="7" borderId="0" pivotButton="0" quotePrefix="0" xfId="0"/>
    <xf numFmtId="0" fontId="7" fillId="8" borderId="0" pivotButton="0" quotePrefix="0" xfId="0"/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9" borderId="0" pivotButton="0" quotePrefix="0" xfId="0"/>
    <xf numFmtId="0" fontId="1" fillId="6" borderId="0" pivotButton="0" quotePrefix="0" xfId="0"/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0" fontId="1" fillId="1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2" borderId="0" pivotButton="0" quotePrefix="0" xfId="0"/>
    <xf numFmtId="167" fontId="3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s="7" t="inlineStr">
        <is>
          <t>RDO — Villa Vauban</t>
        </is>
      </c>
    </row>
    <row r="3">
      <c r="A3" s="2" t="inlineStr">
        <is>
          <t>Código</t>
        </is>
      </c>
      <c r="B3" s="7" t="inlineStr">
        <is>
          <t>VLV-VAUBAN</t>
        </is>
      </c>
    </row>
    <row r="4">
      <c r="A4" s="2" t="inlineStr">
        <is>
          <t>Cidade</t>
        </is>
      </c>
      <c r="B4" s="7" t="inlineStr">
        <is>
          <t>Florianópolis/SC (Estreito)</t>
        </is>
      </c>
    </row>
    <row r="5">
      <c r="A5" t="inlineStr"/>
      <c r="B5" t="inlineStr"/>
    </row>
    <row r="6">
      <c r="A6" s="2" t="inlineStr">
        <is>
          <t>Área Construída (m²)</t>
        </is>
      </c>
      <c r="B6" s="8" t="n">
        <v>25000</v>
      </c>
    </row>
    <row r="7">
      <c r="A7" s="2" t="inlineStr">
        <is>
          <t>Unidades Residenciais</t>
        </is>
      </c>
      <c r="B7" s="8" t="n">
        <v>147</v>
      </c>
    </row>
    <row r="8">
      <c r="A8" s="2" t="inlineStr">
        <is>
          <t>Unidades Comerciais</t>
        </is>
      </c>
      <c r="B8" s="8" t="n">
        <v>2</v>
      </c>
    </row>
    <row r="9">
      <c r="A9" s="2" t="inlineStr">
        <is>
          <t>Número de Pavimentos</t>
        </is>
      </c>
      <c r="B9" s="8" t="n">
        <v>19</v>
      </c>
    </row>
    <row r="10">
      <c r="A10" s="2" t="inlineStr">
        <is>
          <t>Pavimentos Tipo</t>
        </is>
      </c>
      <c r="B10" s="8" t="n">
        <v>13</v>
      </c>
    </row>
    <row r="11">
      <c r="A11" s="2" t="inlineStr">
        <is>
          <t>Pavimentos Garagem</t>
        </is>
      </c>
      <c r="B11" s="8" t="n">
        <v>4</v>
      </c>
    </row>
    <row r="12">
      <c r="A12" s="2" t="inlineStr">
        <is>
          <t>Elevadores</t>
        </is>
      </c>
      <c r="B12" s="8" t="n">
        <v>3</v>
      </c>
    </row>
    <row r="13">
      <c r="A13" s="2" t="inlineStr">
        <is>
          <t>Vagas</t>
        </is>
      </c>
      <c r="B13" s="8" t="n">
        <v>79</v>
      </c>
    </row>
    <row r="14">
      <c r="A14" s="2" t="inlineStr">
        <is>
          <t>Área Terreno (m²)</t>
        </is>
      </c>
      <c r="B14" s="8" t="n">
        <v>1500</v>
      </c>
    </row>
    <row r="15">
      <c r="A15" s="2" t="inlineStr">
        <is>
          <t>Número de Subsolos</t>
        </is>
      </c>
      <c r="B15" s="8" t="n">
        <v>3</v>
      </c>
    </row>
    <row r="16">
      <c r="A16" t="inlineStr"/>
      <c r="B16" t="inlineStr"/>
    </row>
    <row r="17">
      <c r="A17" s="2" t="inlineStr">
        <is>
          <t>Prazo (meses)</t>
        </is>
      </c>
      <c r="B17" s="8" t="n">
        <v>30</v>
      </c>
    </row>
    <row r="18">
      <c r="A18" t="inlineStr"/>
      <c r="B18" t="inlineStr"/>
    </row>
    <row r="19">
      <c r="A19" s="2" t="inlineStr">
        <is>
          <t>CUB Atual (R$/m²)</t>
        </is>
      </c>
      <c r="B19" s="8" t="n">
        <v>3019.26</v>
      </c>
    </row>
    <row r="20">
      <c r="A20" s="2" t="inlineStr">
        <is>
          <t>CUB Base mar/2026 (R$/m²)</t>
        </is>
      </c>
      <c r="B20" s="8" t="n">
        <v>3019.26</v>
      </c>
    </row>
    <row r="21">
      <c r="A21" s="2" t="inlineStr">
        <is>
          <t>Data-base</t>
        </is>
      </c>
      <c r="B21" s="7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7" t="inlineStr">
        <is>
          <t>Hélice Contínua</t>
        </is>
      </c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7" t="inlineStr">
        <is>
          <t>Cubetas</t>
        </is>
      </c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7" t="inlineStr">
        <is>
          <t>Cortina de estacas</t>
        </is>
      </c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7" t="inlineStr">
        <is>
          <t>3</t>
        </is>
      </c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7" t="inlineStr">
        <is>
          <t>Alto</t>
        </is>
      </c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7" t="inlineStr">
        <is>
          <t>Alumínio anodizado</t>
        </is>
      </c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7" t="inlineStr">
        <is>
          <t>Porcelanato padrão</t>
        </is>
      </c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7" t="inlineStr">
        <is>
          <t>Alvenaria</t>
        </is>
      </c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7" t="inlineStr">
        <is>
          <t>Gesso liso</t>
        </is>
      </c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7" t="inlineStr">
        <is>
          <t>Cerâmica/Pastilha</t>
        </is>
      </c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7" t="inlineStr">
        <is>
          <t>Empreitada</t>
        </is>
      </c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7" t="inlineStr">
        <is>
          <t>Completa</t>
        </is>
      </c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7" t="inlineStr">
        <is>
          <t>Gás individual</t>
        </is>
      </c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7" t="inlineStr">
        <is>
          <t>Básico</t>
        </is>
      </c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7" t="inlineStr">
        <is>
          <t>Sem</t>
        </is>
      </c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7" t="inlineStr">
        <is>
          <t>Completo</t>
        </is>
      </c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7" t="inlineStr">
        <is>
          <t>Básico</t>
        </is>
      </c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7" t="inlineStr">
        <is>
          <t>Básico</t>
        </is>
      </c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7" t="inlineStr">
        <is>
          <t>30</t>
        </is>
      </c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7" t="inlineStr">
        <is>
          <t>Capital Floripa</t>
        </is>
      </c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7" t="inlineStr">
        <is>
          <t>Sim</t>
        </is>
      </c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7" t="inlineStr">
        <is>
          <t>Sim</t>
        </is>
      </c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7" t="inlineStr">
        <is>
          <t>Não</t>
        </is>
      </c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7" t="inlineStr">
        <is>
          <t>Não</t>
        </is>
      </c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7" t="inlineStr">
        <is>
          <t>Sim</t>
        </is>
      </c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450.48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282.64</v>
      </c>
      <c r="J2" s="13" t="n">
        <v>842.71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17.64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6.31</v>
      </c>
      <c r="J3" s="13" t="n">
        <v>82.86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217.99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117.19</v>
      </c>
      <c r="J4" s="13" t="n">
        <v>342.45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745.47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538.41</v>
      </c>
      <c r="J5" s="13" t="n">
        <v>924.75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162.48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115.55</v>
      </c>
      <c r="J6" s="13" t="n">
        <v>227.89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61.68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39.26</v>
      </c>
      <c r="J7" s="13" t="n">
        <v>98.23999999999999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371.11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281.64</v>
      </c>
      <c r="J8" s="13" t="n">
        <v>488.93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178.52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105.71</v>
      </c>
      <c r="J9" s="13" t="n">
        <v>263.52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55.87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24.16</v>
      </c>
      <c r="J10" s="13" t="n">
        <v>127.67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176.49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112.55</v>
      </c>
      <c r="J11" s="13" t="n">
        <v>249.6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67.31999999999999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38.05</v>
      </c>
      <c r="J12" s="13" t="n">
        <v>103.19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199.31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146.15</v>
      </c>
      <c r="J13" s="13" t="n">
        <v>288.21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142.44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100.69</v>
      </c>
      <c r="J14" s="13" t="n">
        <v>197.93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333.16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231.56</v>
      </c>
      <c r="J15" s="13" t="n">
        <v>530.25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28.67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6.58</v>
      </c>
      <c r="J16" s="13" t="n">
        <v>83.97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141.45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76.53</v>
      </c>
      <c r="J17" s="13" t="n">
        <v>247.24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185.22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104.5</v>
      </c>
      <c r="J18" s="13" t="n">
        <v>326.56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55.27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33</v>
      </c>
      <c r="J19" s="13" t="n">
        <v>114.06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ÍNDICES DE REFERÊNCIA</t>
        </is>
      </c>
    </row>
    <row r="3">
      <c r="A3" s="20" t="inlineStr">
        <is>
          <t>A. ÍNDICES ESTRUTURAIS POR TIPO DE LAJE</t>
        </is>
      </c>
    </row>
    <row r="4">
      <c r="A4" s="6" t="inlineStr">
        <is>
          <t>Parâmetro</t>
        </is>
      </c>
      <c r="B4" s="6" t="inlineStr">
        <is>
          <t>Cubetas</t>
        </is>
      </c>
      <c r="C4" s="6" t="inlineStr">
        <is>
          <t>Protendida</t>
        </is>
      </c>
      <c r="D4" s="6" t="inlineStr">
        <is>
          <t>Maciça</t>
        </is>
      </c>
      <c r="E4" s="6" t="inlineStr">
        <is>
          <t>Treliçada</t>
        </is>
      </c>
    </row>
    <row r="5">
      <c r="A5" s="2" t="inlineStr">
        <is>
          <t>Concreto (m³/m² AC)</t>
        </is>
      </c>
      <c r="B5" s="11" t="n">
        <v>0.22</v>
      </c>
      <c r="C5" s="11" t="n">
        <v>0.2</v>
      </c>
      <c r="D5" s="11" t="n">
        <v>0.25</v>
      </c>
      <c r="E5" s="11" t="n">
        <v>0.19</v>
      </c>
    </row>
    <row r="6">
      <c r="A6" s="2" t="inlineStr">
        <is>
          <t>Aço (kg/m³)</t>
        </is>
      </c>
      <c r="B6" s="21" t="n">
        <v>90</v>
      </c>
      <c r="C6" s="21" t="n">
        <v>110</v>
      </c>
      <c r="D6" s="21" t="n">
        <v>85</v>
      </c>
      <c r="E6" s="21" t="n">
        <v>80</v>
      </c>
    </row>
    <row r="7">
      <c r="A7" s="2" t="inlineStr">
        <is>
          <t>Forma (m²/m³)</t>
        </is>
      </c>
      <c r="B7" s="11" t="n">
        <v>10</v>
      </c>
      <c r="C7" s="11" t="n">
        <v>9</v>
      </c>
      <c r="D7" s="11" t="n">
        <v>11</v>
      </c>
      <c r="E7" s="11" t="n">
        <v>12</v>
      </c>
    </row>
    <row r="10">
      <c r="A10" s="22" t="inlineStr">
        <is>
          <t>B. ÍNDICES DE ACABAMENTOS</t>
        </is>
      </c>
    </row>
    <row r="11">
      <c r="A11" s="6" t="inlineStr">
        <is>
          <t>Item</t>
        </is>
      </c>
      <c r="B11" s="6" t="inlineStr">
        <is>
          <t>Índice (m²/m² AC)</t>
        </is>
      </c>
      <c r="C11" s="6" t="inlineStr">
        <is>
          <t>Referência</t>
        </is>
      </c>
    </row>
    <row r="12">
      <c r="A12" t="inlineStr">
        <is>
          <t>Chapisco interno</t>
        </is>
      </c>
      <c r="B12" s="11" t="n">
        <v>1.8</v>
      </c>
      <c r="C12" s="10" t="inlineStr">
        <is>
          <t>Área de parede interna</t>
        </is>
      </c>
    </row>
    <row r="13">
      <c r="A13" t="inlineStr">
        <is>
          <t>Reboco interno</t>
        </is>
      </c>
      <c r="B13" s="11" t="n">
        <v>1.8</v>
      </c>
      <c r="C13" s="10" t="inlineStr">
        <is>
          <t>Idem</t>
        </is>
      </c>
    </row>
    <row r="14">
      <c r="A14" t="inlineStr">
        <is>
          <t>Estucamento</t>
        </is>
      </c>
      <c r="B14" s="11" t="n">
        <v>1.5</v>
      </c>
      <c r="C14" s="10" t="inlineStr">
        <is>
          <t>Área pintável</t>
        </is>
      </c>
    </row>
    <row r="15">
      <c r="A15" t="inlineStr">
        <is>
          <t>Cerâmico parede</t>
        </is>
      </c>
      <c r="B15" s="11" t="n">
        <v>0.3</v>
      </c>
      <c r="C15" s="10" t="inlineStr">
        <is>
          <t>BWCs + cozinhas</t>
        </is>
      </c>
    </row>
    <row r="16">
      <c r="A16" t="inlineStr">
        <is>
          <t>Porcelanato parede</t>
        </is>
      </c>
      <c r="B16" s="11" t="n">
        <v>0.15</v>
      </c>
      <c r="C16" s="10" t="inlineStr">
        <is>
          <t>BWCs padrão alto</t>
        </is>
      </c>
    </row>
    <row r="17">
      <c r="A17" t="inlineStr">
        <is>
          <t>Contrapiso</t>
        </is>
      </c>
      <c r="B17" s="11" t="n">
        <v>0.85</v>
      </c>
      <c r="C17" s="10" t="inlineStr">
        <is>
          <t>Áreas internas</t>
        </is>
      </c>
    </row>
    <row r="18">
      <c r="A18" t="inlineStr">
        <is>
          <t>Porcelanato piso</t>
        </is>
      </c>
      <c r="B18" s="11" t="n">
        <v>0.55</v>
      </c>
      <c r="C18" s="10" t="inlineStr">
        <is>
          <t>Áreas secas</t>
        </is>
      </c>
    </row>
    <row r="19">
      <c r="A19" t="inlineStr">
        <is>
          <t>Cerâmico piso</t>
        </is>
      </c>
      <c r="B19" s="11" t="n">
        <v>0.15</v>
      </c>
      <c r="C19" s="10" t="inlineStr">
        <is>
          <t>BWCs + A. serviço</t>
        </is>
      </c>
    </row>
    <row r="20">
      <c r="A20" t="inlineStr">
        <is>
          <t>Rodapé</t>
        </is>
      </c>
      <c r="B20" s="11" t="n">
        <v>0.4</v>
      </c>
      <c r="C20" s="10" t="inlineStr">
        <is>
          <t>m/m² AC</t>
        </is>
      </c>
    </row>
    <row r="21">
      <c r="A21" t="inlineStr">
        <is>
          <t>Forro gesso</t>
        </is>
      </c>
      <c r="B21" s="11" t="n">
        <v>0.7</v>
      </c>
      <c r="C21" s="10" t="inlineStr">
        <is>
          <t>Área de teto</t>
        </is>
      </c>
    </row>
    <row r="22">
      <c r="A22" t="inlineStr">
        <is>
          <t>Pintura interna</t>
        </is>
      </c>
      <c r="B22" s="11" t="n">
        <v>2.2</v>
      </c>
      <c r="C22" s="10" t="inlineStr">
        <is>
          <t>Paredes + teto</t>
        </is>
      </c>
    </row>
    <row r="23">
      <c r="A23" t="inlineStr">
        <is>
          <t>Textura externa</t>
        </is>
      </c>
      <c r="B23" s="11" t="n">
        <v>0.45</v>
      </c>
      <c r="C23" s="10" t="inlineStr">
        <is>
          <t>Fachada</t>
        </is>
      </c>
    </row>
    <row r="24">
      <c r="A24" t="inlineStr">
        <is>
          <t>Chapisco externo</t>
        </is>
      </c>
      <c r="B24" s="11" t="n">
        <v>0.45</v>
      </c>
      <c r="C24" s="10" t="inlineStr">
        <is>
          <t>Fachada</t>
        </is>
      </c>
    </row>
    <row r="25">
      <c r="A25" t="inlineStr">
        <is>
          <t>Reboco externo</t>
        </is>
      </c>
      <c r="B25" s="11" t="n">
        <v>0.45</v>
      </c>
      <c r="C25" s="10" t="inlineStr">
        <is>
          <t>Fachada</t>
        </is>
      </c>
    </row>
    <row r="28">
      <c r="A28" s="23" t="inlineStr">
        <is>
          <t>C. ÍNDICES DE INSTALAÇÕES</t>
        </is>
      </c>
    </row>
    <row r="29">
      <c r="A29" s="6" t="inlineStr">
        <is>
          <t>Disciplina</t>
        </is>
      </c>
      <c r="B29" s="6" t="inlineStr">
        <is>
          <t>R$/m² típico</t>
        </is>
      </c>
      <c r="C29" s="6" t="inlineStr">
        <is>
          <t>% do grupo</t>
        </is>
      </c>
    </row>
    <row r="30">
      <c r="A30" t="inlineStr">
        <is>
          <t>Hidrossanitárias</t>
        </is>
      </c>
      <c r="B30" s="24" t="n">
        <v>120</v>
      </c>
      <c r="C30" s="25" t="n">
        <v>0.33</v>
      </c>
    </row>
    <row r="31">
      <c r="A31" t="inlineStr">
        <is>
          <t>Elétricas</t>
        </is>
      </c>
      <c r="B31" s="24" t="n">
        <v>110</v>
      </c>
      <c r="C31" s="25" t="n">
        <v>0.3</v>
      </c>
    </row>
    <row r="32">
      <c r="A32" t="inlineStr">
        <is>
          <t>Preventivas</t>
        </is>
      </c>
      <c r="B32" s="24" t="n">
        <v>60</v>
      </c>
      <c r="C32" s="25" t="n">
        <v>0.16</v>
      </c>
    </row>
    <row r="33">
      <c r="A33" t="inlineStr">
        <is>
          <t>Gás</t>
        </is>
      </c>
      <c r="B33" s="24" t="n">
        <v>35</v>
      </c>
      <c r="C33" s="25" t="n">
        <v>0.1</v>
      </c>
    </row>
    <row r="34">
      <c r="A34" t="inlineStr">
        <is>
          <t>Telecom</t>
        </is>
      </c>
      <c r="B34" s="24" t="n">
        <v>40</v>
      </c>
      <c r="C34" s="25" t="n">
        <v>0.11</v>
      </c>
    </row>
    <row r="37">
      <c r="A37" s="26" t="inlineStr">
        <is>
          <t>D. VERBAS PARAMÉTRICAS</t>
        </is>
      </c>
    </row>
    <row r="38">
      <c r="A38" s="6" t="inlineStr">
        <is>
          <t>Item</t>
        </is>
      </c>
      <c r="B38" s="6" t="inlineStr">
        <is>
          <t>R$/m²</t>
        </is>
      </c>
      <c r="C38" s="6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10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10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10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10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8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DETALHAMENTO ESTRUTURAL</t>
        </is>
      </c>
    </row>
    <row r="3">
      <c r="A3" s="27" t="inlineStr">
        <is>
          <t>CONCRETO (45% da Supraestrutura)</t>
        </is>
      </c>
    </row>
    <row r="4">
      <c r="A4" s="6" t="inlineStr">
        <is>
          <t>Elemento</t>
        </is>
      </c>
      <c r="B4" s="6" t="inlineStr">
        <is>
          <t>Peso %</t>
        </is>
      </c>
      <c r="C4" s="6" t="inlineStr">
        <is>
          <t>Qtd (m³)</t>
        </is>
      </c>
      <c r="D4" s="6" t="inlineStr">
        <is>
          <t>Un</t>
        </is>
      </c>
      <c r="E4" s="6" t="inlineStr">
        <is>
          <t>PU (R$/m³)</t>
        </is>
      </c>
      <c r="F4" s="6" t="inlineStr">
        <is>
          <t>Total (R$)</t>
        </is>
      </c>
      <c r="G4" s="6" t="inlineStr">
        <is>
          <t>R$/m²</t>
        </is>
      </c>
      <c r="H4" s="6" t="inlineStr">
        <is>
          <t>Índice</t>
        </is>
      </c>
    </row>
    <row r="5">
      <c r="A5" t="inlineStr">
        <is>
          <t>Pilares</t>
        </is>
      </c>
      <c r="B5" s="28" t="n">
        <v>0.25</v>
      </c>
      <c r="C5" s="13">
        <f>0.055*DADOS_PROJETO!$B$6</f>
        <v/>
      </c>
      <c r="D5" t="inlineStr">
        <is>
          <t>m³</t>
        </is>
      </c>
      <c r="E5" s="13">
        <f>IF(C5&gt;0,F5/C5,0)</f>
        <v/>
      </c>
      <c r="F5" s="13">
        <f>CUSTOS_MACROGRUPO!$G$5*0.45*B5</f>
        <v/>
      </c>
      <c r="G5" s="13">
        <f>F5/DADOS_PROJETO!$B$6</f>
        <v/>
      </c>
      <c r="H5" s="29" t="n">
        <v>0.055</v>
      </c>
    </row>
    <row r="6">
      <c r="A6" t="inlineStr">
        <is>
          <t>Vigas</t>
        </is>
      </c>
      <c r="B6" s="28" t="n">
        <v>0.3</v>
      </c>
      <c r="C6" s="13">
        <f>0.066*DADOS_PROJETO!$B$6</f>
        <v/>
      </c>
      <c r="D6" t="inlineStr">
        <is>
          <t>m³</t>
        </is>
      </c>
      <c r="E6" s="13">
        <f>IF(C6&gt;0,F6/C6,0)</f>
        <v/>
      </c>
      <c r="F6" s="13">
        <f>CUSTOS_MACROGRUPO!$G$5*0.45*B6</f>
        <v/>
      </c>
      <c r="G6" s="13">
        <f>F6/DADOS_PROJETO!$B$6</f>
        <v/>
      </c>
      <c r="H6" s="29" t="n">
        <v>0.066</v>
      </c>
    </row>
    <row r="7">
      <c r="A7" t="inlineStr">
        <is>
          <t>Lajes</t>
        </is>
      </c>
      <c r="B7" s="28" t="n">
        <v>0.35</v>
      </c>
      <c r="C7" s="13">
        <f>0.077*DADOS_PROJETO!$B$6</f>
        <v/>
      </c>
      <c r="D7" t="inlineStr">
        <is>
          <t>m³</t>
        </is>
      </c>
      <c r="E7" s="13">
        <f>IF(C7&gt;0,F7/C7,0)</f>
        <v/>
      </c>
      <c r="F7" s="13">
        <f>CUSTOS_MACROGRUPO!$G$5*0.45*B7</f>
        <v/>
      </c>
      <c r="G7" s="13">
        <f>F7/DADOS_PROJETO!$B$6</f>
        <v/>
      </c>
      <c r="H7" s="29" t="n">
        <v>0.077</v>
      </c>
    </row>
    <row r="8">
      <c r="A8" t="inlineStr">
        <is>
          <t>Escadas</t>
        </is>
      </c>
      <c r="B8" s="28" t="n">
        <v>0.1</v>
      </c>
      <c r="C8" s="13">
        <f>0.022*DADOS_PROJETO!$B$6</f>
        <v/>
      </c>
      <c r="D8" t="inlineStr">
        <is>
          <t>m³</t>
        </is>
      </c>
      <c r="E8" s="13">
        <f>IF(C8&gt;0,F8/C8,0)</f>
        <v/>
      </c>
      <c r="F8" s="13">
        <f>CUSTOS_MACROGRUPO!$G$5*0.45*B8</f>
        <v/>
      </c>
      <c r="G8" s="13">
        <f>F8/DADOS_PROJETO!$B$6</f>
        <v/>
      </c>
      <c r="H8" s="29" t="n">
        <v>0.022</v>
      </c>
    </row>
    <row r="9">
      <c r="A9" s="2" t="inlineStr">
        <is>
          <t>TOTAL CONCRETO</t>
        </is>
      </c>
      <c r="C9" s="30">
        <f>SUM(C5:C8)</f>
        <v/>
      </c>
      <c r="F9" s="30">
        <f>SUM(F5:F8)</f>
        <v/>
      </c>
      <c r="G9" s="30">
        <f>F9/DADOS_PROJETO!$B$6</f>
        <v/>
      </c>
      <c r="H9" s="31">
        <f>C9/DADOS_PROJETO!$B$6</f>
        <v/>
      </c>
    </row>
    <row r="11">
      <c r="A11" s="32" t="inlineStr">
        <is>
          <t>AÇO (30% da Supraestrutura)</t>
        </is>
      </c>
    </row>
    <row r="12">
      <c r="A12" s="6" t="inlineStr">
        <is>
          <t>Elemento</t>
        </is>
      </c>
      <c r="B12" s="6" t="inlineStr">
        <is>
          <t>Peso %</t>
        </is>
      </c>
      <c r="C12" s="6" t="inlineStr">
        <is>
          <t>Peso (kg)</t>
        </is>
      </c>
      <c r="D12" s="6" t="inlineStr">
        <is>
          <t>Un</t>
        </is>
      </c>
      <c r="E12" s="6" t="inlineStr">
        <is>
          <t>Taxa (kg/m³)</t>
        </is>
      </c>
      <c r="F12" s="6" t="inlineStr">
        <is>
          <t>Total (R$)</t>
        </is>
      </c>
      <c r="G12" s="6" t="inlineStr">
        <is>
          <t>R$/m²</t>
        </is>
      </c>
      <c r="H12" s="6" t="inlineStr"/>
    </row>
    <row r="13">
      <c r="A13" t="inlineStr">
        <is>
          <t>Pilares</t>
        </is>
      </c>
      <c r="B13" s="28" t="n">
        <v>0.25</v>
      </c>
      <c r="C13" s="33">
        <f>95*C5</f>
        <v/>
      </c>
      <c r="D13" t="inlineStr">
        <is>
          <t>kg</t>
        </is>
      </c>
      <c r="E13" s="21" t="n">
        <v>95</v>
      </c>
      <c r="F13" s="13">
        <f>CUSTOS_MACROGRUPO!$G$5*0.30*B13</f>
        <v/>
      </c>
      <c r="G13" s="13">
        <f>F13/DADOS_PROJETO!$B$6</f>
        <v/>
      </c>
    </row>
    <row r="14">
      <c r="A14" t="inlineStr">
        <is>
          <t>Vigas</t>
        </is>
      </c>
      <c r="B14" s="28" t="n">
        <v>0.3</v>
      </c>
      <c r="C14" s="33">
        <f>90*C6</f>
        <v/>
      </c>
      <c r="D14" t="inlineStr">
        <is>
          <t>kg</t>
        </is>
      </c>
      <c r="E14" s="21" t="n">
        <v>90</v>
      </c>
      <c r="F14" s="13">
        <f>CUSTOS_MACROGRUPO!$G$5*0.30*B14</f>
        <v/>
      </c>
      <c r="G14" s="13">
        <f>F14/DADOS_PROJETO!$B$6</f>
        <v/>
      </c>
    </row>
    <row r="15">
      <c r="A15" t="inlineStr">
        <is>
          <t>Lajes</t>
        </is>
      </c>
      <c r="B15" s="28" t="n">
        <v>0.35</v>
      </c>
      <c r="C15" s="33">
        <f>88*C7</f>
        <v/>
      </c>
      <c r="D15" t="inlineStr">
        <is>
          <t>kg</t>
        </is>
      </c>
      <c r="E15" s="21" t="n">
        <v>88</v>
      </c>
      <c r="F15" s="13">
        <f>CUSTOS_MACROGRUPO!$G$5*0.30*B15</f>
        <v/>
      </c>
      <c r="G15" s="13">
        <f>F15/DADOS_PROJETO!$B$6</f>
        <v/>
      </c>
    </row>
    <row r="16">
      <c r="A16" t="inlineStr">
        <is>
          <t>Escadas</t>
        </is>
      </c>
      <c r="B16" s="28" t="n">
        <v>0.1</v>
      </c>
      <c r="C16" s="33">
        <f>85*C8</f>
        <v/>
      </c>
      <c r="D16" t="inlineStr">
        <is>
          <t>kg</t>
        </is>
      </c>
      <c r="E16" s="21" t="n">
        <v>85</v>
      </c>
      <c r="F16" s="13">
        <f>CUSTOS_MACROGRUPO!$G$5*0.30*B16</f>
        <v/>
      </c>
      <c r="G16" s="13">
        <f>F16/DADOS_PROJETO!$B$6</f>
        <v/>
      </c>
    </row>
    <row r="17">
      <c r="A17" s="2" t="inlineStr">
        <is>
          <t>TOTAL AÇO</t>
        </is>
      </c>
      <c r="C17" s="34">
        <f>SUM(C13:C16)</f>
        <v/>
      </c>
      <c r="F17" s="30">
        <f>SUM(F13:F16)</f>
        <v/>
      </c>
      <c r="G17" s="30">
        <f>F17/DADOS_PROJETO!$B$6</f>
        <v/>
      </c>
    </row>
    <row r="19">
      <c r="A19" s="35" t="inlineStr">
        <is>
          <t>FORMA (25% da Supraestrutura)</t>
        </is>
      </c>
    </row>
    <row r="20">
      <c r="A20" s="6" t="inlineStr">
        <is>
          <t>Tipo</t>
        </is>
      </c>
      <c r="B20" s="6" t="inlineStr">
        <is>
          <t>Peso %</t>
        </is>
      </c>
      <c r="C20" s="6" t="inlineStr">
        <is>
          <t>Área (m²)</t>
        </is>
      </c>
      <c r="D20" s="6" t="inlineStr">
        <is>
          <t>Un</t>
        </is>
      </c>
      <c r="E20" s="6" t="inlineStr"/>
      <c r="F20" s="6" t="inlineStr">
        <is>
          <t>Total (R$)</t>
        </is>
      </c>
      <c r="G20" s="6" t="inlineStr">
        <is>
          <t>R$/m²</t>
        </is>
      </c>
      <c r="H20" s="6" t="inlineStr"/>
    </row>
    <row r="21">
      <c r="A21" t="inlineStr">
        <is>
          <t>Madeira/compensado pilares</t>
        </is>
      </c>
      <c r="B21" s="28" t="n">
        <v>0.3</v>
      </c>
      <c r="C21" s="33">
        <f>10*C9*B21</f>
        <v/>
      </c>
      <c r="D21" t="inlineStr">
        <is>
          <t>m²</t>
        </is>
      </c>
      <c r="F21" s="13">
        <f>CUSTOS_MACROGRUPO!$G$5*0.25*B21</f>
        <v/>
      </c>
      <c r="G21" s="13">
        <f>F21/DADOS_PROJETO!$B$6</f>
        <v/>
      </c>
    </row>
    <row r="22">
      <c r="A22" t="inlineStr">
        <is>
          <t>Madeira/compensado vigas</t>
        </is>
      </c>
      <c r="B22" s="28" t="n">
        <v>0.35</v>
      </c>
      <c r="C22" s="33">
        <f>10*C9*B22</f>
        <v/>
      </c>
      <c r="D22" t="inlineStr">
        <is>
          <t>m²</t>
        </is>
      </c>
      <c r="F22" s="13">
        <f>CUSTOS_MACROGRUPO!$G$5*0.25*B22</f>
        <v/>
      </c>
      <c r="G22" s="13">
        <f>F22/DADOS_PROJETO!$B$6</f>
        <v/>
      </c>
    </row>
    <row r="23">
      <c r="A23" t="inlineStr">
        <is>
          <t>Cubetas/forma lajes</t>
        </is>
      </c>
      <c r="B23" s="28" t="n">
        <v>0.35</v>
      </c>
      <c r="C23" s="33">
        <f>10*C9*B23</f>
        <v/>
      </c>
      <c r="D23" t="inlineStr">
        <is>
          <t>m²</t>
        </is>
      </c>
      <c r="F23" s="13">
        <f>CUSTOS_MACROGRUPO!$G$5*0.25*B23</f>
        <v/>
      </c>
      <c r="G23" s="13">
        <f>F23/DADOS_PROJETO!$B$6</f>
        <v/>
      </c>
    </row>
    <row r="24">
      <c r="A24" s="2" t="inlineStr">
        <is>
          <t>TOTAL FORMA</t>
        </is>
      </c>
      <c r="C24" s="34">
        <f>SUM(C21:C23)</f>
        <v/>
      </c>
      <c r="F24" s="30">
        <f>SUM(F21:F23)</f>
        <v/>
      </c>
      <c r="G24" s="30">
        <f>F24/DADOS_PROJETO!$B$6</f>
        <v/>
      </c>
    </row>
    <row r="26">
      <c r="A26" s="36" t="inlineStr">
        <is>
          <t>FUNDAÇÃO (85% da Infraestrutura)</t>
        </is>
      </c>
    </row>
    <row r="27">
      <c r="A27" s="6" t="inlineStr">
        <is>
          <t>Item</t>
        </is>
      </c>
      <c r="B27" s="6" t="inlineStr">
        <is>
          <t>Peso %</t>
        </is>
      </c>
      <c r="C27" s="6" t="inlineStr"/>
      <c r="D27" s="6" t="inlineStr"/>
      <c r="E27" s="6" t="inlineStr"/>
      <c r="F27" s="6" t="inlineStr">
        <is>
          <t>Total (R$)</t>
        </is>
      </c>
      <c r="G27" s="6" t="inlineStr">
        <is>
          <t>R$/m²</t>
        </is>
      </c>
      <c r="H27" s="6" t="inlineStr"/>
    </row>
    <row r="28">
      <c r="A28" t="inlineStr">
        <is>
          <t>Estacas (HC)</t>
        </is>
      </c>
      <c r="B28" s="28" t="n">
        <v>0.6</v>
      </c>
      <c r="F28" s="13">
        <f>CUSTOS_MACROGRUPO!$G$4*0.85*B28</f>
        <v/>
      </c>
      <c r="G28" s="13">
        <f>F28/DADOS_PROJETO!$B$6</f>
        <v/>
      </c>
    </row>
    <row r="29">
      <c r="A29" t="inlineStr">
        <is>
          <t>Blocos de coroamento</t>
        </is>
      </c>
      <c r="B29" s="28" t="n">
        <v>0.25</v>
      </c>
      <c r="F29" s="13">
        <f>CUSTOS_MACROGRUPO!$G$4*0.85*B29</f>
        <v/>
      </c>
      <c r="G29" s="13">
        <f>F29/DADOS_PROJETO!$B$6</f>
        <v/>
      </c>
    </row>
    <row r="30">
      <c r="A30" t="inlineStr">
        <is>
          <t>Vigas baldrame</t>
        </is>
      </c>
      <c r="B30" s="28" t="n">
        <v>0.15</v>
      </c>
      <c r="F30" s="13">
        <f>CUSTOS_MACROGRUPO!$G$4*0.85*B30</f>
        <v/>
      </c>
      <c r="G30" s="13">
        <f>F30/DADOS_PROJETO!$B$6</f>
        <v/>
      </c>
    </row>
    <row r="31">
      <c r="A31" s="2" t="inlineStr">
        <is>
          <t>TOTAL FUNDAÇÃO</t>
        </is>
      </c>
      <c r="F31" s="30">
        <f>SUM(F28:F30)</f>
        <v/>
      </c>
      <c r="G31" s="30">
        <f>F31/DADOS_PROJETO!$B$6</f>
        <v/>
      </c>
    </row>
    <row r="33">
      <c r="A33" s="37" t="inlineStr">
        <is>
          <t>CONTENÇÃO (15% da Infraestrutura, se houver)</t>
        </is>
      </c>
    </row>
    <row r="34">
      <c r="A34" t="inlineStr">
        <is>
          <t>Contenção</t>
        </is>
      </c>
      <c r="F34" s="13">
        <f>IF(BRIEFING!$C$4&lt;&gt;"Não",CUSTOS_MACROGRUPO!$G$4*0.15,0)</f>
        <v/>
      </c>
      <c r="G34" s="13">
        <f>F34/DADOS_PROJETO!$B$6</f>
        <v/>
      </c>
    </row>
    <row r="36">
      <c r="A36" s="38" t="inlineStr">
        <is>
          <t>ÍNDICES CALCULADOS</t>
        </is>
      </c>
    </row>
    <row r="37">
      <c r="A37" t="inlineStr">
        <is>
          <t>Concreto/AC (m³/m²)</t>
        </is>
      </c>
      <c r="F37" s="31">
        <f>C9/DADOS_PROJETO!$B$6</f>
        <v/>
      </c>
    </row>
    <row r="38">
      <c r="A38" t="inlineStr">
        <is>
          <t>Taxa Aço Global (kg/m³)</t>
        </is>
      </c>
      <c r="F38" s="39">
        <f>C17/C9</f>
        <v/>
      </c>
    </row>
    <row r="39">
      <c r="A39" t="inlineStr">
        <is>
          <t>Forma/AC (m²/m²)</t>
        </is>
      </c>
      <c r="F39" s="31">
        <f>C24/DADOS_PROJETO!$B$6</f>
        <v/>
      </c>
    </row>
  </sheetData>
  <mergeCells count="7">
    <mergeCell ref="A26:H26"/>
    <mergeCell ref="A3:H3"/>
    <mergeCell ref="A19:H19"/>
    <mergeCell ref="A11:H11"/>
    <mergeCell ref="A33:H33"/>
    <mergeCell ref="A36:H3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DETALHAMENTO DE INSTALAÇÕES</t>
        </is>
      </c>
    </row>
    <row r="3">
      <c r="A3" s="40" t="inlineStr">
        <is>
          <t>INSTALAÇÕES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>
        <is>
          <t>MO 55% (R$)</t>
        </is>
      </c>
      <c r="F4" s="6" t="inlineStr">
        <is>
          <t>Material 45% (R$)</t>
        </is>
      </c>
      <c r="G4" s="6" t="inlineStr"/>
    </row>
    <row r="5">
      <c r="A5" t="inlineStr">
        <is>
          <t>Hidrossanitárias</t>
        </is>
      </c>
      <c r="B5" s="28" t="n">
        <v>0.33</v>
      </c>
      <c r="C5" s="13">
        <f>CUSTOS_MACROGRUPO!$G$8*B5</f>
        <v/>
      </c>
      <c r="D5" s="13">
        <f>C5/DADOS_PROJETO!$B$6</f>
        <v/>
      </c>
      <c r="E5" s="13">
        <f>C5*0.55</f>
        <v/>
      </c>
      <c r="F5" s="13">
        <f>C5*0.45</f>
        <v/>
      </c>
    </row>
    <row r="6">
      <c r="A6" t="inlineStr">
        <is>
          <t>Elétricas</t>
        </is>
      </c>
      <c r="B6" s="28" t="n">
        <v>0.3</v>
      </c>
      <c r="C6" s="13">
        <f>CUSTOS_MACROGRUPO!$G$8*B6</f>
        <v/>
      </c>
      <c r="D6" s="13">
        <f>C6/DADOS_PROJETO!$B$6</f>
        <v/>
      </c>
      <c r="E6" s="13">
        <f>C6*0.55</f>
        <v/>
      </c>
      <c r="F6" s="13">
        <f>C6*0.45</f>
        <v/>
      </c>
    </row>
    <row r="7">
      <c r="A7" t="inlineStr">
        <is>
          <t>Preventivas</t>
        </is>
      </c>
      <c r="B7" s="28" t="n">
        <v>0.16</v>
      </c>
      <c r="C7" s="13">
        <f>CUSTOS_MACROGRUPO!$G$8*B7</f>
        <v/>
      </c>
      <c r="D7" s="13">
        <f>C7/DADOS_PROJETO!$B$6</f>
        <v/>
      </c>
      <c r="E7" s="13">
        <f>C7*0.55</f>
        <v/>
      </c>
      <c r="F7" s="13">
        <f>C7*0.45</f>
        <v/>
      </c>
    </row>
    <row r="8">
      <c r="A8" t="inlineStr">
        <is>
          <t>Gás</t>
        </is>
      </c>
      <c r="B8" s="28" t="n">
        <v>0.1</v>
      </c>
      <c r="C8" s="13">
        <f>CUSTOS_MACROGRUPO!$G$8*B8</f>
        <v/>
      </c>
      <c r="D8" s="13">
        <f>C8/DADOS_PROJETO!$B$6</f>
        <v/>
      </c>
      <c r="E8" s="13">
        <f>C8*0.55</f>
        <v/>
      </c>
      <c r="F8" s="13">
        <f>C8*0.45</f>
        <v/>
      </c>
    </row>
    <row r="9">
      <c r="A9" t="inlineStr">
        <is>
          <t>Telecom</t>
        </is>
      </c>
      <c r="B9" s="28" t="n">
        <v>0.11</v>
      </c>
      <c r="C9" s="13">
        <f>CUSTOS_MACROGRUPO!$G$8*B9</f>
        <v/>
      </c>
      <c r="D9" s="13">
        <f>C9/DADOS_PROJETO!$B$6</f>
        <v/>
      </c>
      <c r="E9" s="13">
        <f>C9*0.55</f>
        <v/>
      </c>
      <c r="F9" s="13">
        <f>C9*0.45</f>
        <v/>
      </c>
    </row>
    <row r="10">
      <c r="A10" s="2" t="inlineStr">
        <is>
          <t>TOTAL INSTALAÇÕES</t>
        </is>
      </c>
      <c r="C10" s="30">
        <f>SUM(C5:C9)</f>
        <v/>
      </c>
      <c r="D10" s="30">
        <f>C10/DADOS_PROJETO!$B$6</f>
        <v/>
      </c>
      <c r="E10" s="30">
        <f>SUM(E5:E9)</f>
        <v/>
      </c>
      <c r="F10" s="30">
        <f>SUM(F5:F9)</f>
        <v/>
      </c>
    </row>
    <row r="12">
      <c r="A12" s="41" t="inlineStr">
        <is>
          <t>SISTEMAS ESPECIAIS</t>
        </is>
      </c>
    </row>
    <row r="13">
      <c r="A13" s="6" t="inlineStr">
        <is>
          <t>Item</t>
        </is>
      </c>
      <c r="B13" s="6" t="inlineStr">
        <is>
          <t>Peso %</t>
        </is>
      </c>
      <c r="C13" s="6" t="inlineStr">
        <is>
          <t>Valor (R$)</t>
        </is>
      </c>
      <c r="D13" s="6" t="inlineStr">
        <is>
          <t>R$/m²</t>
        </is>
      </c>
      <c r="E13" s="6" t="inlineStr"/>
      <c r="F13" s="6" t="inlineStr"/>
      <c r="G13" s="6" t="inlineStr"/>
    </row>
    <row r="14">
      <c r="A14" t="inlineStr">
        <is>
          <t>Elevadores</t>
        </is>
      </c>
      <c r="B14" s="28" t="n">
        <v>0.4</v>
      </c>
      <c r="C14" s="13">
        <f>CUSTOS_MACROGRUPO!$G$9*B14</f>
        <v/>
      </c>
      <c r="D14" s="13">
        <f>C14/DADOS_PROJETO!$B$6</f>
        <v/>
      </c>
    </row>
    <row r="15">
      <c r="A15" t="inlineStr">
        <is>
          <t>Gerador</t>
        </is>
      </c>
      <c r="B15" s="28" t="n">
        <v>0.2</v>
      </c>
      <c r="C15" s="13">
        <f>CUSTOS_MACROGRUPO!$G$9*B15</f>
        <v/>
      </c>
      <c r="D15" s="13">
        <f>C15/DADOS_PROJETO!$B$6</f>
        <v/>
      </c>
    </row>
    <row r="16">
      <c r="A16" t="inlineStr">
        <is>
          <t>Automação/CFTV</t>
        </is>
      </c>
      <c r="B16" s="28" t="n">
        <v>0.2</v>
      </c>
      <c r="C16" s="13">
        <f>CUSTOS_MACROGRUPO!$G$9*B16</f>
        <v/>
      </c>
      <c r="D16" s="13">
        <f>C16/DADOS_PROJETO!$B$6</f>
        <v/>
      </c>
    </row>
    <row r="17">
      <c r="A17" t="inlineStr">
        <is>
          <t>Pressuriz./Outros</t>
        </is>
      </c>
      <c r="B17" s="28" t="n">
        <v>0.2</v>
      </c>
      <c r="C17" s="13">
        <f>CUSTOS_MACROGRUPO!$G$9*B17</f>
        <v/>
      </c>
      <c r="D17" s="13">
        <f>C17/DADOS_PROJETO!$B$6</f>
        <v/>
      </c>
    </row>
    <row r="18">
      <c r="A18" s="2" t="inlineStr">
        <is>
          <t>TOTAL SIST. ESPECIAIS</t>
        </is>
      </c>
      <c r="C18" s="30">
        <f>SUM(C14:C17)</f>
        <v/>
      </c>
      <c r="D18" s="30">
        <f>C18/DADOS_PROJETO!$B$6</f>
        <v/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DETALHAMENTO DE ACABAMENTOS</t>
        </is>
      </c>
    </row>
    <row r="3">
      <c r="A3" s="42" t="inlineStr">
        <is>
          <t>REVESTIMENTOS DE PAREDE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t="inlineStr">
        <is>
          <t>Chapisco interno</t>
        </is>
      </c>
      <c r="B5" s="13">
        <f>1.8*DADOS_PROJETO!$B$6</f>
        <v/>
      </c>
      <c r="C5" t="inlineStr">
        <is>
          <t>m²</t>
        </is>
      </c>
      <c r="D5" s="13">
        <f>IF(B5&gt;0,F5/B5,0)</f>
        <v/>
      </c>
      <c r="E5" s="13">
        <f>IF(B5&gt;0,G5/B5,0)</f>
        <v/>
      </c>
      <c r="F5" s="13">
        <f>CUSTOS_MACROGRUPO!$G$11*0.12*0.45</f>
        <v/>
      </c>
      <c r="G5" s="13">
        <f>CUSTOS_MACROGRUPO!$G$11*0.12*0.55</f>
        <v/>
      </c>
      <c r="H5" s="13">
        <f>F5+G5</f>
        <v/>
      </c>
    </row>
    <row r="6">
      <c r="A6" t="inlineStr">
        <is>
          <t>Reboco interno</t>
        </is>
      </c>
      <c r="B6" s="13">
        <f>1.8*DADOS_PROJETO!$B$6</f>
        <v/>
      </c>
      <c r="C6" t="inlineStr">
        <is>
          <t>m²</t>
        </is>
      </c>
      <c r="D6" s="13">
        <f>IF(B6&gt;0,F6/B6,0)</f>
        <v/>
      </c>
      <c r="E6" s="13">
        <f>IF(B6&gt;0,G6/B6,0)</f>
        <v/>
      </c>
      <c r="F6" s="13">
        <f>CUSTOS_MACROGRUPO!$G$11*0.35*0.45</f>
        <v/>
      </c>
      <c r="G6" s="13">
        <f>CUSTOS_MACROGRUPO!$G$11*0.35*0.55</f>
        <v/>
      </c>
      <c r="H6" s="13">
        <f>F6+G6</f>
        <v/>
      </c>
    </row>
    <row r="7">
      <c r="A7" t="inlineStr">
        <is>
          <t>Estucamento</t>
        </is>
      </c>
      <c r="B7" s="13">
        <f>1.5*DADOS_PROJETO!$B$6</f>
        <v/>
      </c>
      <c r="C7" t="inlineStr">
        <is>
          <t>m²</t>
        </is>
      </c>
      <c r="D7" s="13">
        <f>IF(B7&gt;0,F7/B7,0)</f>
        <v/>
      </c>
      <c r="E7" s="13">
        <f>IF(B7&gt;0,G7/B7,0)</f>
        <v/>
      </c>
      <c r="F7" s="13">
        <f>CUSTOS_MACROGRUPO!$G$11*0.25*0.45</f>
        <v/>
      </c>
      <c r="G7" s="13">
        <f>CUSTOS_MACROGRUPO!$G$11*0.25*0.55</f>
        <v/>
      </c>
      <c r="H7" s="13">
        <f>F7+G7</f>
        <v/>
      </c>
    </row>
    <row r="8">
      <c r="A8" t="inlineStr">
        <is>
          <t>Cerâmico parede</t>
        </is>
      </c>
      <c r="B8" s="13">
        <f>0.3*DADOS_PROJETO!$B$6</f>
        <v/>
      </c>
      <c r="C8" t="inlineStr">
        <is>
          <t>m²</t>
        </is>
      </c>
      <c r="D8" s="13">
        <f>IF(B8&gt;0,F8/B8,0)</f>
        <v/>
      </c>
      <c r="E8" s="13">
        <f>IF(B8&gt;0,G8/B8,0)</f>
        <v/>
      </c>
      <c r="F8" s="13">
        <f>CUSTOS_MACROGRUPO!$G$11*0.15*0.45</f>
        <v/>
      </c>
      <c r="G8" s="13">
        <f>CUSTOS_MACROGRUPO!$G$11*0.15*0.55</f>
        <v/>
      </c>
      <c r="H8" s="13">
        <f>F8+G8</f>
        <v/>
      </c>
    </row>
    <row r="9">
      <c r="A9" t="inlineStr">
        <is>
          <t>Porcelanato parede</t>
        </is>
      </c>
      <c r="B9" s="13">
        <f>0.15*DADOS_PROJETO!$B$6</f>
        <v/>
      </c>
      <c r="C9" t="inlineStr">
        <is>
          <t>m²</t>
        </is>
      </c>
      <c r="D9" s="13">
        <f>IF(B9&gt;0,F9/B9,0)</f>
        <v/>
      </c>
      <c r="E9" s="13">
        <f>IF(B9&gt;0,G9/B9,0)</f>
        <v/>
      </c>
      <c r="F9" s="13">
        <f>CUSTOS_MACROGRUPO!$G$11*0.13*0.45</f>
        <v/>
      </c>
      <c r="G9" s="13">
        <f>CUSTOS_MACROGRUPO!$G$11*0.13*0.55</f>
        <v/>
      </c>
      <c r="H9" s="13">
        <f>F9+G9</f>
        <v/>
      </c>
    </row>
    <row r="10">
      <c r="A10" s="2" t="inlineStr">
        <is>
          <t>TOTAL REV. PAREDE</t>
        </is>
      </c>
      <c r="F10" s="30">
        <f>SUM(F5:F9)</f>
        <v/>
      </c>
      <c r="G10" s="30">
        <f>SUM(G5:G9)</f>
        <v/>
      </c>
      <c r="H10" s="30">
        <f>F10+G10</f>
        <v/>
      </c>
    </row>
    <row r="12">
      <c r="A12" s="43" t="inlineStr">
        <is>
          <t>TETO</t>
        </is>
      </c>
    </row>
    <row r="13">
      <c r="A13" s="6" t="inlineStr">
        <is>
          <t>Item</t>
        </is>
      </c>
      <c r="B13" s="6" t="inlineStr">
        <is>
          <t>Qtd</t>
        </is>
      </c>
      <c r="C13" s="6" t="inlineStr">
        <is>
          <t>Un</t>
        </is>
      </c>
      <c r="D13" s="6" t="inlineStr">
        <is>
          <t>PU Material (R$)</t>
        </is>
      </c>
      <c r="E13" s="6" t="inlineStr">
        <is>
          <t>PU MO (R$)</t>
        </is>
      </c>
      <c r="F13" s="6" t="inlineStr">
        <is>
          <t>Total Material (R$)</t>
        </is>
      </c>
      <c r="G13" s="6" t="inlineStr">
        <is>
          <t>Total MO (R$)</t>
        </is>
      </c>
      <c r="H13" s="6" t="inlineStr">
        <is>
          <t>Total (R$)</t>
        </is>
      </c>
    </row>
    <row r="14">
      <c r="A14" t="inlineStr">
        <is>
          <t>Forro gesso acartonado</t>
        </is>
      </c>
      <c r="B14" s="13">
        <f>0.5*DADOS_PROJETO!$B$6</f>
        <v/>
      </c>
      <c r="C14" t="inlineStr">
        <is>
          <t>m²</t>
        </is>
      </c>
      <c r="D14" s="13">
        <f>IF(B14&gt;0,F14/B14,0)</f>
        <v/>
      </c>
      <c r="E14" s="13">
        <f>IF(B14&gt;0,G14/B14,0)</f>
        <v/>
      </c>
      <c r="F14" s="13">
        <f>CUSTOS_MACROGRUPO!$G$12*0.55*0.45</f>
        <v/>
      </c>
      <c r="G14" s="13">
        <f>CUSTOS_MACROGRUPO!$G$12*0.55*0.55</f>
        <v/>
      </c>
      <c r="H14" s="13">
        <f>F14+G14</f>
        <v/>
      </c>
    </row>
    <row r="15">
      <c r="A15" t="inlineStr">
        <is>
          <t>Forro gesso UR</t>
        </is>
      </c>
      <c r="B15" s="13">
        <f>0.2*DADOS_PROJETO!$B$6</f>
        <v/>
      </c>
      <c r="C15" t="inlineStr">
        <is>
          <t>m²</t>
        </is>
      </c>
      <c r="D15" s="13">
        <f>IF(B15&gt;0,F15/B15,0)</f>
        <v/>
      </c>
      <c r="E15" s="13">
        <f>IF(B15&gt;0,G15/B15,0)</f>
        <v/>
      </c>
      <c r="F15" s="13">
        <f>CUSTOS_MACROGRUPO!$G$12*0.3*0.45</f>
        <v/>
      </c>
      <c r="G15" s="13">
        <f>CUSTOS_MACROGRUPO!$G$12*0.3*0.55</f>
        <v/>
      </c>
      <c r="H15" s="13">
        <f>F15+G15</f>
        <v/>
      </c>
    </row>
    <row r="16">
      <c r="A16" t="inlineStr">
        <is>
          <t>Negativo/Tabica</t>
        </is>
      </c>
      <c r="B16" s="13">
        <f>0.1*DADOS_PROJETO!$B$6</f>
        <v/>
      </c>
      <c r="C16" t="inlineStr">
        <is>
          <t>m</t>
        </is>
      </c>
      <c r="D16" s="13">
        <f>IF(B16&gt;0,F16/B16,0)</f>
        <v/>
      </c>
      <c r="E16" s="13">
        <f>IF(B16&gt;0,G16/B16,0)</f>
        <v/>
      </c>
      <c r="F16" s="13">
        <f>CUSTOS_MACROGRUPO!$G$12*0.15*0.45</f>
        <v/>
      </c>
      <c r="G16" s="13">
        <f>CUSTOS_MACROGRUPO!$G$12*0.15*0.55</f>
        <v/>
      </c>
      <c r="H16" s="13">
        <f>F16+G16</f>
        <v/>
      </c>
    </row>
    <row r="17">
      <c r="A17" s="2" t="inlineStr">
        <is>
          <t>TOTAL TETO</t>
        </is>
      </c>
      <c r="F17" s="30">
        <f>SUM(F14:F16)</f>
        <v/>
      </c>
      <c r="G17" s="30">
        <f>SUM(G14:G16)</f>
        <v/>
      </c>
      <c r="H17" s="30">
        <f>F17+G17</f>
        <v/>
      </c>
    </row>
    <row r="19">
      <c r="A19" s="40" t="inlineStr">
        <is>
          <t>PISOS</t>
        </is>
      </c>
    </row>
    <row r="20">
      <c r="A20" s="6" t="inlineStr">
        <is>
          <t>Item</t>
        </is>
      </c>
      <c r="B20" s="6" t="inlineStr">
        <is>
          <t>Qtd</t>
        </is>
      </c>
      <c r="C20" s="6" t="inlineStr">
        <is>
          <t>Un</t>
        </is>
      </c>
      <c r="D20" s="6" t="inlineStr">
        <is>
          <t>PU Material (R$)</t>
        </is>
      </c>
      <c r="E20" s="6" t="inlineStr">
        <is>
          <t>PU MO (R$)</t>
        </is>
      </c>
      <c r="F20" s="6" t="inlineStr">
        <is>
          <t>Total Material (R$)</t>
        </is>
      </c>
      <c r="G20" s="6" t="inlineStr">
        <is>
          <t>Total MO (R$)</t>
        </is>
      </c>
      <c r="H20" s="6" t="inlineStr">
        <is>
          <t>Total (R$)</t>
        </is>
      </c>
    </row>
    <row r="21">
      <c r="A21" t="inlineStr">
        <is>
          <t>Contrapiso</t>
        </is>
      </c>
      <c r="B21" s="13">
        <f>0.85*DADOS_PROJETO!$B$6</f>
        <v/>
      </c>
      <c r="C21" t="inlineStr">
        <is>
          <t>m²</t>
        </is>
      </c>
      <c r="D21" s="13">
        <f>IF(B21&gt;0,F21/B21,0)</f>
        <v/>
      </c>
      <c r="E21" s="13">
        <f>IF(B21&gt;0,G21/B21,0)</f>
        <v/>
      </c>
      <c r="F21" s="13">
        <f>CUSTOS_MACROGRUPO!$G$13*0.2*0.45</f>
        <v/>
      </c>
      <c r="G21" s="13">
        <f>CUSTOS_MACROGRUPO!$G$13*0.2*0.55</f>
        <v/>
      </c>
      <c r="H21" s="13">
        <f>F21+G21</f>
        <v/>
      </c>
    </row>
    <row r="22">
      <c r="A22" t="inlineStr">
        <is>
          <t>Porcelanato piso</t>
        </is>
      </c>
      <c r="B22" s="13">
        <f>0.55*DADOS_PROJETO!$B$6</f>
        <v/>
      </c>
      <c r="C22" t="inlineStr">
        <is>
          <t>m²</t>
        </is>
      </c>
      <c r="D22" s="13">
        <f>IF(B22&gt;0,F22/B22,0)</f>
        <v/>
      </c>
      <c r="E22" s="13">
        <f>IF(B22&gt;0,G22/B22,0)</f>
        <v/>
      </c>
      <c r="F22" s="13">
        <f>CUSTOS_MACROGRUPO!$G$13*0.45*0.45</f>
        <v/>
      </c>
      <c r="G22" s="13">
        <f>CUSTOS_MACROGRUPO!$G$13*0.45*0.55</f>
        <v/>
      </c>
      <c r="H22" s="13">
        <f>F22+G22</f>
        <v/>
      </c>
    </row>
    <row r="23">
      <c r="A23" t="inlineStr">
        <is>
          <t>Cerâmico piso</t>
        </is>
      </c>
      <c r="B23" s="13">
        <f>0.15*DADOS_PROJETO!$B$6</f>
        <v/>
      </c>
      <c r="C23" t="inlineStr">
        <is>
          <t>m²</t>
        </is>
      </c>
      <c r="D23" s="13">
        <f>IF(B23&gt;0,F23/B23,0)</f>
        <v/>
      </c>
      <c r="E23" s="13">
        <f>IF(B23&gt;0,G23/B23,0)</f>
        <v/>
      </c>
      <c r="F23" s="13">
        <f>CUSTOS_MACROGRUPO!$G$13*0.1*0.45</f>
        <v/>
      </c>
      <c r="G23" s="13">
        <f>CUSTOS_MACROGRUPO!$G$13*0.1*0.55</f>
        <v/>
      </c>
      <c r="H23" s="13">
        <f>F23+G23</f>
        <v/>
      </c>
    </row>
    <row r="24">
      <c r="A24" t="inlineStr">
        <is>
          <t>Rodapé</t>
        </is>
      </c>
      <c r="B24" s="13">
        <f>0.4*DADOS_PROJETO!$B$6</f>
        <v/>
      </c>
      <c r="C24" t="inlineStr">
        <is>
          <t>m</t>
        </is>
      </c>
      <c r="D24" s="13">
        <f>IF(B24&gt;0,F24/B24,0)</f>
        <v/>
      </c>
      <c r="E24" s="13">
        <f>IF(B24&gt;0,G24/B24,0)</f>
        <v/>
      </c>
      <c r="F24" s="13">
        <f>CUSTOS_MACROGRUPO!$G$13*0.1*0.45</f>
        <v/>
      </c>
      <c r="G24" s="13">
        <f>CUSTOS_MACROGRUPO!$G$13*0.1*0.55</f>
        <v/>
      </c>
      <c r="H24" s="13">
        <f>F24+G24</f>
        <v/>
      </c>
    </row>
    <row r="25">
      <c r="A25" t="inlineStr">
        <is>
          <t>Soleira/peitoril</t>
        </is>
      </c>
      <c r="B25" s="13">
        <f>0.08*DADOS_PROJETO!$B$6</f>
        <v/>
      </c>
      <c r="C25" t="inlineStr">
        <is>
          <t>m²</t>
        </is>
      </c>
      <c r="D25" s="13">
        <f>IF(B25&gt;0,F25/B25,0)</f>
        <v/>
      </c>
      <c r="E25" s="13">
        <f>IF(B25&gt;0,G25/B25,0)</f>
        <v/>
      </c>
      <c r="F25" s="13">
        <f>CUSTOS_MACROGRUPO!$G$13*0.05*0.45</f>
        <v/>
      </c>
      <c r="G25" s="13">
        <f>CUSTOS_MACROGRUPO!$G$13*0.05*0.55</f>
        <v/>
      </c>
      <c r="H25" s="13">
        <f>F25+G25</f>
        <v/>
      </c>
    </row>
    <row r="26">
      <c r="A26" t="inlineStr">
        <is>
          <t>Outros</t>
        </is>
      </c>
      <c r="C26" t="inlineStr">
        <is>
          <t>m²</t>
        </is>
      </c>
      <c r="F26" s="13">
        <f>CUSTOS_MACROGRUPO!$G$13*0.1*0.45</f>
        <v/>
      </c>
      <c r="G26" s="13">
        <f>CUSTOS_MACROGRUPO!$G$13*0.1*0.55</f>
        <v/>
      </c>
      <c r="H26" s="13">
        <f>F26+G26</f>
        <v/>
      </c>
    </row>
    <row r="27">
      <c r="A27" s="2" t="inlineStr">
        <is>
          <t>TOTAL PISOS</t>
        </is>
      </c>
      <c r="F27" s="30">
        <f>SUM(F21:F26)</f>
        <v/>
      </c>
      <c r="G27" s="30">
        <f>SUM(G21:G26)</f>
        <v/>
      </c>
      <c r="H27" s="30">
        <f>F27+G27</f>
        <v/>
      </c>
    </row>
    <row r="29">
      <c r="A29" s="27" t="inlineStr">
        <is>
          <t>PINTURA</t>
        </is>
      </c>
    </row>
    <row r="30">
      <c r="A30" s="6" t="inlineStr">
        <is>
          <t>Item</t>
        </is>
      </c>
      <c r="B30" s="6" t="inlineStr">
        <is>
          <t>Qtd</t>
        </is>
      </c>
      <c r="C30" s="6" t="inlineStr">
        <is>
          <t>Un</t>
        </is>
      </c>
      <c r="D30" s="6" t="inlineStr">
        <is>
          <t>PU Material (R$)</t>
        </is>
      </c>
      <c r="E30" s="6" t="inlineStr">
        <is>
          <t>PU MO (R$)</t>
        </is>
      </c>
      <c r="F30" s="6" t="inlineStr">
        <is>
          <t>Total Material (R$)</t>
        </is>
      </c>
      <c r="G30" s="6" t="inlineStr">
        <is>
          <t>Total MO (R$)</t>
        </is>
      </c>
      <c r="H30" s="6" t="inlineStr">
        <is>
          <t>Total (R$)</t>
        </is>
      </c>
    </row>
    <row r="31">
      <c r="A31" t="inlineStr">
        <is>
          <t>Pintura parede (PVA/acrílica)</t>
        </is>
      </c>
      <c r="B31" s="13">
        <f>2.2*DADOS_PROJETO!$B$6</f>
        <v/>
      </c>
      <c r="C31" t="inlineStr">
        <is>
          <t>m²</t>
        </is>
      </c>
      <c r="D31" s="13">
        <f>IF(B31&gt;0,F31/B31,0)</f>
        <v/>
      </c>
      <c r="E31" s="13">
        <f>IF(B31&gt;0,G31/B31,0)</f>
        <v/>
      </c>
      <c r="F31" s="13">
        <f>CUSTOS_MACROGRUPO!$G$14*0.55*0.45</f>
        <v/>
      </c>
      <c r="G31" s="13">
        <f>CUSTOS_MACROGRUPO!$G$14*0.55*0.55</f>
        <v/>
      </c>
      <c r="H31" s="13">
        <f>F31+G31</f>
        <v/>
      </c>
    </row>
    <row r="32">
      <c r="A32" t="inlineStr">
        <is>
          <t>Pintura teto</t>
        </is>
      </c>
      <c r="B32" s="13">
        <f>0.7*DADOS_PROJETO!$B$6</f>
        <v/>
      </c>
      <c r="C32" t="inlineStr">
        <is>
          <t>m²</t>
        </is>
      </c>
      <c r="D32" s="13">
        <f>IF(B32&gt;0,F32/B32,0)</f>
        <v/>
      </c>
      <c r="E32" s="13">
        <f>IF(B32&gt;0,G32/B32,0)</f>
        <v/>
      </c>
      <c r="F32" s="13">
        <f>CUSTOS_MACROGRUPO!$G$14*0.25*0.45</f>
        <v/>
      </c>
      <c r="G32" s="13">
        <f>CUSTOS_MACROGRUPO!$G$14*0.25*0.55</f>
        <v/>
      </c>
      <c r="H32" s="13">
        <f>F32+G32</f>
        <v/>
      </c>
    </row>
    <row r="33">
      <c r="A33" t="inlineStr">
        <is>
          <t>Textura/Grafiato</t>
        </is>
      </c>
      <c r="B33" s="13">
        <f>0.15*DADOS_PROJETO!$B$6</f>
        <v/>
      </c>
      <c r="C33" t="inlineStr">
        <is>
          <t>m²</t>
        </is>
      </c>
      <c r="D33" s="13">
        <f>IF(B33&gt;0,F33/B33,0)</f>
        <v/>
      </c>
      <c r="E33" s="13">
        <f>IF(B33&gt;0,G33/B33,0)</f>
        <v/>
      </c>
      <c r="F33" s="13">
        <f>CUSTOS_MACROGRUPO!$G$14*0.1*0.45</f>
        <v/>
      </c>
      <c r="G33" s="13">
        <f>CUSTOS_MACROGRUPO!$G$14*0.1*0.55</f>
        <v/>
      </c>
      <c r="H33" s="13">
        <f>F33+G33</f>
        <v/>
      </c>
    </row>
    <row r="34">
      <c r="A34" t="inlineStr">
        <is>
          <t>Verniz/Epóxi</t>
        </is>
      </c>
      <c r="B34" s="13">
        <f>0.05*DADOS_PROJETO!$B$6</f>
        <v/>
      </c>
      <c r="C34" t="inlineStr">
        <is>
          <t>m²</t>
        </is>
      </c>
      <c r="D34" s="13">
        <f>IF(B34&gt;0,F34/B34,0)</f>
        <v/>
      </c>
      <c r="E34" s="13">
        <f>IF(B34&gt;0,G34/B34,0)</f>
        <v/>
      </c>
      <c r="F34" s="13">
        <f>CUSTOS_MACROGRUPO!$G$14*0.1*0.45</f>
        <v/>
      </c>
      <c r="G34" s="13">
        <f>CUSTOS_MACROGRUPO!$G$14*0.1*0.55</f>
        <v/>
      </c>
      <c r="H34" s="13">
        <f>F34+G34</f>
        <v/>
      </c>
    </row>
    <row r="35">
      <c r="A35" s="2" t="inlineStr">
        <is>
          <t>TOTAL PINTURA</t>
        </is>
      </c>
      <c r="F35" s="30">
        <f>SUM(F31:F34)</f>
        <v/>
      </c>
      <c r="G35" s="30">
        <f>SUM(G31:G34)</f>
        <v/>
      </c>
      <c r="H35" s="30">
        <f>F35+G35</f>
        <v/>
      </c>
    </row>
    <row r="37">
      <c r="A37" s="44" t="inlineStr">
        <is>
          <t>ESQUADRIAS</t>
        </is>
      </c>
    </row>
    <row r="38">
      <c r="A38" s="6" t="inlineStr">
        <is>
          <t>Item</t>
        </is>
      </c>
      <c r="B38" s="6" t="inlineStr">
        <is>
          <t>Qtd</t>
        </is>
      </c>
      <c r="C38" s="6" t="inlineStr">
        <is>
          <t>Un</t>
        </is>
      </c>
      <c r="D38" s="6" t="inlineStr">
        <is>
          <t>PU Material (R$)</t>
        </is>
      </c>
      <c r="E38" s="6" t="inlineStr">
        <is>
          <t>PU MO (R$)</t>
        </is>
      </c>
      <c r="F38" s="6" t="inlineStr">
        <is>
          <t>Total Material (R$)</t>
        </is>
      </c>
      <c r="G38" s="6" t="inlineStr">
        <is>
          <t>Total MO (R$)</t>
        </is>
      </c>
      <c r="H38" s="6" t="inlineStr">
        <is>
          <t>Total (R$)</t>
        </is>
      </c>
    </row>
    <row r="39">
      <c r="A39" t="inlineStr">
        <is>
          <t>Janelas alumínio</t>
        </is>
      </c>
      <c r="B39" s="13">
        <f>0.12*DADOS_PROJETO!$B$6</f>
        <v/>
      </c>
      <c r="C39" t="inlineStr">
        <is>
          <t>m²</t>
        </is>
      </c>
      <c r="D39" s="13">
        <f>IF(B39&gt;0,F39/B39,0)</f>
        <v/>
      </c>
      <c r="E39" s="13">
        <f>IF(B39&gt;0,G39/B39,0)</f>
        <v/>
      </c>
      <c r="F39" s="13">
        <f>CUSTOS_MACROGRUPO!$G$15*0.35*0.45</f>
        <v/>
      </c>
      <c r="G39" s="13">
        <f>CUSTOS_MACROGRUPO!$G$15*0.35*0.55</f>
        <v/>
      </c>
      <c r="H39" s="13">
        <f>F39+G39</f>
        <v/>
      </c>
    </row>
    <row r="40">
      <c r="A40" t="inlineStr">
        <is>
          <t>Portas internas</t>
        </is>
      </c>
      <c r="B40" s="13">
        <f>0.08*DADOS_PROJETO!$B$6</f>
        <v/>
      </c>
      <c r="C40" t="inlineStr">
        <is>
          <t>un</t>
        </is>
      </c>
      <c r="D40" s="13">
        <f>IF(B40&gt;0,F40/B40,0)</f>
        <v/>
      </c>
      <c r="E40" s="13">
        <f>IF(B40&gt;0,G40/B40,0)</f>
        <v/>
      </c>
      <c r="F40" s="13">
        <f>CUSTOS_MACROGRUPO!$G$15*0.25*0.45</f>
        <v/>
      </c>
      <c r="G40" s="13">
        <f>CUSTOS_MACROGRUPO!$G$15*0.25*0.55</f>
        <v/>
      </c>
      <c r="H40" s="13">
        <f>F40+G40</f>
        <v/>
      </c>
    </row>
    <row r="41">
      <c r="A41" t="inlineStr">
        <is>
          <t>Porta entrada</t>
        </is>
      </c>
      <c r="C41" t="inlineStr">
        <is>
          <t>un</t>
        </is>
      </c>
      <c r="F41" s="13">
        <f>CUSTOS_MACROGRUPO!$G$15*0.1*0.45</f>
        <v/>
      </c>
      <c r="G41" s="13">
        <f>CUSTOS_MACROGRUPO!$G$15*0.1*0.55</f>
        <v/>
      </c>
      <c r="H41" s="13">
        <f>F41+G41</f>
        <v/>
      </c>
    </row>
    <row r="42">
      <c r="A42" t="inlineStr">
        <is>
          <t>Vidros</t>
        </is>
      </c>
      <c r="B42" s="13">
        <f>0.15*DADOS_PROJETO!$B$6</f>
        <v/>
      </c>
      <c r="C42" t="inlineStr">
        <is>
          <t>m²</t>
        </is>
      </c>
      <c r="D42" s="13">
        <f>IF(B42&gt;0,F42/B42,0)</f>
        <v/>
      </c>
      <c r="E42" s="13">
        <f>IF(B42&gt;0,G42/B42,0)</f>
        <v/>
      </c>
      <c r="F42" s="13">
        <f>CUSTOS_MACROGRUPO!$G$15*0.2*0.45</f>
        <v/>
      </c>
      <c r="G42" s="13">
        <f>CUSTOS_MACROGRUPO!$G$15*0.2*0.55</f>
        <v/>
      </c>
      <c r="H42" s="13">
        <f>F42+G42</f>
        <v/>
      </c>
    </row>
    <row r="43">
      <c r="A43" t="inlineStr">
        <is>
          <t>Guarda-corpo</t>
        </is>
      </c>
      <c r="B43" s="13">
        <f>0.03*DADOS_PROJETO!$B$6</f>
        <v/>
      </c>
      <c r="C43" t="inlineStr">
        <is>
          <t>m²</t>
        </is>
      </c>
      <c r="D43" s="13">
        <f>IF(B43&gt;0,F43/B43,0)</f>
        <v/>
      </c>
      <c r="E43" s="13">
        <f>IF(B43&gt;0,G43/B43,0)</f>
        <v/>
      </c>
      <c r="F43" s="13">
        <f>CUSTOS_MACROGRUPO!$G$15*0.1*0.45</f>
        <v/>
      </c>
      <c r="G43" s="13">
        <f>CUSTOS_MACROGRUPO!$G$15*0.1*0.55</f>
        <v/>
      </c>
      <c r="H43" s="13">
        <f>F43+G43</f>
        <v/>
      </c>
    </row>
    <row r="44">
      <c r="A44" s="2" t="inlineStr">
        <is>
          <t>TOTAL ESQUADRIAS</t>
        </is>
      </c>
      <c r="F44" s="30">
        <f>SUM(F39:F43)</f>
        <v/>
      </c>
      <c r="G44" s="30">
        <f>SUM(G39:G43)</f>
        <v/>
      </c>
      <c r="H44" s="30">
        <f>F44+G44</f>
        <v/>
      </c>
    </row>
    <row r="46">
      <c r="A46" s="45" t="inlineStr">
        <is>
          <t>FACHADA</t>
        </is>
      </c>
    </row>
    <row r="47">
      <c r="A47" s="6" t="inlineStr">
        <is>
          <t>Item</t>
        </is>
      </c>
      <c r="B47" s="6" t="inlineStr">
        <is>
          <t>Qtd</t>
        </is>
      </c>
      <c r="C47" s="6" t="inlineStr">
        <is>
          <t>Un</t>
        </is>
      </c>
      <c r="D47" s="6" t="inlineStr">
        <is>
          <t>PU Material (R$)</t>
        </is>
      </c>
      <c r="E47" s="6" t="inlineStr">
        <is>
          <t>PU MO (R$)</t>
        </is>
      </c>
      <c r="F47" s="6" t="inlineStr">
        <is>
          <t>Total Material (R$)</t>
        </is>
      </c>
      <c r="G47" s="6" t="inlineStr">
        <is>
          <t>Total MO (R$)</t>
        </is>
      </c>
      <c r="H47" s="6" t="inlineStr">
        <is>
          <t>Total (R$)</t>
        </is>
      </c>
    </row>
    <row r="48">
      <c r="A48" t="inlineStr">
        <is>
          <t>Chapisco externo</t>
        </is>
      </c>
      <c r="B48" s="13">
        <f>0.45*DADOS_PROJETO!$B$6</f>
        <v/>
      </c>
      <c r="C48" t="inlineStr">
        <is>
          <t>m²</t>
        </is>
      </c>
      <c r="D48" s="13">
        <f>IF(B48&gt;0,F48/B48,0)</f>
        <v/>
      </c>
      <c r="E48" s="13">
        <f>IF(B48&gt;0,G48/B48,0)</f>
        <v/>
      </c>
      <c r="F48" s="13">
        <f>CUSTOS_MACROGRUPO!$G$17*0.1*0.45</f>
        <v/>
      </c>
      <c r="G48" s="13">
        <f>CUSTOS_MACROGRUPO!$G$17*0.1*0.55</f>
        <v/>
      </c>
      <c r="H48" s="13">
        <f>F48+G48</f>
        <v/>
      </c>
    </row>
    <row r="49">
      <c r="A49" t="inlineStr">
        <is>
          <t>Reboco externo</t>
        </is>
      </c>
      <c r="B49" s="13">
        <f>0.45*DADOS_PROJETO!$B$6</f>
        <v/>
      </c>
      <c r="C49" t="inlineStr">
        <is>
          <t>m²</t>
        </is>
      </c>
      <c r="D49" s="13">
        <f>IF(B49&gt;0,F49/B49,0)</f>
        <v/>
      </c>
      <c r="E49" s="13">
        <f>IF(B49&gt;0,G49/B49,0)</f>
        <v/>
      </c>
      <c r="F49" s="13">
        <f>CUSTOS_MACROGRUPO!$G$17*0.2*0.45</f>
        <v/>
      </c>
      <c r="G49" s="13">
        <f>CUSTOS_MACROGRUPO!$G$17*0.2*0.55</f>
        <v/>
      </c>
      <c r="H49" s="13">
        <f>F49+G49</f>
        <v/>
      </c>
    </row>
    <row r="50">
      <c r="A50" t="inlineStr">
        <is>
          <t>Textura/acabamento</t>
        </is>
      </c>
      <c r="B50" s="13">
        <f>0.45*DADOS_PROJETO!$B$6</f>
        <v/>
      </c>
      <c r="C50" t="inlineStr">
        <is>
          <t>m²</t>
        </is>
      </c>
      <c r="D50" s="13">
        <f>IF(B50&gt;0,F50/B50,0)</f>
        <v/>
      </c>
      <c r="E50" s="13">
        <f>IF(B50&gt;0,G50/B50,0)</f>
        <v/>
      </c>
      <c r="F50" s="13">
        <f>CUSTOS_MACROGRUPO!$G$17*0.4*0.45</f>
        <v/>
      </c>
      <c r="G50" s="13">
        <f>CUSTOS_MACROGRUPO!$G$17*0.4*0.55</f>
        <v/>
      </c>
      <c r="H50" s="13">
        <f>F50+G50</f>
        <v/>
      </c>
    </row>
    <row r="51">
      <c r="A51" t="inlineStr">
        <is>
          <t>Detalhes/frisos</t>
        </is>
      </c>
      <c r="C51" t="inlineStr">
        <is>
          <t>m²</t>
        </is>
      </c>
      <c r="F51" s="13">
        <f>CUSTOS_MACROGRUPO!$G$17*0.15*0.45</f>
        <v/>
      </c>
      <c r="G51" s="13">
        <f>CUSTOS_MACROGRUPO!$G$17*0.15*0.55</f>
        <v/>
      </c>
      <c r="H51" s="13">
        <f>F51+G51</f>
        <v/>
      </c>
    </row>
    <row r="52">
      <c r="A52" t="inlineStr">
        <is>
          <t>Selantes/juntas</t>
        </is>
      </c>
      <c r="C52" t="inlineStr">
        <is>
          <t>m²</t>
        </is>
      </c>
      <c r="F52" s="13">
        <f>CUSTOS_MACROGRUPO!$G$17*0.15*0.45</f>
        <v/>
      </c>
      <c r="G52" s="13">
        <f>CUSTOS_MACROGRUPO!$G$17*0.15*0.55</f>
        <v/>
      </c>
      <c r="H52" s="13">
        <f>F52+G52</f>
        <v/>
      </c>
    </row>
    <row r="53">
      <c r="A53" s="2" t="inlineStr">
        <is>
          <t>TOTAL FACHADA</t>
        </is>
      </c>
      <c r="F53" s="30">
        <f>SUM(F48:F52)</f>
        <v/>
      </c>
      <c r="G53" s="30">
        <f>SUM(G48:G52)</f>
        <v/>
      </c>
      <c r="H53" s="30">
        <f>F53+G53</f>
        <v/>
      </c>
    </row>
  </sheetData>
  <mergeCells count="7">
    <mergeCell ref="A12:H12"/>
    <mergeCell ref="A3:H3"/>
    <mergeCell ref="A46:H46"/>
    <mergeCell ref="A29:H29"/>
    <mergeCell ref="A19:H19"/>
    <mergeCell ref="A1:H1"/>
    <mergeCell ref="A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CUSTOS INDIRETOS DETALHADOS</t>
        </is>
      </c>
    </row>
    <row r="3">
      <c r="A3" s="41" t="inlineStr">
        <is>
          <t>PROJETOS E CONSULTORIAS (25%)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/>
      <c r="F4" s="6" t="inlineStr"/>
    </row>
    <row r="5">
      <c r="A5" t="inlineStr">
        <is>
          <t>Arquitetônico</t>
        </is>
      </c>
      <c r="B5" s="28" t="n">
        <v>0.25</v>
      </c>
      <c r="C5" s="13">
        <f>CUSTOS_MACROGRUPO!$G$2*0.25*B5</f>
        <v/>
      </c>
      <c r="D5" s="13">
        <f>C5/DADOS_PROJETO!$B$6</f>
        <v/>
      </c>
    </row>
    <row r="6">
      <c r="A6" t="inlineStr">
        <is>
          <t>Estrutural</t>
        </is>
      </c>
      <c r="B6" s="28" t="n">
        <v>0.2</v>
      </c>
      <c r="C6" s="13">
        <f>CUSTOS_MACROGRUPO!$G$2*0.25*B6</f>
        <v/>
      </c>
      <c r="D6" s="13">
        <f>C6/DADOS_PROJETO!$B$6</f>
        <v/>
      </c>
    </row>
    <row r="7">
      <c r="A7" t="inlineStr">
        <is>
          <t>Elétrico</t>
        </is>
      </c>
      <c r="B7" s="28" t="n">
        <v>0.12</v>
      </c>
      <c r="C7" s="13">
        <f>CUSTOS_MACROGRUPO!$G$2*0.25*B7</f>
        <v/>
      </c>
      <c r="D7" s="13">
        <f>C7/DADOS_PROJETO!$B$6</f>
        <v/>
      </c>
    </row>
    <row r="8">
      <c r="A8" t="inlineStr">
        <is>
          <t>Hidrossanitário</t>
        </is>
      </c>
      <c r="B8" s="28" t="n">
        <v>0.12</v>
      </c>
      <c r="C8" s="13">
        <f>CUSTOS_MACROGRUPO!$G$2*0.25*B8</f>
        <v/>
      </c>
      <c r="D8" s="13">
        <f>C8/DADOS_PROJETO!$B$6</f>
        <v/>
      </c>
    </row>
    <row r="9">
      <c r="A9" t="inlineStr">
        <is>
          <t>Preventivo</t>
        </is>
      </c>
      <c r="B9" s="28" t="n">
        <v>0.08</v>
      </c>
      <c r="C9" s="13">
        <f>CUSTOS_MACROGRUPO!$G$2*0.25*B9</f>
        <v/>
      </c>
      <c r="D9" s="13">
        <f>C9/DADOS_PROJETO!$B$6</f>
        <v/>
      </c>
    </row>
    <row r="10">
      <c r="A10" t="inlineStr">
        <is>
          <t>Climatização</t>
        </is>
      </c>
      <c r="B10" s="28" t="n">
        <v>0.05</v>
      </c>
      <c r="C10" s="13">
        <f>CUSTOS_MACROGRUPO!$G$2*0.25*B10</f>
        <v/>
      </c>
      <c r="D10" s="13">
        <f>C10/DADOS_PROJETO!$B$6</f>
        <v/>
      </c>
    </row>
    <row r="11">
      <c r="A11" t="inlineStr">
        <is>
          <t>Paisagismo</t>
        </is>
      </c>
      <c r="B11" s="28" t="n">
        <v>0.05</v>
      </c>
      <c r="C11" s="13">
        <f>CUSTOS_MACROGRUPO!$G$2*0.25*B11</f>
        <v/>
      </c>
      <c r="D11" s="13">
        <f>C11/DADOS_PROJETO!$B$6</f>
        <v/>
      </c>
    </row>
    <row r="12">
      <c r="A12" t="inlineStr">
        <is>
          <t>Interiores</t>
        </is>
      </c>
      <c r="B12" s="28" t="n">
        <v>0.05</v>
      </c>
      <c r="C12" s="13">
        <f>CUSTOS_MACROGRUPO!$G$2*0.25*B12</f>
        <v/>
      </c>
      <c r="D12" s="13">
        <f>C12/DADOS_PROJETO!$B$6</f>
        <v/>
      </c>
    </row>
    <row r="13">
      <c r="A13" t="inlineStr">
        <is>
          <t>Fundações</t>
        </is>
      </c>
      <c r="B13" s="28" t="n">
        <v>0.03</v>
      </c>
      <c r="C13" s="13">
        <f>CUSTOS_MACROGRUPO!$G$2*0.25*B13</f>
        <v/>
      </c>
      <c r="D13" s="13">
        <f>C13/DADOS_PROJETO!$B$6</f>
        <v/>
      </c>
    </row>
    <row r="14">
      <c r="A14" t="inlineStr">
        <is>
          <t>Outros</t>
        </is>
      </c>
      <c r="B14" s="28" t="n">
        <v>0.05</v>
      </c>
      <c r="C14" s="13">
        <f>CUSTOS_MACROGRUPO!$G$2*0.25*B14</f>
        <v/>
      </c>
      <c r="D14" s="13">
        <f>C14/DADOS_PROJETO!$B$6</f>
        <v/>
      </c>
    </row>
    <row r="15">
      <c r="A15" s="2" t="inlineStr">
        <is>
          <t>TOTAL PROJETOS</t>
        </is>
      </c>
      <c r="C15" s="30">
        <f>SUM(C5:C14)</f>
        <v/>
      </c>
      <c r="D15" s="30">
        <f>C15/DADOS_PROJETO!$B$6</f>
        <v/>
      </c>
    </row>
    <row r="17">
      <c r="A17" s="27" t="inlineStr">
        <is>
          <t>TAXAS E LICENÇAS (5%)</t>
        </is>
      </c>
    </row>
    <row r="18">
      <c r="A18" s="6" t="inlineStr">
        <is>
          <t>Disciplina</t>
        </is>
      </c>
      <c r="B18" s="6" t="inlineStr">
        <is>
          <t>Peso %</t>
        </is>
      </c>
      <c r="C18" s="6" t="inlineStr">
        <is>
          <t>Valor (R$)</t>
        </is>
      </c>
      <c r="D18" s="6" t="inlineStr">
        <is>
          <t>R$/m²</t>
        </is>
      </c>
      <c r="E18" s="6" t="inlineStr"/>
      <c r="F18" s="6" t="inlineStr"/>
    </row>
    <row r="19">
      <c r="A19" t="inlineStr">
        <is>
          <t>Alvará</t>
        </is>
      </c>
      <c r="B19" s="28" t="n">
        <v>0.25</v>
      </c>
      <c r="C19" s="13">
        <f>CUSTOS_MACROGRUPO!$G$2*0.05*B19</f>
        <v/>
      </c>
      <c r="D19" s="13">
        <f>C19/DADOS_PROJETO!$B$6</f>
        <v/>
      </c>
    </row>
    <row r="20">
      <c r="A20" t="inlineStr">
        <is>
          <t>ARTs/RRTs</t>
        </is>
      </c>
      <c r="B20" s="28" t="n">
        <v>0.2</v>
      </c>
      <c r="C20" s="13">
        <f>CUSTOS_MACROGRUPO!$G$2*0.05*B20</f>
        <v/>
      </c>
      <c r="D20" s="13">
        <f>C20/DADOS_PROJETO!$B$6</f>
        <v/>
      </c>
    </row>
    <row r="21">
      <c r="A21" t="inlineStr">
        <is>
          <t>Bombeiros</t>
        </is>
      </c>
      <c r="B21" s="28" t="n">
        <v>0.2</v>
      </c>
      <c r="C21" s="13">
        <f>CUSTOS_MACROGRUPO!$G$2*0.05*B21</f>
        <v/>
      </c>
      <c r="D21" s="13">
        <f>C21/DADOS_PROJETO!$B$6</f>
        <v/>
      </c>
    </row>
    <row r="22">
      <c r="A22" t="inlineStr">
        <is>
          <t>Habite-se</t>
        </is>
      </c>
      <c r="B22" s="28" t="n">
        <v>0.15</v>
      </c>
      <c r="C22" s="13">
        <f>CUSTOS_MACROGRUPO!$G$2*0.05*B22</f>
        <v/>
      </c>
      <c r="D22" s="13">
        <f>C22/DADOS_PROJETO!$B$6</f>
        <v/>
      </c>
    </row>
    <row r="23">
      <c r="A23" t="inlineStr">
        <is>
          <t>Registro Incorporação</t>
        </is>
      </c>
      <c r="B23" s="28" t="n">
        <v>0.1</v>
      </c>
      <c r="C23" s="13">
        <f>CUSTOS_MACROGRUPO!$G$2*0.05*B23</f>
        <v/>
      </c>
      <c r="D23" s="13">
        <f>C23/DADOS_PROJETO!$B$6</f>
        <v/>
      </c>
    </row>
    <row r="24">
      <c r="A24" t="inlineStr">
        <is>
          <t>Outras</t>
        </is>
      </c>
      <c r="B24" s="28" t="n">
        <v>0.1</v>
      </c>
      <c r="C24" s="13">
        <f>CUSTOS_MACROGRUPO!$G$2*0.05*B24</f>
        <v/>
      </c>
      <c r="D24" s="13">
        <f>C24/DADOS_PROJETO!$B$6</f>
        <v/>
      </c>
    </row>
    <row r="25">
      <c r="A25" s="2" t="inlineStr">
        <is>
          <t>TOTAL TAXAS</t>
        </is>
      </c>
      <c r="C25" s="30">
        <f>SUM(C19:C24)</f>
        <v/>
      </c>
      <c r="D25" s="30">
        <f>C25/DADOS_PROJETO!$B$6</f>
        <v/>
      </c>
    </row>
    <row r="27">
      <c r="A27" s="44" t="inlineStr">
        <is>
          <t>EQUIPE ADM (40%)</t>
        </is>
      </c>
    </row>
    <row r="28">
      <c r="A28" s="6" t="inlineStr">
        <is>
          <t>Função</t>
        </is>
      </c>
      <c r="B28" s="6" t="inlineStr">
        <is>
          <t>Peso %</t>
        </is>
      </c>
      <c r="C28" s="6" t="inlineStr">
        <is>
          <t>Valor (R$)</t>
        </is>
      </c>
      <c r="D28" s="6" t="inlineStr">
        <is>
          <t>Custo/mês (R$)</t>
        </is>
      </c>
      <c r="E28" s="6" t="inlineStr">
        <is>
          <t>Qtd</t>
        </is>
      </c>
      <c r="F28" s="6" t="inlineStr"/>
    </row>
    <row r="29">
      <c r="A29" t="inlineStr">
        <is>
          <t>Eng. Residente</t>
        </is>
      </c>
      <c r="B29" s="28" t="n">
        <v>0.3</v>
      </c>
      <c r="C29" s="13">
        <f>CUSTOS_MACROGRUPO!$G$2*0.40*B29</f>
        <v/>
      </c>
      <c r="D29" s="13">
        <f>C29/DADOS_PROJETO!$B$17</f>
        <v/>
      </c>
      <c r="E29" t="n">
        <v>1</v>
      </c>
    </row>
    <row r="30">
      <c r="A30" t="inlineStr">
        <is>
          <t>Mestre de Obras</t>
        </is>
      </c>
      <c r="B30" s="28" t="n">
        <v>0.25</v>
      </c>
      <c r="C30" s="13">
        <f>CUSTOS_MACROGRUPO!$G$2*0.40*B30</f>
        <v/>
      </c>
      <c r="D30" s="13">
        <f>C30/DADOS_PROJETO!$B$17</f>
        <v/>
      </c>
      <c r="E30" t="n">
        <v>1</v>
      </c>
    </row>
    <row r="31">
      <c r="A31" t="inlineStr">
        <is>
          <t>Almoxarife</t>
        </is>
      </c>
      <c r="B31" s="28" t="n">
        <v>0.12</v>
      </c>
      <c r="C31" s="13">
        <f>CUSTOS_MACROGRUPO!$G$2*0.40*B31</f>
        <v/>
      </c>
      <c r="D31" s="13">
        <f>C31/DADOS_PROJETO!$B$17</f>
        <v/>
      </c>
      <c r="E31" t="n">
        <v>1</v>
      </c>
    </row>
    <row r="32">
      <c r="A32" t="inlineStr">
        <is>
          <t>Téc. Segurança</t>
        </is>
      </c>
      <c r="B32" s="28" t="n">
        <v>0.12</v>
      </c>
      <c r="C32" s="13">
        <f>CUSTOS_MACROGRUPO!$G$2*0.40*B32</f>
        <v/>
      </c>
      <c r="D32" s="13">
        <f>C32/DADOS_PROJETO!$B$17</f>
        <v/>
      </c>
      <c r="E32" t="n">
        <v>1</v>
      </c>
    </row>
    <row r="33">
      <c r="A33" t="inlineStr">
        <is>
          <t>Admin. Obra</t>
        </is>
      </c>
      <c r="B33" s="28" t="n">
        <v>0.12</v>
      </c>
      <c r="C33" s="13">
        <f>CUSTOS_MACROGRUPO!$G$2*0.40*B33</f>
        <v/>
      </c>
      <c r="D33" s="13">
        <f>C33/DADOS_PROJETO!$B$17</f>
        <v/>
      </c>
      <c r="E33" t="n">
        <v>1</v>
      </c>
    </row>
    <row r="34">
      <c r="A34" t="inlineStr">
        <is>
          <t>Estagiários</t>
        </is>
      </c>
      <c r="B34" s="28" t="n">
        <v>0.09</v>
      </c>
      <c r="C34" s="13">
        <f>CUSTOS_MACROGRUPO!$G$2*0.40*B34</f>
        <v/>
      </c>
      <c r="D34" s="13">
        <f>C34/DADOS_PROJETO!$B$17</f>
        <v/>
      </c>
      <c r="E34" t="n">
        <v>2</v>
      </c>
    </row>
    <row r="35">
      <c r="A35" s="2" t="inlineStr">
        <is>
          <t>TOTAL EQUIPE ADM</t>
        </is>
      </c>
      <c r="C35" s="30">
        <f>SUM(C29:C34)</f>
        <v/>
      </c>
      <c r="D35" s="30">
        <f>C35/DADOS_PROJETO!$B$17</f>
        <v/>
      </c>
    </row>
    <row r="37">
      <c r="A37" s="46" t="inlineStr">
        <is>
          <t>EPCs (15%)</t>
        </is>
      </c>
    </row>
    <row r="38">
      <c r="A38" s="6" t="inlineStr">
        <is>
          <t>Disciplina</t>
        </is>
      </c>
      <c r="B38" s="6" t="inlineStr">
        <is>
          <t>Peso %</t>
        </is>
      </c>
      <c r="C38" s="6" t="inlineStr">
        <is>
          <t>Valor (R$)</t>
        </is>
      </c>
      <c r="D38" s="6" t="inlineStr">
        <is>
          <t>R$/m²</t>
        </is>
      </c>
      <c r="E38" s="6" t="inlineStr"/>
      <c r="F38" s="6" t="inlineStr"/>
    </row>
    <row r="39">
      <c r="A39" t="inlineStr">
        <is>
          <t>Bandeja proteção</t>
        </is>
      </c>
      <c r="B39" s="28" t="n">
        <v>0.25</v>
      </c>
      <c r="C39" s="13">
        <f>CUSTOS_MACROGRUPO!$G$2*0.15*B39</f>
        <v/>
      </c>
      <c r="D39" s="13">
        <f>C39/DADOS_PROJETO!$B$6</f>
        <v/>
      </c>
    </row>
    <row r="40">
      <c r="A40" t="inlineStr">
        <is>
          <t>Guarda-corpo</t>
        </is>
      </c>
      <c r="B40" s="28" t="n">
        <v>0.25</v>
      </c>
      <c r="C40" s="13">
        <f>CUSTOS_MACROGRUPO!$G$2*0.15*B40</f>
        <v/>
      </c>
      <c r="D40" s="13">
        <f>C40/DADOS_PROJETO!$B$6</f>
        <v/>
      </c>
    </row>
    <row r="41">
      <c r="A41" t="inlineStr">
        <is>
          <t>Tela proteção</t>
        </is>
      </c>
      <c r="B41" s="28" t="n">
        <v>0.2</v>
      </c>
      <c r="C41" s="13">
        <f>CUSTOS_MACROGRUPO!$G$2*0.15*B41</f>
        <v/>
      </c>
      <c r="D41" s="13">
        <f>C41/DADOS_PROJETO!$B$6</f>
        <v/>
      </c>
    </row>
    <row r="42">
      <c r="A42" t="inlineStr">
        <is>
          <t>Linha de vida</t>
        </is>
      </c>
      <c r="B42" s="28" t="n">
        <v>0.15</v>
      </c>
      <c r="C42" s="13">
        <f>CUSTOS_MACROGRUPO!$G$2*0.15*B42</f>
        <v/>
      </c>
      <c r="D42" s="13">
        <f>C42/DADOS_PROJETO!$B$6</f>
        <v/>
      </c>
    </row>
    <row r="43">
      <c r="A43" t="inlineStr">
        <is>
          <t>Sinalização</t>
        </is>
      </c>
      <c r="B43" s="28" t="n">
        <v>0.1</v>
      </c>
      <c r="C43" s="13">
        <f>CUSTOS_MACROGRUPO!$G$2*0.15*B43</f>
        <v/>
      </c>
      <c r="D43" s="13">
        <f>C43/DADOS_PROJETO!$B$6</f>
        <v/>
      </c>
    </row>
    <row r="44">
      <c r="A44" t="inlineStr">
        <is>
          <t>Outros</t>
        </is>
      </c>
      <c r="B44" s="28" t="n">
        <v>0.05</v>
      </c>
      <c r="C44" s="13">
        <f>CUSTOS_MACROGRUPO!$G$2*0.15*B44</f>
        <v/>
      </c>
      <c r="D44" s="13">
        <f>C44/DADOS_PROJETO!$B$6</f>
        <v/>
      </c>
    </row>
    <row r="45">
      <c r="A45" s="2" t="inlineStr">
        <is>
          <t>TOTAL EPCs</t>
        </is>
      </c>
      <c r="C45" s="30">
        <f>SUM(C39:C44)</f>
        <v/>
      </c>
      <c r="D45" s="30">
        <f>C45/DADOS_PROJETO!$B$6</f>
        <v/>
      </c>
    </row>
    <row r="47">
      <c r="A47" s="32" t="inlineStr">
        <is>
          <t>EQUIPAMENTOS (10%)</t>
        </is>
      </c>
    </row>
    <row r="48">
      <c r="A48" s="6" t="inlineStr">
        <is>
          <t>Disciplina</t>
        </is>
      </c>
      <c r="B48" s="6" t="inlineStr">
        <is>
          <t>Peso %</t>
        </is>
      </c>
      <c r="C48" s="6" t="inlineStr">
        <is>
          <t>Valor (R$)</t>
        </is>
      </c>
      <c r="D48" s="6" t="inlineStr">
        <is>
          <t>R$/m²</t>
        </is>
      </c>
      <c r="E48" s="6" t="inlineStr"/>
      <c r="F48" s="6" t="inlineStr"/>
    </row>
    <row r="49">
      <c r="A49" t="inlineStr">
        <is>
          <t>Cremalheira</t>
        </is>
      </c>
      <c r="B49" s="28" t="n">
        <v>0.4</v>
      </c>
      <c r="C49" s="13">
        <f>CUSTOS_MACROGRUPO!$G$2*0.10*B49</f>
        <v/>
      </c>
      <c r="D49" s="13">
        <f>C49/DADOS_PROJETO!$B$6</f>
        <v/>
      </c>
    </row>
    <row r="50">
      <c r="A50" t="inlineStr">
        <is>
          <t>Grua/Guindaste</t>
        </is>
      </c>
      <c r="B50" s="28" t="n">
        <v>0.3</v>
      </c>
      <c r="C50" s="13">
        <f>CUSTOS_MACROGRUPO!$G$2*0.10*B50</f>
        <v/>
      </c>
      <c r="D50" s="13">
        <f>C50/DADOS_PROJETO!$B$6</f>
        <v/>
      </c>
    </row>
    <row r="51">
      <c r="A51" t="inlineStr">
        <is>
          <t>Balancins</t>
        </is>
      </c>
      <c r="B51" s="28" t="n">
        <v>0.15</v>
      </c>
      <c r="C51" s="13">
        <f>CUSTOS_MACROGRUPO!$G$2*0.10*B51</f>
        <v/>
      </c>
      <c r="D51" s="13">
        <f>C51/DADOS_PROJETO!$B$6</f>
        <v/>
      </c>
    </row>
    <row r="52">
      <c r="A52" t="inlineStr">
        <is>
          <t>Mini-Grua</t>
        </is>
      </c>
      <c r="B52" s="28" t="n">
        <v>0.1</v>
      </c>
      <c r="C52" s="13">
        <f>CUSTOS_MACROGRUPO!$G$2*0.10*B52</f>
        <v/>
      </c>
      <c r="D52" s="13">
        <f>C52/DADOS_PROJETO!$B$6</f>
        <v/>
      </c>
    </row>
    <row r="53">
      <c r="A53" t="inlineStr">
        <is>
          <t>Outros</t>
        </is>
      </c>
      <c r="B53" s="28" t="n">
        <v>0.05</v>
      </c>
      <c r="C53" s="13">
        <f>CUSTOS_MACROGRUPO!$G$2*0.10*B53</f>
        <v/>
      </c>
      <c r="D53" s="13">
        <f>C53/DADOS_PROJETO!$B$6</f>
        <v/>
      </c>
    </row>
    <row r="54">
      <c r="A54" s="2" t="inlineStr">
        <is>
          <t>TOTAL EQUIPAMENTOS</t>
        </is>
      </c>
      <c r="C54" s="30">
        <f>SUM(C49:C53)</f>
        <v/>
      </c>
      <c r="D54" s="30">
        <f>C54/DADOS_PROJETO!$B$6</f>
        <v/>
      </c>
    </row>
    <row r="56">
      <c r="A56" s="37" t="inlineStr">
        <is>
          <t>ENSAIOS (5%)</t>
        </is>
      </c>
    </row>
    <row r="57">
      <c r="A57" s="6" t="inlineStr">
        <is>
          <t>Disciplina</t>
        </is>
      </c>
      <c r="B57" s="6" t="inlineStr">
        <is>
          <t>Peso %</t>
        </is>
      </c>
      <c r="C57" s="6" t="inlineStr">
        <is>
          <t>Valor (R$)</t>
        </is>
      </c>
      <c r="D57" s="6" t="inlineStr">
        <is>
          <t>R$/m²</t>
        </is>
      </c>
      <c r="E57" s="6" t="inlineStr"/>
      <c r="F57" s="6" t="inlineStr"/>
    </row>
    <row r="58">
      <c r="A58" t="inlineStr">
        <is>
          <t>Concreto (CP)</t>
        </is>
      </c>
      <c r="B58" s="28" t="n">
        <v>0.4</v>
      </c>
      <c r="C58" s="13">
        <f>CUSTOS_MACROGRUPO!$G$2*0.05*B58</f>
        <v/>
      </c>
      <c r="D58" s="13">
        <f>C58/DADOS_PROJETO!$B$6</f>
        <v/>
      </c>
    </row>
    <row r="59">
      <c r="A59" t="inlineStr">
        <is>
          <t>Aço</t>
        </is>
      </c>
      <c r="B59" s="28" t="n">
        <v>0.15</v>
      </c>
      <c r="C59" s="13">
        <f>CUSTOS_MACROGRUPO!$G$2*0.05*B59</f>
        <v/>
      </c>
      <c r="D59" s="13">
        <f>C59/DADOS_PROJETO!$B$6</f>
        <v/>
      </c>
    </row>
    <row r="60">
      <c r="A60" t="inlineStr">
        <is>
          <t>Solo/Fundações</t>
        </is>
      </c>
      <c r="B60" s="28" t="n">
        <v>0.2</v>
      </c>
      <c r="C60" s="13">
        <f>CUSTOS_MACROGRUPO!$G$2*0.05*B60</f>
        <v/>
      </c>
      <c r="D60" s="13">
        <f>C60/DADOS_PROJETO!$B$6</f>
        <v/>
      </c>
    </row>
    <row r="61">
      <c r="A61" t="inlineStr">
        <is>
          <t>Estanqueidade</t>
        </is>
      </c>
      <c r="B61" s="28" t="n">
        <v>0.15</v>
      </c>
      <c r="C61" s="13">
        <f>CUSTOS_MACROGRUPO!$G$2*0.05*B61</f>
        <v/>
      </c>
      <c r="D61" s="13">
        <f>C61/DADOS_PROJETO!$B$6</f>
        <v/>
      </c>
    </row>
    <row r="62">
      <c r="A62" t="inlineStr">
        <is>
          <t>Outros</t>
        </is>
      </c>
      <c r="B62" s="28" t="n">
        <v>0.1</v>
      </c>
      <c r="C62" s="13">
        <f>CUSTOS_MACROGRUPO!$G$2*0.05*B62</f>
        <v/>
      </c>
      <c r="D62" s="13">
        <f>C62/DADOS_PROJETO!$B$6</f>
        <v/>
      </c>
    </row>
    <row r="63">
      <c r="A63" s="2" t="inlineStr">
        <is>
          <t>TOTAL ENSAIOS</t>
        </is>
      </c>
      <c r="C63" s="30">
        <f>SUM(C58:C62)</f>
        <v/>
      </c>
      <c r="D63" s="30">
        <f>C63/DADOS_PROJETO!$B$6</f>
        <v/>
      </c>
    </row>
  </sheetData>
  <mergeCells count="7">
    <mergeCell ref="A47:F47"/>
    <mergeCell ref="A1:F1"/>
    <mergeCell ref="A37:F37"/>
    <mergeCell ref="A27:F27"/>
    <mergeCell ref="A17:F17"/>
    <mergeCell ref="A56:F56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BENCHMARK — PROJETOS DE REFERÊNCIA</t>
        </is>
      </c>
    </row>
    <row r="3">
      <c r="A3" s="6" t="inlineStr">
        <is>
          <t>Projeto</t>
        </is>
      </c>
      <c r="B3" s="6" t="inlineStr">
        <is>
          <t>Cidade</t>
        </is>
      </c>
      <c r="C3" s="6" t="inlineStr">
        <is>
          <t>AC (m²)</t>
        </is>
      </c>
      <c r="D3" s="6" t="inlineStr">
        <is>
          <t>NP</t>
        </is>
      </c>
      <c r="E3" s="6" t="inlineStr">
        <is>
          <t>Prazo (meses)</t>
        </is>
      </c>
      <c r="F3" s="6" t="inlineStr">
        <is>
          <t>CUB (R$/m²)</t>
        </is>
      </c>
      <c r="G3" s="6" t="inlineStr">
        <is>
          <t>R$/m² Original</t>
        </is>
      </c>
      <c r="H3" s="6" t="inlineStr">
        <is>
          <t>CUB Ratio</t>
        </is>
      </c>
      <c r="I3" s="6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47" t="n">
        <v>12880</v>
      </c>
      <c r="D4" t="n">
        <v>25</v>
      </c>
      <c r="E4" t="n">
        <v>36</v>
      </c>
      <c r="F4" s="48" t="n">
        <v>2753</v>
      </c>
      <c r="G4" s="48" t="n">
        <v>3291</v>
      </c>
      <c r="H4" s="49" t="n">
        <v>1.2</v>
      </c>
      <c r="I4" s="13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47" t="n">
        <v>9242</v>
      </c>
      <c r="D5" t="n">
        <v>20</v>
      </c>
      <c r="E5" t="n">
        <v>30</v>
      </c>
      <c r="F5" s="48" t="n">
        <v>3009</v>
      </c>
      <c r="G5" s="48" t="n">
        <v>3376</v>
      </c>
      <c r="H5" s="49" t="n">
        <v>1.12</v>
      </c>
      <c r="I5" s="13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47" t="n">
        <v>13144</v>
      </c>
      <c r="D6" t="n">
        <v>28</v>
      </c>
      <c r="E6" t="n">
        <v>36</v>
      </c>
      <c r="F6" s="48" t="n">
        <v>2900</v>
      </c>
      <c r="G6" s="48" t="n">
        <v>3150</v>
      </c>
      <c r="H6" s="49" t="n">
        <v>1.09</v>
      </c>
      <c r="I6" s="13">
        <f>H6*DADOS_PROJETO!$B$19</f>
        <v/>
      </c>
    </row>
    <row r="7">
      <c r="A7" t="inlineStr">
        <is>
          <t>Dlohn</t>
        </is>
      </c>
      <c r="B7" t="inlineStr">
        <is>
          <t>Blumenau</t>
        </is>
      </c>
      <c r="C7" s="47" t="n">
        <v>8500</v>
      </c>
      <c r="D7" t="n">
        <v>18</v>
      </c>
      <c r="E7" t="n">
        <v>24</v>
      </c>
      <c r="F7" s="48" t="n">
        <v>2800</v>
      </c>
      <c r="G7" s="48" t="n">
        <v>3080</v>
      </c>
      <c r="H7" s="49" t="n">
        <v>1.1</v>
      </c>
      <c r="I7" s="13">
        <f>H7*DADOS_PROJETO!$B$19</f>
        <v/>
      </c>
    </row>
    <row r="8">
      <c r="A8" t="inlineStr">
        <is>
          <t>Eternity</t>
        </is>
      </c>
      <c r="B8" t="inlineStr">
        <is>
          <t>Itajaí</t>
        </is>
      </c>
      <c r="C8" s="47" t="n">
        <v>11200</v>
      </c>
      <c r="D8" t="n">
        <v>22</v>
      </c>
      <c r="E8" t="n">
        <v>30</v>
      </c>
      <c r="F8" s="48" t="n">
        <v>2850</v>
      </c>
      <c r="G8" s="48" t="n">
        <v>3420</v>
      </c>
      <c r="H8" s="49" t="n">
        <v>1.2</v>
      </c>
      <c r="I8" s="13">
        <f>H8*DADOS_PROJETO!$B$19</f>
        <v/>
      </c>
    </row>
    <row r="9">
      <c r="A9" t="inlineStr">
        <is>
          <t>Lorenzo</t>
        </is>
      </c>
      <c r="B9" t="inlineStr">
        <is>
          <t>Itajaí</t>
        </is>
      </c>
      <c r="C9" s="47" t="n">
        <v>9800</v>
      </c>
      <c r="D9" t="n">
        <v>20</v>
      </c>
      <c r="E9" t="n">
        <v>28</v>
      </c>
      <c r="F9" s="48" t="n">
        <v>2780</v>
      </c>
      <c r="G9" s="48" t="n">
        <v>3190</v>
      </c>
      <c r="H9" s="49" t="n">
        <v>1.15</v>
      </c>
      <c r="I9" s="13">
        <f>H9*DADOS_PROJETO!$B$19</f>
        <v/>
      </c>
    </row>
    <row r="10">
      <c r="A10" t="inlineStr">
        <is>
          <t>Monolyt</t>
        </is>
      </c>
      <c r="B10" t="inlineStr">
        <is>
          <t>Floripa</t>
        </is>
      </c>
      <c r="C10" s="47" t="n">
        <v>18500</v>
      </c>
      <c r="D10" t="n">
        <v>32</v>
      </c>
      <c r="E10" t="n">
        <v>42</v>
      </c>
      <c r="F10" s="48" t="n">
        <v>2900</v>
      </c>
      <c r="G10" s="48" t="n">
        <v>3480</v>
      </c>
      <c r="H10" s="49" t="n">
        <v>1.2</v>
      </c>
      <c r="I10" s="13">
        <f>H10*DADOS_PROJETO!$B$19</f>
        <v/>
      </c>
    </row>
    <row r="11">
      <c r="A11" t="inlineStr">
        <is>
          <t>Cota365</t>
        </is>
      </c>
      <c r="B11" t="inlineStr">
        <is>
          <t>Floripa</t>
        </is>
      </c>
      <c r="C11" s="47" t="n">
        <v>10500</v>
      </c>
      <c r="D11" t="n">
        <v>24</v>
      </c>
      <c r="E11" t="n">
        <v>30</v>
      </c>
      <c r="F11" s="48" t="n">
        <v>2850</v>
      </c>
      <c r="G11" s="48" t="n">
        <v>3250</v>
      </c>
      <c r="H11" s="49" t="n">
        <v>1.14</v>
      </c>
      <c r="I11" s="13">
        <f>H11*DADOS_PROJETO!$B$19</f>
        <v/>
      </c>
    </row>
    <row r="13">
      <c r="A13" s="50" t="inlineStr">
        <is>
          <t>ESTE PROJETO</t>
        </is>
      </c>
      <c r="B13">
        <f>DADOS_PROJETO!B4</f>
        <v/>
      </c>
      <c r="C13" s="51">
        <f>DADOS_PROJETO!B6</f>
        <v/>
      </c>
      <c r="D13" s="2">
        <f>DADOS_PROJETO!B9</f>
        <v/>
      </c>
      <c r="E13" s="2">
        <f>DADOS_PROJETO!B17</f>
        <v/>
      </c>
      <c r="F13" s="30">
        <f>DADOS_PROJETO!B19</f>
        <v/>
      </c>
      <c r="G13" s="30">
        <f>CUSTOS_MACROGRUPO!G20/DADOS_PROJETO!B6</f>
        <v/>
      </c>
      <c r="H13" s="52">
        <f>(CUSTOS_MACROGRUPO!G20/DADOS_PROJETO!B6)/DADOS_PROJETO!B19</f>
        <v/>
      </c>
      <c r="I13" s="53">
        <f>CUSTOS_MACROGRUPO!G20/DADOS_PROJETO!B6</f>
        <v/>
      </c>
    </row>
    <row r="15">
      <c r="A15" s="43" t="inlineStr">
        <is>
          <t>COMPARATIVO POR MACROGRUPO (R$/m²)</t>
        </is>
      </c>
    </row>
    <row r="16">
      <c r="A16" s="6" t="inlineStr">
        <is>
          <t>Macrogrupo</t>
        </is>
      </c>
      <c r="B16" s="6" t="inlineStr">
        <is>
          <t>Média Base</t>
        </is>
      </c>
      <c r="C16" s="6" t="inlineStr">
        <is>
          <t>Este Projeto</t>
        </is>
      </c>
      <c r="D16" s="6" t="inlineStr">
        <is>
          <t>Diferença %</t>
        </is>
      </c>
    </row>
    <row r="17">
      <c r="A17" t="inlineStr">
        <is>
          <t>Gerenciamento</t>
        </is>
      </c>
      <c r="B17" s="24" t="n">
        <v>417</v>
      </c>
      <c r="C17" s="24">
        <f>CUSTOS_MACROGRUPO!F2</f>
        <v/>
      </c>
      <c r="D17" s="15">
        <f>(C17-B17)/B17</f>
        <v/>
      </c>
    </row>
    <row r="18">
      <c r="A18" t="inlineStr">
        <is>
          <t>Infraestrutura</t>
        </is>
      </c>
      <c r="B18" s="24" t="n">
        <v>230</v>
      </c>
      <c r="C18" s="24">
        <f>CUSTOS_MACROGRUPO!F4</f>
        <v/>
      </c>
      <c r="D18" s="15">
        <f>(C18-B18)/B18</f>
        <v/>
      </c>
    </row>
    <row r="19">
      <c r="A19" t="inlineStr">
        <is>
          <t>Supraestrutura</t>
        </is>
      </c>
      <c r="B19" s="24" t="n">
        <v>746</v>
      </c>
      <c r="C19" s="24">
        <f>CUSTOS_MACROGRUPO!F5</f>
        <v/>
      </c>
      <c r="D19" s="15">
        <f>(C19-B19)/B19</f>
        <v/>
      </c>
    </row>
    <row r="20">
      <c r="A20" t="inlineStr">
        <is>
          <t>Instalações</t>
        </is>
      </c>
      <c r="B20" s="24" t="n">
        <v>384</v>
      </c>
      <c r="C20" s="24">
        <f>CUSTOS_MACROGRUPO!F8</f>
        <v/>
      </c>
      <c r="D20" s="15">
        <f>(C20-B20)/B20</f>
        <v/>
      </c>
    </row>
    <row r="21">
      <c r="A21" t="inlineStr">
        <is>
          <t>Pisos</t>
        </is>
      </c>
      <c r="B21" s="24" t="n">
        <v>197</v>
      </c>
      <c r="C21" s="24">
        <f>CUSTOS_MACROGRUPO!F13</f>
        <v/>
      </c>
      <c r="D21" s="15">
        <f>(C21-B21)/B21</f>
        <v/>
      </c>
    </row>
    <row r="22">
      <c r="A22" t="inlineStr">
        <is>
          <t>Esquadrias</t>
        </is>
      </c>
      <c r="B22" s="24" t="n">
        <v>362</v>
      </c>
      <c r="C22" s="24">
        <f>CUSTOS_MACROGRUPO!F15</f>
        <v/>
      </c>
      <c r="D22" s="15">
        <f>(C22-B22)/B22</f>
        <v/>
      </c>
    </row>
    <row r="23">
      <c r="A23" t="inlineStr">
        <is>
          <t>Fachada</t>
        </is>
      </c>
      <c r="B23" s="24" t="n">
        <v>175</v>
      </c>
      <c r="C23" s="24">
        <f>CUSTOS_MACROGRUPO!F17</f>
        <v/>
      </c>
      <c r="D23" s="15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ANÁLISE DE PRODUTO</t>
        </is>
      </c>
    </row>
    <row r="3">
      <c r="A3" s="6" t="inlineStr">
        <is>
          <t>Indicador</t>
        </is>
      </c>
      <c r="B3" s="6" t="inlineStr">
        <is>
          <t>Este Projeto</t>
        </is>
      </c>
      <c r="C3" s="6" t="inlineStr">
        <is>
          <t>Faixa Típica</t>
        </is>
      </c>
      <c r="D3" s="6" t="inlineStr">
        <is>
          <t>Status</t>
        </is>
      </c>
    </row>
    <row r="4">
      <c r="A4" s="2" t="inlineStr">
        <is>
          <t>AC/UR (m²/UR)</t>
        </is>
      </c>
      <c r="B4" s="54">
        <f>DADOS_PROJETO!B6/DADOS_PROJETO!B7</f>
        <v/>
      </c>
      <c r="C4" s="9" t="inlineStr">
        <is>
          <t>90-160</t>
        </is>
      </c>
      <c r="D4" s="55">
        <f>IF(AND(B4&gt;=90,B4&lt;=160),"OK","ATENÇÃO")</f>
        <v/>
      </c>
    </row>
    <row r="5">
      <c r="A5" s="2" t="inlineStr">
        <is>
          <t>Custo/UR (R$)</t>
        </is>
      </c>
      <c r="B5" s="14">
        <f>CUSTOS_MACROGRUPO!G20/DADOS_PROJETO!B7</f>
        <v/>
      </c>
      <c r="C5" s="9" t="inlineStr">
        <is>
          <t>—</t>
        </is>
      </c>
    </row>
    <row r="6">
      <c r="A6" s="2" t="inlineStr">
        <is>
          <t>R$/m² (R$/m²)</t>
        </is>
      </c>
      <c r="B6" s="14">
        <f>CUSTOS_MACROGRUPO!G20/DADOS_PROJETO!B6</f>
        <v/>
      </c>
      <c r="C6" s="9" t="inlineStr">
        <is>
          <t>—</t>
        </is>
      </c>
    </row>
    <row r="7">
      <c r="A7" s="2" t="inlineStr">
        <is>
          <t>CUB Ratio</t>
        </is>
      </c>
      <c r="B7" s="54">
        <f>(CUSTOS_MACROGRUPO!G20/DADOS_PROJETO!B6)/DADOS_PROJETO!B19</f>
        <v/>
      </c>
      <c r="C7" s="9" t="inlineStr">
        <is>
          <t>1.00-1.50</t>
        </is>
      </c>
      <c r="D7" s="55">
        <f>IF(AND(B7&gt;=1,B7&lt;=1.5),"OK",IF(B7&gt;1.5,"ALTO","BAIXO"))</f>
        <v/>
      </c>
    </row>
    <row r="8">
      <c r="A8" s="2" t="inlineStr">
        <is>
          <t>Vagas/UR</t>
        </is>
      </c>
      <c r="B8" s="54">
        <f>DADOS_PROJETO!B13/DADOS_PROJETO!B7</f>
        <v/>
      </c>
      <c r="C8" s="9" t="inlineStr">
        <is>
          <t>1.0-2.0</t>
        </is>
      </c>
      <c r="D8" s="55">
        <f>IF(AND(B8&gt;=1,B8&lt;=2),"OK","ATENÇÃO")</f>
        <v/>
      </c>
    </row>
    <row r="9">
      <c r="A9" s="2" t="inlineStr">
        <is>
          <t>% Tipo (NPT/NP)</t>
        </is>
      </c>
      <c r="B9" s="56">
        <f>DADOS_PROJETO!B10/DADOS_PROJETO!B9</f>
        <v/>
      </c>
      <c r="C9" s="9" t="inlineStr">
        <is>
          <t>60-80%</t>
        </is>
      </c>
      <c r="D9" s="55">
        <f>IF(AND(B9&gt;=0.6,B9&lt;=0.8),"OK","ATENÇÃO")</f>
        <v/>
      </c>
    </row>
    <row r="10">
      <c r="A10" s="2" t="inlineStr">
        <is>
          <t>Elevador/UR</t>
        </is>
      </c>
      <c r="B10" s="54">
        <f>DADOS_PROJETO!B12/DADOS_PROJETO!B7</f>
        <v/>
      </c>
      <c r="C10" s="9" t="inlineStr">
        <is>
          <t>0.015-0.030</t>
        </is>
      </c>
      <c r="D10" s="55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48">
        <f>CUSTOS_MACROGRUPO!F2</f>
        <v/>
      </c>
      <c r="C3">
        <f>CUSTOS_MACROGRUPO!I2&amp;" - "&amp;CUSTOS_MACROGRUPO!J2</f>
        <v/>
      </c>
      <c r="D3" s="57">
        <f>CUSTOS_MACROGRUPO!K2</f>
        <v/>
      </c>
    </row>
    <row r="4">
      <c r="A4">
        <f>CUSTOS_MACROGRUPO!B3</f>
        <v/>
      </c>
      <c r="B4" s="48">
        <f>CUSTOS_MACROGRUPO!F3</f>
        <v/>
      </c>
      <c r="C4">
        <f>CUSTOS_MACROGRUPO!I3&amp;" - "&amp;CUSTOS_MACROGRUPO!J3</f>
        <v/>
      </c>
      <c r="D4" s="57">
        <f>CUSTOS_MACROGRUPO!K3</f>
        <v/>
      </c>
    </row>
    <row r="5">
      <c r="A5">
        <f>CUSTOS_MACROGRUPO!B4</f>
        <v/>
      </c>
      <c r="B5" s="48">
        <f>CUSTOS_MACROGRUPO!F4</f>
        <v/>
      </c>
      <c r="C5">
        <f>CUSTOS_MACROGRUPO!I4&amp;" - "&amp;CUSTOS_MACROGRUPO!J4</f>
        <v/>
      </c>
      <c r="D5" s="57">
        <f>CUSTOS_MACROGRUPO!K4</f>
        <v/>
      </c>
    </row>
    <row r="6">
      <c r="A6">
        <f>CUSTOS_MACROGRUPO!B5</f>
        <v/>
      </c>
      <c r="B6" s="48">
        <f>CUSTOS_MACROGRUPO!F5</f>
        <v/>
      </c>
      <c r="C6">
        <f>CUSTOS_MACROGRUPO!I5&amp;" - "&amp;CUSTOS_MACROGRUPO!J5</f>
        <v/>
      </c>
      <c r="D6" s="57">
        <f>CUSTOS_MACROGRUPO!K5</f>
        <v/>
      </c>
    </row>
    <row r="7">
      <c r="A7">
        <f>CUSTOS_MACROGRUPO!B6</f>
        <v/>
      </c>
      <c r="B7" s="48">
        <f>CUSTOS_MACROGRUPO!F6</f>
        <v/>
      </c>
      <c r="C7">
        <f>CUSTOS_MACROGRUPO!I6&amp;" - "&amp;CUSTOS_MACROGRUPO!J6</f>
        <v/>
      </c>
      <c r="D7" s="57">
        <f>CUSTOS_MACROGRUPO!K6</f>
        <v/>
      </c>
    </row>
    <row r="8">
      <c r="A8">
        <f>CUSTOS_MACROGRUPO!B7</f>
        <v/>
      </c>
      <c r="B8" s="48">
        <f>CUSTOS_MACROGRUPO!F7</f>
        <v/>
      </c>
      <c r="C8">
        <f>CUSTOS_MACROGRUPO!I7&amp;" - "&amp;CUSTOS_MACROGRUPO!J7</f>
        <v/>
      </c>
      <c r="D8" s="57">
        <f>CUSTOS_MACROGRUPO!K7</f>
        <v/>
      </c>
    </row>
    <row r="9">
      <c r="A9">
        <f>CUSTOS_MACROGRUPO!B8</f>
        <v/>
      </c>
      <c r="B9" s="48">
        <f>CUSTOS_MACROGRUPO!F8</f>
        <v/>
      </c>
      <c r="C9">
        <f>CUSTOS_MACROGRUPO!I8&amp;" - "&amp;CUSTOS_MACROGRUPO!J8</f>
        <v/>
      </c>
      <c r="D9" s="57">
        <f>CUSTOS_MACROGRUPO!K8</f>
        <v/>
      </c>
    </row>
    <row r="10">
      <c r="A10">
        <f>CUSTOS_MACROGRUPO!B9</f>
        <v/>
      </c>
      <c r="B10" s="48">
        <f>CUSTOS_MACROGRUPO!F9</f>
        <v/>
      </c>
      <c r="C10">
        <f>CUSTOS_MACROGRUPO!I9&amp;" - "&amp;CUSTOS_MACROGRUPO!J9</f>
        <v/>
      </c>
      <c r="D10" s="57">
        <f>CUSTOS_MACROGRUPO!K9</f>
        <v/>
      </c>
    </row>
    <row r="11">
      <c r="A11">
        <f>CUSTOS_MACROGRUPO!B10</f>
        <v/>
      </c>
      <c r="B11" s="48">
        <f>CUSTOS_MACROGRUPO!F10</f>
        <v/>
      </c>
      <c r="C11">
        <f>CUSTOS_MACROGRUPO!I10&amp;" - "&amp;CUSTOS_MACROGRUPO!J10</f>
        <v/>
      </c>
      <c r="D11" s="57">
        <f>CUSTOS_MACROGRUPO!K10</f>
        <v/>
      </c>
    </row>
    <row r="12">
      <c r="A12">
        <f>CUSTOS_MACROGRUPO!B11</f>
        <v/>
      </c>
      <c r="B12" s="48">
        <f>CUSTOS_MACROGRUPO!F11</f>
        <v/>
      </c>
      <c r="C12">
        <f>CUSTOS_MACROGRUPO!I11&amp;" - "&amp;CUSTOS_MACROGRUPO!J11</f>
        <v/>
      </c>
      <c r="D12" s="57">
        <f>CUSTOS_MACROGRUPO!K11</f>
        <v/>
      </c>
    </row>
    <row r="13">
      <c r="A13">
        <f>CUSTOS_MACROGRUPO!B12</f>
        <v/>
      </c>
      <c r="B13" s="48">
        <f>CUSTOS_MACROGRUPO!F12</f>
        <v/>
      </c>
      <c r="C13">
        <f>CUSTOS_MACROGRUPO!I12&amp;" - "&amp;CUSTOS_MACROGRUPO!J12</f>
        <v/>
      </c>
      <c r="D13" s="57">
        <f>CUSTOS_MACROGRUPO!K12</f>
        <v/>
      </c>
    </row>
    <row r="14">
      <c r="A14">
        <f>CUSTOS_MACROGRUPO!B13</f>
        <v/>
      </c>
      <c r="B14" s="48">
        <f>CUSTOS_MACROGRUPO!F13</f>
        <v/>
      </c>
      <c r="C14">
        <f>CUSTOS_MACROGRUPO!I13&amp;" - "&amp;CUSTOS_MACROGRUPO!J13</f>
        <v/>
      </c>
      <c r="D14" s="57">
        <f>CUSTOS_MACROGRUPO!K13</f>
        <v/>
      </c>
    </row>
    <row r="15">
      <c r="A15">
        <f>CUSTOS_MACROGRUPO!B14</f>
        <v/>
      </c>
      <c r="B15" s="48">
        <f>CUSTOS_MACROGRUPO!F14</f>
        <v/>
      </c>
      <c r="C15">
        <f>CUSTOS_MACROGRUPO!I14&amp;" - "&amp;CUSTOS_MACROGRUPO!J14</f>
        <v/>
      </c>
      <c r="D15" s="57">
        <f>CUSTOS_MACROGRUPO!K14</f>
        <v/>
      </c>
    </row>
    <row r="16">
      <c r="A16">
        <f>CUSTOS_MACROGRUPO!B15</f>
        <v/>
      </c>
      <c r="B16" s="48">
        <f>CUSTOS_MACROGRUPO!F15</f>
        <v/>
      </c>
      <c r="C16">
        <f>CUSTOS_MACROGRUPO!I15&amp;" - "&amp;CUSTOS_MACROGRUPO!J15</f>
        <v/>
      </c>
      <c r="D16" s="57">
        <f>CUSTOS_MACROGRUPO!K15</f>
        <v/>
      </c>
    </row>
    <row r="17">
      <c r="A17">
        <f>CUSTOS_MACROGRUPO!B16</f>
        <v/>
      </c>
      <c r="B17" s="48">
        <f>CUSTOS_MACROGRUPO!F16</f>
        <v/>
      </c>
      <c r="C17">
        <f>CUSTOS_MACROGRUPO!I16&amp;" - "&amp;CUSTOS_MACROGRUPO!J16</f>
        <v/>
      </c>
      <c r="D17" s="57">
        <f>CUSTOS_MACROGRUPO!K16</f>
        <v/>
      </c>
    </row>
    <row r="18">
      <c r="A18">
        <f>CUSTOS_MACROGRUPO!B17</f>
        <v/>
      </c>
      <c r="B18" s="48">
        <f>CUSTOS_MACROGRUPO!F17</f>
        <v/>
      </c>
      <c r="C18">
        <f>CUSTOS_MACROGRUPO!I17&amp;" - "&amp;CUSTOS_MACROGRUPO!J17</f>
        <v/>
      </c>
      <c r="D18" s="57">
        <f>CUSTOS_MACROGRUPO!K17</f>
        <v/>
      </c>
    </row>
    <row r="19">
      <c r="A19">
        <f>CUSTOS_MACROGRUPO!B18</f>
        <v/>
      </c>
      <c r="B19" s="48">
        <f>CUSTOS_MACROGRUPO!F18</f>
        <v/>
      </c>
      <c r="C19">
        <f>CUSTOS_MACROGRUPO!I18&amp;" - "&amp;CUSTOS_MACROGRUPO!J18</f>
        <v/>
      </c>
      <c r="D19" s="57">
        <f>CUSTOS_MACROGRUPO!K18</f>
        <v/>
      </c>
    </row>
    <row r="20">
      <c r="A20">
        <f>CUSTOS_MACROGRUPO!B19</f>
        <v/>
      </c>
      <c r="B20" s="48">
        <f>CUSTOS_MACROGRUPO!F19</f>
        <v/>
      </c>
      <c r="C20">
        <f>CUSTOS_MACROGRUPO!I19&amp;" - "&amp;CUSTOS_MACROGRUPO!J19</f>
        <v/>
      </c>
      <c r="D20" s="57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58" t="inlineStr"/>
    </row>
    <row r="3">
      <c r="A3" s="59" t="inlineStr">
        <is>
          <t>SOBRE ESTE TEMPLATE:</t>
        </is>
      </c>
    </row>
    <row r="4">
      <c r="A4" s="58" t="inlineStr">
        <is>
          <t>Este orçamento paramétrico foi desenvolvido pela Cartesian Engenharia para estimativas rápidas de custos de obras residenciais/comerciais.</t>
        </is>
      </c>
    </row>
    <row r="5">
      <c r="A5" s="58" t="inlineStr"/>
    </row>
    <row r="6">
      <c r="A6" s="59" t="inlineStr">
        <is>
          <t>BASE DE CALIBRAÇÃO:</t>
        </is>
      </c>
    </row>
    <row r="7">
      <c r="A7" s="58" t="inlineStr">
        <is>
          <t>- Mediana calibrada com 75 projetos reais executados entre 2022-2024</t>
        </is>
      </c>
    </row>
    <row r="8">
      <c r="A8" s="58" t="inlineStr">
        <is>
          <t>- Valores calibrados a valor presente (mar/2026)</t>
        </is>
      </c>
    </row>
    <row r="9">
      <c r="A9" s="58" t="inlineStr">
        <is>
          <t>- Faixas P10-P90 representam variação observada nos projetos da base</t>
        </is>
      </c>
    </row>
    <row r="10">
      <c r="A10" s="58" t="inlineStr"/>
    </row>
    <row r="11">
      <c r="A11" s="59" t="inlineStr">
        <is>
          <t>COMO USAR:</t>
        </is>
      </c>
    </row>
    <row r="12">
      <c r="A12" s="58" t="inlineStr">
        <is>
          <t>1. Preencha DADOS_PROJETO com informações do empreendimento</t>
        </is>
      </c>
    </row>
    <row r="13">
      <c r="A13" s="58" t="inlineStr">
        <is>
          <t>2. Responda as 25 perguntas do BRIEFING (use os dropdowns)</t>
        </is>
      </c>
    </row>
    <row r="14">
      <c r="A14" s="58" t="inlineStr">
        <is>
          <t>3. Os custos em CUSTOS_MACROGRUPO são calculados automaticamente</t>
        </is>
      </c>
    </row>
    <row r="15">
      <c r="A15" s="58" t="inlineStr">
        <is>
          <t>4. Verifique ALERTAS para validar se os valores estão dentro das faixas esperadas</t>
        </is>
      </c>
    </row>
    <row r="16">
      <c r="A16" s="58" t="inlineStr">
        <is>
          <t>5. Use PAINEL para visualização rápida dos principais indicadores</t>
        </is>
      </c>
    </row>
    <row r="17">
      <c r="A17" s="58" t="inlineStr"/>
    </row>
    <row r="18">
      <c r="A18" s="59" t="inlineStr">
        <is>
          <t>MODELO DE CÁLCULO:</t>
        </is>
      </c>
    </row>
    <row r="19">
      <c r="A19" s="58" t="inlineStr">
        <is>
          <t>Valor Final (R$/m²) = Base × Fator CUB × Fator Briefing Composto</t>
        </is>
      </c>
    </row>
    <row r="20">
      <c r="A20" s="58" t="inlineStr"/>
    </row>
    <row r="21">
      <c r="A21" s="58" t="inlineStr">
        <is>
          <t>Onde:</t>
        </is>
      </c>
    </row>
    <row r="22">
      <c r="A22" s="58" t="inlineStr">
        <is>
          <t>- Base = Mediana calibrada do macrogrupo (mar/2026)</t>
        </is>
      </c>
    </row>
    <row r="23">
      <c r="A23" s="58" t="inlineStr">
        <is>
          <t>- Fator CUB = CUB Atual / CUB Base (ajuste inflação)</t>
        </is>
      </c>
    </row>
    <row r="24">
      <c r="A24" s="58" t="inlineStr">
        <is>
          <t>- Fator Briefing Composto = Produto de todos os fatores das 25 perguntas</t>
        </is>
      </c>
    </row>
    <row r="25">
      <c r="A25" s="58" t="inlineStr"/>
    </row>
    <row r="26">
      <c r="A26" s="59" t="inlineStr">
        <is>
          <t>LIMITAÇÕES:</t>
        </is>
      </c>
    </row>
    <row r="27">
      <c r="A27" s="58" t="inlineStr">
        <is>
          <t>- Estimativa preliminar, não substitui orçamento executivo</t>
        </is>
      </c>
    </row>
    <row r="28">
      <c r="A28" s="58" t="inlineStr">
        <is>
          <t>- Não inclui: terreno, projetos, aprovações, marketing, impostos</t>
        </is>
      </c>
    </row>
    <row r="29">
      <c r="A29" s="58" t="inlineStr">
        <is>
          <t>- Climatização e Louças/Metais são placeholders (valor 0)</t>
        </is>
      </c>
    </row>
    <row r="30">
      <c r="A30" s="58" t="inlineStr">
        <is>
          <t>- Faixas podem variar conforme região e características específicas</t>
        </is>
      </c>
    </row>
    <row r="31">
      <c r="A31" s="58" t="inlineStr"/>
    </row>
    <row r="32">
      <c r="A32" s="59" t="inlineStr">
        <is>
          <t>ATENÇÃO:</t>
        </is>
      </c>
    </row>
    <row r="33">
      <c r="A33" s="58" t="inlineStr">
        <is>
          <t>- Semáforo verde: dentro da faixa P10-P90</t>
        </is>
      </c>
    </row>
    <row r="34">
      <c r="A34" s="58" t="inlineStr">
        <is>
          <t>- Semáforo amarelo: fora da faixa, mas dentro de ±20%</t>
        </is>
      </c>
    </row>
    <row r="35">
      <c r="A35" s="58" t="inlineStr">
        <is>
          <t>- Semáforo vermelho: &gt;20% fora da faixa (revisar premissas)</t>
        </is>
      </c>
    </row>
    <row r="36">
      <c r="A36" s="58" t="inlineStr"/>
    </row>
    <row r="37">
      <c r="A37" s="59" t="inlineStr">
        <is>
          <t>CONTATO:</t>
        </is>
      </c>
    </row>
    <row r="38">
      <c r="A38" s="58" t="inlineStr">
        <is>
          <t>Cartesian Engenharia</t>
        </is>
      </c>
    </row>
    <row r="39">
      <c r="A39" s="58" t="inlineStr">
        <is>
          <t>leonardo@cartesianengenharia.com</t>
        </is>
      </c>
    </row>
    <row r="40">
      <c r="A40" s="58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2026-03-15T14:21:18Z</dcterms:created>
  <dcterms:modified xmlns:dcterms="http://purl.org/dc/terms/" xmlns:xsi="http://www.w3.org/2001/XMLSchema-instance" xsi:type="dcterms:W3CDTF">2026-03-15T14:21:18Z</dcterms:modified>
</cp:coreProperties>
</file>