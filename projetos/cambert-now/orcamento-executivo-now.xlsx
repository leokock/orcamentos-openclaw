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ORÇAMENTO DETALHADO" sheetId="2" state="visible" r:id="rId2"/>
    <sheet xmlns:r="http://schemas.openxmlformats.org/officeDocument/2006/relationships" name="CURVA ABC" sheetId="3" state="visible" r:id="rId3"/>
    <sheet xmlns:r="http://schemas.openxmlformats.org/officeDocument/2006/relationships" name="CRONOGRAMA" sheetId="4" state="visible" r:id="rId4"/>
    <sheet xmlns:r="http://schemas.openxmlformats.org/officeDocument/2006/relationships" name="BD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  <fill>
      <patternFill patternType="solid">
        <fgColor rgb="00D5DBDB"/>
        <bgColor rgb="00D5DB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  <xf numFmtId="4" fontId="0" fillId="3" borderId="0" pivotButton="0" quotePrefix="0" xfId="0"/>
    <xf numFmtId="10" fontId="0" fillId="3" borderId="0" pivotButton="0" quotePrefix="0" xfId="0"/>
    <xf numFmtId="164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15" customWidth="1" min="5" max="5"/>
  </cols>
  <sheetData>
    <row r="1">
      <c r="A1" s="1" t="inlineStr">
        <is>
          <t>ORÇAMENTO EXECUTIVO - NOW RESIDENCE</t>
        </is>
      </c>
    </row>
    <row r="2">
      <c r="A2" t="inlineStr">
        <is>
          <t>Data-base:</t>
        </is>
      </c>
      <c r="B2" t="inlineStr">
        <is>
          <t>mar/2026</t>
        </is>
      </c>
    </row>
    <row r="3">
      <c r="A3" t="inlineStr"/>
      <c r="B3" t="inlineStr"/>
    </row>
    <row r="4">
      <c r="A4" s="2" t="inlineStr">
        <is>
          <t>DADOS DO EMPREENDIMENTO</t>
        </is>
      </c>
      <c r="B4" t="inlineStr"/>
    </row>
    <row r="5">
      <c r="A5" t="inlineStr">
        <is>
          <t>Endereço:</t>
        </is>
      </c>
      <c r="B5" t="inlineStr">
        <is>
          <t>Rua Luiz Berlim, 123, Centro, Itajaí/SC</t>
        </is>
      </c>
    </row>
    <row r="6">
      <c r="A6" t="inlineStr">
        <is>
          <t>Proprietário:</t>
        </is>
      </c>
      <c r="B6" t="inlineStr">
        <is>
          <t>Belli Empreendimentos Ltda.</t>
        </is>
      </c>
    </row>
    <row r="7">
      <c r="A7" t="inlineStr"/>
      <c r="B7" t="inlineStr"/>
    </row>
    <row r="8">
      <c r="A8" t="inlineStr">
        <is>
          <t>Área Construída Total:</t>
        </is>
      </c>
      <c r="B8" t="inlineStr">
        <is>
          <t>13,054.00 m²</t>
        </is>
      </c>
    </row>
    <row r="9">
      <c r="A9" t="inlineStr">
        <is>
          <t>Unidades Residenciais:</t>
        </is>
      </c>
      <c r="B9" t="inlineStr">
        <is>
          <t>136 apartamentos</t>
        </is>
      </c>
    </row>
    <row r="10">
      <c r="A10" t="inlineStr">
        <is>
          <t>Unidades Comerciais:</t>
        </is>
      </c>
      <c r="B10" t="inlineStr">
        <is>
          <t>2 salas</t>
        </is>
      </c>
    </row>
    <row r="11">
      <c r="A11" t="inlineStr">
        <is>
          <t>Pavimentos:</t>
        </is>
      </c>
      <c r="B11" t="inlineStr">
        <is>
          <t>24 (3 garagens + térreo + lazer + 17 tipos + ático + cobertura)</t>
        </is>
      </c>
    </row>
    <row r="12">
      <c r="A12" t="inlineStr"/>
      <c r="B12" t="inlineStr"/>
    </row>
    <row r="13">
      <c r="A13" s="2" t="inlineStr">
        <is>
          <t>INDICADORES DE CUSTO</t>
        </is>
      </c>
      <c r="B13" t="inlineStr">
        <is>
          <t>VALOR</t>
        </is>
      </c>
    </row>
    <row r="14">
      <c r="A14" t="inlineStr">
        <is>
          <t>Custo Total Estimado:</t>
        </is>
      </c>
      <c r="B14" t="inlineStr">
        <is>
          <t>R$ 58,359,617.47</t>
        </is>
      </c>
    </row>
    <row r="15">
      <c r="A15" t="inlineStr">
        <is>
          <t>Custo por m²:</t>
        </is>
      </c>
      <c r="B15" t="inlineStr">
        <is>
          <t>R$ 4,470.63</t>
        </is>
      </c>
    </row>
    <row r="16">
      <c r="A16" t="inlineStr">
        <is>
          <t>Custo por Unidade:</t>
        </is>
      </c>
      <c r="B16" t="inlineStr">
        <is>
          <t>R$ 429,114.83</t>
        </is>
      </c>
    </row>
    <row r="17">
      <c r="A17" t="inlineStr">
        <is>
          <t>CUB-SC (mar/2026):</t>
        </is>
      </c>
      <c r="B17" t="inlineStr">
        <is>
          <t>R$ 3,150.00/m²</t>
        </is>
      </c>
    </row>
    <row r="18">
      <c r="A18" t="inlineStr">
        <is>
          <t>CUB Ratio:</t>
        </is>
      </c>
      <c r="B18" t="inlineStr">
        <is>
          <t>1.42</t>
        </is>
      </c>
    </row>
    <row r="21">
      <c r="A21" s="3" t="inlineStr">
        <is>
          <t>CUSTO POR MACROGRUPO</t>
        </is>
      </c>
    </row>
    <row r="22">
      <c r="A22" s="3" t="inlineStr">
        <is>
          <t>#</t>
        </is>
      </c>
      <c r="B22" s="3" t="inlineStr">
        <is>
          <t>Macrogrupo</t>
        </is>
      </c>
      <c r="C22" s="3" t="inlineStr">
        <is>
          <t>Valor Total (R$)</t>
        </is>
      </c>
      <c r="D22" s="3" t="inlineStr">
        <is>
          <t>% do Total</t>
        </is>
      </c>
      <c r="E22" s="3" t="inlineStr">
        <is>
          <t>R$/m²</t>
        </is>
      </c>
    </row>
    <row r="23">
      <c r="A23" t="inlineStr">
        <is>
          <t>1</t>
        </is>
      </c>
      <c r="B23" t="inlineStr">
        <is>
          <t>Supraestrutura</t>
        </is>
      </c>
      <c r="C23" s="4" t="n">
        <v>10660385.93</v>
      </c>
      <c r="D23" s="5" t="n">
        <v>0.1826671659642049</v>
      </c>
      <c r="E23" s="4" t="n">
        <v>816.6375003830243</v>
      </c>
    </row>
    <row r="24">
      <c r="A24" s="6" t="inlineStr">
        <is>
          <t>2</t>
        </is>
      </c>
      <c r="B24" s="6" t="inlineStr">
        <is>
          <t>Gerenciamento</t>
        </is>
      </c>
      <c r="C24" s="7" t="n">
        <v>6135118.92</v>
      </c>
      <c r="D24" s="8" t="n">
        <v>0.1051260989356858</v>
      </c>
      <c r="E24" s="7" t="n">
        <v>469.98</v>
      </c>
    </row>
    <row r="25">
      <c r="A25" t="inlineStr">
        <is>
          <t>3</t>
        </is>
      </c>
      <c r="B25" t="inlineStr">
        <is>
          <t>Infraestrutura</t>
        </is>
      </c>
      <c r="C25" s="4" t="n">
        <v>5985244.38</v>
      </c>
      <c r="D25" s="5" t="n">
        <v>0.1025579782642808</v>
      </c>
      <c r="E25" s="4" t="n">
        <v>458.4988800367703</v>
      </c>
    </row>
    <row r="26">
      <c r="A26" s="6" t="inlineStr">
        <is>
          <t>4</t>
        </is>
      </c>
      <c r="B26" s="6" t="inlineStr">
        <is>
          <t>Instalações</t>
        </is>
      </c>
      <c r="C26" s="7" t="n">
        <v>5458587.54</v>
      </c>
      <c r="D26" s="8" t="n">
        <v>0.09353364152542654</v>
      </c>
      <c r="E26" s="7" t="n">
        <v>418.1544001838517</v>
      </c>
    </row>
    <row r="27">
      <c r="A27" t="inlineStr">
        <is>
          <t>5</t>
        </is>
      </c>
      <c r="B27" t="inlineStr">
        <is>
          <t>Complementares</t>
        </is>
      </c>
      <c r="C27" s="4" t="n">
        <v>4730035.31</v>
      </c>
      <c r="D27" s="5" t="n">
        <v>0.08104979975976528</v>
      </c>
      <c r="E27" s="4" t="n">
        <v>362.3437498084878</v>
      </c>
    </row>
    <row r="28">
      <c r="A28" s="6" t="inlineStr">
        <is>
          <t>6</t>
        </is>
      </c>
      <c r="B28" s="6" t="inlineStr">
        <is>
          <t>Esquadrias</t>
        </is>
      </c>
      <c r="C28" s="7" t="n">
        <v>4537309.32</v>
      </c>
      <c r="D28" s="8" t="n">
        <v>0.07774741365178452</v>
      </c>
      <c r="E28" s="7" t="n">
        <v>347.58</v>
      </c>
    </row>
    <row r="29">
      <c r="A29" t="inlineStr">
        <is>
          <t>7</t>
        </is>
      </c>
      <c r="B29" t="inlineStr">
        <is>
          <t>Alvenaria</t>
        </is>
      </c>
      <c r="C29" s="4" t="n">
        <v>2876618.6</v>
      </c>
      <c r="D29" s="5" t="n">
        <v>0.04929125180573258</v>
      </c>
      <c r="E29" s="4" t="n">
        <v>220.3629998467903</v>
      </c>
    </row>
    <row r="30">
      <c r="A30" s="6" t="inlineStr">
        <is>
          <t>8</t>
        </is>
      </c>
      <c r="B30" s="6" t="inlineStr">
        <is>
          <t>Sistemas Especiais</t>
        </is>
      </c>
      <c r="C30" s="7" t="n">
        <v>2796003.62</v>
      </c>
      <c r="D30" s="8" t="n">
        <v>0.04790990313528524</v>
      </c>
      <c r="E30" s="7" t="n">
        <v>214.1874996169757</v>
      </c>
    </row>
    <row r="31">
      <c r="A31" t="inlineStr">
        <is>
          <t>9</t>
        </is>
      </c>
      <c r="B31" t="inlineStr">
        <is>
          <t>Pisos</t>
        </is>
      </c>
      <c r="C31" s="4" t="n">
        <v>2714448.76</v>
      </c>
      <c r="D31" s="5" t="n">
        <v>0.04651244949292845</v>
      </c>
      <c r="E31" s="4" t="n">
        <v>207.94</v>
      </c>
    </row>
    <row r="32">
      <c r="A32" s="6" t="inlineStr">
        <is>
          <t>10</t>
        </is>
      </c>
      <c r="B32" s="6" t="inlineStr">
        <is>
          <t>Fachada</t>
        </is>
      </c>
      <c r="C32" s="7" t="n">
        <v>2504292.41</v>
      </c>
      <c r="D32" s="8" t="n">
        <v>0.04291139179051922</v>
      </c>
      <c r="E32" s="7" t="n">
        <v>191.8409996935805</v>
      </c>
    </row>
    <row r="33">
      <c r="A33" t="inlineStr">
        <is>
          <t>11</t>
        </is>
      </c>
      <c r="B33" t="inlineStr">
        <is>
          <t>Rev. Int. Parede</t>
        </is>
      </c>
      <c r="C33" s="4" t="n">
        <v>2403763.56</v>
      </c>
      <c r="D33" s="5" t="n">
        <v>0.04118881624328097</v>
      </c>
      <c r="E33" s="4" t="n">
        <v>184.14</v>
      </c>
    </row>
    <row r="34">
      <c r="A34" s="6" t="inlineStr">
        <is>
          <t>12</t>
        </is>
      </c>
      <c r="B34" s="6" t="inlineStr">
        <is>
          <t>Pintura</t>
        </is>
      </c>
      <c r="C34" s="7" t="n">
        <v>1939824.4</v>
      </c>
      <c r="D34" s="8" t="n">
        <v>0.03323915549989982</v>
      </c>
      <c r="E34" s="7" t="n">
        <v>148.6</v>
      </c>
    </row>
    <row r="35">
      <c r="A35" t="inlineStr">
        <is>
          <t>13</t>
        </is>
      </c>
      <c r="B35" t="inlineStr">
        <is>
          <t>Impermeabilização</t>
        </is>
      </c>
      <c r="C35" s="4" t="n">
        <v>1596047.31</v>
      </c>
      <c r="D35" s="5" t="n">
        <v>0.02734848820454409</v>
      </c>
      <c r="E35" s="4" t="n">
        <v>122.265</v>
      </c>
    </row>
    <row r="36">
      <c r="A36" s="6" t="inlineStr">
        <is>
          <t>14</t>
        </is>
      </c>
      <c r="B36" s="6" t="inlineStr">
        <is>
          <t>Movimentação de Terra</t>
        </is>
      </c>
      <c r="C36" s="7" t="n">
        <v>1200968</v>
      </c>
      <c r="D36" s="8" t="n">
        <v>0.02057875037678858</v>
      </c>
      <c r="E36" s="7" t="n">
        <v>92</v>
      </c>
    </row>
    <row r="37">
      <c r="A37" t="inlineStr">
        <is>
          <t>15</t>
        </is>
      </c>
      <c r="B37" t="inlineStr">
        <is>
          <t>Teto</t>
        </is>
      </c>
      <c r="C37" s="4" t="n">
        <v>916912.96</v>
      </c>
      <c r="D37" s="5" t="n">
        <v>0.01571142854853946</v>
      </c>
      <c r="E37" s="4" t="n">
        <v>70.23999999999999</v>
      </c>
    </row>
    <row r="38">
      <c r="A38" s="6" t="inlineStr">
        <is>
          <t>16</t>
        </is>
      </c>
      <c r="B38" s="6" t="inlineStr">
        <is>
          <t>Climatização</t>
        </is>
      </c>
      <c r="C38" s="7" t="n">
        <v>760917.66</v>
      </c>
      <c r="D38" s="8" t="n">
        <v>0.01303842782025007</v>
      </c>
      <c r="E38" s="7" t="n">
        <v>58.29</v>
      </c>
    </row>
    <row r="39">
      <c r="A39" t="inlineStr">
        <is>
          <t>17</t>
        </is>
      </c>
      <c r="B39" t="inlineStr">
        <is>
          <t>Imprevistos</t>
        </is>
      </c>
      <c r="C39" s="4" t="n">
        <v>752693.64</v>
      </c>
      <c r="D39" s="5" t="n">
        <v>0.01289750811658293</v>
      </c>
      <c r="E39" s="4" t="n">
        <v>57.66</v>
      </c>
    </row>
    <row r="40">
      <c r="A40" s="6" t="inlineStr">
        <is>
          <t>18</t>
        </is>
      </c>
      <c r="B40" s="6" t="inlineStr">
        <is>
          <t>Louças e Metais</t>
        </is>
      </c>
      <c r="C40" s="7" t="n">
        <v>390445.14</v>
      </c>
      <c r="D40" s="8" t="n">
        <v>0.006690330693149418</v>
      </c>
      <c r="E40" s="7" t="n">
        <v>29.91</v>
      </c>
    </row>
    <row r="41">
      <c r="A41" s="2" t="inlineStr">
        <is>
          <t>TOTAL</t>
        </is>
      </c>
      <c r="C41" s="9" t="n">
        <v>58359617.47</v>
      </c>
      <c r="D41" s="10" t="n">
        <v>1</v>
      </c>
    </row>
  </sheetData>
  <mergeCells count="2">
    <mergeCell ref="A21:E2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8" customWidth="1" min="3" max="3"/>
    <col width="12" customWidth="1" min="4" max="4"/>
    <col width="15" customWidth="1" min="5" max="5"/>
    <col width="18" customWidth="1" min="6" max="6"/>
    <col width="18" customWidth="1" min="7" max="7"/>
    <col width="18" customWidth="1" min="8" max="8"/>
    <col width="10" customWidth="1" min="9" max="9"/>
  </cols>
  <sheetData>
    <row r="1">
      <c r="A1" s="3" t="inlineStr">
        <is>
          <t>Código</t>
        </is>
      </c>
      <c r="B1" s="3" t="inlineStr">
        <is>
          <t>Descrição</t>
        </is>
      </c>
      <c r="C1" s="3" t="inlineStr">
        <is>
          <t>Un</t>
        </is>
      </c>
      <c r="D1" s="3" t="inlineStr">
        <is>
          <t>Qtd</t>
        </is>
      </c>
      <c r="E1" s="3" t="inlineStr">
        <is>
          <t>R$ Unit</t>
        </is>
      </c>
      <c r="F1" s="3" t="inlineStr">
        <is>
          <t>Total Mat</t>
        </is>
      </c>
      <c r="G1" s="3" t="inlineStr">
        <is>
          <t>Total MO</t>
        </is>
      </c>
      <c r="H1" s="3" t="inlineStr">
        <is>
          <t>Total</t>
        </is>
      </c>
      <c r="I1" s="3" t="inlineStr">
        <is>
          <t>% Total</t>
        </is>
      </c>
    </row>
    <row r="2">
      <c r="A2" s="11" t="inlineStr">
        <is>
          <t>01</t>
        </is>
      </c>
      <c r="B2" s="11" t="inlineStr">
        <is>
          <t>MOVIMENTAÇÃO DE TERRA</t>
        </is>
      </c>
      <c r="C2" s="12" t="n"/>
      <c r="D2" s="12" t="n"/>
      <c r="E2" s="12" t="n"/>
      <c r="F2" s="12" t="n"/>
      <c r="G2" s="12" t="n"/>
      <c r="H2" s="12" t="n"/>
      <c r="I2" s="12" t="n"/>
    </row>
    <row r="3">
      <c r="A3" t="inlineStr">
        <is>
          <t>01.01.001</t>
        </is>
      </c>
      <c r="B3" t="inlineStr">
        <is>
          <t xml:space="preserve">  Locação da obra (topografia)</t>
        </is>
      </c>
      <c r="C3" t="inlineStr">
        <is>
          <t>m²</t>
        </is>
      </c>
      <c r="D3" s="13" t="n">
        <v>13054</v>
      </c>
      <c r="E3" s="4" t="n">
        <v>3.5</v>
      </c>
      <c r="F3" s="4">
        <f>D3*E3*0.40</f>
        <v/>
      </c>
      <c r="G3" s="4">
        <f>D3*E3*0.60</f>
        <v/>
      </c>
      <c r="H3" s="4">
        <f>F3+G3</f>
        <v/>
      </c>
      <c r="I3" s="14">
        <f>H3/$H$1000</f>
        <v/>
      </c>
    </row>
    <row r="4">
      <c r="A4" s="6" t="inlineStr">
        <is>
          <t>01.01.002</t>
        </is>
      </c>
      <c r="B4" s="6" t="inlineStr">
        <is>
          <t xml:space="preserve">  Placa de obra em aço galvanizado</t>
        </is>
      </c>
      <c r="C4" s="6" t="inlineStr">
        <is>
          <t>un</t>
        </is>
      </c>
      <c r="D4" s="15" t="n">
        <v>1</v>
      </c>
      <c r="E4" s="7" t="n">
        <v>2500</v>
      </c>
      <c r="F4" s="7">
        <f>D4*E4*0.40</f>
        <v/>
      </c>
      <c r="G4" s="7">
        <f>D4*E4*0.60</f>
        <v/>
      </c>
      <c r="H4" s="7">
        <f>F4+G4</f>
        <v/>
      </c>
      <c r="I4" s="16">
        <f>H4/$H$1000</f>
        <v/>
      </c>
    </row>
    <row r="5">
      <c r="A5" t="inlineStr">
        <is>
          <t>01.02.001</t>
        </is>
      </c>
      <c r="B5" t="inlineStr">
        <is>
          <t xml:space="preserve">  Demolição de edificação existente</t>
        </is>
      </c>
      <c r="C5" t="inlineStr">
        <is>
          <t>m²</t>
        </is>
      </c>
      <c r="D5" s="13" t="n">
        <v>450</v>
      </c>
      <c r="E5" s="4" t="n">
        <v>85</v>
      </c>
      <c r="F5" s="4">
        <f>D5*E5*0.40</f>
        <v/>
      </c>
      <c r="G5" s="4">
        <f>D5*E5*0.60</f>
        <v/>
      </c>
      <c r="H5" s="4">
        <f>F5+G5</f>
        <v/>
      </c>
      <c r="I5" s="14">
        <f>H5/$H$1000</f>
        <v/>
      </c>
    </row>
    <row r="6">
      <c r="A6" s="6" t="inlineStr">
        <is>
          <t>01.03.001</t>
        </is>
      </c>
      <c r="B6" s="6" t="inlineStr">
        <is>
          <t xml:space="preserve">  Escavação mecânica (3 subsolos - ~10m profundidade)</t>
        </is>
      </c>
      <c r="C6" s="6" t="inlineStr">
        <is>
          <t>m³</t>
        </is>
      </c>
      <c r="D6" s="15" t="n">
        <v>8500</v>
      </c>
      <c r="E6" s="7" t="n">
        <v>42</v>
      </c>
      <c r="F6" s="7">
        <f>D6*E6*0.40</f>
        <v/>
      </c>
      <c r="G6" s="7">
        <f>D6*E6*0.60</f>
        <v/>
      </c>
      <c r="H6" s="7">
        <f>F6+G6</f>
        <v/>
      </c>
      <c r="I6" s="16">
        <f>H6/$H$1000</f>
        <v/>
      </c>
    </row>
    <row r="7">
      <c r="A7" t="inlineStr">
        <is>
          <t>01.03.002</t>
        </is>
      </c>
      <c r="B7" t="inlineStr">
        <is>
          <t xml:space="preserve">  Transporte de terra excedente (bota-fora)</t>
        </is>
      </c>
      <c r="C7" t="inlineStr">
        <is>
          <t>m³</t>
        </is>
      </c>
      <c r="D7" s="13" t="n">
        <v>7200</v>
      </c>
      <c r="E7" s="4" t="n">
        <v>35</v>
      </c>
      <c r="F7" s="4">
        <f>D7*E7*0.40</f>
        <v/>
      </c>
      <c r="G7" s="4">
        <f>D7*E7*0.60</f>
        <v/>
      </c>
      <c r="H7" s="4">
        <f>F7+G7</f>
        <v/>
      </c>
      <c r="I7" s="14">
        <f>H7/$H$1000</f>
        <v/>
      </c>
    </row>
    <row r="1000">
      <c r="A1000" s="3" t="inlineStr">
        <is>
          <t>TOTAL GERAL</t>
        </is>
      </c>
      <c r="H1000" s="17" t="n">
        <v>58359617.47</v>
      </c>
    </row>
  </sheetData>
  <mergeCells count="1">
    <mergeCell ref="A1000:C100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8" customWidth="1" min="4" max="4"/>
    <col width="12" customWidth="1" min="5" max="5"/>
    <col width="12" customWidth="1" min="6" max="6"/>
    <col width="8" customWidth="1" min="7" max="7"/>
  </cols>
  <sheetData>
    <row r="1">
      <c r="A1" s="3" t="inlineStr">
        <is>
          <t>#</t>
        </is>
      </c>
      <c r="B1" s="3" t="inlineStr">
        <is>
          <t>Código</t>
        </is>
      </c>
      <c r="C1" s="3" t="inlineStr">
        <is>
          <t>Descrição</t>
        </is>
      </c>
      <c r="D1" s="3" t="inlineStr">
        <is>
          <t>Valor (R$)</t>
        </is>
      </c>
      <c r="E1" s="3" t="inlineStr">
        <is>
          <t>% Indiv</t>
        </is>
      </c>
      <c r="F1" s="3" t="inlineStr">
        <is>
          <t>% Acum</t>
        </is>
      </c>
      <c r="G1" s="3" t="inlineStr">
        <is>
          <t>Classe</t>
        </is>
      </c>
    </row>
    <row r="2">
      <c r="A2" s="6" t="inlineStr">
        <is>
          <t>1</t>
        </is>
      </c>
      <c r="B2" s="6" t="inlineStr">
        <is>
          <t>03.03.001</t>
        </is>
      </c>
      <c r="C2" s="6" t="inlineStr">
        <is>
          <t>Aço CA-50 (fornecimento + corte + dobra)</t>
        </is>
      </c>
      <c r="D2" s="7" t="n">
        <v>1530000</v>
      </c>
      <c r="E2" s="16">
        <f>D2/SUM($D$2:$D$11)</f>
        <v/>
      </c>
      <c r="F2" s="16">
        <f>E2</f>
        <v/>
      </c>
      <c r="G2" s="6">
        <f>IF(F2&lt;=0.70,"A",IF(F2&lt;=0.90,"B","C"))</f>
        <v/>
      </c>
    </row>
    <row r="3">
      <c r="A3" t="inlineStr">
        <is>
          <t>2</t>
        </is>
      </c>
      <c r="B3" t="inlineStr">
        <is>
          <t>14.01.001</t>
        </is>
      </c>
      <c r="C3" t="inlineStr">
        <is>
          <t>Elevador social (8 pessoas)</t>
        </is>
      </c>
      <c r="D3" s="4" t="n">
        <v>760000</v>
      </c>
      <c r="E3" s="14">
        <f>D3/SUM($D$2:$D$11)</f>
        <v/>
      </c>
      <c r="F3" s="14">
        <f>E3+IF(F2&gt;0,F2,0)</f>
        <v/>
      </c>
      <c r="G3">
        <f>IF(F3&lt;=0.70,"A",IF(F3&lt;=0.90,"B","C"))</f>
        <v/>
      </c>
    </row>
    <row r="4">
      <c r="A4" s="6" t="inlineStr">
        <is>
          <t>3</t>
        </is>
      </c>
      <c r="B4" s="6" t="inlineStr">
        <is>
          <t>10.03.001</t>
        </is>
      </c>
      <c r="C4" s="6" t="inlineStr">
        <is>
          <t>Guarda-corpo em vidro laminado</t>
        </is>
      </c>
      <c r="D4" s="7" t="n">
        <v>1044000</v>
      </c>
      <c r="E4" s="16">
        <f>D4/SUM($D$2:$D$11)</f>
        <v/>
      </c>
      <c r="F4" s="16">
        <f>E4+IF(F3&gt;0,F3,0)</f>
        <v/>
      </c>
      <c r="G4" s="6">
        <f>IF(F4&lt;=0.70,"A",IF(F4&lt;=0.90,"B","C"))</f>
        <v/>
      </c>
    </row>
    <row r="5">
      <c r="A5" t="inlineStr">
        <is>
          <t>4</t>
        </is>
      </c>
      <c r="B5" t="inlineStr">
        <is>
          <t>02.01.001</t>
        </is>
      </c>
      <c r="C5" t="inlineStr">
        <is>
          <t>Cortina de estacas</t>
        </is>
      </c>
      <c r="D5" s="4" t="n">
        <v>1020000</v>
      </c>
      <c r="E5" s="14">
        <f>D5/SUM($D$2:$D$11)</f>
        <v/>
      </c>
      <c r="F5" s="14">
        <f>E5+IF(F4&gt;0,F4,0)</f>
        <v/>
      </c>
      <c r="G5">
        <f>IF(F5&lt;=0.70,"A",IF(F5&lt;=0.90,"B","C"))</f>
        <v/>
      </c>
    </row>
    <row r="6">
      <c r="A6" s="6" t="inlineStr">
        <is>
          <t>5</t>
        </is>
      </c>
      <c r="B6" s="6" t="inlineStr">
        <is>
          <t>08.01.002</t>
        </is>
      </c>
      <c r="C6" s="6" t="inlineStr">
        <is>
          <t>Piso laminado de madeira</t>
        </is>
      </c>
      <c r="D6" s="7" t="n">
        <v>931000</v>
      </c>
      <c r="E6" s="16">
        <f>D6/SUM($D$2:$D$11)</f>
        <v/>
      </c>
      <c r="F6" s="16">
        <f>E6+IF(F5&gt;0,F5,0)</f>
        <v/>
      </c>
      <c r="G6" s="6">
        <f>IF(F6&lt;=0.70,"A",IF(F6&lt;=0.90,"B","C"))</f>
        <v/>
      </c>
    </row>
    <row r="7">
      <c r="A7" t="inlineStr">
        <is>
          <t>6</t>
        </is>
      </c>
      <c r="B7" t="inlineStr">
        <is>
          <t>03.01.001</t>
        </is>
      </c>
      <c r="C7" t="inlineStr">
        <is>
          <t>Concreto 30MPa</t>
        </is>
      </c>
      <c r="D7" s="4" t="n">
        <v>812000</v>
      </c>
      <c r="E7" s="14">
        <f>D7/SUM($D$2:$D$11)</f>
        <v/>
      </c>
      <c r="F7" s="14">
        <f>E7+IF(F6&gt;0,F6,0)</f>
        <v/>
      </c>
      <c r="G7">
        <f>IF(F7&lt;=0.70,"A",IF(F7&lt;=0.90,"B","C"))</f>
        <v/>
      </c>
    </row>
    <row r="8">
      <c r="A8" s="6" t="inlineStr">
        <is>
          <t>7</t>
        </is>
      </c>
      <c r="B8" s="6" t="inlineStr">
        <is>
          <t>09.01.001</t>
        </is>
      </c>
      <c r="C8" s="6" t="inlineStr">
        <is>
          <t>Pintura acrílica fosca</t>
        </is>
      </c>
      <c r="D8" s="7" t="n">
        <v>616000</v>
      </c>
      <c r="E8" s="16">
        <f>D8/SUM($D$2:$D$11)</f>
        <v/>
      </c>
      <c r="F8" s="16">
        <f>E8+IF(F7&gt;0,F7,0)</f>
        <v/>
      </c>
      <c r="G8" s="6">
        <f>IF(F8&lt;=0.70,"A",IF(F8&lt;=0.90,"B","C"))</f>
        <v/>
      </c>
    </row>
    <row r="9">
      <c r="A9" t="inlineStr">
        <is>
          <t>8</t>
        </is>
      </c>
      <c r="B9" t="inlineStr">
        <is>
          <t>02.01.002</t>
        </is>
      </c>
      <c r="C9" t="inlineStr">
        <is>
          <t>Tirantes</t>
        </is>
      </c>
      <c r="D9" s="4" t="n">
        <v>576000</v>
      </c>
      <c r="E9" s="14">
        <f>D9/SUM($D$2:$D$11)</f>
        <v/>
      </c>
      <c r="F9" s="14">
        <f>E9+IF(F8&gt;0,F8,0)</f>
        <v/>
      </c>
      <c r="G9">
        <f>IF(F9&lt;=0.70,"A",IF(F9&lt;=0.90,"B","C"))</f>
        <v/>
      </c>
    </row>
    <row r="10">
      <c r="A10" s="6" t="inlineStr">
        <is>
          <t>9</t>
        </is>
      </c>
      <c r="B10" s="6" t="inlineStr">
        <is>
          <t>03.02.003</t>
        </is>
      </c>
      <c r="C10" s="6" t="inlineStr">
        <is>
          <t>Forma de lajes</t>
        </is>
      </c>
      <c r="D10" s="7" t="n">
        <v>573750</v>
      </c>
      <c r="E10" s="16">
        <f>D10/SUM($D$2:$D$11)</f>
        <v/>
      </c>
      <c r="F10" s="16">
        <f>E10+IF(F9&gt;0,F9,0)</f>
        <v/>
      </c>
      <c r="G10" s="6">
        <f>IF(F10&lt;=0.70,"A",IF(F10&lt;=0.90,"B","C"))</f>
        <v/>
      </c>
    </row>
    <row r="11">
      <c r="A11" t="inlineStr">
        <is>
          <t>10</t>
        </is>
      </c>
      <c r="B11" t="inlineStr">
        <is>
          <t>10.01.001</t>
        </is>
      </c>
      <c r="C11" t="inlineStr">
        <is>
          <t>Porta de correr 4 folhas</t>
        </is>
      </c>
      <c r="D11" s="4" t="n">
        <v>560000</v>
      </c>
      <c r="E11" s="14">
        <f>D11/SUM($D$2:$D$11)</f>
        <v/>
      </c>
      <c r="F11" s="14">
        <f>E11+IF(F10&gt;0,F10,0)</f>
        <v/>
      </c>
      <c r="G11">
        <f>IF(F11&lt;=0.70,"A",IF(F11&lt;=0.90,"B","C"))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3" t="inlineStr">
        <is>
          <t>Macrogrupo</t>
        </is>
      </c>
      <c r="B1" s="3" t="inlineStr">
        <is>
          <t>M1</t>
        </is>
      </c>
      <c r="C1" s="3" t="inlineStr">
        <is>
          <t>M2</t>
        </is>
      </c>
      <c r="D1" s="3" t="inlineStr">
        <is>
          <t>M3</t>
        </is>
      </c>
      <c r="E1" s="3" t="inlineStr">
        <is>
          <t>M4</t>
        </is>
      </c>
      <c r="F1" s="3" t="inlineStr">
        <is>
          <t>M5</t>
        </is>
      </c>
      <c r="G1" s="3" t="inlineStr">
        <is>
          <t>M6</t>
        </is>
      </c>
      <c r="H1" s="3" t="inlineStr">
        <is>
          <t>M7</t>
        </is>
      </c>
      <c r="I1" s="3" t="inlineStr">
        <is>
          <t>M8</t>
        </is>
      </c>
      <c r="J1" s="3" t="inlineStr">
        <is>
          <t>M9</t>
        </is>
      </c>
      <c r="K1" s="3" t="inlineStr">
        <is>
          <t>M10</t>
        </is>
      </c>
      <c r="L1" s="3" t="inlineStr">
        <is>
          <t>M11</t>
        </is>
      </c>
      <c r="M1" s="3" t="inlineStr">
        <is>
          <t>M12</t>
        </is>
      </c>
      <c r="N1" s="3" t="inlineStr">
        <is>
          <t>M13</t>
        </is>
      </c>
      <c r="O1" s="3" t="inlineStr">
        <is>
          <t>M14</t>
        </is>
      </c>
      <c r="P1" s="3" t="inlineStr">
        <is>
          <t>M15</t>
        </is>
      </c>
      <c r="Q1" s="3" t="inlineStr">
        <is>
          <t>M16</t>
        </is>
      </c>
      <c r="R1" s="3" t="inlineStr">
        <is>
          <t>M17</t>
        </is>
      </c>
      <c r="S1" s="3" t="inlineStr">
        <is>
          <t>M18</t>
        </is>
      </c>
      <c r="T1" s="3" t="inlineStr">
        <is>
          <t>M19</t>
        </is>
      </c>
      <c r="U1" s="3" t="inlineStr">
        <is>
          <t>M20</t>
        </is>
      </c>
      <c r="V1" s="3" t="inlineStr">
        <is>
          <t>M21</t>
        </is>
      </c>
      <c r="W1" s="3" t="inlineStr">
        <is>
          <t>M22</t>
        </is>
      </c>
      <c r="X1" s="3" t="inlineStr">
        <is>
          <t>M23</t>
        </is>
      </c>
      <c r="Y1" s="3" t="inlineStr">
        <is>
          <t>M24</t>
        </is>
      </c>
      <c r="Z1" s="3" t="inlineStr">
        <is>
          <t>M25</t>
        </is>
      </c>
      <c r="AA1" s="3" t="inlineStr">
        <is>
          <t>M26</t>
        </is>
      </c>
      <c r="AB1" s="3" t="inlineStr">
        <is>
          <t>M27</t>
        </is>
      </c>
      <c r="AC1" s="3" t="inlineStr">
        <is>
          <t>M28</t>
        </is>
      </c>
      <c r="AD1" s="3" t="inlineStr">
        <is>
          <t>M29</t>
        </is>
      </c>
      <c r="AE1" s="3" t="inlineStr">
        <is>
          <t>M30</t>
        </is>
      </c>
      <c r="AF1" s="3" t="inlineStr">
        <is>
          <t>M31</t>
        </is>
      </c>
      <c r="AG1" s="3" t="inlineStr">
        <is>
          <t>M32</t>
        </is>
      </c>
      <c r="AH1" s="3" t="inlineStr">
        <is>
          <t>M33</t>
        </is>
      </c>
      <c r="AI1" s="3" t="inlineStr">
        <is>
          <t>M34</t>
        </is>
      </c>
      <c r="AJ1" s="3" t="inlineStr">
        <is>
          <t>M35</t>
        </is>
      </c>
      <c r="AK1" s="3" t="inlineStr">
        <is>
          <t>M36</t>
        </is>
      </c>
      <c r="AL1" s="3" t="inlineStr">
        <is>
          <t>Total</t>
        </is>
      </c>
    </row>
    <row r="2">
      <c r="A2" s="2" t="inlineStr">
        <is>
          <t>Mov. Terra</t>
        </is>
      </c>
      <c r="AL2" s="4" t="n">
        <v>0</v>
      </c>
    </row>
    <row r="3">
      <c r="A3" s="2" t="inlineStr">
        <is>
          <t>Infraestrutura</t>
        </is>
      </c>
      <c r="AL3" s="4" t="n">
        <v>0</v>
      </c>
    </row>
    <row r="4">
      <c r="A4" s="2" t="inlineStr">
        <is>
          <t>Supraestrutura</t>
        </is>
      </c>
      <c r="AL4" s="4" t="n">
        <v>0</v>
      </c>
    </row>
    <row r="5">
      <c r="A5" s="2" t="inlineStr">
        <is>
          <t>Alvenaria</t>
        </is>
      </c>
      <c r="AL5" s="4" t="n">
        <v>0</v>
      </c>
    </row>
    <row r="6">
      <c r="A6" s="2" t="inlineStr">
        <is>
          <t>Impermeabilização</t>
        </is>
      </c>
      <c r="AL6" s="4" t="n">
        <v>0</v>
      </c>
    </row>
    <row r="7">
      <c r="A7" s="2" t="inlineStr">
        <is>
          <t>Rev. Int. Parede</t>
        </is>
      </c>
      <c r="AL7" s="4" t="n">
        <v>0</v>
      </c>
    </row>
    <row r="8">
      <c r="A8" s="2" t="inlineStr">
        <is>
          <t>Teto/Forro</t>
        </is>
      </c>
      <c r="AL8" s="4" t="n">
        <v>0</v>
      </c>
    </row>
    <row r="9">
      <c r="A9" s="2" t="inlineStr">
        <is>
          <t>Pisos</t>
        </is>
      </c>
      <c r="AL9" s="4" t="n">
        <v>0</v>
      </c>
    </row>
    <row r="10">
      <c r="A10" s="2" t="inlineStr">
        <is>
          <t>Pintura</t>
        </is>
      </c>
      <c r="AL10" s="4" t="n">
        <v>0</v>
      </c>
    </row>
    <row r="11">
      <c r="A11" s="2" t="inlineStr">
        <is>
          <t>Esquadrias</t>
        </is>
      </c>
      <c r="AL11" s="4" t="n">
        <v>0</v>
      </c>
    </row>
    <row r="12">
      <c r="A12" s="2" t="inlineStr">
        <is>
          <t>Fachada</t>
        </is>
      </c>
      <c r="AL12" s="4" t="n">
        <v>0</v>
      </c>
    </row>
    <row r="13">
      <c r="A13" s="2" t="inlineStr">
        <is>
          <t>Instalações Elétricas</t>
        </is>
      </c>
      <c r="AL13" s="4" t="n">
        <v>0</v>
      </c>
    </row>
    <row r="14">
      <c r="A14" s="2" t="inlineStr">
        <is>
          <t>Instalações Hidro</t>
        </is>
      </c>
      <c r="AL14" s="4" t="n">
        <v>0</v>
      </c>
    </row>
    <row r="15">
      <c r="A15" s="2" t="inlineStr">
        <is>
          <t>Sistemas Especiais</t>
        </is>
      </c>
      <c r="AL15" s="4" t="n">
        <v>0</v>
      </c>
    </row>
    <row r="16">
      <c r="A16" s="2" t="inlineStr">
        <is>
          <t>Complementares</t>
        </is>
      </c>
      <c r="AL16" s="4" t="n">
        <v>0</v>
      </c>
    </row>
    <row r="17">
      <c r="A17" s="2" t="inlineStr">
        <is>
          <t>Louças e Metais</t>
        </is>
      </c>
      <c r="AL17" s="4" t="n">
        <v>0</v>
      </c>
    </row>
    <row r="18">
      <c r="A18" s="2" t="inlineStr">
        <is>
          <t>Climatização</t>
        </is>
      </c>
      <c r="AL18" s="4" t="n">
        <v>0</v>
      </c>
    </row>
    <row r="19">
      <c r="A19" s="2" t="inlineStr">
        <is>
          <t>Gerenciamento</t>
        </is>
      </c>
      <c r="AL19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</cols>
  <sheetData>
    <row r="1">
      <c r="A1" s="18" t="inlineStr">
        <is>
          <t>COMPOSIÇÃO DO BDI</t>
        </is>
      </c>
    </row>
    <row r="3">
      <c r="A3" s="3" t="inlineStr">
        <is>
          <t>Item</t>
        </is>
      </c>
      <c r="B3" s="3" t="inlineStr">
        <is>
          <t>Descrição</t>
        </is>
      </c>
      <c r="C3" s="3" t="inlineStr">
        <is>
          <t>%</t>
        </is>
      </c>
    </row>
    <row r="4">
      <c r="A4" s="6" t="inlineStr">
        <is>
          <t>1</t>
        </is>
      </c>
      <c r="B4" s="6" t="inlineStr">
        <is>
          <t>Administração Central</t>
        </is>
      </c>
      <c r="C4" s="16" t="n">
        <v>0.08500000000000001</v>
      </c>
    </row>
    <row r="5">
      <c r="A5" t="inlineStr">
        <is>
          <t>2</t>
        </is>
      </c>
      <c r="B5" t="inlineStr">
        <is>
          <t>Garantias e Seguros</t>
        </is>
      </c>
      <c r="C5" s="14" t="n">
        <v>0.012</v>
      </c>
    </row>
    <row r="6">
      <c r="A6" s="6" t="inlineStr">
        <is>
          <t>3</t>
        </is>
      </c>
      <c r="B6" s="6" t="inlineStr">
        <is>
          <t>Riscos e Imprevistos</t>
        </is>
      </c>
      <c r="C6" s="16" t="n">
        <v>0.015</v>
      </c>
    </row>
    <row r="7">
      <c r="A7" t="inlineStr">
        <is>
          <t>4</t>
        </is>
      </c>
      <c r="B7" t="inlineStr">
        <is>
          <t>Lucro</t>
        </is>
      </c>
      <c r="C7" s="14" t="n">
        <v>0.1</v>
      </c>
    </row>
    <row r="8">
      <c r="A8" s="6" t="inlineStr">
        <is>
          <t>5</t>
        </is>
      </c>
      <c r="B8" s="6" t="inlineStr">
        <is>
          <t>Despesas Financeiras</t>
        </is>
      </c>
      <c r="C8" s="16" t="n">
        <v>0.018</v>
      </c>
    </row>
    <row r="9">
      <c r="A9" t="inlineStr">
        <is>
          <t>6</t>
        </is>
      </c>
      <c r="B9" t="inlineStr">
        <is>
          <t>ISS (5% sobre faturamento)</t>
        </is>
      </c>
      <c r="C9" s="14" t="n">
        <v>0.05</v>
      </c>
    </row>
    <row r="10">
      <c r="A10" s="6" t="inlineStr">
        <is>
          <t>7</t>
        </is>
      </c>
      <c r="B10" s="6" t="inlineStr">
        <is>
          <t>COFINS (3% sobre faturamento)</t>
        </is>
      </c>
      <c r="C10" s="16" t="n">
        <v>0.03</v>
      </c>
    </row>
    <row r="11">
      <c r="A11" t="inlineStr">
        <is>
          <t>8</t>
        </is>
      </c>
      <c r="B11" t="inlineStr">
        <is>
          <t>PIS (0,65% sobre faturamento)</t>
        </is>
      </c>
      <c r="C11" s="14" t="n">
        <v>0.0065</v>
      </c>
    </row>
    <row r="12">
      <c r="A12" s="6" t="inlineStr">
        <is>
          <t>9</t>
        </is>
      </c>
      <c r="B12" s="6" t="inlineStr">
        <is>
          <t>CPRB (4,5% sobre faturamento)</t>
        </is>
      </c>
      <c r="C12" s="16" t="n">
        <v>0.045</v>
      </c>
    </row>
    <row r="14">
      <c r="A14" s="3" t="inlineStr">
        <is>
          <t>TOTAL</t>
        </is>
      </c>
      <c r="B14" s="3" t="inlineStr">
        <is>
          <t>BDI Composto</t>
        </is>
      </c>
      <c r="C14" s="19">
        <f>PRODUCT(1+C4:C12)-1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2026-03-11T16:14:44Z</dcterms:created>
  <dcterms:modified xmlns:dcterms="http://purl.org/dc/terms/" xmlns:xsi="http://www.w3.org/2001/XMLSchema-instance" xsi:type="dcterms:W3CDTF">2026-03-11T16:14:44Z</dcterms:modified>
</cp:coreProperties>
</file>