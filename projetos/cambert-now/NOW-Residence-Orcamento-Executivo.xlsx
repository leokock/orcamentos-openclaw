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FRAESTRUTURA" sheetId="2" state="visible" r:id="rId2"/>
    <sheet xmlns:r="http://schemas.openxmlformats.org/officeDocument/2006/relationships" name="SUPRAESTRUTURA" sheetId="3" state="visible" r:id="rId3"/>
    <sheet xmlns:r="http://schemas.openxmlformats.org/officeDocument/2006/relationships" name="PAREDES E VEDAÇÕES" sheetId="4" state="visible" r:id="rId4"/>
    <sheet xmlns:r="http://schemas.openxmlformats.org/officeDocument/2006/relationships" name="REVESTIMENTOS" sheetId="5" state="visible" r:id="rId5"/>
    <sheet xmlns:r="http://schemas.openxmlformats.org/officeDocument/2006/relationships" name="ESQUADRIAS" sheetId="6" state="visible" r:id="rId6"/>
    <sheet xmlns:r="http://schemas.openxmlformats.org/officeDocument/2006/relationships" name="INSTALAÇÕES ELÉTRICAS" sheetId="7" state="visible" r:id="rId7"/>
    <sheet xmlns:r="http://schemas.openxmlformats.org/officeDocument/2006/relationships" name="INSTALAÇÕES HIDROSSANITÁRIAS" sheetId="8" state="visible" r:id="rId8"/>
    <sheet xmlns:r="http://schemas.openxmlformats.org/officeDocument/2006/relationships" name="INSTALAÇÕES ESPECIAIS" sheetId="9" state="visible" r:id="rId9"/>
    <sheet xmlns:r="http://schemas.openxmlformats.org/officeDocument/2006/relationships" name="COMPLEMENTARES" sheetId="10" state="visible" r:id="rId10"/>
    <sheet xmlns:r="http://schemas.openxmlformats.org/officeDocument/2006/relationships" name="CUSTOS INDIRET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0" fontId="0" fillId="3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0" borderId="0" applyAlignment="1" pivotButton="0" quotePrefix="0" xfId="0">
      <alignment horizontal="right" vertical="center"/>
    </xf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5" customWidth="1" min="4" max="4"/>
    <col width="12" customWidth="1" min="5" max="5"/>
    <col width="25" customWidth="1" min="6" max="6"/>
  </cols>
  <sheetData>
    <row r="1">
      <c r="A1" s="1" t="inlineStr">
        <is>
          <t>ORÇAMENTO EXECUTIVO - NOW RESIDENCE</t>
        </is>
      </c>
    </row>
    <row r="2">
      <c r="A2" t="inlineStr">
        <is>
          <t>Empreendimento: NOW Residence - Itajaí/SC</t>
        </is>
      </c>
    </row>
    <row r="3">
      <c r="A3" t="inlineStr">
        <is>
          <t>Área Construída: 13,054.00 m²</t>
        </is>
      </c>
    </row>
    <row r="4">
      <c r="A4" t="inlineStr">
        <is>
          <t>Data: 11/03/2026</t>
        </is>
      </c>
    </row>
    <row r="6">
      <c r="A6" s="2" t="inlineStr">
        <is>
          <t>#</t>
        </is>
      </c>
      <c r="B6" s="2" t="inlineStr">
        <is>
          <t>Macrogrupo</t>
        </is>
      </c>
      <c r="C6" s="2" t="inlineStr">
        <is>
          <t>Valor Total (R$)</t>
        </is>
      </c>
      <c r="D6" s="2" t="inlineStr">
        <is>
          <t>R$/m²</t>
        </is>
      </c>
      <c r="E6" s="2" t="inlineStr">
        <is>
          <t>% do Total</t>
        </is>
      </c>
      <c r="F6" s="2" t="inlineStr">
        <is>
          <t>Observações</t>
        </is>
      </c>
    </row>
    <row r="7">
      <c r="A7" s="3" t="inlineStr">
        <is>
          <t>01</t>
        </is>
      </c>
      <c r="B7" s="3" t="inlineStr">
        <is>
          <t>Infraestrutura</t>
        </is>
      </c>
      <c r="C7" s="4">
        <f>'INFRAESTRUTURA'!F100</f>
        <v/>
      </c>
      <c r="D7" s="4">
        <f>C7/13054</f>
        <v/>
      </c>
      <c r="E7" s="5">
        <f>C7/$C$17</f>
        <v/>
      </c>
      <c r="F7" s="3" t="n"/>
    </row>
    <row r="8">
      <c r="A8" t="inlineStr">
        <is>
          <t>02</t>
        </is>
      </c>
      <c r="B8" t="inlineStr">
        <is>
          <t>Supraestrutura</t>
        </is>
      </c>
      <c r="C8" s="6">
        <f>'SUPRAESTRUTURA'!F100</f>
        <v/>
      </c>
      <c r="D8" s="6">
        <f>C8/13054</f>
        <v/>
      </c>
      <c r="E8" s="7">
        <f>C8/$C$18</f>
        <v/>
      </c>
    </row>
    <row r="9">
      <c r="A9" s="3" t="inlineStr">
        <is>
          <t>03</t>
        </is>
      </c>
      <c r="B9" s="3" t="inlineStr">
        <is>
          <t>Paredes e Vedações</t>
        </is>
      </c>
      <c r="C9" s="4">
        <f>'PAREDES E VEDAÇÕES'!F100</f>
        <v/>
      </c>
      <c r="D9" s="4">
        <f>C9/13054</f>
        <v/>
      </c>
      <c r="E9" s="5">
        <f>C9/$C$19</f>
        <v/>
      </c>
      <c r="F9" s="3" t="n"/>
    </row>
    <row r="10">
      <c r="A10" t="inlineStr">
        <is>
          <t>04</t>
        </is>
      </c>
      <c r="B10" t="inlineStr">
        <is>
          <t>Revestimentos</t>
        </is>
      </c>
      <c r="C10" s="6">
        <f>'REVESTIMENTOS'!F100</f>
        <v/>
      </c>
      <c r="D10" s="6">
        <f>C10/13054</f>
        <v/>
      </c>
      <c r="E10" s="7">
        <f>C10/$C$20</f>
        <v/>
      </c>
    </row>
    <row r="11">
      <c r="A11" s="3" t="inlineStr">
        <is>
          <t>05</t>
        </is>
      </c>
      <c r="B11" s="3" t="inlineStr">
        <is>
          <t>Esquadrias</t>
        </is>
      </c>
      <c r="C11" s="4">
        <f>'ESQUADRIAS'!F100</f>
        <v/>
      </c>
      <c r="D11" s="4">
        <f>C11/13054</f>
        <v/>
      </c>
      <c r="E11" s="5">
        <f>C11/$C$21</f>
        <v/>
      </c>
      <c r="F11" s="3" t="n"/>
    </row>
    <row r="12">
      <c r="A12" t="inlineStr">
        <is>
          <t>06</t>
        </is>
      </c>
      <c r="B12" t="inlineStr">
        <is>
          <t>Instalações Elétricas</t>
        </is>
      </c>
      <c r="C12" s="6">
        <f>'INSTALAÇÕES ELÉTRICAS'!F100</f>
        <v/>
      </c>
      <c r="D12" s="6">
        <f>C12/13054</f>
        <v/>
      </c>
      <c r="E12" s="7">
        <f>C12/$C$22</f>
        <v/>
      </c>
    </row>
    <row r="13">
      <c r="A13" s="3" t="inlineStr">
        <is>
          <t>07</t>
        </is>
      </c>
      <c r="B13" s="3" t="inlineStr">
        <is>
          <t>Instalações Hidrossanitárias</t>
        </is>
      </c>
      <c r="C13" s="4">
        <f>'INSTALAÇÕES HIDROSSANITÁRIAS'!F100</f>
        <v/>
      </c>
      <c r="D13" s="4">
        <f>C13/13054</f>
        <v/>
      </c>
      <c r="E13" s="5">
        <f>C13/$C$23</f>
        <v/>
      </c>
      <c r="F13" s="3" t="n"/>
    </row>
    <row r="14">
      <c r="A14" t="inlineStr">
        <is>
          <t>08</t>
        </is>
      </c>
      <c r="B14" t="inlineStr">
        <is>
          <t>Instalações Especiais</t>
        </is>
      </c>
      <c r="C14" s="6">
        <f>'INSTALAÇÕES ESPECIAIS'!F100</f>
        <v/>
      </c>
      <c r="D14" s="6">
        <f>C14/13054</f>
        <v/>
      </c>
      <c r="E14" s="7">
        <f>C14/$C$24</f>
        <v/>
      </c>
    </row>
    <row r="15">
      <c r="A15" s="3" t="inlineStr">
        <is>
          <t>09</t>
        </is>
      </c>
      <c r="B15" s="3" t="inlineStr">
        <is>
          <t>Complementares</t>
        </is>
      </c>
      <c r="C15" s="4">
        <f>'COMPLEMENTARES'!F100</f>
        <v/>
      </c>
      <c r="D15" s="4">
        <f>C15/13054</f>
        <v/>
      </c>
      <c r="E15" s="5">
        <f>C15/$C$25</f>
        <v/>
      </c>
      <c r="F15" s="3" t="n"/>
    </row>
    <row r="16">
      <c r="A16" t="inlineStr">
        <is>
          <t>10</t>
        </is>
      </c>
      <c r="B16" t="inlineStr">
        <is>
          <t>Custos Indiretos</t>
        </is>
      </c>
      <c r="C16" s="6">
        <f>'CUSTOS INDIRETOS'!F100</f>
        <v/>
      </c>
      <c r="D16" s="6">
        <f>C16/13054</f>
        <v/>
      </c>
      <c r="E16" s="7">
        <f>C16/$C$26</f>
        <v/>
      </c>
    </row>
    <row r="17">
      <c r="A17" s="8" t="n"/>
      <c r="C17" s="6">
        <f>SUM(C7:C16)</f>
        <v/>
      </c>
      <c r="D17" s="6">
        <f>C17/13054</f>
        <v/>
      </c>
      <c r="E17" s="7" t="inlineStr">
        <is>
          <t>100,00%</t>
        </is>
      </c>
    </row>
  </sheetData>
  <mergeCells count="2">
    <mergeCell ref="A1:F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>
      <c r="A1" s="8" t="inlineStr">
        <is>
          <t>INFRAESTRUTURA</t>
        </is>
      </c>
    </row>
    <row r="2">
      <c r="A2" s="2" t="inlineStr">
        <is>
          <t>Item</t>
        </is>
      </c>
      <c r="B2" s="2" t="inlineStr">
        <is>
          <t>Descrição</t>
        </is>
      </c>
      <c r="C2" s="2" t="inlineStr">
        <is>
          <t>Unidade</t>
        </is>
      </c>
      <c r="D2" s="2" t="inlineStr">
        <is>
          <t>Quantidade</t>
        </is>
      </c>
      <c r="E2" s="2" t="inlineStr">
        <is>
          <t>Preço Unitário (R$)</t>
        </is>
      </c>
      <c r="F2" s="2" t="inlineStr">
        <is>
          <t>Total (R$)</t>
        </is>
      </c>
    </row>
    <row r="3">
      <c r="A3" t="inlineStr">
        <is>
          <t>1.1</t>
        </is>
      </c>
      <c r="B3" t="inlineStr">
        <is>
          <t>Canteiro de obras (instalação completa)</t>
        </is>
      </c>
      <c r="C3" t="inlineStr">
        <is>
          <t>vb</t>
        </is>
      </c>
      <c r="D3" s="9" t="n">
        <v>1</v>
      </c>
      <c r="E3" s="6" t="n">
        <v>85000</v>
      </c>
      <c r="F3" s="6">
        <f>D3*E3</f>
        <v/>
      </c>
    </row>
    <row r="4">
      <c r="A4" t="inlineStr">
        <is>
          <t>1.2</t>
        </is>
      </c>
      <c r="B4" t="inlineStr">
        <is>
          <t>Limpeza do terreno</t>
        </is>
      </c>
      <c r="C4" t="inlineStr">
        <is>
          <t>m²</t>
        </is>
      </c>
      <c r="D4" s="9" t="n">
        <v>1800</v>
      </c>
      <c r="E4" s="6" t="n">
        <v>4.5</v>
      </c>
      <c r="F4" s="6">
        <f>D4*E4</f>
        <v/>
      </c>
    </row>
    <row r="5">
      <c r="A5" t="inlineStr">
        <is>
          <t>1.3</t>
        </is>
      </c>
      <c r="B5" t="inlineStr">
        <is>
          <t>Demolições</t>
        </is>
      </c>
      <c r="C5" t="inlineStr">
        <is>
          <t>m³</t>
        </is>
      </c>
      <c r="D5" s="9" t="n">
        <v>350</v>
      </c>
      <c r="E5" s="6" t="n">
        <v>95</v>
      </c>
      <c r="F5" s="6">
        <f>D5*E5</f>
        <v/>
      </c>
    </row>
    <row r="6">
      <c r="A6" t="inlineStr">
        <is>
          <t>1.4</t>
        </is>
      </c>
      <c r="B6" t="inlineStr">
        <is>
          <t>Locação da obra com gabaritos</t>
        </is>
      </c>
      <c r="C6" t="inlineStr">
        <is>
          <t>m²</t>
        </is>
      </c>
      <c r="D6" s="9" t="n">
        <v>13054</v>
      </c>
      <c r="E6" s="6" t="n">
        <v>2.8</v>
      </c>
      <c r="F6" s="6">
        <f>D6*E6</f>
        <v/>
      </c>
    </row>
    <row r="7">
      <c r="A7" s="10" t="inlineStr">
        <is>
          <t>SUBTOTAL - Serviços Preliminares</t>
        </is>
      </c>
      <c r="F7" s="11">
        <f>SUM(F3:F6)</f>
        <v/>
      </c>
    </row>
    <row r="9">
      <c r="A9" t="inlineStr">
        <is>
          <t>2.1</t>
        </is>
      </c>
      <c r="B9" t="inlineStr">
        <is>
          <t>Escavação mecanizada (subsolos)</t>
        </is>
      </c>
      <c r="C9" t="inlineStr">
        <is>
          <t>m³</t>
        </is>
      </c>
      <c r="D9" s="9" t="n">
        <v>12500</v>
      </c>
      <c r="E9" s="6" t="n">
        <v>28.5</v>
      </c>
      <c r="F9" s="6">
        <f>D9*E9</f>
        <v/>
      </c>
    </row>
    <row r="10">
      <c r="A10" t="inlineStr">
        <is>
          <t>2.2</t>
        </is>
      </c>
      <c r="B10" t="inlineStr">
        <is>
          <t>Transporte de material escavado (DMT 15km)</t>
        </is>
      </c>
      <c r="C10" t="inlineStr">
        <is>
          <t>m³×km</t>
        </is>
      </c>
      <c r="D10" s="9" t="n">
        <v>187500</v>
      </c>
      <c r="E10" s="6" t="n">
        <v>1.85</v>
      </c>
      <c r="F10" s="6">
        <f>D10*E10</f>
        <v/>
      </c>
    </row>
    <row r="11">
      <c r="A11" t="inlineStr">
        <is>
          <t>2.3</t>
        </is>
      </c>
      <c r="B11" t="inlineStr">
        <is>
          <t>Reaterro compactado</t>
        </is>
      </c>
      <c r="C11" t="inlineStr">
        <is>
          <t>m³</t>
        </is>
      </c>
      <c r="D11" s="9" t="n">
        <v>2800</v>
      </c>
      <c r="E11" s="6" t="n">
        <v>42</v>
      </c>
      <c r="F11" s="6">
        <f>D11*E11</f>
        <v/>
      </c>
    </row>
    <row r="12">
      <c r="A12" t="inlineStr">
        <is>
          <t>2.4</t>
        </is>
      </c>
      <c r="B12" t="inlineStr">
        <is>
          <t>Contenção - cortina atirantada</t>
        </is>
      </c>
      <c r="C12" t="inlineStr">
        <is>
          <t>m²</t>
        </is>
      </c>
      <c r="D12" s="9" t="n">
        <v>850</v>
      </c>
      <c r="E12" s="6" t="n">
        <v>580</v>
      </c>
      <c r="F12" s="6">
        <f>D12*E12</f>
        <v/>
      </c>
    </row>
    <row r="13">
      <c r="A13" s="10" t="inlineStr">
        <is>
          <t>SUBTOTAL - Movimento de Terra</t>
        </is>
      </c>
      <c r="F13" s="11">
        <f>SUM(F9:F12)</f>
        <v/>
      </c>
    </row>
    <row r="15">
      <c r="A15" t="inlineStr">
        <is>
          <t>3.1</t>
        </is>
      </c>
      <c r="B15" t="inlineStr">
        <is>
          <t>Estaca hélice contínua Ø40cm (h=12m)</t>
        </is>
      </c>
      <c r="C15" t="inlineStr">
        <is>
          <t>m</t>
        </is>
      </c>
      <c r="D15" s="9" t="n">
        <v>1680</v>
      </c>
      <c r="E15" s="6" t="n">
        <v>185</v>
      </c>
      <c r="F15" s="6">
        <f>D15*E15</f>
        <v/>
      </c>
    </row>
    <row r="16">
      <c r="A16" t="inlineStr">
        <is>
          <t>3.2</t>
        </is>
      </c>
      <c r="B16" t="inlineStr">
        <is>
          <t>Estaca hélice contínua Ø50cm (h=15m)</t>
        </is>
      </c>
      <c r="C16" t="inlineStr">
        <is>
          <t>m</t>
        </is>
      </c>
      <c r="D16" s="9" t="n">
        <v>2250</v>
      </c>
      <c r="E16" s="6" t="n">
        <v>245</v>
      </c>
      <c r="F16" s="6">
        <f>D16*E16</f>
        <v/>
      </c>
    </row>
    <row r="17">
      <c r="A17" t="inlineStr">
        <is>
          <t>3.3</t>
        </is>
      </c>
      <c r="B17" t="inlineStr">
        <is>
          <t>Bloco de coroamento concreto fck 30 MPa</t>
        </is>
      </c>
      <c r="C17" t="inlineStr">
        <is>
          <t>m³</t>
        </is>
      </c>
      <c r="D17" s="9" t="n">
        <v>320</v>
      </c>
      <c r="E17" s="6" t="n">
        <v>890</v>
      </c>
      <c r="F17" s="6">
        <f>D17*E17</f>
        <v/>
      </c>
    </row>
    <row r="18">
      <c r="A18" t="inlineStr">
        <is>
          <t>3.4</t>
        </is>
      </c>
      <c r="B18" t="inlineStr">
        <is>
          <t>Armadura CA-50 em blocos</t>
        </is>
      </c>
      <c r="C18" t="inlineStr">
        <is>
          <t>kg</t>
        </is>
      </c>
      <c r="D18" s="9" t="n">
        <v>28800</v>
      </c>
      <c r="E18" s="6" t="n">
        <v>9.800000000000001</v>
      </c>
      <c r="F18" s="6">
        <f>D18*E18</f>
        <v/>
      </c>
    </row>
    <row r="19">
      <c r="A19" t="inlineStr">
        <is>
          <t>3.5</t>
        </is>
      </c>
      <c r="B19" t="inlineStr">
        <is>
          <t>Vigas baldrame concreto fck 30 MPa</t>
        </is>
      </c>
      <c r="C19" t="inlineStr">
        <is>
          <t>m³</t>
        </is>
      </c>
      <c r="D19" s="9" t="n">
        <v>85</v>
      </c>
      <c r="E19" s="6" t="n">
        <v>920</v>
      </c>
      <c r="F19" s="6">
        <f>D19*E19</f>
        <v/>
      </c>
    </row>
    <row r="20">
      <c r="A20" t="inlineStr">
        <is>
          <t>3.6</t>
        </is>
      </c>
      <c r="B20" t="inlineStr">
        <is>
          <t>Armadura CA-50 em baldrames</t>
        </is>
      </c>
      <c r="C20" t="inlineStr">
        <is>
          <t>kg</t>
        </is>
      </c>
      <c r="D20" s="9" t="n">
        <v>7650</v>
      </c>
      <c r="E20" s="6" t="n">
        <v>9.800000000000001</v>
      </c>
      <c r="F20" s="6">
        <f>D20*E20</f>
        <v/>
      </c>
    </row>
    <row r="21">
      <c r="A21" t="inlineStr">
        <is>
          <t>3.7</t>
        </is>
      </c>
      <c r="B21" t="inlineStr">
        <is>
          <t>Impermeabilização de blocos e baldrames</t>
        </is>
      </c>
      <c r="C21" t="inlineStr">
        <is>
          <t>m²</t>
        </is>
      </c>
      <c r="D21" s="9" t="n">
        <v>1250</v>
      </c>
      <c r="E21" s="6" t="n">
        <v>68</v>
      </c>
      <c r="F21" s="6">
        <f>D21*E21</f>
        <v/>
      </c>
    </row>
    <row r="22">
      <c r="A22" s="10" t="inlineStr">
        <is>
          <t>SUBTOTAL - Fundações</t>
        </is>
      </c>
      <c r="F22" s="11">
        <f>SUM(F15:F21)</f>
        <v/>
      </c>
    </row>
    <row r="24">
      <c r="A24" t="inlineStr">
        <is>
          <t>4.1</t>
        </is>
      </c>
      <c r="B24" t="inlineStr">
        <is>
          <t>Dreno francês (tubo perfurado Ø100mm + brita + manta)</t>
        </is>
      </c>
      <c r="C24" t="inlineStr">
        <is>
          <t>m</t>
        </is>
      </c>
      <c r="D24" s="9" t="n">
        <v>420</v>
      </c>
      <c r="E24" s="6" t="n">
        <v>95</v>
      </c>
      <c r="F24" s="6">
        <f>D24*E24</f>
        <v/>
      </c>
    </row>
    <row r="25">
      <c r="A25" t="inlineStr">
        <is>
          <t>4.2</t>
        </is>
      </c>
      <c r="B25" t="inlineStr">
        <is>
          <t>Poço de recalque 2,0 × 2,0 × 3,0m</t>
        </is>
      </c>
      <c r="C25" t="inlineStr">
        <is>
          <t>un</t>
        </is>
      </c>
      <c r="D25" s="9" t="n">
        <v>2</v>
      </c>
      <c r="E25" s="6" t="n">
        <v>12500</v>
      </c>
      <c r="F25" s="6">
        <f>D25*E25</f>
        <v/>
      </c>
    </row>
    <row r="26">
      <c r="A26" t="inlineStr">
        <is>
          <t>4.3</t>
        </is>
      </c>
      <c r="B26" t="inlineStr">
        <is>
          <t>Bomba submersível 3CV (dupla)</t>
        </is>
      </c>
      <c r="C26" t="inlineStr">
        <is>
          <t>cj</t>
        </is>
      </c>
      <c r="D26" s="9" t="n">
        <v>2</v>
      </c>
      <c r="E26" s="6" t="n">
        <v>8500</v>
      </c>
      <c r="F26" s="6">
        <f>D26*E26</f>
        <v/>
      </c>
    </row>
    <row r="27">
      <c r="A27" t="inlineStr">
        <is>
          <t>4.4</t>
        </is>
      </c>
      <c r="B27" t="inlineStr">
        <is>
          <t>Tubulação drenagem pluvial PVC Ø150mm</t>
        </is>
      </c>
      <c r="C27" t="inlineStr">
        <is>
          <t>m</t>
        </is>
      </c>
      <c r="D27" s="9" t="n">
        <v>350</v>
      </c>
      <c r="E27" s="6" t="n">
        <v>48</v>
      </c>
      <c r="F27" s="6">
        <f>D27*E27</f>
        <v/>
      </c>
    </row>
    <row r="28">
      <c r="A28" s="10" t="inlineStr">
        <is>
          <t>SUBTOTAL - Drenagem</t>
        </is>
      </c>
      <c r="F28" s="11">
        <f>SUM(F24:F27)</f>
        <v/>
      </c>
    </row>
    <row r="100">
      <c r="F100" s="6">
        <f>F24+F29+F35+F43</f>
        <v/>
      </c>
    </row>
  </sheetData>
  <mergeCells count="5">
    <mergeCell ref="A7:E7"/>
    <mergeCell ref="A28:E28"/>
    <mergeCell ref="A1:F1"/>
    <mergeCell ref="A13:E13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>
      <c r="A1" s="8" t="inlineStr">
        <is>
          <t>SUPRAESTRUTURA (ESTRUTURA DE CONCRETO)</t>
        </is>
      </c>
    </row>
    <row r="2">
      <c r="A2" s="2" t="inlineStr">
        <is>
          <t>Item</t>
        </is>
      </c>
      <c r="B2" s="2" t="inlineStr">
        <is>
          <t>Descrição</t>
        </is>
      </c>
      <c r="C2" s="2" t="inlineStr">
        <is>
          <t>Unidade</t>
        </is>
      </c>
      <c r="D2" s="2" t="inlineStr">
        <is>
          <t>Quantidade</t>
        </is>
      </c>
      <c r="E2" s="2" t="inlineStr">
        <is>
          <t>Preço Unitário (R$)</t>
        </is>
      </c>
      <c r="F2" s="2" t="inlineStr">
        <is>
          <t>Total (R$)</t>
        </is>
      </c>
    </row>
    <row r="3">
      <c r="A3" t="inlineStr">
        <is>
          <t>1.1</t>
        </is>
      </c>
      <c r="B3" t="inlineStr">
        <is>
          <t>Concreto usinado fck 30 MPa (lajes e vigas)</t>
        </is>
      </c>
      <c r="C3" t="inlineStr">
        <is>
          <t>m³</t>
        </is>
      </c>
      <c r="D3" s="9" t="n">
        <v>1650</v>
      </c>
      <c r="E3" s="6" t="n">
        <v>520</v>
      </c>
      <c r="F3" s="6">
        <f>D3*E3</f>
        <v/>
      </c>
    </row>
    <row r="4">
      <c r="A4" t="inlineStr">
        <is>
          <t>1.2</t>
        </is>
      </c>
      <c r="B4" t="inlineStr">
        <is>
          <t>Concreto usinado fck 35 MPa (pilares)</t>
        </is>
      </c>
      <c r="C4" t="inlineStr">
        <is>
          <t>m³</t>
        </is>
      </c>
      <c r="D4" s="9" t="n">
        <v>480</v>
      </c>
      <c r="E4" s="6" t="n">
        <v>560</v>
      </c>
      <c r="F4" s="6">
        <f>D4*E4</f>
        <v/>
      </c>
    </row>
    <row r="5">
      <c r="A5" t="inlineStr">
        <is>
          <t>1.3</t>
        </is>
      </c>
      <c r="B5" t="inlineStr">
        <is>
          <t>Concreto usinado fck 35 MPa protendido (lajes)</t>
        </is>
      </c>
      <c r="C5" t="inlineStr">
        <is>
          <t>m³</t>
        </is>
      </c>
      <c r="D5" s="9" t="n">
        <v>220</v>
      </c>
      <c r="E5" s="6" t="n">
        <v>680</v>
      </c>
      <c r="F5" s="6">
        <f>D5*E5</f>
        <v/>
      </c>
    </row>
    <row r="6">
      <c r="A6" t="inlineStr">
        <is>
          <t>1.4</t>
        </is>
      </c>
      <c r="B6" t="inlineStr">
        <is>
          <t>Lançamento, adensamento e cura</t>
        </is>
      </c>
      <c r="C6" t="inlineStr">
        <is>
          <t>m³</t>
        </is>
      </c>
      <c r="D6" s="9" t="n">
        <v>2350</v>
      </c>
      <c r="E6" s="6" t="n">
        <v>75</v>
      </c>
      <c r="F6" s="6">
        <f>D6*E6</f>
        <v/>
      </c>
    </row>
    <row r="7">
      <c r="A7" s="10" t="inlineStr">
        <is>
          <t>SUBTOTAL - Concreto</t>
        </is>
      </c>
      <c r="F7" s="11">
        <f>SUM(F3:F6)</f>
        <v/>
      </c>
    </row>
    <row r="9">
      <c r="A9" t="inlineStr">
        <is>
          <t>2.1</t>
        </is>
      </c>
      <c r="B9" t="inlineStr">
        <is>
          <t>Forma metálica para lajes (3 usos)</t>
        </is>
      </c>
      <c r="C9" t="inlineStr">
        <is>
          <t>m²</t>
        </is>
      </c>
      <c r="D9" s="9" t="n">
        <v>15650</v>
      </c>
      <c r="E9" s="6" t="n">
        <v>42</v>
      </c>
      <c r="F9" s="6">
        <f>D9*E9</f>
        <v/>
      </c>
    </row>
    <row r="10">
      <c r="A10" t="inlineStr">
        <is>
          <t>2.2</t>
        </is>
      </c>
      <c r="B10" t="inlineStr">
        <is>
          <t>Forma metálica para vigas (3 usos)</t>
        </is>
      </c>
      <c r="C10" t="inlineStr">
        <is>
          <t>m²</t>
        </is>
      </c>
      <c r="D10" s="9" t="n">
        <v>3200</v>
      </c>
      <c r="E10" s="6" t="n">
        <v>58</v>
      </c>
      <c r="F10" s="6">
        <f>D10*E10</f>
        <v/>
      </c>
    </row>
    <row r="11">
      <c r="A11" t="inlineStr">
        <is>
          <t>2.3</t>
        </is>
      </c>
      <c r="B11" t="inlineStr">
        <is>
          <t>Forma metálica para pilares (3 usos)</t>
        </is>
      </c>
      <c r="C11" t="inlineStr">
        <is>
          <t>m²</t>
        </is>
      </c>
      <c r="D11" s="9" t="n">
        <v>2850</v>
      </c>
      <c r="E11" s="6" t="n">
        <v>65</v>
      </c>
      <c r="F11" s="6">
        <f>D11*E11</f>
        <v/>
      </c>
    </row>
    <row r="12">
      <c r="A12" t="inlineStr">
        <is>
          <t>2.4</t>
        </is>
      </c>
      <c r="B12" t="inlineStr">
        <is>
          <t>Escoramento metálico (aluguel)</t>
        </is>
      </c>
      <c r="C12" t="inlineStr">
        <is>
          <t>m²×mês</t>
        </is>
      </c>
      <c r="D12" s="9" t="n">
        <v>78250</v>
      </c>
      <c r="E12" s="6" t="n">
        <v>4.5</v>
      </c>
      <c r="F12" s="6">
        <f>D12*E12</f>
        <v/>
      </c>
    </row>
    <row r="13">
      <c r="A13" s="10" t="inlineStr">
        <is>
          <t>SUBTOTAL - Formas</t>
        </is>
      </c>
      <c r="F13" s="11">
        <f>SUM(F9:F12)</f>
        <v/>
      </c>
    </row>
    <row r="15">
      <c r="A15" t="inlineStr">
        <is>
          <t>3.1</t>
        </is>
      </c>
      <c r="B15" t="inlineStr">
        <is>
          <t>Aço CA-50 Ø 6,3 a 10mm</t>
        </is>
      </c>
      <c r="C15" t="inlineStr">
        <is>
          <t>kg</t>
        </is>
      </c>
      <c r="D15" s="9" t="n">
        <v>85000</v>
      </c>
      <c r="E15" s="6" t="n">
        <v>9.199999999999999</v>
      </c>
      <c r="F15" s="6">
        <f>D15*E15</f>
        <v/>
      </c>
    </row>
    <row r="16">
      <c r="A16" t="inlineStr">
        <is>
          <t>3.2</t>
        </is>
      </c>
      <c r="B16" t="inlineStr">
        <is>
          <t>Aço CA-50 Ø 12,5 a 20mm</t>
        </is>
      </c>
      <c r="C16" t="inlineStr">
        <is>
          <t>kg</t>
        </is>
      </c>
      <c r="D16" s="9" t="n">
        <v>95000</v>
      </c>
      <c r="E16" s="6" t="n">
        <v>8.9</v>
      </c>
      <c r="F16" s="6">
        <f>D16*E16</f>
        <v/>
      </c>
    </row>
    <row r="17">
      <c r="A17" t="inlineStr">
        <is>
          <t>3.3</t>
        </is>
      </c>
      <c r="B17" t="inlineStr">
        <is>
          <t>Aço CA-50 Ø 25 a 32mm</t>
        </is>
      </c>
      <c r="C17" t="inlineStr">
        <is>
          <t>kg</t>
        </is>
      </c>
      <c r="D17" s="9" t="n">
        <v>18000</v>
      </c>
      <c r="E17" s="6" t="n">
        <v>9.5</v>
      </c>
      <c r="F17" s="6">
        <f>D17*E17</f>
        <v/>
      </c>
    </row>
    <row r="18">
      <c r="A18" t="inlineStr">
        <is>
          <t>3.4</t>
        </is>
      </c>
      <c r="B18" t="inlineStr">
        <is>
          <t>Tela soldada Q138 (lajes)</t>
        </is>
      </c>
      <c r="C18" t="inlineStr">
        <is>
          <t>kg</t>
        </is>
      </c>
      <c r="D18" s="9" t="n">
        <v>2000</v>
      </c>
      <c r="E18" s="6" t="n">
        <v>8.5</v>
      </c>
      <c r="F18" s="6">
        <f>D18*E18</f>
        <v/>
      </c>
    </row>
    <row r="19">
      <c r="A19" t="inlineStr">
        <is>
          <t>3.5</t>
        </is>
      </c>
      <c r="B19" t="inlineStr">
        <is>
          <t>Corte, dobra e montagem de armadura</t>
        </is>
      </c>
      <c r="C19" t="inlineStr">
        <is>
          <t>kg</t>
        </is>
      </c>
      <c r="D19" s="9" t="n">
        <v>200000</v>
      </c>
      <c r="E19" s="6" t="n">
        <v>2.8</v>
      </c>
      <c r="F19" s="6">
        <f>D19*E19</f>
        <v/>
      </c>
    </row>
    <row r="20">
      <c r="A20" s="10" t="inlineStr">
        <is>
          <t>SUBTOTAL - Armadura</t>
        </is>
      </c>
      <c r="F20" s="11">
        <f>SUM(F15:F19)</f>
        <v/>
      </c>
    </row>
    <row r="22">
      <c r="A22" t="inlineStr">
        <is>
          <t>4.1</t>
        </is>
      </c>
      <c r="B22" t="inlineStr">
        <is>
          <t>Cordoalha de protensão CP-190 RB</t>
        </is>
      </c>
      <c r="C22" t="inlineStr">
        <is>
          <t>kg</t>
        </is>
      </c>
      <c r="D22" s="9" t="n">
        <v>3500</v>
      </c>
      <c r="E22" s="6" t="n">
        <v>18.5</v>
      </c>
      <c r="F22" s="6">
        <f>D22*E22</f>
        <v/>
      </c>
    </row>
    <row r="23">
      <c r="A23" t="inlineStr">
        <is>
          <t>4.2</t>
        </is>
      </c>
      <c r="B23" t="inlineStr">
        <is>
          <t>Ancoragens e dispositivos de protensão</t>
        </is>
      </c>
      <c r="C23" t="inlineStr">
        <is>
          <t>un</t>
        </is>
      </c>
      <c r="D23" s="9" t="n">
        <v>180</v>
      </c>
      <c r="E23" s="6" t="n">
        <v>450</v>
      </c>
      <c r="F23" s="6">
        <f>D23*E23</f>
        <v/>
      </c>
    </row>
    <row r="24">
      <c r="A24" t="inlineStr">
        <is>
          <t>4.3</t>
        </is>
      </c>
      <c r="B24" t="inlineStr">
        <is>
          <t>Serviço de protensão (equipamento + mão de obra)</t>
        </is>
      </c>
      <c r="C24" t="inlineStr">
        <is>
          <t>un</t>
        </is>
      </c>
      <c r="D24" s="9" t="n">
        <v>180</v>
      </c>
      <c r="E24" s="6" t="n">
        <v>320</v>
      </c>
      <c r="F24" s="6">
        <f>D24*E24</f>
        <v/>
      </c>
    </row>
    <row r="25">
      <c r="A25" s="10" t="inlineStr">
        <is>
          <t>SUBTOTAL - Protensão</t>
        </is>
      </c>
      <c r="F25" s="11">
        <f>SUM(F22:F24)</f>
        <v/>
      </c>
    </row>
    <row r="100">
      <c r="F100" s="6">
        <f>F0+F6+F12+F25</f>
        <v/>
      </c>
    </row>
  </sheetData>
  <mergeCells count="5">
    <mergeCell ref="A20:E20"/>
    <mergeCell ref="A7:E7"/>
    <mergeCell ref="A1:F1"/>
    <mergeCell ref="A25:E25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>
      <c r="A1" s="8" t="inlineStr">
        <is>
          <t>PAREDES E VEDAÇÕES</t>
        </is>
      </c>
    </row>
    <row r="2">
      <c r="A2" s="2" t="inlineStr">
        <is>
          <t>Item</t>
        </is>
      </c>
      <c r="B2" s="2" t="inlineStr">
        <is>
          <t>Descrição</t>
        </is>
      </c>
      <c r="C2" s="2" t="inlineStr">
        <is>
          <t>Unidade</t>
        </is>
      </c>
      <c r="D2" s="2" t="inlineStr">
        <is>
          <t>Quantidade</t>
        </is>
      </c>
      <c r="E2" s="2" t="inlineStr">
        <is>
          <t>Preço Unitário (R$)</t>
        </is>
      </c>
      <c r="F2" s="2" t="inlineStr">
        <is>
          <t>Total (R$)</t>
        </is>
      </c>
    </row>
    <row r="3">
      <c r="A3" t="inlineStr">
        <is>
          <t>1.1</t>
        </is>
      </c>
      <c r="B3" t="inlineStr">
        <is>
          <t>Alvenaria blocos cerâmicos 14×19×29cm (fachada)</t>
        </is>
      </c>
      <c r="C3" t="inlineStr">
        <is>
          <t>m²</t>
        </is>
      </c>
      <c r="D3" s="9" t="n">
        <v>8500</v>
      </c>
      <c r="E3" s="6" t="n">
        <v>68</v>
      </c>
      <c r="F3" s="6">
        <f>D3*E3</f>
        <v/>
      </c>
    </row>
    <row r="4">
      <c r="A4" t="inlineStr">
        <is>
          <t>1.2</t>
        </is>
      </c>
      <c r="B4" t="inlineStr">
        <is>
          <t>Vergas e contravergas pré-moldadas</t>
        </is>
      </c>
      <c r="C4" t="inlineStr">
        <is>
          <t>m</t>
        </is>
      </c>
      <c r="D4" s="9" t="n">
        <v>1850</v>
      </c>
      <c r="E4" s="6" t="n">
        <v>28</v>
      </c>
      <c r="F4" s="6">
        <f>D4*E4</f>
        <v/>
      </c>
    </row>
    <row r="5">
      <c r="A5" t="inlineStr">
        <is>
          <t>1.3</t>
        </is>
      </c>
      <c r="B5" t="inlineStr">
        <is>
          <t>Encunhamento com argamassa expansiva</t>
        </is>
      </c>
      <c r="C5" t="inlineStr">
        <is>
          <t>m</t>
        </is>
      </c>
      <c r="D5" s="9" t="n">
        <v>4250</v>
      </c>
      <c r="E5" s="6" t="n">
        <v>12.5</v>
      </c>
      <c r="F5" s="6">
        <f>D5*E5</f>
        <v/>
      </c>
    </row>
    <row r="6">
      <c r="A6" s="10" t="inlineStr">
        <is>
          <t>SUBTOTAL - Alvenaria Externa</t>
        </is>
      </c>
      <c r="F6" s="11">
        <f>SUM(F3:F5)</f>
        <v/>
      </c>
    </row>
    <row r="8">
      <c r="A8" t="inlineStr">
        <is>
          <t>2.1</t>
        </is>
      </c>
      <c r="B8" t="inlineStr">
        <is>
          <t>Drywall parede simples 10cm (vedação)</t>
        </is>
      </c>
      <c r="C8" t="inlineStr">
        <is>
          <t>m²</t>
        </is>
      </c>
      <c r="D8" s="9" t="n">
        <v>18500</v>
      </c>
      <c r="E8" s="6" t="n">
        <v>78</v>
      </c>
      <c r="F8" s="6">
        <f>D8*E8</f>
        <v/>
      </c>
    </row>
    <row r="9">
      <c r="A9" t="inlineStr">
        <is>
          <t>2.2</t>
        </is>
      </c>
      <c r="B9" t="inlineStr">
        <is>
          <t>Drywall parede hidráulica 15cm (banheiros)</t>
        </is>
      </c>
      <c r="C9" t="inlineStr">
        <is>
          <t>m²</t>
        </is>
      </c>
      <c r="D9" s="9" t="n">
        <v>4200</v>
      </c>
      <c r="E9" s="6" t="n">
        <v>95</v>
      </c>
      <c r="F9" s="6">
        <f>D9*E9</f>
        <v/>
      </c>
    </row>
    <row r="10">
      <c r="A10" t="inlineStr">
        <is>
          <t>2.3</t>
        </is>
      </c>
      <c r="B10" t="inlineStr">
        <is>
          <t>Drywall parede acústica c/ lã mineral</t>
        </is>
      </c>
      <c r="C10" t="inlineStr">
        <is>
          <t>m²</t>
        </is>
      </c>
      <c r="D10" s="9" t="n">
        <v>2800</v>
      </c>
      <c r="E10" s="6" t="n">
        <v>125</v>
      </c>
      <c r="F10" s="6">
        <f>D10*E10</f>
        <v/>
      </c>
    </row>
    <row r="11">
      <c r="A11" t="inlineStr">
        <is>
          <t>2.4</t>
        </is>
      </c>
      <c r="B11" t="inlineStr">
        <is>
          <t>Reforço estrutural em drywall (vergas)</t>
        </is>
      </c>
      <c r="C11" t="inlineStr">
        <is>
          <t>m</t>
        </is>
      </c>
      <c r="D11" s="9" t="n">
        <v>850</v>
      </c>
      <c r="E11" s="6" t="n">
        <v>35</v>
      </c>
      <c r="F11" s="6">
        <f>D11*E11</f>
        <v/>
      </c>
    </row>
    <row r="12">
      <c r="A12" s="10" t="inlineStr">
        <is>
          <t>SUBTOTAL - Drywall Interno</t>
        </is>
      </c>
      <c r="F12" s="11">
        <f>SUM(F8:F11)</f>
        <v/>
      </c>
    </row>
    <row r="14">
      <c r="A14" t="inlineStr">
        <is>
          <t>3.1</t>
        </is>
      </c>
      <c r="B14" t="inlineStr">
        <is>
          <t>Alvenaria blocos cerâmicos 9cm (áreas comuns)</t>
        </is>
      </c>
      <c r="C14" t="inlineStr">
        <is>
          <t>m²</t>
        </is>
      </c>
      <c r="D14" s="9" t="n">
        <v>1850</v>
      </c>
      <c r="E14" s="6" t="n">
        <v>58</v>
      </c>
      <c r="F14" s="6">
        <f>D14*E14</f>
        <v/>
      </c>
    </row>
    <row r="15">
      <c r="A15" t="inlineStr">
        <is>
          <t>3.2</t>
        </is>
      </c>
      <c r="B15" t="inlineStr">
        <is>
          <t>Alvenaria bloco sical (escadas/shafts)</t>
        </is>
      </c>
      <c r="C15" t="inlineStr">
        <is>
          <t>m²</t>
        </is>
      </c>
      <c r="D15" s="9" t="n">
        <v>680</v>
      </c>
      <c r="E15" s="6" t="n">
        <v>95</v>
      </c>
      <c r="F15" s="6">
        <f>D15*E15</f>
        <v/>
      </c>
    </row>
    <row r="16">
      <c r="A16" t="inlineStr">
        <is>
          <t>3.3</t>
        </is>
      </c>
      <c r="B16" t="inlineStr">
        <is>
          <t>Vergas e contravergas concreto armado</t>
        </is>
      </c>
      <c r="C16" t="inlineStr">
        <is>
          <t>m</t>
        </is>
      </c>
      <c r="D16" s="9" t="n">
        <v>350</v>
      </c>
      <c r="E16" s="6" t="n">
        <v>42</v>
      </c>
      <c r="F16" s="6">
        <f>D16*E16</f>
        <v/>
      </c>
    </row>
    <row r="17">
      <c r="A17" s="10" t="inlineStr">
        <is>
          <t>SUBTOTAL - Alvenaria Áreas Comuns</t>
        </is>
      </c>
      <c r="F17" s="11">
        <f>SUM(F14:F16)</f>
        <v/>
      </c>
    </row>
    <row r="100">
      <c r="F100" s="6">
        <f>SUM(F4,F9,F14)</f>
        <v/>
      </c>
    </row>
  </sheetData>
  <mergeCells count="4">
    <mergeCell ref="A6:E6"/>
    <mergeCell ref="A12:E12"/>
    <mergeCell ref="A1:F1"/>
    <mergeCell ref="A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>
      <c r="A1" s="8" t="inlineStr">
        <is>
          <t>REVESTIMENTOS</t>
        </is>
      </c>
    </row>
    <row r="2">
      <c r="A2" s="2" t="inlineStr">
        <is>
          <t>Item</t>
        </is>
      </c>
      <c r="B2" s="2" t="inlineStr">
        <is>
          <t>Descrição</t>
        </is>
      </c>
      <c r="C2" s="2" t="inlineStr">
        <is>
          <t>Unidade</t>
        </is>
      </c>
      <c r="D2" s="2" t="inlineStr">
        <is>
          <t>Quantidade</t>
        </is>
      </c>
      <c r="E2" s="2" t="inlineStr">
        <is>
          <t>Preço Unitário (R$)</t>
        </is>
      </c>
      <c r="F2" s="2" t="inlineStr">
        <is>
          <t>Total (R$)</t>
        </is>
      </c>
    </row>
    <row r="3">
      <c r="A3" t="inlineStr">
        <is>
          <t>1.1</t>
        </is>
      </c>
      <c r="B3" t="inlineStr">
        <is>
          <t>Contrapiso regularizado e=5cm</t>
        </is>
      </c>
      <c r="C3" t="inlineStr">
        <is>
          <t>m²</t>
        </is>
      </c>
      <c r="D3" s="9" t="n">
        <v>13054</v>
      </c>
      <c r="E3" s="6" t="n">
        <v>45</v>
      </c>
      <c r="F3" s="6">
        <f>D3*E3</f>
        <v/>
      </c>
    </row>
    <row r="4">
      <c r="A4" t="inlineStr">
        <is>
          <t>1.2</t>
        </is>
      </c>
      <c r="B4" t="inlineStr">
        <is>
          <t>Piso laminado AC4 salas/dormitórios</t>
        </is>
      </c>
      <c r="C4" t="inlineStr">
        <is>
          <t>m²</t>
        </is>
      </c>
      <c r="D4" s="9" t="n">
        <v>5800</v>
      </c>
      <c r="E4" s="6" t="n">
        <v>85</v>
      </c>
      <c r="F4" s="6">
        <f>D4*E4</f>
        <v/>
      </c>
    </row>
    <row r="5">
      <c r="A5" t="inlineStr">
        <is>
          <t>1.3</t>
        </is>
      </c>
      <c r="B5" t="inlineStr">
        <is>
          <t>Porcelanato 60×60cm PEI4 cozinhas/serviço</t>
        </is>
      </c>
      <c r="C5" t="inlineStr">
        <is>
          <t>m²</t>
        </is>
      </c>
      <c r="D5" s="9" t="n">
        <v>2200</v>
      </c>
      <c r="E5" s="6" t="n">
        <v>95</v>
      </c>
      <c r="F5" s="6">
        <f>D5*E5</f>
        <v/>
      </c>
    </row>
    <row r="6">
      <c r="A6" t="inlineStr">
        <is>
          <t>1.4</t>
        </is>
      </c>
      <c r="B6" t="inlineStr">
        <is>
          <t>Porcelanato 60×60cm PEI4 banheiros</t>
        </is>
      </c>
      <c r="C6" t="inlineStr">
        <is>
          <t>m²</t>
        </is>
      </c>
      <c r="D6" s="9" t="n">
        <v>1850</v>
      </c>
      <c r="E6" s="6" t="n">
        <v>105</v>
      </c>
      <c r="F6" s="6">
        <f>D6*E6</f>
        <v/>
      </c>
    </row>
    <row r="7">
      <c r="A7" t="inlineStr">
        <is>
          <t>1.5</t>
        </is>
      </c>
      <c r="B7" t="inlineStr">
        <is>
          <t>Porcelanato 80×80cm PEI5 áreas comuns</t>
        </is>
      </c>
      <c r="C7" t="inlineStr">
        <is>
          <t>m²</t>
        </is>
      </c>
      <c r="D7" s="9" t="n">
        <v>1650</v>
      </c>
      <c r="E7" s="6" t="n">
        <v>135</v>
      </c>
      <c r="F7" s="6">
        <f>D7*E7</f>
        <v/>
      </c>
    </row>
    <row r="8">
      <c r="A8" t="inlineStr">
        <is>
          <t>1.6</t>
        </is>
      </c>
      <c r="B8" t="inlineStr">
        <is>
          <t>Rodapé MDF/porcelanato h=7cm</t>
        </is>
      </c>
      <c r="C8" t="inlineStr">
        <is>
          <t>m</t>
        </is>
      </c>
      <c r="D8" s="9" t="n">
        <v>8500</v>
      </c>
      <c r="E8" s="6" t="n">
        <v>18</v>
      </c>
      <c r="F8" s="6">
        <f>D8*E8</f>
        <v/>
      </c>
    </row>
    <row r="9">
      <c r="A9" s="10" t="inlineStr">
        <is>
          <t>SUBTOTAL - Pisos Internos</t>
        </is>
      </c>
      <c r="F9" s="11">
        <f>SUM(F3:F8)</f>
        <v/>
      </c>
    </row>
    <row r="11">
      <c r="A11" t="inlineStr">
        <is>
          <t>2.1</t>
        </is>
      </c>
      <c r="B11" t="inlineStr">
        <is>
          <t>Massa corrida PVA + pintura acrílica fosca</t>
        </is>
      </c>
      <c r="C11" t="inlineStr">
        <is>
          <t>m²</t>
        </is>
      </c>
      <c r="D11" s="9" t="n">
        <v>28000</v>
      </c>
      <c r="E11" s="6" t="n">
        <v>35</v>
      </c>
      <c r="F11" s="6">
        <f>D11*E11</f>
        <v/>
      </c>
    </row>
    <row r="12">
      <c r="A12" t="inlineStr">
        <is>
          <t>2.2</t>
        </is>
      </c>
      <c r="B12" t="inlineStr">
        <is>
          <t>Cerâmica/porcelanato 30×60cm cozinhas</t>
        </is>
      </c>
      <c r="C12" t="inlineStr">
        <is>
          <t>m²</t>
        </is>
      </c>
      <c r="D12" s="9" t="n">
        <v>1850</v>
      </c>
      <c r="E12" s="6" t="n">
        <v>85</v>
      </c>
      <c r="F12" s="6">
        <f>D12*E12</f>
        <v/>
      </c>
    </row>
    <row r="13">
      <c r="A13" t="inlineStr">
        <is>
          <t>2.3</t>
        </is>
      </c>
      <c r="B13" t="inlineStr">
        <is>
          <t>Cerâmica/porcelanato 30×60cm banheiros (teto)</t>
        </is>
      </c>
      <c r="C13" t="inlineStr">
        <is>
          <t>m²</t>
        </is>
      </c>
      <c r="D13" s="9" t="n">
        <v>4200</v>
      </c>
      <c r="E13" s="6" t="n">
        <v>88</v>
      </c>
      <c r="F13" s="6">
        <f>D13*E13</f>
        <v/>
      </c>
    </row>
    <row r="14">
      <c r="A14" s="10" t="inlineStr">
        <is>
          <t>SUBTOTAL - Revestimentos Internos Paredes</t>
        </is>
      </c>
      <c r="F14" s="11">
        <f>SUM(F11:F13)</f>
        <v/>
      </c>
    </row>
    <row r="16">
      <c r="A16" t="inlineStr">
        <is>
          <t>3.1</t>
        </is>
      </c>
      <c r="B16" t="inlineStr">
        <is>
          <t>Tijolinho aparente 5,5×24cm</t>
        </is>
      </c>
      <c r="C16" t="inlineStr">
        <is>
          <t>m²</t>
        </is>
      </c>
      <c r="D16" s="9" t="n">
        <v>890</v>
      </c>
      <c r="E16" s="6" t="n">
        <v>185</v>
      </c>
      <c r="F16" s="6">
        <f>D16*E16</f>
        <v/>
      </c>
    </row>
    <row r="17">
      <c r="A17" t="inlineStr">
        <is>
          <t>3.2</t>
        </is>
      </c>
      <c r="B17" t="inlineStr">
        <is>
          <t>Ripado madeira cumaru/WPC</t>
        </is>
      </c>
      <c r="C17" t="inlineStr">
        <is>
          <t>m²</t>
        </is>
      </c>
      <c r="D17" s="9" t="n">
        <v>475</v>
      </c>
      <c r="E17" s="6" t="n">
        <v>320</v>
      </c>
      <c r="F17" s="6">
        <f>D17*E17</f>
        <v/>
      </c>
    </row>
    <row r="18">
      <c r="A18" t="inlineStr">
        <is>
          <t>3.3</t>
        </is>
      </c>
      <c r="B18" t="inlineStr">
        <is>
          <t>Peitoril concreto/granito c/ pingadeira</t>
        </is>
      </c>
      <c r="C18" t="inlineStr">
        <is>
          <t>m</t>
        </is>
      </c>
      <c r="D18" s="9" t="n">
        <v>800</v>
      </c>
      <c r="E18" s="6" t="n">
        <v>95</v>
      </c>
      <c r="F18" s="6">
        <f>D18*E18</f>
        <v/>
      </c>
    </row>
    <row r="19">
      <c r="A19" t="inlineStr">
        <is>
          <t>3.4</t>
        </is>
      </c>
      <c r="B19" t="inlineStr">
        <is>
          <t>Reboco + textura acrílica fachada</t>
        </is>
      </c>
      <c r="C19" t="inlineStr">
        <is>
          <t>m²</t>
        </is>
      </c>
      <c r="D19" s="9" t="n">
        <v>2400</v>
      </c>
      <c r="E19" s="6" t="n">
        <v>68</v>
      </c>
      <c r="F19" s="6">
        <f>D19*E19</f>
        <v/>
      </c>
    </row>
    <row r="20">
      <c r="A20" s="10" t="inlineStr">
        <is>
          <t>SUBTOTAL - Fachada</t>
        </is>
      </c>
      <c r="F20" s="11">
        <f>SUM(F16:F19)</f>
        <v/>
      </c>
    </row>
    <row r="22">
      <c r="A22" t="inlineStr">
        <is>
          <t>4.1</t>
        </is>
      </c>
      <c r="B22" t="inlineStr">
        <is>
          <t>Forro gesso acartonado liso + pintura</t>
        </is>
      </c>
      <c r="C22" t="inlineStr">
        <is>
          <t>m²</t>
        </is>
      </c>
      <c r="D22" s="9" t="n">
        <v>9500</v>
      </c>
      <c r="E22" s="6" t="n">
        <v>85</v>
      </c>
      <c r="F22" s="6">
        <f>D22*E22</f>
        <v/>
      </c>
    </row>
    <row r="23">
      <c r="A23" t="inlineStr">
        <is>
          <t>4.2</t>
        </is>
      </c>
      <c r="B23" t="inlineStr">
        <is>
          <t>Forro PVC áreas molhadas</t>
        </is>
      </c>
      <c r="C23" t="inlineStr">
        <is>
          <t>m²</t>
        </is>
      </c>
      <c r="D23" s="9" t="n">
        <v>850</v>
      </c>
      <c r="E23" s="6" t="n">
        <v>68</v>
      </c>
      <c r="F23" s="6">
        <f>D23*E23</f>
        <v/>
      </c>
    </row>
    <row r="24">
      <c r="A24" t="inlineStr">
        <is>
          <t>4.3</t>
        </is>
      </c>
      <c r="B24" t="inlineStr">
        <is>
          <t>Sanca de gesso para iluminação</t>
        </is>
      </c>
      <c r="C24" t="inlineStr">
        <is>
          <t>m</t>
        </is>
      </c>
      <c r="D24" s="9" t="n">
        <v>1200</v>
      </c>
      <c r="E24" s="6" t="n">
        <v>45</v>
      </c>
      <c r="F24" s="6">
        <f>D24*E24</f>
        <v/>
      </c>
    </row>
    <row r="25">
      <c r="A25" s="10" t="inlineStr">
        <is>
          <t>SUBTOTAL - Forros</t>
        </is>
      </c>
      <c r="F25" s="11">
        <f>SUM(F22:F24)</f>
        <v/>
      </c>
    </row>
    <row r="100">
      <c r="F100" s="6">
        <f>SUM(F10,F15,F21,F26)</f>
        <v/>
      </c>
    </row>
  </sheetData>
  <mergeCells count="5">
    <mergeCell ref="A20:E20"/>
    <mergeCell ref="A25:E25"/>
    <mergeCell ref="A1:F1"/>
    <mergeCell ref="A14:E14"/>
    <mergeCell ref="A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>
      <c r="A1" s="8" t="inlineStr">
        <is>
          <t>ESQUADRIAS</t>
        </is>
      </c>
    </row>
    <row r="2">
      <c r="A2" s="2" t="inlineStr">
        <is>
          <t>Item</t>
        </is>
      </c>
      <c r="B2" s="2" t="inlineStr">
        <is>
          <t>Descrição</t>
        </is>
      </c>
      <c r="C2" s="2" t="inlineStr">
        <is>
          <t>Unidade</t>
        </is>
      </c>
      <c r="D2" s="2" t="inlineStr">
        <is>
          <t>Quantidade</t>
        </is>
      </c>
      <c r="E2" s="2" t="inlineStr">
        <is>
          <t>Preço Unitário (R$)</t>
        </is>
      </c>
      <c r="F2" s="2" t="inlineStr">
        <is>
          <t>Total (R$)</t>
        </is>
      </c>
    </row>
    <row r="3">
      <c r="A3" t="inlineStr">
        <is>
          <t>1.1</t>
        </is>
      </c>
      <c r="B3" t="inlineStr">
        <is>
          <t>Porta correr alumínio 4 folhas 4,00×2,10m + vidro</t>
        </is>
      </c>
      <c r="C3" t="inlineStr">
        <is>
          <t>un</t>
        </is>
      </c>
      <c r="D3" s="9" t="n">
        <v>136</v>
      </c>
      <c r="E3" s="6" t="n">
        <v>3800</v>
      </c>
      <c r="F3" s="6">
        <f>D3*E3</f>
        <v/>
      </c>
    </row>
    <row r="4">
      <c r="A4" t="inlineStr">
        <is>
          <t>1.2</t>
        </is>
      </c>
      <c r="B4" t="inlineStr">
        <is>
          <t>Porta correr alumínio 2 folhas 2,00×2,10m + vidro</t>
        </is>
      </c>
      <c r="C4" t="inlineStr">
        <is>
          <t>un</t>
        </is>
      </c>
      <c r="D4" s="9" t="n">
        <v>136</v>
      </c>
      <c r="E4" s="6" t="n">
        <v>2200</v>
      </c>
      <c r="F4" s="6">
        <f>D4*E4</f>
        <v/>
      </c>
    </row>
    <row r="5">
      <c r="A5" t="inlineStr">
        <is>
          <t>1.3</t>
        </is>
      </c>
      <c r="B5" t="inlineStr">
        <is>
          <t>Janela correr alumínio 2 folhas 1,50×1,20m + vidro</t>
        </is>
      </c>
      <c r="C5" t="inlineStr">
        <is>
          <t>un</t>
        </is>
      </c>
      <c r="D5" s="9" t="n">
        <v>272</v>
      </c>
      <c r="E5" s="6" t="n">
        <v>850</v>
      </c>
      <c r="F5" s="6">
        <f>D5*E5</f>
        <v/>
      </c>
    </row>
    <row r="6">
      <c r="A6" t="inlineStr">
        <is>
          <t>1.4</t>
        </is>
      </c>
      <c r="B6" t="inlineStr">
        <is>
          <t>Janela basculante alumínio 0,80×0,60m + vidro</t>
        </is>
      </c>
      <c r="C6" t="inlineStr">
        <is>
          <t>un</t>
        </is>
      </c>
      <c r="D6" s="9" t="n">
        <v>204</v>
      </c>
      <c r="E6" s="6" t="n">
        <v>420</v>
      </c>
      <c r="F6" s="6">
        <f>D6*E6</f>
        <v/>
      </c>
    </row>
    <row r="7">
      <c r="A7" s="10" t="inlineStr">
        <is>
          <t>SUBTOTAL - Esquadrias Alumínio</t>
        </is>
      </c>
      <c r="F7" s="11">
        <f>SUM(F3:F6)</f>
        <v/>
      </c>
    </row>
    <row r="9">
      <c r="A9" t="inlineStr">
        <is>
          <t>2.1</t>
        </is>
      </c>
      <c r="B9" t="inlineStr">
        <is>
          <t>Porta entrada apto madeira 0,90×2,10m + fechadura seg.</t>
        </is>
      </c>
      <c r="C9" t="inlineStr">
        <is>
          <t>un</t>
        </is>
      </c>
      <c r="D9" s="9" t="n">
        <v>136</v>
      </c>
      <c r="E9" s="6" t="n">
        <v>1850</v>
      </c>
      <c r="F9" s="6">
        <f>D9*E9</f>
        <v/>
      </c>
    </row>
    <row r="10">
      <c r="A10" t="inlineStr">
        <is>
          <t>2.2</t>
        </is>
      </c>
      <c r="B10" t="inlineStr">
        <is>
          <t>Porta interna semi-oca 0,80×2,10m + fechadura</t>
        </is>
      </c>
      <c r="C10" t="inlineStr">
        <is>
          <t>un</t>
        </is>
      </c>
      <c r="D10" s="9" t="n">
        <v>408</v>
      </c>
      <c r="E10" s="6" t="n">
        <v>680</v>
      </c>
      <c r="F10" s="6">
        <f>D10*E10</f>
        <v/>
      </c>
    </row>
    <row r="11">
      <c r="A11" t="inlineStr">
        <is>
          <t>2.3</t>
        </is>
      </c>
      <c r="B11" t="inlineStr">
        <is>
          <t>Porta interna semi-oca 0,70×2,10m + fechadura</t>
        </is>
      </c>
      <c r="C11" t="inlineStr">
        <is>
          <t>un</t>
        </is>
      </c>
      <c r="D11" s="9" t="n">
        <v>272</v>
      </c>
      <c r="E11" s="6" t="n">
        <v>620</v>
      </c>
      <c r="F11" s="6">
        <f>D11*E11</f>
        <v/>
      </c>
    </row>
    <row r="12">
      <c r="A12" t="inlineStr">
        <is>
          <t>2.4</t>
        </is>
      </c>
      <c r="B12" t="inlineStr">
        <is>
          <t>Marcos e guarnições madeira/MDF</t>
        </is>
      </c>
      <c r="C12" t="inlineStr">
        <is>
          <t>cj</t>
        </is>
      </c>
      <c r="D12" s="9" t="n">
        <v>816</v>
      </c>
      <c r="E12" s="6" t="n">
        <v>180</v>
      </c>
      <c r="F12" s="6">
        <f>D12*E12</f>
        <v/>
      </c>
    </row>
    <row r="13">
      <c r="A13" s="10" t="inlineStr">
        <is>
          <t>SUBTOTAL - Portas Madeira</t>
        </is>
      </c>
      <c r="F13" s="11">
        <f>SUM(F9:F12)</f>
        <v/>
      </c>
    </row>
    <row r="15">
      <c r="A15" t="inlineStr">
        <is>
          <t>3.1</t>
        </is>
      </c>
      <c r="B15" t="inlineStr">
        <is>
          <t>Guarda-corpo vidro laminado 10mm h=1,05m + inox</t>
        </is>
      </c>
      <c r="C15" t="inlineStr">
        <is>
          <t>m</t>
        </is>
      </c>
      <c r="D15" s="9" t="n">
        <v>800</v>
      </c>
      <c r="E15" s="6" t="n">
        <v>580</v>
      </c>
      <c r="F15" s="6">
        <f>D15*E15</f>
        <v/>
      </c>
    </row>
    <row r="16">
      <c r="A16" t="inlineStr">
        <is>
          <t>3.2</t>
        </is>
      </c>
      <c r="B16" t="inlineStr">
        <is>
          <t>Guarda-corpo escadas aço tubular pintado</t>
        </is>
      </c>
      <c r="C16" t="inlineStr">
        <is>
          <t>m</t>
        </is>
      </c>
      <c r="D16" s="9" t="n">
        <v>185</v>
      </c>
      <c r="E16" s="6" t="n">
        <v>320</v>
      </c>
      <c r="F16" s="6">
        <f>D16*E16</f>
        <v/>
      </c>
    </row>
    <row r="17">
      <c r="A17" s="10" t="inlineStr">
        <is>
          <t>SUBTOTAL - Guarda-Corpos</t>
        </is>
      </c>
      <c r="F17" s="11">
        <f>SUM(F15:F16)</f>
        <v/>
      </c>
    </row>
    <row r="19">
      <c r="A19" t="inlineStr">
        <is>
          <t>4.1</t>
        </is>
      </c>
      <c r="B19" t="inlineStr">
        <is>
          <t>Portão garagem basculante motorizado 4,50×2,50m</t>
        </is>
      </c>
      <c r="C19" t="inlineStr">
        <is>
          <t>un</t>
        </is>
      </c>
      <c r="D19" s="9" t="n">
        <v>2</v>
      </c>
      <c r="E19" s="6" t="n">
        <v>8500</v>
      </c>
      <c r="F19" s="6">
        <f>D19*E19</f>
        <v/>
      </c>
    </row>
    <row r="20">
      <c r="A20" t="inlineStr">
        <is>
          <t>4.2</t>
        </is>
      </c>
      <c r="B20" t="inlineStr">
        <is>
          <t>Porta corta-fogo P-90 c/ barra antipânico</t>
        </is>
      </c>
      <c r="C20" t="inlineStr">
        <is>
          <t>un</t>
        </is>
      </c>
      <c r="D20" s="9" t="n">
        <v>6</v>
      </c>
      <c r="E20" s="6" t="n">
        <v>4200</v>
      </c>
      <c r="F20" s="6">
        <f>D20*E20</f>
        <v/>
      </c>
    </row>
    <row r="21">
      <c r="A21" t="inlineStr">
        <is>
          <t>4.3</t>
        </is>
      </c>
      <c r="B21" t="inlineStr">
        <is>
          <t>Gradil metálico tubular pintado</t>
        </is>
      </c>
      <c r="C21" t="inlineStr">
        <is>
          <t>m²</t>
        </is>
      </c>
      <c r="D21" s="9" t="n">
        <v>45</v>
      </c>
      <c r="E21" s="6" t="n">
        <v>420</v>
      </c>
      <c r="F21" s="6">
        <f>D21*E21</f>
        <v/>
      </c>
    </row>
    <row r="22">
      <c r="A22" s="10" t="inlineStr">
        <is>
          <t>SUBTOTAL - Portas Especiais</t>
        </is>
      </c>
      <c r="F22" s="11">
        <f>SUM(F19:F21)</f>
        <v/>
      </c>
    </row>
    <row r="100">
      <c r="F100" s="6">
        <f>SUM(F8,F14,F18,F23)</f>
        <v/>
      </c>
    </row>
  </sheetData>
  <mergeCells count="5">
    <mergeCell ref="A7:E7"/>
    <mergeCell ref="A1:F1"/>
    <mergeCell ref="A13:E13"/>
    <mergeCell ref="A22:E22"/>
    <mergeCell ref="A17:E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>
      <c r="A1" s="8" t="inlineStr">
        <is>
          <t>INSTALAÇÕES ELÉTRICAS</t>
        </is>
      </c>
    </row>
    <row r="2">
      <c r="A2" s="2" t="inlineStr">
        <is>
          <t>Item</t>
        </is>
      </c>
      <c r="B2" s="2" t="inlineStr">
        <is>
          <t>Descrição</t>
        </is>
      </c>
      <c r="C2" s="2" t="inlineStr">
        <is>
          <t>Unidade</t>
        </is>
      </c>
      <c r="D2" s="2" t="inlineStr">
        <is>
          <t>Quantidade</t>
        </is>
      </c>
      <c r="E2" s="2" t="inlineStr">
        <is>
          <t>Preço Unitário (R$)</t>
        </is>
      </c>
      <c r="F2" s="2" t="inlineStr">
        <is>
          <t>Total (R$)</t>
        </is>
      </c>
    </row>
    <row r="3">
      <c r="A3" t="inlineStr">
        <is>
          <t>1.1</t>
        </is>
      </c>
      <c r="B3" t="inlineStr">
        <is>
          <t>Subestação transformador a seco 630 kVA</t>
        </is>
      </c>
      <c r="C3" t="inlineStr">
        <is>
          <t>un</t>
        </is>
      </c>
      <c r="D3" s="9" t="n">
        <v>1</v>
      </c>
      <c r="E3" s="6" t="n">
        <v>185000</v>
      </c>
      <c r="F3" s="6">
        <f>D3*E3</f>
        <v/>
      </c>
    </row>
    <row r="4">
      <c r="A4" t="inlineStr">
        <is>
          <t>1.2</t>
        </is>
      </c>
      <c r="B4" t="inlineStr">
        <is>
          <t>Quadro geral baixa tensão (QGD)</t>
        </is>
      </c>
      <c r="C4" t="inlineStr">
        <is>
          <t>un</t>
        </is>
      </c>
      <c r="D4" s="9" t="n">
        <v>1</v>
      </c>
      <c r="E4" s="6" t="n">
        <v>45000</v>
      </c>
      <c r="F4" s="6">
        <f>D4*E4</f>
        <v/>
      </c>
    </row>
    <row r="5">
      <c r="A5" t="inlineStr">
        <is>
          <t>1.3</t>
        </is>
      </c>
      <c r="B5" t="inlineStr">
        <is>
          <t>Ramal entrada média tensão 13,8kV</t>
        </is>
      </c>
      <c r="C5" t="inlineStr">
        <is>
          <t>m</t>
        </is>
      </c>
      <c r="D5" s="9" t="n">
        <v>35</v>
      </c>
      <c r="E5" s="6" t="n">
        <v>850</v>
      </c>
      <c r="F5" s="6">
        <f>D5*E5</f>
        <v/>
      </c>
    </row>
    <row r="6">
      <c r="A6" s="10" t="inlineStr">
        <is>
          <t>SUBTOTAL - Entrada e Transformação</t>
        </is>
      </c>
      <c r="F6" s="11">
        <f>SUM(F3:F5)</f>
        <v/>
      </c>
    </row>
    <row r="8">
      <c r="A8" t="inlineStr">
        <is>
          <t>2.1</t>
        </is>
      </c>
      <c r="B8" t="inlineStr">
        <is>
          <t>Quadro distribuição 40×60×12cm c/ disjuntores</t>
        </is>
      </c>
      <c r="C8" t="inlineStr">
        <is>
          <t>un</t>
        </is>
      </c>
      <c r="D8" s="9" t="n">
        <v>68</v>
      </c>
      <c r="E8" s="6" t="n">
        <v>1200</v>
      </c>
      <c r="F8" s="6">
        <f>D8*E8</f>
        <v/>
      </c>
    </row>
    <row r="9">
      <c r="A9" t="inlineStr">
        <is>
          <t>2.2</t>
        </is>
      </c>
      <c r="B9" t="inlineStr">
        <is>
          <t>Quadro distribuição 60×80×12cm c/ disjuntores</t>
        </is>
      </c>
      <c r="C9" t="inlineStr">
        <is>
          <t>un</t>
        </is>
      </c>
      <c r="D9" s="9" t="n">
        <v>34</v>
      </c>
      <c r="E9" s="6" t="n">
        <v>2200</v>
      </c>
      <c r="F9" s="6">
        <f>D9*E9</f>
        <v/>
      </c>
    </row>
    <row r="10">
      <c r="A10" t="inlineStr">
        <is>
          <t>2.3</t>
        </is>
      </c>
      <c r="B10" t="inlineStr">
        <is>
          <t>Quadro distribuição 30×30×12cm c/ disjuntores</t>
        </is>
      </c>
      <c r="C10" t="inlineStr">
        <is>
          <t>un</t>
        </is>
      </c>
      <c r="D10" s="9" t="n">
        <v>12</v>
      </c>
      <c r="E10" s="6" t="n">
        <v>850</v>
      </c>
      <c r="F10" s="6">
        <f>D10*E10</f>
        <v/>
      </c>
    </row>
    <row r="11">
      <c r="A11" t="inlineStr">
        <is>
          <t>2.4</t>
        </is>
      </c>
      <c r="B11" t="inlineStr">
        <is>
          <t>Quadros diversos (QD01, QMC, QGE, QF)</t>
        </is>
      </c>
      <c r="C11" t="inlineStr">
        <is>
          <t>un</t>
        </is>
      </c>
      <c r="D11" s="9" t="n">
        <v>105</v>
      </c>
      <c r="E11" s="6" t="n">
        <v>680</v>
      </c>
      <c r="F11" s="6">
        <f>D11*E11</f>
        <v/>
      </c>
    </row>
    <row r="12">
      <c r="A12" s="10" t="inlineStr">
        <is>
          <t>SUBTOTAL - Quadros Elétricos</t>
        </is>
      </c>
      <c r="F12" s="11">
        <f>SUM(F8:F11)</f>
        <v/>
      </c>
    </row>
    <row r="14">
      <c r="A14" t="inlineStr">
        <is>
          <t>3.1</t>
        </is>
      </c>
      <c r="B14" t="inlineStr">
        <is>
          <t>Eletroduto PVC flexível Ø3/4"</t>
        </is>
      </c>
      <c r="C14" t="inlineStr">
        <is>
          <t>m</t>
        </is>
      </c>
      <c r="D14" s="9" t="n">
        <v>58740</v>
      </c>
      <c r="E14" s="6" t="n">
        <v>4.2</v>
      </c>
      <c r="F14" s="6">
        <f>D14*E14</f>
        <v/>
      </c>
    </row>
    <row r="15">
      <c r="A15" t="inlineStr">
        <is>
          <t>3.2</t>
        </is>
      </c>
      <c r="B15" t="inlineStr">
        <is>
          <t>Eletroduto PVC rígido Ø1"</t>
        </is>
      </c>
      <c r="C15" t="inlineStr">
        <is>
          <t>m</t>
        </is>
      </c>
      <c r="D15" s="9" t="n">
        <v>26108</v>
      </c>
      <c r="E15" s="6" t="n">
        <v>8.5</v>
      </c>
      <c r="F15" s="6">
        <f>D15*E15</f>
        <v/>
      </c>
    </row>
    <row r="16">
      <c r="A16" t="inlineStr">
        <is>
          <t>3.3</t>
        </is>
      </c>
      <c r="B16" t="inlineStr">
        <is>
          <t>Eletroduto PVC rígido Ø1.1/4"</t>
        </is>
      </c>
      <c r="C16" t="inlineStr">
        <is>
          <t>m</t>
        </is>
      </c>
      <c r="D16" s="9" t="n">
        <v>19581</v>
      </c>
      <c r="E16" s="6" t="n">
        <v>12</v>
      </c>
      <c r="F16" s="6">
        <f>D16*E16</f>
        <v/>
      </c>
    </row>
    <row r="17">
      <c r="A17" t="inlineStr">
        <is>
          <t>3.4</t>
        </is>
      </c>
      <c r="B17" t="inlineStr">
        <is>
          <t>Eletrocalha 100×50mm c/ acessórios</t>
        </is>
      </c>
      <c r="C17" t="inlineStr">
        <is>
          <t>m</t>
        </is>
      </c>
      <c r="D17" s="9" t="n">
        <v>850</v>
      </c>
      <c r="E17" s="6" t="n">
        <v>45</v>
      </c>
      <c r="F17" s="6">
        <f>D17*E17</f>
        <v/>
      </c>
    </row>
    <row r="18">
      <c r="A18" t="inlineStr">
        <is>
          <t>3.5</t>
        </is>
      </c>
      <c r="B18" t="inlineStr">
        <is>
          <t>Caixa octogonal 4×4" (luz)</t>
        </is>
      </c>
      <c r="C18" t="inlineStr">
        <is>
          <t>un</t>
        </is>
      </c>
      <c r="D18" s="9" t="n">
        <v>3500</v>
      </c>
      <c r="E18" s="6" t="n">
        <v>8.5</v>
      </c>
      <c r="F18" s="6">
        <f>D18*E18</f>
        <v/>
      </c>
    </row>
    <row r="19">
      <c r="A19" t="inlineStr">
        <is>
          <t>3.6</t>
        </is>
      </c>
      <c r="B19" t="inlineStr">
        <is>
          <t>Caixa retangular 4×2" (tomada/interruptor)</t>
        </is>
      </c>
      <c r="C19" t="inlineStr">
        <is>
          <t>un</t>
        </is>
      </c>
      <c r="D19" s="9" t="n">
        <v>6200</v>
      </c>
      <c r="E19" s="6" t="n">
        <v>6.8</v>
      </c>
      <c r="F19" s="6">
        <f>D19*E19</f>
        <v/>
      </c>
    </row>
    <row r="20">
      <c r="A20" s="10" t="inlineStr">
        <is>
          <t>SUBTOTAL - Eletrodutos e Caixas</t>
        </is>
      </c>
      <c r="F20" s="11">
        <f>SUM(F14:F19)</f>
        <v/>
      </c>
    </row>
    <row r="22">
      <c r="A22" t="inlineStr">
        <is>
          <t>4.1</t>
        </is>
      </c>
      <c r="B22" t="inlineStr">
        <is>
          <t>Cabo flexível 1,5mm² (iluminação)</t>
        </is>
      </c>
      <c r="C22" t="inlineStr">
        <is>
          <t>m</t>
        </is>
      </c>
      <c r="D22" s="9" t="n">
        <v>95000</v>
      </c>
      <c r="E22" s="6" t="n">
        <v>1.85</v>
      </c>
      <c r="F22" s="6">
        <f>D22*E22</f>
        <v/>
      </c>
    </row>
    <row r="23">
      <c r="A23" t="inlineStr">
        <is>
          <t>4.2</t>
        </is>
      </c>
      <c r="B23" t="inlineStr">
        <is>
          <t>Cabo flexível 2,5mm² (TUG)</t>
        </is>
      </c>
      <c r="C23" t="inlineStr">
        <is>
          <t>m</t>
        </is>
      </c>
      <c r="D23" s="9" t="n">
        <v>145000</v>
      </c>
      <c r="E23" s="6" t="n">
        <v>2.8</v>
      </c>
      <c r="F23" s="6">
        <f>D23*E23</f>
        <v/>
      </c>
    </row>
    <row r="24">
      <c r="A24" t="inlineStr">
        <is>
          <t>4.3</t>
        </is>
      </c>
      <c r="B24" t="inlineStr">
        <is>
          <t>Cabo flexível 4,0mm² (TUE)</t>
        </is>
      </c>
      <c r="C24" t="inlineStr">
        <is>
          <t>m</t>
        </is>
      </c>
      <c r="D24" s="9" t="n">
        <v>52000</v>
      </c>
      <c r="E24" s="6" t="n">
        <v>4.5</v>
      </c>
      <c r="F24" s="6">
        <f>D24*E24</f>
        <v/>
      </c>
    </row>
    <row r="25">
      <c r="A25" t="inlineStr">
        <is>
          <t>4.4</t>
        </is>
      </c>
      <c r="B25" t="inlineStr">
        <is>
          <t>Cabo flexível 6,0mm²</t>
        </is>
      </c>
      <c r="C25" t="inlineStr">
        <is>
          <t>m</t>
        </is>
      </c>
      <c r="D25" s="9" t="n">
        <v>26000</v>
      </c>
      <c r="E25" s="6" t="n">
        <v>6.2</v>
      </c>
      <c r="F25" s="6">
        <f>D25*E25</f>
        <v/>
      </c>
    </row>
    <row r="26">
      <c r="A26" t="inlineStr">
        <is>
          <t>4.5</t>
        </is>
      </c>
      <c r="B26" t="inlineStr">
        <is>
          <t>Cabo flexível 10,0mm²</t>
        </is>
      </c>
      <c r="C26" t="inlineStr">
        <is>
          <t>m</t>
        </is>
      </c>
      <c r="D26" s="9" t="n">
        <v>13000</v>
      </c>
      <c r="E26" s="6" t="n">
        <v>9.800000000000001</v>
      </c>
      <c r="F26" s="6">
        <f>D26*E26</f>
        <v/>
      </c>
    </row>
    <row r="27">
      <c r="A27" t="inlineStr">
        <is>
          <t>4.6</t>
        </is>
      </c>
      <c r="B27" t="inlineStr">
        <is>
          <t>Cabo flexível 16,0mm²</t>
        </is>
      </c>
      <c r="C27" t="inlineStr">
        <is>
          <t>m</t>
        </is>
      </c>
      <c r="D27" s="9" t="n">
        <v>7800</v>
      </c>
      <c r="E27" s="6" t="n">
        <v>15.5</v>
      </c>
      <c r="F27" s="6">
        <f>D27*E27</f>
        <v/>
      </c>
    </row>
    <row r="28">
      <c r="A28" s="10" t="inlineStr">
        <is>
          <t>SUBTOTAL - Cabos Condutores</t>
        </is>
      </c>
      <c r="F28" s="11">
        <f>SUM(F22:F27)</f>
        <v/>
      </c>
    </row>
    <row r="30">
      <c r="A30" t="inlineStr">
        <is>
          <t>5.1</t>
        </is>
      </c>
      <c r="B30" t="inlineStr">
        <is>
          <t>Ponto de luz c/ lâmpada LED 9W</t>
        </is>
      </c>
      <c r="C30" t="inlineStr">
        <is>
          <t>un</t>
        </is>
      </c>
      <c r="D30" s="9" t="n">
        <v>3500</v>
      </c>
      <c r="E30" s="6" t="n">
        <v>85</v>
      </c>
      <c r="F30" s="6">
        <f>D30*E30</f>
        <v/>
      </c>
    </row>
    <row r="31">
      <c r="A31" t="inlineStr">
        <is>
          <t>5.2</t>
        </is>
      </c>
      <c r="B31" t="inlineStr">
        <is>
          <t>Tomada 2P+T 10A padrão brasileiro</t>
        </is>
      </c>
      <c r="C31" t="inlineStr">
        <is>
          <t>un</t>
        </is>
      </c>
      <c r="D31" s="9" t="n">
        <v>2500</v>
      </c>
      <c r="E31" s="6" t="n">
        <v>35</v>
      </c>
      <c r="F31" s="6">
        <f>D31*E31</f>
        <v/>
      </c>
    </row>
    <row r="32">
      <c r="A32" t="inlineStr">
        <is>
          <t>5.3</t>
        </is>
      </c>
      <c r="B32" t="inlineStr">
        <is>
          <t>Tomada 2P+T 20A (TUE)</t>
        </is>
      </c>
      <c r="C32" t="inlineStr">
        <is>
          <t>un</t>
        </is>
      </c>
      <c r="D32" s="9" t="n">
        <v>1440</v>
      </c>
      <c r="E32" s="6" t="n">
        <v>48</v>
      </c>
      <c r="F32" s="6">
        <f>D32*E32</f>
        <v/>
      </c>
    </row>
    <row r="33">
      <c r="A33" t="inlineStr">
        <is>
          <t>5.4</t>
        </is>
      </c>
      <c r="B33" t="inlineStr">
        <is>
          <t>Interruptor simples/paralelo/intermediário</t>
        </is>
      </c>
      <c r="C33" t="inlineStr">
        <is>
          <t>un</t>
        </is>
      </c>
      <c r="D33" s="9" t="n">
        <v>2220</v>
      </c>
      <c r="E33" s="6" t="n">
        <v>28</v>
      </c>
      <c r="F33" s="6">
        <f>D33*E33</f>
        <v/>
      </c>
    </row>
    <row r="34">
      <c r="A34" s="10" t="inlineStr">
        <is>
          <t>SUBTOTAL - Pontos de Utilização</t>
        </is>
      </c>
      <c r="F34" s="11">
        <f>SUM(F30:F33)</f>
        <v/>
      </c>
    </row>
    <row r="100">
      <c r="F100" s="6">
        <f>SUM(F7,F13,F21,F29,F35)</f>
        <v/>
      </c>
    </row>
  </sheetData>
  <mergeCells count="6">
    <mergeCell ref="A34:E34"/>
    <mergeCell ref="A12:E12"/>
    <mergeCell ref="A20:E20"/>
    <mergeCell ref="A28:E28"/>
    <mergeCell ref="A1:F1"/>
    <mergeCell ref="A6:E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>
      <c r="A1" s="8" t="inlineStr">
        <is>
          <t>INSTALAÇÕES HIDROSSANITÁRIAS</t>
        </is>
      </c>
    </row>
    <row r="2">
      <c r="A2" s="2" t="inlineStr">
        <is>
          <t>Item</t>
        </is>
      </c>
      <c r="B2" s="2" t="inlineStr">
        <is>
          <t>Descrição</t>
        </is>
      </c>
      <c r="C2" s="2" t="inlineStr">
        <is>
          <t>Unidade</t>
        </is>
      </c>
      <c r="D2" s="2" t="inlineStr">
        <is>
          <t>Quantidade</t>
        </is>
      </c>
      <c r="E2" s="2" t="inlineStr">
        <is>
          <t>Preço Unitário (R$)</t>
        </is>
      </c>
      <c r="F2" s="2" t="inlineStr">
        <is>
          <t>Total (R$)</t>
        </is>
      </c>
    </row>
    <row r="3">
      <c r="A3" t="inlineStr">
        <is>
          <t>1.1</t>
        </is>
      </c>
      <c r="B3" t="inlineStr">
        <is>
          <t>Reservatório superior fibra 75m³</t>
        </is>
      </c>
      <c r="C3" t="inlineStr">
        <is>
          <t>un</t>
        </is>
      </c>
      <c r="D3" s="9" t="n">
        <v>2</v>
      </c>
      <c r="E3" s="6" t="n">
        <v>28000</v>
      </c>
      <c r="F3" s="6">
        <f>D3*E3</f>
        <v/>
      </c>
    </row>
    <row r="4">
      <c r="A4" t="inlineStr">
        <is>
          <t>1.2</t>
        </is>
      </c>
      <c r="B4" t="inlineStr">
        <is>
          <t>Reservatório inferior concreto 75m³</t>
        </is>
      </c>
      <c r="C4" t="inlineStr">
        <is>
          <t>un</t>
        </is>
      </c>
      <c r="D4" s="9" t="n">
        <v>2</v>
      </c>
      <c r="E4" s="6" t="n">
        <v>45000</v>
      </c>
      <c r="F4" s="6">
        <f>D4*E4</f>
        <v/>
      </c>
    </row>
    <row r="5">
      <c r="A5" t="inlineStr">
        <is>
          <t>1.3</t>
        </is>
      </c>
      <c r="B5" t="inlineStr">
        <is>
          <t>Conjunto pressurizador 7,5CV</t>
        </is>
      </c>
      <c r="C5" t="inlineStr">
        <is>
          <t>un</t>
        </is>
      </c>
      <c r="D5" s="9" t="n">
        <v>1</v>
      </c>
      <c r="E5" s="6" t="n">
        <v>18500</v>
      </c>
      <c r="F5" s="6">
        <f>D5*E5</f>
        <v/>
      </c>
    </row>
    <row r="6">
      <c r="A6" t="inlineStr">
        <is>
          <t>1.4</t>
        </is>
      </c>
      <c r="B6" t="inlineStr">
        <is>
          <t>Bomba recalque 5CV (dupla)</t>
        </is>
      </c>
      <c r="C6" t="inlineStr">
        <is>
          <t>cj</t>
        </is>
      </c>
      <c r="D6" s="9" t="n">
        <v>1</v>
      </c>
      <c r="E6" s="6" t="n">
        <v>12000</v>
      </c>
      <c r="F6" s="6">
        <f>D6*E6</f>
        <v/>
      </c>
    </row>
    <row r="7">
      <c r="A7" t="inlineStr">
        <is>
          <t>1.5</t>
        </is>
      </c>
      <c r="B7" t="inlineStr">
        <is>
          <t>Tubulação PVC DN 100mm</t>
        </is>
      </c>
      <c r="C7" t="inlineStr">
        <is>
          <t>m</t>
        </is>
      </c>
      <c r="D7" s="9" t="n">
        <v>95</v>
      </c>
      <c r="E7" s="6" t="n">
        <v>85</v>
      </c>
      <c r="F7" s="6">
        <f>D7*E7</f>
        <v/>
      </c>
    </row>
    <row r="8">
      <c r="A8" t="inlineStr">
        <is>
          <t>1.6</t>
        </is>
      </c>
      <c r="B8" t="inlineStr">
        <is>
          <t>Tubulação PVC DN 50mm</t>
        </is>
      </c>
      <c r="C8" t="inlineStr">
        <is>
          <t>m</t>
        </is>
      </c>
      <c r="D8" s="9" t="n">
        <v>1300</v>
      </c>
      <c r="E8" s="6" t="n">
        <v>32</v>
      </c>
      <c r="F8" s="6">
        <f>D8*E8</f>
        <v/>
      </c>
    </row>
    <row r="9">
      <c r="A9" t="inlineStr">
        <is>
          <t>1.7</t>
        </is>
      </c>
      <c r="B9" t="inlineStr">
        <is>
          <t>Tubulação PVC/PEX DN 25mm</t>
        </is>
      </c>
      <c r="C9" t="inlineStr">
        <is>
          <t>m</t>
        </is>
      </c>
      <c r="D9" s="9" t="n">
        <v>13000</v>
      </c>
      <c r="E9" s="6" t="n">
        <v>18</v>
      </c>
      <c r="F9" s="6">
        <f>D9*E9</f>
        <v/>
      </c>
    </row>
    <row r="10">
      <c r="A10" t="inlineStr">
        <is>
          <t>1.8</t>
        </is>
      </c>
      <c r="B10" t="inlineStr">
        <is>
          <t>Tubulação PVC/PEX DN 20mm</t>
        </is>
      </c>
      <c r="C10" t="inlineStr">
        <is>
          <t>m</t>
        </is>
      </c>
      <c r="D10" s="9" t="n">
        <v>26000</v>
      </c>
      <c r="E10" s="6" t="n">
        <v>14.5</v>
      </c>
      <c r="F10" s="6">
        <f>D10*E10</f>
        <v/>
      </c>
    </row>
    <row r="11">
      <c r="A11" t="inlineStr">
        <is>
          <t>1.9</t>
        </is>
      </c>
      <c r="B11" t="inlineStr">
        <is>
          <t>Registros, válvulas e conexões</t>
        </is>
      </c>
      <c r="C11" t="inlineStr">
        <is>
          <t>vb</t>
        </is>
      </c>
      <c r="D11" s="9" t="n">
        <v>1</v>
      </c>
      <c r="E11" s="6" t="n">
        <v>85000</v>
      </c>
      <c r="F11" s="6">
        <f>D11*E11</f>
        <v/>
      </c>
    </row>
    <row r="12">
      <c r="A12" s="10" t="inlineStr">
        <is>
          <t>SUBTOTAL - Água Fria</t>
        </is>
      </c>
      <c r="F12" s="11">
        <f>SUM(F3:F11)</f>
        <v/>
      </c>
    </row>
    <row r="14">
      <c r="A14" t="inlineStr">
        <is>
          <t>2.1</t>
        </is>
      </c>
      <c r="B14" t="inlineStr">
        <is>
          <t>Tubulação PVC esgoto Ø100mm</t>
        </is>
      </c>
      <c r="C14" t="inlineStr">
        <is>
          <t>m</t>
        </is>
      </c>
      <c r="D14" s="9" t="n">
        <v>6500</v>
      </c>
      <c r="E14" s="6" t="n">
        <v>38</v>
      </c>
      <c r="F14" s="6">
        <f>D14*E14</f>
        <v/>
      </c>
    </row>
    <row r="15">
      <c r="A15" t="inlineStr">
        <is>
          <t>2.2</t>
        </is>
      </c>
      <c r="B15" t="inlineStr">
        <is>
          <t>Tubulação PVC esgoto Ø75mm</t>
        </is>
      </c>
      <c r="C15" t="inlineStr">
        <is>
          <t>m</t>
        </is>
      </c>
      <c r="D15" s="9" t="n">
        <v>3900</v>
      </c>
      <c r="E15" s="6" t="n">
        <v>28</v>
      </c>
      <c r="F15" s="6">
        <f>D15*E15</f>
        <v/>
      </c>
    </row>
    <row r="16">
      <c r="A16" t="inlineStr">
        <is>
          <t>2.3</t>
        </is>
      </c>
      <c r="B16" t="inlineStr">
        <is>
          <t>Tubulação PVC esgoto Ø50mm</t>
        </is>
      </c>
      <c r="C16" t="inlineStr">
        <is>
          <t>m</t>
        </is>
      </c>
      <c r="D16" s="9" t="n">
        <v>7800</v>
      </c>
      <c r="E16" s="6" t="n">
        <v>18</v>
      </c>
      <c r="F16" s="6">
        <f>D16*E16</f>
        <v/>
      </c>
    </row>
    <row r="17">
      <c r="A17" t="inlineStr">
        <is>
          <t>2.4</t>
        </is>
      </c>
      <c r="B17" t="inlineStr">
        <is>
          <t>Tubulação PVC esgoto Ø40mm</t>
        </is>
      </c>
      <c r="C17" t="inlineStr">
        <is>
          <t>m</t>
        </is>
      </c>
      <c r="D17" s="9" t="n">
        <v>13000</v>
      </c>
      <c r="E17" s="6" t="n">
        <v>12</v>
      </c>
      <c r="F17" s="6">
        <f>D17*E17</f>
        <v/>
      </c>
    </row>
    <row r="18">
      <c r="A18" t="inlineStr">
        <is>
          <t>2.5</t>
        </is>
      </c>
      <c r="B18" t="inlineStr">
        <is>
          <t>Caixa sifonada 100×150×50mm</t>
        </is>
      </c>
      <c r="C18" t="inlineStr">
        <is>
          <t>un</t>
        </is>
      </c>
      <c r="D18" s="9" t="n">
        <v>884</v>
      </c>
      <c r="E18" s="6" t="n">
        <v>45</v>
      </c>
      <c r="F18" s="6">
        <f>D18*E18</f>
        <v/>
      </c>
    </row>
    <row r="19">
      <c r="A19" t="inlineStr">
        <is>
          <t>2.6</t>
        </is>
      </c>
      <c r="B19" t="inlineStr">
        <is>
          <t>Caixa de inspeção 60×60cm</t>
        </is>
      </c>
      <c r="C19" t="inlineStr">
        <is>
          <t>un</t>
        </is>
      </c>
      <c r="D19" s="9" t="n">
        <v>35</v>
      </c>
      <c r="E19" s="6" t="n">
        <v>280</v>
      </c>
      <c r="F19" s="6">
        <f>D19*E19</f>
        <v/>
      </c>
    </row>
    <row r="20">
      <c r="A20" t="inlineStr">
        <is>
          <t>2.7</t>
        </is>
      </c>
      <c r="B20" t="inlineStr">
        <is>
          <t>Bomba submersível esgoto 3CV (dupla)</t>
        </is>
      </c>
      <c r="C20" t="inlineStr">
        <is>
          <t>cj</t>
        </is>
      </c>
      <c r="D20" s="9" t="n">
        <v>1</v>
      </c>
      <c r="E20" s="6" t="n">
        <v>15000</v>
      </c>
      <c r="F20" s="6">
        <f>D20*E20</f>
        <v/>
      </c>
    </row>
    <row r="21">
      <c r="A21" s="10" t="inlineStr">
        <is>
          <t>SUBTOTAL - Esgoto Sanitário</t>
        </is>
      </c>
      <c r="F21" s="11">
        <f>SUM(F14:F20)</f>
        <v/>
      </c>
    </row>
    <row r="23">
      <c r="A23" t="inlineStr">
        <is>
          <t>3.1</t>
        </is>
      </c>
      <c r="B23" t="inlineStr">
        <is>
          <t>Tubulação PVC Ø150mm (prumadas)</t>
        </is>
      </c>
      <c r="C23" t="inlineStr">
        <is>
          <t>m</t>
        </is>
      </c>
      <c r="D23" s="9" t="n">
        <v>650</v>
      </c>
      <c r="E23" s="6" t="n">
        <v>62</v>
      </c>
      <c r="F23" s="6">
        <f>D23*E23</f>
        <v/>
      </c>
    </row>
    <row r="24">
      <c r="A24" t="inlineStr">
        <is>
          <t>3.2</t>
        </is>
      </c>
      <c r="B24" t="inlineStr">
        <is>
          <t>Tubulação PVC Ø100mm (coletores)</t>
        </is>
      </c>
      <c r="C24" t="inlineStr">
        <is>
          <t>m</t>
        </is>
      </c>
      <c r="D24" s="9" t="n">
        <v>1950</v>
      </c>
      <c r="E24" s="6" t="n">
        <v>42</v>
      </c>
      <c r="F24" s="6">
        <f>D24*E24</f>
        <v/>
      </c>
    </row>
    <row r="25">
      <c r="A25" t="inlineStr">
        <is>
          <t>3.3</t>
        </is>
      </c>
      <c r="B25" t="inlineStr">
        <is>
          <t>Calha chapa galvanizada #24</t>
        </is>
      </c>
      <c r="C25" t="inlineStr">
        <is>
          <t>m</t>
        </is>
      </c>
      <c r="D25" s="9" t="n">
        <v>280</v>
      </c>
      <c r="E25" s="6" t="n">
        <v>85</v>
      </c>
      <c r="F25" s="6">
        <f>D25*E25</f>
        <v/>
      </c>
    </row>
    <row r="26">
      <c r="A26" t="inlineStr">
        <is>
          <t>3.4</t>
        </is>
      </c>
      <c r="B26" t="inlineStr">
        <is>
          <t>Ralos pluviais DN 100mm</t>
        </is>
      </c>
      <c r="C26" t="inlineStr">
        <is>
          <t>un</t>
        </is>
      </c>
      <c r="D26" s="9" t="n">
        <v>189</v>
      </c>
      <c r="E26" s="6" t="n">
        <v>65</v>
      </c>
      <c r="F26" s="6">
        <f>D26*E26</f>
        <v/>
      </c>
    </row>
    <row r="27">
      <c r="A27" t="inlineStr">
        <is>
          <t>3.5</t>
        </is>
      </c>
      <c r="B27" t="inlineStr">
        <is>
          <t>Caixa de areia 80×80cm</t>
        </is>
      </c>
      <c r="C27" t="inlineStr">
        <is>
          <t>un</t>
        </is>
      </c>
      <c r="D27" s="9" t="n">
        <v>6</v>
      </c>
      <c r="E27" s="6" t="n">
        <v>420</v>
      </c>
      <c r="F27" s="6">
        <f>D27*E27</f>
        <v/>
      </c>
    </row>
    <row r="28">
      <c r="A28" s="10" t="inlineStr">
        <is>
          <t>SUBTOTAL - Águas Pluviais</t>
        </is>
      </c>
      <c r="F28" s="11">
        <f>SUM(F23:F27)</f>
        <v/>
      </c>
    </row>
    <row r="30">
      <c r="A30" t="inlineStr">
        <is>
          <t>4.1</t>
        </is>
      </c>
      <c r="B30" t="inlineStr">
        <is>
          <t>Aquecedor elétrico 60L</t>
        </is>
      </c>
      <c r="C30" t="inlineStr">
        <is>
          <t>un</t>
        </is>
      </c>
      <c r="D30" s="9" t="n">
        <v>85</v>
      </c>
      <c r="E30" s="6" t="n">
        <v>980</v>
      </c>
      <c r="F30" s="6">
        <f>D30*E30</f>
        <v/>
      </c>
    </row>
    <row r="31">
      <c r="A31" t="inlineStr">
        <is>
          <t>4.2</t>
        </is>
      </c>
      <c r="B31" t="inlineStr">
        <is>
          <t>Aquecedor gás 12L/min</t>
        </is>
      </c>
      <c r="C31" t="inlineStr">
        <is>
          <t>un</t>
        </is>
      </c>
      <c r="D31" s="9" t="n">
        <v>51</v>
      </c>
      <c r="E31" s="6" t="n">
        <v>1850</v>
      </c>
      <c r="F31" s="6">
        <f>D31*E31</f>
        <v/>
      </c>
    </row>
    <row r="32">
      <c r="A32" t="inlineStr">
        <is>
          <t>4.3</t>
        </is>
      </c>
      <c r="B32" t="inlineStr">
        <is>
          <t>Tubulação cobre/PEX DN 25mm</t>
        </is>
      </c>
      <c r="C32" t="inlineStr">
        <is>
          <t>m</t>
        </is>
      </c>
      <c r="D32" s="9" t="n">
        <v>5200</v>
      </c>
      <c r="E32" s="6" t="n">
        <v>28</v>
      </c>
      <c r="F32" s="6">
        <f>D32*E32</f>
        <v/>
      </c>
    </row>
    <row r="33">
      <c r="A33" t="inlineStr">
        <is>
          <t>4.4</t>
        </is>
      </c>
      <c r="B33" t="inlineStr">
        <is>
          <t>Tubulação cobre/PEX DN 20mm</t>
        </is>
      </c>
      <c r="C33" t="inlineStr">
        <is>
          <t>m</t>
        </is>
      </c>
      <c r="D33" s="9" t="n">
        <v>7800</v>
      </c>
      <c r="E33" s="6" t="n">
        <v>22</v>
      </c>
      <c r="F33" s="6">
        <f>D33*E33</f>
        <v/>
      </c>
    </row>
    <row r="34">
      <c r="A34" s="10" t="inlineStr">
        <is>
          <t>SUBTOTAL - Água Quente</t>
        </is>
      </c>
      <c r="F34" s="11">
        <f>SUM(F30:F33)</f>
        <v/>
      </c>
    </row>
    <row r="36">
      <c r="A36" t="inlineStr">
        <is>
          <t>5.1</t>
        </is>
      </c>
      <c r="B36" t="inlineStr">
        <is>
          <t>Tanque GLP 1.900kg P190</t>
        </is>
      </c>
      <c r="C36" t="inlineStr">
        <is>
          <t>un</t>
        </is>
      </c>
      <c r="D36" s="9" t="n">
        <v>2</v>
      </c>
      <c r="E36" s="6" t="n">
        <v>18500</v>
      </c>
      <c r="F36" s="6">
        <f>D36*E36</f>
        <v/>
      </c>
    </row>
    <row r="37">
      <c r="A37" t="inlineStr">
        <is>
          <t>5.2</t>
        </is>
      </c>
      <c r="B37" t="inlineStr">
        <is>
          <t>Regulador pressão 1º estágio 90kg/h</t>
        </is>
      </c>
      <c r="C37" t="inlineStr">
        <is>
          <t>un</t>
        </is>
      </c>
      <c r="D37" s="9" t="n">
        <v>2</v>
      </c>
      <c r="E37" s="6" t="n">
        <v>2800</v>
      </c>
      <c r="F37" s="6">
        <f>D37*E37</f>
        <v/>
      </c>
    </row>
    <row r="38">
      <c r="A38" t="inlineStr">
        <is>
          <t>5.3</t>
        </is>
      </c>
      <c r="B38" t="inlineStr">
        <is>
          <t>Regulador pressão 2º estágio 45kg/h</t>
        </is>
      </c>
      <c r="C38" t="inlineStr">
        <is>
          <t>un</t>
        </is>
      </c>
      <c r="D38" s="9" t="n">
        <v>17</v>
      </c>
      <c r="E38" s="6" t="n">
        <v>850</v>
      </c>
      <c r="F38" s="6">
        <f>D38*E38</f>
        <v/>
      </c>
    </row>
    <row r="39">
      <c r="A39" t="inlineStr">
        <is>
          <t>5.4</t>
        </is>
      </c>
      <c r="B39" t="inlineStr">
        <is>
          <t>Tubulação cobre DN 32mm (prumadas)</t>
        </is>
      </c>
      <c r="C39" t="inlineStr">
        <is>
          <t>m</t>
        </is>
      </c>
      <c r="D39" s="9" t="n">
        <v>650</v>
      </c>
      <c r="E39" s="6" t="n">
        <v>42</v>
      </c>
      <c r="F39" s="6">
        <f>D39*E39</f>
        <v/>
      </c>
    </row>
    <row r="40">
      <c r="A40" t="inlineStr">
        <is>
          <t>5.5</t>
        </is>
      </c>
      <c r="B40" t="inlineStr">
        <is>
          <t>Tubulação cobre DN 20mm (ramais)</t>
        </is>
      </c>
      <c r="C40" t="inlineStr">
        <is>
          <t>m</t>
        </is>
      </c>
      <c r="D40" s="9" t="n">
        <v>2600</v>
      </c>
      <c r="E40" s="6" t="n">
        <v>28</v>
      </c>
      <c r="F40" s="6">
        <f>D40*E40</f>
        <v/>
      </c>
    </row>
    <row r="41">
      <c r="A41" t="inlineStr">
        <is>
          <t>5.6</t>
        </is>
      </c>
      <c r="B41" t="inlineStr">
        <is>
          <t>Tubulação cobre DN 15mm (sub-ramais)</t>
        </is>
      </c>
      <c r="C41" t="inlineStr">
        <is>
          <t>m</t>
        </is>
      </c>
      <c r="D41" s="9" t="n">
        <v>3900</v>
      </c>
      <c r="E41" s="6" t="n">
        <v>22</v>
      </c>
      <c r="F41" s="6">
        <f>D41*E41</f>
        <v/>
      </c>
    </row>
    <row r="42">
      <c r="A42" s="10" t="inlineStr">
        <is>
          <t>SUBTOTAL - Gás GLP</t>
        </is>
      </c>
      <c r="F42" s="11">
        <f>SUM(F36:F41)</f>
        <v/>
      </c>
    </row>
    <row r="44">
      <c r="A44" t="inlineStr">
        <is>
          <t>6.1</t>
        </is>
      </c>
      <c r="B44" t="inlineStr">
        <is>
          <t>Bacia sanitária c/ caixa acoplada</t>
        </is>
      </c>
      <c r="C44" t="inlineStr">
        <is>
          <t>un</t>
        </is>
      </c>
      <c r="D44" s="9" t="n">
        <v>272</v>
      </c>
      <c r="E44" s="6" t="n">
        <v>520</v>
      </c>
      <c r="F44" s="6">
        <f>D44*E44</f>
        <v/>
      </c>
    </row>
    <row r="45">
      <c r="A45" t="inlineStr">
        <is>
          <t>6.2</t>
        </is>
      </c>
      <c r="B45" t="inlineStr">
        <is>
          <t>Lavatório suspenso c/ coluna</t>
        </is>
      </c>
      <c r="C45" t="inlineStr">
        <is>
          <t>un</t>
        </is>
      </c>
      <c r="D45" s="9" t="n">
        <v>272</v>
      </c>
      <c r="E45" s="6" t="n">
        <v>380</v>
      </c>
      <c r="F45" s="6">
        <f>D45*E45</f>
        <v/>
      </c>
    </row>
    <row r="46">
      <c r="A46" t="inlineStr">
        <is>
          <t>6.3</t>
        </is>
      </c>
      <c r="B46" t="inlineStr">
        <is>
          <t>Cuba inox cozinha + torneira</t>
        </is>
      </c>
      <c r="C46" t="inlineStr">
        <is>
          <t>cj</t>
        </is>
      </c>
      <c r="D46" s="9" t="n">
        <v>136</v>
      </c>
      <c r="E46" s="6" t="n">
        <v>450</v>
      </c>
      <c r="F46" s="6">
        <f>D46*E46</f>
        <v/>
      </c>
    </row>
    <row r="47">
      <c r="A47" t="inlineStr">
        <is>
          <t>6.4</t>
        </is>
      </c>
      <c r="B47" t="inlineStr">
        <is>
          <t>Tanque mármore sintético + torneira</t>
        </is>
      </c>
      <c r="C47" t="inlineStr">
        <is>
          <t>cj</t>
        </is>
      </c>
      <c r="D47" s="9" t="n">
        <v>136</v>
      </c>
      <c r="E47" s="6" t="n">
        <v>320</v>
      </c>
      <c r="F47" s="6">
        <f>D47*E47</f>
        <v/>
      </c>
    </row>
    <row r="48">
      <c r="A48" t="inlineStr">
        <is>
          <t>6.5</t>
        </is>
      </c>
      <c r="B48" t="inlineStr">
        <is>
          <t>Chuveiro elétrico 5500W</t>
        </is>
      </c>
      <c r="C48" t="inlineStr">
        <is>
          <t>un</t>
        </is>
      </c>
      <c r="D48" s="9" t="n">
        <v>272</v>
      </c>
      <c r="E48" s="6" t="n">
        <v>180</v>
      </c>
      <c r="F48" s="6">
        <f>D48*E48</f>
        <v/>
      </c>
    </row>
    <row r="49">
      <c r="A49" t="inlineStr">
        <is>
          <t>6.6</t>
        </is>
      </c>
      <c r="B49" t="inlineStr">
        <is>
          <t>Registros cromados (gaveta, pressão)</t>
        </is>
      </c>
      <c r="C49" t="inlineStr">
        <is>
          <t>un</t>
        </is>
      </c>
      <c r="D49" s="9" t="n">
        <v>1380</v>
      </c>
      <c r="E49" s="6" t="n">
        <v>65</v>
      </c>
      <c r="F49" s="6">
        <f>D49*E49</f>
        <v/>
      </c>
    </row>
    <row r="50">
      <c r="A50" s="10" t="inlineStr">
        <is>
          <t>SUBTOTAL - Louças e Metais</t>
        </is>
      </c>
      <c r="F50" s="11">
        <f>SUM(F44:F49)</f>
        <v/>
      </c>
    </row>
    <row r="100">
      <c r="F100" s="6">
        <f>SUM(F13,F22,F29,F35,F43,F51)</f>
        <v/>
      </c>
    </row>
  </sheetData>
  <mergeCells count="7">
    <mergeCell ref="A21:E21"/>
    <mergeCell ref="A34:E34"/>
    <mergeCell ref="A12:E12"/>
    <mergeCell ref="A50:E50"/>
    <mergeCell ref="A28:E28"/>
    <mergeCell ref="A1:F1"/>
    <mergeCell ref="A42:E4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>
      <c r="A1" s="8" t="inlineStr">
        <is>
          <t>INSTALAÇÕES ESPECIAIS</t>
        </is>
      </c>
    </row>
    <row r="2">
      <c r="A2" s="2" t="inlineStr">
        <is>
          <t>Item</t>
        </is>
      </c>
      <c r="B2" s="2" t="inlineStr">
        <is>
          <t>Descrição</t>
        </is>
      </c>
      <c r="C2" s="2" t="inlineStr">
        <is>
          <t>Unidade</t>
        </is>
      </c>
      <c r="D2" s="2" t="inlineStr">
        <is>
          <t>Quantidade</t>
        </is>
      </c>
      <c r="E2" s="2" t="inlineStr">
        <is>
          <t>Preço Unitário (R$)</t>
        </is>
      </c>
      <c r="F2" s="2" t="inlineStr">
        <is>
          <t>Total (R$)</t>
        </is>
      </c>
    </row>
    <row r="3">
      <c r="A3" t="inlineStr">
        <is>
          <t>1.1</t>
        </is>
      </c>
      <c r="B3" t="inlineStr">
        <is>
          <t>Sistema de hidrantes e mangotinhos completo</t>
        </is>
      </c>
      <c r="C3" t="inlineStr">
        <is>
          <t>un</t>
        </is>
      </c>
      <c r="D3" s="9" t="n">
        <v>1</v>
      </c>
      <c r="E3" s="6" t="n">
        <v>185000</v>
      </c>
      <c r="F3" s="6">
        <f>D3*E3</f>
        <v/>
      </c>
    </row>
    <row r="4">
      <c r="A4" t="inlineStr">
        <is>
          <t>1.2</t>
        </is>
      </c>
      <c r="B4" t="inlineStr">
        <is>
          <t>Reservatório incêndio 40m³</t>
        </is>
      </c>
      <c r="C4" t="inlineStr">
        <is>
          <t>un</t>
        </is>
      </c>
      <c r="D4" s="9" t="n">
        <v>1</v>
      </c>
      <c r="E4" s="6" t="n">
        <v>35000</v>
      </c>
      <c r="F4" s="6">
        <f>D4*E4</f>
        <v/>
      </c>
    </row>
    <row r="5">
      <c r="A5" t="inlineStr">
        <is>
          <t>1.3</t>
        </is>
      </c>
      <c r="B5" t="inlineStr">
        <is>
          <t>Casa bombas incêndio (principal + jockey)</t>
        </is>
      </c>
      <c r="C5" t="inlineStr">
        <is>
          <t>cj</t>
        </is>
      </c>
      <c r="D5" s="9" t="n">
        <v>1</v>
      </c>
      <c r="E5" s="6" t="n">
        <v>65000</v>
      </c>
      <c r="F5" s="6">
        <f>D5*E5</f>
        <v/>
      </c>
    </row>
    <row r="6">
      <c r="A6" t="inlineStr">
        <is>
          <t>1.4</t>
        </is>
      </c>
      <c r="B6" t="inlineStr">
        <is>
          <t>Sistema detecção/alarme de incêndio</t>
        </is>
      </c>
      <c r="C6" t="inlineStr">
        <is>
          <t>un</t>
        </is>
      </c>
      <c r="D6" s="9" t="n">
        <v>1</v>
      </c>
      <c r="E6" s="6" t="n">
        <v>48000</v>
      </c>
      <c r="F6" s="6">
        <f>D6*E6</f>
        <v/>
      </c>
    </row>
    <row r="7">
      <c r="A7" t="inlineStr">
        <is>
          <t>1.5</t>
        </is>
      </c>
      <c r="B7" t="inlineStr">
        <is>
          <t>Extintores portáteis (AP, PQS, CO2)</t>
        </is>
      </c>
      <c r="C7" t="inlineStr">
        <is>
          <t>un</t>
        </is>
      </c>
      <c r="D7" s="9" t="n">
        <v>85</v>
      </c>
      <c r="E7" s="6" t="n">
        <v>320</v>
      </c>
      <c r="F7" s="6">
        <f>D7*E7</f>
        <v/>
      </c>
    </row>
    <row r="8">
      <c r="A8" t="inlineStr">
        <is>
          <t>1.6</t>
        </is>
      </c>
      <c r="B8" t="inlineStr">
        <is>
          <t>Iluminação emergência (luminárias autônomas)</t>
        </is>
      </c>
      <c r="C8" t="inlineStr">
        <is>
          <t>un</t>
        </is>
      </c>
      <c r="D8" s="9" t="n">
        <v>180</v>
      </c>
      <c r="E8" s="6" t="n">
        <v>280</v>
      </c>
      <c r="F8" s="6">
        <f>D8*E8</f>
        <v/>
      </c>
    </row>
    <row r="9">
      <c r="A9" t="inlineStr">
        <is>
          <t>1.7</t>
        </is>
      </c>
      <c r="B9" t="inlineStr">
        <is>
          <t>Sinalização fotoluminescente</t>
        </is>
      </c>
      <c r="C9" t="inlineStr">
        <is>
          <t>cj</t>
        </is>
      </c>
      <c r="D9" s="9" t="n">
        <v>1</v>
      </c>
      <c r="E9" s="6" t="n">
        <v>12000</v>
      </c>
      <c r="F9" s="6">
        <f>D9*E9</f>
        <v/>
      </c>
    </row>
    <row r="10">
      <c r="A10" t="inlineStr">
        <is>
          <t>1.8</t>
        </is>
      </c>
      <c r="B10" t="inlineStr">
        <is>
          <t>Portas corta-fogo P-90 c/ barra antipânico</t>
        </is>
      </c>
      <c r="C10" t="inlineStr">
        <is>
          <t>un</t>
        </is>
      </c>
      <c r="D10" s="9" t="n">
        <v>6</v>
      </c>
      <c r="E10" s="6" t="n">
        <v>4200</v>
      </c>
      <c r="F10" s="6">
        <f>D10*E10</f>
        <v/>
      </c>
    </row>
    <row r="11">
      <c r="A11" s="10" t="inlineStr">
        <is>
          <t>SUBTOTAL - PPCI</t>
        </is>
      </c>
      <c r="F11" s="11">
        <f>SUM(F3:F10)</f>
        <v/>
      </c>
    </row>
    <row r="13">
      <c r="A13" t="inlineStr">
        <is>
          <t>2.1</t>
        </is>
      </c>
      <c r="B13" t="inlineStr">
        <is>
          <t>Elevador social 800kg 1,5m/s (2 un)</t>
        </is>
      </c>
      <c r="C13" t="inlineStr">
        <is>
          <t>cj</t>
        </is>
      </c>
      <c r="D13" s="9" t="n">
        <v>2</v>
      </c>
      <c r="E13" s="6" t="n">
        <v>185000</v>
      </c>
      <c r="F13" s="6">
        <f>D13*E13</f>
        <v/>
      </c>
    </row>
    <row r="14">
      <c r="A14" t="inlineStr">
        <is>
          <t>2.2</t>
        </is>
      </c>
      <c r="B14" t="inlineStr">
        <is>
          <t>Elevador emergência 800kg 1,0m/s</t>
        </is>
      </c>
      <c r="C14" t="inlineStr">
        <is>
          <t>un</t>
        </is>
      </c>
      <c r="D14" s="9" t="n">
        <v>1</v>
      </c>
      <c r="E14" s="6" t="n">
        <v>220000</v>
      </c>
      <c r="F14" s="6">
        <f>D14*E14</f>
        <v/>
      </c>
    </row>
    <row r="15">
      <c r="A15" t="inlineStr">
        <is>
          <t>2.3</t>
        </is>
      </c>
      <c r="B15" t="inlineStr">
        <is>
          <t>Casa de máquinas (estrutura + acabamento)</t>
        </is>
      </c>
      <c r="C15" t="inlineStr">
        <is>
          <t>un</t>
        </is>
      </c>
      <c r="D15" s="9" t="n">
        <v>1</v>
      </c>
      <c r="E15" s="6" t="n">
        <v>45000</v>
      </c>
      <c r="F15" s="6">
        <f>D15*E15</f>
        <v/>
      </c>
    </row>
    <row r="16">
      <c r="A16" s="10" t="inlineStr">
        <is>
          <t>SUBTOTAL - Elevadores</t>
        </is>
      </c>
      <c r="F16" s="11">
        <f>SUM(F13:F15)</f>
        <v/>
      </c>
    </row>
    <row r="18">
      <c r="A18" t="inlineStr">
        <is>
          <t>3.1</t>
        </is>
      </c>
      <c r="B18" t="inlineStr">
        <is>
          <t>Infraestrutura cabeamento estruturado</t>
        </is>
      </c>
      <c r="C18" t="inlineStr">
        <is>
          <t>un</t>
        </is>
      </c>
      <c r="D18" s="9" t="n">
        <v>1</v>
      </c>
      <c r="E18" s="6" t="n">
        <v>28000</v>
      </c>
      <c r="F18" s="6">
        <f>D18*E18</f>
        <v/>
      </c>
    </row>
    <row r="19">
      <c r="A19" t="inlineStr">
        <is>
          <t>3.2</t>
        </is>
      </c>
      <c r="B19" t="inlineStr">
        <is>
          <t>Rede interna telefonia + internet</t>
        </is>
      </c>
      <c r="C19" t="inlineStr">
        <is>
          <t>un</t>
        </is>
      </c>
      <c r="D19" s="9" t="n">
        <v>136</v>
      </c>
      <c r="E19" s="6" t="n">
        <v>850</v>
      </c>
      <c r="F19" s="6">
        <f>D19*E19</f>
        <v/>
      </c>
    </row>
    <row r="20">
      <c r="A20" t="inlineStr">
        <is>
          <t>3.3</t>
        </is>
      </c>
      <c r="B20" t="inlineStr">
        <is>
          <t>Antena coletiva TV + distribuição</t>
        </is>
      </c>
      <c r="C20" t="inlineStr">
        <is>
          <t>un</t>
        </is>
      </c>
      <c r="D20" s="9" t="n">
        <v>1</v>
      </c>
      <c r="E20" s="6" t="n">
        <v>18500</v>
      </c>
      <c r="F20" s="6">
        <f>D20*E20</f>
        <v/>
      </c>
    </row>
    <row r="21">
      <c r="A21" t="inlineStr">
        <is>
          <t>3.4</t>
        </is>
      </c>
      <c r="B21" t="inlineStr">
        <is>
          <t>Infraestrutura automação residencial</t>
        </is>
      </c>
      <c r="C21" t="inlineStr">
        <is>
          <t>un</t>
        </is>
      </c>
      <c r="D21" s="9" t="n">
        <v>136</v>
      </c>
      <c r="E21" s="6" t="n">
        <v>450</v>
      </c>
      <c r="F21" s="6">
        <f>D21*E21</f>
        <v/>
      </c>
    </row>
    <row r="22">
      <c r="A22" s="10" t="inlineStr">
        <is>
          <t>SUBTOTAL - Telecomunicações</t>
        </is>
      </c>
      <c r="F22" s="11">
        <f>SUM(F18:F21)</f>
        <v/>
      </c>
    </row>
    <row r="24">
      <c r="A24" t="inlineStr">
        <is>
          <t>4.1</t>
        </is>
      </c>
      <c r="B24" t="inlineStr">
        <is>
          <t>Sistema CFTV (câmeras IP + NVR)</t>
        </is>
      </c>
      <c r="C24" t="inlineStr">
        <is>
          <t>un</t>
        </is>
      </c>
      <c r="D24" s="9" t="n">
        <v>1</v>
      </c>
      <c r="E24" s="6" t="n">
        <v>42000</v>
      </c>
      <c r="F24" s="6">
        <f>D24*E24</f>
        <v/>
      </c>
    </row>
    <row r="25">
      <c r="A25" t="inlineStr">
        <is>
          <t>4.2</t>
        </is>
      </c>
      <c r="B25" t="inlineStr">
        <is>
          <t>Câmeras IP Full HD</t>
        </is>
      </c>
      <c r="C25" t="inlineStr">
        <is>
          <t>un</t>
        </is>
      </c>
      <c r="D25" s="9" t="n">
        <v>28</v>
      </c>
      <c r="E25" s="6" t="n">
        <v>850</v>
      </c>
      <c r="F25" s="6">
        <f>D25*E25</f>
        <v/>
      </c>
    </row>
    <row r="26">
      <c r="A26" t="inlineStr">
        <is>
          <t>4.3</t>
        </is>
      </c>
      <c r="B26" t="inlineStr">
        <is>
          <t>Sistema controle acesso (portaria + garagens)</t>
        </is>
      </c>
      <c r="C26" t="inlineStr">
        <is>
          <t>un</t>
        </is>
      </c>
      <c r="D26" s="9" t="n">
        <v>1</v>
      </c>
      <c r="E26" s="6" t="n">
        <v>28000</v>
      </c>
      <c r="F26" s="6">
        <f>D26*E26</f>
        <v/>
      </c>
    </row>
    <row r="27">
      <c r="A27" t="inlineStr">
        <is>
          <t>4.4</t>
        </is>
      </c>
      <c r="B27" t="inlineStr">
        <is>
          <t>Vídeo porteiro (central + ramais)</t>
        </is>
      </c>
      <c r="C27" t="inlineStr">
        <is>
          <t>cj</t>
        </is>
      </c>
      <c r="D27" s="9" t="n">
        <v>1</v>
      </c>
      <c r="E27" s="6" t="n">
        <v>35000</v>
      </c>
      <c r="F27" s="6">
        <f>D27*E27</f>
        <v/>
      </c>
    </row>
    <row r="28">
      <c r="A28" s="10" t="inlineStr">
        <is>
          <t>SUBTOTAL - CFTV e Controle Acesso</t>
        </is>
      </c>
      <c r="F28" s="11">
        <f>SUM(F24:F27)</f>
        <v/>
      </c>
    </row>
    <row r="100">
      <c r="F100" s="6">
        <f>SUM(F12,F17,F23,F29)</f>
        <v/>
      </c>
    </row>
  </sheetData>
  <mergeCells count="5">
    <mergeCell ref="A16:E16"/>
    <mergeCell ref="A28:E28"/>
    <mergeCell ref="A1:F1"/>
    <mergeCell ref="A11:E11"/>
    <mergeCell ref="A22:E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>
      <c r="A1" s="8" t="inlineStr">
        <is>
          <t>COMPLEMENTARES</t>
        </is>
      </c>
    </row>
    <row r="2">
      <c r="A2" s="2" t="inlineStr">
        <is>
          <t>Item</t>
        </is>
      </c>
      <c r="B2" s="2" t="inlineStr">
        <is>
          <t>Descrição</t>
        </is>
      </c>
      <c r="C2" s="2" t="inlineStr">
        <is>
          <t>Unidade</t>
        </is>
      </c>
      <c r="D2" s="2" t="inlineStr">
        <is>
          <t>Quantidade</t>
        </is>
      </c>
      <c r="E2" s="2" t="inlineStr">
        <is>
          <t>Preço Unitário (R$)</t>
        </is>
      </c>
      <c r="F2" s="2" t="inlineStr">
        <is>
          <t>Total (R$)</t>
        </is>
      </c>
    </row>
    <row r="3">
      <c r="A3" t="inlineStr">
        <is>
          <t>1.1</t>
        </is>
      </c>
      <c r="B3" t="inlineStr">
        <is>
          <t>Impermeabilização banheiros (manta/polimérico)</t>
        </is>
      </c>
      <c r="C3" t="inlineStr">
        <is>
          <t>m²</t>
        </is>
      </c>
      <c r="D3" s="9" t="n">
        <v>4200</v>
      </c>
      <c r="E3" s="6" t="n">
        <v>85</v>
      </c>
      <c r="F3" s="6">
        <f>D3*E3</f>
        <v/>
      </c>
    </row>
    <row r="4">
      <c r="A4" t="inlineStr">
        <is>
          <t>1.2</t>
        </is>
      </c>
      <c r="B4" t="inlineStr">
        <is>
          <t>Impermeabilização cozinhas/áreas serviço</t>
        </is>
      </c>
      <c r="C4" t="inlineStr">
        <is>
          <t>m²</t>
        </is>
      </c>
      <c r="D4" s="9" t="n">
        <v>2200</v>
      </c>
      <c r="E4" s="6" t="n">
        <v>68</v>
      </c>
      <c r="F4" s="6">
        <f>D4*E4</f>
        <v/>
      </c>
    </row>
    <row r="5">
      <c r="A5" t="inlineStr">
        <is>
          <t>1.3</t>
        </is>
      </c>
      <c r="B5" t="inlineStr">
        <is>
          <t>Impermeabilização piscina (manta 4mm)</t>
        </is>
      </c>
      <c r="C5" t="inlineStr">
        <is>
          <t>m²</t>
        </is>
      </c>
      <c r="D5" s="9" t="n">
        <v>120</v>
      </c>
      <c r="E5" s="6" t="n">
        <v>180</v>
      </c>
      <c r="F5" s="6">
        <f>D5*E5</f>
        <v/>
      </c>
    </row>
    <row r="6">
      <c r="A6" t="inlineStr">
        <is>
          <t>1.4</t>
        </is>
      </c>
      <c r="B6" t="inlineStr">
        <is>
          <t>Impermeabilização laje cobertura (manta 4mm)</t>
        </is>
      </c>
      <c r="C6" t="inlineStr">
        <is>
          <t>m²</t>
        </is>
      </c>
      <c r="D6" s="9" t="n">
        <v>450</v>
      </c>
      <c r="E6" s="6" t="n">
        <v>165</v>
      </c>
      <c r="F6" s="6">
        <f>D6*E6</f>
        <v/>
      </c>
    </row>
    <row r="7">
      <c r="A7" t="inlineStr">
        <is>
          <t>1.5</t>
        </is>
      </c>
      <c r="B7" t="inlineStr">
        <is>
          <t>Impermeabilização reservatórios</t>
        </is>
      </c>
      <c r="C7" t="inlineStr">
        <is>
          <t>m²</t>
        </is>
      </c>
      <c r="D7" s="9" t="n">
        <v>280</v>
      </c>
      <c r="E7" s="6" t="n">
        <v>125</v>
      </c>
      <c r="F7" s="6">
        <f>D7*E7</f>
        <v/>
      </c>
    </row>
    <row r="8">
      <c r="A8" t="inlineStr">
        <is>
          <t>1.6</t>
        </is>
      </c>
      <c r="B8" t="inlineStr">
        <is>
          <t>Impermeabilização jardineiras fachada</t>
        </is>
      </c>
      <c r="C8" t="inlineStr">
        <is>
          <t>m²</t>
        </is>
      </c>
      <c r="D8" s="9" t="n">
        <v>85</v>
      </c>
      <c r="E8" s="6" t="n">
        <v>145</v>
      </c>
      <c r="F8" s="6">
        <f>D8*E8</f>
        <v/>
      </c>
    </row>
    <row r="9">
      <c r="A9" s="10" t="inlineStr">
        <is>
          <t>SUBTOTAL - Impermeabilização</t>
        </is>
      </c>
      <c r="F9" s="11">
        <f>SUM(F3:F8)</f>
        <v/>
      </c>
    </row>
    <row r="11">
      <c r="A11" t="inlineStr">
        <is>
          <t>2.1</t>
        </is>
      </c>
      <c r="B11" t="inlineStr">
        <is>
          <t>Projeto paisagismo executivo</t>
        </is>
      </c>
      <c r="C11" t="inlineStr">
        <is>
          <t>vb</t>
        </is>
      </c>
      <c r="D11" s="9" t="n">
        <v>1</v>
      </c>
      <c r="E11" s="6" t="n">
        <v>18000</v>
      </c>
      <c r="F11" s="6">
        <f>D11*E11</f>
        <v/>
      </c>
    </row>
    <row r="12">
      <c r="A12" t="inlineStr">
        <is>
          <t>2.2</t>
        </is>
      </c>
      <c r="B12" t="inlineStr">
        <is>
          <t>Grama natural esmeralda + plantio</t>
        </is>
      </c>
      <c r="C12" t="inlineStr">
        <is>
          <t>m²</t>
        </is>
      </c>
      <c r="D12" s="9" t="n">
        <v>280</v>
      </c>
      <c r="E12" s="6" t="n">
        <v>35</v>
      </c>
      <c r="F12" s="6">
        <f>D12*E12</f>
        <v/>
      </c>
    </row>
    <row r="13">
      <c r="A13" t="inlineStr">
        <is>
          <t>2.3</t>
        </is>
      </c>
      <c r="B13" t="inlineStr">
        <is>
          <t>Plantas ornamentais (palmeiras, arbustos)</t>
        </is>
      </c>
      <c r="C13" t="inlineStr">
        <is>
          <t>un</t>
        </is>
      </c>
      <c r="D13" s="9" t="n">
        <v>180</v>
      </c>
      <c r="E13" s="6" t="n">
        <v>220</v>
      </c>
      <c r="F13" s="6">
        <f>D13*E13</f>
        <v/>
      </c>
    </row>
    <row r="14">
      <c r="A14" t="inlineStr">
        <is>
          <t>2.4</t>
        </is>
      </c>
      <c r="B14" t="inlineStr">
        <is>
          <t>Sistema irrigação automatizado</t>
        </is>
      </c>
      <c r="C14" t="inlineStr">
        <is>
          <t>un</t>
        </is>
      </c>
      <c r="D14" s="9" t="n">
        <v>1</v>
      </c>
      <c r="E14" s="6" t="n">
        <v>12500</v>
      </c>
      <c r="F14" s="6">
        <f>D14*E14</f>
        <v/>
      </c>
    </row>
    <row r="15">
      <c r="A15" t="inlineStr">
        <is>
          <t>2.5</t>
        </is>
      </c>
      <c r="B15" t="inlineStr">
        <is>
          <t>Iluminação jardim (balizadores LED)</t>
        </is>
      </c>
      <c r="C15" t="inlineStr">
        <is>
          <t>un</t>
        </is>
      </c>
      <c r="D15" s="9" t="n">
        <v>45</v>
      </c>
      <c r="E15" s="6" t="n">
        <v>280</v>
      </c>
      <c r="F15" s="6">
        <f>D15*E15</f>
        <v/>
      </c>
    </row>
    <row r="16">
      <c r="A16" s="10" t="inlineStr">
        <is>
          <t>SUBTOTAL - Paisagismo</t>
        </is>
      </c>
      <c r="F16" s="11">
        <f>SUM(F11:F15)</f>
        <v/>
      </c>
    </row>
    <row r="18">
      <c r="A18" t="inlineStr">
        <is>
          <t>3.1</t>
        </is>
      </c>
      <c r="B18" t="inlineStr">
        <is>
          <t>Piscina estrutura + revestimento pastilha</t>
        </is>
      </c>
      <c r="C18" t="inlineStr">
        <is>
          <t>m²</t>
        </is>
      </c>
      <c r="D18" s="9" t="n">
        <v>38</v>
      </c>
      <c r="E18" s="6" t="n">
        <v>2800</v>
      </c>
      <c r="F18" s="6">
        <f>D18*E18</f>
        <v/>
      </c>
    </row>
    <row r="19">
      <c r="A19" t="inlineStr">
        <is>
          <t>3.2</t>
        </is>
      </c>
      <c r="B19" t="inlineStr">
        <is>
          <t>Deck madeira plástica WPC</t>
        </is>
      </c>
      <c r="C19" t="inlineStr">
        <is>
          <t>m²</t>
        </is>
      </c>
      <c r="D19" s="9" t="n">
        <v>68</v>
      </c>
      <c r="E19" s="6" t="n">
        <v>420</v>
      </c>
      <c r="F19" s="6">
        <f>D19*E19</f>
        <v/>
      </c>
    </row>
    <row r="20">
      <c r="A20" t="inlineStr">
        <is>
          <t>3.3</t>
        </is>
      </c>
      <c r="B20" t="inlineStr">
        <is>
          <t>Iluminação subaquática LED RGB</t>
        </is>
      </c>
      <c r="C20" t="inlineStr">
        <is>
          <t>un</t>
        </is>
      </c>
      <c r="D20" s="9" t="n">
        <v>8</v>
      </c>
      <c r="E20" s="6" t="n">
        <v>850</v>
      </c>
      <c r="F20" s="6">
        <f>D20*E20</f>
        <v/>
      </c>
    </row>
    <row r="21">
      <c r="A21" t="inlineStr">
        <is>
          <t>3.4</t>
        </is>
      </c>
      <c r="B21" t="inlineStr">
        <is>
          <t>Sistema filtragem e tratamento</t>
        </is>
      </c>
      <c r="C21" t="inlineStr">
        <is>
          <t>cj</t>
        </is>
      </c>
      <c r="D21" s="9" t="n">
        <v>1</v>
      </c>
      <c r="E21" s="6" t="n">
        <v>18500</v>
      </c>
      <c r="F21" s="6">
        <f>D21*E21</f>
        <v/>
      </c>
    </row>
    <row r="22">
      <c r="A22" t="inlineStr">
        <is>
          <t>3.5</t>
        </is>
      </c>
      <c r="B22" t="inlineStr">
        <is>
          <t>Playground (piso EPDM + brinquedos)</t>
        </is>
      </c>
      <c r="C22" t="inlineStr">
        <is>
          <t>cj</t>
        </is>
      </c>
      <c r="D22" s="9" t="n">
        <v>1</v>
      </c>
      <c r="E22" s="6" t="n">
        <v>45000</v>
      </c>
      <c r="F22" s="6">
        <f>D22*E22</f>
        <v/>
      </c>
    </row>
    <row r="23">
      <c r="A23" t="inlineStr">
        <is>
          <t>3.6</t>
        </is>
      </c>
      <c r="B23" t="inlineStr">
        <is>
          <t>Equipamentos academia</t>
        </is>
      </c>
      <c r="C23" t="inlineStr">
        <is>
          <t>cj</t>
        </is>
      </c>
      <c r="D23" s="9" t="n">
        <v>1</v>
      </c>
      <c r="E23" s="6" t="n">
        <v>85000</v>
      </c>
      <c r="F23" s="6">
        <f>D23*E23</f>
        <v/>
      </c>
    </row>
    <row r="24">
      <c r="A24" t="inlineStr">
        <is>
          <t>3.7</t>
        </is>
      </c>
      <c r="B24" t="inlineStr">
        <is>
          <t>Sauna seca (estrutura + acabamento)</t>
        </is>
      </c>
      <c r="C24" t="inlineStr">
        <is>
          <t>un</t>
        </is>
      </c>
      <c r="D24" s="9" t="n">
        <v>1</v>
      </c>
      <c r="E24" s="6" t="n">
        <v>28000</v>
      </c>
      <c r="F24" s="6">
        <f>D24*E24</f>
        <v/>
      </c>
    </row>
    <row r="25">
      <c r="A25" s="10" t="inlineStr">
        <is>
          <t>SUBTOTAL - Piscina e Lazer</t>
        </is>
      </c>
      <c r="F25" s="11">
        <f>SUM(F18:F24)</f>
        <v/>
      </c>
    </row>
    <row r="27">
      <c r="A27" t="inlineStr">
        <is>
          <t>4.1</t>
        </is>
      </c>
      <c r="B27" t="inlineStr">
        <is>
          <t>Limpeza fina pós-obra (unidades)</t>
        </is>
      </c>
      <c r="C27" t="inlineStr">
        <is>
          <t>m²</t>
        </is>
      </c>
      <c r="D27" s="9" t="n">
        <v>13054</v>
      </c>
      <c r="E27" s="6" t="n">
        <v>8.5</v>
      </c>
      <c r="F27" s="6">
        <f>D27*E27</f>
        <v/>
      </c>
    </row>
    <row r="28">
      <c r="A28" t="inlineStr">
        <is>
          <t>4.2</t>
        </is>
      </c>
      <c r="B28" t="inlineStr">
        <is>
          <t>Limpeza vidros e esquadrias</t>
        </is>
      </c>
      <c r="C28" t="inlineStr">
        <is>
          <t>m²</t>
        </is>
      </c>
      <c r="D28" s="9" t="n">
        <v>4500</v>
      </c>
      <c r="E28" s="6" t="n">
        <v>12</v>
      </c>
      <c r="F28" s="6">
        <f>D28*E28</f>
        <v/>
      </c>
    </row>
    <row r="29">
      <c r="A29" t="inlineStr">
        <is>
          <t>4.3</t>
        </is>
      </c>
      <c r="B29" t="inlineStr">
        <is>
          <t>Polimento pisos porcelanato</t>
        </is>
      </c>
      <c r="C29" t="inlineStr">
        <is>
          <t>m²</t>
        </is>
      </c>
      <c r="D29" s="9" t="n">
        <v>2800</v>
      </c>
      <c r="E29" s="6" t="n">
        <v>18</v>
      </c>
      <c r="F29" s="6">
        <f>D29*E29</f>
        <v/>
      </c>
    </row>
    <row r="30">
      <c r="A30" t="inlineStr">
        <is>
          <t>4.4</t>
        </is>
      </c>
      <c r="B30" t="inlineStr">
        <is>
          <t>Retirada entulho e resíduos finais</t>
        </is>
      </c>
      <c r="C30" t="inlineStr">
        <is>
          <t>m³</t>
        </is>
      </c>
      <c r="D30" s="9" t="n">
        <v>85</v>
      </c>
      <c r="E30" s="6" t="n">
        <v>95</v>
      </c>
      <c r="F30" s="6">
        <f>D30*E30</f>
        <v/>
      </c>
    </row>
    <row r="31">
      <c r="A31" s="10" t="inlineStr">
        <is>
          <t>SUBTOTAL - Limpeza Final</t>
        </is>
      </c>
      <c r="F31" s="11">
        <f>SUM(F27:F30)</f>
        <v/>
      </c>
    </row>
    <row r="100">
      <c r="F100" s="6">
        <f>SUM(F10,F17,F26,F32)</f>
        <v/>
      </c>
    </row>
  </sheetData>
  <mergeCells count="5">
    <mergeCell ref="A16:E16"/>
    <mergeCell ref="A1:F1"/>
    <mergeCell ref="A25:E25"/>
    <mergeCell ref="A31:E31"/>
    <mergeCell ref="A9:E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>
      <c r="A1" s="8" t="inlineStr">
        <is>
          <t>CUSTOS INDIRETOS</t>
        </is>
      </c>
    </row>
    <row r="2">
      <c r="A2" s="2" t="inlineStr">
        <is>
          <t>Item</t>
        </is>
      </c>
      <c r="B2" s="2" t="inlineStr">
        <is>
          <t>Descrição</t>
        </is>
      </c>
      <c r="C2" s="2" t="inlineStr">
        <is>
          <t>Unidade</t>
        </is>
      </c>
      <c r="D2" s="2" t="inlineStr">
        <is>
          <t>Quantidade</t>
        </is>
      </c>
      <c r="E2" s="2" t="inlineStr">
        <is>
          <t>Preço Unitário (R$)</t>
        </is>
      </c>
      <c r="F2" s="2" t="inlineStr">
        <is>
          <t>Total (R$)</t>
        </is>
      </c>
    </row>
    <row r="3">
      <c r="A3" t="inlineStr">
        <is>
          <t>1.1</t>
        </is>
      </c>
      <c r="B3" t="inlineStr">
        <is>
          <t>Engenheiro residente (30 meses)</t>
        </is>
      </c>
      <c r="C3" t="inlineStr">
        <is>
          <t>mês</t>
        </is>
      </c>
      <c r="D3" s="9" t="n">
        <v>30</v>
      </c>
      <c r="E3" s="6" t="n">
        <v>18500</v>
      </c>
      <c r="F3" s="6">
        <f>D3*E3</f>
        <v/>
      </c>
    </row>
    <row r="4">
      <c r="A4" t="inlineStr">
        <is>
          <t>1.2</t>
        </is>
      </c>
      <c r="B4" t="inlineStr">
        <is>
          <t>Mestre de obras (30 meses)</t>
        </is>
      </c>
      <c r="C4" t="inlineStr">
        <is>
          <t>mês</t>
        </is>
      </c>
      <c r="D4" s="9" t="n">
        <v>30</v>
      </c>
      <c r="E4" s="6" t="n">
        <v>8500</v>
      </c>
      <c r="F4" s="6">
        <f>D4*E4</f>
        <v/>
      </c>
    </row>
    <row r="5">
      <c r="A5" t="inlineStr">
        <is>
          <t>1.3</t>
        </is>
      </c>
      <c r="B5" t="inlineStr">
        <is>
          <t>Técnico segurança trabalho (30 meses)</t>
        </is>
      </c>
      <c r="C5" t="inlineStr">
        <is>
          <t>mês</t>
        </is>
      </c>
      <c r="D5" s="9" t="n">
        <v>30</v>
      </c>
      <c r="E5" s="6" t="n">
        <v>7200</v>
      </c>
      <c r="F5" s="6">
        <f>D5*E5</f>
        <v/>
      </c>
    </row>
    <row r="6">
      <c r="A6" t="inlineStr">
        <is>
          <t>1.4</t>
        </is>
      </c>
      <c r="B6" t="inlineStr">
        <is>
          <t>Auxiliar administrativo (30 meses)</t>
        </is>
      </c>
      <c r="C6" t="inlineStr">
        <is>
          <t>mês</t>
        </is>
      </c>
      <c r="D6" s="9" t="n">
        <v>30</v>
      </c>
      <c r="E6" s="6" t="n">
        <v>4500</v>
      </c>
      <c r="F6" s="6">
        <f>D6*E6</f>
        <v/>
      </c>
    </row>
    <row r="7">
      <c r="A7" t="inlineStr">
        <is>
          <t>1.5</t>
        </is>
      </c>
      <c r="B7" t="inlineStr">
        <is>
          <t>Estagiário engenharia (24 meses)</t>
        </is>
      </c>
      <c r="C7" t="inlineStr">
        <is>
          <t>mês</t>
        </is>
      </c>
      <c r="D7" s="9" t="n">
        <v>24</v>
      </c>
      <c r="E7" s="6" t="n">
        <v>2200</v>
      </c>
      <c r="F7" s="6">
        <f>D7*E7</f>
        <v/>
      </c>
    </row>
    <row r="8">
      <c r="A8" s="10" t="inlineStr">
        <is>
          <t>SUBTOTAL - Administração Obra</t>
        </is>
      </c>
      <c r="F8" s="11">
        <f>SUM(F3:F7)</f>
        <v/>
      </c>
    </row>
    <row r="10">
      <c r="A10" t="inlineStr">
        <is>
          <t>2.1</t>
        </is>
      </c>
      <c r="B10" t="inlineStr">
        <is>
          <t>Manutenção canteiro (água, luz, telefone)</t>
        </is>
      </c>
      <c r="C10" t="inlineStr">
        <is>
          <t>mês</t>
        </is>
      </c>
      <c r="D10" s="9" t="n">
        <v>30</v>
      </c>
      <c r="E10" s="6" t="n">
        <v>4800</v>
      </c>
      <c r="F10" s="6">
        <f>D10*E10</f>
        <v/>
      </c>
    </row>
    <row r="11">
      <c r="A11" t="inlineStr">
        <is>
          <t>2.2</t>
        </is>
      </c>
      <c r="B11" t="inlineStr">
        <is>
          <t>Aluguel grua (torre) 30 meses</t>
        </is>
      </c>
      <c r="C11" t="inlineStr">
        <is>
          <t>mês</t>
        </is>
      </c>
      <c r="D11" s="9" t="n">
        <v>30</v>
      </c>
      <c r="E11" s="6" t="n">
        <v>28000</v>
      </c>
      <c r="F11" s="6">
        <f>D11*E11</f>
        <v/>
      </c>
    </row>
    <row r="12">
      <c r="A12" t="inlineStr">
        <is>
          <t>2.3</t>
        </is>
      </c>
      <c r="B12" t="inlineStr">
        <is>
          <t>Elevador cremalheira (24 meses)</t>
        </is>
      </c>
      <c r="C12" t="inlineStr">
        <is>
          <t>mês</t>
        </is>
      </c>
      <c r="D12" s="9" t="n">
        <v>24</v>
      </c>
      <c r="E12" s="6" t="n">
        <v>12500</v>
      </c>
      <c r="F12" s="6">
        <f>D12*E12</f>
        <v/>
      </c>
    </row>
    <row r="13">
      <c r="A13" t="inlineStr">
        <is>
          <t>2.4</t>
        </is>
      </c>
      <c r="B13" t="inlineStr">
        <is>
          <t>Betoneira, serra, vibrador (diversos)</t>
        </is>
      </c>
      <c r="C13" t="inlineStr">
        <is>
          <t>vb</t>
        </is>
      </c>
      <c r="D13" s="9" t="n">
        <v>1</v>
      </c>
      <c r="E13" s="6" t="n">
        <v>45000</v>
      </c>
      <c r="F13" s="6">
        <f>D13*E13</f>
        <v/>
      </c>
    </row>
    <row r="14">
      <c r="A14" t="inlineStr">
        <is>
          <t>2.5</t>
        </is>
      </c>
      <c r="B14" t="inlineStr">
        <is>
          <t>Ferramentas e EPI</t>
        </is>
      </c>
      <c r="C14" t="inlineStr">
        <is>
          <t>vb</t>
        </is>
      </c>
      <c r="D14" s="9" t="n">
        <v>1</v>
      </c>
      <c r="E14" s="6" t="n">
        <v>28000</v>
      </c>
      <c r="F14" s="6">
        <f>D14*E14</f>
        <v/>
      </c>
    </row>
    <row r="15">
      <c r="A15" s="10" t="inlineStr">
        <is>
          <t>SUBTOTAL - Canteiro e Equipamentos</t>
        </is>
      </c>
      <c r="F15" s="11">
        <f>SUM(F10:F14)</f>
        <v/>
      </c>
    </row>
    <row r="17">
      <c r="A17" t="inlineStr">
        <is>
          <t>3.1</t>
        </is>
      </c>
      <c r="B17" t="inlineStr">
        <is>
          <t>Projeto estrutural executivo</t>
        </is>
      </c>
      <c r="C17" t="inlineStr">
        <is>
          <t>vb</t>
        </is>
      </c>
      <c r="D17" s="9" t="n">
        <v>1</v>
      </c>
      <c r="E17" s="6" t="n">
        <v>95000</v>
      </c>
      <c r="F17" s="6">
        <f>D17*E17</f>
        <v/>
      </c>
    </row>
    <row r="18">
      <c r="A18" t="inlineStr">
        <is>
          <t>3.2</t>
        </is>
      </c>
      <c r="B18" t="inlineStr">
        <is>
          <t>Projetos instalações (elétrica, hidro, gás)</t>
        </is>
      </c>
      <c r="C18" t="inlineStr">
        <is>
          <t>vb</t>
        </is>
      </c>
      <c r="D18" s="9" t="n">
        <v>1</v>
      </c>
      <c r="E18" s="6" t="n">
        <v>85000</v>
      </c>
      <c r="F18" s="6">
        <f>D18*E18</f>
        <v/>
      </c>
    </row>
    <row r="19">
      <c r="A19" t="inlineStr">
        <is>
          <t>3.3</t>
        </is>
      </c>
      <c r="B19" t="inlineStr">
        <is>
          <t>Projeto PPCI + AVCB</t>
        </is>
      </c>
      <c r="C19" t="inlineStr">
        <is>
          <t>vb</t>
        </is>
      </c>
      <c r="D19" s="9" t="n">
        <v>1</v>
      </c>
      <c r="E19" s="6" t="n">
        <v>28000</v>
      </c>
      <c r="F19" s="6">
        <f>D19*E19</f>
        <v/>
      </c>
    </row>
    <row r="20">
      <c r="A20" t="inlineStr">
        <is>
          <t>3.4</t>
        </is>
      </c>
      <c r="B20" t="inlineStr">
        <is>
          <t>Coordenação BIM e compatibilização</t>
        </is>
      </c>
      <c r="C20" t="inlineStr">
        <is>
          <t>vb</t>
        </is>
      </c>
      <c r="D20" s="9" t="n">
        <v>1</v>
      </c>
      <c r="E20" s="6" t="n">
        <v>48000</v>
      </c>
      <c r="F20" s="6">
        <f>D20*E20</f>
        <v/>
      </c>
    </row>
    <row r="21">
      <c r="A21" t="inlineStr">
        <is>
          <t>3.5</t>
        </is>
      </c>
      <c r="B21" t="inlineStr">
        <is>
          <t>Consultoria geotécnica (sondagem + fundações)</t>
        </is>
      </c>
      <c r="C21" t="inlineStr">
        <is>
          <t>vb</t>
        </is>
      </c>
      <c r="D21" s="9" t="n">
        <v>1</v>
      </c>
      <c r="E21" s="6" t="n">
        <v>22000</v>
      </c>
      <c r="F21" s="6">
        <f>D21*E21</f>
        <v/>
      </c>
    </row>
    <row r="22">
      <c r="A22" t="inlineStr">
        <is>
          <t>3.6</t>
        </is>
      </c>
      <c r="B22" t="inlineStr">
        <is>
          <t>Consultoria estrutura (acompanhamento protensão)</t>
        </is>
      </c>
      <c r="C22" t="inlineStr">
        <is>
          <t>vb</t>
        </is>
      </c>
      <c r="D22" s="9" t="n">
        <v>1</v>
      </c>
      <c r="E22" s="6" t="n">
        <v>18000</v>
      </c>
      <c r="F22" s="6">
        <f>D22*E22</f>
        <v/>
      </c>
    </row>
    <row r="23">
      <c r="A23" s="10" t="inlineStr">
        <is>
          <t>SUBTOTAL - Projetos e Consultorias</t>
        </is>
      </c>
      <c r="F23" s="11">
        <f>SUM(F17:F22)</f>
        <v/>
      </c>
    </row>
    <row r="25">
      <c r="A25" t="inlineStr">
        <is>
          <t>4.1</t>
        </is>
      </c>
      <c r="B25" t="inlineStr">
        <is>
          <t>Taxa aprovação prefeitura (habite-se)</t>
        </is>
      </c>
      <c r="C25" t="inlineStr">
        <is>
          <t>vb</t>
        </is>
      </c>
      <c r="D25" s="9" t="n">
        <v>1</v>
      </c>
      <c r="E25" s="6" t="n">
        <v>28000</v>
      </c>
      <c r="F25" s="6">
        <f>D25*E25</f>
        <v/>
      </c>
    </row>
    <row r="26">
      <c r="A26" t="inlineStr">
        <is>
          <t>4.2</t>
        </is>
      </c>
      <c r="B26" t="inlineStr">
        <is>
          <t>Taxa AVCB corpo de bombeiros</t>
        </is>
      </c>
      <c r="C26" t="inlineStr">
        <is>
          <t>vb</t>
        </is>
      </c>
      <c r="D26" s="9" t="n">
        <v>1</v>
      </c>
      <c r="E26" s="6" t="n">
        <v>8500</v>
      </c>
      <c r="F26" s="6">
        <f>D26*E26</f>
        <v/>
      </c>
    </row>
    <row r="27">
      <c r="A27" t="inlineStr">
        <is>
          <t>4.3</t>
        </is>
      </c>
      <c r="B27" t="inlineStr">
        <is>
          <t>ART/RRT projetos e execução</t>
        </is>
      </c>
      <c r="C27" t="inlineStr">
        <is>
          <t>vb</t>
        </is>
      </c>
      <c r="D27" s="9" t="n">
        <v>1</v>
      </c>
      <c r="E27" s="6" t="n">
        <v>12000</v>
      </c>
      <c r="F27" s="6">
        <f>D27*E27</f>
        <v/>
      </c>
    </row>
    <row r="28">
      <c r="A28" t="inlineStr">
        <is>
          <t>4.4</t>
        </is>
      </c>
      <c r="B28" t="inlineStr">
        <is>
          <t>Seguro obra (risco engenharia)</t>
        </is>
      </c>
      <c r="C28" t="inlineStr">
        <is>
          <t>vb</t>
        </is>
      </c>
      <c r="D28" s="9" t="n">
        <v>1</v>
      </c>
      <c r="E28" s="6" t="n">
        <v>95000</v>
      </c>
      <c r="F28" s="6">
        <f>D28*E28</f>
        <v/>
      </c>
    </row>
    <row r="29">
      <c r="A29" t="inlineStr">
        <is>
          <t>4.5</t>
        </is>
      </c>
      <c r="B29" t="inlineStr">
        <is>
          <t>Ensaios tecnológicos (concreto, solo, aço)</t>
        </is>
      </c>
      <c r="C29" t="inlineStr">
        <is>
          <t>vb</t>
        </is>
      </c>
      <c r="D29" s="9" t="n">
        <v>1</v>
      </c>
      <c r="E29" s="6" t="n">
        <v>38000</v>
      </c>
      <c r="F29" s="6">
        <f>D29*E29</f>
        <v/>
      </c>
    </row>
    <row r="30">
      <c r="A30" s="10" t="inlineStr">
        <is>
          <t>SUBTOTAL - Taxas e Seguros</t>
        </is>
      </c>
      <c r="F30" s="11">
        <f>SUM(F25:F29)</f>
        <v/>
      </c>
    </row>
    <row r="100">
      <c r="F100" s="6">
        <f>SUM(F9,F16,F24,F31)</f>
        <v/>
      </c>
    </row>
  </sheetData>
  <mergeCells count="5">
    <mergeCell ref="A30:E30"/>
    <mergeCell ref="A15:E15"/>
    <mergeCell ref="A1:F1"/>
    <mergeCell ref="A23:E23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2026-03-11T16:09:16Z</dcterms:created>
  <dcterms:modified xmlns:dcterms="http://purl.org/dc/terms/" xmlns:xsi="http://www.w3.org/2001/XMLSchema-instance" xsi:type="dcterms:W3CDTF">2026-03-11T16:09:16Z</dcterms:modified>
</cp:coreProperties>
</file>