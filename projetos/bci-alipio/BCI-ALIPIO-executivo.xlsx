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  <font>
      <name val="Calibri"/>
      <b val="1"/>
      <color rgb="001F4E79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2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375623"/>
        <bgColor rgb="00375623"/>
      </patternFill>
    </fill>
    <fill>
      <patternFill patternType="solid">
        <fgColor rgb="00002060"/>
        <bgColor rgb="00002060"/>
      </patternFill>
    </fill>
    <fill>
      <patternFill patternType="solid">
        <fgColor rgb="00C65911"/>
        <bgColor rgb="00C6591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right" vertical="center"/>
    </xf>
    <xf numFmtId="0" fontId="13" fillId="20" borderId="1" applyAlignment="1" pivotButton="0" quotePrefix="0" xfId="0">
      <alignment horizontal="left" vertical="center" wrapText="1"/>
    </xf>
    <xf numFmtId="4" fontId="13" fillId="20" borderId="1" applyAlignment="1" pivotButton="0" quotePrefix="0" xfId="0">
      <alignment horizontal="right" vertical="center"/>
    </xf>
    <xf numFmtId="0" fontId="13" fillId="20" borderId="1" applyAlignment="1" pivotButton="0" quotePrefix="0" xfId="0">
      <alignment horizontal="center" vertical="center" wrapText="1"/>
    </xf>
    <xf numFmtId="165" fontId="13" fillId="2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4" fillId="21" borderId="1" applyAlignment="1" pivotButton="0" quotePrefix="0" xfId="0">
      <alignment horizontal="left" vertical="center" wrapText="1"/>
    </xf>
    <xf numFmtId="0" fontId="0" fillId="21" borderId="1" pivotButton="0" quotePrefix="0" xfId="0"/>
    <xf numFmtId="4" fontId="14" fillId="21" borderId="1" applyAlignment="1" pivotButton="0" quotePrefix="0" xfId="0">
      <alignment horizontal="right" vertical="center"/>
    </xf>
    <xf numFmtId="0" fontId="13" fillId="20" borderId="1" applyAlignment="1" pivotButton="0" quotePrefix="0" xfId="0">
      <alignment horizontal="right" vertical="center"/>
    </xf>
    <xf numFmtId="0" fontId="12" fillId="22" borderId="1" applyAlignment="1" pivotButton="0" quotePrefix="0" xfId="0">
      <alignment horizontal="left" vertical="center" wrapText="1"/>
    </xf>
    <xf numFmtId="0" fontId="12" fillId="23" borderId="1" applyAlignment="1" pivotButton="0" quotePrefix="0" xfId="0">
      <alignment horizontal="left" vertical="center" wrapText="1"/>
    </xf>
    <xf numFmtId="0" fontId="0" fillId="23" borderId="1" pivotButton="0" quotePrefix="0" xfId="0"/>
    <xf numFmtId="4" fontId="12" fillId="23" borderId="1" applyAlignment="1" pivotButton="0" quotePrefix="0" xfId="0">
      <alignment horizontal="right" vertical="center"/>
    </xf>
    <xf numFmtId="0" fontId="12" fillId="2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  <c r="B1" s="60" t="n"/>
      <c r="C1" s="60" t="n"/>
      <c r="D1" s="61" t="n"/>
    </row>
    <row r="3"/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/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/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/>
    <row r="15">
      <c r="A15" s="2" t="inlineStr">
        <is>
          <t>Top 3 Macrogrupos:</t>
        </is>
      </c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  <c r="B1" s="61" t="n"/>
    </row>
    <row r="2">
      <c r="A2" s="2" t="inlineStr">
        <is>
          <t>Nome do Projeto</t>
        </is>
      </c>
      <c r="B2" s="7" t="inlineStr">
        <is>
          <t>Residencial Alípio Schirmann</t>
        </is>
      </c>
    </row>
    <row r="3">
      <c r="A3" s="2" t="inlineStr">
        <is>
          <t>Código</t>
        </is>
      </c>
      <c r="B3" s="7" t="inlineStr">
        <is>
          <t>BCI-ALIPIO</t>
        </is>
      </c>
    </row>
    <row r="4">
      <c r="A4" s="2" t="inlineStr">
        <is>
          <t>Cidade</t>
        </is>
      </c>
      <c r="B4" s="7" t="inlineStr">
        <is>
          <t>Itapema/SC</t>
        </is>
      </c>
    </row>
    <row r="5"/>
    <row r="6">
      <c r="A6" s="2" t="inlineStr">
        <is>
          <t>Área Construída (m²)</t>
        </is>
      </c>
      <c r="B6" s="8" t="n">
        <v>12033.95</v>
      </c>
    </row>
    <row r="7">
      <c r="A7" s="2" t="inlineStr">
        <is>
          <t>Unidades Residenciais</t>
        </is>
      </c>
      <c r="B7" s="8" t="n">
        <v>43</v>
      </c>
    </row>
    <row r="8">
      <c r="A8" s="2" t="inlineStr">
        <is>
          <t>Unidades Comerciais</t>
        </is>
      </c>
      <c r="B8" s="8" t="n">
        <v>5</v>
      </c>
    </row>
    <row r="9">
      <c r="A9" s="2" t="inlineStr">
        <is>
          <t>Número de Pavimentos</t>
        </is>
      </c>
      <c r="B9" s="8" t="n">
        <v>26</v>
      </c>
    </row>
    <row r="10">
      <c r="A10" s="2" t="inlineStr">
        <is>
          <t>Pavimentos Tipo</t>
        </is>
      </c>
      <c r="B10" s="8" t="n">
        <v>21</v>
      </c>
    </row>
    <row r="11">
      <c r="A11" s="2" t="inlineStr">
        <is>
          <t>Pavimentos Garagem</t>
        </is>
      </c>
      <c r="B11" s="8" t="n">
        <v>3</v>
      </c>
    </row>
    <row r="12">
      <c r="A12" s="2" t="inlineStr">
        <is>
          <t>Elevadores</t>
        </is>
      </c>
      <c r="B12" s="8" t="n">
        <v>3</v>
      </c>
    </row>
    <row r="13">
      <c r="A13" s="2" t="inlineStr">
        <is>
          <t>Vagas</t>
        </is>
      </c>
      <c r="B13" s="8" t="n">
        <v>92</v>
      </c>
    </row>
    <row r="14">
      <c r="A14" s="2" t="inlineStr">
        <is>
          <t>Área Terreno (m²)</t>
        </is>
      </c>
      <c r="B14" s="8" t="n">
        <v>1029.39</v>
      </c>
    </row>
    <row r="15">
      <c r="A15" s="2" t="inlineStr">
        <is>
          <t>Número de Subsolos</t>
        </is>
      </c>
      <c r="B15" s="8" t="n">
        <v>0</v>
      </c>
    </row>
    <row r="16"/>
    <row r="17">
      <c r="A17" s="2" t="inlineStr">
        <is>
          <t>Prazo (meses)</t>
        </is>
      </c>
      <c r="B17" s="8" t="n">
        <v>36</v>
      </c>
    </row>
    <row r="18"/>
    <row r="19">
      <c r="A19" s="2" t="inlineStr">
        <is>
          <t>CUB Atual (R$/m²)</t>
        </is>
      </c>
      <c r="B19" s="8" t="n">
        <v>3019.26</v>
      </c>
    </row>
    <row r="20">
      <c r="A20" s="2" t="inlineStr">
        <is>
          <t>CUB Base dez/23 (R$/m²)</t>
        </is>
      </c>
      <c r="B20" s="8" t="n">
        <v>2752.67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Cubetas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Não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0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Pintura eletrostática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Alvenaria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Misto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Completa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Premium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36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Não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Não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1" t="n"/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408.31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200</v>
      </c>
      <c r="J2" s="13" t="n">
        <v>550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12.4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7</v>
      </c>
      <c r="J3" s="13" t="n">
        <v>60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227.95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120</v>
      </c>
      <c r="J4" s="13" t="n">
        <v>280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726.1799999999999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450</v>
      </c>
      <c r="J5" s="13" t="n">
        <v>950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147.73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60</v>
      </c>
      <c r="J6" s="13" t="n">
        <v>300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50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36</v>
      </c>
      <c r="J7" s="13" t="n">
        <v>86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365.64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315</v>
      </c>
      <c r="J8" s="13" t="n">
        <v>500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190.04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100</v>
      </c>
      <c r="J9" s="13" t="n">
        <v>400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0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0</v>
      </c>
      <c r="J10" s="13" t="n">
        <v>80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169.75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100</v>
      </c>
      <c r="J11" s="13" t="n">
        <v>240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67.43000000000001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45</v>
      </c>
      <c r="J12" s="13" t="n">
        <v>140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189.36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125</v>
      </c>
      <c r="J13" s="13" t="n">
        <v>350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131.49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96</v>
      </c>
      <c r="J14" s="13" t="n">
        <v>200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366.05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200</v>
      </c>
      <c r="J15" s="13" t="n">
        <v>700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0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30</v>
      </c>
      <c r="J16" s="13" t="n">
        <v>120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164.53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55</v>
      </c>
      <c r="J17" s="13" t="n">
        <v>275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183.4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100</v>
      </c>
      <c r="J18" s="13" t="n">
        <v>500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96.27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35</v>
      </c>
      <c r="J19" s="13" t="n">
        <v>120</v>
      </c>
      <c r="K19" s="16">
        <f>IF(AND(F19&gt;=I19,F19&lt;=J19),"✓",IF(OR(F19&lt;I19*0.8,F19&gt;J19*1.2),"✗","⚠"))</f>
        <v/>
      </c>
    </row>
    <row r="20"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  <c r="B1" s="60" t="n"/>
      <c r="C1" s="60" t="n"/>
      <c r="D1" s="60" t="n"/>
      <c r="E1" s="61" t="n"/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I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A1" s="62" t="inlineStr">
        <is>
          <t>DETALHAMENTO ESTRUTURAL — Nível Executivo</t>
        </is>
      </c>
    </row>
    <row r="2">
      <c r="A2" s="63" t="inlineStr">
        <is>
          <t>Projeto: Residencial Alípio Schirmann — AC: 12,033.95 m²</t>
        </is>
      </c>
    </row>
    <row r="4">
      <c r="A4" s="64" t="inlineStr">
        <is>
          <t>Item / Serviço</t>
        </is>
      </c>
      <c r="B4" s="64" t="inlineStr">
        <is>
          <t>Qtd</t>
        </is>
      </c>
      <c r="C4" s="64" t="inlineStr">
        <is>
          <t>Un</t>
        </is>
      </c>
      <c r="D4" s="64" t="inlineStr">
        <is>
          <t>Índice</t>
        </is>
      </c>
      <c r="E4" s="64" t="inlineStr">
        <is>
          <t>PU Material</t>
        </is>
      </c>
      <c r="F4" s="64" t="inlineStr">
        <is>
          <t>PU Mão de Obra</t>
        </is>
      </c>
      <c r="G4" s="64" t="inlineStr">
        <is>
          <t>Total Material</t>
        </is>
      </c>
      <c r="H4" s="64" t="inlineStr">
        <is>
          <t>Total Mão de Obra</t>
        </is>
      </c>
      <c r="I4" s="64" t="inlineStr">
        <is>
          <t>Total</t>
        </is>
      </c>
    </row>
    <row r="5">
      <c r="A5" s="65" t="inlineStr">
        <is>
          <t>1. FUNDAÇÕES</t>
        </is>
      </c>
      <c r="B5" s="60" t="n"/>
      <c r="C5" s="60" t="n"/>
      <c r="D5" s="60" t="n"/>
      <c r="E5" s="60" t="n"/>
      <c r="F5" s="60" t="n"/>
      <c r="G5" s="60" t="n"/>
      <c r="H5" s="60" t="n"/>
      <c r="I5" s="61" t="n"/>
    </row>
    <row r="6">
      <c r="A6" s="66" t="inlineStr">
        <is>
          <t>Mobilização/desmobilização hélice contínua</t>
        </is>
      </c>
      <c r="B6" s="67" t="n">
        <v>1</v>
      </c>
      <c r="C6" s="68" t="inlineStr">
        <is>
          <t>vb</t>
        </is>
      </c>
      <c r="D6" s="69" t="inlineStr">
        <is>
          <t>—</t>
        </is>
      </c>
      <c r="E6" s="67">
        <f>IF(B6&gt;0,G6/B6,0)</f>
        <v/>
      </c>
      <c r="F6" s="67">
        <f>IF(B6&gt;0,H6/B6,0)</f>
        <v/>
      </c>
      <c r="G6" s="67">
        <f>I6*0.2</f>
        <v/>
      </c>
      <c r="H6" s="67">
        <f>I6*0.80</f>
        <v/>
      </c>
      <c r="I6" s="67">
        <f>CUSTOS_MACROGRUPO!$G$4*0.65*0.04</f>
        <v/>
      </c>
    </row>
    <row r="7">
      <c r="A7" s="70" t="inlineStr">
        <is>
          <t>Estaca hélice contínua ø40cm — L=14m</t>
        </is>
      </c>
      <c r="B7" s="71">
        <f>0.22*DADOS_PROJETO!$B$6</f>
        <v/>
      </c>
      <c r="C7" s="72" t="inlineStr">
        <is>
          <t>m</t>
        </is>
      </c>
      <c r="D7" s="73" t="n">
        <v>0.22</v>
      </c>
      <c r="E7" s="71">
        <f>IF(B7&gt;0,G7/B7,0)</f>
        <v/>
      </c>
      <c r="F7" s="71">
        <f>IF(B7&gt;0,H7/B7,0)</f>
        <v/>
      </c>
      <c r="G7" s="71">
        <f>I7*0.55</f>
        <v/>
      </c>
      <c r="H7" s="71">
        <f>I7*0.45</f>
        <v/>
      </c>
      <c r="I7" s="71">
        <f>CUSTOS_MACROGRUPO!$G$4*0.65*0.18</f>
        <v/>
      </c>
    </row>
    <row r="8">
      <c r="A8" s="66" t="inlineStr">
        <is>
          <t>Estaca hélice contínua ø50cm — L=16m</t>
        </is>
      </c>
      <c r="B8" s="67">
        <f>0.3*DADOS_PROJETO!$B$6</f>
        <v/>
      </c>
      <c r="C8" s="68" t="inlineStr">
        <is>
          <t>m</t>
        </is>
      </c>
      <c r="D8" s="74" t="n">
        <v>0.3</v>
      </c>
      <c r="E8" s="67">
        <f>IF(B8&gt;0,G8/B8,0)</f>
        <v/>
      </c>
      <c r="F8" s="67">
        <f>IF(B8&gt;0,H8/B8,0)</f>
        <v/>
      </c>
      <c r="G8" s="67">
        <f>I8*0.55</f>
        <v/>
      </c>
      <c r="H8" s="67">
        <f>I8*0.45</f>
        <v/>
      </c>
      <c r="I8" s="67">
        <f>CUSTOS_MACROGRUPO!$G$4*0.65*0.25</f>
        <v/>
      </c>
    </row>
    <row r="9">
      <c r="A9" s="70" t="inlineStr">
        <is>
          <t>Estaca hélice contínua ø60cm — L=18m</t>
        </is>
      </c>
      <c r="B9" s="71">
        <f>0.12*DADOS_PROJETO!$B$6</f>
        <v/>
      </c>
      <c r="C9" s="72" t="inlineStr">
        <is>
          <t>m</t>
        </is>
      </c>
      <c r="D9" s="73" t="n">
        <v>0.12</v>
      </c>
      <c r="E9" s="71">
        <f>IF(B9&gt;0,G9/B9,0)</f>
        <v/>
      </c>
      <c r="F9" s="71">
        <f>IF(B9&gt;0,H9/B9,0)</f>
        <v/>
      </c>
      <c r="G9" s="71">
        <f>I9*0.55</f>
        <v/>
      </c>
      <c r="H9" s="71">
        <f>I9*0.45</f>
        <v/>
      </c>
      <c r="I9" s="71">
        <f>CUSTOS_MACROGRUPO!$G$4*0.65*0.13</f>
        <v/>
      </c>
    </row>
    <row r="10">
      <c r="A10" s="66" t="inlineStr">
        <is>
          <t>Blocos de coroamento (concreto fck 30 MPa)</t>
        </is>
      </c>
      <c r="B10" s="67">
        <f>0.018*DADOS_PROJETO!$B$6</f>
        <v/>
      </c>
      <c r="C10" s="68" t="inlineStr">
        <is>
          <t>m³</t>
        </is>
      </c>
      <c r="D10" s="74" t="n">
        <v>0.018</v>
      </c>
      <c r="E10" s="67">
        <f>IF(B10&gt;0,G10/B10,0)</f>
        <v/>
      </c>
      <c r="F10" s="67">
        <f>IF(B10&gt;0,H10/B10,0)</f>
        <v/>
      </c>
      <c r="G10" s="67">
        <f>I10*0.55</f>
        <v/>
      </c>
      <c r="H10" s="67">
        <f>I10*0.45</f>
        <v/>
      </c>
      <c r="I10" s="67">
        <f>CUSTOS_MACROGRUPO!$G$4*0.65*0.1</f>
        <v/>
      </c>
    </row>
    <row r="11">
      <c r="A11" s="70" t="inlineStr">
        <is>
          <t>Vigas baldrame (concreto fck 30 MPa)</t>
        </is>
      </c>
      <c r="B11" s="71">
        <f>0.012*DADOS_PROJETO!$B$6</f>
        <v/>
      </c>
      <c r="C11" s="72" t="inlineStr">
        <is>
          <t>m³</t>
        </is>
      </c>
      <c r="D11" s="73" t="n">
        <v>0.012</v>
      </c>
      <c r="E11" s="71">
        <f>IF(B11&gt;0,G11/B11,0)</f>
        <v/>
      </c>
      <c r="F11" s="71">
        <f>IF(B11&gt;0,H11/B11,0)</f>
        <v/>
      </c>
      <c r="G11" s="71">
        <f>I11*0.55</f>
        <v/>
      </c>
      <c r="H11" s="71">
        <f>I11*0.45</f>
        <v/>
      </c>
      <c r="I11" s="71">
        <f>CUSTOS_MACROGRUPO!$G$4*0.65*0.08</f>
        <v/>
      </c>
    </row>
    <row r="12">
      <c r="A12" s="66" t="inlineStr">
        <is>
          <t>Armação blocos e baldrame (CA-50)</t>
        </is>
      </c>
      <c r="B12" s="67">
        <f>1.8*DADOS_PROJETO!$B$6</f>
        <v/>
      </c>
      <c r="C12" s="68" t="inlineStr">
        <is>
          <t>kg</t>
        </is>
      </c>
      <c r="D12" s="74" t="n">
        <v>1.8</v>
      </c>
      <c r="E12" s="67">
        <f>IF(B12&gt;0,G12/B12,0)</f>
        <v/>
      </c>
      <c r="F12" s="67">
        <f>IF(B12&gt;0,H12/B12,0)</f>
        <v/>
      </c>
      <c r="G12" s="67">
        <f>I12*0.7</f>
        <v/>
      </c>
      <c r="H12" s="67">
        <f>I12*0.30</f>
        <v/>
      </c>
      <c r="I12" s="67">
        <f>CUSTOS_MACROGRUPO!$G$4*0.65*0.08</f>
        <v/>
      </c>
    </row>
    <row r="13">
      <c r="A13" s="70" t="inlineStr">
        <is>
          <t>Forma blocos e baldrame (compensado)</t>
        </is>
      </c>
      <c r="B13" s="71">
        <f>0.12*DADOS_PROJETO!$B$6</f>
        <v/>
      </c>
      <c r="C13" s="72" t="inlineStr">
        <is>
          <t>m²</t>
        </is>
      </c>
      <c r="D13" s="73" t="n">
        <v>0.12</v>
      </c>
      <c r="E13" s="71">
        <f>IF(B13&gt;0,G13/B13,0)</f>
        <v/>
      </c>
      <c r="F13" s="71">
        <f>IF(B13&gt;0,H13/B13,0)</f>
        <v/>
      </c>
      <c r="G13" s="71">
        <f>I13*0.6</f>
        <v/>
      </c>
      <c r="H13" s="71">
        <f>I13*0.40</f>
        <v/>
      </c>
      <c r="I13" s="71">
        <f>CUSTOS_MACROGRUPO!$G$4*0.65*0.05</f>
        <v/>
      </c>
    </row>
    <row r="14">
      <c r="A14" s="66" t="inlineStr">
        <is>
          <t>Impermeabilização fundação</t>
        </is>
      </c>
      <c r="B14" s="67">
        <f>0.08*DADOS_PROJETO!$B$6</f>
        <v/>
      </c>
      <c r="C14" s="68" t="inlineStr">
        <is>
          <t>m²</t>
        </is>
      </c>
      <c r="D14" s="74" t="n">
        <v>0.08</v>
      </c>
      <c r="E14" s="67">
        <f>IF(B14&gt;0,G14/B14,0)</f>
        <v/>
      </c>
      <c r="F14" s="67">
        <f>IF(B14&gt;0,H14/B14,0)</f>
        <v/>
      </c>
      <c r="G14" s="67">
        <f>I14*0.65</f>
        <v/>
      </c>
      <c r="H14" s="67">
        <f>I14*0.35</f>
        <v/>
      </c>
      <c r="I14" s="67">
        <f>CUSTOS_MACROGRUPO!$G$4*0.65*0.03</f>
        <v/>
      </c>
    </row>
    <row r="15">
      <c r="A15" s="70" t="inlineStr">
        <is>
          <t>Escavação mecânica</t>
        </is>
      </c>
      <c r="B15" s="71">
        <f>0.05*DADOS_PROJETO!$B$6</f>
        <v/>
      </c>
      <c r="C15" s="72" t="inlineStr">
        <is>
          <t>m³</t>
        </is>
      </c>
      <c r="D15" s="73" t="n">
        <v>0.05</v>
      </c>
      <c r="E15" s="71">
        <f>IF(B15&gt;0,G15/B15,0)</f>
        <v/>
      </c>
      <c r="F15" s="71">
        <f>IF(B15&gt;0,H15/B15,0)</f>
        <v/>
      </c>
      <c r="G15" s="71">
        <f>I15*0.3</f>
        <v/>
      </c>
      <c r="H15" s="71">
        <f>I15*0.70</f>
        <v/>
      </c>
      <c r="I15" s="71">
        <f>CUSTOS_MACROGRUPO!$G$4*0.65*0.03</f>
        <v/>
      </c>
    </row>
    <row r="16">
      <c r="A16" s="66" t="inlineStr">
        <is>
          <t>Reaterro compactado</t>
        </is>
      </c>
      <c r="B16" s="67">
        <f>0.03*DADOS_PROJETO!$B$6</f>
        <v/>
      </c>
      <c r="C16" s="68" t="inlineStr">
        <is>
          <t>m³</t>
        </is>
      </c>
      <c r="D16" s="74" t="n">
        <v>0.03</v>
      </c>
      <c r="E16" s="67">
        <f>IF(B16&gt;0,G16/B16,0)</f>
        <v/>
      </c>
      <c r="F16" s="67">
        <f>IF(B16&gt;0,H16/B16,0)</f>
        <v/>
      </c>
      <c r="G16" s="67">
        <f>I16*0.4</f>
        <v/>
      </c>
      <c r="H16" s="67">
        <f>I16*0.60</f>
        <v/>
      </c>
      <c r="I16" s="67">
        <f>CUSTOS_MACROGRUPO!$G$4*0.65*0.02</f>
        <v/>
      </c>
    </row>
    <row r="17">
      <c r="A17" s="70" t="inlineStr">
        <is>
          <t>Lastro de brita e=5cm</t>
        </is>
      </c>
      <c r="B17" s="71">
        <f>0.005*DADOS_PROJETO!$B$6</f>
        <v/>
      </c>
      <c r="C17" s="72" t="inlineStr">
        <is>
          <t>m³</t>
        </is>
      </c>
      <c r="D17" s="73" t="n">
        <v>0.005</v>
      </c>
      <c r="E17" s="71">
        <f>IF(B17&gt;0,G17/B17,0)</f>
        <v/>
      </c>
      <c r="F17" s="71">
        <f>IF(B17&gt;0,H17/B17,0)</f>
        <v/>
      </c>
      <c r="G17" s="71">
        <f>I17*0.8</f>
        <v/>
      </c>
      <c r="H17" s="71">
        <f>I17*0.20</f>
        <v/>
      </c>
      <c r="I17" s="71">
        <f>CUSTOS_MACROGRUPO!$G$4*0.65*0.01</f>
        <v/>
      </c>
    </row>
    <row r="18">
      <c r="A18" s="75" t="inlineStr">
        <is>
          <t>Subtotal 1. FUNDAÇÕES</t>
        </is>
      </c>
      <c r="B18" s="76" t="n"/>
      <c r="C18" s="76" t="n"/>
      <c r="D18" s="76" t="n"/>
      <c r="E18" s="76" t="n"/>
      <c r="F18" s="76" t="n"/>
      <c r="G18" s="77">
        <f>SUM(G6:G17)</f>
        <v/>
      </c>
      <c r="H18" s="77">
        <f>SUM(H6:H17)</f>
        <v/>
      </c>
      <c r="I18" s="77">
        <f>SUM(I6:I17)</f>
        <v/>
      </c>
    </row>
    <row r="20">
      <c r="A20" s="65" t="inlineStr">
        <is>
          <t>2. CONTENÇÕES</t>
        </is>
      </c>
      <c r="B20" s="60" t="n"/>
      <c r="C20" s="60" t="n"/>
      <c r="D20" s="60" t="n"/>
      <c r="E20" s="60" t="n"/>
      <c r="F20" s="60" t="n"/>
      <c r="G20" s="60" t="n"/>
      <c r="H20" s="60" t="n"/>
      <c r="I20" s="61" t="n"/>
    </row>
    <row r="21">
      <c r="A21" s="66" t="inlineStr">
        <is>
          <t>Cortina de estacas / Perfil metálico</t>
        </is>
      </c>
      <c r="B21" s="67">
        <f>0.03*DADOS_PROJETO!$B$6</f>
        <v/>
      </c>
      <c r="C21" s="68" t="inlineStr">
        <is>
          <t>m²</t>
        </is>
      </c>
      <c r="D21" s="74" t="n">
        <v>0.03</v>
      </c>
      <c r="E21" s="67">
        <f>IF(B21&gt;0,G21/B21,0)</f>
        <v/>
      </c>
      <c r="F21" s="67">
        <f>IF(B21&gt;0,H21/B21,0)</f>
        <v/>
      </c>
      <c r="G21" s="67">
        <f>I21*0.6</f>
        <v/>
      </c>
      <c r="H21" s="67">
        <f>I21*0.40</f>
        <v/>
      </c>
      <c r="I21" s="67">
        <f>CUSTOS_MACROGRUPO!$G$4*0.35*0.35</f>
        <v/>
      </c>
    </row>
    <row r="22">
      <c r="A22" s="70" t="inlineStr">
        <is>
          <t>Tirantes protendidos</t>
        </is>
      </c>
      <c r="B22" s="71">
        <f>12</f>
        <v/>
      </c>
      <c r="C22" s="72" t="inlineStr">
        <is>
          <t>un</t>
        </is>
      </c>
      <c r="D22" s="73" t="n">
        <v>12</v>
      </c>
      <c r="E22" s="71">
        <f>IF(B22&gt;0,G22/B22,0)</f>
        <v/>
      </c>
      <c r="F22" s="71">
        <f>IF(B22&gt;0,H22/B22,0)</f>
        <v/>
      </c>
      <c r="G22" s="71">
        <f>I22*0.55</f>
        <v/>
      </c>
      <c r="H22" s="71">
        <f>I22*0.45</f>
        <v/>
      </c>
      <c r="I22" s="71">
        <f>CUSTOS_MACROGRUPO!$G$4*0.35*0.25</f>
        <v/>
      </c>
    </row>
    <row r="23">
      <c r="A23" s="66" t="inlineStr">
        <is>
          <t>Muro de arrimo concreto armado</t>
        </is>
      </c>
      <c r="B23" s="67">
        <f>0.008*DADOS_PROJETO!$B$6</f>
        <v/>
      </c>
      <c r="C23" s="68" t="inlineStr">
        <is>
          <t>m³</t>
        </is>
      </c>
      <c r="D23" s="74" t="n">
        <v>0.008</v>
      </c>
      <c r="E23" s="67">
        <f>IF(B23&gt;0,G23/B23,0)</f>
        <v/>
      </c>
      <c r="F23" s="67">
        <f>IF(B23&gt;0,H23/B23,0)</f>
        <v/>
      </c>
      <c r="G23" s="67">
        <f>I23*0.55</f>
        <v/>
      </c>
      <c r="H23" s="67">
        <f>I23*0.45</f>
        <v/>
      </c>
      <c r="I23" s="67">
        <f>CUSTOS_MACROGRUPO!$G$4*0.35*0.15</f>
        <v/>
      </c>
    </row>
    <row r="24">
      <c r="A24" s="70" t="inlineStr">
        <is>
          <t>Drenagem subsuperficial (dreno)</t>
        </is>
      </c>
      <c r="B24" s="71">
        <f>0.02*DADOS_PROJETO!$B$6</f>
        <v/>
      </c>
      <c r="C24" s="72" t="inlineStr">
        <is>
          <t>m</t>
        </is>
      </c>
      <c r="D24" s="73" t="n">
        <v>0.02</v>
      </c>
      <c r="E24" s="71">
        <f>IF(B24&gt;0,G24/B24,0)</f>
        <v/>
      </c>
      <c r="F24" s="71">
        <f>IF(B24&gt;0,H24/B24,0)</f>
        <v/>
      </c>
      <c r="G24" s="71">
        <f>I24*0.65</f>
        <v/>
      </c>
      <c r="H24" s="71">
        <f>I24*0.35</f>
        <v/>
      </c>
      <c r="I24" s="71">
        <f>CUSTOS_MACROGRUPO!$G$4*0.35*0.08</f>
        <v/>
      </c>
    </row>
    <row r="25">
      <c r="A25" s="66" t="inlineStr">
        <is>
          <t>Chumbadores / grampos</t>
        </is>
      </c>
      <c r="B25" s="67">
        <f>20</f>
        <v/>
      </c>
      <c r="C25" s="68" t="inlineStr">
        <is>
          <t>un</t>
        </is>
      </c>
      <c r="D25" s="74" t="n">
        <v>20</v>
      </c>
      <c r="E25" s="67">
        <f>IF(B25&gt;0,G25/B25,0)</f>
        <v/>
      </c>
      <c r="F25" s="67">
        <f>IF(B25&gt;0,H25/B25,0)</f>
        <v/>
      </c>
      <c r="G25" s="67">
        <f>I25*0.6</f>
        <v/>
      </c>
      <c r="H25" s="67">
        <f>I25*0.40</f>
        <v/>
      </c>
      <c r="I25" s="67">
        <f>CUSTOS_MACROGRUPO!$G$4*0.35*0.07</f>
        <v/>
      </c>
    </row>
    <row r="26">
      <c r="A26" s="70" t="inlineStr">
        <is>
          <t>Concreto projetado (se aplicável)</t>
        </is>
      </c>
      <c r="B26" s="71">
        <f>0.005*DADOS_PROJETO!$B$6</f>
        <v/>
      </c>
      <c r="C26" s="72" t="inlineStr">
        <is>
          <t>m²</t>
        </is>
      </c>
      <c r="D26" s="73" t="n">
        <v>0.005</v>
      </c>
      <c r="E26" s="71">
        <f>IF(B26&gt;0,G26/B26,0)</f>
        <v/>
      </c>
      <c r="F26" s="71">
        <f>IF(B26&gt;0,H26/B26,0)</f>
        <v/>
      </c>
      <c r="G26" s="71">
        <f>I26*0.5</f>
        <v/>
      </c>
      <c r="H26" s="71">
        <f>I26*0.50</f>
        <v/>
      </c>
      <c r="I26" s="71">
        <f>CUSTOS_MACROGRUPO!$G$4*0.35*0.05</f>
        <v/>
      </c>
    </row>
    <row r="27">
      <c r="A27" s="66" t="inlineStr">
        <is>
          <t>Monitoramento geotécnico (inclinômetros)</t>
        </is>
      </c>
      <c r="B27" s="67" t="n">
        <v>1</v>
      </c>
      <c r="C27" s="68" t="inlineStr">
        <is>
          <t>vb</t>
        </is>
      </c>
      <c r="D27" s="69" t="inlineStr">
        <is>
          <t>—</t>
        </is>
      </c>
      <c r="E27" s="67">
        <f>IF(B27&gt;0,G27/B27,0)</f>
        <v/>
      </c>
      <c r="F27" s="67">
        <f>IF(B27&gt;0,H27/B27,0)</f>
        <v/>
      </c>
      <c r="G27" s="67">
        <f>I27*0.15</f>
        <v/>
      </c>
      <c r="H27" s="67">
        <f>I27*0.85</f>
        <v/>
      </c>
      <c r="I27" s="67">
        <f>CUSTOS_MACROGRUPO!$G$4*0.35*0.05</f>
        <v/>
      </c>
    </row>
    <row r="28">
      <c r="A28" s="75" t="inlineStr">
        <is>
          <t>Subtotal 2. CONTENÇÕES</t>
        </is>
      </c>
      <c r="B28" s="76" t="n"/>
      <c r="C28" s="76" t="n"/>
      <c r="D28" s="76" t="n"/>
      <c r="E28" s="76" t="n"/>
      <c r="F28" s="76" t="n"/>
      <c r="G28" s="77">
        <f>SUM(G21:G27)</f>
        <v/>
      </c>
      <c r="H28" s="77">
        <f>SUM(H21:H27)</f>
        <v/>
      </c>
      <c r="I28" s="77">
        <f>SUM(I21:I27)</f>
        <v/>
      </c>
    </row>
    <row r="30">
      <c r="A30" s="65" t="inlineStr">
        <is>
          <t>3. SUPRAESTRUTURA — CONCRETO</t>
        </is>
      </c>
      <c r="B30" s="60" t="n"/>
      <c r="C30" s="60" t="n"/>
      <c r="D30" s="60" t="n"/>
      <c r="E30" s="60" t="n"/>
      <c r="F30" s="60" t="n"/>
      <c r="G30" s="60" t="n"/>
      <c r="H30" s="60" t="n"/>
      <c r="I30" s="61" t="n"/>
    </row>
    <row r="31">
      <c r="A31" s="66" t="inlineStr">
        <is>
          <t>Concreto fck 35 MPa — Pilares</t>
        </is>
      </c>
      <c r="B31" s="67">
        <f>0.047*DADOS_PROJETO!$B$6</f>
        <v/>
      </c>
      <c r="C31" s="68" t="inlineStr">
        <is>
          <t>m³</t>
        </is>
      </c>
      <c r="D31" s="74" t="n">
        <v>0.047</v>
      </c>
      <c r="E31" s="67">
        <f>IF(B31&gt;0,G31/B31,0)</f>
        <v/>
      </c>
      <c r="F31" s="67">
        <f>IF(B31&gt;0,H31/B31,0)</f>
        <v/>
      </c>
      <c r="G31" s="67">
        <f>I31*0.6</f>
        <v/>
      </c>
      <c r="H31" s="67">
        <f>I31*0.40</f>
        <v/>
      </c>
      <c r="I31" s="67">
        <f>CUSTOS_MACROGRUPO!$G$5*0.42*0.24</f>
        <v/>
      </c>
    </row>
    <row r="32">
      <c r="A32" s="70" t="inlineStr">
        <is>
          <t>Concreto fck 30 MPa — Vigas</t>
        </is>
      </c>
      <c r="B32" s="71">
        <f>0.056*DADOS_PROJETO!$B$6</f>
        <v/>
      </c>
      <c r="C32" s="72" t="inlineStr">
        <is>
          <t>m³</t>
        </is>
      </c>
      <c r="D32" s="73" t="n">
        <v>0.056</v>
      </c>
      <c r="E32" s="71">
        <f>IF(B32&gt;0,G32/B32,0)</f>
        <v/>
      </c>
      <c r="F32" s="71">
        <f>IF(B32&gt;0,H32/B32,0)</f>
        <v/>
      </c>
      <c r="G32" s="71">
        <f>I32*0.6</f>
        <v/>
      </c>
      <c r="H32" s="71">
        <f>I32*0.40</f>
        <v/>
      </c>
      <c r="I32" s="71">
        <f>CUSTOS_MACROGRUPO!$G$5*0.42*0.28</f>
        <v/>
      </c>
    </row>
    <row r="33">
      <c r="A33" s="66" t="inlineStr">
        <is>
          <t>Concreto fck 30 MPa — Lajes nervuradas (cubetas)</t>
        </is>
      </c>
      <c r="B33" s="67">
        <f>0.065*DADOS_PROJETO!$B$6</f>
        <v/>
      </c>
      <c r="C33" s="68" t="inlineStr">
        <is>
          <t>m³</t>
        </is>
      </c>
      <c r="D33" s="74" t="n">
        <v>0.065</v>
      </c>
      <c r="E33" s="67">
        <f>IF(B33&gt;0,G33/B33,0)</f>
        <v/>
      </c>
      <c r="F33" s="67">
        <f>IF(B33&gt;0,H33/B33,0)</f>
        <v/>
      </c>
      <c r="G33" s="67">
        <f>I33*0.6</f>
        <v/>
      </c>
      <c r="H33" s="67">
        <f>I33*0.40</f>
        <v/>
      </c>
      <c r="I33" s="67">
        <f>CUSTOS_MACROGRUPO!$G$5*0.42*0.3</f>
        <v/>
      </c>
    </row>
    <row r="34">
      <c r="A34" s="70" t="inlineStr">
        <is>
          <t>Concreto fck 25 MPa — Escadas</t>
        </is>
      </c>
      <c r="B34" s="71">
        <f>0.008*DADOS_PROJETO!$B$6</f>
        <v/>
      </c>
      <c r="C34" s="72" t="inlineStr">
        <is>
          <t>m³</t>
        </is>
      </c>
      <c r="D34" s="73" t="n">
        <v>0.008</v>
      </c>
      <c r="E34" s="71">
        <f>IF(B34&gt;0,G34/B34,0)</f>
        <v/>
      </c>
      <c r="F34" s="71">
        <f>IF(B34&gt;0,H34/B34,0)</f>
        <v/>
      </c>
      <c r="G34" s="71">
        <f>I34*0.55</f>
        <v/>
      </c>
      <c r="H34" s="71">
        <f>I34*0.45</f>
        <v/>
      </c>
      <c r="I34" s="71">
        <f>CUSTOS_MACROGRUPO!$G$5*0.42*0.05</f>
        <v/>
      </c>
    </row>
    <row r="35">
      <c r="A35" s="66" t="inlineStr">
        <is>
          <t>Concreto fck 30 MPa — Reservatórios</t>
        </is>
      </c>
      <c r="B35" s="67">
        <f>0.004*DADOS_PROJETO!$B$6</f>
        <v/>
      </c>
      <c r="C35" s="68" t="inlineStr">
        <is>
          <t>m³</t>
        </is>
      </c>
      <c r="D35" s="74" t="n">
        <v>0.004</v>
      </c>
      <c r="E35" s="67">
        <f>IF(B35&gt;0,G35/B35,0)</f>
        <v/>
      </c>
      <c r="F35" s="67">
        <f>IF(B35&gt;0,H35/B35,0)</f>
        <v/>
      </c>
      <c r="G35" s="67">
        <f>I35*0.55</f>
        <v/>
      </c>
      <c r="H35" s="67">
        <f>I35*0.45</f>
        <v/>
      </c>
      <c r="I35" s="67">
        <f>CUSTOS_MACROGRUPO!$G$5*0.42*0.04</f>
        <v/>
      </c>
    </row>
    <row r="36">
      <c r="A36" s="70" t="inlineStr">
        <is>
          <t>Concreto fck 25 MPa — Muros/Muretas</t>
        </is>
      </c>
      <c r="B36" s="71">
        <f>0.003*DADOS_PROJETO!$B$6</f>
        <v/>
      </c>
      <c r="C36" s="72" t="inlineStr">
        <is>
          <t>m³</t>
        </is>
      </c>
      <c r="D36" s="73" t="n">
        <v>0.003</v>
      </c>
      <c r="E36" s="71">
        <f>IF(B36&gt;0,G36/B36,0)</f>
        <v/>
      </c>
      <c r="F36" s="71">
        <f>IF(B36&gt;0,H36/B36,0)</f>
        <v/>
      </c>
      <c r="G36" s="71">
        <f>I36*0.55</f>
        <v/>
      </c>
      <c r="H36" s="71">
        <f>I36*0.45</f>
        <v/>
      </c>
      <c r="I36" s="71">
        <f>CUSTOS_MACROGRUPO!$G$5*0.42*0.02</f>
        <v/>
      </c>
    </row>
    <row r="37">
      <c r="A37" s="66" t="inlineStr">
        <is>
          <t>Bombeamento concreto</t>
        </is>
      </c>
      <c r="B37" s="67">
        <f>0.189*DADOS_PROJETO!$B$6</f>
        <v/>
      </c>
      <c r="C37" s="68" t="inlineStr">
        <is>
          <t>m³</t>
        </is>
      </c>
      <c r="D37" s="74" t="n">
        <v>0.189</v>
      </c>
      <c r="E37" s="67">
        <f>IF(B37&gt;0,G37/B37,0)</f>
        <v/>
      </c>
      <c r="F37" s="67">
        <f>IF(B37&gt;0,H37/B37,0)</f>
        <v/>
      </c>
      <c r="G37" s="67">
        <f>I37*0.15</f>
        <v/>
      </c>
      <c r="H37" s="67">
        <f>I37*0.85</f>
        <v/>
      </c>
      <c r="I37" s="67">
        <f>CUSTOS_MACROGRUPO!$G$5*0.42*0.04</f>
        <v/>
      </c>
    </row>
    <row r="38">
      <c r="A38" s="70" t="inlineStr">
        <is>
          <t>Lançamento e adensamento</t>
        </is>
      </c>
      <c r="B38" s="71">
        <f>0.189*DADOS_PROJETO!$B$6</f>
        <v/>
      </c>
      <c r="C38" s="72" t="inlineStr">
        <is>
          <t>m³</t>
        </is>
      </c>
      <c r="D38" s="73" t="n">
        <v>0.189</v>
      </c>
      <c r="E38" s="71">
        <f>IF(B38&gt;0,G38/B38,0)</f>
        <v/>
      </c>
      <c r="F38" s="71">
        <f>IF(B38&gt;0,H38/B38,0)</f>
        <v/>
      </c>
      <c r="G38" s="71">
        <f>I38*0.1</f>
        <v/>
      </c>
      <c r="H38" s="71">
        <f>I38*0.90</f>
        <v/>
      </c>
      <c r="I38" s="71">
        <f>CUSTOS_MACROGRUPO!$G$5*0.42*0.03</f>
        <v/>
      </c>
    </row>
    <row r="39">
      <c r="A39" s="75" t="inlineStr">
        <is>
          <t>Subtotal 3. SUPRAESTRUTURA — CONCRETO</t>
        </is>
      </c>
      <c r="B39" s="76" t="n"/>
      <c r="C39" s="76" t="n"/>
      <c r="D39" s="76" t="n"/>
      <c r="E39" s="76" t="n"/>
      <c r="F39" s="76" t="n"/>
      <c r="G39" s="77">
        <f>SUM(G31:G38)</f>
        <v/>
      </c>
      <c r="H39" s="77">
        <f>SUM(H31:H38)</f>
        <v/>
      </c>
      <c r="I39" s="77">
        <f>SUM(I31:I38)</f>
        <v/>
      </c>
    </row>
    <row r="41">
      <c r="A41" s="65" t="inlineStr">
        <is>
          <t>4. SUPRAESTRUTURA — AÇO</t>
        </is>
      </c>
      <c r="B41" s="60" t="n"/>
      <c r="C41" s="60" t="n"/>
      <c r="D41" s="60" t="n"/>
      <c r="E41" s="60" t="n"/>
      <c r="F41" s="60" t="n"/>
      <c r="G41" s="60" t="n"/>
      <c r="H41" s="60" t="n"/>
      <c r="I41" s="61" t="n"/>
    </row>
    <row r="42">
      <c r="A42" s="66" t="inlineStr">
        <is>
          <t>Aço CA-50 — Pilares (taxa ~95 kg/m³)</t>
        </is>
      </c>
      <c r="B42" s="67">
        <f>4.47*DADOS_PROJETO!$B$6</f>
        <v/>
      </c>
      <c r="C42" s="68" t="inlineStr">
        <is>
          <t>kg</t>
        </is>
      </c>
      <c r="D42" s="74" t="n">
        <v>4.47</v>
      </c>
      <c r="E42" s="67">
        <f>IF(B42&gt;0,G42/B42,0)</f>
        <v/>
      </c>
      <c r="F42" s="67">
        <f>IF(B42&gt;0,H42/B42,0)</f>
        <v/>
      </c>
      <c r="G42" s="67">
        <f>I42*0.72</f>
        <v/>
      </c>
      <c r="H42" s="67">
        <f>I42*0.28</f>
        <v/>
      </c>
      <c r="I42" s="67">
        <f>CUSTOS_MACROGRUPO!$G$5*0.28*0.28</f>
        <v/>
      </c>
    </row>
    <row r="43">
      <c r="A43" s="70" t="inlineStr">
        <is>
          <t>Aço CA-50 — Vigas (taxa ~90 kg/m³)</t>
        </is>
      </c>
      <c r="B43" s="71">
        <f>5.04*DADOS_PROJETO!$B$6</f>
        <v/>
      </c>
      <c r="C43" s="72" t="inlineStr">
        <is>
          <t>kg</t>
        </is>
      </c>
      <c r="D43" s="73" t="n">
        <v>5.04</v>
      </c>
      <c r="E43" s="71">
        <f>IF(B43&gt;0,G43/B43,0)</f>
        <v/>
      </c>
      <c r="F43" s="71">
        <f>IF(B43&gt;0,H43/B43,0)</f>
        <v/>
      </c>
      <c r="G43" s="71">
        <f>I43*0.72</f>
        <v/>
      </c>
      <c r="H43" s="71">
        <f>I43*0.28</f>
        <v/>
      </c>
      <c r="I43" s="71">
        <f>CUSTOS_MACROGRUPO!$G$5*0.28*0.3</f>
        <v/>
      </c>
    </row>
    <row r="44">
      <c r="A44" s="66" t="inlineStr">
        <is>
          <t>Aço CA-50 — Lajes (taxa ~88 kg/m³)</t>
        </is>
      </c>
      <c r="B44" s="67">
        <f>5.72*DADOS_PROJETO!$B$6</f>
        <v/>
      </c>
      <c r="C44" s="68" t="inlineStr">
        <is>
          <t>kg</t>
        </is>
      </c>
      <c r="D44" s="74" t="n">
        <v>5.72</v>
      </c>
      <c r="E44" s="67">
        <f>IF(B44&gt;0,G44/B44,0)</f>
        <v/>
      </c>
      <c r="F44" s="67">
        <f>IF(B44&gt;0,H44/B44,0)</f>
        <v/>
      </c>
      <c r="G44" s="67">
        <f>I44*0.72</f>
        <v/>
      </c>
      <c r="H44" s="67">
        <f>I44*0.28</f>
        <v/>
      </c>
      <c r="I44" s="67">
        <f>CUSTOS_MACROGRUPO!$G$5*0.28*0.27</f>
        <v/>
      </c>
    </row>
    <row r="45">
      <c r="A45" s="70" t="inlineStr">
        <is>
          <t>Aço CA-60 (estribos, armadura negativa)</t>
        </is>
      </c>
      <c r="B45" s="71">
        <f>1.2*DADOS_PROJETO!$B$6</f>
        <v/>
      </c>
      <c r="C45" s="72" t="inlineStr">
        <is>
          <t>kg</t>
        </is>
      </c>
      <c r="D45" s="73" t="n">
        <v>1.2</v>
      </c>
      <c r="E45" s="71">
        <f>IF(B45&gt;0,G45/B45,0)</f>
        <v/>
      </c>
      <c r="F45" s="71">
        <f>IF(B45&gt;0,H45/B45,0)</f>
        <v/>
      </c>
      <c r="G45" s="71">
        <f>I45*0.72</f>
        <v/>
      </c>
      <c r="H45" s="71">
        <f>I45*0.28</f>
        <v/>
      </c>
      <c r="I45" s="71">
        <f>CUSTOS_MACROGRUPO!$G$5*0.28*0.06</f>
        <v/>
      </c>
    </row>
    <row r="46">
      <c r="A46" s="66" t="inlineStr">
        <is>
          <t>Tela soldada Q-196/Q-283</t>
        </is>
      </c>
      <c r="B46" s="67">
        <f>0.1*DADOS_PROJETO!$B$6</f>
        <v/>
      </c>
      <c r="C46" s="68" t="inlineStr">
        <is>
          <t>m²</t>
        </is>
      </c>
      <c r="D46" s="74" t="n">
        <v>0.1</v>
      </c>
      <c r="E46" s="67">
        <f>IF(B46&gt;0,G46/B46,0)</f>
        <v/>
      </c>
      <c r="F46" s="67">
        <f>IF(B46&gt;0,H46/B46,0)</f>
        <v/>
      </c>
      <c r="G46" s="67">
        <f>I46*0.75</f>
        <v/>
      </c>
      <c r="H46" s="67">
        <f>I46*0.25</f>
        <v/>
      </c>
      <c r="I46" s="67">
        <f>CUSTOS_MACROGRUPO!$G$5*0.28*0.04</f>
        <v/>
      </c>
    </row>
    <row r="47">
      <c r="A47" s="70" t="inlineStr">
        <is>
          <t>Espaçadores e acessórios</t>
        </is>
      </c>
      <c r="B47" s="71" t="n">
        <v>1</v>
      </c>
      <c r="C47" s="72" t="inlineStr">
        <is>
          <t>vb</t>
        </is>
      </c>
      <c r="D47" s="78" t="inlineStr">
        <is>
          <t>—</t>
        </is>
      </c>
      <c r="E47" s="71">
        <f>IF(B47&gt;0,G47/B47,0)</f>
        <v/>
      </c>
      <c r="F47" s="71">
        <f>IF(B47&gt;0,H47/B47,0)</f>
        <v/>
      </c>
      <c r="G47" s="71">
        <f>I47*0.85</f>
        <v/>
      </c>
      <c r="H47" s="71">
        <f>I47*0.15</f>
        <v/>
      </c>
      <c r="I47" s="71">
        <f>CUSTOS_MACROGRUPO!$G$5*0.28*0.02</f>
        <v/>
      </c>
    </row>
    <row r="48">
      <c r="A48" s="66" t="inlineStr">
        <is>
          <t>Corte, dobra e montagem (serviço)</t>
        </is>
      </c>
      <c r="B48" s="67">
        <f>16.43*DADOS_PROJETO!$B$6</f>
        <v/>
      </c>
      <c r="C48" s="68" t="inlineStr">
        <is>
          <t>kg</t>
        </is>
      </c>
      <c r="D48" s="74" t="n">
        <v>16.43</v>
      </c>
      <c r="E48" s="67">
        <f>IF(B48&gt;0,G48/B48,0)</f>
        <v/>
      </c>
      <c r="F48" s="67">
        <f>IF(B48&gt;0,H48/B48,0)</f>
        <v/>
      </c>
      <c r="G48" s="67">
        <f>I48*0.1</f>
        <v/>
      </c>
      <c r="H48" s="67">
        <f>I48*0.90</f>
        <v/>
      </c>
      <c r="I48" s="67">
        <f>CUSTOS_MACROGRUPO!$G$5*0.28*0.03</f>
        <v/>
      </c>
    </row>
    <row r="49">
      <c r="A49" s="75" t="inlineStr">
        <is>
          <t>Subtotal 4. SUPRAESTRUTURA — AÇO</t>
        </is>
      </c>
      <c r="B49" s="76" t="n"/>
      <c r="C49" s="76" t="n"/>
      <c r="D49" s="76" t="n"/>
      <c r="E49" s="76" t="n"/>
      <c r="F49" s="76" t="n"/>
      <c r="G49" s="77">
        <f>SUM(G42:G48)</f>
        <v/>
      </c>
      <c r="H49" s="77">
        <f>SUM(H42:H48)</f>
        <v/>
      </c>
      <c r="I49" s="77">
        <f>SUM(I42:I48)</f>
        <v/>
      </c>
    </row>
    <row r="51">
      <c r="A51" s="65" t="inlineStr">
        <is>
          <t>5. SUPRAESTRUTURA — FORMAS</t>
        </is>
      </c>
      <c r="B51" s="60" t="n"/>
      <c r="C51" s="60" t="n"/>
      <c r="D51" s="60" t="n"/>
      <c r="E51" s="60" t="n"/>
      <c r="F51" s="60" t="n"/>
      <c r="G51" s="60" t="n"/>
      <c r="H51" s="60" t="n"/>
      <c r="I51" s="61" t="n"/>
    </row>
    <row r="52">
      <c r="A52" s="66" t="inlineStr">
        <is>
          <t>Forma pilares (compensado plastificado)</t>
        </is>
      </c>
      <c r="B52" s="67">
        <f>0.35*DADOS_PROJETO!$B$6</f>
        <v/>
      </c>
      <c r="C52" s="68" t="inlineStr">
        <is>
          <t>m²</t>
        </is>
      </c>
      <c r="D52" s="74" t="n">
        <v>0.35</v>
      </c>
      <c r="E52" s="67">
        <f>IF(B52&gt;0,G52/B52,0)</f>
        <v/>
      </c>
      <c r="F52" s="67">
        <f>IF(B52&gt;0,H52/B52,0)</f>
        <v/>
      </c>
      <c r="G52" s="67">
        <f>I52*0.58</f>
        <v/>
      </c>
      <c r="H52" s="67">
        <f>I52*0.42</f>
        <v/>
      </c>
      <c r="I52" s="67">
        <f>CUSTOS_MACROGRUPO!$G$5*0.22*0.26</f>
        <v/>
      </c>
    </row>
    <row r="53">
      <c r="A53" s="70" t="inlineStr">
        <is>
          <t>Forma vigas (compensado plastificado)</t>
        </is>
      </c>
      <c r="B53" s="71">
        <f>0.4*DADOS_PROJETO!$B$6</f>
        <v/>
      </c>
      <c r="C53" s="72" t="inlineStr">
        <is>
          <t>m²</t>
        </is>
      </c>
      <c r="D53" s="73" t="n">
        <v>0.4</v>
      </c>
      <c r="E53" s="71">
        <f>IF(B53&gt;0,G53/B53,0)</f>
        <v/>
      </c>
      <c r="F53" s="71">
        <f>IF(B53&gt;0,H53/B53,0)</f>
        <v/>
      </c>
      <c r="G53" s="71">
        <f>I53*0.58</f>
        <v/>
      </c>
      <c r="H53" s="71">
        <f>I53*0.42</f>
        <v/>
      </c>
      <c r="I53" s="71">
        <f>CUSTOS_MACROGRUPO!$G$5*0.22*0.28</f>
        <v/>
      </c>
    </row>
    <row r="54">
      <c r="A54" s="66" t="inlineStr">
        <is>
          <t>Forma lajes (assoalho + longarinas)</t>
        </is>
      </c>
      <c r="B54" s="67">
        <f>0.45*DADOS_PROJETO!$B$6</f>
        <v/>
      </c>
      <c r="C54" s="68" t="inlineStr">
        <is>
          <t>m²</t>
        </is>
      </c>
      <c r="D54" s="74" t="n">
        <v>0.45</v>
      </c>
      <c r="E54" s="67">
        <f>IF(B54&gt;0,G54/B54,0)</f>
        <v/>
      </c>
      <c r="F54" s="67">
        <f>IF(B54&gt;0,H54/B54,0)</f>
        <v/>
      </c>
      <c r="G54" s="67">
        <f>I54*0.58</f>
        <v/>
      </c>
      <c r="H54" s="67">
        <f>I54*0.42</f>
        <v/>
      </c>
      <c r="I54" s="67">
        <f>CUSTOS_MACROGRUPO!$G$5*0.22*0.25</f>
        <v/>
      </c>
    </row>
    <row r="55">
      <c r="A55" s="70" t="inlineStr">
        <is>
          <t>Forma escadas</t>
        </is>
      </c>
      <c r="B55" s="71">
        <f>0.04*DADOS_PROJETO!$B$6</f>
        <v/>
      </c>
      <c r="C55" s="72" t="inlineStr">
        <is>
          <t>m²</t>
        </is>
      </c>
      <c r="D55" s="73" t="n">
        <v>0.04</v>
      </c>
      <c r="E55" s="71">
        <f>IF(B55&gt;0,G55/B55,0)</f>
        <v/>
      </c>
      <c r="F55" s="71">
        <f>IF(B55&gt;0,H55/B55,0)</f>
        <v/>
      </c>
      <c r="G55" s="71">
        <f>I55*0.55</f>
        <v/>
      </c>
      <c r="H55" s="71">
        <f>I55*0.45</f>
        <v/>
      </c>
      <c r="I55" s="71">
        <f>CUSTOS_MACROGRUPO!$G$5*0.22*0.05</f>
        <v/>
      </c>
    </row>
    <row r="56">
      <c r="A56" s="66" t="inlineStr">
        <is>
          <t>Escoramento metálico (locação)</t>
        </is>
      </c>
      <c r="B56" s="67">
        <f>0.8*DADOS_PROJETO!$B$6</f>
        <v/>
      </c>
      <c r="C56" s="68" t="inlineStr">
        <is>
          <t>m²</t>
        </is>
      </c>
      <c r="D56" s="74" t="n">
        <v>0.8</v>
      </c>
      <c r="E56" s="67">
        <f>IF(B56&gt;0,G56/B56,0)</f>
        <v/>
      </c>
      <c r="F56" s="67">
        <f>IF(B56&gt;0,H56/B56,0)</f>
        <v/>
      </c>
      <c r="G56" s="67">
        <f>I56*0.9</f>
        <v/>
      </c>
      <c r="H56" s="67">
        <f>I56*0.10</f>
        <v/>
      </c>
      <c r="I56" s="67">
        <f>CUSTOS_MACROGRUPO!$G$5*0.22*0.1</f>
        <v/>
      </c>
    </row>
    <row r="57">
      <c r="A57" s="70" t="inlineStr">
        <is>
          <t>Desmoldante e acessórios</t>
        </is>
      </c>
      <c r="B57" s="71" t="n">
        <v>1</v>
      </c>
      <c r="C57" s="72" t="inlineStr">
        <is>
          <t>vb</t>
        </is>
      </c>
      <c r="D57" s="78" t="inlineStr">
        <is>
          <t>—</t>
        </is>
      </c>
      <c r="E57" s="71">
        <f>IF(B57&gt;0,G57/B57,0)</f>
        <v/>
      </c>
      <c r="F57" s="71">
        <f>IF(B57&gt;0,H57/B57,0)</f>
        <v/>
      </c>
      <c r="G57" s="71">
        <f>I57*0.85</f>
        <v/>
      </c>
      <c r="H57" s="71">
        <f>I57*0.15</f>
        <v/>
      </c>
      <c r="I57" s="71">
        <f>CUSTOS_MACROGRUPO!$G$5*0.22*0.03</f>
        <v/>
      </c>
    </row>
    <row r="58">
      <c r="A58" s="66" t="inlineStr">
        <is>
          <t>Cimbramento especial (se aplicável)</t>
        </is>
      </c>
      <c r="B58" s="67">
        <f>0.02*DADOS_PROJETO!$B$6</f>
        <v/>
      </c>
      <c r="C58" s="68" t="inlineStr">
        <is>
          <t>m²</t>
        </is>
      </c>
      <c r="D58" s="74" t="n">
        <v>0.02</v>
      </c>
      <c r="E58" s="67">
        <f>IF(B58&gt;0,G58/B58,0)</f>
        <v/>
      </c>
      <c r="F58" s="67">
        <f>IF(B58&gt;0,H58/B58,0)</f>
        <v/>
      </c>
      <c r="G58" s="67">
        <f>I58*0.5</f>
        <v/>
      </c>
      <c r="H58" s="67">
        <f>I58*0.50</f>
        <v/>
      </c>
      <c r="I58" s="67">
        <f>CUSTOS_MACROGRUPO!$G$5*0.22*0.03</f>
        <v/>
      </c>
    </row>
    <row r="59">
      <c r="A59" s="75" t="inlineStr">
        <is>
          <t>Subtotal 5. SUPRAESTRUTURA — FORMAS</t>
        </is>
      </c>
      <c r="B59" s="76" t="n"/>
      <c r="C59" s="76" t="n"/>
      <c r="D59" s="76" t="n"/>
      <c r="E59" s="76" t="n"/>
      <c r="F59" s="76" t="n"/>
      <c r="G59" s="77">
        <f>SUM(G52:G58)</f>
        <v/>
      </c>
      <c r="H59" s="77">
        <f>SUM(H52:H58)</f>
        <v/>
      </c>
      <c r="I59" s="77">
        <f>SUM(I52:I58)</f>
        <v/>
      </c>
    </row>
    <row r="61">
      <c r="A61" s="65" t="inlineStr">
        <is>
          <t>6. LAJE NERVURADA — CUBETAS</t>
        </is>
      </c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6" t="inlineStr">
        <is>
          <t>Cubetas plásticas (locação)</t>
        </is>
      </c>
      <c r="B62" s="67">
        <f>0.55*DADOS_PROJETO!$B$6</f>
        <v/>
      </c>
      <c r="C62" s="68" t="inlineStr">
        <is>
          <t>m²</t>
        </is>
      </c>
      <c r="D62" s="74" t="n">
        <v>0.55</v>
      </c>
      <c r="E62" s="67">
        <f>IF(B62&gt;0,G62/B62,0)</f>
        <v/>
      </c>
      <c r="F62" s="67">
        <f>IF(B62&gt;0,H62/B62,0)</f>
        <v/>
      </c>
      <c r="G62" s="67">
        <f>I62*0.9</f>
        <v/>
      </c>
      <c r="H62" s="67">
        <f>I62*0.10</f>
        <v/>
      </c>
      <c r="I62" s="67">
        <f>CUSTOS_MACROGRUPO!$G$5*0.08*0.6</f>
        <v/>
      </c>
    </row>
    <row r="63">
      <c r="A63" s="70" t="inlineStr">
        <is>
          <t>Faixas maciças (concreto adicional)</t>
        </is>
      </c>
      <c r="B63" s="71">
        <f>0.005*DADOS_PROJETO!$B$6</f>
        <v/>
      </c>
      <c r="C63" s="72" t="inlineStr">
        <is>
          <t>m³</t>
        </is>
      </c>
      <c r="D63" s="73" t="n">
        <v>0.005</v>
      </c>
      <c r="E63" s="71">
        <f>IF(B63&gt;0,G63/B63,0)</f>
        <v/>
      </c>
      <c r="F63" s="71">
        <f>IF(B63&gt;0,H63/B63,0)</f>
        <v/>
      </c>
      <c r="G63" s="71">
        <f>I63*0.55</f>
        <v/>
      </c>
      <c r="H63" s="71">
        <f>I63*0.45</f>
        <v/>
      </c>
      <c r="I63" s="71">
        <f>CUSTOS_MACROGRUPO!$G$5*0.08*0.15</f>
        <v/>
      </c>
    </row>
    <row r="64">
      <c r="A64" s="66" t="inlineStr">
        <is>
          <t>Armadura complementar nervuras</t>
        </is>
      </c>
      <c r="B64" s="67">
        <f>0.5*DADOS_PROJETO!$B$6</f>
        <v/>
      </c>
      <c r="C64" s="68" t="inlineStr">
        <is>
          <t>kg</t>
        </is>
      </c>
      <c r="D64" s="74" t="n">
        <v>0.5</v>
      </c>
      <c r="E64" s="67">
        <f>IF(B64&gt;0,G64/B64,0)</f>
        <v/>
      </c>
      <c r="F64" s="67">
        <f>IF(B64&gt;0,H64/B64,0)</f>
        <v/>
      </c>
      <c r="G64" s="67">
        <f>I64*0.72</f>
        <v/>
      </c>
      <c r="H64" s="67">
        <f>I64*0.28</f>
        <v/>
      </c>
      <c r="I64" s="67">
        <f>CUSTOS_MACROGRUPO!$G$5*0.08*0.15</f>
        <v/>
      </c>
    </row>
    <row r="65">
      <c r="A65" s="70" t="inlineStr">
        <is>
          <t>Capitéis (reforço em pilares)</t>
        </is>
      </c>
      <c r="B65" s="71">
        <f>0.003*DADOS_PROJETO!$B$6</f>
        <v/>
      </c>
      <c r="C65" s="72" t="inlineStr">
        <is>
          <t>m³</t>
        </is>
      </c>
      <c r="D65" s="73" t="n">
        <v>0.003</v>
      </c>
      <c r="E65" s="71">
        <f>IF(B65&gt;0,G65/B65,0)</f>
        <v/>
      </c>
      <c r="F65" s="71">
        <f>IF(B65&gt;0,H65/B65,0)</f>
        <v/>
      </c>
      <c r="G65" s="71">
        <f>I65*0.55</f>
        <v/>
      </c>
      <c r="H65" s="71">
        <f>I65*0.45</f>
        <v/>
      </c>
      <c r="I65" s="71">
        <f>CUSTOS_MACROGRUPO!$G$5*0.08*0.1</f>
        <v/>
      </c>
    </row>
    <row r="66">
      <c r="A66" s="75" t="inlineStr">
        <is>
          <t>Subtotal 6. LAJE NERVURADA — CUBETAS</t>
        </is>
      </c>
      <c r="B66" s="76" t="n"/>
      <c r="C66" s="76" t="n"/>
      <c r="D66" s="76" t="n"/>
      <c r="E66" s="76" t="n"/>
      <c r="F66" s="76" t="n"/>
      <c r="G66" s="77">
        <f>SUM(G62:G65)</f>
        <v/>
      </c>
      <c r="H66" s="77">
        <f>SUM(H62:H65)</f>
        <v/>
      </c>
      <c r="I66" s="77">
        <f>SUM(I62:I65)</f>
        <v/>
      </c>
    </row>
    <row r="68">
      <c r="A68" s="79" t="inlineStr">
        <is>
          <t>7. ALVENARIA E VEDAÇÕES</t>
        </is>
      </c>
      <c r="B68" s="60" t="n"/>
      <c r="C68" s="60" t="n"/>
      <c r="D68" s="60" t="n"/>
      <c r="E68" s="60" t="n"/>
      <c r="F68" s="60" t="n"/>
      <c r="G68" s="60" t="n"/>
      <c r="H68" s="60" t="n"/>
      <c r="I68" s="61" t="n"/>
    </row>
    <row r="69">
      <c r="A69" s="66" t="inlineStr">
        <is>
          <t>Alvenaria bloco cerâmico 14cm — Paredes externas</t>
        </is>
      </c>
      <c r="B69" s="67">
        <f>0.55*DADOS_PROJETO!$B$6</f>
        <v/>
      </c>
      <c r="C69" s="68" t="inlineStr">
        <is>
          <t>m²</t>
        </is>
      </c>
      <c r="D69" s="74" t="n">
        <v>0.55</v>
      </c>
      <c r="E69" s="67">
        <f>IF(B69&gt;0,G69/B69,0)</f>
        <v/>
      </c>
      <c r="F69" s="67">
        <f>IF(B69&gt;0,H69/B69,0)</f>
        <v/>
      </c>
      <c r="G69" s="67">
        <f>I69*0.52</f>
        <v/>
      </c>
      <c r="H69" s="67">
        <f>I69*0.48</f>
        <v/>
      </c>
      <c r="I69" s="67">
        <f>CUSTOS_MACROGRUPO!$G$6*1.0*0.22</f>
        <v/>
      </c>
    </row>
    <row r="70">
      <c r="A70" s="70" t="inlineStr">
        <is>
          <t>Alvenaria bloco cerâmico 19cm — Paredes estruturais</t>
        </is>
      </c>
      <c r="B70" s="71">
        <f>0.2*DADOS_PROJETO!$B$6</f>
        <v/>
      </c>
      <c r="C70" s="72" t="inlineStr">
        <is>
          <t>m²</t>
        </is>
      </c>
      <c r="D70" s="73" t="n">
        <v>0.2</v>
      </c>
      <c r="E70" s="71">
        <f>IF(B70&gt;0,G70/B70,0)</f>
        <v/>
      </c>
      <c r="F70" s="71">
        <f>IF(B70&gt;0,H70/B70,0)</f>
        <v/>
      </c>
      <c r="G70" s="71">
        <f>I70*0.52</f>
        <v/>
      </c>
      <c r="H70" s="71">
        <f>I70*0.48</f>
        <v/>
      </c>
      <c r="I70" s="71">
        <f>CUSTOS_MACROGRUPO!$G$6*1.0*0.12</f>
        <v/>
      </c>
    </row>
    <row r="71">
      <c r="A71" s="66" t="inlineStr">
        <is>
          <t>Alvenaria bloco cerâmico 9cm — Paredes internas</t>
        </is>
      </c>
      <c r="B71" s="67">
        <f>0.65*DADOS_PROJETO!$B$6</f>
        <v/>
      </c>
      <c r="C71" s="68" t="inlineStr">
        <is>
          <t>m²</t>
        </is>
      </c>
      <c r="D71" s="74" t="n">
        <v>0.65</v>
      </c>
      <c r="E71" s="67">
        <f>IF(B71&gt;0,G71/B71,0)</f>
        <v/>
      </c>
      <c r="F71" s="67">
        <f>IF(B71&gt;0,H71/B71,0)</f>
        <v/>
      </c>
      <c r="G71" s="67">
        <f>I71*0.52</f>
        <v/>
      </c>
      <c r="H71" s="67">
        <f>I71*0.48</f>
        <v/>
      </c>
      <c r="I71" s="67">
        <f>CUSTOS_MACROGRUPO!$G$6*1.0*0.2</f>
        <v/>
      </c>
    </row>
    <row r="72">
      <c r="A72" s="70" t="inlineStr">
        <is>
          <t>Alvenaria bloco concreto (garagem/técnicos)</t>
        </is>
      </c>
      <c r="B72" s="71">
        <f>0.15*DADOS_PROJETO!$B$6</f>
        <v/>
      </c>
      <c r="C72" s="72" t="inlineStr">
        <is>
          <t>m²</t>
        </is>
      </c>
      <c r="D72" s="73" t="n">
        <v>0.15</v>
      </c>
      <c r="E72" s="71">
        <f>IF(B72&gt;0,G72/B72,0)</f>
        <v/>
      </c>
      <c r="F72" s="71">
        <f>IF(B72&gt;0,H72/B72,0)</f>
        <v/>
      </c>
      <c r="G72" s="71">
        <f>I72*0.55</f>
        <v/>
      </c>
      <c r="H72" s="71">
        <f>I72*0.45</f>
        <v/>
      </c>
      <c r="I72" s="71">
        <f>CUSTOS_MACROGRUPO!$G$6*1.0*0.08</f>
        <v/>
      </c>
    </row>
    <row r="73">
      <c r="A73" s="66" t="inlineStr">
        <is>
          <t>Vergas e contravergas pré-moldadas</t>
        </is>
      </c>
      <c r="B73" s="67">
        <f>0.3*DADOS_PROJETO!$B$6</f>
        <v/>
      </c>
      <c r="C73" s="68" t="inlineStr">
        <is>
          <t>m</t>
        </is>
      </c>
      <c r="D73" s="74" t="n">
        <v>0.3</v>
      </c>
      <c r="E73" s="67">
        <f>IF(B73&gt;0,G73/B73,0)</f>
        <v/>
      </c>
      <c r="F73" s="67">
        <f>IF(B73&gt;0,H73/B73,0)</f>
        <v/>
      </c>
      <c r="G73" s="67">
        <f>I73*0.6</f>
        <v/>
      </c>
      <c r="H73" s="67">
        <f>I73*0.40</f>
        <v/>
      </c>
      <c r="I73" s="67">
        <f>CUSTOS_MACROGRUPO!$G$6*1.0*0.08</f>
        <v/>
      </c>
    </row>
    <row r="74">
      <c r="A74" s="70" t="inlineStr">
        <is>
          <t>Encunhamento (espuma expansiva)</t>
        </is>
      </c>
      <c r="B74" s="71">
        <f>0.25*DADOS_PROJETO!$B$6</f>
        <v/>
      </c>
      <c r="C74" s="72" t="inlineStr">
        <is>
          <t>m</t>
        </is>
      </c>
      <c r="D74" s="73" t="n">
        <v>0.25</v>
      </c>
      <c r="E74" s="71">
        <f>IF(B74&gt;0,G74/B74,0)</f>
        <v/>
      </c>
      <c r="F74" s="71">
        <f>IF(B74&gt;0,H74/B74,0)</f>
        <v/>
      </c>
      <c r="G74" s="71">
        <f>I74*0.45</f>
        <v/>
      </c>
      <c r="H74" s="71">
        <f>I74*0.55</f>
        <v/>
      </c>
      <c r="I74" s="71">
        <f>CUSTOS_MACROGRUPO!$G$6*1.0*0.05</f>
        <v/>
      </c>
    </row>
    <row r="75">
      <c r="A75" s="66" t="inlineStr">
        <is>
          <t>Chapisco interno (argamassa industrializada)</t>
        </is>
      </c>
      <c r="B75" s="67">
        <f>1.4*DADOS_PROJETO!$B$6</f>
        <v/>
      </c>
      <c r="C75" s="68" t="inlineStr">
        <is>
          <t>m²</t>
        </is>
      </c>
      <c r="D75" s="74" t="n">
        <v>1.4</v>
      </c>
      <c r="E75" s="67">
        <f>IF(B75&gt;0,G75/B75,0)</f>
        <v/>
      </c>
      <c r="F75" s="67">
        <f>IF(B75&gt;0,H75/B75,0)</f>
        <v/>
      </c>
      <c r="G75" s="67">
        <f>I75*0.55</f>
        <v/>
      </c>
      <c r="H75" s="67">
        <f>I75*0.45</f>
        <v/>
      </c>
      <c r="I75" s="67">
        <f>CUSTOS_MACROGRUPO!$G$6*1.0*0.08</f>
        <v/>
      </c>
    </row>
    <row r="76">
      <c r="A76" s="70" t="inlineStr">
        <is>
          <t>Chapisco externo (argamassa industrializada)</t>
        </is>
      </c>
      <c r="B76" s="71">
        <f>0.45*DADOS_PROJETO!$B$6</f>
        <v/>
      </c>
      <c r="C76" s="72" t="inlineStr">
        <is>
          <t>m²</t>
        </is>
      </c>
      <c r="D76" s="73" t="n">
        <v>0.45</v>
      </c>
      <c r="E76" s="71">
        <f>IF(B76&gt;0,G76/B76,0)</f>
        <v/>
      </c>
      <c r="F76" s="71">
        <f>IF(B76&gt;0,H76/B76,0)</f>
        <v/>
      </c>
      <c r="G76" s="71">
        <f>I76*0.55</f>
        <v/>
      </c>
      <c r="H76" s="71">
        <f>I76*0.45</f>
        <v/>
      </c>
      <c r="I76" s="71">
        <f>CUSTOS_MACROGRUPO!$G$6*1.0*0.04</f>
        <v/>
      </c>
    </row>
    <row r="77">
      <c r="A77" s="66" t="inlineStr">
        <is>
          <t>Tela de reforço (encontro alv/estrutura)</t>
        </is>
      </c>
      <c r="B77" s="67">
        <f>0.2*DADOS_PROJETO!$B$6</f>
        <v/>
      </c>
      <c r="C77" s="68" t="inlineStr">
        <is>
          <t>m²</t>
        </is>
      </c>
      <c r="D77" s="74" t="n">
        <v>0.2</v>
      </c>
      <c r="E77" s="67">
        <f>IF(B77&gt;0,G77/B77,0)</f>
        <v/>
      </c>
      <c r="F77" s="67">
        <f>IF(B77&gt;0,H77/B77,0)</f>
        <v/>
      </c>
      <c r="G77" s="67">
        <f>I77*0.7</f>
        <v/>
      </c>
      <c r="H77" s="67">
        <f>I77*0.30</f>
        <v/>
      </c>
      <c r="I77" s="67">
        <f>CUSTOS_MACROGRUPO!$G$6*1.0*0.04</f>
        <v/>
      </c>
    </row>
    <row r="78">
      <c r="A78" s="70" t="inlineStr">
        <is>
          <t>Passagens de tubulações (shafts/rasgos)</t>
        </is>
      </c>
      <c r="B78" s="71" t="n">
        <v>1</v>
      </c>
      <c r="C78" s="72" t="inlineStr">
        <is>
          <t>vb</t>
        </is>
      </c>
      <c r="D78" s="78" t="inlineStr">
        <is>
          <t>—</t>
        </is>
      </c>
      <c r="E78" s="71">
        <f>IF(B78&gt;0,G78/B78,0)</f>
        <v/>
      </c>
      <c r="F78" s="71">
        <f>IF(B78&gt;0,H78/B78,0)</f>
        <v/>
      </c>
      <c r="G78" s="71">
        <f>I78*0.3</f>
        <v/>
      </c>
      <c r="H78" s="71">
        <f>I78*0.70</f>
        <v/>
      </c>
      <c r="I78" s="71">
        <f>CUSTOS_MACROGRUPO!$G$6*1.0*0.03</f>
        <v/>
      </c>
    </row>
    <row r="79">
      <c r="A79" s="66" t="inlineStr">
        <is>
          <t>Graute para grauteamento de vergas</t>
        </is>
      </c>
      <c r="B79" s="67">
        <f>0.002*DADOS_PROJETO!$B$6</f>
        <v/>
      </c>
      <c r="C79" s="68" t="inlineStr">
        <is>
          <t>m³</t>
        </is>
      </c>
      <c r="D79" s="74" t="n">
        <v>0.002</v>
      </c>
      <c r="E79" s="67">
        <f>IF(B79&gt;0,G79/B79,0)</f>
        <v/>
      </c>
      <c r="F79" s="67">
        <f>IF(B79&gt;0,H79/B79,0)</f>
        <v/>
      </c>
      <c r="G79" s="67">
        <f>I79*0.6</f>
        <v/>
      </c>
      <c r="H79" s="67">
        <f>I79*0.40</f>
        <v/>
      </c>
      <c r="I79" s="67">
        <f>CUSTOS_MACROGRUPO!$G$6*1.0*0.03</f>
        <v/>
      </c>
    </row>
    <row r="80">
      <c r="A80" s="70" t="inlineStr">
        <is>
          <t>Argamassa de assentamento</t>
        </is>
      </c>
      <c r="B80" s="71">
        <f>0.015*DADOS_PROJETO!$B$6</f>
        <v/>
      </c>
      <c r="C80" s="72" t="inlineStr">
        <is>
          <t>m³</t>
        </is>
      </c>
      <c r="D80" s="73" t="n">
        <v>0.015</v>
      </c>
      <c r="E80" s="71">
        <f>IF(B80&gt;0,G80/B80,0)</f>
        <v/>
      </c>
      <c r="F80" s="71">
        <f>IF(B80&gt;0,H80/B80,0)</f>
        <v/>
      </c>
      <c r="G80" s="71">
        <f>I80*0.65</f>
        <v/>
      </c>
      <c r="H80" s="71">
        <f>I80*0.35</f>
        <v/>
      </c>
      <c r="I80" s="71">
        <f>CUSTOS_MACROGRUPO!$G$6*1.0*0.03</f>
        <v/>
      </c>
    </row>
    <row r="81">
      <c r="A81" s="75" t="inlineStr">
        <is>
          <t>Subtotal 7. ALVENARIA E VEDAÇÕES</t>
        </is>
      </c>
      <c r="B81" s="76" t="n"/>
      <c r="C81" s="76" t="n"/>
      <c r="D81" s="76" t="n"/>
      <c r="E81" s="76" t="n"/>
      <c r="F81" s="76" t="n"/>
      <c r="G81" s="77">
        <f>SUM(G69:G80)</f>
        <v/>
      </c>
      <c r="H81" s="77">
        <f>SUM(H69:H80)</f>
        <v/>
      </c>
      <c r="I81" s="77">
        <f>SUM(I69:I80)</f>
        <v/>
      </c>
    </row>
    <row r="83">
      <c r="A83" s="79" t="inlineStr">
        <is>
          <t>8. IMPERMEABILIZAÇÃO</t>
        </is>
      </c>
      <c r="B83" s="60" t="n"/>
      <c r="C83" s="60" t="n"/>
      <c r="D83" s="60" t="n"/>
      <c r="E83" s="60" t="n"/>
      <c r="F83" s="60" t="n"/>
      <c r="G83" s="60" t="n"/>
      <c r="H83" s="60" t="n"/>
      <c r="I83" s="61" t="n"/>
    </row>
    <row r="84">
      <c r="A84" s="66" t="inlineStr">
        <is>
          <t>Impermeabilização manta asfáltica — Laje cobertura</t>
        </is>
      </c>
      <c r="B84" s="67">
        <f>0.06*DADOS_PROJETO!$B$6</f>
        <v/>
      </c>
      <c r="C84" s="68" t="inlineStr">
        <is>
          <t>m²</t>
        </is>
      </c>
      <c r="D84" s="74" t="n">
        <v>0.06</v>
      </c>
      <c r="E84" s="67">
        <f>IF(B84&gt;0,G84/B84,0)</f>
        <v/>
      </c>
      <c r="F84" s="67">
        <f>IF(B84&gt;0,H84/B84,0)</f>
        <v/>
      </c>
      <c r="G84" s="67">
        <f>I84*0.58</f>
        <v/>
      </c>
      <c r="H84" s="67">
        <f>I84*0.42</f>
        <v/>
      </c>
      <c r="I84" s="67">
        <f>CUSTOS_MACROGRUPO!$G$7*1.0*0.22</f>
        <v/>
      </c>
    </row>
    <row r="85">
      <c r="A85" s="70" t="inlineStr">
        <is>
          <t>Impermeabilização argamassa polimérica — Áreas molhadas</t>
        </is>
      </c>
      <c r="B85" s="71">
        <f>0.12*DADOS_PROJETO!$B$6</f>
        <v/>
      </c>
      <c r="C85" s="72" t="inlineStr">
        <is>
          <t>m²</t>
        </is>
      </c>
      <c r="D85" s="73" t="n">
        <v>0.12</v>
      </c>
      <c r="E85" s="71">
        <f>IF(B85&gt;0,G85/B85,0)</f>
        <v/>
      </c>
      <c r="F85" s="71">
        <f>IF(B85&gt;0,H85/B85,0)</f>
        <v/>
      </c>
      <c r="G85" s="71">
        <f>I85*0.55</f>
        <v/>
      </c>
      <c r="H85" s="71">
        <f>I85*0.45</f>
        <v/>
      </c>
      <c r="I85" s="71">
        <f>CUSTOS_MACROGRUPO!$G$7*1.0*0.2</f>
        <v/>
      </c>
    </row>
    <row r="86">
      <c r="A86" s="66" t="inlineStr">
        <is>
          <t>Impermeabilização manta asfáltica — Sacadas/varandas</t>
        </is>
      </c>
      <c r="B86" s="67">
        <f>0.04*DADOS_PROJETO!$B$6</f>
        <v/>
      </c>
      <c r="C86" s="68" t="inlineStr">
        <is>
          <t>m²</t>
        </is>
      </c>
      <c r="D86" s="74" t="n">
        <v>0.04</v>
      </c>
      <c r="E86" s="67">
        <f>IF(B86&gt;0,G86/B86,0)</f>
        <v/>
      </c>
      <c r="F86" s="67">
        <f>IF(B86&gt;0,H86/B86,0)</f>
        <v/>
      </c>
      <c r="G86" s="67">
        <f>I86*0.58</f>
        <v/>
      </c>
      <c r="H86" s="67">
        <f>I86*0.42</f>
        <v/>
      </c>
      <c r="I86" s="67">
        <f>CUSTOS_MACROGRUPO!$G$7*1.0*0.12</f>
        <v/>
      </c>
    </row>
    <row r="87">
      <c r="A87" s="70" t="inlineStr">
        <is>
          <t>Impermeabilização reservatórios (inferior/superior)</t>
        </is>
      </c>
      <c r="B87" s="71">
        <f>0.008*DADOS_PROJETO!$B$6</f>
        <v/>
      </c>
      <c r="C87" s="72" t="inlineStr">
        <is>
          <t>m²</t>
        </is>
      </c>
      <c r="D87" s="73" t="n">
        <v>0.008</v>
      </c>
      <c r="E87" s="71">
        <f>IF(B87&gt;0,G87/B87,0)</f>
        <v/>
      </c>
      <c r="F87" s="71">
        <f>IF(B87&gt;0,H87/B87,0)</f>
        <v/>
      </c>
      <c r="G87" s="71">
        <f>I87*0.6</f>
        <v/>
      </c>
      <c r="H87" s="71">
        <f>I87*0.40</f>
        <v/>
      </c>
      <c r="I87" s="71">
        <f>CUSTOS_MACROGRUPO!$G$7*1.0*0.08</f>
        <v/>
      </c>
    </row>
    <row r="88">
      <c r="A88" s="66" t="inlineStr">
        <is>
          <t>Impermeabilização jardineiras/floreiras</t>
        </is>
      </c>
      <c r="B88" s="67">
        <f>0.01*DADOS_PROJETO!$B$6</f>
        <v/>
      </c>
      <c r="C88" s="68" t="inlineStr">
        <is>
          <t>m²</t>
        </is>
      </c>
      <c r="D88" s="74" t="n">
        <v>0.01</v>
      </c>
      <c r="E88" s="67">
        <f>IF(B88&gt;0,G88/B88,0)</f>
        <v/>
      </c>
      <c r="F88" s="67">
        <f>IF(B88&gt;0,H88/B88,0)</f>
        <v/>
      </c>
      <c r="G88" s="67">
        <f>I88*0.55</f>
        <v/>
      </c>
      <c r="H88" s="67">
        <f>I88*0.45</f>
        <v/>
      </c>
      <c r="I88" s="67">
        <f>CUSTOS_MACROGRUPO!$G$7*1.0*0.05</f>
        <v/>
      </c>
    </row>
    <row r="89">
      <c r="A89" s="70" t="inlineStr">
        <is>
          <t>Impermeabilização piscina (se aplicável)</t>
        </is>
      </c>
      <c r="B89" s="71">
        <f>0.003*DADOS_PROJETO!$B$6</f>
        <v/>
      </c>
      <c r="C89" s="72" t="inlineStr">
        <is>
          <t>m²</t>
        </is>
      </c>
      <c r="D89" s="73" t="n">
        <v>0.003</v>
      </c>
      <c r="E89" s="71">
        <f>IF(B89&gt;0,G89/B89,0)</f>
        <v/>
      </c>
      <c r="F89" s="71">
        <f>IF(B89&gt;0,H89/B89,0)</f>
        <v/>
      </c>
      <c r="G89" s="71">
        <f>I89*0.55</f>
        <v/>
      </c>
      <c r="H89" s="71">
        <f>I89*0.45</f>
        <v/>
      </c>
      <c r="I89" s="71">
        <f>CUSTOS_MACROGRUPO!$G$7*1.0*0.03</f>
        <v/>
      </c>
    </row>
    <row r="90">
      <c r="A90" s="66" t="inlineStr">
        <is>
          <t>Regularização para impermeabilização (contrapiso)</t>
        </is>
      </c>
      <c r="B90" s="67">
        <f>0.2*DADOS_PROJETO!$B$6</f>
        <v/>
      </c>
      <c r="C90" s="68" t="inlineStr">
        <is>
          <t>m²</t>
        </is>
      </c>
      <c r="D90" s="74" t="n">
        <v>0.2</v>
      </c>
      <c r="E90" s="67">
        <f>IF(B90&gt;0,G90/B90,0)</f>
        <v/>
      </c>
      <c r="F90" s="67">
        <f>IF(B90&gt;0,H90/B90,0)</f>
        <v/>
      </c>
      <c r="G90" s="67">
        <f>I90*0.5</f>
        <v/>
      </c>
      <c r="H90" s="67">
        <f>I90*0.50</f>
        <v/>
      </c>
      <c r="I90" s="67">
        <f>CUSTOS_MACROGRUPO!$G$7*1.0*0.12</f>
        <v/>
      </c>
    </row>
    <row r="91">
      <c r="A91" s="70" t="inlineStr">
        <is>
          <t>Proteção mecânica (argamassa sobre manta)</t>
        </is>
      </c>
      <c r="B91" s="71">
        <f>0.1*DADOS_PROJETO!$B$6</f>
        <v/>
      </c>
      <c r="C91" s="72" t="inlineStr">
        <is>
          <t>m²</t>
        </is>
      </c>
      <c r="D91" s="73" t="n">
        <v>0.1</v>
      </c>
      <c r="E91" s="71">
        <f>IF(B91&gt;0,G91/B91,0)</f>
        <v/>
      </c>
      <c r="F91" s="71">
        <f>IF(B91&gt;0,H91/B91,0)</f>
        <v/>
      </c>
      <c r="G91" s="71">
        <f>I91*0.55</f>
        <v/>
      </c>
      <c r="H91" s="71">
        <f>I91*0.45</f>
        <v/>
      </c>
      <c r="I91" s="71">
        <f>CUSTOS_MACROGRUPO!$G$7*1.0*0.08</f>
        <v/>
      </c>
    </row>
    <row r="92">
      <c r="A92" s="66" t="inlineStr">
        <is>
          <t>Tratamento de juntas de dilatação</t>
        </is>
      </c>
      <c r="B92" s="67">
        <f>0.01*DADOS_PROJETO!$B$6</f>
        <v/>
      </c>
      <c r="C92" s="68" t="inlineStr">
        <is>
          <t>m</t>
        </is>
      </c>
      <c r="D92" s="74" t="n">
        <v>0.01</v>
      </c>
      <c r="E92" s="67">
        <f>IF(B92&gt;0,G92/B92,0)</f>
        <v/>
      </c>
      <c r="F92" s="67">
        <f>IF(B92&gt;0,H92/B92,0)</f>
        <v/>
      </c>
      <c r="G92" s="67">
        <f>I92*0.6</f>
        <v/>
      </c>
      <c r="H92" s="67">
        <f>I92*0.40</f>
        <v/>
      </c>
      <c r="I92" s="67">
        <f>CUSTOS_MACROGRUPO!$G$7*1.0*0.04</f>
        <v/>
      </c>
    </row>
    <row r="93">
      <c r="A93" s="70" t="inlineStr">
        <is>
          <t>Drenos e ralos (cobertura/sacadas)</t>
        </is>
      </c>
      <c r="B93" s="71">
        <f>120</f>
        <v/>
      </c>
      <c r="C93" s="72" t="inlineStr">
        <is>
          <t>un</t>
        </is>
      </c>
      <c r="D93" s="73" t="n">
        <v>120</v>
      </c>
      <c r="E93" s="71">
        <f>IF(B93&gt;0,G93/B93,0)</f>
        <v/>
      </c>
      <c r="F93" s="71">
        <f>IF(B93&gt;0,H93/B93,0)</f>
        <v/>
      </c>
      <c r="G93" s="71">
        <f>I93*0.7</f>
        <v/>
      </c>
      <c r="H93" s="71">
        <f>I93*0.30</f>
        <v/>
      </c>
      <c r="I93" s="71">
        <f>CUSTOS_MACROGRUPO!$G$7*1.0*0.04</f>
        <v/>
      </c>
    </row>
    <row r="94">
      <c r="A94" s="66" t="inlineStr">
        <is>
          <t>Teste de estanqueidade (72h)</t>
        </is>
      </c>
      <c r="B94" s="67" t="n">
        <v>1</v>
      </c>
      <c r="C94" s="68" t="inlineStr">
        <is>
          <t>vb</t>
        </is>
      </c>
      <c r="D94" s="69" t="inlineStr">
        <is>
          <t>—</t>
        </is>
      </c>
      <c r="E94" s="67">
        <f>IF(B94&gt;0,G94/B94,0)</f>
        <v/>
      </c>
      <c r="F94" s="67">
        <f>IF(B94&gt;0,H94/B94,0)</f>
        <v/>
      </c>
      <c r="G94" s="67">
        <f>I94*0.1</f>
        <v/>
      </c>
      <c r="H94" s="67">
        <f>I94*0.90</f>
        <v/>
      </c>
      <c r="I94" s="67">
        <f>CUSTOS_MACROGRUPO!$G$7*1.0*0.02</f>
        <v/>
      </c>
    </row>
    <row r="95">
      <c r="A95" s="75" t="inlineStr">
        <is>
          <t>Subtotal 8. IMPERMEABILIZAÇÃO</t>
        </is>
      </c>
      <c r="B95" s="76" t="n"/>
      <c r="C95" s="76" t="n"/>
      <c r="D95" s="76" t="n"/>
      <c r="E95" s="76" t="n"/>
      <c r="F95" s="76" t="n"/>
      <c r="G95" s="77">
        <f>SUM(G84:G94)</f>
        <v/>
      </c>
      <c r="H95" s="77">
        <f>SUM(H84:H94)</f>
        <v/>
      </c>
      <c r="I95" s="77">
        <f>SUM(I84:I94)</f>
        <v/>
      </c>
    </row>
    <row r="97">
      <c r="A97" s="80" t="inlineStr">
        <is>
          <t>TOTAL ESTRUTURAL (Infraestrutura + Supraestrutura + Alvenaria + Impermeabilização)</t>
        </is>
      </c>
      <c r="B97" s="81" t="n"/>
      <c r="C97" s="81" t="n"/>
      <c r="D97" s="81" t="n"/>
      <c r="E97" s="81" t="n"/>
      <c r="F97" s="81" t="n"/>
      <c r="G97" s="82">
        <f>G18+G28+G39+G49+G59+G66+G81+G95</f>
        <v/>
      </c>
      <c r="H97" s="82">
        <f>H18+H28+H39+H49+H59+H66+H81+H95</f>
        <v/>
      </c>
      <c r="I97" s="82">
        <f>I18+I28+I39+I49+I59+I66+I81+I95</f>
        <v/>
      </c>
    </row>
  </sheetData>
  <mergeCells count="10">
    <mergeCell ref="A41:I41"/>
    <mergeCell ref="A2:I2"/>
    <mergeCell ref="A51:I51"/>
    <mergeCell ref="A68:I68"/>
    <mergeCell ref="A5:I5"/>
    <mergeCell ref="A1:I1"/>
    <mergeCell ref="A61:I61"/>
    <mergeCell ref="A83:I83"/>
    <mergeCell ref="A20:I20"/>
    <mergeCell ref="A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A1" s="62" t="inlineStr">
        <is>
          <t>DETALHAMENTO INSTALAÇÕES — Nível Executivo</t>
        </is>
      </c>
    </row>
    <row r="2">
      <c r="A2" s="63" t="inlineStr">
        <is>
          <t>Projeto: Residencial Alípio Schirmann — AC: 12,033.95 m²</t>
        </is>
      </c>
    </row>
    <row r="4">
      <c r="A4" s="64" t="inlineStr">
        <is>
          <t>Item / Serviço</t>
        </is>
      </c>
      <c r="B4" s="64" t="inlineStr">
        <is>
          <t>Qtd</t>
        </is>
      </c>
      <c r="C4" s="64" t="inlineStr">
        <is>
          <t>Un</t>
        </is>
      </c>
      <c r="D4" s="64" t="inlineStr">
        <is>
          <t>Índice</t>
        </is>
      </c>
      <c r="E4" s="64" t="inlineStr">
        <is>
          <t>PU Material</t>
        </is>
      </c>
      <c r="F4" s="64" t="inlineStr">
        <is>
          <t>PU Mão de Obra</t>
        </is>
      </c>
      <c r="G4" s="64" t="inlineStr">
        <is>
          <t>Total Material</t>
        </is>
      </c>
      <c r="H4" s="64" t="inlineStr">
        <is>
          <t>Total Mão de Obra</t>
        </is>
      </c>
      <c r="I4" s="64" t="inlineStr">
        <is>
          <t>Total</t>
        </is>
      </c>
    </row>
    <row r="5">
      <c r="A5" s="65" t="inlineStr">
        <is>
          <t>1. INSTALAÇÕES HIDRÁULICAS</t>
        </is>
      </c>
      <c r="B5" s="60" t="n"/>
      <c r="C5" s="60" t="n"/>
      <c r="D5" s="60" t="n"/>
      <c r="E5" s="60" t="n"/>
      <c r="F5" s="60" t="n"/>
      <c r="G5" s="60" t="n"/>
      <c r="H5" s="60" t="n"/>
      <c r="I5" s="61" t="n"/>
    </row>
    <row r="6">
      <c r="A6" s="66" t="inlineStr">
        <is>
          <t>Tubulação água fria PVC soldável (ø20 a ø60)</t>
        </is>
      </c>
      <c r="B6" s="67">
        <f>2.0*DADOS_PROJETO!$B$6</f>
        <v/>
      </c>
      <c r="C6" s="68" t="inlineStr">
        <is>
          <t>m</t>
        </is>
      </c>
      <c r="D6" s="74" t="n">
        <v>2</v>
      </c>
      <c r="E6" s="67">
        <f>IF(B6&gt;0,G6/B6,0)</f>
        <v/>
      </c>
      <c r="F6" s="67">
        <f>IF(B6&gt;0,H6/B6,0)</f>
        <v/>
      </c>
      <c r="G6" s="67">
        <f>I6*0.5</f>
        <v/>
      </c>
      <c r="H6" s="67">
        <f>I6*0.50</f>
        <v/>
      </c>
      <c r="I6" s="67">
        <f>CUSTOS_MACROGRUPO!$G$8*0.33*0.12</f>
        <v/>
      </c>
    </row>
    <row r="7">
      <c r="A7" s="70" t="inlineStr">
        <is>
          <t>Tubulação água quente PPR (ø20 a ø32)</t>
        </is>
      </c>
      <c r="B7" s="71">
        <f>0.8*DADOS_PROJETO!$B$6</f>
        <v/>
      </c>
      <c r="C7" s="72" t="inlineStr">
        <is>
          <t>m</t>
        </is>
      </c>
      <c r="D7" s="73" t="n">
        <v>0.8</v>
      </c>
      <c r="E7" s="71">
        <f>IF(B7&gt;0,G7/B7,0)</f>
        <v/>
      </c>
      <c r="F7" s="71">
        <f>IF(B7&gt;0,H7/B7,0)</f>
        <v/>
      </c>
      <c r="G7" s="71">
        <f>I7*0.55</f>
        <v/>
      </c>
      <c r="H7" s="71">
        <f>I7*0.45</f>
        <v/>
      </c>
      <c r="I7" s="71">
        <f>CUSTOS_MACROGRUPO!$G$8*0.33*0.08</f>
        <v/>
      </c>
    </row>
    <row r="8">
      <c r="A8" s="66" t="inlineStr">
        <is>
          <t>Tubulação esgoto PVC (ø40 a ø150)</t>
        </is>
      </c>
      <c r="B8" s="67">
        <f>1.5*DADOS_PROJETO!$B$6</f>
        <v/>
      </c>
      <c r="C8" s="68" t="inlineStr">
        <is>
          <t>m</t>
        </is>
      </c>
      <c r="D8" s="74" t="n">
        <v>1.5</v>
      </c>
      <c r="E8" s="67">
        <f>IF(B8&gt;0,G8/B8,0)</f>
        <v/>
      </c>
      <c r="F8" s="67">
        <f>IF(B8&gt;0,H8/B8,0)</f>
        <v/>
      </c>
      <c r="G8" s="67">
        <f>I8*0.5</f>
        <v/>
      </c>
      <c r="H8" s="67">
        <f>I8*0.50</f>
        <v/>
      </c>
      <c r="I8" s="67">
        <f>CUSTOS_MACROGRUPO!$G$8*0.33*0.1</f>
        <v/>
      </c>
    </row>
    <row r="9">
      <c r="A9" s="70" t="inlineStr">
        <is>
          <t>Tubulação águas pluviais PVC (ø75 a ø150)</t>
        </is>
      </c>
      <c r="B9" s="71">
        <f>0.5*DADOS_PROJETO!$B$6</f>
        <v/>
      </c>
      <c r="C9" s="72" t="inlineStr">
        <is>
          <t>m</t>
        </is>
      </c>
      <c r="D9" s="73" t="n">
        <v>0.5</v>
      </c>
      <c r="E9" s="71">
        <f>IF(B9&gt;0,G9/B9,0)</f>
        <v/>
      </c>
      <c r="F9" s="71">
        <f>IF(B9&gt;0,H9/B9,0)</f>
        <v/>
      </c>
      <c r="G9" s="71">
        <f>I9*0.5</f>
        <v/>
      </c>
      <c r="H9" s="71">
        <f>I9*0.50</f>
        <v/>
      </c>
      <c r="I9" s="71">
        <f>CUSTOS_MACROGRUPO!$G$8*0.33*0.05</f>
        <v/>
      </c>
    </row>
    <row r="10">
      <c r="A10" s="66" t="inlineStr">
        <is>
          <t>Registros e válvulas (gaveta, pressão, esfera)</t>
        </is>
      </c>
      <c r="B10" s="67">
        <f>280</f>
        <v/>
      </c>
      <c r="C10" s="68" t="inlineStr">
        <is>
          <t>un</t>
        </is>
      </c>
      <c r="D10" s="74" t="n">
        <v>280</v>
      </c>
      <c r="E10" s="67">
        <f>IF(B10&gt;0,G10/B10,0)</f>
        <v/>
      </c>
      <c r="F10" s="67">
        <f>IF(B10&gt;0,H10/B10,0)</f>
        <v/>
      </c>
      <c r="G10" s="67">
        <f>I10*0.65</f>
        <v/>
      </c>
      <c r="H10" s="67">
        <f>I10*0.35</f>
        <v/>
      </c>
      <c r="I10" s="67">
        <f>CUSTOS_MACROGRUPO!$G$8*0.33*0.06</f>
        <v/>
      </c>
    </row>
    <row r="11">
      <c r="A11" s="70" t="inlineStr">
        <is>
          <t>Caixas sifonadas e ralos</t>
        </is>
      </c>
      <c r="B11" s="71">
        <f>240</f>
        <v/>
      </c>
      <c r="C11" s="72" t="inlineStr">
        <is>
          <t>un</t>
        </is>
      </c>
      <c r="D11" s="73" t="n">
        <v>240</v>
      </c>
      <c r="E11" s="71">
        <f>IF(B11&gt;0,G11/B11,0)</f>
        <v/>
      </c>
      <c r="F11" s="71">
        <f>IF(B11&gt;0,H11/B11,0)</f>
        <v/>
      </c>
      <c r="G11" s="71">
        <f>I11*0.6</f>
        <v/>
      </c>
      <c r="H11" s="71">
        <f>I11*0.40</f>
        <v/>
      </c>
      <c r="I11" s="71">
        <f>CUSTOS_MACROGRUPO!$G$8*0.33*0.04</f>
        <v/>
      </c>
    </row>
    <row r="12">
      <c r="A12" s="66" t="inlineStr">
        <is>
          <t>Caixas de inspeção / gordura</t>
        </is>
      </c>
      <c r="B12" s="67">
        <f>30</f>
        <v/>
      </c>
      <c r="C12" s="68" t="inlineStr">
        <is>
          <t>un</t>
        </is>
      </c>
      <c r="D12" s="74" t="n">
        <v>30</v>
      </c>
      <c r="E12" s="67">
        <f>IF(B12&gt;0,G12/B12,0)</f>
        <v/>
      </c>
      <c r="F12" s="67">
        <f>IF(B12&gt;0,H12/B12,0)</f>
        <v/>
      </c>
      <c r="G12" s="67">
        <f>I12*0.55</f>
        <v/>
      </c>
      <c r="H12" s="67">
        <f>I12*0.45</f>
        <v/>
      </c>
      <c r="I12" s="67">
        <f>CUSTOS_MACROGRUPO!$G$8*0.33*0.03</f>
        <v/>
      </c>
    </row>
    <row r="13">
      <c r="A13" s="70" t="inlineStr">
        <is>
          <t>Reservatório superior (fibra/concreto)</t>
        </is>
      </c>
      <c r="B13" s="71">
        <f>2</f>
        <v/>
      </c>
      <c r="C13" s="72" t="inlineStr">
        <is>
          <t>un</t>
        </is>
      </c>
      <c r="D13" s="73" t="n">
        <v>2</v>
      </c>
      <c r="E13" s="71">
        <f>IF(B13&gt;0,G13/B13,0)</f>
        <v/>
      </c>
      <c r="F13" s="71">
        <f>IF(B13&gt;0,H13/B13,0)</f>
        <v/>
      </c>
      <c r="G13" s="71">
        <f>I13*0.7</f>
        <v/>
      </c>
      <c r="H13" s="71">
        <f>I13*0.30</f>
        <v/>
      </c>
      <c r="I13" s="71">
        <f>CUSTOS_MACROGRUPO!$G$8*0.33*0.06</f>
        <v/>
      </c>
    </row>
    <row r="14">
      <c r="A14" s="66" t="inlineStr">
        <is>
          <t>Reservatório inferior</t>
        </is>
      </c>
      <c r="B14" s="67">
        <f>1</f>
        <v/>
      </c>
      <c r="C14" s="68" t="inlineStr">
        <is>
          <t>un</t>
        </is>
      </c>
      <c r="D14" s="74" t="n">
        <v>1</v>
      </c>
      <c r="E14" s="67">
        <f>IF(B14&gt;0,G14/B14,0)</f>
        <v/>
      </c>
      <c r="F14" s="67">
        <f>IF(B14&gt;0,H14/B14,0)</f>
        <v/>
      </c>
      <c r="G14" s="67">
        <f>I14*0.7</f>
        <v/>
      </c>
      <c r="H14" s="67">
        <f>I14*0.30</f>
        <v/>
      </c>
      <c r="I14" s="67">
        <f>CUSTOS_MACROGRUPO!$G$8*0.33*0.05</f>
        <v/>
      </c>
    </row>
    <row r="15">
      <c r="A15" s="70" t="inlineStr">
        <is>
          <t>Bombas de recalque (conjunto)</t>
        </is>
      </c>
      <c r="B15" s="71">
        <f>2</f>
        <v/>
      </c>
      <c r="C15" s="72" t="inlineStr">
        <is>
          <t>cj</t>
        </is>
      </c>
      <c r="D15" s="73" t="n">
        <v>2</v>
      </c>
      <c r="E15" s="71">
        <f>IF(B15&gt;0,G15/B15,0)</f>
        <v/>
      </c>
      <c r="F15" s="71">
        <f>IF(B15&gt;0,H15/B15,0)</f>
        <v/>
      </c>
      <c r="G15" s="71">
        <f>I15*0.75</f>
        <v/>
      </c>
      <c r="H15" s="71">
        <f>I15*0.25</f>
        <v/>
      </c>
      <c r="I15" s="71">
        <f>CUSTOS_MACROGRUPO!$G$8*0.33*0.06</f>
        <v/>
      </c>
    </row>
    <row r="16">
      <c r="A16" s="66" t="inlineStr">
        <is>
          <t>Medição individualizada (hidrômetros)</t>
        </is>
      </c>
      <c r="B16" s="67">
        <f>43</f>
        <v/>
      </c>
      <c r="C16" s="68" t="inlineStr">
        <is>
          <t>un</t>
        </is>
      </c>
      <c r="D16" s="74" t="n">
        <v>43</v>
      </c>
      <c r="E16" s="67">
        <f>IF(B16&gt;0,G16/B16,0)</f>
        <v/>
      </c>
      <c r="F16" s="67">
        <f>IF(B16&gt;0,H16/B16,0)</f>
        <v/>
      </c>
      <c r="G16" s="67">
        <f>I16*0.7</f>
        <v/>
      </c>
      <c r="H16" s="67">
        <f>I16*0.30</f>
        <v/>
      </c>
      <c r="I16" s="67">
        <f>CUSTOS_MACROGRUPO!$G$8*0.33*0.08</f>
        <v/>
      </c>
    </row>
    <row r="17">
      <c r="A17" s="70" t="inlineStr">
        <is>
          <t>Aquecedores de passagem (infraestrutura)</t>
        </is>
      </c>
      <c r="B17" s="71">
        <f>43</f>
        <v/>
      </c>
      <c r="C17" s="72" t="inlineStr">
        <is>
          <t>un</t>
        </is>
      </c>
      <c r="D17" s="73" t="n">
        <v>43</v>
      </c>
      <c r="E17" s="71">
        <f>IF(B17&gt;0,G17/B17,0)</f>
        <v/>
      </c>
      <c r="F17" s="71">
        <f>IF(B17&gt;0,H17/B17,0)</f>
        <v/>
      </c>
      <c r="G17" s="71">
        <f>I17*0.6</f>
        <v/>
      </c>
      <c r="H17" s="71">
        <f>I17*0.40</f>
        <v/>
      </c>
      <c r="I17" s="71">
        <f>CUSTOS_MACROGRUPO!$G$8*0.33*0.05</f>
        <v/>
      </c>
    </row>
    <row r="18">
      <c r="A18" s="66" t="inlineStr">
        <is>
          <t>Conexões, abraçadeiras e suportes</t>
        </is>
      </c>
      <c r="B18" s="67" t="n">
        <v>1</v>
      </c>
      <c r="C18" s="68" t="inlineStr">
        <is>
          <t>vb</t>
        </is>
      </c>
      <c r="D18" s="69" t="inlineStr">
        <is>
          <t>—</t>
        </is>
      </c>
      <c r="E18" s="67">
        <f>IF(B18&gt;0,G18/B18,0)</f>
        <v/>
      </c>
      <c r="F18" s="67">
        <f>IF(B18&gt;0,H18/B18,0)</f>
        <v/>
      </c>
      <c r="G18" s="67">
        <f>I18*0.75</f>
        <v/>
      </c>
      <c r="H18" s="67">
        <f>I18*0.25</f>
        <v/>
      </c>
      <c r="I18" s="67">
        <f>CUSTOS_MACROGRUPO!$G$8*0.33*0.08</f>
        <v/>
      </c>
    </row>
    <row r="19">
      <c r="A19" s="70" t="inlineStr">
        <is>
          <t>Louças sanitárias — Bacias c/ caixa acoplada</t>
        </is>
      </c>
      <c r="B19" s="71">
        <f>86</f>
        <v/>
      </c>
      <c r="C19" s="72" t="inlineStr">
        <is>
          <t>un</t>
        </is>
      </c>
      <c r="D19" s="73" t="n">
        <v>86</v>
      </c>
      <c r="E19" s="71">
        <f>IF(B19&gt;0,G19/B19,0)</f>
        <v/>
      </c>
      <c r="F19" s="71">
        <f>IF(B19&gt;0,H19/B19,0)</f>
        <v/>
      </c>
      <c r="G19" s="71">
        <f>I19*0.85</f>
        <v/>
      </c>
      <c r="H19" s="71">
        <f>I19*0.15</f>
        <v/>
      </c>
      <c r="I19" s="71">
        <f>CUSTOS_MACROGRUPO!$G$8*0.33*0.06</f>
        <v/>
      </c>
    </row>
    <row r="20">
      <c r="A20" s="66" t="inlineStr">
        <is>
          <t>Louças — Lavatórios e cubas</t>
        </is>
      </c>
      <c r="B20" s="67">
        <f>86</f>
        <v/>
      </c>
      <c r="C20" s="68" t="inlineStr">
        <is>
          <t>un</t>
        </is>
      </c>
      <c r="D20" s="74" t="n">
        <v>86</v>
      </c>
      <c r="E20" s="67">
        <f>IF(B20&gt;0,G20/B20,0)</f>
        <v/>
      </c>
      <c r="F20" s="67">
        <f>IF(B20&gt;0,H20/B20,0)</f>
        <v/>
      </c>
      <c r="G20" s="67">
        <f>I20*0.85</f>
        <v/>
      </c>
      <c r="H20" s="67">
        <f>I20*0.15</f>
        <v/>
      </c>
      <c r="I20" s="67">
        <f>CUSTOS_MACROGRUPO!$G$8*0.33*0.04</f>
        <v/>
      </c>
    </row>
    <row r="21">
      <c r="A21" s="70" t="inlineStr">
        <is>
          <t>Metais — Torneiras e misturadores</t>
        </is>
      </c>
      <c r="B21" s="71">
        <f>172</f>
        <v/>
      </c>
      <c r="C21" s="72" t="inlineStr">
        <is>
          <t>un</t>
        </is>
      </c>
      <c r="D21" s="73" t="n">
        <v>172</v>
      </c>
      <c r="E21" s="71">
        <f>IF(B21&gt;0,G21/B21,0)</f>
        <v/>
      </c>
      <c r="F21" s="71">
        <f>IF(B21&gt;0,H21/B21,0)</f>
        <v/>
      </c>
      <c r="G21" s="71">
        <f>I21*0.9</f>
        <v/>
      </c>
      <c r="H21" s="71">
        <f>I21*0.10</f>
        <v/>
      </c>
      <c r="I21" s="71">
        <f>CUSTOS_MACROGRUPO!$G$8*0.33*0.04</f>
        <v/>
      </c>
    </row>
    <row r="22">
      <c r="A22" s="75" t="inlineStr">
        <is>
          <t>Subtotal 1. INSTALAÇÕES HIDRÁULICAS</t>
        </is>
      </c>
      <c r="B22" s="76" t="n"/>
      <c r="C22" s="76" t="n"/>
      <c r="D22" s="76" t="n"/>
      <c r="E22" s="76" t="n"/>
      <c r="F22" s="76" t="n"/>
      <c r="G22" s="77">
        <f>SUM(G6:G21)</f>
        <v/>
      </c>
      <c r="H22" s="77">
        <f>SUM(H6:H21)</f>
        <v/>
      </c>
      <c r="I22" s="77">
        <f>SUM(I6:I21)</f>
        <v/>
      </c>
    </row>
    <row r="24">
      <c r="A24" s="65" t="inlineStr">
        <is>
          <t>2. INSTALAÇÕES ELÉTRICAS</t>
        </is>
      </c>
      <c r="B24" s="60" t="n"/>
      <c r="C24" s="60" t="n"/>
      <c r="D24" s="60" t="n"/>
      <c r="E24" s="60" t="n"/>
      <c r="F24" s="60" t="n"/>
      <c r="G24" s="60" t="n"/>
      <c r="H24" s="60" t="n"/>
      <c r="I24" s="61" t="n"/>
    </row>
    <row r="25">
      <c r="A25" s="66" t="inlineStr">
        <is>
          <t>Quadros de distribuição (QDC apartamentos)</t>
        </is>
      </c>
      <c r="B25" s="67">
        <f>43</f>
        <v/>
      </c>
      <c r="C25" s="68" t="inlineStr">
        <is>
          <t>un</t>
        </is>
      </c>
      <c r="D25" s="74" t="n">
        <v>43</v>
      </c>
      <c r="E25" s="67">
        <f>IF(B25&gt;0,G25/B25,0)</f>
        <v/>
      </c>
      <c r="F25" s="67">
        <f>IF(B25&gt;0,H25/B25,0)</f>
        <v/>
      </c>
      <c r="G25" s="67">
        <f>I25*0.65</f>
        <v/>
      </c>
      <c r="H25" s="67">
        <f>I25*0.35</f>
        <v/>
      </c>
      <c r="I25" s="67">
        <f>CUSTOS_MACROGRUPO!$G$8*0.3*0.06</f>
        <v/>
      </c>
    </row>
    <row r="26">
      <c r="A26" s="70" t="inlineStr">
        <is>
          <t>Quadro geral de baixa tensão (QGBT)</t>
        </is>
      </c>
      <c r="B26" s="71">
        <f>1</f>
        <v/>
      </c>
      <c r="C26" s="72" t="inlineStr">
        <is>
          <t>un</t>
        </is>
      </c>
      <c r="D26" s="73" t="n">
        <v>1</v>
      </c>
      <c r="E26" s="71">
        <f>IF(B26&gt;0,G26/B26,0)</f>
        <v/>
      </c>
      <c r="F26" s="71">
        <f>IF(B26&gt;0,H26/B26,0)</f>
        <v/>
      </c>
      <c r="G26" s="71">
        <f>I26*0.7</f>
        <v/>
      </c>
      <c r="H26" s="71">
        <f>I26*0.30</f>
        <v/>
      </c>
      <c r="I26" s="71">
        <f>CUSTOS_MACROGRUPO!$G$8*0.3*0.04</f>
        <v/>
      </c>
    </row>
    <row r="27">
      <c r="A27" s="66" t="inlineStr">
        <is>
          <t>Fiação e cabos (ø1.5 a ø16mm²)</t>
        </is>
      </c>
      <c r="B27" s="67">
        <f>12.0*DADOS_PROJETO!$B$6</f>
        <v/>
      </c>
      <c r="C27" s="68" t="inlineStr">
        <is>
          <t>m</t>
        </is>
      </c>
      <c r="D27" s="74" t="n">
        <v>12</v>
      </c>
      <c r="E27" s="67">
        <f>IF(B27&gt;0,G27/B27,0)</f>
        <v/>
      </c>
      <c r="F27" s="67">
        <f>IF(B27&gt;0,H27/B27,0)</f>
        <v/>
      </c>
      <c r="G27" s="67">
        <f>I27*0.55</f>
        <v/>
      </c>
      <c r="H27" s="67">
        <f>I27*0.45</f>
        <v/>
      </c>
      <c r="I27" s="67">
        <f>CUSTOS_MACROGRUPO!$G$8*0.3*0.14</f>
        <v/>
      </c>
    </row>
    <row r="28">
      <c r="A28" s="70" t="inlineStr">
        <is>
          <t>Eletrodutos corrugados + rígidos</t>
        </is>
      </c>
      <c r="B28" s="71">
        <f>8.0*DADOS_PROJETO!$B$6</f>
        <v/>
      </c>
      <c r="C28" s="72" t="inlineStr">
        <is>
          <t>m</t>
        </is>
      </c>
      <c r="D28" s="73" t="n">
        <v>8</v>
      </c>
      <c r="E28" s="71">
        <f>IF(B28&gt;0,G28/B28,0)</f>
        <v/>
      </c>
      <c r="F28" s="71">
        <f>IF(B28&gt;0,H28/B28,0)</f>
        <v/>
      </c>
      <c r="G28" s="71">
        <f>I28*0.5</f>
        <v/>
      </c>
      <c r="H28" s="71">
        <f>I28*0.50</f>
        <v/>
      </c>
      <c r="I28" s="71">
        <f>CUSTOS_MACROGRUPO!$G$8*0.3*0.1</f>
        <v/>
      </c>
    </row>
    <row r="29">
      <c r="A29" s="66" t="inlineStr">
        <is>
          <t>Tomadas 2P+T (10A e 20A)</t>
        </is>
      </c>
      <c r="B29" s="67">
        <f>800</f>
        <v/>
      </c>
      <c r="C29" s="68" t="inlineStr">
        <is>
          <t>un</t>
        </is>
      </c>
      <c r="D29" s="74" t="n">
        <v>800</v>
      </c>
      <c r="E29" s="67">
        <f>IF(B29&gt;0,G29/B29,0)</f>
        <v/>
      </c>
      <c r="F29" s="67">
        <f>IF(B29&gt;0,H29/B29,0)</f>
        <v/>
      </c>
      <c r="G29" s="67">
        <f>I29*0.6</f>
        <v/>
      </c>
      <c r="H29" s="67">
        <f>I29*0.40</f>
        <v/>
      </c>
      <c r="I29" s="67">
        <f>CUSTOS_MACROGRUPO!$G$8*0.3*0.08</f>
        <v/>
      </c>
    </row>
    <row r="30">
      <c r="A30" s="70" t="inlineStr">
        <is>
          <t>Interruptores (simples, paralelo, intermediário)</t>
        </is>
      </c>
      <c r="B30" s="71">
        <f>400</f>
        <v/>
      </c>
      <c r="C30" s="72" t="inlineStr">
        <is>
          <t>un</t>
        </is>
      </c>
      <c r="D30" s="73" t="n">
        <v>400</v>
      </c>
      <c r="E30" s="71">
        <f>IF(B30&gt;0,G30/B30,0)</f>
        <v/>
      </c>
      <c r="F30" s="71">
        <f>IF(B30&gt;0,H30/B30,0)</f>
        <v/>
      </c>
      <c r="G30" s="71">
        <f>I30*0.6</f>
        <v/>
      </c>
      <c r="H30" s="71">
        <f>I30*0.40</f>
        <v/>
      </c>
      <c r="I30" s="71">
        <f>CUSTOS_MACROGRUPO!$G$8*0.3*0.05</f>
        <v/>
      </c>
    </row>
    <row r="31">
      <c r="A31" s="66" t="inlineStr">
        <is>
          <t>Luminárias áreas comuns (LED)</t>
        </is>
      </c>
      <c r="B31" s="67">
        <f>180</f>
        <v/>
      </c>
      <c r="C31" s="68" t="inlineStr">
        <is>
          <t>un</t>
        </is>
      </c>
      <c r="D31" s="74" t="n">
        <v>180</v>
      </c>
      <c r="E31" s="67">
        <f>IF(B31&gt;0,G31/B31,0)</f>
        <v/>
      </c>
      <c r="F31" s="67">
        <f>IF(B31&gt;0,H31/B31,0)</f>
        <v/>
      </c>
      <c r="G31" s="67">
        <f>I31*0.75</f>
        <v/>
      </c>
      <c r="H31" s="67">
        <f>I31*0.25</f>
        <v/>
      </c>
      <c r="I31" s="67">
        <f>CUSTOS_MACROGRUPO!$G$8*0.3*0.06</f>
        <v/>
      </c>
    </row>
    <row r="32">
      <c r="A32" s="70" t="inlineStr">
        <is>
          <t>Subestação / entrada de energia</t>
        </is>
      </c>
      <c r="B32" s="71" t="n">
        <v>1</v>
      </c>
      <c r="C32" s="72" t="inlineStr">
        <is>
          <t>vb</t>
        </is>
      </c>
      <c r="D32" s="78" t="inlineStr">
        <is>
          <t>—</t>
        </is>
      </c>
      <c r="E32" s="71">
        <f>IF(B32&gt;0,G32/B32,0)</f>
        <v/>
      </c>
      <c r="F32" s="71">
        <f>IF(B32&gt;0,H32/B32,0)</f>
        <v/>
      </c>
      <c r="G32" s="71">
        <f>I32*0.7</f>
        <v/>
      </c>
      <c r="H32" s="71">
        <f>I32*0.30</f>
        <v/>
      </c>
      <c r="I32" s="71">
        <f>CUSTOS_MACROGRUPO!$G$8*0.3*0.08</f>
        <v/>
      </c>
    </row>
    <row r="33">
      <c r="A33" s="66" t="inlineStr">
        <is>
          <t>SPDA (para-raios)</t>
        </is>
      </c>
      <c r="B33" s="67" t="n">
        <v>1</v>
      </c>
      <c r="C33" s="68" t="inlineStr">
        <is>
          <t>vb</t>
        </is>
      </c>
      <c r="D33" s="69" t="inlineStr">
        <is>
          <t>—</t>
        </is>
      </c>
      <c r="E33" s="67">
        <f>IF(B33&gt;0,G33/B33,0)</f>
        <v/>
      </c>
      <c r="F33" s="67">
        <f>IF(B33&gt;0,H33/B33,0)</f>
        <v/>
      </c>
      <c r="G33" s="67">
        <f>I33*0.55</f>
        <v/>
      </c>
      <c r="H33" s="67">
        <f>I33*0.45</f>
        <v/>
      </c>
      <c r="I33" s="67">
        <f>CUSTOS_MACROGRUPO!$G$8*0.3*0.05</f>
        <v/>
      </c>
    </row>
    <row r="34">
      <c r="A34" s="70" t="inlineStr">
        <is>
          <t>Medição individualizada (energia)</t>
        </is>
      </c>
      <c r="B34" s="71">
        <f>43</f>
        <v/>
      </c>
      <c r="C34" s="72" t="inlineStr">
        <is>
          <t>un</t>
        </is>
      </c>
      <c r="D34" s="73" t="n">
        <v>43</v>
      </c>
      <c r="E34" s="71">
        <f>IF(B34&gt;0,G34/B34,0)</f>
        <v/>
      </c>
      <c r="F34" s="71">
        <f>IF(B34&gt;0,H34/B34,0)</f>
        <v/>
      </c>
      <c r="G34" s="71">
        <f>I34*0.7</f>
        <v/>
      </c>
      <c r="H34" s="71">
        <f>I34*0.30</f>
        <v/>
      </c>
      <c r="I34" s="71">
        <f>CUSTOS_MACROGRUPO!$G$8*0.3*0.07</f>
        <v/>
      </c>
    </row>
    <row r="35">
      <c r="A35" s="66" t="inlineStr">
        <is>
          <t>Caixas de passagem e derivação</t>
        </is>
      </c>
      <c r="B35" s="67">
        <f>350</f>
        <v/>
      </c>
      <c r="C35" s="68" t="inlineStr">
        <is>
          <t>un</t>
        </is>
      </c>
      <c r="D35" s="74" t="n">
        <v>350</v>
      </c>
      <c r="E35" s="67">
        <f>IF(B35&gt;0,G35/B35,0)</f>
        <v/>
      </c>
      <c r="F35" s="67">
        <f>IF(B35&gt;0,H35/B35,0)</f>
        <v/>
      </c>
      <c r="G35" s="67">
        <f>I35*0.55</f>
        <v/>
      </c>
      <c r="H35" s="67">
        <f>I35*0.45</f>
        <v/>
      </c>
      <c r="I35" s="67">
        <f>CUSTOS_MACROGRUPO!$G$8*0.3*0.04</f>
        <v/>
      </c>
    </row>
    <row r="36">
      <c r="A36" s="70" t="inlineStr">
        <is>
          <t>Disjuntores e DRs</t>
        </is>
      </c>
      <c r="B36" s="71">
        <f>250</f>
        <v/>
      </c>
      <c r="C36" s="72" t="inlineStr">
        <is>
          <t>un</t>
        </is>
      </c>
      <c r="D36" s="73" t="n">
        <v>250</v>
      </c>
      <c r="E36" s="71">
        <f>IF(B36&gt;0,G36/B36,0)</f>
        <v/>
      </c>
      <c r="F36" s="71">
        <f>IF(B36&gt;0,H36/B36,0)</f>
        <v/>
      </c>
      <c r="G36" s="71">
        <f>I36*0.8</f>
        <v/>
      </c>
      <c r="H36" s="71">
        <f>I36*0.20</f>
        <v/>
      </c>
      <c r="I36" s="71">
        <f>CUSTOS_MACROGRUPO!$G$8*0.3*0.05</f>
        <v/>
      </c>
    </row>
    <row r="37">
      <c r="A37" s="66" t="inlineStr">
        <is>
          <t>Aterramento e equalização</t>
        </is>
      </c>
      <c r="B37" s="67" t="n">
        <v>1</v>
      </c>
      <c r="C37" s="68" t="inlineStr">
        <is>
          <t>vb</t>
        </is>
      </c>
      <c r="D37" s="69" t="inlineStr">
        <is>
          <t>—</t>
        </is>
      </c>
      <c r="E37" s="67">
        <f>IF(B37&gt;0,G37/B37,0)</f>
        <v/>
      </c>
      <c r="F37" s="67">
        <f>IF(B37&gt;0,H37/B37,0)</f>
        <v/>
      </c>
      <c r="G37" s="67">
        <f>I37*0.55</f>
        <v/>
      </c>
      <c r="H37" s="67">
        <f>I37*0.45</f>
        <v/>
      </c>
      <c r="I37" s="67">
        <f>CUSTOS_MACROGRUPO!$G$8*0.3*0.04</f>
        <v/>
      </c>
    </row>
    <row r="38">
      <c r="A38" s="70" t="inlineStr">
        <is>
          <t>Infraestrutura para ar-condicionado</t>
        </is>
      </c>
      <c r="B38" s="71">
        <f>86</f>
        <v/>
      </c>
      <c r="C38" s="72" t="inlineStr">
        <is>
          <t>pt</t>
        </is>
      </c>
      <c r="D38" s="73" t="n">
        <v>86</v>
      </c>
      <c r="E38" s="71">
        <f>IF(B38&gt;0,G38/B38,0)</f>
        <v/>
      </c>
      <c r="F38" s="71">
        <f>IF(B38&gt;0,H38/B38,0)</f>
        <v/>
      </c>
      <c r="G38" s="71">
        <f>I38*0.5</f>
        <v/>
      </c>
      <c r="H38" s="71">
        <f>I38*0.50</f>
        <v/>
      </c>
      <c r="I38" s="71">
        <f>CUSTOS_MACROGRUPO!$G$8*0.3*0.06</f>
        <v/>
      </c>
    </row>
    <row r="39">
      <c r="A39" s="66" t="inlineStr">
        <is>
          <t>Prumadas elétricas (shafts)</t>
        </is>
      </c>
      <c r="B39" s="67" t="n">
        <v>1</v>
      </c>
      <c r="C39" s="68" t="inlineStr">
        <is>
          <t>vb</t>
        </is>
      </c>
      <c r="D39" s="69" t="inlineStr">
        <is>
          <t>—</t>
        </is>
      </c>
      <c r="E39" s="67">
        <f>IF(B39&gt;0,G39/B39,0)</f>
        <v/>
      </c>
      <c r="F39" s="67">
        <f>IF(B39&gt;0,H39/B39,0)</f>
        <v/>
      </c>
      <c r="G39" s="67">
        <f>I39*0.45</f>
        <v/>
      </c>
      <c r="H39" s="67">
        <f>I39*0.55</f>
        <v/>
      </c>
      <c r="I39" s="67">
        <f>CUSTOS_MACROGRUPO!$G$8*0.3*0.04</f>
        <v/>
      </c>
    </row>
    <row r="40">
      <c r="A40" s="70" t="inlineStr">
        <is>
          <t>Iluminação de emergência</t>
        </is>
      </c>
      <c r="B40" s="71">
        <f>60</f>
        <v/>
      </c>
      <c r="C40" s="72" t="inlineStr">
        <is>
          <t>un</t>
        </is>
      </c>
      <c r="D40" s="73" t="n">
        <v>60</v>
      </c>
      <c r="E40" s="71">
        <f>IF(B40&gt;0,G40/B40,0)</f>
        <v/>
      </c>
      <c r="F40" s="71">
        <f>IF(B40&gt;0,H40/B40,0)</f>
        <v/>
      </c>
      <c r="G40" s="71">
        <f>I40*0.7</f>
        <v/>
      </c>
      <c r="H40" s="71">
        <f>I40*0.30</f>
        <v/>
      </c>
      <c r="I40" s="71">
        <f>CUSTOS_MACROGRUPO!$G$8*0.3*0.04</f>
        <v/>
      </c>
    </row>
    <row r="41">
      <c r="A41" s="75" t="inlineStr">
        <is>
          <t>Subtotal 2. INSTALAÇÕES ELÉTRICAS</t>
        </is>
      </c>
      <c r="B41" s="76" t="n"/>
      <c r="C41" s="76" t="n"/>
      <c r="D41" s="76" t="n"/>
      <c r="E41" s="76" t="n"/>
      <c r="F41" s="76" t="n"/>
      <c r="G41" s="77">
        <f>SUM(G25:G40)</f>
        <v/>
      </c>
      <c r="H41" s="77">
        <f>SUM(H25:H40)</f>
        <v/>
      </c>
      <c r="I41" s="77">
        <f>SUM(I25:I40)</f>
        <v/>
      </c>
    </row>
    <row r="43">
      <c r="A43" s="65" t="inlineStr">
        <is>
          <t>3. PREVENÇÃO CONTRA INCÊNDIO</t>
        </is>
      </c>
      <c r="B43" s="60" t="n"/>
      <c r="C43" s="60" t="n"/>
      <c r="D43" s="60" t="n"/>
      <c r="E43" s="60" t="n"/>
      <c r="F43" s="60" t="n"/>
      <c r="G43" s="60" t="n"/>
      <c r="H43" s="60" t="n"/>
      <c r="I43" s="61" t="n"/>
    </row>
    <row r="44">
      <c r="A44" s="66" t="inlineStr">
        <is>
          <t>Hidrantes completos (mangueira + abrigo)</t>
        </is>
      </c>
      <c r="B44" s="67">
        <f>26</f>
        <v/>
      </c>
      <c r="C44" s="68" t="inlineStr">
        <is>
          <t>un</t>
        </is>
      </c>
      <c r="D44" s="74" t="n">
        <v>26</v>
      </c>
      <c r="E44" s="67">
        <f>IF(B44&gt;0,G44/B44,0)</f>
        <v/>
      </c>
      <c r="F44" s="67">
        <f>IF(B44&gt;0,H44/B44,0)</f>
        <v/>
      </c>
      <c r="G44" s="67">
        <f>I44*0.65</f>
        <v/>
      </c>
      <c r="H44" s="67">
        <f>I44*0.35</f>
        <v/>
      </c>
      <c r="I44" s="67">
        <f>CUSTOS_MACROGRUPO!$G$8*0.16*0.18</f>
        <v/>
      </c>
    </row>
    <row r="45">
      <c r="A45" s="70" t="inlineStr">
        <is>
          <t>Extintores (ABC 6kg + CO2)</t>
        </is>
      </c>
      <c r="B45" s="71">
        <f>52</f>
        <v/>
      </c>
      <c r="C45" s="72" t="inlineStr">
        <is>
          <t>un</t>
        </is>
      </c>
      <c r="D45" s="73" t="n">
        <v>52</v>
      </c>
      <c r="E45" s="71">
        <f>IF(B45&gt;0,G45/B45,0)</f>
        <v/>
      </c>
      <c r="F45" s="71">
        <f>IF(B45&gt;0,H45/B45,0)</f>
        <v/>
      </c>
      <c r="G45" s="71">
        <f>I45*0.85</f>
        <v/>
      </c>
      <c r="H45" s="71">
        <f>I45*0.15</f>
        <v/>
      </c>
      <c r="I45" s="71">
        <f>CUSTOS_MACROGRUPO!$G$8*0.16*0.06</f>
        <v/>
      </c>
    </row>
    <row r="46">
      <c r="A46" s="66" t="inlineStr">
        <is>
          <t>Sprinklers (se aplicável)</t>
        </is>
      </c>
      <c r="B46" s="67">
        <f>0</f>
        <v/>
      </c>
      <c r="C46" s="68" t="inlineStr">
        <is>
          <t>un</t>
        </is>
      </c>
      <c r="D46" s="74" t="n">
        <v>0</v>
      </c>
      <c r="E46" s="67">
        <f>IF(B46&gt;0,G46/B46,0)</f>
        <v/>
      </c>
      <c r="F46" s="67">
        <f>IF(B46&gt;0,H46/B46,0)</f>
        <v/>
      </c>
      <c r="G46" s="67">
        <f>I46*0.7</f>
        <v/>
      </c>
      <c r="H46" s="67">
        <f>I46*0.30</f>
        <v/>
      </c>
      <c r="I46" s="67">
        <f>CUSTOS_MACROGRUPO!$G$8*0.16*0.0</f>
        <v/>
      </c>
    </row>
    <row r="47">
      <c r="A47" s="70" t="inlineStr">
        <is>
          <t>Central de alarme de incêndio</t>
        </is>
      </c>
      <c r="B47" s="71">
        <f>1</f>
        <v/>
      </c>
      <c r="C47" s="72" t="inlineStr">
        <is>
          <t>un</t>
        </is>
      </c>
      <c r="D47" s="73" t="n">
        <v>1</v>
      </c>
      <c r="E47" s="71">
        <f>IF(B47&gt;0,G47/B47,0)</f>
        <v/>
      </c>
      <c r="F47" s="71">
        <f>IF(B47&gt;0,H47/B47,0)</f>
        <v/>
      </c>
      <c r="G47" s="71">
        <f>I47*0.75</f>
        <v/>
      </c>
      <c r="H47" s="71">
        <f>I47*0.25</f>
        <v/>
      </c>
      <c r="I47" s="71">
        <f>CUSTOS_MACROGRUPO!$G$8*0.16*0.1</f>
        <v/>
      </c>
    </row>
    <row r="48">
      <c r="A48" s="66" t="inlineStr">
        <is>
          <t>Detectores de fumaça</t>
        </is>
      </c>
      <c r="B48" s="67">
        <f>120</f>
        <v/>
      </c>
      <c r="C48" s="68" t="inlineStr">
        <is>
          <t>un</t>
        </is>
      </c>
      <c r="D48" s="74" t="n">
        <v>120</v>
      </c>
      <c r="E48" s="67">
        <f>IF(B48&gt;0,G48/B48,0)</f>
        <v/>
      </c>
      <c r="F48" s="67">
        <f>IF(B48&gt;0,H48/B48,0)</f>
        <v/>
      </c>
      <c r="G48" s="67">
        <f>I48*0.7</f>
        <v/>
      </c>
      <c r="H48" s="67">
        <f>I48*0.30</f>
        <v/>
      </c>
      <c r="I48" s="67">
        <f>CUSTOS_MACROGRUPO!$G$8*0.16*0.1</f>
        <v/>
      </c>
    </row>
    <row r="49">
      <c r="A49" s="70" t="inlineStr">
        <is>
          <t>Acionadores manuais</t>
        </is>
      </c>
      <c r="B49" s="71">
        <f>26</f>
        <v/>
      </c>
      <c r="C49" s="72" t="inlineStr">
        <is>
          <t>un</t>
        </is>
      </c>
      <c r="D49" s="73" t="n">
        <v>26</v>
      </c>
      <c r="E49" s="71">
        <f>IF(B49&gt;0,G49/B49,0)</f>
        <v/>
      </c>
      <c r="F49" s="71">
        <f>IF(B49&gt;0,H49/B49,0)</f>
        <v/>
      </c>
      <c r="G49" s="71">
        <f>I49*0.65</f>
        <v/>
      </c>
      <c r="H49" s="71">
        <f>I49*0.35</f>
        <v/>
      </c>
      <c r="I49" s="71">
        <f>CUSTOS_MACROGRUPO!$G$8*0.16*0.05</f>
        <v/>
      </c>
    </row>
    <row r="50">
      <c r="A50" s="66" t="inlineStr">
        <is>
          <t>Sinalização de emergência (placas fotoluminescentes)</t>
        </is>
      </c>
      <c r="B50" s="67">
        <f>150</f>
        <v/>
      </c>
      <c r="C50" s="68" t="inlineStr">
        <is>
          <t>un</t>
        </is>
      </c>
      <c r="D50" s="74" t="n">
        <v>150</v>
      </c>
      <c r="E50" s="67">
        <f>IF(B50&gt;0,G50/B50,0)</f>
        <v/>
      </c>
      <c r="F50" s="67">
        <f>IF(B50&gt;0,H50/B50,0)</f>
        <v/>
      </c>
      <c r="G50" s="67">
        <f>I50*0.8</f>
        <v/>
      </c>
      <c r="H50" s="67">
        <f>I50*0.20</f>
        <v/>
      </c>
      <c r="I50" s="67">
        <f>CUSTOS_MACROGRUPO!$G$8*0.16*0.08</f>
        <v/>
      </c>
    </row>
    <row r="51">
      <c r="A51" s="70" t="inlineStr">
        <is>
          <t>Portas corta-fogo (P-90)</t>
        </is>
      </c>
      <c r="B51" s="71">
        <f>52</f>
        <v/>
      </c>
      <c r="C51" s="72" t="inlineStr">
        <is>
          <t>un</t>
        </is>
      </c>
      <c r="D51" s="73" t="n">
        <v>52</v>
      </c>
      <c r="E51" s="71">
        <f>IF(B51&gt;0,G51/B51,0)</f>
        <v/>
      </c>
      <c r="F51" s="71">
        <f>IF(B51&gt;0,H51/B51,0)</f>
        <v/>
      </c>
      <c r="G51" s="71">
        <f>I51*0.75</f>
        <v/>
      </c>
      <c r="H51" s="71">
        <f>I51*0.25</f>
        <v/>
      </c>
      <c r="I51" s="71">
        <f>CUSTOS_MACROGRUPO!$G$8*0.16*0.15</f>
        <v/>
      </c>
    </row>
    <row r="52">
      <c r="A52" s="66" t="inlineStr">
        <is>
          <t>Tubulação incêndio (ferro galvanizado)</t>
        </is>
      </c>
      <c r="B52" s="67">
        <f>0.3*DADOS_PROJETO!$B$6</f>
        <v/>
      </c>
      <c r="C52" s="68" t="inlineStr">
        <is>
          <t>m</t>
        </is>
      </c>
      <c r="D52" s="74" t="n">
        <v>0.3</v>
      </c>
      <c r="E52" s="67">
        <f>IF(B52&gt;0,G52/B52,0)</f>
        <v/>
      </c>
      <c r="F52" s="67">
        <f>IF(B52&gt;0,H52/B52,0)</f>
        <v/>
      </c>
      <c r="G52" s="67">
        <f>I52*0.55</f>
        <v/>
      </c>
      <c r="H52" s="67">
        <f>I52*0.45</f>
        <v/>
      </c>
      <c r="I52" s="67">
        <f>CUSTOS_MACROGRUPO!$G$8*0.16*0.1</f>
        <v/>
      </c>
    </row>
    <row r="53">
      <c r="A53" s="70" t="inlineStr">
        <is>
          <t>Bomba de incêndio (pressurizadora)</t>
        </is>
      </c>
      <c r="B53" s="71">
        <f>1</f>
        <v/>
      </c>
      <c r="C53" s="72" t="inlineStr">
        <is>
          <t>cj</t>
        </is>
      </c>
      <c r="D53" s="73" t="n">
        <v>1</v>
      </c>
      <c r="E53" s="71">
        <f>IF(B53&gt;0,G53/B53,0)</f>
        <v/>
      </c>
      <c r="F53" s="71">
        <f>IF(B53&gt;0,H53/B53,0)</f>
        <v/>
      </c>
      <c r="G53" s="71">
        <f>I53*0.7</f>
        <v/>
      </c>
      <c r="H53" s="71">
        <f>I53*0.30</f>
        <v/>
      </c>
      <c r="I53" s="71">
        <f>CUSTOS_MACROGRUPO!$G$8*0.16*0.08</f>
        <v/>
      </c>
    </row>
    <row r="54">
      <c r="A54" s="66" t="inlineStr">
        <is>
          <t>Reserva técnica de incêndio (RTI)</t>
        </is>
      </c>
      <c r="B54" s="67">
        <f>15</f>
        <v/>
      </c>
      <c r="C54" s="68" t="inlineStr">
        <is>
          <t>m³</t>
        </is>
      </c>
      <c r="D54" s="74" t="n">
        <v>15</v>
      </c>
      <c r="E54" s="67">
        <f>IF(B54&gt;0,G54/B54,0)</f>
        <v/>
      </c>
      <c r="F54" s="67">
        <f>IF(B54&gt;0,H54/B54,0)</f>
        <v/>
      </c>
      <c r="G54" s="67">
        <f>I54*0.55</f>
        <v/>
      </c>
      <c r="H54" s="67">
        <f>I54*0.45</f>
        <v/>
      </c>
      <c r="I54" s="67">
        <f>CUSTOS_MACROGRUPO!$G$8*0.16*0.05</f>
        <v/>
      </c>
    </row>
    <row r="55">
      <c r="A55" s="70" t="inlineStr">
        <is>
          <t>Escada pressurizada (se aplicável)</t>
        </is>
      </c>
      <c r="B55" s="71" t="n">
        <v>1</v>
      </c>
      <c r="C55" s="72" t="inlineStr">
        <is>
          <t>vb</t>
        </is>
      </c>
      <c r="D55" s="78" t="inlineStr">
        <is>
          <t>—</t>
        </is>
      </c>
      <c r="E55" s="71">
        <f>IF(B55&gt;0,G55/B55,0)</f>
        <v/>
      </c>
      <c r="F55" s="71">
        <f>IF(B55&gt;0,H55/B55,0)</f>
        <v/>
      </c>
      <c r="G55" s="71">
        <f>I55*0.5</f>
        <v/>
      </c>
      <c r="H55" s="71">
        <f>I55*0.50</f>
        <v/>
      </c>
      <c r="I55" s="71">
        <f>CUSTOS_MACROGRUPO!$G$8*0.16*0.05</f>
        <v/>
      </c>
    </row>
    <row r="56">
      <c r="A56" s="75" t="inlineStr">
        <is>
          <t>Subtotal 3. PREVENÇÃO CONTRA INCÊNDIO</t>
        </is>
      </c>
      <c r="B56" s="76" t="n"/>
      <c r="C56" s="76" t="n"/>
      <c r="D56" s="76" t="n"/>
      <c r="E56" s="76" t="n"/>
      <c r="F56" s="76" t="n"/>
      <c r="G56" s="77">
        <f>SUM(G44:G55)</f>
        <v/>
      </c>
      <c r="H56" s="77">
        <f>SUM(H44:H55)</f>
        <v/>
      </c>
      <c r="I56" s="77">
        <f>SUM(I44:I55)</f>
        <v/>
      </c>
    </row>
    <row r="58">
      <c r="A58" s="65" t="inlineStr">
        <is>
          <t>4. INSTALAÇÕES DE GÁS</t>
        </is>
      </c>
      <c r="B58" s="60" t="n"/>
      <c r="C58" s="60" t="n"/>
      <c r="D58" s="60" t="n"/>
      <c r="E58" s="60" t="n"/>
      <c r="F58" s="60" t="n"/>
      <c r="G58" s="60" t="n"/>
      <c r="H58" s="60" t="n"/>
      <c r="I58" s="61" t="n"/>
    </row>
    <row r="59">
      <c r="A59" s="66" t="inlineStr">
        <is>
          <t>Tubulação cobre gás (ø15 a ø28)</t>
        </is>
      </c>
      <c r="B59" s="67">
        <f>0.5*DADOS_PROJETO!$B$6</f>
        <v/>
      </c>
      <c r="C59" s="68" t="inlineStr">
        <is>
          <t>m</t>
        </is>
      </c>
      <c r="D59" s="74" t="n">
        <v>0.5</v>
      </c>
      <c r="E59" s="67">
        <f>IF(B59&gt;0,G59/B59,0)</f>
        <v/>
      </c>
      <c r="F59" s="67">
        <f>IF(B59&gt;0,H59/B59,0)</f>
        <v/>
      </c>
      <c r="G59" s="67">
        <f>I59*0.55</f>
        <v/>
      </c>
      <c r="H59" s="67">
        <f>I59*0.45</f>
        <v/>
      </c>
      <c r="I59" s="67">
        <f>CUSTOS_MACROGRUPO!$G$8*0.1*0.25</f>
        <v/>
      </c>
    </row>
    <row r="60">
      <c r="A60" s="70" t="inlineStr">
        <is>
          <t>Central de gás (GLP individual)</t>
        </is>
      </c>
      <c r="B60" s="71" t="n">
        <v>1</v>
      </c>
      <c r="C60" s="72" t="inlineStr">
        <is>
          <t>vb</t>
        </is>
      </c>
      <c r="D60" s="78" t="inlineStr">
        <is>
          <t>—</t>
        </is>
      </c>
      <c r="E60" s="71">
        <f>IF(B60&gt;0,G60/B60,0)</f>
        <v/>
      </c>
      <c r="F60" s="71">
        <f>IF(B60&gt;0,H60/B60,0)</f>
        <v/>
      </c>
      <c r="G60" s="71">
        <f>I60*0.7</f>
        <v/>
      </c>
      <c r="H60" s="71">
        <f>I60*0.30</f>
        <v/>
      </c>
      <c r="I60" s="71">
        <f>CUSTOS_MACROGRUPO!$G$8*0.1*0.15</f>
        <v/>
      </c>
    </row>
    <row r="61">
      <c r="A61" s="66" t="inlineStr">
        <is>
          <t>Reguladores de pressão (1º e 2º estágio)</t>
        </is>
      </c>
      <c r="B61" s="67">
        <f>45</f>
        <v/>
      </c>
      <c r="C61" s="68" t="inlineStr">
        <is>
          <t>un</t>
        </is>
      </c>
      <c r="D61" s="74" t="n">
        <v>45</v>
      </c>
      <c r="E61" s="67">
        <f>IF(B61&gt;0,G61/B61,0)</f>
        <v/>
      </c>
      <c r="F61" s="67">
        <f>IF(B61&gt;0,H61/B61,0)</f>
        <v/>
      </c>
      <c r="G61" s="67">
        <f>I61*0.75</f>
        <v/>
      </c>
      <c r="H61" s="67">
        <f>I61*0.25</f>
        <v/>
      </c>
      <c r="I61" s="67">
        <f>CUSTOS_MACROGRUPO!$G$8*0.1*0.12</f>
        <v/>
      </c>
    </row>
    <row r="62">
      <c r="A62" s="70" t="inlineStr">
        <is>
          <t>Medidores individuais gás</t>
        </is>
      </c>
      <c r="B62" s="71">
        <f>43</f>
        <v/>
      </c>
      <c r="C62" s="72" t="inlineStr">
        <is>
          <t>un</t>
        </is>
      </c>
      <c r="D62" s="73" t="n">
        <v>43</v>
      </c>
      <c r="E62" s="71">
        <f>IF(B62&gt;0,G62/B62,0)</f>
        <v/>
      </c>
      <c r="F62" s="71">
        <f>IF(B62&gt;0,H62/B62,0)</f>
        <v/>
      </c>
      <c r="G62" s="71">
        <f>I62*0.75</f>
        <v/>
      </c>
      <c r="H62" s="71">
        <f>I62*0.25</f>
        <v/>
      </c>
      <c r="I62" s="71">
        <f>CUSTOS_MACROGRUPO!$G$8*0.1*0.15</f>
        <v/>
      </c>
    </row>
    <row r="63">
      <c r="A63" s="66" t="inlineStr">
        <is>
          <t>Válvulas de bloqueio e segurança</t>
        </is>
      </c>
      <c r="B63" s="67">
        <f>90</f>
        <v/>
      </c>
      <c r="C63" s="68" t="inlineStr">
        <is>
          <t>un</t>
        </is>
      </c>
      <c r="D63" s="74" t="n">
        <v>90</v>
      </c>
      <c r="E63" s="67">
        <f>IF(B63&gt;0,G63/B63,0)</f>
        <v/>
      </c>
      <c r="F63" s="67">
        <f>IF(B63&gt;0,H63/B63,0)</f>
        <v/>
      </c>
      <c r="G63" s="67">
        <f>I63*0.7</f>
        <v/>
      </c>
      <c r="H63" s="67">
        <f>I63*0.30</f>
        <v/>
      </c>
      <c r="I63" s="67">
        <f>CUSTOS_MACROGRUPO!$G$8*0.1*0.1</f>
        <v/>
      </c>
    </row>
    <row r="64">
      <c r="A64" s="70" t="inlineStr">
        <is>
          <t>Conexões e abraçadeiras gás</t>
        </is>
      </c>
      <c r="B64" s="71" t="n">
        <v>1</v>
      </c>
      <c r="C64" s="72" t="inlineStr">
        <is>
          <t>vb</t>
        </is>
      </c>
      <c r="D64" s="78" t="inlineStr">
        <is>
          <t>—</t>
        </is>
      </c>
      <c r="E64" s="71">
        <f>IF(B64&gt;0,G64/B64,0)</f>
        <v/>
      </c>
      <c r="F64" s="71">
        <f>IF(B64&gt;0,H64/B64,0)</f>
        <v/>
      </c>
      <c r="G64" s="71">
        <f>I64*0.75</f>
        <v/>
      </c>
      <c r="H64" s="71">
        <f>I64*0.25</f>
        <v/>
      </c>
      <c r="I64" s="71">
        <f>CUSTOS_MACROGRUPO!$G$8*0.1*0.08</f>
        <v/>
      </c>
    </row>
    <row r="65">
      <c r="A65" s="66" t="inlineStr">
        <is>
          <t>Teste de estanqueidade gás</t>
        </is>
      </c>
      <c r="B65" s="67" t="n">
        <v>1</v>
      </c>
      <c r="C65" s="68" t="inlineStr">
        <is>
          <t>vb</t>
        </is>
      </c>
      <c r="D65" s="69" t="inlineStr">
        <is>
          <t>—</t>
        </is>
      </c>
      <c r="E65" s="67">
        <f>IF(B65&gt;0,G65/B65,0)</f>
        <v/>
      </c>
      <c r="F65" s="67">
        <f>IF(B65&gt;0,H65/B65,0)</f>
        <v/>
      </c>
      <c r="G65" s="67">
        <f>I65*0.1</f>
        <v/>
      </c>
      <c r="H65" s="67">
        <f>I65*0.90</f>
        <v/>
      </c>
      <c r="I65" s="67">
        <f>CUSTOS_MACROGRUPO!$G$8*0.1*0.05</f>
        <v/>
      </c>
    </row>
    <row r="66">
      <c r="A66" s="70" t="inlineStr">
        <is>
          <t>Projeto e ART gás</t>
        </is>
      </c>
      <c r="B66" s="71" t="n">
        <v>1</v>
      </c>
      <c r="C66" s="72" t="inlineStr">
        <is>
          <t>vb</t>
        </is>
      </c>
      <c r="D66" s="78" t="inlineStr">
        <is>
          <t>—</t>
        </is>
      </c>
      <c r="E66" s="71">
        <f>IF(B66&gt;0,G66/B66,0)</f>
        <v/>
      </c>
      <c r="F66" s="71">
        <f>IF(B66&gt;0,H66/B66,0)</f>
        <v/>
      </c>
      <c r="G66" s="71">
        <f>I66*0.05</f>
        <v/>
      </c>
      <c r="H66" s="71">
        <f>I66*0.95</f>
        <v/>
      </c>
      <c r="I66" s="71">
        <f>CUSTOS_MACROGRUPO!$G$8*0.1*0.1</f>
        <v/>
      </c>
    </row>
    <row r="67">
      <c r="A67" s="75" t="inlineStr">
        <is>
          <t>Subtotal 4. INSTALAÇÕES DE GÁS</t>
        </is>
      </c>
      <c r="B67" s="76" t="n"/>
      <c r="C67" s="76" t="n"/>
      <c r="D67" s="76" t="n"/>
      <c r="E67" s="76" t="n"/>
      <c r="F67" s="76" t="n"/>
      <c r="G67" s="77">
        <f>SUM(G59:G66)</f>
        <v/>
      </c>
      <c r="H67" s="77">
        <f>SUM(H59:H66)</f>
        <v/>
      </c>
      <c r="I67" s="77">
        <f>SUM(I59:I66)</f>
        <v/>
      </c>
    </row>
    <row r="69">
      <c r="A69" s="65" t="inlineStr">
        <is>
          <t>5. TELECOMUNICAÇÕES E DADOS</t>
        </is>
      </c>
      <c r="B69" s="60" t="n"/>
      <c r="C69" s="60" t="n"/>
      <c r="D69" s="60" t="n"/>
      <c r="E69" s="60" t="n"/>
      <c r="F69" s="60" t="n"/>
      <c r="G69" s="60" t="n"/>
      <c r="H69" s="60" t="n"/>
      <c r="I69" s="61" t="n"/>
    </row>
    <row r="70">
      <c r="A70" s="66" t="inlineStr">
        <is>
          <t>Infraestrutura telecom (tubulação seca)</t>
        </is>
      </c>
      <c r="B70" s="67">
        <f>1.5*DADOS_PROJETO!$B$6</f>
        <v/>
      </c>
      <c r="C70" s="68" t="inlineStr">
        <is>
          <t>m</t>
        </is>
      </c>
      <c r="D70" s="74" t="n">
        <v>1.5</v>
      </c>
      <c r="E70" s="67">
        <f>IF(B70&gt;0,G70/B70,0)</f>
        <v/>
      </c>
      <c r="F70" s="67">
        <f>IF(B70&gt;0,H70/B70,0)</f>
        <v/>
      </c>
      <c r="G70" s="67">
        <f>I70*0.5</f>
        <v/>
      </c>
      <c r="H70" s="67">
        <f>I70*0.50</f>
        <v/>
      </c>
      <c r="I70" s="67">
        <f>CUSTOS_MACROGRUPO!$G$8*0.11*0.18</f>
        <v/>
      </c>
    </row>
    <row r="71">
      <c r="A71" s="70" t="inlineStr">
        <is>
          <t>Cabeamento estruturado Cat6</t>
        </is>
      </c>
      <c r="B71" s="71">
        <f>2.0*DADOS_PROJETO!$B$6</f>
        <v/>
      </c>
      <c r="C71" s="72" t="inlineStr">
        <is>
          <t>m</t>
        </is>
      </c>
      <c r="D71" s="73" t="n">
        <v>2</v>
      </c>
      <c r="E71" s="71">
        <f>IF(B71&gt;0,G71/B71,0)</f>
        <v/>
      </c>
      <c r="F71" s="71">
        <f>IF(B71&gt;0,H71/B71,0)</f>
        <v/>
      </c>
      <c r="G71" s="71">
        <f>I71*0.6</f>
        <v/>
      </c>
      <c r="H71" s="71">
        <f>I71*0.40</f>
        <v/>
      </c>
      <c r="I71" s="71">
        <f>CUSTOS_MACROGRUPO!$G$8*0.11*0.14</f>
        <v/>
      </c>
    </row>
    <row r="72">
      <c r="A72" s="66" t="inlineStr">
        <is>
          <t>Interfone/vídeo porteiro (apartamentos)</t>
        </is>
      </c>
      <c r="B72" s="67">
        <f>43</f>
        <v/>
      </c>
      <c r="C72" s="68" t="inlineStr">
        <is>
          <t>un</t>
        </is>
      </c>
      <c r="D72" s="74" t="n">
        <v>43</v>
      </c>
      <c r="E72" s="67">
        <f>IF(B72&gt;0,G72/B72,0)</f>
        <v/>
      </c>
      <c r="F72" s="67">
        <f>IF(B72&gt;0,H72/B72,0)</f>
        <v/>
      </c>
      <c r="G72" s="67">
        <f>I72*0.7</f>
        <v/>
      </c>
      <c r="H72" s="67">
        <f>I72*0.30</f>
        <v/>
      </c>
      <c r="I72" s="67">
        <f>CUSTOS_MACROGRUPO!$G$8*0.11*0.15</f>
        <v/>
      </c>
    </row>
    <row r="73">
      <c r="A73" s="70" t="inlineStr">
        <is>
          <t>CFTV — Câmeras + DVR</t>
        </is>
      </c>
      <c r="B73" s="71">
        <f>1</f>
        <v/>
      </c>
      <c r="C73" s="72" t="inlineStr">
        <is>
          <t>cj</t>
        </is>
      </c>
      <c r="D73" s="73" t="n">
        <v>1</v>
      </c>
      <c r="E73" s="71">
        <f>IF(B73&gt;0,G73/B73,0)</f>
        <v/>
      </c>
      <c r="F73" s="71">
        <f>IF(B73&gt;0,H73/B73,0)</f>
        <v/>
      </c>
      <c r="G73" s="71">
        <f>I73*0.75</f>
        <v/>
      </c>
      <c r="H73" s="71">
        <f>I73*0.25</f>
        <v/>
      </c>
      <c r="I73" s="71">
        <f>CUSTOS_MACROGRUPO!$G$8*0.11*0.15</f>
        <v/>
      </c>
    </row>
    <row r="74">
      <c r="A74" s="66" t="inlineStr">
        <is>
          <t>Controle de acesso (tags/biometria)</t>
        </is>
      </c>
      <c r="B74" s="67">
        <f>1</f>
        <v/>
      </c>
      <c r="C74" s="68" t="inlineStr">
        <is>
          <t>cj</t>
        </is>
      </c>
      <c r="D74" s="74" t="n">
        <v>1</v>
      </c>
      <c r="E74" s="67">
        <f>IF(B74&gt;0,G74/B74,0)</f>
        <v/>
      </c>
      <c r="F74" s="67">
        <f>IF(B74&gt;0,H74/B74,0)</f>
        <v/>
      </c>
      <c r="G74" s="67">
        <f>I74*0.7</f>
        <v/>
      </c>
      <c r="H74" s="67">
        <f>I74*0.30</f>
        <v/>
      </c>
      <c r="I74" s="67">
        <f>CUSTOS_MACROGRUPO!$G$8*0.11*0.1</f>
        <v/>
      </c>
    </row>
    <row r="75">
      <c r="A75" s="70" t="inlineStr">
        <is>
          <t>DG (distribuidor geral) telecom</t>
        </is>
      </c>
      <c r="B75" s="71">
        <f>1</f>
        <v/>
      </c>
      <c r="C75" s="72" t="inlineStr">
        <is>
          <t>un</t>
        </is>
      </c>
      <c r="D75" s="73" t="n">
        <v>1</v>
      </c>
      <c r="E75" s="71">
        <f>IF(B75&gt;0,G75/B75,0)</f>
        <v/>
      </c>
      <c r="F75" s="71">
        <f>IF(B75&gt;0,H75/B75,0)</f>
        <v/>
      </c>
      <c r="G75" s="71">
        <f>I75*0.65</f>
        <v/>
      </c>
      <c r="H75" s="71">
        <f>I75*0.35</f>
        <v/>
      </c>
      <c r="I75" s="71">
        <f>CUSTOS_MACROGRUPO!$G$8*0.11*0.06</f>
        <v/>
      </c>
    </row>
    <row r="76">
      <c r="A76" s="66" t="inlineStr">
        <is>
          <t>Antena coletiva TV</t>
        </is>
      </c>
      <c r="B76" s="67">
        <f>1</f>
        <v/>
      </c>
      <c r="C76" s="68" t="inlineStr">
        <is>
          <t>cj</t>
        </is>
      </c>
      <c r="D76" s="74" t="n">
        <v>1</v>
      </c>
      <c r="E76" s="67">
        <f>IF(B76&gt;0,G76/B76,0)</f>
        <v/>
      </c>
      <c r="F76" s="67">
        <f>IF(B76&gt;0,H76/B76,0)</f>
        <v/>
      </c>
      <c r="G76" s="67">
        <f>I76*0.7</f>
        <v/>
      </c>
      <c r="H76" s="67">
        <f>I76*0.30</f>
        <v/>
      </c>
      <c r="I76" s="67">
        <f>CUSTOS_MACROGRUPO!$G$8*0.11*0.06</f>
        <v/>
      </c>
    </row>
    <row r="77">
      <c r="A77" s="70" t="inlineStr">
        <is>
          <t>Fibra óptica (backbone vertical)</t>
        </is>
      </c>
      <c r="B77" s="71">
        <f>0.1*DADOS_PROJETO!$B$6</f>
        <v/>
      </c>
      <c r="C77" s="72" t="inlineStr">
        <is>
          <t>m</t>
        </is>
      </c>
      <c r="D77" s="73" t="n">
        <v>0.1</v>
      </c>
      <c r="E77" s="71">
        <f>IF(B77&gt;0,G77/B77,0)</f>
        <v/>
      </c>
      <c r="F77" s="71">
        <f>IF(B77&gt;0,H77/B77,0)</f>
        <v/>
      </c>
      <c r="G77" s="71">
        <f>I77*0.65</f>
        <v/>
      </c>
      <c r="H77" s="71">
        <f>I77*0.35</f>
        <v/>
      </c>
      <c r="I77" s="71">
        <f>CUSTOS_MACROGRUPO!$G$8*0.11*0.08</f>
        <v/>
      </c>
    </row>
    <row r="78">
      <c r="A78" s="66" t="inlineStr">
        <is>
          <t>Rack e patch panel</t>
        </is>
      </c>
      <c r="B78" s="67">
        <f>2</f>
        <v/>
      </c>
      <c r="C78" s="68" t="inlineStr">
        <is>
          <t>un</t>
        </is>
      </c>
      <c r="D78" s="74" t="n">
        <v>2</v>
      </c>
      <c r="E78" s="67">
        <f>IF(B78&gt;0,G78/B78,0)</f>
        <v/>
      </c>
      <c r="F78" s="67">
        <f>IF(B78&gt;0,H78/B78,0)</f>
        <v/>
      </c>
      <c r="G78" s="67">
        <f>I78*0.75</f>
        <v/>
      </c>
      <c r="H78" s="67">
        <f>I78*0.25</f>
        <v/>
      </c>
      <c r="I78" s="67">
        <f>CUSTOS_MACROGRUPO!$G$8*0.11*0.08</f>
        <v/>
      </c>
    </row>
    <row r="79">
      <c r="A79" s="75" t="inlineStr">
        <is>
          <t>Subtotal 5. TELECOMUNICAÇÕES E DADOS</t>
        </is>
      </c>
      <c r="B79" s="76" t="n"/>
      <c r="C79" s="76" t="n"/>
      <c r="D79" s="76" t="n"/>
      <c r="E79" s="76" t="n"/>
      <c r="F79" s="76" t="n"/>
      <c r="G79" s="77">
        <f>SUM(G70:G78)</f>
        <v/>
      </c>
      <c r="H79" s="77">
        <f>SUM(H70:H78)</f>
        <v/>
      </c>
      <c r="I79" s="77">
        <f>SUM(I70:I78)</f>
        <v/>
      </c>
    </row>
    <row r="81">
      <c r="A81" s="83" t="inlineStr">
        <is>
          <t>6. SISTEMAS ESPECIAIS</t>
        </is>
      </c>
      <c r="B81" s="60" t="n"/>
      <c r="C81" s="60" t="n"/>
      <c r="D81" s="60" t="n"/>
      <c r="E81" s="60" t="n"/>
      <c r="F81" s="60" t="n"/>
      <c r="G81" s="60" t="n"/>
      <c r="H81" s="60" t="n"/>
      <c r="I81" s="61" t="n"/>
    </row>
    <row r="82">
      <c r="A82" s="66" t="inlineStr">
        <is>
          <t>Elevadores sociais (3 un × 26 paradas)</t>
        </is>
      </c>
      <c r="B82" s="67">
        <f>3</f>
        <v/>
      </c>
      <c r="C82" s="68" t="inlineStr">
        <is>
          <t>un</t>
        </is>
      </c>
      <c r="D82" s="74" t="n">
        <v>3</v>
      </c>
      <c r="E82" s="67">
        <f>IF(B82&gt;0,G82/B82,0)</f>
        <v/>
      </c>
      <c r="F82" s="67">
        <f>IF(B82&gt;0,H82/B82,0)</f>
        <v/>
      </c>
      <c r="G82" s="67">
        <f>I82*0.8</f>
        <v/>
      </c>
      <c r="H82" s="67">
        <f>I82*0.20</f>
        <v/>
      </c>
      <c r="I82" s="67">
        <f>CUSTOS_MACROGRUPO!$G$9*1.0*0.42</f>
        <v/>
      </c>
    </row>
    <row r="83">
      <c r="A83" s="70" t="inlineStr">
        <is>
          <t>Grupo gerador 150 kVA (áreas comuns + elevadores)</t>
        </is>
      </c>
      <c r="B83" s="71">
        <f>1</f>
        <v/>
      </c>
      <c r="C83" s="72" t="inlineStr">
        <is>
          <t>un</t>
        </is>
      </c>
      <c r="D83" s="73" t="n">
        <v>1</v>
      </c>
      <c r="E83" s="71">
        <f>IF(B83&gt;0,G83/B83,0)</f>
        <v/>
      </c>
      <c r="F83" s="71">
        <f>IF(B83&gt;0,H83/B83,0)</f>
        <v/>
      </c>
      <c r="G83" s="71">
        <f>I83*0.75</f>
        <v/>
      </c>
      <c r="H83" s="71">
        <f>I83*0.25</f>
        <v/>
      </c>
      <c r="I83" s="71">
        <f>CUSTOS_MACROGRUPO!$G$9*1.0*0.18</f>
        <v/>
      </c>
    </row>
    <row r="84">
      <c r="A84" s="66" t="inlineStr">
        <is>
          <t>Automação predial (BMS básico)</t>
        </is>
      </c>
      <c r="B84" s="67" t="n">
        <v>1</v>
      </c>
      <c r="C84" s="68" t="inlineStr">
        <is>
          <t>vb</t>
        </is>
      </c>
      <c r="D84" s="69" t="inlineStr">
        <is>
          <t>—</t>
        </is>
      </c>
      <c r="E84" s="67">
        <f>IF(B84&gt;0,G84/B84,0)</f>
        <v/>
      </c>
      <c r="F84" s="67">
        <f>IF(B84&gt;0,H84/B84,0)</f>
        <v/>
      </c>
      <c r="G84" s="67">
        <f>I84*0.65</f>
        <v/>
      </c>
      <c r="H84" s="67">
        <f>I84*0.35</f>
        <v/>
      </c>
      <c r="I84" s="67">
        <f>CUSTOS_MACROGRUPO!$G$9*1.0*0.12</f>
        <v/>
      </c>
    </row>
    <row r="85">
      <c r="A85" s="70" t="inlineStr">
        <is>
          <t>Pressurização escada de incêndio</t>
        </is>
      </c>
      <c r="B85" s="71">
        <f>1</f>
        <v/>
      </c>
      <c r="C85" s="72" t="inlineStr">
        <is>
          <t>cj</t>
        </is>
      </c>
      <c r="D85" s="73" t="n">
        <v>1</v>
      </c>
      <c r="E85" s="71">
        <f>IF(B85&gt;0,G85/B85,0)</f>
        <v/>
      </c>
      <c r="F85" s="71">
        <f>IF(B85&gt;0,H85/B85,0)</f>
        <v/>
      </c>
      <c r="G85" s="71">
        <f>I85*0.6</f>
        <v/>
      </c>
      <c r="H85" s="71">
        <f>I85*0.40</f>
        <v/>
      </c>
      <c r="I85" s="71">
        <f>CUSTOS_MACROGRUPO!$G$9*1.0*0.1</f>
        <v/>
      </c>
    </row>
    <row r="86">
      <c r="A86" s="66" t="inlineStr">
        <is>
          <t>Bomba pressurizadora (água potável)</t>
        </is>
      </c>
      <c r="B86" s="67">
        <f>1</f>
        <v/>
      </c>
      <c r="C86" s="68" t="inlineStr">
        <is>
          <t>cj</t>
        </is>
      </c>
      <c r="D86" s="74" t="n">
        <v>1</v>
      </c>
      <c r="E86" s="67">
        <f>IF(B86&gt;0,G86/B86,0)</f>
        <v/>
      </c>
      <c r="F86" s="67">
        <f>IF(B86&gt;0,H86/B86,0)</f>
        <v/>
      </c>
      <c r="G86" s="67">
        <f>I86*0.7</f>
        <v/>
      </c>
      <c r="H86" s="67">
        <f>I86*0.30</f>
        <v/>
      </c>
      <c r="I86" s="67">
        <f>CUSTOS_MACROGRUPO!$G$9*1.0*0.06</f>
        <v/>
      </c>
    </row>
    <row r="87">
      <c r="A87" s="70" t="inlineStr">
        <is>
          <t>Sistema de reúso de água (se aplicável)</t>
        </is>
      </c>
      <c r="B87" s="71" t="n">
        <v>1</v>
      </c>
      <c r="C87" s="72" t="inlineStr">
        <is>
          <t>vb</t>
        </is>
      </c>
      <c r="D87" s="78" t="inlineStr">
        <is>
          <t>—</t>
        </is>
      </c>
      <c r="E87" s="71">
        <f>IF(B87&gt;0,G87/B87,0)</f>
        <v/>
      </c>
      <c r="F87" s="71">
        <f>IF(B87&gt;0,H87/B87,0)</f>
        <v/>
      </c>
      <c r="G87" s="71">
        <f>I87*0.6</f>
        <v/>
      </c>
      <c r="H87" s="71">
        <f>I87*0.40</f>
        <v/>
      </c>
      <c r="I87" s="71">
        <f>CUSTOS_MACROGRUPO!$G$9*1.0*0.04</f>
        <v/>
      </c>
    </row>
    <row r="88">
      <c r="A88" s="66" t="inlineStr">
        <is>
          <t>Aquecimento solar (apoio)</t>
        </is>
      </c>
      <c r="B88" s="67">
        <f>1</f>
        <v/>
      </c>
      <c r="C88" s="68" t="inlineStr">
        <is>
          <t>cj</t>
        </is>
      </c>
      <c r="D88" s="74" t="n">
        <v>1</v>
      </c>
      <c r="E88" s="67">
        <f>IF(B88&gt;0,G88/B88,0)</f>
        <v/>
      </c>
      <c r="F88" s="67">
        <f>IF(B88&gt;0,H88/B88,0)</f>
        <v/>
      </c>
      <c r="G88" s="67">
        <f>I88*0.7</f>
        <v/>
      </c>
      <c r="H88" s="67">
        <f>I88*0.30</f>
        <v/>
      </c>
      <c r="I88" s="67">
        <f>CUSTOS_MACROGRUPO!$G$9*1.0*0.05</f>
        <v/>
      </c>
    </row>
    <row r="89">
      <c r="A89" s="70" t="inlineStr">
        <is>
          <t>Exaustão mecânica garagem</t>
        </is>
      </c>
      <c r="B89" s="71">
        <f>1</f>
        <v/>
      </c>
      <c r="C89" s="72" t="inlineStr">
        <is>
          <t>cj</t>
        </is>
      </c>
      <c r="D89" s="73" t="n">
        <v>1</v>
      </c>
      <c r="E89" s="71">
        <f>IF(B89&gt;0,G89/B89,0)</f>
        <v/>
      </c>
      <c r="F89" s="71">
        <f>IF(B89&gt;0,H89/B89,0)</f>
        <v/>
      </c>
      <c r="G89" s="71">
        <f>I89*0.55</f>
        <v/>
      </c>
      <c r="H89" s="71">
        <f>I89*0.45</f>
        <v/>
      </c>
      <c r="I89" s="71">
        <f>CUSTOS_MACROGRUPO!$G$9*1.0*0.03</f>
        <v/>
      </c>
    </row>
    <row r="90">
      <c r="A90" s="75" t="inlineStr">
        <is>
          <t>Subtotal 6. SISTEMAS ESPECIAIS</t>
        </is>
      </c>
      <c r="B90" s="76" t="n"/>
      <c r="C90" s="76" t="n"/>
      <c r="D90" s="76" t="n"/>
      <c r="E90" s="76" t="n"/>
      <c r="F90" s="76" t="n"/>
      <c r="G90" s="77">
        <f>SUM(G82:G89)</f>
        <v/>
      </c>
      <c r="H90" s="77">
        <f>SUM(H82:H89)</f>
        <v/>
      </c>
      <c r="I90" s="77">
        <f>SUM(I82:I89)</f>
        <v/>
      </c>
    </row>
    <row r="92">
      <c r="A92" s="83" t="inlineStr">
        <is>
          <t>7. CLIMATIZAÇÃO</t>
        </is>
      </c>
      <c r="B92" s="60" t="n"/>
      <c r="C92" s="60" t="n"/>
      <c r="D92" s="60" t="n"/>
      <c r="E92" s="60" t="n"/>
      <c r="F92" s="60" t="n"/>
      <c r="G92" s="60" t="n"/>
      <c r="H92" s="60" t="n"/>
      <c r="I92" s="61" t="n"/>
    </row>
    <row r="93">
      <c r="A93" s="66" t="inlineStr">
        <is>
          <t>Infraestrutura split (tubulação + dreno)</t>
        </is>
      </c>
      <c r="B93" s="67">
        <f>86</f>
        <v/>
      </c>
      <c r="C93" s="68" t="inlineStr">
        <is>
          <t>pt</t>
        </is>
      </c>
      <c r="D93" s="74" t="n">
        <v>86</v>
      </c>
      <c r="E93" s="67">
        <f>IF(B93&gt;0,G93/B93,0)</f>
        <v/>
      </c>
      <c r="F93" s="67">
        <f>IF(B93&gt;0,H93/B93,0)</f>
        <v/>
      </c>
      <c r="G93" s="67">
        <f>I93*0.5</f>
        <v/>
      </c>
      <c r="H93" s="67">
        <f>I93*0.50</f>
        <v/>
      </c>
      <c r="I93" s="67">
        <f>CUSTOS_MACROGRUPO!$G$10*1.0*0.35</f>
        <v/>
      </c>
    </row>
    <row r="94">
      <c r="A94" s="70" t="inlineStr">
        <is>
          <t>Ventilação mecânica garagem (insuflação/exaustão)</t>
        </is>
      </c>
      <c r="B94" s="71" t="n">
        <v>1</v>
      </c>
      <c r="C94" s="72" t="inlineStr">
        <is>
          <t>vb</t>
        </is>
      </c>
      <c r="D94" s="78" t="inlineStr">
        <is>
          <t>—</t>
        </is>
      </c>
      <c r="E94" s="71">
        <f>IF(B94&gt;0,G94/B94,0)</f>
        <v/>
      </c>
      <c r="F94" s="71">
        <f>IF(B94&gt;0,H94/B94,0)</f>
        <v/>
      </c>
      <c r="G94" s="71">
        <f>I94*0.6</f>
        <v/>
      </c>
      <c r="H94" s="71">
        <f>I94*0.40</f>
        <v/>
      </c>
      <c r="I94" s="71">
        <f>CUSTOS_MACROGRUPO!$G$10*1.0*0.2</f>
        <v/>
      </c>
    </row>
    <row r="95">
      <c r="A95" s="66" t="inlineStr">
        <is>
          <t>Exaustão banheiros internos</t>
        </is>
      </c>
      <c r="B95" s="67">
        <f>43</f>
        <v/>
      </c>
      <c r="C95" s="68" t="inlineStr">
        <is>
          <t>un</t>
        </is>
      </c>
      <c r="D95" s="74" t="n">
        <v>43</v>
      </c>
      <c r="E95" s="67">
        <f>IF(B95&gt;0,G95/B95,0)</f>
        <v/>
      </c>
      <c r="F95" s="67">
        <f>IF(B95&gt;0,H95/B95,0)</f>
        <v/>
      </c>
      <c r="G95" s="67">
        <f>I95*0.55</f>
        <v/>
      </c>
      <c r="H95" s="67">
        <f>I95*0.45</f>
        <v/>
      </c>
      <c r="I95" s="67">
        <f>CUSTOS_MACROGRUPO!$G$10*1.0*0.12</f>
        <v/>
      </c>
    </row>
    <row r="96">
      <c r="A96" s="70" t="inlineStr">
        <is>
          <t>Exaustão cozinhas (coifa/depurador)</t>
        </is>
      </c>
      <c r="B96" s="71">
        <f>43</f>
        <v/>
      </c>
      <c r="C96" s="72" t="inlineStr">
        <is>
          <t>un</t>
        </is>
      </c>
      <c r="D96" s="73" t="n">
        <v>43</v>
      </c>
      <c r="E96" s="71">
        <f>IF(B96&gt;0,G96/B96,0)</f>
        <v/>
      </c>
      <c r="F96" s="71">
        <f>IF(B96&gt;0,H96/B96,0)</f>
        <v/>
      </c>
      <c r="G96" s="71">
        <f>I96*0.55</f>
        <v/>
      </c>
      <c r="H96" s="71">
        <f>I96*0.45</f>
        <v/>
      </c>
      <c r="I96" s="71">
        <f>CUSTOS_MACROGRUPO!$G$10*1.0*0.1</f>
        <v/>
      </c>
    </row>
    <row r="97">
      <c r="A97" s="66" t="inlineStr">
        <is>
          <t>Dutos e grelhas (áreas comuns)</t>
        </is>
      </c>
      <c r="B97" s="67">
        <f>0.02*DADOS_PROJETO!$B$6</f>
        <v/>
      </c>
      <c r="C97" s="68" t="inlineStr">
        <is>
          <t>m²</t>
        </is>
      </c>
      <c r="D97" s="74" t="n">
        <v>0.02</v>
      </c>
      <c r="E97" s="67">
        <f>IF(B97&gt;0,G97/B97,0)</f>
        <v/>
      </c>
      <c r="F97" s="67">
        <f>IF(B97&gt;0,H97/B97,0)</f>
        <v/>
      </c>
      <c r="G97" s="67">
        <f>I97*0.6</f>
        <v/>
      </c>
      <c r="H97" s="67">
        <f>I97*0.40</f>
        <v/>
      </c>
      <c r="I97" s="67">
        <f>CUSTOS_MACROGRUPO!$G$10*1.0*0.08</f>
        <v/>
      </c>
    </row>
    <row r="98">
      <c r="A98" s="70" t="inlineStr">
        <is>
          <t>Dampers corta-fogo</t>
        </is>
      </c>
      <c r="B98" s="71">
        <f>12</f>
        <v/>
      </c>
      <c r="C98" s="72" t="inlineStr">
        <is>
          <t>un</t>
        </is>
      </c>
      <c r="D98" s="73" t="n">
        <v>12</v>
      </c>
      <c r="E98" s="71">
        <f>IF(B98&gt;0,G98/B98,0)</f>
        <v/>
      </c>
      <c r="F98" s="71">
        <f>IF(B98&gt;0,H98/B98,0)</f>
        <v/>
      </c>
      <c r="G98" s="71">
        <f>I98*0.65</f>
        <v/>
      </c>
      <c r="H98" s="71">
        <f>I98*0.35</f>
        <v/>
      </c>
      <c r="I98" s="71">
        <f>CUSTOS_MACROGRUPO!$G$10*1.0*0.05</f>
        <v/>
      </c>
    </row>
    <row r="99">
      <c r="A99" s="66" t="inlineStr">
        <is>
          <t>Ventilação hall de elevadores</t>
        </is>
      </c>
      <c r="B99" s="67" t="n">
        <v>1</v>
      </c>
      <c r="C99" s="68" t="inlineStr">
        <is>
          <t>vb</t>
        </is>
      </c>
      <c r="D99" s="69" t="inlineStr">
        <is>
          <t>—</t>
        </is>
      </c>
      <c r="E99" s="67">
        <f>IF(B99&gt;0,G99/B99,0)</f>
        <v/>
      </c>
      <c r="F99" s="67">
        <f>IF(B99&gt;0,H99/B99,0)</f>
        <v/>
      </c>
      <c r="G99" s="67">
        <f>I99*0.5</f>
        <v/>
      </c>
      <c r="H99" s="67">
        <f>I99*0.50</f>
        <v/>
      </c>
      <c r="I99" s="67">
        <f>CUSTOS_MACROGRUPO!$G$10*1.0*0.05</f>
        <v/>
      </c>
    </row>
    <row r="100">
      <c r="A100" s="70" t="inlineStr">
        <is>
          <t>Ar-condicionado áreas comuns (salão de festas)</t>
        </is>
      </c>
      <c r="B100" s="71">
        <f>3</f>
        <v/>
      </c>
      <c r="C100" s="72" t="inlineStr">
        <is>
          <t>un</t>
        </is>
      </c>
      <c r="D100" s="73" t="n">
        <v>3</v>
      </c>
      <c r="E100" s="71">
        <f>IF(B100&gt;0,G100/B100,0)</f>
        <v/>
      </c>
      <c r="F100" s="71">
        <f>IF(B100&gt;0,H100/B100,0)</f>
        <v/>
      </c>
      <c r="G100" s="71">
        <f>I100*0.7</f>
        <v/>
      </c>
      <c r="H100" s="71">
        <f>I100*0.30</f>
        <v/>
      </c>
      <c r="I100" s="71">
        <f>CUSTOS_MACROGRUPO!$G$10*1.0*0.05</f>
        <v/>
      </c>
    </row>
    <row r="101">
      <c r="A101" s="75" t="inlineStr">
        <is>
          <t>Subtotal 7. CLIMATIZAÇÃO</t>
        </is>
      </c>
      <c r="B101" s="76" t="n"/>
      <c r="C101" s="76" t="n"/>
      <c r="D101" s="76" t="n"/>
      <c r="E101" s="76" t="n"/>
      <c r="F101" s="76" t="n"/>
      <c r="G101" s="77">
        <f>SUM(G93:G100)</f>
        <v/>
      </c>
      <c r="H101" s="77">
        <f>SUM(H93:H100)</f>
        <v/>
      </c>
      <c r="I101" s="77">
        <f>SUM(I93:I100)</f>
        <v/>
      </c>
    </row>
    <row r="103">
      <c r="A103" s="80" t="inlineStr">
        <is>
          <t>TOTAL INSTALAÇÕES (Hidro + Elétrica + Incêndio + Gás + Telecom + Especiais + Climatização)</t>
        </is>
      </c>
      <c r="B103" s="81" t="n"/>
      <c r="C103" s="81" t="n"/>
      <c r="D103" s="81" t="n"/>
      <c r="E103" s="81" t="n"/>
      <c r="F103" s="81" t="n"/>
      <c r="G103" s="82">
        <f>G22+G41+G56+G67+G79+G90+G101</f>
        <v/>
      </c>
      <c r="H103" s="82">
        <f>H22+H41+H56+H67+H79+H90+H101</f>
        <v/>
      </c>
      <c r="I103" s="82">
        <f>I22+I41+I56+I67+I79+I90+I101</f>
        <v/>
      </c>
    </row>
  </sheetData>
  <mergeCells count="9">
    <mergeCell ref="A43:I43"/>
    <mergeCell ref="A81:I81"/>
    <mergeCell ref="A2:I2"/>
    <mergeCell ref="A5:I5"/>
    <mergeCell ref="A1:I1"/>
    <mergeCell ref="A58:I58"/>
    <mergeCell ref="A69:I69"/>
    <mergeCell ref="A92:I92"/>
    <mergeCell ref="A24:I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I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A1" s="62" t="inlineStr">
        <is>
          <t>DETALHAMENTO ACABAMENTOS — Nível Executivo</t>
        </is>
      </c>
    </row>
    <row r="2">
      <c r="A2" s="63" t="inlineStr">
        <is>
          <t>Projeto: Residencial Alípio Schirmann — AC: 12,033.95 m²</t>
        </is>
      </c>
    </row>
    <row r="4">
      <c r="A4" s="64" t="inlineStr">
        <is>
          <t>Item / Serviço</t>
        </is>
      </c>
      <c r="B4" s="64" t="inlineStr">
        <is>
          <t>Qtd</t>
        </is>
      </c>
      <c r="C4" s="64" t="inlineStr">
        <is>
          <t>Un</t>
        </is>
      </c>
      <c r="D4" s="64" t="inlineStr">
        <is>
          <t>Índice</t>
        </is>
      </c>
      <c r="E4" s="64" t="inlineStr">
        <is>
          <t>PU Material</t>
        </is>
      </c>
      <c r="F4" s="64" t="inlineStr">
        <is>
          <t>PU Mão de Obra</t>
        </is>
      </c>
      <c r="G4" s="64" t="inlineStr">
        <is>
          <t>Total Material</t>
        </is>
      </c>
      <c r="H4" s="64" t="inlineStr">
        <is>
          <t>Total Mão de Obra</t>
        </is>
      </c>
      <c r="I4" s="64" t="inlineStr">
        <is>
          <t>Total</t>
        </is>
      </c>
    </row>
    <row r="5">
      <c r="A5" s="65" t="inlineStr">
        <is>
          <t>1. REVESTIMENTO INTERNO DE PAREDE</t>
        </is>
      </c>
      <c r="B5" s="60" t="n"/>
      <c r="C5" s="60" t="n"/>
      <c r="D5" s="60" t="n"/>
      <c r="E5" s="60" t="n"/>
      <c r="F5" s="60" t="n"/>
      <c r="G5" s="60" t="n"/>
      <c r="H5" s="60" t="n"/>
      <c r="I5" s="61" t="n"/>
    </row>
    <row r="6">
      <c r="A6" s="66" t="inlineStr">
        <is>
          <t>Chapisco rolado (interno)</t>
        </is>
      </c>
      <c r="B6" s="67">
        <f>1.4*DADOS_PROJETO!$B$6</f>
        <v/>
      </c>
      <c r="C6" s="68" t="inlineStr">
        <is>
          <t>m²</t>
        </is>
      </c>
      <c r="D6" s="74" t="n">
        <v>1.4</v>
      </c>
      <c r="E6" s="67">
        <f>IF(B6&gt;0,G6/B6,0)</f>
        <v/>
      </c>
      <c r="F6" s="67">
        <f>IF(B6&gt;0,H6/B6,0)</f>
        <v/>
      </c>
      <c r="G6" s="67">
        <f>I6*0.4</f>
        <v/>
      </c>
      <c r="H6" s="67">
        <f>I6*0.60</f>
        <v/>
      </c>
      <c r="I6" s="67">
        <f>CUSTOS_MACROGRUPO!$G$11*1.0*0.06</f>
        <v/>
      </c>
    </row>
    <row r="7">
      <c r="A7" s="70" t="inlineStr">
        <is>
          <t>Emboço / massa única (espessura média 2cm)</t>
        </is>
      </c>
      <c r="B7" s="71">
        <f>1.4*DADOS_PROJETO!$B$6</f>
        <v/>
      </c>
      <c r="C7" s="72" t="inlineStr">
        <is>
          <t>m²</t>
        </is>
      </c>
      <c r="D7" s="73" t="n">
        <v>1.4</v>
      </c>
      <c r="E7" s="71">
        <f>IF(B7&gt;0,G7/B7,0)</f>
        <v/>
      </c>
      <c r="F7" s="71">
        <f>IF(B7&gt;0,H7/B7,0)</f>
        <v/>
      </c>
      <c r="G7" s="71">
        <f>I7*0.48</f>
        <v/>
      </c>
      <c r="H7" s="71">
        <f>I7*0.52</f>
        <v/>
      </c>
      <c r="I7" s="71">
        <f>CUSTOS_MACROGRUPO!$G$11*1.0*0.18</f>
        <v/>
      </c>
    </row>
    <row r="8">
      <c r="A8" s="66" t="inlineStr">
        <is>
          <t>Reboco fino (espessura 5mm)</t>
        </is>
      </c>
      <c r="B8" s="67">
        <f>0.8*DADOS_PROJETO!$B$6</f>
        <v/>
      </c>
      <c r="C8" s="68" t="inlineStr">
        <is>
          <t>m²</t>
        </is>
      </c>
      <c r="D8" s="74" t="n">
        <v>0.8</v>
      </c>
      <c r="E8" s="67">
        <f>IF(B8&gt;0,G8/B8,0)</f>
        <v/>
      </c>
      <c r="F8" s="67">
        <f>IF(B8&gt;0,H8/B8,0)</f>
        <v/>
      </c>
      <c r="G8" s="67">
        <f>I8*0.45</f>
        <v/>
      </c>
      <c r="H8" s="67">
        <f>I8*0.55</f>
        <v/>
      </c>
      <c r="I8" s="67">
        <f>CUSTOS_MACROGRUPO!$G$11*1.0*0.08</f>
        <v/>
      </c>
    </row>
    <row r="9">
      <c r="A9" s="70" t="inlineStr">
        <is>
          <t>Cerâmica parede — Banheiros (piso ao teto)</t>
        </is>
      </c>
      <c r="B9" s="71">
        <f>0.25*DADOS_PROJETO!$B$6</f>
        <v/>
      </c>
      <c r="C9" s="72" t="inlineStr">
        <is>
          <t>m²</t>
        </is>
      </c>
      <c r="D9" s="73" t="n">
        <v>0.25</v>
      </c>
      <c r="E9" s="71">
        <f>IF(B9&gt;0,G9/B9,0)</f>
        <v/>
      </c>
      <c r="F9" s="71">
        <f>IF(B9&gt;0,H9/B9,0)</f>
        <v/>
      </c>
      <c r="G9" s="71">
        <f>I9*0.52</f>
        <v/>
      </c>
      <c r="H9" s="71">
        <f>I9*0.48</f>
        <v/>
      </c>
      <c r="I9" s="71">
        <f>CUSTOS_MACROGRUPO!$G$11*1.0*0.12</f>
        <v/>
      </c>
    </row>
    <row r="10">
      <c r="A10" s="66" t="inlineStr">
        <is>
          <t>Cerâmica parede — Cozinha (meia-parede)</t>
        </is>
      </c>
      <c r="B10" s="67">
        <f>0.1*DADOS_PROJETO!$B$6</f>
        <v/>
      </c>
      <c r="C10" s="68" t="inlineStr">
        <is>
          <t>m²</t>
        </is>
      </c>
      <c r="D10" s="74" t="n">
        <v>0.1</v>
      </c>
      <c r="E10" s="67">
        <f>IF(B10&gt;0,G10/B10,0)</f>
        <v/>
      </c>
      <c r="F10" s="67">
        <f>IF(B10&gt;0,H10/B10,0)</f>
        <v/>
      </c>
      <c r="G10" s="67">
        <f>I10*0.52</f>
        <v/>
      </c>
      <c r="H10" s="67">
        <f>I10*0.48</f>
        <v/>
      </c>
      <c r="I10" s="67">
        <f>CUSTOS_MACROGRUPO!$G$11*1.0*0.06</f>
        <v/>
      </c>
    </row>
    <row r="11">
      <c r="A11" s="70" t="inlineStr">
        <is>
          <t>Cerâmica parede — Área de serviço</t>
        </is>
      </c>
      <c r="B11" s="71">
        <f>0.06*DADOS_PROJETO!$B$6</f>
        <v/>
      </c>
      <c r="C11" s="72" t="inlineStr">
        <is>
          <t>m²</t>
        </is>
      </c>
      <c r="D11" s="73" t="n">
        <v>0.06</v>
      </c>
      <c r="E11" s="71">
        <f>IF(B11&gt;0,G11/B11,0)</f>
        <v/>
      </c>
      <c r="F11" s="71">
        <f>IF(B11&gt;0,H11/B11,0)</f>
        <v/>
      </c>
      <c r="G11" s="71">
        <f>I11*0.52</f>
        <v/>
      </c>
      <c r="H11" s="71">
        <f>I11*0.48</f>
        <v/>
      </c>
      <c r="I11" s="71">
        <f>CUSTOS_MACROGRUPO!$G$11*1.0*0.04</f>
        <v/>
      </c>
    </row>
    <row r="12">
      <c r="A12" s="66" t="inlineStr">
        <is>
          <t>Porcelanato parede — Lavabos/banheiro suíte</t>
        </is>
      </c>
      <c r="B12" s="67">
        <f>0.08*DADOS_PROJETO!$B$6</f>
        <v/>
      </c>
      <c r="C12" s="68" t="inlineStr">
        <is>
          <t>m²</t>
        </is>
      </c>
      <c r="D12" s="74" t="n">
        <v>0.08</v>
      </c>
      <c r="E12" s="67">
        <f>IF(B12&gt;0,G12/B12,0)</f>
        <v/>
      </c>
      <c r="F12" s="67">
        <f>IF(B12&gt;0,H12/B12,0)</f>
        <v/>
      </c>
      <c r="G12" s="67">
        <f>I12*0.55</f>
        <v/>
      </c>
      <c r="H12" s="67">
        <f>I12*0.45</f>
        <v/>
      </c>
      <c r="I12" s="67">
        <f>CUSTOS_MACROGRUPO!$G$11*1.0*0.06</f>
        <v/>
      </c>
    </row>
    <row r="13">
      <c r="A13" s="70" t="inlineStr">
        <is>
          <t>Massa corrida PVA (paredes lisas)</t>
        </is>
      </c>
      <c r="B13" s="71">
        <f>0.9*DADOS_PROJETO!$B$6</f>
        <v/>
      </c>
      <c r="C13" s="72" t="inlineStr">
        <is>
          <t>m²</t>
        </is>
      </c>
      <c r="D13" s="73" t="n">
        <v>0.9</v>
      </c>
      <c r="E13" s="71">
        <f>IF(B13&gt;0,G13/B13,0)</f>
        <v/>
      </c>
      <c r="F13" s="71">
        <f>IF(B13&gt;0,H13/B13,0)</f>
        <v/>
      </c>
      <c r="G13" s="71">
        <f>I13*0.42</f>
        <v/>
      </c>
      <c r="H13" s="71">
        <f>I13*0.58</f>
        <v/>
      </c>
      <c r="I13" s="71">
        <f>CUSTOS_MACROGRUPO!$G$11*1.0*0.1</f>
        <v/>
      </c>
    </row>
    <row r="14">
      <c r="A14" s="66" t="inlineStr">
        <is>
          <t>Revestimento hall/circulação (porcelanato/pastilha)</t>
        </is>
      </c>
      <c r="B14" s="67">
        <f>0.05*DADOS_PROJETO!$B$6</f>
        <v/>
      </c>
      <c r="C14" s="68" t="inlineStr">
        <is>
          <t>m²</t>
        </is>
      </c>
      <c r="D14" s="74" t="n">
        <v>0.05</v>
      </c>
      <c r="E14" s="67">
        <f>IF(B14&gt;0,G14/B14,0)</f>
        <v/>
      </c>
      <c r="F14" s="67">
        <f>IF(B14&gt;0,H14/B14,0)</f>
        <v/>
      </c>
      <c r="G14" s="67">
        <f>I14*0.55</f>
        <v/>
      </c>
      <c r="H14" s="67">
        <f>I14*0.45</f>
        <v/>
      </c>
      <c r="I14" s="67">
        <f>CUSTOS_MACROGRUPO!$G$11*1.0*0.04</f>
        <v/>
      </c>
    </row>
    <row r="15">
      <c r="A15" s="70" t="inlineStr">
        <is>
          <t>Revestimento áreas comuns (lobby, salão festas)</t>
        </is>
      </c>
      <c r="B15" s="71">
        <f>0.04*DADOS_PROJETO!$B$6</f>
        <v/>
      </c>
      <c r="C15" s="72" t="inlineStr">
        <is>
          <t>m²</t>
        </is>
      </c>
      <c r="D15" s="73" t="n">
        <v>0.04</v>
      </c>
      <c r="E15" s="71">
        <f>IF(B15&gt;0,G15/B15,0)</f>
        <v/>
      </c>
      <c r="F15" s="71">
        <f>IF(B15&gt;0,H15/B15,0)</f>
        <v/>
      </c>
      <c r="G15" s="71">
        <f>I15*0.55</f>
        <v/>
      </c>
      <c r="H15" s="71">
        <f>I15*0.45</f>
        <v/>
      </c>
      <c r="I15" s="71">
        <f>CUSTOS_MACROGRUPO!$G$11*1.0*0.04</f>
        <v/>
      </c>
    </row>
    <row r="16">
      <c r="A16" s="66" t="inlineStr">
        <is>
          <t>Rejunte cerâmicas/porcelanatos</t>
        </is>
      </c>
      <c r="B16" s="67">
        <f>0.49*DADOS_PROJETO!$B$6</f>
        <v/>
      </c>
      <c r="C16" s="68" t="inlineStr">
        <is>
          <t>m²</t>
        </is>
      </c>
      <c r="D16" s="74" t="n">
        <v>0.49</v>
      </c>
      <c r="E16" s="67">
        <f>IF(B16&gt;0,G16/B16,0)</f>
        <v/>
      </c>
      <c r="F16" s="67">
        <f>IF(B16&gt;0,H16/B16,0)</f>
        <v/>
      </c>
      <c r="G16" s="67">
        <f>I16*0.65</f>
        <v/>
      </c>
      <c r="H16" s="67">
        <f>I16*0.35</f>
        <v/>
      </c>
      <c r="I16" s="67">
        <f>CUSTOS_MACROGRUPO!$G$11*1.0*0.04</f>
        <v/>
      </c>
    </row>
    <row r="17">
      <c r="A17" s="70" t="inlineStr">
        <is>
          <t>Cantoneiras e perfis de acabamento</t>
        </is>
      </c>
      <c r="B17" s="71">
        <f>0.15*DADOS_PROJETO!$B$6</f>
        <v/>
      </c>
      <c r="C17" s="72" t="inlineStr">
        <is>
          <t>m</t>
        </is>
      </c>
      <c r="D17" s="73" t="n">
        <v>0.15</v>
      </c>
      <c r="E17" s="71">
        <f>IF(B17&gt;0,G17/B17,0)</f>
        <v/>
      </c>
      <c r="F17" s="71">
        <f>IF(B17&gt;0,H17/B17,0)</f>
        <v/>
      </c>
      <c r="G17" s="71">
        <f>I17*0.7</f>
        <v/>
      </c>
      <c r="H17" s="71">
        <f>I17*0.30</f>
        <v/>
      </c>
      <c r="I17" s="71">
        <f>CUSTOS_MACROGRUPO!$G$11*1.0*0.02</f>
        <v/>
      </c>
    </row>
    <row r="18">
      <c r="A18" s="66" t="inlineStr">
        <is>
          <t>Argamassa colante ACIII (áreas molhadas)</t>
        </is>
      </c>
      <c r="B18" s="67">
        <f>0.49*DADOS_PROJETO!$B$6</f>
        <v/>
      </c>
      <c r="C18" s="68" t="inlineStr">
        <is>
          <t>m²</t>
        </is>
      </c>
      <c r="D18" s="74" t="n">
        <v>0.49</v>
      </c>
      <c r="E18" s="67">
        <f>IF(B18&gt;0,G18/B18,0)</f>
        <v/>
      </c>
      <c r="F18" s="67">
        <f>IF(B18&gt;0,H18/B18,0)</f>
        <v/>
      </c>
      <c r="G18" s="67">
        <f>I18*0.7</f>
        <v/>
      </c>
      <c r="H18" s="67">
        <f>I18*0.30</f>
        <v/>
      </c>
      <c r="I18" s="67">
        <f>CUSTOS_MACROGRUPO!$G$11*1.0*0.05</f>
        <v/>
      </c>
    </row>
    <row r="19">
      <c r="A19" s="70" t="inlineStr">
        <is>
          <t>Argamassa colante ACII (áreas secas)</t>
        </is>
      </c>
      <c r="B19" s="71">
        <f>0.3*DADOS_PROJETO!$B$6</f>
        <v/>
      </c>
      <c r="C19" s="72" t="inlineStr">
        <is>
          <t>m²</t>
        </is>
      </c>
      <c r="D19" s="73" t="n">
        <v>0.3</v>
      </c>
      <c r="E19" s="71">
        <f>IF(B19&gt;0,G19/B19,0)</f>
        <v/>
      </c>
      <c r="F19" s="71">
        <f>IF(B19&gt;0,H19/B19,0)</f>
        <v/>
      </c>
      <c r="G19" s="71">
        <f>I19*0.7</f>
        <v/>
      </c>
      <c r="H19" s="71">
        <f>I19*0.30</f>
        <v/>
      </c>
      <c r="I19" s="71">
        <f>CUSTOS_MACROGRUPO!$G$11*1.0*0.04</f>
        <v/>
      </c>
    </row>
    <row r="20">
      <c r="A20" s="66" t="inlineStr">
        <is>
          <t>Filete/rodameio decorativo</t>
        </is>
      </c>
      <c r="B20" s="67">
        <f>0.05*DADOS_PROJETO!$B$6</f>
        <v/>
      </c>
      <c r="C20" s="68" t="inlineStr">
        <is>
          <t>m</t>
        </is>
      </c>
      <c r="D20" s="74" t="n">
        <v>0.05</v>
      </c>
      <c r="E20" s="67">
        <f>IF(B20&gt;0,G20/B20,0)</f>
        <v/>
      </c>
      <c r="F20" s="67">
        <f>IF(B20&gt;0,H20/B20,0)</f>
        <v/>
      </c>
      <c r="G20" s="67">
        <f>I20*0.65</f>
        <v/>
      </c>
      <c r="H20" s="67">
        <f>I20*0.35</f>
        <v/>
      </c>
      <c r="I20" s="67">
        <f>CUSTOS_MACROGRUPO!$G$11*1.0*0.02</f>
        <v/>
      </c>
    </row>
    <row r="21">
      <c r="A21" s="70" t="inlineStr">
        <is>
          <t>Nicho banheiro (porcelanato)</t>
        </is>
      </c>
      <c r="B21" s="71">
        <f>86</f>
        <v/>
      </c>
      <c r="C21" s="72" t="inlineStr">
        <is>
          <t>un</t>
        </is>
      </c>
      <c r="D21" s="73" t="n">
        <v>86</v>
      </c>
      <c r="E21" s="71">
        <f>IF(B21&gt;0,G21/B21,0)</f>
        <v/>
      </c>
      <c r="F21" s="71">
        <f>IF(B21&gt;0,H21/B21,0)</f>
        <v/>
      </c>
      <c r="G21" s="71">
        <f>I21*0.55</f>
        <v/>
      </c>
      <c r="H21" s="71">
        <f>I21*0.45</f>
        <v/>
      </c>
      <c r="I21" s="71">
        <f>CUSTOS_MACROGRUPO!$G$11*1.0*0.03</f>
        <v/>
      </c>
    </row>
    <row r="22">
      <c r="A22" s="66" t="inlineStr">
        <is>
          <t>Tratamento de juntas (estruturais/dilatação)</t>
        </is>
      </c>
      <c r="B22" s="67">
        <f>0.02*DADOS_PROJETO!$B$6</f>
        <v/>
      </c>
      <c r="C22" s="68" t="inlineStr">
        <is>
          <t>m</t>
        </is>
      </c>
      <c r="D22" s="74" t="n">
        <v>0.02</v>
      </c>
      <c r="E22" s="67">
        <f>IF(B22&gt;0,G22/B22,0)</f>
        <v/>
      </c>
      <c r="F22" s="67">
        <f>IF(B22&gt;0,H22/B22,0)</f>
        <v/>
      </c>
      <c r="G22" s="67">
        <f>I22*0.5</f>
        <v/>
      </c>
      <c r="H22" s="67">
        <f>I22*0.50</f>
        <v/>
      </c>
      <c r="I22" s="67">
        <f>CUSTOS_MACROGRUPO!$G$11*1.0*0.02</f>
        <v/>
      </c>
    </row>
    <row r="23">
      <c r="A23" s="75" t="inlineStr">
        <is>
          <t>Subtotal 1. REVESTIMENTO INTERNO DE PAREDE</t>
        </is>
      </c>
      <c r="B23" s="76" t="n"/>
      <c r="C23" s="76" t="n"/>
      <c r="D23" s="76" t="n"/>
      <c r="E23" s="76" t="n"/>
      <c r="F23" s="76" t="n"/>
      <c r="G23" s="77">
        <f>SUM(G6:G22)</f>
        <v/>
      </c>
      <c r="H23" s="77">
        <f>SUM(H6:H22)</f>
        <v/>
      </c>
      <c r="I23" s="77">
        <f>SUM(I6:I22)</f>
        <v/>
      </c>
    </row>
    <row r="25">
      <c r="A25" s="65" t="inlineStr">
        <is>
          <t>2. TETO / FORRO</t>
        </is>
      </c>
      <c r="B25" s="60" t="n"/>
      <c r="C25" s="60" t="n"/>
      <c r="D25" s="60" t="n"/>
      <c r="E25" s="60" t="n"/>
      <c r="F25" s="60" t="n"/>
      <c r="G25" s="60" t="n"/>
      <c r="H25" s="60" t="n"/>
      <c r="I25" s="61" t="n"/>
    </row>
    <row r="26">
      <c r="A26" s="66" t="inlineStr">
        <is>
          <t>Gesso liso — Apartamentos (teto, sancas)</t>
        </is>
      </c>
      <c r="B26" s="67">
        <f>0.65*DADOS_PROJETO!$B$6</f>
        <v/>
      </c>
      <c r="C26" s="68" t="inlineStr">
        <is>
          <t>m²</t>
        </is>
      </c>
      <c r="D26" s="74" t="n">
        <v>0.65</v>
      </c>
      <c r="E26" s="67">
        <f>IF(B26&gt;0,G26/B26,0)</f>
        <v/>
      </c>
      <c r="F26" s="67">
        <f>IF(B26&gt;0,H26/B26,0)</f>
        <v/>
      </c>
      <c r="G26" s="67">
        <f>I26*0.42</f>
        <v/>
      </c>
      <c r="H26" s="67">
        <f>I26*0.58</f>
        <v/>
      </c>
      <c r="I26" s="67">
        <f>CUSTOS_MACROGRUPO!$G$12*1.0*0.32</f>
        <v/>
      </c>
    </row>
    <row r="27">
      <c r="A27" s="70" t="inlineStr">
        <is>
          <t>Forro gesso acartonado — Áreas comuns</t>
        </is>
      </c>
      <c r="B27" s="71">
        <f>0.08*DADOS_PROJETO!$B$6</f>
        <v/>
      </c>
      <c r="C27" s="72" t="inlineStr">
        <is>
          <t>m²</t>
        </is>
      </c>
      <c r="D27" s="73" t="n">
        <v>0.08</v>
      </c>
      <c r="E27" s="71">
        <f>IF(B27&gt;0,G27/B27,0)</f>
        <v/>
      </c>
      <c r="F27" s="71">
        <f>IF(B27&gt;0,H27/B27,0)</f>
        <v/>
      </c>
      <c r="G27" s="71">
        <f>I27*0.48</f>
        <v/>
      </c>
      <c r="H27" s="71">
        <f>I27*0.52</f>
        <v/>
      </c>
      <c r="I27" s="71">
        <f>CUSTOS_MACROGRUPO!$G$12*1.0*0.1</f>
        <v/>
      </c>
    </row>
    <row r="28">
      <c r="A28" s="66" t="inlineStr">
        <is>
          <t>Forro gesso acartonado — Banheiros (resistente umidade)</t>
        </is>
      </c>
      <c r="B28" s="67">
        <f>0.06*DADOS_PROJETO!$B$6</f>
        <v/>
      </c>
      <c r="C28" s="68" t="inlineStr">
        <is>
          <t>m²</t>
        </is>
      </c>
      <c r="D28" s="74" t="n">
        <v>0.06</v>
      </c>
      <c r="E28" s="67">
        <f>IF(B28&gt;0,G28/B28,0)</f>
        <v/>
      </c>
      <c r="F28" s="67">
        <f>IF(B28&gt;0,H28/B28,0)</f>
        <v/>
      </c>
      <c r="G28" s="67">
        <f>I28*0.48</f>
        <v/>
      </c>
      <c r="H28" s="67">
        <f>I28*0.52</f>
        <v/>
      </c>
      <c r="I28" s="67">
        <f>CUSTOS_MACROGRUPO!$G$12*1.0*0.08</f>
        <v/>
      </c>
    </row>
    <row r="29">
      <c r="A29" s="70" t="inlineStr">
        <is>
          <t>Sanca/moldura gesso — Perímetro ambientes</t>
        </is>
      </c>
      <c r="B29" s="71">
        <f>0.3*DADOS_PROJETO!$B$6</f>
        <v/>
      </c>
      <c r="C29" s="72" t="inlineStr">
        <is>
          <t>m</t>
        </is>
      </c>
      <c r="D29" s="73" t="n">
        <v>0.3</v>
      </c>
      <c r="E29" s="71">
        <f>IF(B29&gt;0,G29/B29,0)</f>
        <v/>
      </c>
      <c r="F29" s="71">
        <f>IF(B29&gt;0,H29/B29,0)</f>
        <v/>
      </c>
      <c r="G29" s="71">
        <f>I29*0.4</f>
        <v/>
      </c>
      <c r="H29" s="71">
        <f>I29*0.60</f>
        <v/>
      </c>
      <c r="I29" s="71">
        <f>CUSTOS_MACROGRUPO!$G$12*1.0*0.1</f>
        <v/>
      </c>
    </row>
    <row r="30">
      <c r="A30" s="66" t="inlineStr">
        <is>
          <t>Forro PVC — Áreas técnicas/garagem</t>
        </is>
      </c>
      <c r="B30" s="67">
        <f>0.05*DADOS_PROJETO!$B$6</f>
        <v/>
      </c>
      <c r="C30" s="68" t="inlineStr">
        <is>
          <t>m²</t>
        </is>
      </c>
      <c r="D30" s="74" t="n">
        <v>0.05</v>
      </c>
      <c r="E30" s="67">
        <f>IF(B30&gt;0,G30/B30,0)</f>
        <v/>
      </c>
      <c r="F30" s="67">
        <f>IF(B30&gt;0,H30/B30,0)</f>
        <v/>
      </c>
      <c r="G30" s="67">
        <f>I30*0.55</f>
        <v/>
      </c>
      <c r="H30" s="67">
        <f>I30*0.45</f>
        <v/>
      </c>
      <c r="I30" s="67">
        <f>CUSTOS_MACROGRUPO!$G$12*1.0*0.05</f>
        <v/>
      </c>
    </row>
    <row r="31">
      <c r="A31" s="70" t="inlineStr">
        <is>
          <t>Tabica em gesso</t>
        </is>
      </c>
      <c r="B31" s="71">
        <f>0.2*DADOS_PROJETO!$B$6</f>
        <v/>
      </c>
      <c r="C31" s="72" t="inlineStr">
        <is>
          <t>m</t>
        </is>
      </c>
      <c r="D31" s="73" t="n">
        <v>0.2</v>
      </c>
      <c r="E31" s="71">
        <f>IF(B31&gt;0,G31/B31,0)</f>
        <v/>
      </c>
      <c r="F31" s="71">
        <f>IF(B31&gt;0,H31/B31,0)</f>
        <v/>
      </c>
      <c r="G31" s="71">
        <f>I31*0.38</f>
        <v/>
      </c>
      <c r="H31" s="71">
        <f>I31*0.62</f>
        <v/>
      </c>
      <c r="I31" s="71">
        <f>CUSTOS_MACROGRUPO!$G$12*1.0*0.06</f>
        <v/>
      </c>
    </row>
    <row r="32">
      <c r="A32" s="66" t="inlineStr">
        <is>
          <t>Rebaixo para iluminação (spots embutidos)</t>
        </is>
      </c>
      <c r="B32" s="67">
        <f>0.04*DADOS_PROJETO!$B$6</f>
        <v/>
      </c>
      <c r="C32" s="68" t="inlineStr">
        <is>
          <t>m²</t>
        </is>
      </c>
      <c r="D32" s="74" t="n">
        <v>0.04</v>
      </c>
      <c r="E32" s="67">
        <f>IF(B32&gt;0,G32/B32,0)</f>
        <v/>
      </c>
      <c r="F32" s="67">
        <f>IF(B32&gt;0,H32/B32,0)</f>
        <v/>
      </c>
      <c r="G32" s="67">
        <f>I32*0.45</f>
        <v/>
      </c>
      <c r="H32" s="67">
        <f>I32*0.55</f>
        <v/>
      </c>
      <c r="I32" s="67">
        <f>CUSTOS_MACROGRUPO!$G$12*1.0*0.05</f>
        <v/>
      </c>
    </row>
    <row r="33">
      <c r="A33" s="70" t="inlineStr">
        <is>
          <t>Forro mineral/metálico — Hall elevadores</t>
        </is>
      </c>
      <c r="B33" s="71">
        <f>0.02*DADOS_PROJETO!$B$6</f>
        <v/>
      </c>
      <c r="C33" s="72" t="inlineStr">
        <is>
          <t>m²</t>
        </is>
      </c>
      <c r="D33" s="73" t="n">
        <v>0.02</v>
      </c>
      <c r="E33" s="71">
        <f>IF(B33&gt;0,G33/B33,0)</f>
        <v/>
      </c>
      <c r="F33" s="71">
        <f>IF(B33&gt;0,H33/B33,0)</f>
        <v/>
      </c>
      <c r="G33" s="71">
        <f>I33*0.55</f>
        <v/>
      </c>
      <c r="H33" s="71">
        <f>I33*0.45</f>
        <v/>
      </c>
      <c r="I33" s="71">
        <f>CUSTOS_MACROGRUPO!$G$12*1.0*0.04</f>
        <v/>
      </c>
    </row>
    <row r="34">
      <c r="A34" s="66" t="inlineStr">
        <is>
          <t>Pintura de teto (1ª demão — incluída aqui)</t>
        </is>
      </c>
      <c r="B34" s="67">
        <f>0.7*DADOS_PROJETO!$B$6</f>
        <v/>
      </c>
      <c r="C34" s="68" t="inlineStr">
        <is>
          <t>m²</t>
        </is>
      </c>
      <c r="D34" s="74" t="n">
        <v>0.7</v>
      </c>
      <c r="E34" s="67">
        <f>IF(B34&gt;0,G34/B34,0)</f>
        <v/>
      </c>
      <c r="F34" s="67">
        <f>IF(B34&gt;0,H34/B34,0)</f>
        <v/>
      </c>
      <c r="G34" s="67">
        <f>I34*0.4</f>
        <v/>
      </c>
      <c r="H34" s="67">
        <f>I34*0.60</f>
        <v/>
      </c>
      <c r="I34" s="67">
        <f>CUSTOS_MACROGRUPO!$G$12*1.0*0.08</f>
        <v/>
      </c>
    </row>
    <row r="35">
      <c r="A35" s="70" t="inlineStr">
        <is>
          <t>Tratamento de trincas em teto (tela + massa)</t>
        </is>
      </c>
      <c r="B35" s="71">
        <f>0.1*DADOS_PROJETO!$B$6</f>
        <v/>
      </c>
      <c r="C35" s="72" t="inlineStr">
        <is>
          <t>m²</t>
        </is>
      </c>
      <c r="D35" s="73" t="n">
        <v>0.1</v>
      </c>
      <c r="E35" s="71">
        <f>IF(B35&gt;0,G35/B35,0)</f>
        <v/>
      </c>
      <c r="F35" s="71">
        <f>IF(B35&gt;0,H35/B35,0)</f>
        <v/>
      </c>
      <c r="G35" s="71">
        <f>I35*0.45</f>
        <v/>
      </c>
      <c r="H35" s="71">
        <f>I35*0.55</f>
        <v/>
      </c>
      <c r="I35" s="71">
        <f>CUSTOS_MACROGRUPO!$G$12*1.0*0.04</f>
        <v/>
      </c>
    </row>
    <row r="36">
      <c r="A36" s="66" t="inlineStr">
        <is>
          <t>Cortineiro em gesso</t>
        </is>
      </c>
      <c r="B36" s="67">
        <f>0.08*DADOS_PROJETO!$B$6</f>
        <v/>
      </c>
      <c r="C36" s="68" t="inlineStr">
        <is>
          <t>m</t>
        </is>
      </c>
      <c r="D36" s="74" t="n">
        <v>0.08</v>
      </c>
      <c r="E36" s="67">
        <f>IF(B36&gt;0,G36/B36,0)</f>
        <v/>
      </c>
      <c r="F36" s="67">
        <f>IF(B36&gt;0,H36/B36,0)</f>
        <v/>
      </c>
      <c r="G36" s="67">
        <f>I36*0.4</f>
        <v/>
      </c>
      <c r="H36" s="67">
        <f>I36*0.60</f>
        <v/>
      </c>
      <c r="I36" s="67">
        <f>CUSTOS_MACROGRUPO!$G$12*1.0*0.04</f>
        <v/>
      </c>
    </row>
    <row r="37">
      <c r="A37" s="70" t="inlineStr">
        <is>
          <t>Acabamento shaft/alçapão</t>
        </is>
      </c>
      <c r="B37" s="71">
        <f>43</f>
        <v/>
      </c>
      <c r="C37" s="72" t="inlineStr">
        <is>
          <t>un</t>
        </is>
      </c>
      <c r="D37" s="73" t="n">
        <v>43</v>
      </c>
      <c r="E37" s="71">
        <f>IF(B37&gt;0,G37/B37,0)</f>
        <v/>
      </c>
      <c r="F37" s="71">
        <f>IF(B37&gt;0,H37/B37,0)</f>
        <v/>
      </c>
      <c r="G37" s="71">
        <f>I37*0.5</f>
        <v/>
      </c>
      <c r="H37" s="71">
        <f>I37*0.50</f>
        <v/>
      </c>
      <c r="I37" s="71">
        <f>CUSTOS_MACROGRUPO!$G$12*1.0*0.04</f>
        <v/>
      </c>
    </row>
    <row r="38">
      <c r="A38" s="75" t="inlineStr">
        <is>
          <t>Subtotal 2. TETO / FORRO</t>
        </is>
      </c>
      <c r="B38" s="76" t="n"/>
      <c r="C38" s="76" t="n"/>
      <c r="D38" s="76" t="n"/>
      <c r="E38" s="76" t="n"/>
      <c r="F38" s="76" t="n"/>
      <c r="G38" s="77">
        <f>SUM(G26:G37)</f>
        <v/>
      </c>
      <c r="H38" s="77">
        <f>SUM(H26:H37)</f>
        <v/>
      </c>
      <c r="I38" s="77">
        <f>SUM(I26:I37)</f>
        <v/>
      </c>
    </row>
    <row r="40">
      <c r="A40" s="65" t="inlineStr">
        <is>
          <t>3. PISOS</t>
        </is>
      </c>
      <c r="B40" s="60" t="n"/>
      <c r="C40" s="60" t="n"/>
      <c r="D40" s="60" t="n"/>
      <c r="E40" s="60" t="n"/>
      <c r="F40" s="60" t="n"/>
      <c r="G40" s="60" t="n"/>
      <c r="H40" s="60" t="n"/>
      <c r="I40" s="61" t="n"/>
    </row>
    <row r="41">
      <c r="A41" s="66" t="inlineStr">
        <is>
          <t>Contrapiso (argamassa e=4cm)</t>
        </is>
      </c>
      <c r="B41" s="67">
        <f>0.7*DADOS_PROJETO!$B$6</f>
        <v/>
      </c>
      <c r="C41" s="68" t="inlineStr">
        <is>
          <t>m²</t>
        </is>
      </c>
      <c r="D41" s="74" t="n">
        <v>0.7</v>
      </c>
      <c r="E41" s="67">
        <f>IF(B41&gt;0,G41/B41,0)</f>
        <v/>
      </c>
      <c r="F41" s="67">
        <f>IF(B41&gt;0,H41/B41,0)</f>
        <v/>
      </c>
      <c r="G41" s="67">
        <f>I41*0.48</f>
        <v/>
      </c>
      <c r="H41" s="67">
        <f>I41*0.52</f>
        <v/>
      </c>
      <c r="I41" s="67">
        <f>CUSTOS_MACROGRUPO!$G$13*1.0*0.12</f>
        <v/>
      </c>
    </row>
    <row r="42">
      <c r="A42" s="70" t="inlineStr">
        <is>
          <t>Porcelanato retificado — Salas/quartos (60×60 ou 80×80)</t>
        </is>
      </c>
      <c r="B42" s="71">
        <f>0.35*DADOS_PROJETO!$B$6</f>
        <v/>
      </c>
      <c r="C42" s="72" t="inlineStr">
        <is>
          <t>m²</t>
        </is>
      </c>
      <c r="D42" s="73" t="n">
        <v>0.35</v>
      </c>
      <c r="E42" s="71">
        <f>IF(B42&gt;0,G42/B42,0)</f>
        <v/>
      </c>
      <c r="F42" s="71">
        <f>IF(B42&gt;0,H42/B42,0)</f>
        <v/>
      </c>
      <c r="G42" s="71">
        <f>I42*0.55</f>
        <v/>
      </c>
      <c r="H42" s="71">
        <f>I42*0.45</f>
        <v/>
      </c>
      <c r="I42" s="71">
        <f>CUSTOS_MACROGRUPO!$G$13*1.0*0.16</f>
        <v/>
      </c>
    </row>
    <row r="43">
      <c r="A43" s="66" t="inlineStr">
        <is>
          <t>Porcelanato retificado — Áreas molhadas (antiderrapante)</t>
        </is>
      </c>
      <c r="B43" s="67">
        <f>0.12*DADOS_PROJETO!$B$6</f>
        <v/>
      </c>
      <c r="C43" s="68" t="inlineStr">
        <is>
          <t>m²</t>
        </is>
      </c>
      <c r="D43" s="74" t="n">
        <v>0.12</v>
      </c>
      <c r="E43" s="67">
        <f>IF(B43&gt;0,G43/B43,0)</f>
        <v/>
      </c>
      <c r="F43" s="67">
        <f>IF(B43&gt;0,H43/B43,0)</f>
        <v/>
      </c>
      <c r="G43" s="67">
        <f>I43*0.55</f>
        <v/>
      </c>
      <c r="H43" s="67">
        <f>I43*0.45</f>
        <v/>
      </c>
      <c r="I43" s="67">
        <f>CUSTOS_MACROGRUPO!$G$13*1.0*0.06</f>
        <v/>
      </c>
    </row>
    <row r="44">
      <c r="A44" s="70" t="inlineStr">
        <is>
          <t>Porcelanato — Sacadas/varandas</t>
        </is>
      </c>
      <c r="B44" s="71">
        <f>0.05*DADOS_PROJETO!$B$6</f>
        <v/>
      </c>
      <c r="C44" s="72" t="inlineStr">
        <is>
          <t>m²</t>
        </is>
      </c>
      <c r="D44" s="73" t="n">
        <v>0.05</v>
      </c>
      <c r="E44" s="71">
        <f>IF(B44&gt;0,G44/B44,0)</f>
        <v/>
      </c>
      <c r="F44" s="71">
        <f>IF(B44&gt;0,H44/B44,0)</f>
        <v/>
      </c>
      <c r="G44" s="71">
        <f>I44*0.55</f>
        <v/>
      </c>
      <c r="H44" s="71">
        <f>I44*0.45</f>
        <v/>
      </c>
      <c r="I44" s="71">
        <f>CUSTOS_MACROGRUPO!$G$13*1.0*0.04</f>
        <v/>
      </c>
    </row>
    <row r="45">
      <c r="A45" s="66" t="inlineStr">
        <is>
          <t>Porcelanato — Áreas comuns (lobby, circulação)</t>
        </is>
      </c>
      <c r="B45" s="67">
        <f>0.06*DADOS_PROJETO!$B$6</f>
        <v/>
      </c>
      <c r="C45" s="68" t="inlineStr">
        <is>
          <t>m²</t>
        </is>
      </c>
      <c r="D45" s="74" t="n">
        <v>0.06</v>
      </c>
      <c r="E45" s="67">
        <f>IF(B45&gt;0,G45/B45,0)</f>
        <v/>
      </c>
      <c r="F45" s="67">
        <f>IF(B45&gt;0,H45/B45,0)</f>
        <v/>
      </c>
      <c r="G45" s="67">
        <f>I45*0.55</f>
        <v/>
      </c>
      <c r="H45" s="67">
        <f>I45*0.45</f>
        <v/>
      </c>
      <c r="I45" s="67">
        <f>CUSTOS_MACROGRUPO!$G$13*1.0*0.06</f>
        <v/>
      </c>
    </row>
    <row r="46">
      <c r="A46" s="70" t="inlineStr">
        <is>
          <t>Piso cimentício / epóxi — Garagem</t>
        </is>
      </c>
      <c r="B46" s="71">
        <f>0.1*DADOS_PROJETO!$B$6</f>
        <v/>
      </c>
      <c r="C46" s="72" t="inlineStr">
        <is>
          <t>m²</t>
        </is>
      </c>
      <c r="D46" s="73" t="n">
        <v>0.1</v>
      </c>
      <c r="E46" s="71">
        <f>IF(B46&gt;0,G46/B46,0)</f>
        <v/>
      </c>
      <c r="F46" s="71">
        <f>IF(B46&gt;0,H46/B46,0)</f>
        <v/>
      </c>
      <c r="G46" s="71">
        <f>I46*0.5</f>
        <v/>
      </c>
      <c r="H46" s="71">
        <f>I46*0.50</f>
        <v/>
      </c>
      <c r="I46" s="71">
        <f>CUSTOS_MACROGRUPO!$G$13*1.0*0.08</f>
        <v/>
      </c>
    </row>
    <row r="47">
      <c r="A47" s="66" t="inlineStr">
        <is>
          <t>Piso intertravado — Áreas externas</t>
        </is>
      </c>
      <c r="B47" s="67">
        <f>0.03*DADOS_PROJETO!$B$6</f>
        <v/>
      </c>
      <c r="C47" s="68" t="inlineStr">
        <is>
          <t>m²</t>
        </is>
      </c>
      <c r="D47" s="74" t="n">
        <v>0.03</v>
      </c>
      <c r="E47" s="67">
        <f>IF(B47&gt;0,G47/B47,0)</f>
        <v/>
      </c>
      <c r="F47" s="67">
        <f>IF(B47&gt;0,H47/B47,0)</f>
        <v/>
      </c>
      <c r="G47" s="67">
        <f>I47*0.52</f>
        <v/>
      </c>
      <c r="H47" s="67">
        <f>I47*0.48</f>
        <v/>
      </c>
      <c r="I47" s="67">
        <f>CUSTOS_MACROGRUPO!$G$13*1.0*0.03</f>
        <v/>
      </c>
    </row>
    <row r="48">
      <c r="A48" s="70" t="inlineStr">
        <is>
          <t>Soleira granito/porcelanato (portas)</t>
        </is>
      </c>
      <c r="B48" s="71">
        <f>0.1*DADOS_PROJETO!$B$6</f>
        <v/>
      </c>
      <c r="C48" s="72" t="inlineStr">
        <is>
          <t>m</t>
        </is>
      </c>
      <c r="D48" s="73" t="n">
        <v>0.1</v>
      </c>
      <c r="E48" s="71">
        <f>IF(B48&gt;0,G48/B48,0)</f>
        <v/>
      </c>
      <c r="F48" s="71">
        <f>IF(B48&gt;0,H48/B48,0)</f>
        <v/>
      </c>
      <c r="G48" s="71">
        <f>I48*0.6</f>
        <v/>
      </c>
      <c r="H48" s="71">
        <f>I48*0.40</f>
        <v/>
      </c>
      <c r="I48" s="71">
        <f>CUSTOS_MACROGRUPO!$G$13*1.0*0.04</f>
        <v/>
      </c>
    </row>
    <row r="49">
      <c r="A49" s="66" t="inlineStr">
        <is>
          <t>Peitoril granito (janelas)</t>
        </is>
      </c>
      <c r="B49" s="67">
        <f>0.06*DADOS_PROJETO!$B$6</f>
        <v/>
      </c>
      <c r="C49" s="68" t="inlineStr">
        <is>
          <t>m</t>
        </is>
      </c>
      <c r="D49" s="74" t="n">
        <v>0.06</v>
      </c>
      <c r="E49" s="67">
        <f>IF(B49&gt;0,G49/B49,0)</f>
        <v/>
      </c>
      <c r="F49" s="67">
        <f>IF(B49&gt;0,H49/B49,0)</f>
        <v/>
      </c>
      <c r="G49" s="67">
        <f>I49*0.6</f>
        <v/>
      </c>
      <c r="H49" s="67">
        <f>I49*0.40</f>
        <v/>
      </c>
      <c r="I49" s="67">
        <f>CUSTOS_MACROGRUPO!$G$13*1.0*0.03</f>
        <v/>
      </c>
    </row>
    <row r="50">
      <c r="A50" s="70" t="inlineStr">
        <is>
          <t>Rodapé cerâmico/porcelanato</t>
        </is>
      </c>
      <c r="B50" s="71">
        <f>0.5*DADOS_PROJETO!$B$6</f>
        <v/>
      </c>
      <c r="C50" s="72" t="inlineStr">
        <is>
          <t>m</t>
        </is>
      </c>
      <c r="D50" s="73" t="n">
        <v>0.5</v>
      </c>
      <c r="E50" s="71">
        <f>IF(B50&gt;0,G50/B50,0)</f>
        <v/>
      </c>
      <c r="F50" s="71">
        <f>IF(B50&gt;0,H50/B50,0)</f>
        <v/>
      </c>
      <c r="G50" s="71">
        <f>I50*0.55</f>
        <v/>
      </c>
      <c r="H50" s="71">
        <f>I50*0.45</f>
        <v/>
      </c>
      <c r="I50" s="71">
        <f>CUSTOS_MACROGRUPO!$G$13*1.0*0.06</f>
        <v/>
      </c>
    </row>
    <row r="51">
      <c r="A51" s="66" t="inlineStr">
        <is>
          <t>Rodapé madeira/MDF (quartos)</t>
        </is>
      </c>
      <c r="B51" s="67">
        <f>0.2*DADOS_PROJETO!$B$6</f>
        <v/>
      </c>
      <c r="C51" s="68" t="inlineStr">
        <is>
          <t>m</t>
        </is>
      </c>
      <c r="D51" s="74" t="n">
        <v>0.2</v>
      </c>
      <c r="E51" s="67">
        <f>IF(B51&gt;0,G51/B51,0)</f>
        <v/>
      </c>
      <c r="F51" s="67">
        <f>IF(B51&gt;0,H51/B51,0)</f>
        <v/>
      </c>
      <c r="G51" s="67">
        <f>I51*0.6</f>
        <v/>
      </c>
      <c r="H51" s="67">
        <f>I51*0.40</f>
        <v/>
      </c>
      <c r="I51" s="67">
        <f>CUSTOS_MACROGRUPO!$G$13*1.0*0.03</f>
        <v/>
      </c>
    </row>
    <row r="52">
      <c r="A52" s="70" t="inlineStr">
        <is>
          <t>Degraus escada (granito/porcelanato)</t>
        </is>
      </c>
      <c r="B52" s="71">
        <f>350</f>
        <v/>
      </c>
      <c r="C52" s="72" t="inlineStr">
        <is>
          <t>un</t>
        </is>
      </c>
      <c r="D52" s="73" t="n">
        <v>350</v>
      </c>
      <c r="E52" s="71">
        <f>IF(B52&gt;0,G52/B52,0)</f>
        <v/>
      </c>
      <c r="F52" s="71">
        <f>IF(B52&gt;0,H52/B52,0)</f>
        <v/>
      </c>
      <c r="G52" s="71">
        <f>I52*0.55</f>
        <v/>
      </c>
      <c r="H52" s="71">
        <f>I52*0.45</f>
        <v/>
      </c>
      <c r="I52" s="71">
        <f>CUSTOS_MACROGRUPO!$G$13*1.0*0.05</f>
        <v/>
      </c>
    </row>
    <row r="53">
      <c r="A53" s="66" t="inlineStr">
        <is>
          <t>Rejunte pisos (epóxi áreas molhadas + cimentício)</t>
        </is>
      </c>
      <c r="B53" s="67">
        <f>0.68*DADOS_PROJETO!$B$6</f>
        <v/>
      </c>
      <c r="C53" s="68" t="inlineStr">
        <is>
          <t>m²</t>
        </is>
      </c>
      <c r="D53" s="74" t="n">
        <v>0.68</v>
      </c>
      <c r="E53" s="67">
        <f>IF(B53&gt;0,G53/B53,0)</f>
        <v/>
      </c>
      <c r="F53" s="67">
        <f>IF(B53&gt;0,H53/B53,0)</f>
        <v/>
      </c>
      <c r="G53" s="67">
        <f>I53*0.65</f>
        <v/>
      </c>
      <c r="H53" s="67">
        <f>I53*0.35</f>
        <v/>
      </c>
      <c r="I53" s="67">
        <f>CUSTOS_MACROGRUPO!$G$13*1.0*0.04</f>
        <v/>
      </c>
    </row>
    <row r="54">
      <c r="A54" s="70" t="inlineStr">
        <is>
          <t>Argamassa colante para pisos</t>
        </is>
      </c>
      <c r="B54" s="71">
        <f>0.68*DADOS_PROJETO!$B$6</f>
        <v/>
      </c>
      <c r="C54" s="72" t="inlineStr">
        <is>
          <t>m²</t>
        </is>
      </c>
      <c r="D54" s="73" t="n">
        <v>0.68</v>
      </c>
      <c r="E54" s="71">
        <f>IF(B54&gt;0,G54/B54,0)</f>
        <v/>
      </c>
      <c r="F54" s="71">
        <f>IF(B54&gt;0,H54/B54,0)</f>
        <v/>
      </c>
      <c r="G54" s="71">
        <f>I54*0.7</f>
        <v/>
      </c>
      <c r="H54" s="71">
        <f>I54*0.30</f>
        <v/>
      </c>
      <c r="I54" s="71">
        <f>CUSTOS_MACROGRUPO!$G$13*1.0*0.05</f>
        <v/>
      </c>
    </row>
    <row r="55">
      <c r="A55" s="66" t="inlineStr">
        <is>
          <t>Manta acústica sob piso</t>
        </is>
      </c>
      <c r="B55" s="67">
        <f>0.35*DADOS_PROJETO!$B$6</f>
        <v/>
      </c>
      <c r="C55" s="68" t="inlineStr">
        <is>
          <t>m²</t>
        </is>
      </c>
      <c r="D55" s="74" t="n">
        <v>0.35</v>
      </c>
      <c r="E55" s="67">
        <f>IF(B55&gt;0,G55/B55,0)</f>
        <v/>
      </c>
      <c r="F55" s="67">
        <f>IF(B55&gt;0,H55/B55,0)</f>
        <v/>
      </c>
      <c r="G55" s="67">
        <f>I55*0.8</f>
        <v/>
      </c>
      <c r="H55" s="67">
        <f>I55*0.20</f>
        <v/>
      </c>
      <c r="I55" s="67">
        <f>CUSTOS_MACROGRUPO!$G$13*1.0*0.05</f>
        <v/>
      </c>
    </row>
    <row r="56">
      <c r="A56" s="70" t="inlineStr">
        <is>
          <t>Regularização/nivelamento laser</t>
        </is>
      </c>
      <c r="B56" s="71">
        <f>0.7*DADOS_PROJETO!$B$6</f>
        <v/>
      </c>
      <c r="C56" s="72" t="inlineStr">
        <is>
          <t>m²</t>
        </is>
      </c>
      <c r="D56" s="73" t="n">
        <v>0.7</v>
      </c>
      <c r="E56" s="71">
        <f>IF(B56&gt;0,G56/B56,0)</f>
        <v/>
      </c>
      <c r="F56" s="71">
        <f>IF(B56&gt;0,H56/B56,0)</f>
        <v/>
      </c>
      <c r="G56" s="71">
        <f>I56*0.4</f>
        <v/>
      </c>
      <c r="H56" s="71">
        <f>I56*0.60</f>
        <v/>
      </c>
      <c r="I56" s="71">
        <f>CUSTOS_MACROGRUPO!$G$13*1.0*0.06</f>
        <v/>
      </c>
    </row>
    <row r="57">
      <c r="A57" s="66" t="inlineStr">
        <is>
          <t>Junta de dilatação piso garagem</t>
        </is>
      </c>
      <c r="B57" s="67">
        <f>0.01*DADOS_PROJETO!$B$6</f>
        <v/>
      </c>
      <c r="C57" s="68" t="inlineStr">
        <is>
          <t>m</t>
        </is>
      </c>
      <c r="D57" s="74" t="n">
        <v>0.01</v>
      </c>
      <c r="E57" s="67">
        <f>IF(B57&gt;0,G57/B57,0)</f>
        <v/>
      </c>
      <c r="F57" s="67">
        <f>IF(B57&gt;0,H57/B57,0)</f>
        <v/>
      </c>
      <c r="G57" s="67">
        <f>I57*0.55</f>
        <v/>
      </c>
      <c r="H57" s="67">
        <f>I57*0.45</f>
        <v/>
      </c>
      <c r="I57" s="67">
        <f>CUSTOS_MACROGRUPO!$G$13*1.0*0.02</f>
        <v/>
      </c>
    </row>
    <row r="58">
      <c r="A58" s="70" t="inlineStr">
        <is>
          <t>Rampa acessibilidade (piso tátil)</t>
        </is>
      </c>
      <c r="B58" s="71">
        <f>0.005*DADOS_PROJETO!$B$6</f>
        <v/>
      </c>
      <c r="C58" s="72" t="inlineStr">
        <is>
          <t>m²</t>
        </is>
      </c>
      <c r="D58" s="73" t="n">
        <v>0.005</v>
      </c>
      <c r="E58" s="71">
        <f>IF(B58&gt;0,G58/B58,0)</f>
        <v/>
      </c>
      <c r="F58" s="71">
        <f>IF(B58&gt;0,H58/B58,0)</f>
        <v/>
      </c>
      <c r="G58" s="71">
        <f>I58*0.5</f>
        <v/>
      </c>
      <c r="H58" s="71">
        <f>I58*0.50</f>
        <v/>
      </c>
      <c r="I58" s="71">
        <f>CUSTOS_MACROGRUPO!$G$13*1.0*0.02</f>
        <v/>
      </c>
    </row>
    <row r="59">
      <c r="A59" s="75" t="inlineStr">
        <is>
          <t>Subtotal 3. PISOS</t>
        </is>
      </c>
      <c r="B59" s="76" t="n"/>
      <c r="C59" s="76" t="n"/>
      <c r="D59" s="76" t="n"/>
      <c r="E59" s="76" t="n"/>
      <c r="F59" s="76" t="n"/>
      <c r="G59" s="77">
        <f>SUM(G41:G58)</f>
        <v/>
      </c>
      <c r="H59" s="77">
        <f>SUM(H41:H58)</f>
        <v/>
      </c>
      <c r="I59" s="77">
        <f>SUM(I41:I58)</f>
        <v/>
      </c>
    </row>
    <row r="61">
      <c r="A61" s="65" t="inlineStr">
        <is>
          <t>4. PINTURA</t>
        </is>
      </c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6" t="inlineStr">
        <is>
          <t>Pintura látex PVA — Paredes internas (2 demãos)</t>
        </is>
      </c>
      <c r="B62" s="67">
        <f>1.4*DADOS_PROJETO!$B$6</f>
        <v/>
      </c>
      <c r="C62" s="68" t="inlineStr">
        <is>
          <t>m²</t>
        </is>
      </c>
      <c r="D62" s="74" t="n">
        <v>1.4</v>
      </c>
      <c r="E62" s="67">
        <f>IF(B62&gt;0,G62/B62,0)</f>
        <v/>
      </c>
      <c r="F62" s="67">
        <f>IF(B62&gt;0,H62/B62,0)</f>
        <v/>
      </c>
      <c r="G62" s="67">
        <f>I62*0.35</f>
        <v/>
      </c>
      <c r="H62" s="67">
        <f>I62*0.65</f>
        <v/>
      </c>
      <c r="I62" s="67">
        <f>CUSTOS_MACROGRUPO!$G$14*1.0*0.28</f>
        <v/>
      </c>
    </row>
    <row r="63">
      <c r="A63" s="70" t="inlineStr">
        <is>
          <t>Pintura acrílica — Paredes externas (2 demãos)</t>
        </is>
      </c>
      <c r="B63" s="71">
        <f>0.3*DADOS_PROJETO!$B$6</f>
        <v/>
      </c>
      <c r="C63" s="72" t="inlineStr">
        <is>
          <t>m²</t>
        </is>
      </c>
      <c r="D63" s="73" t="n">
        <v>0.3</v>
      </c>
      <c r="E63" s="71">
        <f>IF(B63&gt;0,G63/B63,0)</f>
        <v/>
      </c>
      <c r="F63" s="71">
        <f>IF(B63&gt;0,H63/B63,0)</f>
        <v/>
      </c>
      <c r="G63" s="71">
        <f>I63*0.38</f>
        <v/>
      </c>
      <c r="H63" s="71">
        <f>I63*0.62</f>
        <v/>
      </c>
      <c r="I63" s="71">
        <f>CUSTOS_MACROGRUPO!$G$14*1.0*0.1</f>
        <v/>
      </c>
    </row>
    <row r="64">
      <c r="A64" s="66" t="inlineStr">
        <is>
          <t>Pintura acrílica — Teto (2 demãos)</t>
        </is>
      </c>
      <c r="B64" s="67">
        <f>0.65*DADOS_PROJETO!$B$6</f>
        <v/>
      </c>
      <c r="C64" s="68" t="inlineStr">
        <is>
          <t>m²</t>
        </is>
      </c>
      <c r="D64" s="74" t="n">
        <v>0.65</v>
      </c>
      <c r="E64" s="67">
        <f>IF(B64&gt;0,G64/B64,0)</f>
        <v/>
      </c>
      <c r="F64" s="67">
        <f>IF(B64&gt;0,H64/B64,0)</f>
        <v/>
      </c>
      <c r="G64" s="67">
        <f>I64*0.35</f>
        <v/>
      </c>
      <c r="H64" s="67">
        <f>I64*0.65</f>
        <v/>
      </c>
      <c r="I64" s="67">
        <f>CUSTOS_MACROGRUPO!$G$14*1.0*0.15</f>
        <v/>
      </c>
    </row>
    <row r="65">
      <c r="A65" s="70" t="inlineStr">
        <is>
          <t>Pintura epóxi — Piso garagem</t>
        </is>
      </c>
      <c r="B65" s="71">
        <f>0.1*DADOS_PROJETO!$B$6</f>
        <v/>
      </c>
      <c r="C65" s="72" t="inlineStr">
        <is>
          <t>m²</t>
        </is>
      </c>
      <c r="D65" s="73" t="n">
        <v>0.1</v>
      </c>
      <c r="E65" s="71">
        <f>IF(B65&gt;0,G65/B65,0)</f>
        <v/>
      </c>
      <c r="F65" s="71">
        <f>IF(B65&gt;0,H65/B65,0)</f>
        <v/>
      </c>
      <c r="G65" s="71">
        <f>I65*0.42</f>
        <v/>
      </c>
      <c r="H65" s="71">
        <f>I65*0.58</f>
        <v/>
      </c>
      <c r="I65" s="71">
        <f>CUSTOS_MACROGRUPO!$G$14*1.0*0.08</f>
        <v/>
      </c>
    </row>
    <row r="66">
      <c r="A66" s="66" t="inlineStr">
        <is>
          <t>Pintura esmalte — Esquadrias metálicas/grades</t>
        </is>
      </c>
      <c r="B66" s="67">
        <f>0.06*DADOS_PROJETO!$B$6</f>
        <v/>
      </c>
      <c r="C66" s="68" t="inlineStr">
        <is>
          <t>m²</t>
        </is>
      </c>
      <c r="D66" s="74" t="n">
        <v>0.06</v>
      </c>
      <c r="E66" s="67">
        <f>IF(B66&gt;0,G66/B66,0)</f>
        <v/>
      </c>
      <c r="F66" s="67">
        <f>IF(B66&gt;0,H66/B66,0)</f>
        <v/>
      </c>
      <c r="G66" s="67">
        <f>I66*0.4</f>
        <v/>
      </c>
      <c r="H66" s="67">
        <f>I66*0.60</f>
        <v/>
      </c>
      <c r="I66" s="67">
        <f>CUSTOS_MACROGRUPO!$G$14*1.0*0.05</f>
        <v/>
      </c>
    </row>
    <row r="67">
      <c r="A67" s="70" t="inlineStr">
        <is>
          <t>Textura acrílica — Áreas comuns selecionadas</t>
        </is>
      </c>
      <c r="B67" s="71">
        <f>0.04*DADOS_PROJETO!$B$6</f>
        <v/>
      </c>
      <c r="C67" s="72" t="inlineStr">
        <is>
          <t>m²</t>
        </is>
      </c>
      <c r="D67" s="73" t="n">
        <v>0.04</v>
      </c>
      <c r="E67" s="71">
        <f>IF(B67&gt;0,G67/B67,0)</f>
        <v/>
      </c>
      <c r="F67" s="71">
        <f>IF(B67&gt;0,H67/B67,0)</f>
        <v/>
      </c>
      <c r="G67" s="71">
        <f>I67*0.42</f>
        <v/>
      </c>
      <c r="H67" s="71">
        <f>I67*0.58</f>
        <v/>
      </c>
      <c r="I67" s="71">
        <f>CUSTOS_MACROGRUPO!$G$14*1.0*0.05</f>
        <v/>
      </c>
    </row>
    <row r="68">
      <c r="A68" s="66" t="inlineStr">
        <is>
          <t>Verniz / stain — Madeiras</t>
        </is>
      </c>
      <c r="B68" s="67">
        <f>0.03*DADOS_PROJETO!$B$6</f>
        <v/>
      </c>
      <c r="C68" s="68" t="inlineStr">
        <is>
          <t>m²</t>
        </is>
      </c>
      <c r="D68" s="74" t="n">
        <v>0.03</v>
      </c>
      <c r="E68" s="67">
        <f>IF(B68&gt;0,G68/B68,0)</f>
        <v/>
      </c>
      <c r="F68" s="67">
        <f>IF(B68&gt;0,H68/B68,0)</f>
        <v/>
      </c>
      <c r="G68" s="67">
        <f>I68*0.45</f>
        <v/>
      </c>
      <c r="H68" s="67">
        <f>I68*0.55</f>
        <v/>
      </c>
      <c r="I68" s="67">
        <f>CUSTOS_MACROGRUPO!$G$14*1.0*0.03</f>
        <v/>
      </c>
    </row>
    <row r="69">
      <c r="A69" s="70" t="inlineStr">
        <is>
          <t>Massa corrida (incluída no revestimento, complemento)</t>
        </is>
      </c>
      <c r="B69" s="71">
        <f>0.2*DADOS_PROJETO!$B$6</f>
        <v/>
      </c>
      <c r="C69" s="72" t="inlineStr">
        <is>
          <t>m²</t>
        </is>
      </c>
      <c r="D69" s="73" t="n">
        <v>0.2</v>
      </c>
      <c r="E69" s="71">
        <f>IF(B69&gt;0,G69/B69,0)</f>
        <v/>
      </c>
      <c r="F69" s="71">
        <f>IF(B69&gt;0,H69/B69,0)</f>
        <v/>
      </c>
      <c r="G69" s="71">
        <f>I69*0.4</f>
        <v/>
      </c>
      <c r="H69" s="71">
        <f>I69*0.60</f>
        <v/>
      </c>
      <c r="I69" s="71">
        <f>CUSTOS_MACROGRUPO!$G$14*1.0*0.06</f>
        <v/>
      </c>
    </row>
    <row r="70">
      <c r="A70" s="66" t="inlineStr">
        <is>
          <t>Selador acrílico (preparação)</t>
        </is>
      </c>
      <c r="B70" s="67">
        <f>1.5*DADOS_PROJETO!$B$6</f>
        <v/>
      </c>
      <c r="C70" s="68" t="inlineStr">
        <is>
          <t>m²</t>
        </is>
      </c>
      <c r="D70" s="74" t="n">
        <v>1.5</v>
      </c>
      <c r="E70" s="67">
        <f>IF(B70&gt;0,G70/B70,0)</f>
        <v/>
      </c>
      <c r="F70" s="67">
        <f>IF(B70&gt;0,H70/B70,0)</f>
        <v/>
      </c>
      <c r="G70" s="67">
        <f>I70*0.5</f>
        <v/>
      </c>
      <c r="H70" s="67">
        <f>I70*0.50</f>
        <v/>
      </c>
      <c r="I70" s="67">
        <f>CUSTOS_MACROGRUPO!$G$14*1.0*0.06</f>
        <v/>
      </c>
    </row>
    <row r="71">
      <c r="A71" s="70" t="inlineStr">
        <is>
          <t>Demarcação vagas garagem (tinta epóxi)</t>
        </is>
      </c>
      <c r="B71" s="71">
        <f>0.03*DADOS_PROJETO!$B$6</f>
        <v/>
      </c>
      <c r="C71" s="72" t="inlineStr">
        <is>
          <t>m</t>
        </is>
      </c>
      <c r="D71" s="73" t="n">
        <v>0.03</v>
      </c>
      <c r="E71" s="71">
        <f>IF(B71&gt;0,G71/B71,0)</f>
        <v/>
      </c>
      <c r="F71" s="71">
        <f>IF(B71&gt;0,H71/B71,0)</f>
        <v/>
      </c>
      <c r="G71" s="71">
        <f>I71*0.38</f>
        <v/>
      </c>
      <c r="H71" s="71">
        <f>I71*0.62</f>
        <v/>
      </c>
      <c r="I71" s="71">
        <f>CUSTOS_MACROGRUPO!$G$14*1.0*0.03</f>
        <v/>
      </c>
    </row>
    <row r="72">
      <c r="A72" s="66" t="inlineStr">
        <is>
          <t>Pintura de tubulações aparentes</t>
        </is>
      </c>
      <c r="B72" s="67">
        <f>0.05*DADOS_PROJETO!$B$6</f>
        <v/>
      </c>
      <c r="C72" s="68" t="inlineStr">
        <is>
          <t>m</t>
        </is>
      </c>
      <c r="D72" s="74" t="n">
        <v>0.05</v>
      </c>
      <c r="E72" s="67">
        <f>IF(B72&gt;0,G72/B72,0)</f>
        <v/>
      </c>
      <c r="F72" s="67">
        <f>IF(B72&gt;0,H72/B72,0)</f>
        <v/>
      </c>
      <c r="G72" s="67">
        <f>I72*0.35</f>
        <v/>
      </c>
      <c r="H72" s="67">
        <f>I72*0.65</f>
        <v/>
      </c>
      <c r="I72" s="67">
        <f>CUSTOS_MACROGRUPO!$G$14*1.0*0.03</f>
        <v/>
      </c>
    </row>
    <row r="73">
      <c r="A73" s="70" t="inlineStr">
        <is>
          <t>Fundo preparador / primer</t>
        </is>
      </c>
      <c r="B73" s="71">
        <f>0.5*DADOS_PROJETO!$B$6</f>
        <v/>
      </c>
      <c r="C73" s="72" t="inlineStr">
        <is>
          <t>m²</t>
        </is>
      </c>
      <c r="D73" s="73" t="n">
        <v>0.5</v>
      </c>
      <c r="E73" s="71">
        <f>IF(B73&gt;0,G73/B73,0)</f>
        <v/>
      </c>
      <c r="F73" s="71">
        <f>IF(B73&gt;0,H73/B73,0)</f>
        <v/>
      </c>
      <c r="G73" s="71">
        <f>I73*0.5</f>
        <v/>
      </c>
      <c r="H73" s="71">
        <f>I73*0.50</f>
        <v/>
      </c>
      <c r="I73" s="71">
        <f>CUSTOS_MACROGRUPO!$G$14*1.0*0.04</f>
        <v/>
      </c>
    </row>
    <row r="74">
      <c r="A74" s="66" t="inlineStr">
        <is>
          <t>Pintura de numeração (portas, vagas)</t>
        </is>
      </c>
      <c r="B74" s="67">
        <f>180</f>
        <v/>
      </c>
      <c r="C74" s="68" t="inlineStr">
        <is>
          <t>un</t>
        </is>
      </c>
      <c r="D74" s="74" t="n">
        <v>180</v>
      </c>
      <c r="E74" s="67">
        <f>IF(B74&gt;0,G74/B74,0)</f>
        <v/>
      </c>
      <c r="F74" s="67">
        <f>IF(B74&gt;0,H74/B74,0)</f>
        <v/>
      </c>
      <c r="G74" s="67">
        <f>I74*0.3</f>
        <v/>
      </c>
      <c r="H74" s="67">
        <f>I74*0.70</f>
        <v/>
      </c>
      <c r="I74" s="67">
        <f>CUSTOS_MACROGRUPO!$G$14*1.0*0.02</f>
        <v/>
      </c>
    </row>
    <row r="75">
      <c r="A75" s="70" t="inlineStr">
        <is>
          <t>Limpeza e proteção (fitas, lonas)</t>
        </is>
      </c>
      <c r="B75" s="71" t="n">
        <v>1</v>
      </c>
      <c r="C75" s="72" t="inlineStr">
        <is>
          <t>vb</t>
        </is>
      </c>
      <c r="D75" s="78" t="inlineStr">
        <is>
          <t>—</t>
        </is>
      </c>
      <c r="E75" s="71">
        <f>IF(B75&gt;0,G75/B75,0)</f>
        <v/>
      </c>
      <c r="F75" s="71">
        <f>IF(B75&gt;0,H75/B75,0)</f>
        <v/>
      </c>
      <c r="G75" s="71">
        <f>I75*0.2</f>
        <v/>
      </c>
      <c r="H75" s="71">
        <f>I75*0.80</f>
        <v/>
      </c>
      <c r="I75" s="71">
        <f>CUSTOS_MACROGRUPO!$G$14*1.0*0.02</f>
        <v/>
      </c>
    </row>
    <row r="76">
      <c r="A76" s="75" t="inlineStr">
        <is>
          <t>Subtotal 4. PINTURA</t>
        </is>
      </c>
      <c r="B76" s="76" t="n"/>
      <c r="C76" s="76" t="n"/>
      <c r="D76" s="76" t="n"/>
      <c r="E76" s="76" t="n"/>
      <c r="F76" s="76" t="n"/>
      <c r="G76" s="77">
        <f>SUM(G62:G75)</f>
        <v/>
      </c>
      <c r="H76" s="77">
        <f>SUM(H62:H75)</f>
        <v/>
      </c>
      <c r="I76" s="77">
        <f>SUM(I62:I75)</f>
        <v/>
      </c>
    </row>
    <row r="78">
      <c r="A78" s="65" t="inlineStr">
        <is>
          <t>5. ESQUADRIAS</t>
        </is>
      </c>
      <c r="B78" s="60" t="n"/>
      <c r="C78" s="60" t="n"/>
      <c r="D78" s="60" t="n"/>
      <c r="E78" s="60" t="n"/>
      <c r="F78" s="60" t="n"/>
      <c r="G78" s="60" t="n"/>
      <c r="H78" s="60" t="n"/>
      <c r="I78" s="61" t="n"/>
    </row>
    <row r="79">
      <c r="A79" s="66" t="inlineStr">
        <is>
          <t>Porta madeira interna (kit pronto 80×210)</t>
        </is>
      </c>
      <c r="B79" s="67">
        <f>200</f>
        <v/>
      </c>
      <c r="C79" s="68" t="inlineStr">
        <is>
          <t>un</t>
        </is>
      </c>
      <c r="D79" s="74" t="n">
        <v>200</v>
      </c>
      <c r="E79" s="67">
        <f>IF(B79&gt;0,G79/B79,0)</f>
        <v/>
      </c>
      <c r="F79" s="67">
        <f>IF(B79&gt;0,H79/B79,0)</f>
        <v/>
      </c>
      <c r="G79" s="67">
        <f>I79*0.68</f>
        <v/>
      </c>
      <c r="H79" s="67">
        <f>I79*0.32</f>
        <v/>
      </c>
      <c r="I79" s="67">
        <f>CUSTOS_MACROGRUPO!$G$15*1.0*0.12</f>
        <v/>
      </c>
    </row>
    <row r="80">
      <c r="A80" s="70" t="inlineStr">
        <is>
          <t>Porta entrada apartamento (acústica/segurança)</t>
        </is>
      </c>
      <c r="B80" s="71">
        <f>43</f>
        <v/>
      </c>
      <c r="C80" s="72" t="inlineStr">
        <is>
          <t>un</t>
        </is>
      </c>
      <c r="D80" s="73" t="n">
        <v>43</v>
      </c>
      <c r="E80" s="71">
        <f>IF(B80&gt;0,G80/B80,0)</f>
        <v/>
      </c>
      <c r="F80" s="71">
        <f>IF(B80&gt;0,H80/B80,0)</f>
        <v/>
      </c>
      <c r="G80" s="71">
        <f>I80*0.7</f>
        <v/>
      </c>
      <c r="H80" s="71">
        <f>I80*0.30</f>
        <v/>
      </c>
      <c r="I80" s="71">
        <f>CUSTOS_MACROGRUPO!$G$15*1.0*0.08</f>
        <v/>
      </c>
    </row>
    <row r="81">
      <c r="A81" s="66" t="inlineStr">
        <is>
          <t>Porta acústica (entre unidades, se aplicável)</t>
        </is>
      </c>
      <c r="B81" s="67">
        <f>10</f>
        <v/>
      </c>
      <c r="C81" s="68" t="inlineStr">
        <is>
          <t>un</t>
        </is>
      </c>
      <c r="D81" s="74" t="n">
        <v>10</v>
      </c>
      <c r="E81" s="67">
        <f>IF(B81&gt;0,G81/B81,0)</f>
        <v/>
      </c>
      <c r="F81" s="67">
        <f>IF(B81&gt;0,H81/B81,0)</f>
        <v/>
      </c>
      <c r="G81" s="67">
        <f>I81*0.7</f>
        <v/>
      </c>
      <c r="H81" s="67">
        <f>I81*0.30</f>
        <v/>
      </c>
      <c r="I81" s="67">
        <f>CUSTOS_MACROGRUPO!$G$15*1.0*0.03</f>
        <v/>
      </c>
    </row>
    <row r="82">
      <c r="A82" s="70" t="inlineStr">
        <is>
          <t>Porta corta-fogo P-90 (escadas)</t>
        </is>
      </c>
      <c r="B82" s="71">
        <f>52</f>
        <v/>
      </c>
      <c r="C82" s="72" t="inlineStr">
        <is>
          <t>un</t>
        </is>
      </c>
      <c r="D82" s="73" t="n">
        <v>52</v>
      </c>
      <c r="E82" s="71">
        <f>IF(B82&gt;0,G82/B82,0)</f>
        <v/>
      </c>
      <c r="F82" s="71">
        <f>IF(B82&gt;0,H82/B82,0)</f>
        <v/>
      </c>
      <c r="G82" s="71">
        <f>I82*0.72</f>
        <v/>
      </c>
      <c r="H82" s="71">
        <f>I82*0.28</f>
        <v/>
      </c>
      <c r="I82" s="71">
        <f>CUSTOS_MACROGRUPO!$G$15*1.0*0.08</f>
        <v/>
      </c>
    </row>
    <row r="83">
      <c r="A83" s="66" t="inlineStr">
        <is>
          <t>Janela alumínio — Quartos (correr 2 folhas)</t>
        </is>
      </c>
      <c r="B83" s="67">
        <f>0.06*DADOS_PROJETO!$B$6</f>
        <v/>
      </c>
      <c r="C83" s="68" t="inlineStr">
        <is>
          <t>m²</t>
        </is>
      </c>
      <c r="D83" s="74" t="n">
        <v>0.06</v>
      </c>
      <c r="E83" s="67">
        <f>IF(B83&gt;0,G83/B83,0)</f>
        <v/>
      </c>
      <c r="F83" s="67">
        <f>IF(B83&gt;0,H83/B83,0)</f>
        <v/>
      </c>
      <c r="G83" s="67">
        <f>I83*0.72</f>
        <v/>
      </c>
      <c r="H83" s="67">
        <f>I83*0.28</f>
        <v/>
      </c>
      <c r="I83" s="67">
        <f>CUSTOS_MACROGRUPO!$G$15*1.0*0.08</f>
        <v/>
      </c>
    </row>
    <row r="84">
      <c r="A84" s="70" t="inlineStr">
        <is>
          <t>Janela alumínio — Salas (correr 3/4 folhas)</t>
        </is>
      </c>
      <c r="B84" s="71">
        <f>0.04*DADOS_PROJETO!$B$6</f>
        <v/>
      </c>
      <c r="C84" s="72" t="inlineStr">
        <is>
          <t>m²</t>
        </is>
      </c>
      <c r="D84" s="73" t="n">
        <v>0.04</v>
      </c>
      <c r="E84" s="71">
        <f>IF(B84&gt;0,G84/B84,0)</f>
        <v/>
      </c>
      <c r="F84" s="71">
        <f>IF(B84&gt;0,H84/B84,0)</f>
        <v/>
      </c>
      <c r="G84" s="71">
        <f>I84*0.72</f>
        <v/>
      </c>
      <c r="H84" s="71">
        <f>I84*0.28</f>
        <v/>
      </c>
      <c r="I84" s="71">
        <f>CUSTOS_MACROGRUPO!$G$15*1.0*0.06</f>
        <v/>
      </c>
    </row>
    <row r="85">
      <c r="A85" s="66" t="inlineStr">
        <is>
          <t>Janela alumínio — Cozinha/serviço (maxim-ar)</t>
        </is>
      </c>
      <c r="B85" s="67">
        <f>0.03*DADOS_PROJETO!$B$6</f>
        <v/>
      </c>
      <c r="C85" s="68" t="inlineStr">
        <is>
          <t>m²</t>
        </is>
      </c>
      <c r="D85" s="74" t="n">
        <v>0.03</v>
      </c>
      <c r="E85" s="67">
        <f>IF(B85&gt;0,G85/B85,0)</f>
        <v/>
      </c>
      <c r="F85" s="67">
        <f>IF(B85&gt;0,H85/B85,0)</f>
        <v/>
      </c>
      <c r="G85" s="67">
        <f>I85*0.72</f>
        <v/>
      </c>
      <c r="H85" s="67">
        <f>I85*0.28</f>
        <v/>
      </c>
      <c r="I85" s="67">
        <f>CUSTOS_MACROGRUPO!$G$15*1.0*0.04</f>
        <v/>
      </c>
    </row>
    <row r="86">
      <c r="A86" s="70" t="inlineStr">
        <is>
          <t>Porta sacada alumínio (correr)</t>
        </is>
      </c>
      <c r="B86" s="71">
        <f>0.05*DADOS_PROJETO!$B$6</f>
        <v/>
      </c>
      <c r="C86" s="72" t="inlineStr">
        <is>
          <t>m²</t>
        </is>
      </c>
      <c r="D86" s="73" t="n">
        <v>0.05</v>
      </c>
      <c r="E86" s="71">
        <f>IF(B86&gt;0,G86/B86,0)</f>
        <v/>
      </c>
      <c r="F86" s="71">
        <f>IF(B86&gt;0,H86/B86,0)</f>
        <v/>
      </c>
      <c r="G86" s="71">
        <f>I86*0.72</f>
        <v/>
      </c>
      <c r="H86" s="71">
        <f>I86*0.28</f>
        <v/>
      </c>
      <c r="I86" s="71">
        <f>CUSTOS_MACROGRUPO!$G$15*1.0*0.07</f>
        <v/>
      </c>
    </row>
    <row r="87">
      <c r="A87" s="66" t="inlineStr">
        <is>
          <t>Vidro temperado (box banheiro)</t>
        </is>
      </c>
      <c r="B87" s="67">
        <f>0.04*DADOS_PROJETO!$B$6</f>
        <v/>
      </c>
      <c r="C87" s="68" t="inlineStr">
        <is>
          <t>m²</t>
        </is>
      </c>
      <c r="D87" s="74" t="n">
        <v>0.04</v>
      </c>
      <c r="E87" s="67">
        <f>IF(B87&gt;0,G87/B87,0)</f>
        <v/>
      </c>
      <c r="F87" s="67">
        <f>IF(B87&gt;0,H87/B87,0)</f>
        <v/>
      </c>
      <c r="G87" s="67">
        <f>I87*0.75</f>
        <v/>
      </c>
      <c r="H87" s="67">
        <f>I87*0.25</f>
        <v/>
      </c>
      <c r="I87" s="67">
        <f>CUSTOS_MACROGRUPO!$G$15*1.0*0.06</f>
        <v/>
      </c>
    </row>
    <row r="88">
      <c r="A88" s="70" t="inlineStr">
        <is>
          <t>Vidro laminado (guarda-corpo sacadas)</t>
        </is>
      </c>
      <c r="B88" s="71">
        <f>0.03*DADOS_PROJETO!$B$6</f>
        <v/>
      </c>
      <c r="C88" s="72" t="inlineStr">
        <is>
          <t>m²</t>
        </is>
      </c>
      <c r="D88" s="73" t="n">
        <v>0.03</v>
      </c>
      <c r="E88" s="71">
        <f>IF(B88&gt;0,G88/B88,0)</f>
        <v/>
      </c>
      <c r="F88" s="71">
        <f>IF(B88&gt;0,H88/B88,0)</f>
        <v/>
      </c>
      <c r="G88" s="71">
        <f>I88*0.75</f>
        <v/>
      </c>
      <c r="H88" s="71">
        <f>I88*0.25</f>
        <v/>
      </c>
      <c r="I88" s="71">
        <f>CUSTOS_MACROGRUPO!$G$15*1.0*0.05</f>
        <v/>
      </c>
    </row>
    <row r="89">
      <c r="A89" s="66" t="inlineStr">
        <is>
          <t>Guarda-corpo alumínio + vidro</t>
        </is>
      </c>
      <c r="B89" s="67">
        <f>0.04*DADOS_PROJETO!$B$6</f>
        <v/>
      </c>
      <c r="C89" s="68" t="inlineStr">
        <is>
          <t>m</t>
        </is>
      </c>
      <c r="D89" s="74" t="n">
        <v>0.04</v>
      </c>
      <c r="E89" s="67">
        <f>IF(B89&gt;0,G89/B89,0)</f>
        <v/>
      </c>
      <c r="F89" s="67">
        <f>IF(B89&gt;0,H89/B89,0)</f>
        <v/>
      </c>
      <c r="G89" s="67">
        <f>I89*0.68</f>
        <v/>
      </c>
      <c r="H89" s="67">
        <f>I89*0.32</f>
        <v/>
      </c>
      <c r="I89" s="67">
        <f>CUSTOS_MACROGRUPO!$G$15*1.0*0.06</f>
        <v/>
      </c>
    </row>
    <row r="90">
      <c r="A90" s="70" t="inlineStr">
        <is>
          <t>Corrimão escada (aço inox/alumínio)</t>
        </is>
      </c>
      <c r="B90" s="71">
        <f>0.02*DADOS_PROJETO!$B$6</f>
        <v/>
      </c>
      <c r="C90" s="72" t="inlineStr">
        <is>
          <t>m</t>
        </is>
      </c>
      <c r="D90" s="73" t="n">
        <v>0.02</v>
      </c>
      <c r="E90" s="71">
        <f>IF(B90&gt;0,G90/B90,0)</f>
        <v/>
      </c>
      <c r="F90" s="71">
        <f>IF(B90&gt;0,H90/B90,0)</f>
        <v/>
      </c>
      <c r="G90" s="71">
        <f>I90*0.65</f>
        <v/>
      </c>
      <c r="H90" s="71">
        <f>I90*0.35</f>
        <v/>
      </c>
      <c r="I90" s="71">
        <f>CUSTOS_MACROGRUPO!$G$15*1.0*0.03</f>
        <v/>
      </c>
    </row>
    <row r="91">
      <c r="A91" s="66" t="inlineStr">
        <is>
          <t>Esquadrias alumínio — Áreas comuns</t>
        </is>
      </c>
      <c r="B91" s="67">
        <f>0.02*DADOS_PROJETO!$B$6</f>
        <v/>
      </c>
      <c r="C91" s="68" t="inlineStr">
        <is>
          <t>m²</t>
        </is>
      </c>
      <c r="D91" s="74" t="n">
        <v>0.02</v>
      </c>
      <c r="E91" s="67">
        <f>IF(B91&gt;0,G91/B91,0)</f>
        <v/>
      </c>
      <c r="F91" s="67">
        <f>IF(B91&gt;0,H91/B91,0)</f>
        <v/>
      </c>
      <c r="G91" s="67">
        <f>I91*0.72</f>
        <v/>
      </c>
      <c r="H91" s="67">
        <f>I91*0.28</f>
        <v/>
      </c>
      <c r="I91" s="67">
        <f>CUSTOS_MACROGRUPO!$G$15*1.0*0.04</f>
        <v/>
      </c>
    </row>
    <row r="92">
      <c r="A92" s="70" t="inlineStr">
        <is>
          <t>Pintura eletrostática (esquadrias alumínio)</t>
        </is>
      </c>
      <c r="B92" s="71">
        <f>0.15*DADOS_PROJETO!$B$6</f>
        <v/>
      </c>
      <c r="C92" s="72" t="inlineStr">
        <is>
          <t>m²</t>
        </is>
      </c>
      <c r="D92" s="73" t="n">
        <v>0.15</v>
      </c>
      <c r="E92" s="71">
        <f>IF(B92&gt;0,G92/B92,0)</f>
        <v/>
      </c>
      <c r="F92" s="71">
        <f>IF(B92&gt;0,H92/B92,0)</f>
        <v/>
      </c>
      <c r="G92" s="71">
        <f>I92*0.4</f>
        <v/>
      </c>
      <c r="H92" s="71">
        <f>I92*0.60</f>
        <v/>
      </c>
      <c r="I92" s="71">
        <f>CUSTOS_MACROGRUPO!$G$15*1.0*0.06</f>
        <v/>
      </c>
    </row>
    <row r="93">
      <c r="A93" s="66" t="inlineStr">
        <is>
          <t>Contramarco alumínio</t>
        </is>
      </c>
      <c r="B93" s="67">
        <f>0.1*DADOS_PROJETO!$B$6</f>
        <v/>
      </c>
      <c r="C93" s="68" t="inlineStr">
        <is>
          <t>m</t>
        </is>
      </c>
      <c r="D93" s="74" t="n">
        <v>0.1</v>
      </c>
      <c r="E93" s="67">
        <f>IF(B93&gt;0,G93/B93,0)</f>
        <v/>
      </c>
      <c r="F93" s="67">
        <f>IF(B93&gt;0,H93/B93,0)</f>
        <v/>
      </c>
      <c r="G93" s="67">
        <f>I93*0.65</f>
        <v/>
      </c>
      <c r="H93" s="67">
        <f>I93*0.35</f>
        <v/>
      </c>
      <c r="I93" s="67">
        <f>CUSTOS_MACROGRUPO!$G$15*1.0*0.04</f>
        <v/>
      </c>
    </row>
    <row r="94">
      <c r="A94" s="70" t="inlineStr">
        <is>
          <t>Ferragens (dobradiças, fechaduras, puxadores)</t>
        </is>
      </c>
      <c r="B94" s="71">
        <f>250</f>
        <v/>
      </c>
      <c r="C94" s="72" t="inlineStr">
        <is>
          <t>cj</t>
        </is>
      </c>
      <c r="D94" s="73" t="n">
        <v>250</v>
      </c>
      <c r="E94" s="71">
        <f>IF(B94&gt;0,G94/B94,0)</f>
        <v/>
      </c>
      <c r="F94" s="71">
        <f>IF(B94&gt;0,H94/B94,0)</f>
        <v/>
      </c>
      <c r="G94" s="71">
        <f>I94*0.85</f>
        <v/>
      </c>
      <c r="H94" s="71">
        <f>I94*0.15</f>
        <v/>
      </c>
      <c r="I94" s="71">
        <f>CUSTOS_MACROGRUPO!$G$15*1.0*0.06</f>
        <v/>
      </c>
    </row>
    <row r="95">
      <c r="A95" s="66" t="inlineStr">
        <is>
          <t>Peitoril/pingadeira (granito/alumínio)</t>
        </is>
      </c>
      <c r="B95" s="67">
        <f>0.06*DADOS_PROJETO!$B$6</f>
        <v/>
      </c>
      <c r="C95" s="68" t="inlineStr">
        <is>
          <t>m</t>
        </is>
      </c>
      <c r="D95" s="74" t="n">
        <v>0.06</v>
      </c>
      <c r="E95" s="67">
        <f>IF(B95&gt;0,G95/B95,0)</f>
        <v/>
      </c>
      <c r="F95" s="67">
        <f>IF(B95&gt;0,H95/B95,0)</f>
        <v/>
      </c>
      <c r="G95" s="67">
        <f>I95*0.65</f>
        <v/>
      </c>
      <c r="H95" s="67">
        <f>I95*0.35</f>
        <v/>
      </c>
      <c r="I95" s="67">
        <f>CUSTOS_MACROGRUPO!$G$15*1.0*0.02</f>
        <v/>
      </c>
    </row>
    <row r="96">
      <c r="A96" s="70" t="inlineStr">
        <is>
          <t>Selante/silicone (vedação esquadrias)</t>
        </is>
      </c>
      <c r="B96" s="71">
        <f>0.12*DADOS_PROJETO!$B$6</f>
        <v/>
      </c>
      <c r="C96" s="72" t="inlineStr">
        <is>
          <t>m</t>
        </is>
      </c>
      <c r="D96" s="73" t="n">
        <v>0.12</v>
      </c>
      <c r="E96" s="71">
        <f>IF(B96&gt;0,G96/B96,0)</f>
        <v/>
      </c>
      <c r="F96" s="71">
        <f>IF(B96&gt;0,H96/B96,0)</f>
        <v/>
      </c>
      <c r="G96" s="71">
        <f>I96*0.7</f>
        <v/>
      </c>
      <c r="H96" s="71">
        <f>I96*0.30</f>
        <v/>
      </c>
      <c r="I96" s="71">
        <f>CUSTOS_MACROGRUPO!$G$15*1.0*0.02</f>
        <v/>
      </c>
    </row>
    <row r="97">
      <c r="A97" s="75" t="inlineStr">
        <is>
          <t>Subtotal 5. ESQUADRIAS</t>
        </is>
      </c>
      <c r="B97" s="76" t="n"/>
      <c r="C97" s="76" t="n"/>
      <c r="D97" s="76" t="n"/>
      <c r="E97" s="76" t="n"/>
      <c r="F97" s="76" t="n"/>
      <c r="G97" s="77">
        <f>SUM(G79:G96)</f>
        <v/>
      </c>
      <c r="H97" s="77">
        <f>SUM(H79:H96)</f>
        <v/>
      </c>
      <c r="I97" s="77">
        <f>SUM(I79:I96)</f>
        <v/>
      </c>
    </row>
    <row r="99">
      <c r="A99" s="79" t="inlineStr">
        <is>
          <t>6. LOUÇAS E METAIS</t>
        </is>
      </c>
      <c r="B99" s="60" t="n"/>
      <c r="C99" s="60" t="n"/>
      <c r="D99" s="60" t="n"/>
      <c r="E99" s="60" t="n"/>
      <c r="F99" s="60" t="n"/>
      <c r="G99" s="60" t="n"/>
      <c r="H99" s="60" t="n"/>
      <c r="I99" s="61" t="n"/>
    </row>
    <row r="100">
      <c r="A100" s="66" t="inlineStr">
        <is>
          <t>Bacia sanitária c/ caixa acoplada — Padrão</t>
        </is>
      </c>
      <c r="B100" s="67">
        <f>43</f>
        <v/>
      </c>
      <c r="C100" s="68" t="inlineStr">
        <is>
          <t>un</t>
        </is>
      </c>
      <c r="D100" s="74" t="n">
        <v>43</v>
      </c>
      <c r="E100" s="67">
        <f>IF(B100&gt;0,G100/B100,0)</f>
        <v/>
      </c>
      <c r="F100" s="67">
        <f>IF(B100&gt;0,H100/B100,0)</f>
        <v/>
      </c>
      <c r="G100" s="67">
        <f>I100*0.88</f>
        <v/>
      </c>
      <c r="H100" s="67">
        <f>I100*0.12</f>
        <v/>
      </c>
      <c r="I100" s="67">
        <f>CUSTOS_MACROGRUPO!$G$16*1.0*0.12</f>
        <v/>
      </c>
    </row>
    <row r="101">
      <c r="A101" s="70" t="inlineStr">
        <is>
          <t>Bacia sanitária c/ caixa acoplada — Suíte</t>
        </is>
      </c>
      <c r="B101" s="71">
        <f>43</f>
        <v/>
      </c>
      <c r="C101" s="72" t="inlineStr">
        <is>
          <t>un</t>
        </is>
      </c>
      <c r="D101" s="73" t="n">
        <v>43</v>
      </c>
      <c r="E101" s="71">
        <f>IF(B101&gt;0,G101/B101,0)</f>
        <v/>
      </c>
      <c r="F101" s="71">
        <f>IF(B101&gt;0,H101/B101,0)</f>
        <v/>
      </c>
      <c r="G101" s="71">
        <f>I101*0.88</f>
        <v/>
      </c>
      <c r="H101" s="71">
        <f>I101*0.12</f>
        <v/>
      </c>
      <c r="I101" s="71">
        <f>CUSTOS_MACROGRUPO!$G$16*1.0*0.1</f>
        <v/>
      </c>
    </row>
    <row r="102">
      <c r="A102" s="66" t="inlineStr">
        <is>
          <t>Lavatório de embutir (louça)</t>
        </is>
      </c>
      <c r="B102" s="67">
        <f>86</f>
        <v/>
      </c>
      <c r="C102" s="68" t="inlineStr">
        <is>
          <t>un</t>
        </is>
      </c>
      <c r="D102" s="74" t="n">
        <v>86</v>
      </c>
      <c r="E102" s="67">
        <f>IF(B102&gt;0,G102/B102,0)</f>
        <v/>
      </c>
      <c r="F102" s="67">
        <f>IF(B102&gt;0,H102/B102,0)</f>
        <v/>
      </c>
      <c r="G102" s="67">
        <f>I102*0.88</f>
        <v/>
      </c>
      <c r="H102" s="67">
        <f>I102*0.12</f>
        <v/>
      </c>
      <c r="I102" s="67">
        <f>CUSTOS_MACROGRUPO!$G$16*1.0*0.08</f>
        <v/>
      </c>
    </row>
    <row r="103">
      <c r="A103" s="70" t="inlineStr">
        <is>
          <t>Cuba de embutir cozinha (inox)</t>
        </is>
      </c>
      <c r="B103" s="71">
        <f>43</f>
        <v/>
      </c>
      <c r="C103" s="72" t="inlineStr">
        <is>
          <t>un</t>
        </is>
      </c>
      <c r="D103" s="73" t="n">
        <v>43</v>
      </c>
      <c r="E103" s="71">
        <f>IF(B103&gt;0,G103/B103,0)</f>
        <v/>
      </c>
      <c r="F103" s="71">
        <f>IF(B103&gt;0,H103/B103,0)</f>
        <v/>
      </c>
      <c r="G103" s="71">
        <f>I103*0.88</f>
        <v/>
      </c>
      <c r="H103" s="71">
        <f>I103*0.12</f>
        <v/>
      </c>
      <c r="I103" s="71">
        <f>CUSTOS_MACROGRUPO!$G$16*1.0*0.06</f>
        <v/>
      </c>
    </row>
    <row r="104">
      <c r="A104" s="66" t="inlineStr">
        <is>
          <t>Cuba de apoio lavabo (se aplicável)</t>
        </is>
      </c>
      <c r="B104" s="67">
        <f>10</f>
        <v/>
      </c>
      <c r="C104" s="68" t="inlineStr">
        <is>
          <t>un</t>
        </is>
      </c>
      <c r="D104" s="74" t="n">
        <v>10</v>
      </c>
      <c r="E104" s="67">
        <f>IF(B104&gt;0,G104/B104,0)</f>
        <v/>
      </c>
      <c r="F104" s="67">
        <f>IF(B104&gt;0,H104/B104,0)</f>
        <v/>
      </c>
      <c r="G104" s="67">
        <f>I104*0.88</f>
        <v/>
      </c>
      <c r="H104" s="67">
        <f>I104*0.12</f>
        <v/>
      </c>
      <c r="I104" s="67">
        <f>CUSTOS_MACROGRUPO!$G$16*1.0*0.03</f>
        <v/>
      </c>
    </row>
    <row r="105">
      <c r="A105" s="70" t="inlineStr">
        <is>
          <t>Bancada granito/quartzo — Banheiros</t>
        </is>
      </c>
      <c r="B105" s="71">
        <f>0.015*DADOS_PROJETO!$B$6</f>
        <v/>
      </c>
      <c r="C105" s="72" t="inlineStr">
        <is>
          <t>m</t>
        </is>
      </c>
      <c r="D105" s="73" t="n">
        <v>0.015</v>
      </c>
      <c r="E105" s="71">
        <f>IF(B105&gt;0,G105/B105,0)</f>
        <v/>
      </c>
      <c r="F105" s="71">
        <f>IF(B105&gt;0,H105/B105,0)</f>
        <v/>
      </c>
      <c r="G105" s="71">
        <f>I105*0.82</f>
        <v/>
      </c>
      <c r="H105" s="71">
        <f>I105*0.18</f>
        <v/>
      </c>
      <c r="I105" s="71">
        <f>CUSTOS_MACROGRUPO!$G$16*1.0*0.1</f>
        <v/>
      </c>
    </row>
    <row r="106">
      <c r="A106" s="66" t="inlineStr">
        <is>
          <t>Bancada granito — Cozinha</t>
        </is>
      </c>
      <c r="B106" s="67">
        <f>0.012*DADOS_PROJETO!$B$6</f>
        <v/>
      </c>
      <c r="C106" s="68" t="inlineStr">
        <is>
          <t>m</t>
        </is>
      </c>
      <c r="D106" s="74" t="n">
        <v>0.012</v>
      </c>
      <c r="E106" s="67">
        <f>IF(B106&gt;0,G106/B106,0)</f>
        <v/>
      </c>
      <c r="F106" s="67">
        <f>IF(B106&gt;0,H106/B106,0)</f>
        <v/>
      </c>
      <c r="G106" s="67">
        <f>I106*0.82</f>
        <v/>
      </c>
      <c r="H106" s="67">
        <f>I106*0.18</f>
        <v/>
      </c>
      <c r="I106" s="67">
        <f>CUSTOS_MACROGRUPO!$G$16*1.0*0.08</f>
        <v/>
      </c>
    </row>
    <row r="107">
      <c r="A107" s="70" t="inlineStr">
        <is>
          <t>Torneira cozinha (monocomando)</t>
        </is>
      </c>
      <c r="B107" s="71">
        <f>43</f>
        <v/>
      </c>
      <c r="C107" s="72" t="inlineStr">
        <is>
          <t>un</t>
        </is>
      </c>
      <c r="D107" s="73" t="n">
        <v>43</v>
      </c>
      <c r="E107" s="71">
        <f>IF(B107&gt;0,G107/B107,0)</f>
        <v/>
      </c>
      <c r="F107" s="71">
        <f>IF(B107&gt;0,H107/B107,0)</f>
        <v/>
      </c>
      <c r="G107" s="71">
        <f>I107*0.9</f>
        <v/>
      </c>
      <c r="H107" s="71">
        <f>I107*0.10</f>
        <v/>
      </c>
      <c r="I107" s="71">
        <f>CUSTOS_MACROGRUPO!$G$16*1.0*0.06</f>
        <v/>
      </c>
    </row>
    <row r="108">
      <c r="A108" s="66" t="inlineStr">
        <is>
          <t>Torneira lavatório (monocomando)</t>
        </is>
      </c>
      <c r="B108" s="67">
        <f>86</f>
        <v/>
      </c>
      <c r="C108" s="68" t="inlineStr">
        <is>
          <t>un</t>
        </is>
      </c>
      <c r="D108" s="74" t="n">
        <v>86</v>
      </c>
      <c r="E108" s="67">
        <f>IF(B108&gt;0,G108/B108,0)</f>
        <v/>
      </c>
      <c r="F108" s="67">
        <f>IF(B108&gt;0,H108/B108,0)</f>
        <v/>
      </c>
      <c r="G108" s="67">
        <f>I108*0.9</f>
        <v/>
      </c>
      <c r="H108" s="67">
        <f>I108*0.10</f>
        <v/>
      </c>
      <c r="I108" s="67">
        <f>CUSTOS_MACROGRUPO!$G$16*1.0*0.06</f>
        <v/>
      </c>
    </row>
    <row r="109">
      <c r="A109" s="70" t="inlineStr">
        <is>
          <t>Misturador ducha/chuveiro</t>
        </is>
      </c>
      <c r="B109" s="71">
        <f>86</f>
        <v/>
      </c>
      <c r="C109" s="72" t="inlineStr">
        <is>
          <t>un</t>
        </is>
      </c>
      <c r="D109" s="73" t="n">
        <v>86</v>
      </c>
      <c r="E109" s="71">
        <f>IF(B109&gt;0,G109/B109,0)</f>
        <v/>
      </c>
      <c r="F109" s="71">
        <f>IF(B109&gt;0,H109/B109,0)</f>
        <v/>
      </c>
      <c r="G109" s="71">
        <f>I109*0.9</f>
        <v/>
      </c>
      <c r="H109" s="71">
        <f>I109*0.10</f>
        <v/>
      </c>
      <c r="I109" s="71">
        <f>CUSTOS_MACROGRUPO!$G$16*1.0*0.06</f>
        <v/>
      </c>
    </row>
    <row r="110">
      <c r="A110" s="66" t="inlineStr">
        <is>
          <t>Ducha higiênica</t>
        </is>
      </c>
      <c r="B110" s="67">
        <f>86</f>
        <v/>
      </c>
      <c r="C110" s="68" t="inlineStr">
        <is>
          <t>un</t>
        </is>
      </c>
      <c r="D110" s="74" t="n">
        <v>86</v>
      </c>
      <c r="E110" s="67">
        <f>IF(B110&gt;0,G110/B110,0)</f>
        <v/>
      </c>
      <c r="F110" s="67">
        <f>IF(B110&gt;0,H110/B110,0)</f>
        <v/>
      </c>
      <c r="G110" s="67">
        <f>I110*0.9</f>
        <v/>
      </c>
      <c r="H110" s="67">
        <f>I110*0.10</f>
        <v/>
      </c>
      <c r="I110" s="67">
        <f>CUSTOS_MACROGRUPO!$G$16*1.0*0.04</f>
        <v/>
      </c>
    </row>
    <row r="111">
      <c r="A111" s="70" t="inlineStr">
        <is>
          <t>Acessórios banheiro (papeleira, saboneteira, cabide)</t>
        </is>
      </c>
      <c r="B111" s="71">
        <f>86</f>
        <v/>
      </c>
      <c r="C111" s="72" t="inlineStr">
        <is>
          <t>cj</t>
        </is>
      </c>
      <c r="D111" s="73" t="n">
        <v>86</v>
      </c>
      <c r="E111" s="71">
        <f>IF(B111&gt;0,G111/B111,0)</f>
        <v/>
      </c>
      <c r="F111" s="71">
        <f>IF(B111&gt;0,H111/B111,0)</f>
        <v/>
      </c>
      <c r="G111" s="71">
        <f>I111*0.9</f>
        <v/>
      </c>
      <c r="H111" s="71">
        <f>I111*0.10</f>
        <v/>
      </c>
      <c r="I111" s="71">
        <f>CUSTOS_MACROGRUPO!$G$16*1.0*0.06</f>
        <v/>
      </c>
    </row>
    <row r="112">
      <c r="A112" s="66" t="inlineStr">
        <is>
          <t>Ralo linear (box banheiro)</t>
        </is>
      </c>
      <c r="B112" s="67">
        <f>86</f>
        <v/>
      </c>
      <c r="C112" s="68" t="inlineStr">
        <is>
          <t>un</t>
        </is>
      </c>
      <c r="D112" s="74" t="n">
        <v>86</v>
      </c>
      <c r="E112" s="67">
        <f>IF(B112&gt;0,G112/B112,0)</f>
        <v/>
      </c>
      <c r="F112" s="67">
        <f>IF(B112&gt;0,H112/B112,0)</f>
        <v/>
      </c>
      <c r="G112" s="67">
        <f>I112*0.85</f>
        <v/>
      </c>
      <c r="H112" s="67">
        <f>I112*0.15</f>
        <v/>
      </c>
      <c r="I112" s="67">
        <f>CUSTOS_MACROGRUPO!$G$16*1.0*0.04</f>
        <v/>
      </c>
    </row>
    <row r="113">
      <c r="A113" s="70" t="inlineStr">
        <is>
          <t>Tanque de louça / granito</t>
        </is>
      </c>
      <c r="B113" s="71">
        <f>43</f>
        <v/>
      </c>
      <c r="C113" s="72" t="inlineStr">
        <is>
          <t>un</t>
        </is>
      </c>
      <c r="D113" s="73" t="n">
        <v>43</v>
      </c>
      <c r="E113" s="71">
        <f>IF(B113&gt;0,G113/B113,0)</f>
        <v/>
      </c>
      <c r="F113" s="71">
        <f>IF(B113&gt;0,H113/B113,0)</f>
        <v/>
      </c>
      <c r="G113" s="71">
        <f>I113*0.88</f>
        <v/>
      </c>
      <c r="H113" s="71">
        <f>I113*0.12</f>
        <v/>
      </c>
      <c r="I113" s="71">
        <f>CUSTOS_MACROGRUPO!$G$16*1.0*0.04</f>
        <v/>
      </c>
    </row>
    <row r="114">
      <c r="A114" s="66" t="inlineStr">
        <is>
          <t>Espelho (incluso ou bancada)</t>
        </is>
      </c>
      <c r="B114" s="67">
        <f>86</f>
        <v/>
      </c>
      <c r="C114" s="68" t="inlineStr">
        <is>
          <t>un</t>
        </is>
      </c>
      <c r="D114" s="74" t="n">
        <v>86</v>
      </c>
      <c r="E114" s="67">
        <f>IF(B114&gt;0,G114/B114,0)</f>
        <v/>
      </c>
      <c r="F114" s="67">
        <f>IF(B114&gt;0,H114/B114,0)</f>
        <v/>
      </c>
      <c r="G114" s="67">
        <f>I114*0.85</f>
        <v/>
      </c>
      <c r="H114" s="67">
        <f>I114*0.15</f>
        <v/>
      </c>
      <c r="I114" s="67">
        <f>CUSTOS_MACROGRUPO!$G$16*1.0*0.04</f>
        <v/>
      </c>
    </row>
    <row r="115">
      <c r="A115" s="70" t="inlineStr">
        <is>
          <t>Válvulas e sifões (acabamento)</t>
        </is>
      </c>
      <c r="B115" s="71">
        <f>300</f>
        <v/>
      </c>
      <c r="C115" s="72" t="inlineStr">
        <is>
          <t>un</t>
        </is>
      </c>
      <c r="D115" s="73" t="n">
        <v>300</v>
      </c>
      <c r="E115" s="71">
        <f>IF(B115&gt;0,G115/B115,0)</f>
        <v/>
      </c>
      <c r="F115" s="71">
        <f>IF(B115&gt;0,H115/B115,0)</f>
        <v/>
      </c>
      <c r="G115" s="71">
        <f>I115*0.88</f>
        <v/>
      </c>
      <c r="H115" s="71">
        <f>I115*0.12</f>
        <v/>
      </c>
      <c r="I115" s="71">
        <f>CUSTOS_MACROGRUPO!$G$16*1.0*0.03</f>
        <v/>
      </c>
    </row>
    <row r="116">
      <c r="A116" s="75" t="inlineStr">
        <is>
          <t>Subtotal 6. LOUÇAS E METAIS</t>
        </is>
      </c>
      <c r="B116" s="76" t="n"/>
      <c r="C116" s="76" t="n"/>
      <c r="D116" s="76" t="n"/>
      <c r="E116" s="76" t="n"/>
      <c r="F116" s="76" t="n"/>
      <c r="G116" s="77">
        <f>SUM(G100:G115)</f>
        <v/>
      </c>
      <c r="H116" s="77">
        <f>SUM(H100:H115)</f>
        <v/>
      </c>
      <c r="I116" s="77">
        <f>SUM(I100:I115)</f>
        <v/>
      </c>
    </row>
    <row r="118">
      <c r="A118" s="83" t="inlineStr">
        <is>
          <t>7. FACHADA</t>
        </is>
      </c>
      <c r="B118" s="60" t="n"/>
      <c r="C118" s="60" t="n"/>
      <c r="D118" s="60" t="n"/>
      <c r="E118" s="60" t="n"/>
      <c r="F118" s="60" t="n"/>
      <c r="G118" s="60" t="n"/>
      <c r="H118" s="60" t="n"/>
      <c r="I118" s="61" t="n"/>
    </row>
    <row r="119">
      <c r="A119" s="66" t="inlineStr">
        <is>
          <t>Chapisco fachada (rolo ou projetado)</t>
        </is>
      </c>
      <c r="B119" s="67">
        <f>0.4*DADOS_PROJETO!$B$6</f>
        <v/>
      </c>
      <c r="C119" s="68" t="inlineStr">
        <is>
          <t>m²</t>
        </is>
      </c>
      <c r="D119" s="74" t="n">
        <v>0.4</v>
      </c>
      <c r="E119" s="67">
        <f>IF(B119&gt;0,G119/B119,0)</f>
        <v/>
      </c>
      <c r="F119" s="67">
        <f>IF(B119&gt;0,H119/B119,0)</f>
        <v/>
      </c>
      <c r="G119" s="67">
        <f>I119*0.45</f>
        <v/>
      </c>
      <c r="H119" s="67">
        <f>I119*0.55</f>
        <v/>
      </c>
      <c r="I119" s="67">
        <f>CUSTOS_MACROGRUPO!$G$17*1.0*0.05</f>
        <v/>
      </c>
    </row>
    <row r="120">
      <c r="A120" s="70" t="inlineStr">
        <is>
          <t>Emboço/reboco externo (massa única)</t>
        </is>
      </c>
      <c r="B120" s="71">
        <f>0.4*DADOS_PROJETO!$B$6</f>
        <v/>
      </c>
      <c r="C120" s="72" t="inlineStr">
        <is>
          <t>m²</t>
        </is>
      </c>
      <c r="D120" s="73" t="n">
        <v>0.4</v>
      </c>
      <c r="E120" s="71">
        <f>IF(B120&gt;0,G120/B120,0)</f>
        <v/>
      </c>
      <c r="F120" s="71">
        <f>IF(B120&gt;0,H120/B120,0)</f>
        <v/>
      </c>
      <c r="G120" s="71">
        <f>I120*0.48</f>
        <v/>
      </c>
      <c r="H120" s="71">
        <f>I120*0.52</f>
        <v/>
      </c>
      <c r="I120" s="71">
        <f>CUSTOS_MACROGRUPO!$G$17*1.0*0.12</f>
        <v/>
      </c>
    </row>
    <row r="121">
      <c r="A121" s="66" t="inlineStr">
        <is>
          <t>Revestimento cerâmico fachada (pastilha/porcelanato)</t>
        </is>
      </c>
      <c r="B121" s="67">
        <f>0.15*DADOS_PROJETO!$B$6</f>
        <v/>
      </c>
      <c r="C121" s="68" t="inlineStr">
        <is>
          <t>m²</t>
        </is>
      </c>
      <c r="D121" s="74" t="n">
        <v>0.15</v>
      </c>
      <c r="E121" s="67">
        <f>IF(B121&gt;0,G121/B121,0)</f>
        <v/>
      </c>
      <c r="F121" s="67">
        <f>IF(B121&gt;0,H121/B121,0)</f>
        <v/>
      </c>
      <c r="G121" s="67">
        <f>I121*0.55</f>
        <v/>
      </c>
      <c r="H121" s="67">
        <f>I121*0.45</f>
        <v/>
      </c>
      <c r="I121" s="67">
        <f>CUSTOS_MACROGRUPO!$G$17*1.0*0.15</f>
        <v/>
      </c>
    </row>
    <row r="122">
      <c r="A122" s="70" t="inlineStr">
        <is>
          <t>Pintura texturizada fachada</t>
        </is>
      </c>
      <c r="B122" s="71">
        <f>0.25*DADOS_PROJETO!$B$6</f>
        <v/>
      </c>
      <c r="C122" s="72" t="inlineStr">
        <is>
          <t>m²</t>
        </is>
      </c>
      <c r="D122" s="73" t="n">
        <v>0.25</v>
      </c>
      <c r="E122" s="71">
        <f>IF(B122&gt;0,G122/B122,0)</f>
        <v/>
      </c>
      <c r="F122" s="71">
        <f>IF(B122&gt;0,H122/B122,0)</f>
        <v/>
      </c>
      <c r="G122" s="71">
        <f>I122*0.38</f>
        <v/>
      </c>
      <c r="H122" s="71">
        <f>I122*0.62</f>
        <v/>
      </c>
      <c r="I122" s="71">
        <f>CUSTOS_MACROGRUPO!$G$17*1.0*0.1</f>
        <v/>
      </c>
    </row>
    <row r="123">
      <c r="A123" s="66" t="inlineStr">
        <is>
          <t>Pintura acrílica fachada (lisa)</t>
        </is>
      </c>
      <c r="B123" s="67">
        <f>0.1*DADOS_PROJETO!$B$6</f>
        <v/>
      </c>
      <c r="C123" s="68" t="inlineStr">
        <is>
          <t>m²</t>
        </is>
      </c>
      <c r="D123" s="74" t="n">
        <v>0.1</v>
      </c>
      <c r="E123" s="67">
        <f>IF(B123&gt;0,G123/B123,0)</f>
        <v/>
      </c>
      <c r="F123" s="67">
        <f>IF(B123&gt;0,H123/B123,0)</f>
        <v/>
      </c>
      <c r="G123" s="67">
        <f>I123*0.38</f>
        <v/>
      </c>
      <c r="H123" s="67">
        <f>I123*0.62</f>
        <v/>
      </c>
      <c r="I123" s="67">
        <f>CUSTOS_MACROGRUPO!$G$17*1.0*0.06</f>
        <v/>
      </c>
    </row>
    <row r="124">
      <c r="A124" s="70" t="inlineStr">
        <is>
          <t>ACM (alumínio composto) — Detalhes/marquise</t>
        </is>
      </c>
      <c r="B124" s="71">
        <f>0.02*DADOS_PROJETO!$B$6</f>
        <v/>
      </c>
      <c r="C124" s="72" t="inlineStr">
        <is>
          <t>m²</t>
        </is>
      </c>
      <c r="D124" s="73" t="n">
        <v>0.02</v>
      </c>
      <c r="E124" s="71">
        <f>IF(B124&gt;0,G124/B124,0)</f>
        <v/>
      </c>
      <c r="F124" s="71">
        <f>IF(B124&gt;0,H124/B124,0)</f>
        <v/>
      </c>
      <c r="G124" s="71">
        <f>I124*0.65</f>
        <v/>
      </c>
      <c r="H124" s="71">
        <f>I124*0.35</f>
        <v/>
      </c>
      <c r="I124" s="71">
        <f>CUSTOS_MACROGRUPO!$G$17*1.0*0.06</f>
        <v/>
      </c>
    </row>
    <row r="125">
      <c r="A125" s="66" t="inlineStr">
        <is>
          <t>Requadro/moldura janelas (argamassa/EPS)</t>
        </is>
      </c>
      <c r="B125" s="67">
        <f>0.12*DADOS_PROJETO!$B$6</f>
        <v/>
      </c>
      <c r="C125" s="68" t="inlineStr">
        <is>
          <t>m</t>
        </is>
      </c>
      <c r="D125" s="74" t="n">
        <v>0.12</v>
      </c>
      <c r="E125" s="67">
        <f>IF(B125&gt;0,G125/B125,0)</f>
        <v/>
      </c>
      <c r="F125" s="67">
        <f>IF(B125&gt;0,H125/B125,0)</f>
        <v/>
      </c>
      <c r="G125" s="67">
        <f>I125*0.5</f>
        <v/>
      </c>
      <c r="H125" s="67">
        <f>I125*0.50</f>
        <v/>
      </c>
      <c r="I125" s="67">
        <f>CUSTOS_MACROGRUPO!$G$17*1.0*0.05</f>
        <v/>
      </c>
    </row>
    <row r="126">
      <c r="A126" s="70" t="inlineStr">
        <is>
          <t>Pingadeira/peitoril externo</t>
        </is>
      </c>
      <c r="B126" s="71">
        <f>0.08*DADOS_PROJETO!$B$6</f>
        <v/>
      </c>
      <c r="C126" s="72" t="inlineStr">
        <is>
          <t>m</t>
        </is>
      </c>
      <c r="D126" s="73" t="n">
        <v>0.08</v>
      </c>
      <c r="E126" s="71">
        <f>IF(B126&gt;0,G126/B126,0)</f>
        <v/>
      </c>
      <c r="F126" s="71">
        <f>IF(B126&gt;0,H126/B126,0)</f>
        <v/>
      </c>
      <c r="G126" s="71">
        <f>I126*0.6</f>
        <v/>
      </c>
      <c r="H126" s="71">
        <f>I126*0.40</f>
        <v/>
      </c>
      <c r="I126" s="71">
        <f>CUSTOS_MACROGRUPO!$G$17*1.0*0.04</f>
        <v/>
      </c>
    </row>
    <row r="127">
      <c r="A127" s="66" t="inlineStr">
        <is>
          <t>Selante de junta fachada (PU/silicone)</t>
        </is>
      </c>
      <c r="B127" s="67">
        <f>0.1*DADOS_PROJETO!$B$6</f>
        <v/>
      </c>
      <c r="C127" s="68" t="inlineStr">
        <is>
          <t>m</t>
        </is>
      </c>
      <c r="D127" s="74" t="n">
        <v>0.1</v>
      </c>
      <c r="E127" s="67">
        <f>IF(B127&gt;0,G127/B127,0)</f>
        <v/>
      </c>
      <c r="F127" s="67">
        <f>IF(B127&gt;0,H127/B127,0)</f>
        <v/>
      </c>
      <c r="G127" s="67">
        <f>I127*0.65</f>
        <v/>
      </c>
      <c r="H127" s="67">
        <f>I127*0.35</f>
        <v/>
      </c>
      <c r="I127" s="67">
        <f>CUSTOS_MACROGRUPO!$G$17*1.0*0.04</f>
        <v/>
      </c>
    </row>
    <row r="128">
      <c r="A128" s="70" t="inlineStr">
        <is>
          <t>Tela de reforço (fachada sobre estrutura)</t>
        </is>
      </c>
      <c r="B128" s="71">
        <f>0.15*DADOS_PROJETO!$B$6</f>
        <v/>
      </c>
      <c r="C128" s="72" t="inlineStr">
        <is>
          <t>m²</t>
        </is>
      </c>
      <c r="D128" s="73" t="n">
        <v>0.15</v>
      </c>
      <c r="E128" s="71">
        <f>IF(B128&gt;0,G128/B128,0)</f>
        <v/>
      </c>
      <c r="F128" s="71">
        <f>IF(B128&gt;0,H128/B128,0)</f>
        <v/>
      </c>
      <c r="G128" s="71">
        <f>I128*0.6</f>
        <v/>
      </c>
      <c r="H128" s="71">
        <f>I128*0.40</f>
        <v/>
      </c>
      <c r="I128" s="71">
        <f>CUSTOS_MACROGRUPO!$G$17*1.0*0.03</f>
        <v/>
      </c>
    </row>
    <row r="129">
      <c r="A129" s="66" t="inlineStr">
        <is>
          <t>Balancim e andaime fachadeiro (locação)</t>
        </is>
      </c>
      <c r="B129" s="67">
        <f>18</f>
        <v/>
      </c>
      <c r="C129" s="68" t="inlineStr">
        <is>
          <t>mês</t>
        </is>
      </c>
      <c r="D129" s="74" t="n">
        <v>18</v>
      </c>
      <c r="E129" s="67">
        <f>IF(B129&gt;0,G129/B129,0)</f>
        <v/>
      </c>
      <c r="F129" s="67">
        <f>IF(B129&gt;0,H129/B129,0)</f>
        <v/>
      </c>
      <c r="G129" s="67">
        <f>I129*0.15</f>
        <v/>
      </c>
      <c r="H129" s="67">
        <f>I129*0.85</f>
        <v/>
      </c>
      <c r="I129" s="67">
        <f>CUSTOS_MACROGRUPO!$G$17*1.0*0.1</f>
        <v/>
      </c>
    </row>
    <row r="130">
      <c r="A130" s="70" t="inlineStr">
        <is>
          <t>Platibanda (acabamento topo)</t>
        </is>
      </c>
      <c r="B130" s="71">
        <f>0.015*DADOS_PROJETO!$B$6</f>
        <v/>
      </c>
      <c r="C130" s="72" t="inlineStr">
        <is>
          <t>m</t>
        </is>
      </c>
      <c r="D130" s="73" t="n">
        <v>0.015</v>
      </c>
      <c r="E130" s="71">
        <f>IF(B130&gt;0,G130/B130,0)</f>
        <v/>
      </c>
      <c r="F130" s="71">
        <f>IF(B130&gt;0,H130/B130,0)</f>
        <v/>
      </c>
      <c r="G130" s="71">
        <f>I130*0.5</f>
        <v/>
      </c>
      <c r="H130" s="71">
        <f>I130*0.50</f>
        <v/>
      </c>
      <c r="I130" s="71">
        <f>CUSTOS_MACROGRUPO!$G$17*1.0*0.04</f>
        <v/>
      </c>
    </row>
    <row r="131">
      <c r="A131" s="66" t="inlineStr">
        <is>
          <t>Rufos e calhas (alumínio)</t>
        </is>
      </c>
      <c r="B131" s="67">
        <f>0.03*DADOS_PROJETO!$B$6</f>
        <v/>
      </c>
      <c r="C131" s="68" t="inlineStr">
        <is>
          <t>m</t>
        </is>
      </c>
      <c r="D131" s="74" t="n">
        <v>0.03</v>
      </c>
      <c r="E131" s="67">
        <f>IF(B131&gt;0,G131/B131,0)</f>
        <v/>
      </c>
      <c r="F131" s="67">
        <f>IF(B131&gt;0,H131/B131,0)</f>
        <v/>
      </c>
      <c r="G131" s="67">
        <f>I131*0.65</f>
        <v/>
      </c>
      <c r="H131" s="67">
        <f>I131*0.35</f>
        <v/>
      </c>
      <c r="I131" s="67">
        <f>CUSTOS_MACROGRUPO!$G$17*1.0*0.04</f>
        <v/>
      </c>
    </row>
    <row r="132">
      <c r="A132" s="70" t="inlineStr">
        <is>
          <t>Junta de dilatação fachada</t>
        </is>
      </c>
      <c r="B132" s="71">
        <f>0.01*DADOS_PROJETO!$B$6</f>
        <v/>
      </c>
      <c r="C132" s="72" t="inlineStr">
        <is>
          <t>m</t>
        </is>
      </c>
      <c r="D132" s="73" t="n">
        <v>0.01</v>
      </c>
      <c r="E132" s="71">
        <f>IF(B132&gt;0,G132/B132,0)</f>
        <v/>
      </c>
      <c r="F132" s="71">
        <f>IF(B132&gt;0,H132/B132,0)</f>
        <v/>
      </c>
      <c r="G132" s="71">
        <f>I132*0.55</f>
        <v/>
      </c>
      <c r="H132" s="71">
        <f>I132*0.45</f>
        <v/>
      </c>
      <c r="I132" s="71">
        <f>CUSTOS_MACROGRUPO!$G$17*1.0*0.03</f>
        <v/>
      </c>
    </row>
    <row r="133">
      <c r="A133" s="66" t="inlineStr">
        <is>
          <t>Limpeza final fachada (ácido/hidrojato)</t>
        </is>
      </c>
      <c r="B133" s="67">
        <f>0.45*DADOS_PROJETO!$B$6</f>
        <v/>
      </c>
      <c r="C133" s="68" t="inlineStr">
        <is>
          <t>m²</t>
        </is>
      </c>
      <c r="D133" s="74" t="n">
        <v>0.45</v>
      </c>
      <c r="E133" s="67">
        <f>IF(B133&gt;0,G133/B133,0)</f>
        <v/>
      </c>
      <c r="F133" s="67">
        <f>IF(B133&gt;0,H133/B133,0)</f>
        <v/>
      </c>
      <c r="G133" s="67">
        <f>I133*0.2</f>
        <v/>
      </c>
      <c r="H133" s="67">
        <f>I133*0.80</f>
        <v/>
      </c>
      <c r="I133" s="67">
        <f>CUSTOS_MACROGRUPO!$G$17*1.0*0.04</f>
        <v/>
      </c>
    </row>
    <row r="134">
      <c r="A134" s="70" t="inlineStr">
        <is>
          <t>Ensaio de aderência/arrancamento</t>
        </is>
      </c>
      <c r="B134" s="71">
        <f>20</f>
        <v/>
      </c>
      <c r="C134" s="72" t="inlineStr">
        <is>
          <t>un</t>
        </is>
      </c>
      <c r="D134" s="73" t="n">
        <v>20</v>
      </c>
      <c r="E134" s="71">
        <f>IF(B134&gt;0,G134/B134,0)</f>
        <v/>
      </c>
      <c r="F134" s="71">
        <f>IF(B134&gt;0,H134/B134,0)</f>
        <v/>
      </c>
      <c r="G134" s="71">
        <f>I134*0.1</f>
        <v/>
      </c>
      <c r="H134" s="71">
        <f>I134*0.90</f>
        <v/>
      </c>
      <c r="I134" s="71">
        <f>CUSTOS_MACROGRUPO!$G$17*1.0*0.02</f>
        <v/>
      </c>
    </row>
    <row r="135">
      <c r="A135" s="66" t="inlineStr">
        <is>
          <t>Proteção janelas durante obra</t>
        </is>
      </c>
      <c r="B135" s="67">
        <f>200</f>
        <v/>
      </c>
      <c r="C135" s="68" t="inlineStr">
        <is>
          <t>un</t>
        </is>
      </c>
      <c r="D135" s="74" t="n">
        <v>200</v>
      </c>
      <c r="E135" s="67">
        <f>IF(B135&gt;0,G135/B135,0)</f>
        <v/>
      </c>
      <c r="F135" s="67">
        <f>IF(B135&gt;0,H135/B135,0)</f>
        <v/>
      </c>
      <c r="G135" s="67">
        <f>I135*0.5</f>
        <v/>
      </c>
      <c r="H135" s="67">
        <f>I135*0.50</f>
        <v/>
      </c>
      <c r="I135" s="67">
        <f>CUSTOS_MACROGRUPO!$G$17*1.0*0.03</f>
        <v/>
      </c>
    </row>
    <row r="136">
      <c r="A136" s="75" t="inlineStr">
        <is>
          <t>Subtotal 7. FACHADA</t>
        </is>
      </c>
      <c r="B136" s="76" t="n"/>
      <c r="C136" s="76" t="n"/>
      <c r="D136" s="76" t="n"/>
      <c r="E136" s="76" t="n"/>
      <c r="F136" s="76" t="n"/>
      <c r="G136" s="77">
        <f>SUM(G119:G135)</f>
        <v/>
      </c>
      <c r="H136" s="77">
        <f>SUM(H119:H135)</f>
        <v/>
      </c>
      <c r="I136" s="77">
        <f>SUM(I119:I135)</f>
        <v/>
      </c>
    </row>
    <row r="138">
      <c r="A138" s="80" t="inlineStr">
        <is>
          <t>TOTAL ACABAMENTOS (Rev.Parede + Teto + Pisos + Pintura + Esquadrias + Louças + Fachada)</t>
        </is>
      </c>
      <c r="B138" s="81" t="n"/>
      <c r="C138" s="81" t="n"/>
      <c r="D138" s="81" t="n"/>
      <c r="E138" s="81" t="n"/>
      <c r="F138" s="81" t="n"/>
      <c r="G138" s="82">
        <f>G23+G38+G59+G76+G97+G116+G136</f>
        <v/>
      </c>
      <c r="H138" s="82">
        <f>H23+H38+H59+H76+H97+H116+H136</f>
        <v/>
      </c>
      <c r="I138" s="82">
        <f>I23+I38+I59+I76+I97+I116+I136</f>
        <v/>
      </c>
    </row>
  </sheetData>
  <mergeCells count="9">
    <mergeCell ref="A25:I25"/>
    <mergeCell ref="A2:I2"/>
    <mergeCell ref="A99:I99"/>
    <mergeCell ref="A5:I5"/>
    <mergeCell ref="A1:I1"/>
    <mergeCell ref="A40:I40"/>
    <mergeCell ref="A118:I118"/>
    <mergeCell ref="A61:I61"/>
    <mergeCell ref="A78:I7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12" customWidth="1" min="4" max="4"/>
    <col width="16" customWidth="1" min="5" max="5"/>
    <col width="18" customWidth="1" min="6" max="6"/>
    <col width="14" customWidth="1" min="7" max="7"/>
  </cols>
  <sheetData>
    <row r="1">
      <c r="A1" s="62" t="inlineStr">
        <is>
          <t>CUSTOS INDIRETOS — Detalhamento Executivo</t>
        </is>
      </c>
    </row>
    <row r="2">
      <c r="A2" s="63" t="inlineStr">
        <is>
          <t>Projeto: Residencial Alípio Schirmann — AC: 12,033.95 m²</t>
        </is>
      </c>
    </row>
    <row r="4">
      <c r="A4" s="64" t="inlineStr">
        <is>
          <t>Item / Serviço</t>
        </is>
      </c>
      <c r="B4" s="64" t="inlineStr">
        <is>
          <t>Qtd</t>
        </is>
      </c>
      <c r="C4" s="64" t="inlineStr">
        <is>
          <t>Un</t>
        </is>
      </c>
      <c r="D4" s="64" t="inlineStr">
        <is>
          <t>Índice</t>
        </is>
      </c>
      <c r="E4" s="64" t="inlineStr">
        <is>
          <t>Preço Unitário</t>
        </is>
      </c>
      <c r="F4" s="64" t="inlineStr">
        <is>
          <t>Total</t>
        </is>
      </c>
      <c r="G4" s="64" t="inlineStr">
        <is>
          <t>R$/m² AC</t>
        </is>
      </c>
    </row>
    <row r="5">
      <c r="A5" s="65" t="inlineStr">
        <is>
          <t>1. PROJETOS E CONSULTORIAS</t>
        </is>
      </c>
      <c r="B5" s="60" t="n"/>
      <c r="C5" s="60" t="n"/>
      <c r="D5" s="60" t="n"/>
      <c r="E5" s="60" t="n"/>
      <c r="F5" s="60" t="n"/>
      <c r="G5" s="61" t="n"/>
    </row>
    <row r="6">
      <c r="A6" s="66" t="inlineStr">
        <is>
          <t>Projeto Arquitetônico (legal + executivo)</t>
        </is>
      </c>
      <c r="B6" s="67" t="n">
        <v>1</v>
      </c>
      <c r="C6" s="68" t="inlineStr">
        <is>
          <t>vb</t>
        </is>
      </c>
      <c r="D6" s="69" t="inlineStr">
        <is>
          <t>—</t>
        </is>
      </c>
      <c r="E6" s="67">
        <f>IF(B6&gt;0,F6/B6,0)</f>
        <v/>
      </c>
      <c r="F6" s="67">
        <f>CUSTOS_MACROGRUPO!$G$2*0.22*0.15</f>
        <v/>
      </c>
      <c r="G6" s="67">
        <f>F6/DADOS_PROJETO!$B$6</f>
        <v/>
      </c>
    </row>
    <row r="7">
      <c r="A7" s="70" t="inlineStr">
        <is>
          <t>Projeto Estrutural</t>
        </is>
      </c>
      <c r="B7" s="71" t="n">
        <v>1</v>
      </c>
      <c r="C7" s="72" t="inlineStr">
        <is>
          <t>vb</t>
        </is>
      </c>
      <c r="D7" s="78" t="inlineStr">
        <is>
          <t>—</t>
        </is>
      </c>
      <c r="E7" s="71">
        <f>IF(B7&gt;0,F7/B7,0)</f>
        <v/>
      </c>
      <c r="F7" s="71">
        <f>CUSTOS_MACROGRUPO!$G$2*0.22*0.14</f>
        <v/>
      </c>
      <c r="G7" s="71">
        <f>F7/DADOS_PROJETO!$B$6</f>
        <v/>
      </c>
    </row>
    <row r="8">
      <c r="A8" s="66" t="inlineStr">
        <is>
          <t>Projeto Hidrossanitário</t>
        </is>
      </c>
      <c r="B8" s="67" t="n">
        <v>1</v>
      </c>
      <c r="C8" s="68" t="inlineStr">
        <is>
          <t>vb</t>
        </is>
      </c>
      <c r="D8" s="69" t="inlineStr">
        <is>
          <t>—</t>
        </is>
      </c>
      <c r="E8" s="67">
        <f>IF(B8&gt;0,F8/B8,0)</f>
        <v/>
      </c>
      <c r="F8" s="67">
        <f>CUSTOS_MACROGRUPO!$G$2*0.22*0.08</f>
        <v/>
      </c>
      <c r="G8" s="67">
        <f>F8/DADOS_PROJETO!$B$6</f>
        <v/>
      </c>
    </row>
    <row r="9">
      <c r="A9" s="70" t="inlineStr">
        <is>
          <t>Projeto Elétrico</t>
        </is>
      </c>
      <c r="B9" s="71" t="n">
        <v>1</v>
      </c>
      <c r="C9" s="72" t="inlineStr">
        <is>
          <t>vb</t>
        </is>
      </c>
      <c r="D9" s="78" t="inlineStr">
        <is>
          <t>—</t>
        </is>
      </c>
      <c r="E9" s="71">
        <f>IF(B9&gt;0,F9/B9,0)</f>
        <v/>
      </c>
      <c r="F9" s="71">
        <f>CUSTOS_MACROGRUPO!$G$2*0.22*0.08</f>
        <v/>
      </c>
      <c r="G9" s="71">
        <f>F9/DADOS_PROJETO!$B$6</f>
        <v/>
      </c>
    </row>
    <row r="10">
      <c r="A10" s="66" t="inlineStr">
        <is>
          <t>Projeto Preventivo Incêndio</t>
        </is>
      </c>
      <c r="B10" s="67" t="n">
        <v>1</v>
      </c>
      <c r="C10" s="68" t="inlineStr">
        <is>
          <t>vb</t>
        </is>
      </c>
      <c r="D10" s="69" t="inlineStr">
        <is>
          <t>—</t>
        </is>
      </c>
      <c r="E10" s="67">
        <f>IF(B10&gt;0,F10/B10,0)</f>
        <v/>
      </c>
      <c r="F10" s="67">
        <f>CUSTOS_MACROGRUPO!$G$2*0.22*0.06</f>
        <v/>
      </c>
      <c r="G10" s="67">
        <f>F10/DADOS_PROJETO!$B$6</f>
        <v/>
      </c>
    </row>
    <row r="11">
      <c r="A11" s="70" t="inlineStr">
        <is>
          <t>Projeto Fundações</t>
        </is>
      </c>
      <c r="B11" s="71" t="n">
        <v>1</v>
      </c>
      <c r="C11" s="72" t="inlineStr">
        <is>
          <t>vb</t>
        </is>
      </c>
      <c r="D11" s="78" t="inlineStr">
        <is>
          <t>—</t>
        </is>
      </c>
      <c r="E11" s="71">
        <f>IF(B11&gt;0,F11/B11,0)</f>
        <v/>
      </c>
      <c r="F11" s="71">
        <f>CUSTOS_MACROGRUPO!$G$2*0.22*0.07</f>
        <v/>
      </c>
      <c r="G11" s="71">
        <f>F11/DADOS_PROJETO!$B$6</f>
        <v/>
      </c>
    </row>
    <row r="12">
      <c r="A12" s="66" t="inlineStr">
        <is>
          <t>Projeto Ar Condicionado / Ventilação</t>
        </is>
      </c>
      <c r="B12" s="67" t="n">
        <v>1</v>
      </c>
      <c r="C12" s="68" t="inlineStr">
        <is>
          <t>vb</t>
        </is>
      </c>
      <c r="D12" s="69" t="inlineStr">
        <is>
          <t>—</t>
        </is>
      </c>
      <c r="E12" s="67">
        <f>IF(B12&gt;0,F12/B12,0)</f>
        <v/>
      </c>
      <c r="F12" s="67">
        <f>CUSTOS_MACROGRUPO!$G$2*0.22*0.05</f>
        <v/>
      </c>
      <c r="G12" s="67">
        <f>F12/DADOS_PROJETO!$B$6</f>
        <v/>
      </c>
    </row>
    <row r="13">
      <c r="A13" s="70" t="inlineStr">
        <is>
          <t>Projeto Luminotécnico</t>
        </is>
      </c>
      <c r="B13" s="71" t="n">
        <v>1</v>
      </c>
      <c r="C13" s="72" t="inlineStr">
        <is>
          <t>vb</t>
        </is>
      </c>
      <c r="D13" s="78" t="inlineStr">
        <is>
          <t>—</t>
        </is>
      </c>
      <c r="E13" s="71">
        <f>IF(B13&gt;0,F13/B13,0)</f>
        <v/>
      </c>
      <c r="F13" s="71">
        <f>CUSTOS_MACROGRUPO!$G$2*0.22*0.03</f>
        <v/>
      </c>
      <c r="G13" s="71">
        <f>F13/DADOS_PROJETO!$B$6</f>
        <v/>
      </c>
    </row>
    <row r="14">
      <c r="A14" s="66" t="inlineStr">
        <is>
          <t>Projeto Paisagístico</t>
        </is>
      </c>
      <c r="B14" s="67" t="n">
        <v>1</v>
      </c>
      <c r="C14" s="68" t="inlineStr">
        <is>
          <t>vb</t>
        </is>
      </c>
      <c r="D14" s="69" t="inlineStr">
        <is>
          <t>—</t>
        </is>
      </c>
      <c r="E14" s="67">
        <f>IF(B14&gt;0,F14/B14,0)</f>
        <v/>
      </c>
      <c r="F14" s="67">
        <f>CUSTOS_MACROGRUPO!$G$2*0.22*0.04</f>
        <v/>
      </c>
      <c r="G14" s="67">
        <f>F14/DADOS_PROJETO!$B$6</f>
        <v/>
      </c>
    </row>
    <row r="15">
      <c r="A15" s="70" t="inlineStr">
        <is>
          <t>Projeto Interiores (áreas comuns)</t>
        </is>
      </c>
      <c r="B15" s="71" t="n">
        <v>1</v>
      </c>
      <c r="C15" s="72" t="inlineStr">
        <is>
          <t>vb</t>
        </is>
      </c>
      <c r="D15" s="78" t="inlineStr">
        <is>
          <t>—</t>
        </is>
      </c>
      <c r="E15" s="71">
        <f>IF(B15&gt;0,F15/B15,0)</f>
        <v/>
      </c>
      <c r="F15" s="71">
        <f>CUSTOS_MACROGRUPO!$G$2*0.22*0.06</f>
        <v/>
      </c>
      <c r="G15" s="71">
        <f>F15/DADOS_PROJETO!$B$6</f>
        <v/>
      </c>
    </row>
    <row r="16">
      <c r="A16" s="66" t="inlineStr">
        <is>
          <t>Projeto Automação / CFTV / Telecom</t>
        </is>
      </c>
      <c r="B16" s="67" t="n">
        <v>1</v>
      </c>
      <c r="C16" s="68" t="inlineStr">
        <is>
          <t>vb</t>
        </is>
      </c>
      <c r="D16" s="69" t="inlineStr">
        <is>
          <t>—</t>
        </is>
      </c>
      <c r="E16" s="67">
        <f>IF(B16&gt;0,F16/B16,0)</f>
        <v/>
      </c>
      <c r="F16" s="67">
        <f>CUSTOS_MACROGRUPO!$G$2*0.22*0.04</f>
        <v/>
      </c>
      <c r="G16" s="67">
        <f>F16/DADOS_PROJETO!$B$6</f>
        <v/>
      </c>
    </row>
    <row r="17">
      <c r="A17" s="70" t="inlineStr">
        <is>
          <t>Projeto Gás</t>
        </is>
      </c>
      <c r="B17" s="71" t="n">
        <v>1</v>
      </c>
      <c r="C17" s="72" t="inlineStr">
        <is>
          <t>vb</t>
        </is>
      </c>
      <c r="D17" s="78" t="inlineStr">
        <is>
          <t>—</t>
        </is>
      </c>
      <c r="E17" s="71">
        <f>IF(B17&gt;0,F17/B17,0)</f>
        <v/>
      </c>
      <c r="F17" s="71">
        <f>CUSTOS_MACROGRUPO!$G$2*0.22*0.03</f>
        <v/>
      </c>
      <c r="G17" s="71">
        <f>F17/DADOS_PROJETO!$B$6</f>
        <v/>
      </c>
    </row>
    <row r="18">
      <c r="A18" s="66" t="inlineStr">
        <is>
          <t>Compatibilização BIM</t>
        </is>
      </c>
      <c r="B18" s="67" t="n">
        <v>1</v>
      </c>
      <c r="C18" s="68" t="inlineStr">
        <is>
          <t>vb</t>
        </is>
      </c>
      <c r="D18" s="69" t="inlineStr">
        <is>
          <t>—</t>
        </is>
      </c>
      <c r="E18" s="67">
        <f>IF(B18&gt;0,F18/B18,0)</f>
        <v/>
      </c>
      <c r="F18" s="67">
        <f>CUSTOS_MACROGRUPO!$G$2*0.22*0.06</f>
        <v/>
      </c>
      <c r="G18" s="67">
        <f>F18/DADOS_PROJETO!$B$6</f>
        <v/>
      </c>
    </row>
    <row r="19">
      <c r="A19" s="70" t="inlineStr">
        <is>
          <t>Consultoria Geotécnica (SPT + laudo)</t>
        </is>
      </c>
      <c r="B19" s="71" t="n">
        <v>1</v>
      </c>
      <c r="C19" s="72" t="inlineStr">
        <is>
          <t>vb</t>
        </is>
      </c>
      <c r="D19" s="78" t="inlineStr">
        <is>
          <t>—</t>
        </is>
      </c>
      <c r="E19" s="71">
        <f>IF(B19&gt;0,F19/B19,0)</f>
        <v/>
      </c>
      <c r="F19" s="71">
        <f>CUSTOS_MACROGRUPO!$G$2*0.22*0.05</f>
        <v/>
      </c>
      <c r="G19" s="71">
        <f>F19/DADOS_PROJETO!$B$6</f>
        <v/>
      </c>
    </row>
    <row r="20">
      <c r="A20" s="66" t="inlineStr">
        <is>
          <t>Topografia (levantamento + locação)</t>
        </is>
      </c>
      <c r="B20" s="67" t="n">
        <v>1</v>
      </c>
      <c r="C20" s="68" t="inlineStr">
        <is>
          <t>vb</t>
        </is>
      </c>
      <c r="D20" s="69" t="inlineStr">
        <is>
          <t>—</t>
        </is>
      </c>
      <c r="E20" s="67">
        <f>IF(B20&gt;0,F20/B20,0)</f>
        <v/>
      </c>
      <c r="F20" s="67">
        <f>CUSTOS_MACROGRUPO!$G$2*0.22*0.04</f>
        <v/>
      </c>
      <c r="G20" s="67">
        <f>F20/DADOS_PROJETO!$B$6</f>
        <v/>
      </c>
    </row>
    <row r="21">
      <c r="A21" s="70" t="inlineStr">
        <is>
          <t>As-built</t>
        </is>
      </c>
      <c r="B21" s="71" t="n">
        <v>1</v>
      </c>
      <c r="C21" s="72" t="inlineStr">
        <is>
          <t>vb</t>
        </is>
      </c>
      <c r="D21" s="78" t="inlineStr">
        <is>
          <t>—</t>
        </is>
      </c>
      <c r="E21" s="71">
        <f>IF(B21&gt;0,F21/B21,0)</f>
        <v/>
      </c>
      <c r="F21" s="71">
        <f>CUSTOS_MACROGRUPO!$G$2*0.22*0.02</f>
        <v/>
      </c>
      <c r="G21" s="71">
        <f>F21/DADOS_PROJETO!$B$6</f>
        <v/>
      </c>
    </row>
    <row r="22">
      <c r="A22" s="75" t="inlineStr">
        <is>
          <t>Subtotal 1. PROJETOS E CONSULTORIAS</t>
        </is>
      </c>
      <c r="B22" s="76" t="n"/>
      <c r="C22" s="76" t="n"/>
      <c r="D22" s="76" t="n"/>
      <c r="E22" s="76" t="n"/>
      <c r="F22" s="77">
        <f>SUM(F6:F21)</f>
        <v/>
      </c>
      <c r="G22" s="77">
        <f>SUM(G6:G21)</f>
        <v/>
      </c>
    </row>
    <row r="24">
      <c r="A24" s="65" t="inlineStr">
        <is>
          <t>2. TAXAS, LICENÇAS E SEGUROS</t>
        </is>
      </c>
      <c r="B24" s="60" t="n"/>
      <c r="C24" s="60" t="n"/>
      <c r="D24" s="60" t="n"/>
      <c r="E24" s="60" t="n"/>
      <c r="F24" s="60" t="n"/>
      <c r="G24" s="61" t="n"/>
    </row>
    <row r="25">
      <c r="A25" s="66" t="inlineStr">
        <is>
          <t>Alvará de construção</t>
        </is>
      </c>
      <c r="B25" s="67" t="n">
        <v>1</v>
      </c>
      <c r="C25" s="68" t="inlineStr">
        <is>
          <t>vb</t>
        </is>
      </c>
      <c r="D25" s="69" t="inlineStr">
        <is>
          <t>—</t>
        </is>
      </c>
      <c r="E25" s="67">
        <f>IF(B25&gt;0,F25/B25,0)</f>
        <v/>
      </c>
      <c r="F25" s="67">
        <f>CUSTOS_MACROGRUPO!$G$2*0.05*0.15</f>
        <v/>
      </c>
      <c r="G25" s="67">
        <f>F25/DADOS_PROJETO!$B$6</f>
        <v/>
      </c>
    </row>
    <row r="26">
      <c r="A26" s="70" t="inlineStr">
        <is>
          <t>Habite-se / CND obra</t>
        </is>
      </c>
      <c r="B26" s="71" t="n">
        <v>1</v>
      </c>
      <c r="C26" s="72" t="inlineStr">
        <is>
          <t>vb</t>
        </is>
      </c>
      <c r="D26" s="78" t="inlineStr">
        <is>
          <t>—</t>
        </is>
      </c>
      <c r="E26" s="71">
        <f>IF(B26&gt;0,F26/B26,0)</f>
        <v/>
      </c>
      <c r="F26" s="71">
        <f>CUSTOS_MACROGRUPO!$G$2*0.05*0.12</f>
        <v/>
      </c>
      <c r="G26" s="71">
        <f>F26/DADOS_PROJETO!$B$6</f>
        <v/>
      </c>
    </row>
    <row r="27">
      <c r="A27" s="66" t="inlineStr">
        <is>
          <t>ART/RRT (acervo técnico)</t>
        </is>
      </c>
      <c r="B27" s="67" t="n">
        <v>1</v>
      </c>
      <c r="C27" s="68" t="inlineStr">
        <is>
          <t>vb</t>
        </is>
      </c>
      <c r="D27" s="69" t="inlineStr">
        <is>
          <t>—</t>
        </is>
      </c>
      <c r="E27" s="67">
        <f>IF(B27&gt;0,F27/B27,0)</f>
        <v/>
      </c>
      <c r="F27" s="67">
        <f>CUSTOS_MACROGRUPO!$G$2*0.05*0.08</f>
        <v/>
      </c>
      <c r="G27" s="67">
        <f>F27/DADOS_PROJETO!$B$6</f>
        <v/>
      </c>
    </row>
    <row r="28">
      <c r="A28" s="70" t="inlineStr">
        <is>
          <t>Licença ambiental (se aplicável)</t>
        </is>
      </c>
      <c r="B28" s="71" t="n">
        <v>1</v>
      </c>
      <c r="C28" s="72" t="inlineStr">
        <is>
          <t>vb</t>
        </is>
      </c>
      <c r="D28" s="78" t="inlineStr">
        <is>
          <t>—</t>
        </is>
      </c>
      <c r="E28" s="71">
        <f>IF(B28&gt;0,F28/B28,0)</f>
        <v/>
      </c>
      <c r="F28" s="71">
        <f>CUSTOS_MACROGRUPO!$G$2*0.05*0.08</f>
        <v/>
      </c>
      <c r="G28" s="71">
        <f>F28/DADOS_PROJETO!$B$6</f>
        <v/>
      </c>
    </row>
    <row r="29">
      <c r="A29" s="66" t="inlineStr">
        <is>
          <t>Seguro de obra (all risks)</t>
        </is>
      </c>
      <c r="B29" s="67" t="n">
        <v>1</v>
      </c>
      <c r="C29" s="68" t="inlineStr">
        <is>
          <t>vb</t>
        </is>
      </c>
      <c r="D29" s="69" t="inlineStr">
        <is>
          <t>—</t>
        </is>
      </c>
      <c r="E29" s="67">
        <f>IF(B29&gt;0,F29/B29,0)</f>
        <v/>
      </c>
      <c r="F29" s="67">
        <f>CUSTOS_MACROGRUPO!$G$2*0.05*0.2</f>
        <v/>
      </c>
      <c r="G29" s="67">
        <f>F29/DADOS_PROJETO!$B$6</f>
        <v/>
      </c>
    </row>
    <row r="30">
      <c r="A30" s="70" t="inlineStr">
        <is>
          <t>INSS obra (contribuição patronal)</t>
        </is>
      </c>
      <c r="B30" s="71" t="n">
        <v>1</v>
      </c>
      <c r="C30" s="72" t="inlineStr">
        <is>
          <t>vb</t>
        </is>
      </c>
      <c r="D30" s="78" t="inlineStr">
        <is>
          <t>—</t>
        </is>
      </c>
      <c r="E30" s="71">
        <f>IF(B30&gt;0,F30/B30,0)</f>
        <v/>
      </c>
      <c r="F30" s="71">
        <f>CUSTOS_MACROGRUPO!$G$2*0.05*0.15</f>
        <v/>
      </c>
      <c r="G30" s="71">
        <f>F30/DADOS_PROJETO!$B$6</f>
        <v/>
      </c>
    </row>
    <row r="31">
      <c r="A31" s="66" t="inlineStr">
        <is>
          <t>ISS sobre serviços</t>
        </is>
      </c>
      <c r="B31" s="67" t="n">
        <v>1</v>
      </c>
      <c r="C31" s="68" t="inlineStr">
        <is>
          <t>vb</t>
        </is>
      </c>
      <c r="D31" s="69" t="inlineStr">
        <is>
          <t>—</t>
        </is>
      </c>
      <c r="E31" s="67">
        <f>IF(B31&gt;0,F31/B31,0)</f>
        <v/>
      </c>
      <c r="F31" s="67">
        <f>CUSTOS_MACROGRUPO!$G$2*0.05*0.1</f>
        <v/>
      </c>
      <c r="G31" s="67">
        <f>F31/DADOS_PROJETO!$B$6</f>
        <v/>
      </c>
    </row>
    <row r="32">
      <c r="A32" s="70" t="inlineStr">
        <is>
          <t>Taxas de ligação (água, energia, gás)</t>
        </is>
      </c>
      <c r="B32" s="71" t="n">
        <v>1</v>
      </c>
      <c r="C32" s="72" t="inlineStr">
        <is>
          <t>vb</t>
        </is>
      </c>
      <c r="D32" s="78" t="inlineStr">
        <is>
          <t>—</t>
        </is>
      </c>
      <c r="E32" s="71">
        <f>IF(B32&gt;0,F32/B32,0)</f>
        <v/>
      </c>
      <c r="F32" s="71">
        <f>CUSTOS_MACROGRUPO!$G$2*0.05*0.07</f>
        <v/>
      </c>
      <c r="G32" s="71">
        <f>F32/DADOS_PROJETO!$B$6</f>
        <v/>
      </c>
    </row>
    <row r="33">
      <c r="A33" s="66" t="inlineStr">
        <is>
          <t>Registro de incorporação (cartório)</t>
        </is>
      </c>
      <c r="B33" s="67" t="n">
        <v>1</v>
      </c>
      <c r="C33" s="68" t="inlineStr">
        <is>
          <t>vb</t>
        </is>
      </c>
      <c r="D33" s="69" t="inlineStr">
        <is>
          <t>—</t>
        </is>
      </c>
      <c r="E33" s="67">
        <f>IF(B33&gt;0,F33/B33,0)</f>
        <v/>
      </c>
      <c r="F33" s="67">
        <f>CUSTOS_MACROGRUPO!$G$2*0.05*0.05</f>
        <v/>
      </c>
      <c r="G33" s="67">
        <f>F33/DADOS_PROJETO!$B$6</f>
        <v/>
      </c>
    </row>
    <row r="34">
      <c r="A34" s="75" t="inlineStr">
        <is>
          <t>Subtotal 2. TAXAS, LICENÇAS E SEGUROS</t>
        </is>
      </c>
      <c r="B34" s="76" t="n"/>
      <c r="C34" s="76" t="n"/>
      <c r="D34" s="76" t="n"/>
      <c r="E34" s="76" t="n"/>
      <c r="F34" s="77">
        <f>SUM(F25:F33)</f>
        <v/>
      </c>
      <c r="G34" s="77">
        <f>SUM(G25:G33)</f>
        <v/>
      </c>
    </row>
    <row r="36">
      <c r="A36" s="65" t="inlineStr">
        <is>
          <t>3. EQUIPE ADMINISTRATIVA</t>
        </is>
      </c>
      <c r="B36" s="60" t="n"/>
      <c r="C36" s="60" t="n"/>
      <c r="D36" s="60" t="n"/>
      <c r="E36" s="60" t="n"/>
      <c r="F36" s="60" t="n"/>
      <c r="G36" s="61" t="n"/>
    </row>
    <row r="37">
      <c r="A37" s="66" t="inlineStr">
        <is>
          <t>Engenheiro Residente (36 meses × R$14.000/mês)</t>
        </is>
      </c>
      <c r="B37" s="67">
        <f>DADOS_PROJETO!$B$17</f>
        <v/>
      </c>
      <c r="C37" s="68" t="inlineStr">
        <is>
          <t>mês</t>
        </is>
      </c>
      <c r="D37" s="69" t="inlineStr">
        <is>
          <t>Prazo</t>
        </is>
      </c>
      <c r="E37" s="67">
        <f>IF(B37&gt;0,F37/B37,0)</f>
        <v/>
      </c>
      <c r="F37" s="67">
        <f>CUSTOS_MACROGRUPO!$G$2*0.2*0.25</f>
        <v/>
      </c>
      <c r="G37" s="67">
        <f>F37/DADOS_PROJETO!$B$6</f>
        <v/>
      </c>
    </row>
    <row r="38">
      <c r="A38" s="70" t="inlineStr">
        <is>
          <t>Mestre de Obras (36 meses × R$12.000/mês)</t>
        </is>
      </c>
      <c r="B38" s="71">
        <f>DADOS_PROJETO!$B$17</f>
        <v/>
      </c>
      <c r="C38" s="72" t="inlineStr">
        <is>
          <t>mês</t>
        </is>
      </c>
      <c r="D38" s="78" t="inlineStr">
        <is>
          <t>Prazo</t>
        </is>
      </c>
      <c r="E38" s="71">
        <f>IF(B38&gt;0,F38/B38,0)</f>
        <v/>
      </c>
      <c r="F38" s="71">
        <f>CUSTOS_MACROGRUPO!$G$2*0.2*0.22</f>
        <v/>
      </c>
      <c r="G38" s="71">
        <f>F38/DADOS_PROJETO!$B$6</f>
        <v/>
      </c>
    </row>
    <row r="39">
      <c r="A39" s="66" t="inlineStr">
        <is>
          <t>Técnico de Segurança (36 meses × R$7.500/mês)</t>
        </is>
      </c>
      <c r="B39" s="67">
        <f>DADOS_PROJETO!$B$17</f>
        <v/>
      </c>
      <c r="C39" s="68" t="inlineStr">
        <is>
          <t>mês</t>
        </is>
      </c>
      <c r="D39" s="69" t="inlineStr">
        <is>
          <t>Prazo</t>
        </is>
      </c>
      <c r="E39" s="67">
        <f>IF(B39&gt;0,F39/B39,0)</f>
        <v/>
      </c>
      <c r="F39" s="67">
        <f>CUSTOS_MACROGRUPO!$G$2*0.2*0.14</f>
        <v/>
      </c>
      <c r="G39" s="67">
        <f>F39/DADOS_PROJETO!$B$6</f>
        <v/>
      </c>
    </row>
    <row r="40">
      <c r="A40" s="70" t="inlineStr">
        <is>
          <t>Almoxarife (36 meses × R$5.000/mês)</t>
        </is>
      </c>
      <c r="B40" s="71">
        <f>DADOS_PROJETO!$B$17</f>
        <v/>
      </c>
      <c r="C40" s="72" t="inlineStr">
        <is>
          <t>mês</t>
        </is>
      </c>
      <c r="D40" s="78" t="inlineStr">
        <is>
          <t>Prazo</t>
        </is>
      </c>
      <c r="E40" s="71">
        <f>IF(B40&gt;0,F40/B40,0)</f>
        <v/>
      </c>
      <c r="F40" s="71">
        <f>CUSTOS_MACROGRUPO!$G$2*0.2*0.1</f>
        <v/>
      </c>
      <c r="G40" s="71">
        <f>F40/DADOS_PROJETO!$B$6</f>
        <v/>
      </c>
    </row>
    <row r="41">
      <c r="A41" s="66" t="inlineStr">
        <is>
          <t>Administrativo/Auxiliar (36 meses × R$4.500/mês)</t>
        </is>
      </c>
      <c r="B41" s="67">
        <f>DADOS_PROJETO!$B$17</f>
        <v/>
      </c>
      <c r="C41" s="68" t="inlineStr">
        <is>
          <t>mês</t>
        </is>
      </c>
      <c r="D41" s="69" t="inlineStr">
        <is>
          <t>Prazo</t>
        </is>
      </c>
      <c r="E41" s="67">
        <f>IF(B41&gt;0,F41/B41,0)</f>
        <v/>
      </c>
      <c r="F41" s="67">
        <f>CUSTOS_MACROGRUPO!$G$2*0.2*0.09</f>
        <v/>
      </c>
      <c r="G41" s="67">
        <f>F41/DADOS_PROJETO!$B$6</f>
        <v/>
      </c>
    </row>
    <row r="42">
      <c r="A42" s="70" t="inlineStr">
        <is>
          <t>Estagiário Engenharia (24 meses × R$2.500/mês)</t>
        </is>
      </c>
      <c r="B42" s="71">
        <f>24</f>
        <v/>
      </c>
      <c r="C42" s="72" t="inlineStr">
        <is>
          <t>mês</t>
        </is>
      </c>
      <c r="D42" s="73" t="n">
        <v>24</v>
      </c>
      <c r="E42" s="71">
        <f>IF(B42&gt;0,F42/B42,0)</f>
        <v/>
      </c>
      <c r="F42" s="71">
        <f>CUSTOS_MACROGRUPO!$G$2*0.2*0.05</f>
        <v/>
      </c>
      <c r="G42" s="71">
        <f>F42/DADOS_PROJETO!$B$6</f>
        <v/>
      </c>
    </row>
    <row r="43">
      <c r="A43" s="66" t="inlineStr">
        <is>
          <t>Apontador (36 meses × R$4.000/mês)</t>
        </is>
      </c>
      <c r="B43" s="67">
        <f>DADOS_PROJETO!$B$17</f>
        <v/>
      </c>
      <c r="C43" s="68" t="inlineStr">
        <is>
          <t>mês</t>
        </is>
      </c>
      <c r="D43" s="69" t="inlineStr">
        <is>
          <t>Prazo</t>
        </is>
      </c>
      <c r="E43" s="67">
        <f>IF(B43&gt;0,F43/B43,0)</f>
        <v/>
      </c>
      <c r="F43" s="67">
        <f>CUSTOS_MACROGRUPO!$G$2*0.2*0.08</f>
        <v/>
      </c>
      <c r="G43" s="67">
        <f>F43/DADOS_PROJETO!$B$6</f>
        <v/>
      </c>
    </row>
    <row r="44">
      <c r="A44" s="70" t="inlineStr">
        <is>
          <t>Vigia/Porteiro noturno (36 meses × R$4.500/mês)</t>
        </is>
      </c>
      <c r="B44" s="71">
        <f>DADOS_PROJETO!$B$17</f>
        <v/>
      </c>
      <c r="C44" s="72" t="inlineStr">
        <is>
          <t>mês</t>
        </is>
      </c>
      <c r="D44" s="78" t="inlineStr">
        <is>
          <t>Prazo</t>
        </is>
      </c>
      <c r="E44" s="71">
        <f>IF(B44&gt;0,F44/B44,0)</f>
        <v/>
      </c>
      <c r="F44" s="71">
        <f>CUSTOS_MACROGRUPO!$G$2*0.2*0.07</f>
        <v/>
      </c>
      <c r="G44" s="71">
        <f>F44/DADOS_PROJETO!$B$6</f>
        <v/>
      </c>
    </row>
    <row r="45">
      <c r="A45" s="75" t="inlineStr">
        <is>
          <t>Subtotal 3. EQUIPE ADMINISTRATIVA</t>
        </is>
      </c>
      <c r="B45" s="76" t="n"/>
      <c r="C45" s="76" t="n"/>
      <c r="D45" s="76" t="n"/>
      <c r="E45" s="76" t="n"/>
      <c r="F45" s="77">
        <f>SUM(F37:F44)</f>
        <v/>
      </c>
      <c r="G45" s="77">
        <f>SUM(G37:G44)</f>
        <v/>
      </c>
    </row>
    <row r="47">
      <c r="A47" s="65" t="inlineStr">
        <is>
          <t>4. EQUIPE TÉCNICA DE CAMPO</t>
        </is>
      </c>
      <c r="B47" s="60" t="n"/>
      <c r="C47" s="60" t="n"/>
      <c r="D47" s="60" t="n"/>
      <c r="E47" s="60" t="n"/>
      <c r="F47" s="60" t="n"/>
      <c r="G47" s="61" t="n"/>
    </row>
    <row r="48">
      <c r="A48" s="66" t="inlineStr">
        <is>
          <t>Encarregado Geral (36 meses)</t>
        </is>
      </c>
      <c r="B48" s="67">
        <f>DADOS_PROJETO!$B$17</f>
        <v/>
      </c>
      <c r="C48" s="68" t="inlineStr">
        <is>
          <t>mês</t>
        </is>
      </c>
      <c r="D48" s="69" t="inlineStr">
        <is>
          <t>Prazo</t>
        </is>
      </c>
      <c r="E48" s="67">
        <f>IF(B48&gt;0,F48/B48,0)</f>
        <v/>
      </c>
      <c r="F48" s="67">
        <f>CUSTOS_MACROGRUPO!$G$2*0.18*0.22</f>
        <v/>
      </c>
      <c r="G48" s="67">
        <f>F48/DADOS_PROJETO!$B$6</f>
        <v/>
      </c>
    </row>
    <row r="49">
      <c r="A49" s="70" t="inlineStr">
        <is>
          <t>Encarregado Estrutura (18 meses)</t>
        </is>
      </c>
      <c r="B49" s="71">
        <f>18</f>
        <v/>
      </c>
      <c r="C49" s="72" t="inlineStr">
        <is>
          <t>mês</t>
        </is>
      </c>
      <c r="D49" s="73" t="n">
        <v>18</v>
      </c>
      <c r="E49" s="71">
        <f>IF(B49&gt;0,F49/B49,0)</f>
        <v/>
      </c>
      <c r="F49" s="71">
        <f>CUSTOS_MACROGRUPO!$G$2*0.18*0.12</f>
        <v/>
      </c>
      <c r="G49" s="71">
        <f>F49/DADOS_PROJETO!$B$6</f>
        <v/>
      </c>
    </row>
    <row r="50">
      <c r="A50" s="66" t="inlineStr">
        <is>
          <t>Encarregado Acabamento (18 meses)</t>
        </is>
      </c>
      <c r="B50" s="67">
        <f>18</f>
        <v/>
      </c>
      <c r="C50" s="68" t="inlineStr">
        <is>
          <t>mês</t>
        </is>
      </c>
      <c r="D50" s="74" t="n">
        <v>18</v>
      </c>
      <c r="E50" s="67">
        <f>IF(B50&gt;0,F50/B50,0)</f>
        <v/>
      </c>
      <c r="F50" s="67">
        <f>CUSTOS_MACROGRUPO!$G$2*0.18*0.12</f>
        <v/>
      </c>
      <c r="G50" s="67">
        <f>F50/DADOS_PROJETO!$B$6</f>
        <v/>
      </c>
    </row>
    <row r="51">
      <c r="A51" s="70" t="inlineStr">
        <is>
          <t>Encarregado Instalações (12 meses)</t>
        </is>
      </c>
      <c r="B51" s="71">
        <f>12</f>
        <v/>
      </c>
      <c r="C51" s="72" t="inlineStr">
        <is>
          <t>mês</t>
        </is>
      </c>
      <c r="D51" s="73" t="n">
        <v>12</v>
      </c>
      <c r="E51" s="71">
        <f>IF(B51&gt;0,F51/B51,0)</f>
        <v/>
      </c>
      <c r="F51" s="71">
        <f>CUSTOS_MACROGRUPO!$G$2*0.18*0.1</f>
        <v/>
      </c>
      <c r="G51" s="71">
        <f>F51/DADOS_PROJETO!$B$6</f>
        <v/>
      </c>
    </row>
    <row r="52">
      <c r="A52" s="66" t="inlineStr">
        <is>
          <t>Servente/Ajudante geral (36 meses × 8 un)</t>
        </is>
      </c>
      <c r="B52" s="67">
        <f>DADOS_PROJETO!$B$17*8</f>
        <v/>
      </c>
      <c r="C52" s="68" t="inlineStr">
        <is>
          <t>mês</t>
        </is>
      </c>
      <c r="D52" s="69" t="inlineStr">
        <is>
          <t>Prazo×8</t>
        </is>
      </c>
      <c r="E52" s="67">
        <f>IF(B52&gt;0,F52/B52,0)</f>
        <v/>
      </c>
      <c r="F52" s="67">
        <f>CUSTOS_MACROGRUPO!$G$2*0.18*0.25</f>
        <v/>
      </c>
      <c r="G52" s="67">
        <f>F52/DADOS_PROJETO!$B$6</f>
        <v/>
      </c>
    </row>
    <row r="53">
      <c r="A53" s="70" t="inlineStr">
        <is>
          <t>Pedreiro oficial (24 meses × 6 un)</t>
        </is>
      </c>
      <c r="B53" s="71">
        <f>24*6</f>
        <v/>
      </c>
      <c r="C53" s="72" t="inlineStr">
        <is>
          <t>mês</t>
        </is>
      </c>
      <c r="D53" s="73" t="n">
        <v>144</v>
      </c>
      <c r="E53" s="71">
        <f>IF(B53&gt;0,F53/B53,0)</f>
        <v/>
      </c>
      <c r="F53" s="71">
        <f>CUSTOS_MACROGRUPO!$G$2*0.18*0.12</f>
        <v/>
      </c>
      <c r="G53" s="71">
        <f>F53/DADOS_PROJETO!$B$6</f>
        <v/>
      </c>
    </row>
    <row r="54">
      <c r="A54" s="66" t="inlineStr">
        <is>
          <t>Carpinteiro (18 meses × 3 un)</t>
        </is>
      </c>
      <c r="B54" s="67">
        <f>18*3</f>
        <v/>
      </c>
      <c r="C54" s="68" t="inlineStr">
        <is>
          <t>mês</t>
        </is>
      </c>
      <c r="D54" s="74" t="n">
        <v>54</v>
      </c>
      <c r="E54" s="67">
        <f>IF(B54&gt;0,F54/B54,0)</f>
        <v/>
      </c>
      <c r="F54" s="67">
        <f>CUSTOS_MACROGRUPO!$G$2*0.18*0.07</f>
        <v/>
      </c>
      <c r="G54" s="67">
        <f>F54/DADOS_PROJETO!$B$6</f>
        <v/>
      </c>
    </row>
    <row r="55">
      <c r="A55" s="75" t="inlineStr">
        <is>
          <t>Subtotal 4. EQUIPE TÉCNICA DE CAMPO</t>
        </is>
      </c>
      <c r="B55" s="76" t="n"/>
      <c r="C55" s="76" t="n"/>
      <c r="D55" s="76" t="n"/>
      <c r="E55" s="76" t="n"/>
      <c r="F55" s="77">
        <f>SUM(F48:F54)</f>
        <v/>
      </c>
      <c r="G55" s="77">
        <f>SUM(G48:G54)</f>
        <v/>
      </c>
    </row>
    <row r="57">
      <c r="A57" s="79" t="inlineStr">
        <is>
          <t>5. EPCs — EQUIPAMENTOS DE PROTEÇÃO COLETIVA</t>
        </is>
      </c>
      <c r="B57" s="60" t="n"/>
      <c r="C57" s="60" t="n"/>
      <c r="D57" s="60" t="n"/>
      <c r="E57" s="60" t="n"/>
      <c r="F57" s="60" t="n"/>
      <c r="G57" s="61" t="n"/>
    </row>
    <row r="58">
      <c r="A58" s="66" t="inlineStr">
        <is>
          <t>Bandeja salva-vidas (primária + secundária)</t>
        </is>
      </c>
      <c r="B58" s="67">
        <f>224</f>
        <v/>
      </c>
      <c r="C58" s="68" t="inlineStr">
        <is>
          <t>m</t>
        </is>
      </c>
      <c r="D58" s="74" t="n">
        <v>224</v>
      </c>
      <c r="E58" s="67">
        <f>IF(B58&gt;0,F58/B58,0)</f>
        <v/>
      </c>
      <c r="F58" s="67">
        <f>CUSTOS_MACROGRUPO!$G$2*0.12*0.18</f>
        <v/>
      </c>
      <c r="G58" s="67">
        <f>F58/DADOS_PROJETO!$B$6</f>
        <v/>
      </c>
    </row>
    <row r="59">
      <c r="A59" s="70" t="inlineStr">
        <is>
          <t>Tela fachadeira (proteção periférica)</t>
        </is>
      </c>
      <c r="B59" s="71">
        <f>0.65*DADOS_PROJETO!$B$6</f>
        <v/>
      </c>
      <c r="C59" s="72" t="inlineStr">
        <is>
          <t>m²</t>
        </is>
      </c>
      <c r="D59" s="73" t="n">
        <v>0.65</v>
      </c>
      <c r="E59" s="71">
        <f>IF(B59&gt;0,F59/B59,0)</f>
        <v/>
      </c>
      <c r="F59" s="71">
        <f>CUSTOS_MACROGRUPO!$G$2*0.12*0.14</f>
        <v/>
      </c>
      <c r="G59" s="71">
        <f>F59/DADOS_PROJETO!$B$6</f>
        <v/>
      </c>
    </row>
    <row r="60">
      <c r="A60" s="66" t="inlineStr">
        <is>
          <t>Guarda-corpo perímetro laje (metálico)</t>
        </is>
      </c>
      <c r="B60" s="67">
        <f>0.06*DADOS_PROJETO!$B$6</f>
        <v/>
      </c>
      <c r="C60" s="68" t="inlineStr">
        <is>
          <t>m</t>
        </is>
      </c>
      <c r="D60" s="74" t="n">
        <v>0.06</v>
      </c>
      <c r="E60" s="67">
        <f>IF(B60&gt;0,F60/B60,0)</f>
        <v/>
      </c>
      <c r="F60" s="67">
        <f>CUSTOS_MACROGRUPO!$G$2*0.12*0.1</f>
        <v/>
      </c>
      <c r="G60" s="67">
        <f>F60/DADOS_PROJETO!$B$6</f>
        <v/>
      </c>
    </row>
    <row r="61">
      <c r="A61" s="70" t="inlineStr">
        <is>
          <t>Linha de vida (cabo de aço)</t>
        </is>
      </c>
      <c r="B61" s="71">
        <f>0.03*DADOS_PROJETO!$B$6</f>
        <v/>
      </c>
      <c r="C61" s="72" t="inlineStr">
        <is>
          <t>m</t>
        </is>
      </c>
      <c r="D61" s="73" t="n">
        <v>0.03</v>
      </c>
      <c r="E61" s="71">
        <f>IF(B61&gt;0,F61/B61,0)</f>
        <v/>
      </c>
      <c r="F61" s="71">
        <f>CUSTOS_MACROGRUPO!$G$2*0.12*0.08</f>
        <v/>
      </c>
      <c r="G61" s="71">
        <f>F61/DADOS_PROJETO!$B$6</f>
        <v/>
      </c>
    </row>
    <row r="62">
      <c r="A62" s="66" t="inlineStr">
        <is>
          <t>Plataforma de proteção (carga/descarga)</t>
        </is>
      </c>
      <c r="B62" s="67">
        <f>2</f>
        <v/>
      </c>
      <c r="C62" s="68" t="inlineStr">
        <is>
          <t>un</t>
        </is>
      </c>
      <c r="D62" s="74" t="n">
        <v>2</v>
      </c>
      <c r="E62" s="67">
        <f>IF(B62&gt;0,F62/B62,0)</f>
        <v/>
      </c>
      <c r="F62" s="67">
        <f>CUSTOS_MACROGRUPO!$G$2*0.12*0.08</f>
        <v/>
      </c>
      <c r="G62" s="67">
        <f>F62/DADOS_PROJETO!$B$6</f>
        <v/>
      </c>
    </row>
    <row r="63">
      <c r="A63" s="70" t="inlineStr">
        <is>
          <t>Rede de proteção (aberturas)</t>
        </is>
      </c>
      <c r="B63" s="71">
        <f>0.05*DADOS_PROJETO!$B$6</f>
        <v/>
      </c>
      <c r="C63" s="72" t="inlineStr">
        <is>
          <t>m²</t>
        </is>
      </c>
      <c r="D63" s="73" t="n">
        <v>0.05</v>
      </c>
      <c r="E63" s="71">
        <f>IF(B63&gt;0,F63/B63,0)</f>
        <v/>
      </c>
      <c r="F63" s="71">
        <f>CUSTOS_MACROGRUPO!$G$2*0.12*0.06</f>
        <v/>
      </c>
      <c r="G63" s="71">
        <f>F63/DADOS_PROJETO!$B$6</f>
        <v/>
      </c>
    </row>
    <row r="64">
      <c r="A64" s="66" t="inlineStr">
        <is>
          <t>Fechamento shaft/vãos (compensado)</t>
        </is>
      </c>
      <c r="B64" s="67">
        <f>200</f>
        <v/>
      </c>
      <c r="C64" s="68" t="inlineStr">
        <is>
          <t>un</t>
        </is>
      </c>
      <c r="D64" s="74" t="n">
        <v>200</v>
      </c>
      <c r="E64" s="67">
        <f>IF(B64&gt;0,F64/B64,0)</f>
        <v/>
      </c>
      <c r="F64" s="67">
        <f>CUSTOS_MACROGRUPO!$G$2*0.12*0.06</f>
        <v/>
      </c>
      <c r="G64" s="67">
        <f>F64/DADOS_PROJETO!$B$6</f>
        <v/>
      </c>
    </row>
    <row r="65">
      <c r="A65" s="70" t="inlineStr">
        <is>
          <t>Sinalização de segurança (placas, cones)</t>
        </is>
      </c>
      <c r="B65" s="71" t="n">
        <v>1</v>
      </c>
      <c r="C65" s="72" t="inlineStr">
        <is>
          <t>vb</t>
        </is>
      </c>
      <c r="D65" s="78" t="inlineStr">
        <is>
          <t>—</t>
        </is>
      </c>
      <c r="E65" s="71">
        <f>IF(B65&gt;0,F65/B65,0)</f>
        <v/>
      </c>
      <c r="F65" s="71">
        <f>CUSTOS_MACROGRUPO!$G$2*0.12*0.04</f>
        <v/>
      </c>
      <c r="G65" s="71">
        <f>F65/DADOS_PROJETO!$B$6</f>
        <v/>
      </c>
    </row>
    <row r="66">
      <c r="A66" s="66" t="inlineStr">
        <is>
          <t>EPI's (capacetes, luvas, cintos, botas)</t>
        </is>
      </c>
      <c r="B66" s="67" t="n">
        <v>1</v>
      </c>
      <c r="C66" s="68" t="inlineStr">
        <is>
          <t>vb</t>
        </is>
      </c>
      <c r="D66" s="69" t="inlineStr">
        <is>
          <t>—</t>
        </is>
      </c>
      <c r="E66" s="67">
        <f>IF(B66&gt;0,F66/B66,0)</f>
        <v/>
      </c>
      <c r="F66" s="67">
        <f>CUSTOS_MACROGRUPO!$G$2*0.12*0.1</f>
        <v/>
      </c>
      <c r="G66" s="67">
        <f>F66/DADOS_PROJETO!$B$6</f>
        <v/>
      </c>
    </row>
    <row r="67">
      <c r="A67" s="70" t="inlineStr">
        <is>
          <t>Treinamentos de segurança (NR-18, NR-35)</t>
        </is>
      </c>
      <c r="B67" s="71" t="n">
        <v>1</v>
      </c>
      <c r="C67" s="72" t="inlineStr">
        <is>
          <t>vb</t>
        </is>
      </c>
      <c r="D67" s="78" t="inlineStr">
        <is>
          <t>—</t>
        </is>
      </c>
      <c r="E67" s="71">
        <f>IF(B67&gt;0,F67/B67,0)</f>
        <v/>
      </c>
      <c r="F67" s="71">
        <f>CUSTOS_MACROGRUPO!$G$2*0.12*0.06</f>
        <v/>
      </c>
      <c r="G67" s="71">
        <f>F67/DADOS_PROJETO!$B$6</f>
        <v/>
      </c>
    </row>
    <row r="68">
      <c r="A68" s="66" t="inlineStr">
        <is>
          <t>Exames médicos (admissional/periódico/demissional)</t>
        </is>
      </c>
      <c r="B68" s="67" t="n">
        <v>1</v>
      </c>
      <c r="C68" s="68" t="inlineStr">
        <is>
          <t>vb</t>
        </is>
      </c>
      <c r="D68" s="69" t="inlineStr">
        <is>
          <t>—</t>
        </is>
      </c>
      <c r="E68" s="67">
        <f>IF(B68&gt;0,F68/B68,0)</f>
        <v/>
      </c>
      <c r="F68" s="67">
        <f>CUSTOS_MACROGRUPO!$G$2*0.12*0.05</f>
        <v/>
      </c>
      <c r="G68" s="67">
        <f>F68/DADOS_PROJETO!$B$6</f>
        <v/>
      </c>
    </row>
    <row r="69">
      <c r="A69" s="70" t="inlineStr">
        <is>
          <t>PCMSO + PPRA + PGR</t>
        </is>
      </c>
      <c r="B69" s="71" t="n">
        <v>1</v>
      </c>
      <c r="C69" s="72" t="inlineStr">
        <is>
          <t>vb</t>
        </is>
      </c>
      <c r="D69" s="78" t="inlineStr">
        <is>
          <t>—</t>
        </is>
      </c>
      <c r="E69" s="71">
        <f>IF(B69&gt;0,F69/B69,0)</f>
        <v/>
      </c>
      <c r="F69" s="71">
        <f>CUSTOS_MACROGRUPO!$G$2*0.12*0.05</f>
        <v/>
      </c>
      <c r="G69" s="71">
        <f>F69/DADOS_PROJETO!$B$6</f>
        <v/>
      </c>
    </row>
    <row r="70">
      <c r="A70" s="75" t="inlineStr">
        <is>
          <t>Subtotal 5. EPCs — EQUIPAMENTOS DE PROTEÇÃO COLETIVA</t>
        </is>
      </c>
      <c r="B70" s="76" t="n"/>
      <c r="C70" s="76" t="n"/>
      <c r="D70" s="76" t="n"/>
      <c r="E70" s="76" t="n"/>
      <c r="F70" s="77">
        <f>SUM(F58:F69)</f>
        <v/>
      </c>
      <c r="G70" s="77">
        <f>SUM(G58:G69)</f>
        <v/>
      </c>
    </row>
    <row r="72">
      <c r="A72" s="79" t="inlineStr">
        <is>
          <t>6. EQUIPAMENTOS E MÁQUINAS</t>
        </is>
      </c>
      <c r="B72" s="60" t="n"/>
      <c r="C72" s="60" t="n"/>
      <c r="D72" s="60" t="n"/>
      <c r="E72" s="60" t="n"/>
      <c r="F72" s="60" t="n"/>
      <c r="G72" s="61" t="n"/>
    </row>
    <row r="73">
      <c r="A73" s="66" t="inlineStr">
        <is>
          <t>Cremalheira (elevador de obra) — locação</t>
        </is>
      </c>
      <c r="B73" s="67">
        <f>DADOS_PROJETO!$B$17</f>
        <v/>
      </c>
      <c r="C73" s="68" t="inlineStr">
        <is>
          <t>mês</t>
        </is>
      </c>
      <c r="D73" s="69" t="inlineStr">
        <is>
          <t>Prazo</t>
        </is>
      </c>
      <c r="E73" s="67">
        <f>IF(B73&gt;0,F73/B73,0)</f>
        <v/>
      </c>
      <c r="F73" s="67">
        <f>CUSTOS_MACROGRUPO!$G$2*0.1*0.22</f>
        <v/>
      </c>
      <c r="G73" s="67">
        <f>F73/DADOS_PROJETO!$B$6</f>
        <v/>
      </c>
    </row>
    <row r="74">
      <c r="A74" s="70" t="inlineStr">
        <is>
          <t>Mini-grua / guincho (locação)</t>
        </is>
      </c>
      <c r="B74" s="71">
        <f>24</f>
        <v/>
      </c>
      <c r="C74" s="72" t="inlineStr">
        <is>
          <t>mês</t>
        </is>
      </c>
      <c r="D74" s="73" t="n">
        <v>24</v>
      </c>
      <c r="E74" s="71">
        <f>IF(B74&gt;0,F74/B74,0)</f>
        <v/>
      </c>
      <c r="F74" s="71">
        <f>CUSTOS_MACROGRUPO!$G$2*0.1*0.15</f>
        <v/>
      </c>
      <c r="G74" s="71">
        <f>F74/DADOS_PROJETO!$B$6</f>
        <v/>
      </c>
    </row>
    <row r="75">
      <c r="A75" s="66" t="inlineStr">
        <is>
          <t>Betoneira 400L</t>
        </is>
      </c>
      <c r="B75" s="67">
        <f>18</f>
        <v/>
      </c>
      <c r="C75" s="68" t="inlineStr">
        <is>
          <t>mês</t>
        </is>
      </c>
      <c r="D75" s="74" t="n">
        <v>18</v>
      </c>
      <c r="E75" s="67">
        <f>IF(B75&gt;0,F75/B75,0)</f>
        <v/>
      </c>
      <c r="F75" s="67">
        <f>CUSTOS_MACROGRUPO!$G$2*0.1*0.06</f>
        <v/>
      </c>
      <c r="G75" s="67">
        <f>F75/DADOS_PROJETO!$B$6</f>
        <v/>
      </c>
    </row>
    <row r="76">
      <c r="A76" s="70" t="inlineStr">
        <is>
          <t>Serra circular de bancada</t>
        </is>
      </c>
      <c r="B76" s="71">
        <f>2</f>
        <v/>
      </c>
      <c r="C76" s="72" t="inlineStr">
        <is>
          <t>un</t>
        </is>
      </c>
      <c r="D76" s="73" t="n">
        <v>2</v>
      </c>
      <c r="E76" s="71">
        <f>IF(B76&gt;0,F76/B76,0)</f>
        <v/>
      </c>
      <c r="F76" s="71">
        <f>CUSTOS_MACROGRUPO!$G$2*0.1*0.04</f>
        <v/>
      </c>
      <c r="G76" s="71">
        <f>F76/DADOS_PROJETO!$B$6</f>
        <v/>
      </c>
    </row>
    <row r="77">
      <c r="A77" s="66" t="inlineStr">
        <is>
          <t>Furadeiras/parafusadeiras</t>
        </is>
      </c>
      <c r="B77" s="67">
        <f>10</f>
        <v/>
      </c>
      <c r="C77" s="68" t="inlineStr">
        <is>
          <t>un</t>
        </is>
      </c>
      <c r="D77" s="74" t="n">
        <v>10</v>
      </c>
      <c r="E77" s="67">
        <f>IF(B77&gt;0,F77/B77,0)</f>
        <v/>
      </c>
      <c r="F77" s="67">
        <f>CUSTOS_MACROGRUPO!$G$2*0.1*0.03</f>
        <v/>
      </c>
      <c r="G77" s="67">
        <f>F77/DADOS_PROJETO!$B$6</f>
        <v/>
      </c>
    </row>
    <row r="78">
      <c r="A78" s="70" t="inlineStr">
        <is>
          <t>Vibrador de concreto</t>
        </is>
      </c>
      <c r="B78" s="71">
        <f>3</f>
        <v/>
      </c>
      <c r="C78" s="72" t="inlineStr">
        <is>
          <t>un</t>
        </is>
      </c>
      <c r="D78" s="73" t="n">
        <v>3</v>
      </c>
      <c r="E78" s="71">
        <f>IF(B78&gt;0,F78/B78,0)</f>
        <v/>
      </c>
      <c r="F78" s="71">
        <f>CUSTOS_MACROGRUPO!$G$2*0.1*0.03</f>
        <v/>
      </c>
      <c r="G78" s="71">
        <f>F78/DADOS_PROJETO!$B$6</f>
        <v/>
      </c>
    </row>
    <row r="79">
      <c r="A79" s="66" t="inlineStr">
        <is>
          <t>Nível laser / topografia obra</t>
        </is>
      </c>
      <c r="B79" s="67">
        <f>DADOS_PROJETO!$B$17</f>
        <v/>
      </c>
      <c r="C79" s="68" t="inlineStr">
        <is>
          <t>mês</t>
        </is>
      </c>
      <c r="D79" s="69" t="inlineStr">
        <is>
          <t>Prazo</t>
        </is>
      </c>
      <c r="E79" s="67">
        <f>IF(B79&gt;0,F79/B79,0)</f>
        <v/>
      </c>
      <c r="F79" s="67">
        <f>CUSTOS_MACROGRUPO!$G$2*0.1*0.05</f>
        <v/>
      </c>
      <c r="G79" s="67">
        <f>F79/DADOS_PROJETO!$B$6</f>
        <v/>
      </c>
    </row>
    <row r="80">
      <c r="A80" s="70" t="inlineStr">
        <is>
          <t>Andaimes metálicos (locação)</t>
        </is>
      </c>
      <c r="B80" s="71">
        <f>24</f>
        <v/>
      </c>
      <c r="C80" s="72" t="inlineStr">
        <is>
          <t>mês</t>
        </is>
      </c>
      <c r="D80" s="73" t="n">
        <v>24</v>
      </c>
      <c r="E80" s="71">
        <f>IF(B80&gt;0,F80/B80,0)</f>
        <v/>
      </c>
      <c r="F80" s="71">
        <f>CUSTOS_MACROGRUPO!$G$2*0.1*0.12</f>
        <v/>
      </c>
      <c r="G80" s="71">
        <f>F80/DADOS_PROJETO!$B$6</f>
        <v/>
      </c>
    </row>
    <row r="81">
      <c r="A81" s="66" t="inlineStr">
        <is>
          <t>Balancim elétrico (fachada) — locação</t>
        </is>
      </c>
      <c r="B81" s="67">
        <f>18</f>
        <v/>
      </c>
      <c r="C81" s="68" t="inlineStr">
        <is>
          <t>mês</t>
        </is>
      </c>
      <c r="D81" s="74" t="n">
        <v>18</v>
      </c>
      <c r="E81" s="67">
        <f>IF(B81&gt;0,F81/B81,0)</f>
        <v/>
      </c>
      <c r="F81" s="67">
        <f>CUSTOS_MACROGRUPO!$G$2*0.1*0.12</f>
        <v/>
      </c>
      <c r="G81" s="67">
        <f>F81/DADOS_PROJETO!$B$6</f>
        <v/>
      </c>
    </row>
    <row r="82">
      <c r="A82" s="70" t="inlineStr">
        <is>
          <t>Bombas submersíveis (drenagem)</t>
        </is>
      </c>
      <c r="B82" s="71">
        <f>2</f>
        <v/>
      </c>
      <c r="C82" s="72" t="inlineStr">
        <is>
          <t>un</t>
        </is>
      </c>
      <c r="D82" s="73" t="n">
        <v>2</v>
      </c>
      <c r="E82" s="71">
        <f>IF(B82&gt;0,F82/B82,0)</f>
        <v/>
      </c>
      <c r="F82" s="71">
        <f>CUSTOS_MACROGRUPO!$G$2*0.1*0.03</f>
        <v/>
      </c>
      <c r="G82" s="71">
        <f>F82/DADOS_PROJETO!$B$6</f>
        <v/>
      </c>
    </row>
    <row r="83">
      <c r="A83" s="66" t="inlineStr">
        <is>
          <t>Compactador (placa vibratória)</t>
        </is>
      </c>
      <c r="B83" s="67">
        <f>6</f>
        <v/>
      </c>
      <c r="C83" s="68" t="inlineStr">
        <is>
          <t>mês</t>
        </is>
      </c>
      <c r="D83" s="74" t="n">
        <v>6</v>
      </c>
      <c r="E83" s="67">
        <f>IF(B83&gt;0,F83/B83,0)</f>
        <v/>
      </c>
      <c r="F83" s="67">
        <f>CUSTOS_MACROGRUPO!$G$2*0.1*0.03</f>
        <v/>
      </c>
      <c r="G83" s="67">
        <f>F83/DADOS_PROJETO!$B$6</f>
        <v/>
      </c>
    </row>
    <row r="84">
      <c r="A84" s="70" t="inlineStr">
        <is>
          <t>Ferramentas diversas (reposição mensal)</t>
        </is>
      </c>
      <c r="B84" s="71" t="n">
        <v>1</v>
      </c>
      <c r="C84" s="72" t="inlineStr">
        <is>
          <t>vb</t>
        </is>
      </c>
      <c r="D84" s="78" t="inlineStr">
        <is>
          <t>—</t>
        </is>
      </c>
      <c r="E84" s="71">
        <f>IF(B84&gt;0,F84/B84,0)</f>
        <v/>
      </c>
      <c r="F84" s="71">
        <f>CUSTOS_MACROGRUPO!$G$2*0.1*0.06</f>
        <v/>
      </c>
      <c r="G84" s="71">
        <f>F84/DADOS_PROJETO!$B$6</f>
        <v/>
      </c>
    </row>
    <row r="85">
      <c r="A85" s="66" t="inlineStr">
        <is>
          <t>Combustível / energia (gerador provisório)</t>
        </is>
      </c>
      <c r="B85" s="67" t="n">
        <v>1</v>
      </c>
      <c r="C85" s="68" t="inlineStr">
        <is>
          <t>vb</t>
        </is>
      </c>
      <c r="D85" s="69" t="inlineStr">
        <is>
          <t>—</t>
        </is>
      </c>
      <c r="E85" s="67">
        <f>IF(B85&gt;0,F85/B85,0)</f>
        <v/>
      </c>
      <c r="F85" s="67">
        <f>CUSTOS_MACROGRUPO!$G$2*0.1*0.06</f>
        <v/>
      </c>
      <c r="G85" s="67">
        <f>F85/DADOS_PROJETO!$B$6</f>
        <v/>
      </c>
    </row>
    <row r="86">
      <c r="A86" s="75" t="inlineStr">
        <is>
          <t>Subtotal 6. EQUIPAMENTOS E MÁQUINAS</t>
        </is>
      </c>
      <c r="B86" s="76" t="n"/>
      <c r="C86" s="76" t="n"/>
      <c r="D86" s="76" t="n"/>
      <c r="E86" s="76" t="n"/>
      <c r="F86" s="77">
        <f>SUM(F73:F85)</f>
        <v/>
      </c>
      <c r="G86" s="77">
        <f>SUM(G73:G85)</f>
        <v/>
      </c>
    </row>
    <row r="88">
      <c r="A88" s="83" t="inlineStr">
        <is>
          <t>7. CANTEIRO DE OBRAS</t>
        </is>
      </c>
      <c r="B88" s="60" t="n"/>
      <c r="C88" s="60" t="n"/>
      <c r="D88" s="60" t="n"/>
      <c r="E88" s="60" t="n"/>
      <c r="F88" s="60" t="n"/>
      <c r="G88" s="61" t="n"/>
    </row>
    <row r="89">
      <c r="A89" s="66" t="inlineStr">
        <is>
          <t>Implantação do canteiro (containers, tapumes)</t>
        </is>
      </c>
      <c r="B89" s="67" t="n">
        <v>1</v>
      </c>
      <c r="C89" s="68" t="inlineStr">
        <is>
          <t>vb</t>
        </is>
      </c>
      <c r="D89" s="69" t="inlineStr">
        <is>
          <t>—</t>
        </is>
      </c>
      <c r="E89" s="67">
        <f>IF(B89&gt;0,F89/B89,0)</f>
        <v/>
      </c>
      <c r="F89" s="67">
        <f>CUSTOS_MACROGRUPO!$G$2*0.08*0.15</f>
        <v/>
      </c>
      <c r="G89" s="67">
        <f>F89/DADOS_PROJETO!$B$6</f>
        <v/>
      </c>
    </row>
    <row r="90">
      <c r="A90" s="70" t="inlineStr">
        <is>
          <t>Instalações provisórias (água, energia, esgoto)</t>
        </is>
      </c>
      <c r="B90" s="71" t="n">
        <v>1</v>
      </c>
      <c r="C90" s="72" t="inlineStr">
        <is>
          <t>vb</t>
        </is>
      </c>
      <c r="D90" s="78" t="inlineStr">
        <is>
          <t>—</t>
        </is>
      </c>
      <c r="E90" s="71">
        <f>IF(B90&gt;0,F90/B90,0)</f>
        <v/>
      </c>
      <c r="F90" s="71">
        <f>CUSTOS_MACROGRUPO!$G$2*0.08*0.1</f>
        <v/>
      </c>
      <c r="G90" s="71">
        <f>F90/DADOS_PROJETO!$B$6</f>
        <v/>
      </c>
    </row>
    <row r="91">
      <c r="A91" s="66" t="inlineStr">
        <is>
          <t>Escritório de obra (container)</t>
        </is>
      </c>
      <c r="B91" s="67">
        <f>DADOS_PROJETO!$B$17</f>
        <v/>
      </c>
      <c r="C91" s="68" t="inlineStr">
        <is>
          <t>mês</t>
        </is>
      </c>
      <c r="D91" s="69" t="inlineStr">
        <is>
          <t>Prazo</t>
        </is>
      </c>
      <c r="E91" s="67">
        <f>IF(B91&gt;0,F91/B91,0)</f>
        <v/>
      </c>
      <c r="F91" s="67">
        <f>CUSTOS_MACROGRUPO!$G$2*0.08*0.1</f>
        <v/>
      </c>
      <c r="G91" s="67">
        <f>F91/DADOS_PROJETO!$B$6</f>
        <v/>
      </c>
    </row>
    <row r="92">
      <c r="A92" s="70" t="inlineStr">
        <is>
          <t>Refeitório / vestiário</t>
        </is>
      </c>
      <c r="B92" s="71">
        <f>DADOS_PROJETO!$B$17</f>
        <v/>
      </c>
      <c r="C92" s="72" t="inlineStr">
        <is>
          <t>mês</t>
        </is>
      </c>
      <c r="D92" s="78" t="inlineStr">
        <is>
          <t>Prazo</t>
        </is>
      </c>
      <c r="E92" s="71">
        <f>IF(B92&gt;0,F92/B92,0)</f>
        <v/>
      </c>
      <c r="F92" s="71">
        <f>CUSTOS_MACROGRUPO!$G$2*0.08*0.1</f>
        <v/>
      </c>
      <c r="G92" s="71">
        <f>F92/DADOS_PROJETO!$B$6</f>
        <v/>
      </c>
    </row>
    <row r="93">
      <c r="A93" s="66" t="inlineStr">
        <is>
          <t>Banheiros químicos (fase inicial)</t>
        </is>
      </c>
      <c r="B93" s="67">
        <f>6</f>
        <v/>
      </c>
      <c r="C93" s="68" t="inlineStr">
        <is>
          <t>mês</t>
        </is>
      </c>
      <c r="D93" s="74" t="n">
        <v>6</v>
      </c>
      <c r="E93" s="67">
        <f>IF(B93&gt;0,F93/B93,0)</f>
        <v/>
      </c>
      <c r="F93" s="67">
        <f>CUSTOS_MACROGRUPO!$G$2*0.08*0.05</f>
        <v/>
      </c>
      <c r="G93" s="67">
        <f>F93/DADOS_PROJETO!$B$6</f>
        <v/>
      </c>
    </row>
    <row r="94">
      <c r="A94" s="70" t="inlineStr">
        <is>
          <t>Almoxarifado (container)</t>
        </is>
      </c>
      <c r="B94" s="71">
        <f>DADOS_PROJETO!$B$17</f>
        <v/>
      </c>
      <c r="C94" s="72" t="inlineStr">
        <is>
          <t>mês</t>
        </is>
      </c>
      <c r="D94" s="78" t="inlineStr">
        <is>
          <t>Prazo</t>
        </is>
      </c>
      <c r="E94" s="71">
        <f>IF(B94&gt;0,F94/B94,0)</f>
        <v/>
      </c>
      <c r="F94" s="71">
        <f>CUSTOS_MACROGRUPO!$G$2*0.08*0.08</f>
        <v/>
      </c>
      <c r="G94" s="71">
        <f>F94/DADOS_PROJETO!$B$6</f>
        <v/>
      </c>
    </row>
    <row r="95">
      <c r="A95" s="66" t="inlineStr">
        <is>
          <t>Tapume metálico/madeira</t>
        </is>
      </c>
      <c r="B95" s="67">
        <f>80</f>
        <v/>
      </c>
      <c r="C95" s="68" t="inlineStr">
        <is>
          <t>m</t>
        </is>
      </c>
      <c r="D95" s="74" t="n">
        <v>80</v>
      </c>
      <c r="E95" s="67">
        <f>IF(B95&gt;0,F95/B95,0)</f>
        <v/>
      </c>
      <c r="F95" s="67">
        <f>CUSTOS_MACROGRUPO!$G$2*0.08*0.08</f>
        <v/>
      </c>
      <c r="G95" s="67">
        <f>F95/DADOS_PROJETO!$B$6</f>
        <v/>
      </c>
    </row>
    <row r="96">
      <c r="A96" s="70" t="inlineStr">
        <is>
          <t>Limpeza permanente (servente)</t>
        </is>
      </c>
      <c r="B96" s="71">
        <f>DADOS_PROJETO!$B$17</f>
        <v/>
      </c>
      <c r="C96" s="72" t="inlineStr">
        <is>
          <t>mês</t>
        </is>
      </c>
      <c r="D96" s="78" t="inlineStr">
        <is>
          <t>Prazo</t>
        </is>
      </c>
      <c r="E96" s="71">
        <f>IF(B96&gt;0,F96/B96,0)</f>
        <v/>
      </c>
      <c r="F96" s="71">
        <f>CUSTOS_MACROGRUPO!$G$2*0.08*0.1</f>
        <v/>
      </c>
      <c r="G96" s="71">
        <f>F96/DADOS_PROJETO!$B$6</f>
        <v/>
      </c>
    </row>
    <row r="97">
      <c r="A97" s="66" t="inlineStr">
        <is>
          <t>Caçamba de entulho (remoção)</t>
        </is>
      </c>
      <c r="B97" s="67">
        <f>250</f>
        <v/>
      </c>
      <c r="C97" s="68" t="inlineStr">
        <is>
          <t>un</t>
        </is>
      </c>
      <c r="D97" s="74" t="n">
        <v>250</v>
      </c>
      <c r="E97" s="67">
        <f>IF(B97&gt;0,F97/B97,0)</f>
        <v/>
      </c>
      <c r="F97" s="67">
        <f>CUSTOS_MACROGRUPO!$G$2*0.08*0.1</f>
        <v/>
      </c>
      <c r="G97" s="67">
        <f>F97/DADOS_PROJETO!$B$6</f>
        <v/>
      </c>
    </row>
    <row r="98">
      <c r="A98" s="70" t="inlineStr">
        <is>
          <t>Consumo de água/energia (tarifa)</t>
        </is>
      </c>
      <c r="B98" s="71">
        <f>DADOS_PROJETO!$B$17</f>
        <v/>
      </c>
      <c r="C98" s="72" t="inlineStr">
        <is>
          <t>mês</t>
        </is>
      </c>
      <c r="D98" s="78" t="inlineStr">
        <is>
          <t>Prazo</t>
        </is>
      </c>
      <c r="E98" s="71">
        <f>IF(B98&gt;0,F98/B98,0)</f>
        <v/>
      </c>
      <c r="F98" s="71">
        <f>CUSTOS_MACROGRUPO!$G$2*0.08*0.08</f>
        <v/>
      </c>
      <c r="G98" s="71">
        <f>F98/DADOS_PROJETO!$B$6</f>
        <v/>
      </c>
    </row>
    <row r="99">
      <c r="A99" s="66" t="inlineStr">
        <is>
          <t>Desmobilização canteiro</t>
        </is>
      </c>
      <c r="B99" s="67" t="n">
        <v>1</v>
      </c>
      <c r="C99" s="68" t="inlineStr">
        <is>
          <t>vb</t>
        </is>
      </c>
      <c r="D99" s="69" t="inlineStr">
        <is>
          <t>—</t>
        </is>
      </c>
      <c r="E99" s="67">
        <f>IF(B99&gt;0,F99/B99,0)</f>
        <v/>
      </c>
      <c r="F99" s="67">
        <f>CUSTOS_MACROGRUPO!$G$2*0.08*0.06</f>
        <v/>
      </c>
      <c r="G99" s="67">
        <f>F99/DADOS_PROJETO!$B$6</f>
        <v/>
      </c>
    </row>
    <row r="100">
      <c r="A100" s="75" t="inlineStr">
        <is>
          <t>Subtotal 7. CANTEIRO DE OBRAS</t>
        </is>
      </c>
      <c r="B100" s="76" t="n"/>
      <c r="C100" s="76" t="n"/>
      <c r="D100" s="76" t="n"/>
      <c r="E100" s="76" t="n"/>
      <c r="F100" s="77">
        <f>SUM(F89:F99)</f>
        <v/>
      </c>
      <c r="G100" s="77">
        <f>SUM(G89:G99)</f>
        <v/>
      </c>
    </row>
    <row r="102">
      <c r="A102" s="83" t="inlineStr">
        <is>
          <t>8. ENSAIOS E CONTROLE TECNOLÓGICO</t>
        </is>
      </c>
      <c r="B102" s="60" t="n"/>
      <c r="C102" s="60" t="n"/>
      <c r="D102" s="60" t="n"/>
      <c r="E102" s="60" t="n"/>
      <c r="F102" s="60" t="n"/>
      <c r="G102" s="61" t="n"/>
    </row>
    <row r="103">
      <c r="A103" s="66" t="inlineStr">
        <is>
          <t>Ensaio de compressão concreto (CP's)</t>
        </is>
      </c>
      <c r="B103" s="67">
        <f>400</f>
        <v/>
      </c>
      <c r="C103" s="68" t="inlineStr">
        <is>
          <t>un</t>
        </is>
      </c>
      <c r="D103" s="74" t="n">
        <v>400</v>
      </c>
      <c r="E103" s="67">
        <f>IF(B103&gt;0,F103/B103,0)</f>
        <v/>
      </c>
      <c r="F103" s="67">
        <f>CUSTOS_MACROGRUPO!$G$2*0.05*0.2</f>
        <v/>
      </c>
      <c r="G103" s="67">
        <f>F103/DADOS_PROJETO!$B$6</f>
        <v/>
      </c>
    </row>
    <row r="104">
      <c r="A104" s="70" t="inlineStr">
        <is>
          <t>Ensaio de estaca (prova de carga)</t>
        </is>
      </c>
      <c r="B104" s="71">
        <f>3</f>
        <v/>
      </c>
      <c r="C104" s="72" t="inlineStr">
        <is>
          <t>un</t>
        </is>
      </c>
      <c r="D104" s="73" t="n">
        <v>3</v>
      </c>
      <c r="E104" s="71">
        <f>IF(B104&gt;0,F104/B104,0)</f>
        <v/>
      </c>
      <c r="F104" s="71">
        <f>CUSTOS_MACROGRUPO!$G$2*0.05*0.15</f>
        <v/>
      </c>
      <c r="G104" s="71">
        <f>F104/DADOS_PROJETO!$B$6</f>
        <v/>
      </c>
    </row>
    <row r="105">
      <c r="A105" s="66" t="inlineStr">
        <is>
          <t>Ensaio de aderência revestimento (arrancamento)</t>
        </is>
      </c>
      <c r="B105" s="67">
        <f>20</f>
        <v/>
      </c>
      <c r="C105" s="68" t="inlineStr">
        <is>
          <t>un</t>
        </is>
      </c>
      <c r="D105" s="74" t="n">
        <v>20</v>
      </c>
      <c r="E105" s="67">
        <f>IF(B105&gt;0,F105/B105,0)</f>
        <v/>
      </c>
      <c r="F105" s="67">
        <f>CUSTOS_MACROGRUPO!$G$2*0.05*0.08</f>
        <v/>
      </c>
      <c r="G105" s="67">
        <f>F105/DADOS_PROJETO!$B$6</f>
        <v/>
      </c>
    </row>
    <row r="106">
      <c r="A106" s="70" t="inlineStr">
        <is>
          <t>Teste hidrostático tubulações</t>
        </is>
      </c>
      <c r="B106" s="71">
        <f>30</f>
        <v/>
      </c>
      <c r="C106" s="72" t="inlineStr">
        <is>
          <t>un</t>
        </is>
      </c>
      <c r="D106" s="73" t="n">
        <v>30</v>
      </c>
      <c r="E106" s="71">
        <f>IF(B106&gt;0,F106/B106,0)</f>
        <v/>
      </c>
      <c r="F106" s="71">
        <f>CUSTOS_MACROGRUPO!$G$2*0.05*0.08</f>
        <v/>
      </c>
      <c r="G106" s="71">
        <f>F106/DADOS_PROJETO!$B$6</f>
        <v/>
      </c>
    </row>
    <row r="107">
      <c r="A107" s="66" t="inlineStr">
        <is>
          <t>Teste de estanqueidade (impermeabilização)</t>
        </is>
      </c>
      <c r="B107" s="67">
        <f>50</f>
        <v/>
      </c>
      <c r="C107" s="68" t="inlineStr">
        <is>
          <t>un</t>
        </is>
      </c>
      <c r="D107" s="74" t="n">
        <v>50</v>
      </c>
      <c r="E107" s="67">
        <f>IF(B107&gt;0,F107/B107,0)</f>
        <v/>
      </c>
      <c r="F107" s="67">
        <f>CUSTOS_MACROGRUPO!$G$2*0.05*0.08</f>
        <v/>
      </c>
      <c r="G107" s="67">
        <f>F107/DADOS_PROJETO!$B$6</f>
        <v/>
      </c>
    </row>
    <row r="108">
      <c r="A108" s="70" t="inlineStr">
        <is>
          <t>Ensaio de compactação solo (Proctor)</t>
        </is>
      </c>
      <c r="B108" s="71">
        <f>10</f>
        <v/>
      </c>
      <c r="C108" s="72" t="inlineStr">
        <is>
          <t>un</t>
        </is>
      </c>
      <c r="D108" s="73" t="n">
        <v>10</v>
      </c>
      <c r="E108" s="71">
        <f>IF(B108&gt;0,F108/B108,0)</f>
        <v/>
      </c>
      <c r="F108" s="71">
        <f>CUSTOS_MACROGRUPO!$G$2*0.05*0.06</f>
        <v/>
      </c>
      <c r="G108" s="71">
        <f>F108/DADOS_PROJETO!$B$6</f>
        <v/>
      </c>
    </row>
    <row r="109">
      <c r="A109" s="66" t="inlineStr">
        <is>
          <t>Laudo de desempenho acústico (NBR 15575)</t>
        </is>
      </c>
      <c r="B109" s="67" t="n">
        <v>1</v>
      </c>
      <c r="C109" s="68" t="inlineStr">
        <is>
          <t>vb</t>
        </is>
      </c>
      <c r="D109" s="69" t="inlineStr">
        <is>
          <t>—</t>
        </is>
      </c>
      <c r="E109" s="67">
        <f>IF(B109&gt;0,F109/B109,0)</f>
        <v/>
      </c>
      <c r="F109" s="67">
        <f>CUSTOS_MACROGRUPO!$G$2*0.05*0.08</f>
        <v/>
      </c>
      <c r="G109" s="67">
        <f>F109/DADOS_PROJETO!$B$6</f>
        <v/>
      </c>
    </row>
    <row r="110">
      <c r="A110" s="70" t="inlineStr">
        <is>
          <t>Comissionamento de sistemas (elevador, gerador, incêndio)</t>
        </is>
      </c>
      <c r="B110" s="71" t="n">
        <v>1</v>
      </c>
      <c r="C110" s="72" t="inlineStr">
        <is>
          <t>vb</t>
        </is>
      </c>
      <c r="D110" s="78" t="inlineStr">
        <is>
          <t>—</t>
        </is>
      </c>
      <c r="E110" s="71">
        <f>IF(B110&gt;0,F110/B110,0)</f>
        <v/>
      </c>
      <c r="F110" s="71">
        <f>CUSTOS_MACROGRUPO!$G$2*0.05*0.12</f>
        <v/>
      </c>
      <c r="G110" s="71">
        <f>F110/DADOS_PROJETO!$B$6</f>
        <v/>
      </c>
    </row>
    <row r="111">
      <c r="A111" s="66" t="inlineStr">
        <is>
          <t>Inspeção final / vistoria (Habite-se)</t>
        </is>
      </c>
      <c r="B111" s="67" t="n">
        <v>1</v>
      </c>
      <c r="C111" s="68" t="inlineStr">
        <is>
          <t>vb</t>
        </is>
      </c>
      <c r="D111" s="69" t="inlineStr">
        <is>
          <t>—</t>
        </is>
      </c>
      <c r="E111" s="67">
        <f>IF(B111&gt;0,F111/B111,0)</f>
        <v/>
      </c>
      <c r="F111" s="67">
        <f>CUSTOS_MACROGRUPO!$G$2*0.05*0.08</f>
        <v/>
      </c>
      <c r="G111" s="67">
        <f>F111/DADOS_PROJETO!$B$6</f>
        <v/>
      </c>
    </row>
    <row r="112">
      <c r="A112" s="70" t="inlineStr">
        <is>
          <t>Relatório fotográfico mensal</t>
        </is>
      </c>
      <c r="B112" s="71">
        <f>DADOS_PROJETO!$B$17</f>
        <v/>
      </c>
      <c r="C112" s="72" t="inlineStr">
        <is>
          <t>mês</t>
        </is>
      </c>
      <c r="D112" s="78" t="inlineStr">
        <is>
          <t>Prazo</t>
        </is>
      </c>
      <c r="E112" s="71">
        <f>IF(B112&gt;0,F112/B112,0)</f>
        <v/>
      </c>
      <c r="F112" s="71">
        <f>CUSTOS_MACROGRUPO!$G$2*0.05*0.07</f>
        <v/>
      </c>
      <c r="G112" s="71">
        <f>F112/DADOS_PROJETO!$B$6</f>
        <v/>
      </c>
    </row>
    <row r="113">
      <c r="A113" s="75" t="inlineStr">
        <is>
          <t>Subtotal 8. ENSAIOS E CONTROLE TECNOLÓGICO</t>
        </is>
      </c>
      <c r="B113" s="76" t="n"/>
      <c r="C113" s="76" t="n"/>
      <c r="D113" s="76" t="n"/>
      <c r="E113" s="76" t="n"/>
      <c r="F113" s="77">
        <f>SUM(F103:F112)</f>
        <v/>
      </c>
      <c r="G113" s="77">
        <f>SUM(G103:G112)</f>
        <v/>
      </c>
    </row>
    <row r="115">
      <c r="A115" s="80" t="inlineStr">
        <is>
          <t>TOTAL CUSTOS INDIRETOS (Gerenciamento)</t>
        </is>
      </c>
      <c r="B115" s="81" t="n"/>
      <c r="C115" s="81" t="n"/>
      <c r="D115" s="81" t="n"/>
      <c r="E115" s="81" t="n"/>
      <c r="F115" s="82">
        <f>F22+F34+F45+F55+F70+F86+F100+F113</f>
        <v/>
      </c>
      <c r="G115" s="82">
        <f>G22+G34+G45+G55+G70+G86+G100+G113</f>
        <v/>
      </c>
    </row>
  </sheetData>
  <mergeCells count="10">
    <mergeCell ref="A36:G36"/>
    <mergeCell ref="A102:G102"/>
    <mergeCell ref="A1:G1"/>
    <mergeCell ref="A88:G88"/>
    <mergeCell ref="A24:G24"/>
    <mergeCell ref="A2:G2"/>
    <mergeCell ref="A72:G72"/>
    <mergeCell ref="A57:G57"/>
    <mergeCell ref="A47:G47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  <c r="B1" s="60" t="n"/>
      <c r="C1" s="60" t="n"/>
      <c r="D1" s="60" t="n"/>
      <c r="E1" s="60" t="n"/>
      <c r="F1" s="60" t="n"/>
      <c r="G1" s="60" t="n"/>
      <c r="H1" s="61" t="n"/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380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210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680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350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180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330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160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  <c r="B1" s="60" t="n"/>
      <c r="C1" s="60" t="n"/>
      <c r="D1" s="61" t="n"/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  <c r="B1" s="60" t="n"/>
      <c r="C1" s="60" t="n"/>
      <c r="D1" s="61" t="n"/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  <c r="B1" s="61" t="n"/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18 projetos reais executados entre 2022-2024</t>
        </is>
      </c>
    </row>
    <row r="8">
      <c r="A8" s="58" t="inlineStr">
        <is>
          <t>- CUB base: R$ 2.752,67 (dez/2023)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(dez/2023)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2026-03-06T21:46:35Z</dcterms:created>
  <dcterms:modified xmlns:dcterms="http://purl.org/dc/terms/" xmlns:xsi="http://www.w3.org/2001/XMLSchema-instance" xsi:type="dcterms:W3CDTF">2026-03-06T21:46:36Z</dcterms:modified>
</cp:coreProperties>
</file>