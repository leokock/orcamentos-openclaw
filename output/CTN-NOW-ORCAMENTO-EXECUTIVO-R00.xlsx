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ambert Engenharia\2026 - Now Residence\04. Custo\04.1 Custo - Paramétrico\04-Aplicativo\"/>
    </mc:Choice>
  </mc:AlternateContent>
  <xr:revisionPtr revIDLastSave="0" documentId="13_ncr:1_{E1150E28-490F-4EA0-BD8D-598BF1FE0C1C}" xr6:coauthVersionLast="47" xr6:coauthVersionMax="47" xr10:uidLastSave="{00000000-0000-0000-0000-000000000000}"/>
  <bookViews>
    <workbookView xWindow="-108" yWindow="-108" windowWidth="23256" windowHeight="12456" activeTab="2" xr2:uid="{BAD1D78F-D186-44AE-B415-5FEEF34A5B51}"/>
  </bookViews>
  <sheets>
    <sheet name="OBRA" sheetId="2" r:id="rId1"/>
    <sheet name="EPC's" sheetId="3" r:id="rId2"/>
    <sheet name="ORÇAMENTO" sheetId="1" r:id="rId3"/>
    <sheet name="Planilha1" sheetId="6" r:id="rId4"/>
  </sheets>
  <externalReferences>
    <externalReference r:id="rId5"/>
    <externalReference r:id="rId6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2" hidden="1">ORÇAMENTO!$A$11:$P$298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>#REF!</definedName>
    <definedName name="área">#REF!</definedName>
    <definedName name="Área_Construída">#REF!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>#REF!</definedName>
    <definedName name="bdfjghf" hidden="1">{#N/A,#N/A,FALSE,"Plan1";#N/A,#N/A,FALSE,"Plan2"}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hidden="1">IF(#REF!="Ativa",OFFSET(INDEX(rng_list_classificacao,MATCH(#REF!,rng_list_classificacao,0)),1,0,COUNTA(rng_list_classificacao)-1),#REF!)</definedName>
    <definedName name="vld_regional" hidden="1">OFFSET(INDEX(rng_list_regional,MATCH(#REF!,rng_list_regional,0)),1,0,COUNTA(rng_list_regional)-1)</definedName>
    <definedName name="vld_segmento" hidden="1">IF(#REF!="Ativa",OFFSET(INDEX(rng_list_segmento,MATCH(#REF!,rng_list_segmento,0)),1,0,COUNTA(rng_list_segmento)-1),#REF!)</definedName>
    <definedName name="vld_sociedade" hidden="1">OFFSET(INDEX(rng_list_sociedade,MATCH(#REF!,rng_list_sociedade,0)),1,0,COUNTA(rng_list_sociedade)-1)</definedName>
    <definedName name="vld_status_empresa" hidden="1">OFFSET(INDEX(rng_list_status_empresa,MATCH(#REF!,rng_list_status_empresa,0)),1,0,COUNTA(rng_list_status_empresa)-1)</definedName>
    <definedName name="vld_status_lancamento" hidden="1">IF(#REF!="Ativa",OFFSET(INDEX(rng_list_status_lancamento,MATCH(#REF!,rng_list_status_lancamento,0)),1,0,COUNTA(rng_list_status_lancamento)-1),#REF!)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1" l="1"/>
  <c r="O39" i="1" s="1"/>
  <c r="M38" i="1"/>
  <c r="O38" i="1" s="1"/>
  <c r="M42" i="1"/>
  <c r="O42" i="1" s="1"/>
  <c r="M41" i="1"/>
  <c r="M40" i="1"/>
  <c r="O40" i="1" s="1"/>
  <c r="M37" i="1"/>
  <c r="O37" i="1" s="1"/>
  <c r="M33" i="1"/>
  <c r="O33" i="1" s="1"/>
  <c r="M32" i="1"/>
  <c r="O32" i="1" s="1"/>
  <c r="M31" i="1"/>
  <c r="O31" i="1" s="1"/>
  <c r="M30" i="1"/>
  <c r="M29" i="1" s="1"/>
  <c r="M24" i="1"/>
  <c r="M23" i="1"/>
  <c r="M27" i="1"/>
  <c r="O27" i="1" s="1"/>
  <c r="M26" i="1"/>
  <c r="O26" i="1" s="1"/>
  <c r="M25" i="1"/>
  <c r="M22" i="1"/>
  <c r="O22" i="1" s="1"/>
  <c r="M21" i="1"/>
  <c r="O21" i="1" s="1"/>
  <c r="M20" i="1"/>
  <c r="M19" i="1"/>
  <c r="M18" i="1"/>
  <c r="C34" i="2"/>
  <c r="E34" i="2" s="1"/>
  <c r="C33" i="2"/>
  <c r="E33" i="2" s="1"/>
  <c r="E31" i="2"/>
  <c r="K264" i="1"/>
  <c r="M264" i="1" s="1"/>
  <c r="D23" i="6"/>
  <c r="E21" i="6"/>
  <c r="E20" i="6"/>
  <c r="L225" i="1" s="1"/>
  <c r="M225" i="1" s="1"/>
  <c r="E19" i="6"/>
  <c r="L224" i="1" s="1"/>
  <c r="M224" i="1" s="1"/>
  <c r="D21" i="6"/>
  <c r="D20" i="6"/>
  <c r="D19" i="6"/>
  <c r="M36" i="1" l="1"/>
  <c r="M34" i="1" s="1"/>
  <c r="O41" i="1"/>
  <c r="M17" i="1"/>
  <c r="M15" i="1" s="1"/>
  <c r="O30" i="1"/>
  <c r="O23" i="1"/>
  <c r="O24" i="1"/>
  <c r="O25" i="1"/>
  <c r="O19" i="1"/>
  <c r="O20" i="1"/>
  <c r="O18" i="1"/>
  <c r="O148" i="1"/>
  <c r="L148" i="1"/>
  <c r="P92" i="1"/>
  <c r="P120" i="1"/>
  <c r="M218" i="1" l="1"/>
  <c r="M217" i="1" s="1"/>
  <c r="K279" i="1"/>
  <c r="K282" i="1" s="1"/>
  <c r="L280" i="1"/>
  <c r="L284" i="1"/>
  <c r="K262" i="1"/>
  <c r="L262" i="1"/>
  <c r="M268" i="1"/>
  <c r="L271" i="1"/>
  <c r="L270" i="1"/>
  <c r="L269" i="1"/>
  <c r="M272" i="1"/>
  <c r="L275" i="1"/>
  <c r="L274" i="1"/>
  <c r="L267" i="1"/>
  <c r="L266" i="1"/>
  <c r="L265" i="1"/>
  <c r="L263" i="1"/>
  <c r="M287" i="1"/>
  <c r="M286" i="1" s="1"/>
  <c r="L289" i="1"/>
  <c r="L290" i="1"/>
  <c r="L291" i="1"/>
  <c r="L292" i="1"/>
  <c r="L293" i="1"/>
  <c r="L288" i="1"/>
  <c r="E296" i="1"/>
  <c r="E297" i="1" s="1"/>
  <c r="D295" i="1"/>
  <c r="D296" i="1" s="1"/>
  <c r="D297" i="1" s="1"/>
  <c r="C294" i="1"/>
  <c r="C295" i="1" s="1"/>
  <c r="C296" i="1" s="1"/>
  <c r="C297" i="1" s="1"/>
  <c r="G298" i="1"/>
  <c r="H298" i="1" s="1"/>
  <c r="M243" i="1"/>
  <c r="M244" i="1"/>
  <c r="L258" i="1"/>
  <c r="L257" i="1"/>
  <c r="L256" i="1"/>
  <c r="L255" i="1"/>
  <c r="L254" i="1"/>
  <c r="I234" i="1"/>
  <c r="M262" i="1" l="1"/>
  <c r="M261" i="1" s="1"/>
  <c r="M260" i="1" s="1"/>
  <c r="M259" i="1" s="1"/>
  <c r="O270" i="1"/>
  <c r="O271" i="1"/>
  <c r="O293" i="1"/>
  <c r="M237" i="1"/>
  <c r="I8" i="1"/>
  <c r="I7" i="1"/>
  <c r="I6" i="1"/>
  <c r="I5" i="1"/>
  <c r="L249" i="1"/>
  <c r="L247" i="1"/>
  <c r="L246" i="1"/>
  <c r="L245" i="1"/>
  <c r="L242" i="1"/>
  <c r="L241" i="1"/>
  <c r="L240" i="1"/>
  <c r="L239" i="1"/>
  <c r="L238" i="1"/>
  <c r="M230" i="1"/>
  <c r="M228" i="1"/>
  <c r="L232" i="1"/>
  <c r="L231" i="1"/>
  <c r="L229" i="1"/>
  <c r="L222" i="1"/>
  <c r="L221" i="1"/>
  <c r="L220" i="1"/>
  <c r="L219" i="1"/>
  <c r="M159" i="1"/>
  <c r="M156" i="1"/>
  <c r="L158" i="1"/>
  <c r="L157" i="1"/>
  <c r="L166" i="1"/>
  <c r="L162" i="1"/>
  <c r="L161" i="1"/>
  <c r="L160" i="1"/>
  <c r="E159" i="1"/>
  <c r="M206" i="1"/>
  <c r="M205" i="1" s="1"/>
  <c r="M200" i="1"/>
  <c r="M199" i="1" s="1"/>
  <c r="M194" i="1"/>
  <c r="M193" i="1" s="1"/>
  <c r="L211" i="1"/>
  <c r="L210" i="1"/>
  <c r="L209" i="1"/>
  <c r="L208" i="1"/>
  <c r="L207" i="1"/>
  <c r="L204" i="1"/>
  <c r="L203" i="1"/>
  <c r="L202" i="1"/>
  <c r="L201" i="1"/>
  <c r="L198" i="1"/>
  <c r="L197" i="1"/>
  <c r="L196" i="1"/>
  <c r="L195" i="1"/>
  <c r="M188" i="1"/>
  <c r="M187" i="1" s="1"/>
  <c r="M178" i="1"/>
  <c r="M169" i="1"/>
  <c r="L173" i="1"/>
  <c r="L149" i="1"/>
  <c r="L147" i="1"/>
  <c r="M136" i="1"/>
  <c r="M138" i="1"/>
  <c r="L143" i="1"/>
  <c r="L141" i="1"/>
  <c r="L140" i="1"/>
  <c r="L139" i="1"/>
  <c r="L137" i="1"/>
  <c r="L135" i="1"/>
  <c r="L133" i="1"/>
  <c r="L132" i="1"/>
  <c r="O140" i="1"/>
  <c r="E138" i="1"/>
  <c r="M122" i="1"/>
  <c r="O122" i="1" s="1"/>
  <c r="L128" i="1"/>
  <c r="L127" i="1"/>
  <c r="L126" i="1"/>
  <c r="L125" i="1"/>
  <c r="L124" i="1"/>
  <c r="L123" i="1"/>
  <c r="O128" i="1"/>
  <c r="O127" i="1"/>
  <c r="O126" i="1"/>
  <c r="O125" i="1"/>
  <c r="O124" i="1"/>
  <c r="O123" i="1"/>
  <c r="E122" i="1"/>
  <c r="E123" i="1" s="1"/>
  <c r="E124" i="1" s="1"/>
  <c r="E125" i="1" s="1"/>
  <c r="E126" i="1" s="1"/>
  <c r="E127" i="1" s="1"/>
  <c r="E128" i="1" s="1"/>
  <c r="D121" i="1"/>
  <c r="D122" i="1" s="1"/>
  <c r="D123" i="1" s="1"/>
  <c r="D124" i="1" s="1"/>
  <c r="D125" i="1" s="1"/>
  <c r="D126" i="1" s="1"/>
  <c r="D127" i="1" s="1"/>
  <c r="D128" i="1" s="1"/>
  <c r="C120" i="1"/>
  <c r="C121" i="1" s="1"/>
  <c r="C122" i="1" s="1"/>
  <c r="C123" i="1" s="1"/>
  <c r="C124" i="1" s="1"/>
  <c r="C125" i="1" s="1"/>
  <c r="C126" i="1" s="1"/>
  <c r="C127" i="1" s="1"/>
  <c r="C128" i="1" s="1"/>
  <c r="M113" i="1"/>
  <c r="L119" i="1"/>
  <c r="L117" i="1"/>
  <c r="L116" i="1"/>
  <c r="L115" i="1"/>
  <c r="L114" i="1"/>
  <c r="O116" i="1"/>
  <c r="M104" i="1"/>
  <c r="L109" i="1"/>
  <c r="L108" i="1"/>
  <c r="L107" i="1"/>
  <c r="L106" i="1"/>
  <c r="L105" i="1"/>
  <c r="M94" i="1"/>
  <c r="M93" i="1" s="1"/>
  <c r="M92" i="1" s="1"/>
  <c r="L96" i="1"/>
  <c r="L97" i="1"/>
  <c r="L98" i="1"/>
  <c r="L99" i="1"/>
  <c r="L100" i="1"/>
  <c r="L101" i="1"/>
  <c r="L95" i="1"/>
  <c r="K76" i="1"/>
  <c r="K71" i="1"/>
  <c r="M72" i="1"/>
  <c r="M74" i="1"/>
  <c r="M73" i="1"/>
  <c r="O73" i="1" s="1"/>
  <c r="K67" i="1"/>
  <c r="M67" i="1" s="1"/>
  <c r="M66" i="1" s="1"/>
  <c r="K65" i="1"/>
  <c r="K51" i="1"/>
  <c r="M51" i="1" s="1"/>
  <c r="K55" i="1"/>
  <c r="K54" i="1"/>
  <c r="K53" i="1"/>
  <c r="K50" i="1"/>
  <c r="K49" i="1"/>
  <c r="K47" i="1"/>
  <c r="O43" i="1"/>
  <c r="E43" i="1"/>
  <c r="O36" i="1"/>
  <c r="E36" i="1"/>
  <c r="E37" i="1" s="1"/>
  <c r="O35" i="1"/>
  <c r="E35" i="1"/>
  <c r="D34" i="1"/>
  <c r="D35" i="1" s="1"/>
  <c r="D36" i="1" s="1"/>
  <c r="O29" i="1"/>
  <c r="E29" i="1"/>
  <c r="E28" i="1"/>
  <c r="E17" i="1"/>
  <c r="E18" i="1" s="1"/>
  <c r="E19" i="1" s="1"/>
  <c r="E20" i="1" s="1"/>
  <c r="E21" i="1" s="1"/>
  <c r="E22" i="1" s="1"/>
  <c r="E16" i="1"/>
  <c r="D15" i="1"/>
  <c r="D16" i="1" s="1"/>
  <c r="D17" i="1" s="1"/>
  <c r="C14" i="1"/>
  <c r="C15" i="1" s="1"/>
  <c r="C16" i="1" s="1"/>
  <c r="C17" i="1" s="1"/>
  <c r="B2" i="3"/>
  <c r="B1" i="3"/>
  <c r="D49" i="3"/>
  <c r="D42" i="3"/>
  <c r="K52" i="1" s="1"/>
  <c r="D33" i="3"/>
  <c r="D36" i="3" s="1"/>
  <c r="D26" i="3"/>
  <c r="D28" i="3" s="1"/>
  <c r="D19" i="3"/>
  <c r="D21" i="3" s="1"/>
  <c r="D14" i="3"/>
  <c r="D13" i="3"/>
  <c r="E38" i="1" l="1"/>
  <c r="E39" i="1" s="1"/>
  <c r="E40" i="1" s="1"/>
  <c r="E41" i="1" s="1"/>
  <c r="E42" i="1" s="1"/>
  <c r="D37" i="1"/>
  <c r="E30" i="1"/>
  <c r="E31" i="1" s="1"/>
  <c r="E32" i="1" s="1"/>
  <c r="E33" i="1" s="1"/>
  <c r="E34" i="1" s="1"/>
  <c r="E23" i="1"/>
  <c r="E24" i="1" s="1"/>
  <c r="E25" i="1" s="1"/>
  <c r="E26" i="1" s="1"/>
  <c r="E27" i="1" s="1"/>
  <c r="D18" i="1"/>
  <c r="D19" i="1" s="1"/>
  <c r="D20" i="1" s="1"/>
  <c r="D21" i="1" s="1"/>
  <c r="D22" i="1" s="1"/>
  <c r="C18" i="1"/>
  <c r="C19" i="1" s="1"/>
  <c r="C20" i="1" s="1"/>
  <c r="C21" i="1" s="1"/>
  <c r="C22" i="1" s="1"/>
  <c r="Q92" i="1"/>
  <c r="R92" i="1" s="1"/>
  <c r="M155" i="1"/>
  <c r="O232" i="1"/>
  <c r="O173" i="1"/>
  <c r="M121" i="1"/>
  <c r="M120" i="1" s="1"/>
  <c r="Q120" i="1" s="1"/>
  <c r="O96" i="1"/>
  <c r="O97" i="1"/>
  <c r="O72" i="1"/>
  <c r="O74" i="1"/>
  <c r="O67" i="1"/>
  <c r="O51" i="1"/>
  <c r="M14" i="1"/>
  <c r="D38" i="1" l="1"/>
  <c r="D39" i="1" s="1"/>
  <c r="D40" i="1" s="1"/>
  <c r="D41" i="1" s="1"/>
  <c r="D42" i="1" s="1"/>
  <c r="D43" i="1" s="1"/>
  <c r="C23" i="1"/>
  <c r="C24" i="1" s="1"/>
  <c r="C25" i="1" s="1"/>
  <c r="C26" i="1" s="1"/>
  <c r="C27" i="1" s="1"/>
  <c r="C28" i="1" s="1"/>
  <c r="C29" i="1" s="1"/>
  <c r="D23" i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O121" i="1"/>
  <c r="O28" i="1"/>
  <c r="C30" i="1" l="1"/>
  <c r="C31" i="1" s="1"/>
  <c r="C32" i="1" s="1"/>
  <c r="C33" i="1" s="1"/>
  <c r="C34" i="1" s="1"/>
  <c r="C35" i="1" s="1"/>
  <c r="C36" i="1" s="1"/>
  <c r="O17" i="1"/>
  <c r="C37" i="1" l="1"/>
  <c r="O16" i="1"/>
  <c r="C38" i="1" l="1"/>
  <c r="C39" i="1" s="1"/>
  <c r="C40" i="1" s="1"/>
  <c r="C41" i="1" s="1"/>
  <c r="C42" i="1" s="1"/>
  <c r="C43" i="1" s="1"/>
  <c r="M86" i="1"/>
  <c r="O86" i="1" s="1"/>
  <c r="M52" i="1" l="1"/>
  <c r="O137" i="1" l="1"/>
  <c r="O52" i="1"/>
  <c r="E283" i="1" l="1"/>
  <c r="E284" i="1" s="1"/>
  <c r="O258" i="1" l="1"/>
  <c r="M283" i="1"/>
  <c r="O284" i="1" l="1"/>
  <c r="E248" i="1" l="1"/>
  <c r="E249" i="1" s="1"/>
  <c r="E233" i="1"/>
  <c r="E234" i="1" s="1"/>
  <c r="E223" i="1"/>
  <c r="E224" i="1" s="1"/>
  <c r="E225" i="1" l="1"/>
  <c r="O225" i="1"/>
  <c r="O224" i="1" l="1"/>
  <c r="M223" i="1"/>
  <c r="M216" i="1" s="1"/>
  <c r="O222" i="1" l="1"/>
  <c r="O256" i="1" l="1"/>
  <c r="O229" i="1" l="1"/>
  <c r="O255" i="1" l="1"/>
  <c r="M282" i="1" l="1"/>
  <c r="M281" i="1" s="1"/>
  <c r="M279" i="1"/>
  <c r="M278" i="1" s="1"/>
  <c r="M277" i="1" s="1"/>
  <c r="O279" i="1" l="1"/>
  <c r="O282" i="1"/>
  <c r="C44" i="1" l="1"/>
  <c r="C45" i="1" s="1"/>
  <c r="C46" i="1" s="1"/>
  <c r="C47" i="1" s="1"/>
  <c r="C48" i="1" s="1"/>
  <c r="C49" i="1" s="1"/>
  <c r="C50" i="1" s="1"/>
  <c r="C51" i="1" s="1"/>
  <c r="D45" i="1"/>
  <c r="D46" i="1" s="1"/>
  <c r="D47" i="1" s="1"/>
  <c r="D48" i="1" s="1"/>
  <c r="D49" i="1" s="1"/>
  <c r="D50" i="1" s="1"/>
  <c r="D51" i="1" s="1"/>
  <c r="E46" i="1"/>
  <c r="E47" i="1" s="1"/>
  <c r="E48" i="1"/>
  <c r="E49" i="1" s="1"/>
  <c r="E50" i="1" s="1"/>
  <c r="E51" i="1" s="1"/>
  <c r="E58" i="1"/>
  <c r="E59" i="1" s="1"/>
  <c r="D59" i="1"/>
  <c r="D60" i="1" s="1"/>
  <c r="D61" i="1" s="1"/>
  <c r="D62" i="1" s="1"/>
  <c r="D63" i="1" s="1"/>
  <c r="D64" i="1" s="1"/>
  <c r="D65" i="1" s="1"/>
  <c r="D66" i="1" s="1"/>
  <c r="E60" i="1"/>
  <c r="E61" i="1" s="1"/>
  <c r="E62" i="1" s="1"/>
  <c r="E63" i="1" s="1"/>
  <c r="E64" i="1" s="1"/>
  <c r="E65" i="1" s="1"/>
  <c r="E66" i="1"/>
  <c r="E67" i="1" s="1"/>
  <c r="E68" i="1"/>
  <c r="E69" i="1" s="1"/>
  <c r="E77" i="1"/>
  <c r="E78" i="1" s="1"/>
  <c r="D78" i="1"/>
  <c r="D79" i="1" s="1"/>
  <c r="D80" i="1" s="1"/>
  <c r="D81" i="1" s="1"/>
  <c r="D82" i="1" s="1"/>
  <c r="D83" i="1" s="1"/>
  <c r="D84" i="1" s="1"/>
  <c r="D85" i="1" s="1"/>
  <c r="E79" i="1"/>
  <c r="E80" i="1" s="1"/>
  <c r="E81" i="1" s="1"/>
  <c r="E82" i="1" s="1"/>
  <c r="E83" i="1" s="1"/>
  <c r="E84" i="1" s="1"/>
  <c r="E85" i="1" s="1"/>
  <c r="E86" i="1" s="1"/>
  <c r="E87" i="1"/>
  <c r="E88" i="1" s="1"/>
  <c r="E89" i="1" s="1"/>
  <c r="E90" i="1" s="1"/>
  <c r="E91" i="1" s="1"/>
  <c r="E92" i="1" s="1"/>
  <c r="E93" i="1" s="1"/>
  <c r="B91" i="1"/>
  <c r="B92" i="1" s="1"/>
  <c r="B93" i="1" s="1"/>
  <c r="B94" i="1" s="1"/>
  <c r="B95" i="1" s="1"/>
  <c r="C92" i="1"/>
  <c r="C93" i="1" s="1"/>
  <c r="C94" i="1" s="1"/>
  <c r="C95" i="1" s="1"/>
  <c r="D93" i="1"/>
  <c r="D94" i="1" s="1"/>
  <c r="D95" i="1" s="1"/>
  <c r="E94" i="1"/>
  <c r="E95" i="1" s="1"/>
  <c r="C102" i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D103" i="1"/>
  <c r="D104" i="1" s="1"/>
  <c r="D105" i="1" s="1"/>
  <c r="D106" i="1" s="1"/>
  <c r="D107" i="1" s="1"/>
  <c r="D108" i="1" s="1"/>
  <c r="D109" i="1" s="1"/>
  <c r="D110" i="1" s="1"/>
  <c r="D111" i="1" s="1"/>
  <c r="E104" i="1"/>
  <c r="E105" i="1" s="1"/>
  <c r="E106" i="1" s="1"/>
  <c r="E107" i="1" s="1"/>
  <c r="E108" i="1" s="1"/>
  <c r="E109" i="1" s="1"/>
  <c r="E110" i="1"/>
  <c r="E111" i="1" s="1"/>
  <c r="E112" i="1" s="1"/>
  <c r="D112" i="1"/>
  <c r="D113" i="1" s="1"/>
  <c r="D114" i="1" s="1"/>
  <c r="D115" i="1" s="1"/>
  <c r="E113" i="1"/>
  <c r="E114" i="1" s="1"/>
  <c r="E115" i="1" s="1"/>
  <c r="E116" i="1" s="1"/>
  <c r="E117" i="1" s="1"/>
  <c r="E118" i="1"/>
  <c r="E119" i="1" s="1"/>
  <c r="C129" i="1"/>
  <c r="C130" i="1" s="1"/>
  <c r="C131" i="1" s="1"/>
  <c r="C132" i="1" s="1"/>
  <c r="C133" i="1" s="1"/>
  <c r="C134" i="1" s="1"/>
  <c r="C135" i="1" s="1"/>
  <c r="C136" i="1" s="1"/>
  <c r="D130" i="1"/>
  <c r="D131" i="1" s="1"/>
  <c r="D132" i="1" s="1"/>
  <c r="D133" i="1" s="1"/>
  <c r="D134" i="1" s="1"/>
  <c r="D135" i="1" s="1"/>
  <c r="D136" i="1" s="1"/>
  <c r="E131" i="1"/>
  <c r="E132" i="1" s="1"/>
  <c r="E133" i="1" s="1"/>
  <c r="E134" i="1"/>
  <c r="E135" i="1" s="1"/>
  <c r="E136" i="1"/>
  <c r="E139" i="1"/>
  <c r="E142" i="1"/>
  <c r="E143" i="1" s="1"/>
  <c r="E144" i="1" s="1"/>
  <c r="E145" i="1" s="1"/>
  <c r="C144" i="1"/>
  <c r="C145" i="1" s="1"/>
  <c r="C146" i="1" s="1"/>
  <c r="C147" i="1" s="1"/>
  <c r="D145" i="1"/>
  <c r="D146" i="1" s="1"/>
  <c r="D147" i="1" s="1"/>
  <c r="E146" i="1"/>
  <c r="E147" i="1" s="1"/>
  <c r="E150" i="1"/>
  <c r="E151" i="1" s="1"/>
  <c r="E152" i="1"/>
  <c r="E153" i="1" s="1"/>
  <c r="E154" i="1" s="1"/>
  <c r="E155" i="1" s="1"/>
  <c r="C154" i="1"/>
  <c r="C155" i="1" s="1"/>
  <c r="C156" i="1" s="1"/>
  <c r="C157" i="1" s="1"/>
  <c r="C158" i="1" s="1"/>
  <c r="D155" i="1"/>
  <c r="D156" i="1" s="1"/>
  <c r="D157" i="1" s="1"/>
  <c r="D158" i="1" s="1"/>
  <c r="E156" i="1"/>
  <c r="E157" i="1" s="1"/>
  <c r="E158" i="1" s="1"/>
  <c r="E160" i="1" s="1"/>
  <c r="E161" i="1" s="1"/>
  <c r="E162" i="1" s="1"/>
  <c r="E163" i="1" s="1"/>
  <c r="E164" i="1" s="1"/>
  <c r="E165" i="1" s="1"/>
  <c r="E166" i="1" s="1"/>
  <c r="E167" i="1" s="1"/>
  <c r="E168" i="1" s="1"/>
  <c r="C167" i="1"/>
  <c r="C168" i="1" s="1"/>
  <c r="C169" i="1" s="1"/>
  <c r="C170" i="1" s="1"/>
  <c r="C171" i="1" s="1"/>
  <c r="C172" i="1" s="1"/>
  <c r="D168" i="1"/>
  <c r="D169" i="1" s="1"/>
  <c r="D170" i="1" s="1"/>
  <c r="D171" i="1" s="1"/>
  <c r="D172" i="1" s="1"/>
  <c r="E169" i="1"/>
  <c r="E170" i="1" s="1"/>
  <c r="E171" i="1" s="1"/>
  <c r="E172" i="1" s="1"/>
  <c r="E175" i="1"/>
  <c r="E176" i="1" s="1"/>
  <c r="E177" i="1" s="1"/>
  <c r="D177" i="1"/>
  <c r="D178" i="1" s="1"/>
  <c r="D179" i="1" s="1"/>
  <c r="D180" i="1" s="1"/>
  <c r="D181" i="1" s="1"/>
  <c r="D182" i="1" s="1"/>
  <c r="D183" i="1" s="1"/>
  <c r="D184" i="1" s="1"/>
  <c r="D185" i="1" s="1"/>
  <c r="D186" i="1" s="1"/>
  <c r="E178" i="1"/>
  <c r="E179" i="1" s="1"/>
  <c r="E180" i="1" s="1"/>
  <c r="E181" i="1" s="1"/>
  <c r="E182" i="1" s="1"/>
  <c r="E183" i="1" s="1"/>
  <c r="E184" i="1" s="1"/>
  <c r="E185" i="1"/>
  <c r="E186" i="1" s="1"/>
  <c r="E187" i="1" s="1"/>
  <c r="D187" i="1"/>
  <c r="D188" i="1" s="1"/>
  <c r="D189" i="1" s="1"/>
  <c r="E188" i="1"/>
  <c r="E189" i="1" s="1"/>
  <c r="C192" i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D193" i="1"/>
  <c r="D194" i="1" s="1"/>
  <c r="D195" i="1" s="1"/>
  <c r="D196" i="1" s="1"/>
  <c r="D197" i="1" s="1"/>
  <c r="D198" i="1" s="1"/>
  <c r="E194" i="1"/>
  <c r="E195" i="1" s="1"/>
  <c r="E196" i="1" s="1"/>
  <c r="E197" i="1" s="1"/>
  <c r="E198" i="1" s="1"/>
  <c r="E199" i="1" s="1"/>
  <c r="D199" i="1"/>
  <c r="D200" i="1" s="1"/>
  <c r="D201" i="1" s="1"/>
  <c r="D202" i="1" s="1"/>
  <c r="D203" i="1" s="1"/>
  <c r="D204" i="1" s="1"/>
  <c r="E200" i="1"/>
  <c r="E201" i="1" s="1"/>
  <c r="E202" i="1" s="1"/>
  <c r="E203" i="1" s="1"/>
  <c r="E204" i="1" s="1"/>
  <c r="E205" i="1" s="1"/>
  <c r="D205" i="1"/>
  <c r="D206" i="1" s="1"/>
  <c r="D207" i="1" s="1"/>
  <c r="D208" i="1" s="1"/>
  <c r="D209" i="1" s="1"/>
  <c r="D210" i="1" s="1"/>
  <c r="D211" i="1" s="1"/>
  <c r="E206" i="1"/>
  <c r="E207" i="1" s="1"/>
  <c r="E208" i="1" s="1"/>
  <c r="E209" i="1" s="1"/>
  <c r="E210" i="1" s="1"/>
  <c r="E211" i="1" s="1"/>
  <c r="E212" i="1" s="1"/>
  <c r="D212" i="1"/>
  <c r="D213" i="1" s="1"/>
  <c r="D214" i="1" s="1"/>
  <c r="D215" i="1" s="1"/>
  <c r="E213" i="1"/>
  <c r="E214" i="1" s="1"/>
  <c r="E215" i="1" s="1"/>
  <c r="E216" i="1" s="1"/>
  <c r="C215" i="1"/>
  <c r="C216" i="1" s="1"/>
  <c r="C217" i="1" s="1"/>
  <c r="C218" i="1" s="1"/>
  <c r="C219" i="1" s="1"/>
  <c r="C220" i="1" s="1"/>
  <c r="C221" i="1" s="1"/>
  <c r="C222" i="1" s="1"/>
  <c r="C223" i="1" s="1"/>
  <c r="D216" i="1"/>
  <c r="D217" i="1" s="1"/>
  <c r="D218" i="1" s="1"/>
  <c r="D219" i="1" s="1"/>
  <c r="D220" i="1" s="1"/>
  <c r="D221" i="1" s="1"/>
  <c r="E217" i="1"/>
  <c r="E218" i="1" s="1"/>
  <c r="E219" i="1" s="1"/>
  <c r="E220" i="1" s="1"/>
  <c r="E221" i="1" s="1"/>
  <c r="C226" i="1"/>
  <c r="C227" i="1" s="1"/>
  <c r="C228" i="1" s="1"/>
  <c r="D227" i="1"/>
  <c r="D228" i="1" s="1"/>
  <c r="E228" i="1"/>
  <c r="E230" i="1"/>
  <c r="E231" i="1" s="1"/>
  <c r="C235" i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D236" i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E237" i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50" i="1" s="1"/>
  <c r="E251" i="1" s="1"/>
  <c r="C250" i="1"/>
  <c r="C251" i="1" s="1"/>
  <c r="C252" i="1" s="1"/>
  <c r="C253" i="1" s="1"/>
  <c r="C254" i="1" s="1"/>
  <c r="D251" i="1"/>
  <c r="D252" i="1" s="1"/>
  <c r="D253" i="1" s="1"/>
  <c r="D254" i="1" s="1"/>
  <c r="E252" i="1"/>
  <c r="E253" i="1" s="1"/>
  <c r="E254" i="1" s="1"/>
  <c r="C259" i="1"/>
  <c r="C260" i="1" s="1"/>
  <c r="C261" i="1" s="1"/>
  <c r="C262" i="1" s="1"/>
  <c r="D260" i="1"/>
  <c r="D261" i="1" s="1"/>
  <c r="D262" i="1" s="1"/>
  <c r="E261" i="1"/>
  <c r="E262" i="1" s="1"/>
  <c r="E263" i="1" s="1"/>
  <c r="E264" i="1" s="1"/>
  <c r="E265" i="1" s="1"/>
  <c r="E266" i="1" s="1"/>
  <c r="E267" i="1" s="1"/>
  <c r="E268" i="1"/>
  <c r="E269" i="1" s="1"/>
  <c r="E270" i="1" s="1"/>
  <c r="E271" i="1" s="1"/>
  <c r="E272" i="1"/>
  <c r="E273" i="1" s="1"/>
  <c r="E274" i="1" s="1"/>
  <c r="E275" i="1" s="1"/>
  <c r="C276" i="1"/>
  <c r="C277" i="1" s="1"/>
  <c r="C278" i="1" s="1"/>
  <c r="D277" i="1"/>
  <c r="D278" i="1" s="1"/>
  <c r="E278" i="1"/>
  <c r="E281" i="1"/>
  <c r="C285" i="1"/>
  <c r="C286" i="1" s="1"/>
  <c r="D286" i="1"/>
  <c r="E287" i="1"/>
  <c r="E288" i="1" s="1"/>
  <c r="E289" i="1" s="1"/>
  <c r="E290" i="1" s="1"/>
  <c r="E291" i="1" s="1"/>
  <c r="E292" i="1" s="1"/>
  <c r="E293" i="1" s="1"/>
  <c r="C148" i="1" l="1"/>
  <c r="C149" i="1" s="1"/>
  <c r="C150" i="1" s="1"/>
  <c r="C151" i="1" s="1"/>
  <c r="C152" i="1" s="1"/>
  <c r="C153" i="1" s="1"/>
  <c r="E148" i="1"/>
  <c r="E149" i="1" s="1"/>
  <c r="D148" i="1"/>
  <c r="D149" i="1" s="1"/>
  <c r="D150" i="1" s="1"/>
  <c r="D151" i="1" s="1"/>
  <c r="D152" i="1" s="1"/>
  <c r="D153" i="1" s="1"/>
  <c r="D154" i="1" s="1"/>
  <c r="E294" i="1"/>
  <c r="E295" i="1" s="1"/>
  <c r="E235" i="1"/>
  <c r="E236" i="1" s="1"/>
  <c r="E232" i="1"/>
  <c r="D159" i="1"/>
  <c r="D160" i="1" s="1"/>
  <c r="D161" i="1" s="1"/>
  <c r="D162" i="1" s="1"/>
  <c r="D163" i="1" s="1"/>
  <c r="C159" i="1"/>
  <c r="C160" i="1" s="1"/>
  <c r="C161" i="1" s="1"/>
  <c r="C162" i="1" s="1"/>
  <c r="C163" i="1" s="1"/>
  <c r="E190" i="1"/>
  <c r="E191" i="1" s="1"/>
  <c r="E192" i="1" s="1"/>
  <c r="E193" i="1" s="1"/>
  <c r="D173" i="1"/>
  <c r="D174" i="1" s="1"/>
  <c r="D175" i="1" s="1"/>
  <c r="D176" i="1" s="1"/>
  <c r="C173" i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E173" i="1"/>
  <c r="E174" i="1" s="1"/>
  <c r="E140" i="1"/>
  <c r="E141" i="1" s="1"/>
  <c r="E129" i="1"/>
  <c r="E130" i="1" s="1"/>
  <c r="E120" i="1"/>
  <c r="E121" i="1" s="1"/>
  <c r="D116" i="1"/>
  <c r="D117" i="1" s="1"/>
  <c r="D118" i="1" s="1"/>
  <c r="D119" i="1" s="1"/>
  <c r="C116" i="1"/>
  <c r="C117" i="1" s="1"/>
  <c r="C118" i="1" s="1"/>
  <c r="C119" i="1" s="1"/>
  <c r="B96" i="1"/>
  <c r="D96" i="1"/>
  <c r="D97" i="1" s="1"/>
  <c r="D98" i="1" s="1"/>
  <c r="D99" i="1" s="1"/>
  <c r="D100" i="1" s="1"/>
  <c r="D101" i="1" s="1"/>
  <c r="D102" i="1" s="1"/>
  <c r="E96" i="1"/>
  <c r="E97" i="1" s="1"/>
  <c r="E98" i="1" s="1"/>
  <c r="E99" i="1" s="1"/>
  <c r="E100" i="1" s="1"/>
  <c r="E101" i="1" s="1"/>
  <c r="E102" i="1" s="1"/>
  <c r="E103" i="1" s="1"/>
  <c r="C96" i="1"/>
  <c r="C97" i="1" s="1"/>
  <c r="C98" i="1" s="1"/>
  <c r="C99" i="1" s="1"/>
  <c r="C100" i="1" s="1"/>
  <c r="C101" i="1" s="1"/>
  <c r="D67" i="1"/>
  <c r="D68" i="1" s="1"/>
  <c r="D69" i="1" s="1"/>
  <c r="D70" i="1" s="1"/>
  <c r="D71" i="1" s="1"/>
  <c r="D72" i="1" s="1"/>
  <c r="D86" i="1"/>
  <c r="D87" i="1" s="1"/>
  <c r="D88" i="1" s="1"/>
  <c r="D89" i="1" s="1"/>
  <c r="D90" i="1" s="1"/>
  <c r="D91" i="1" s="1"/>
  <c r="D92" i="1" s="1"/>
  <c r="D137" i="1"/>
  <c r="C137" i="1"/>
  <c r="E137" i="1"/>
  <c r="E70" i="1"/>
  <c r="E71" i="1" s="1"/>
  <c r="E72" i="1" s="1"/>
  <c r="D287" i="1"/>
  <c r="D288" i="1" s="1"/>
  <c r="D289" i="1" s="1"/>
  <c r="D290" i="1" s="1"/>
  <c r="D291" i="1" s="1"/>
  <c r="D292" i="1" s="1"/>
  <c r="D293" i="1" s="1"/>
  <c r="C287" i="1"/>
  <c r="C288" i="1" s="1"/>
  <c r="C289" i="1" s="1"/>
  <c r="C290" i="1" s="1"/>
  <c r="C291" i="1" s="1"/>
  <c r="C292" i="1" s="1"/>
  <c r="E276" i="1"/>
  <c r="E277" i="1" s="1"/>
  <c r="D263" i="1"/>
  <c r="D264" i="1" s="1"/>
  <c r="D265" i="1" s="1"/>
  <c r="D266" i="1" s="1"/>
  <c r="D267" i="1" s="1"/>
  <c r="D268" i="1" s="1"/>
  <c r="D269" i="1" s="1"/>
  <c r="C263" i="1"/>
  <c r="C264" i="1" s="1"/>
  <c r="C265" i="1" s="1"/>
  <c r="C266" i="1" s="1"/>
  <c r="C267" i="1" s="1"/>
  <c r="D248" i="1"/>
  <c r="D249" i="1" s="1"/>
  <c r="C224" i="1"/>
  <c r="C225" i="1" s="1"/>
  <c r="E222" i="1"/>
  <c r="E226" i="1" s="1"/>
  <c r="E227" i="1" s="1"/>
  <c r="D222" i="1"/>
  <c r="E282" i="1"/>
  <c r="E285" i="1" s="1"/>
  <c r="E286" i="1" s="1"/>
  <c r="E279" i="1"/>
  <c r="E280" i="1" s="1"/>
  <c r="C279" i="1"/>
  <c r="C280" i="1" s="1"/>
  <c r="C281" i="1" s="1"/>
  <c r="D279" i="1"/>
  <c r="D280" i="1" s="1"/>
  <c r="D281" i="1" s="1"/>
  <c r="D255" i="1"/>
  <c r="C255" i="1"/>
  <c r="E255" i="1"/>
  <c r="E229" i="1"/>
  <c r="D229" i="1"/>
  <c r="D230" i="1" s="1"/>
  <c r="D231" i="1" s="1"/>
  <c r="D232" i="1" s="1"/>
  <c r="C229" i="1"/>
  <c r="C230" i="1" s="1"/>
  <c r="C231" i="1" s="1"/>
  <c r="D270" i="1" l="1"/>
  <c r="D271" i="1" s="1"/>
  <c r="D272" i="1" s="1"/>
  <c r="D273" i="1" s="1"/>
  <c r="D274" i="1" s="1"/>
  <c r="D275" i="1" s="1"/>
  <c r="D276" i="1" s="1"/>
  <c r="C293" i="1"/>
  <c r="D294" i="1"/>
  <c r="C232" i="1"/>
  <c r="C233" i="1" s="1"/>
  <c r="C234" i="1" s="1"/>
  <c r="C164" i="1"/>
  <c r="C165" i="1" s="1"/>
  <c r="C166" i="1" s="1"/>
  <c r="D164" i="1"/>
  <c r="D165" i="1" s="1"/>
  <c r="D166" i="1" s="1"/>
  <c r="C138" i="1"/>
  <c r="C139" i="1" s="1"/>
  <c r="D138" i="1"/>
  <c r="D139" i="1" s="1"/>
  <c r="D129" i="1"/>
  <c r="D120" i="1"/>
  <c r="H96" i="1"/>
  <c r="B97" i="1"/>
  <c r="E73" i="1"/>
  <c r="E74" i="1" s="1"/>
  <c r="E75" i="1" s="1"/>
  <c r="E76" i="1" s="1"/>
  <c r="D73" i="1"/>
  <c r="D74" i="1" s="1"/>
  <c r="D75" i="1" s="1"/>
  <c r="D76" i="1" s="1"/>
  <c r="D77" i="1" s="1"/>
  <c r="C268" i="1"/>
  <c r="C269" i="1" s="1"/>
  <c r="D52" i="1"/>
  <c r="D53" i="1" s="1"/>
  <c r="D54" i="1" s="1"/>
  <c r="D55" i="1" s="1"/>
  <c r="D56" i="1" s="1"/>
  <c r="D57" i="1" s="1"/>
  <c r="D58" i="1" s="1"/>
  <c r="E52" i="1"/>
  <c r="E53" i="1" s="1"/>
  <c r="E54" i="1" s="1"/>
  <c r="E55" i="1" s="1"/>
  <c r="E56" i="1" s="1"/>
  <c r="E57" i="1" s="1"/>
  <c r="C52" i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D233" i="1"/>
  <c r="D234" i="1" s="1"/>
  <c r="D235" i="1" s="1"/>
  <c r="D223" i="1"/>
  <c r="C256" i="1"/>
  <c r="C257" i="1" s="1"/>
  <c r="D256" i="1"/>
  <c r="D257" i="1" s="1"/>
  <c r="E256" i="1"/>
  <c r="E257" i="1" s="1"/>
  <c r="D282" i="1"/>
  <c r="C282" i="1"/>
  <c r="C283" i="1" s="1"/>
  <c r="C284" i="1" s="1"/>
  <c r="D140" i="1" l="1"/>
  <c r="D141" i="1" s="1"/>
  <c r="D142" i="1" s="1"/>
  <c r="D143" i="1" s="1"/>
  <c r="D144" i="1" s="1"/>
  <c r="C140" i="1"/>
  <c r="C141" i="1" s="1"/>
  <c r="C142" i="1" s="1"/>
  <c r="C143" i="1" s="1"/>
  <c r="H97" i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C67" i="1"/>
  <c r="C68" i="1" s="1"/>
  <c r="C69" i="1" s="1"/>
  <c r="C70" i="1" s="1"/>
  <c r="C71" i="1" s="1"/>
  <c r="C72" i="1" s="1"/>
  <c r="D283" i="1"/>
  <c r="D284" i="1" s="1"/>
  <c r="D285" i="1" s="1"/>
  <c r="C258" i="1"/>
  <c r="E258" i="1"/>
  <c r="E259" i="1" s="1"/>
  <c r="E260" i="1" s="1"/>
  <c r="D258" i="1"/>
  <c r="D259" i="1" s="1"/>
  <c r="D250" i="1"/>
  <c r="D224" i="1"/>
  <c r="D225" i="1" s="1"/>
  <c r="D226" i="1" s="1"/>
  <c r="D167" i="1"/>
  <c r="B116" i="1" l="1"/>
  <c r="H116" i="1" s="1"/>
  <c r="C73" i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B117" i="1" l="1"/>
  <c r="B118" i="1" s="1"/>
  <c r="B119" i="1" s="1"/>
  <c r="B120" i="1" l="1"/>
  <c r="H120" i="1" l="1"/>
  <c r="B121" i="1"/>
  <c r="H121" i="1" l="1"/>
  <c r="B122" i="1"/>
  <c r="O166" i="1"/>
  <c r="H122" i="1" l="1"/>
  <c r="B123" i="1"/>
  <c r="B124" i="1" l="1"/>
  <c r="H123" i="1"/>
  <c r="B125" i="1" l="1"/>
  <c r="H124" i="1"/>
  <c r="B126" i="1" l="1"/>
  <c r="H125" i="1"/>
  <c r="O249" i="1"/>
  <c r="O266" i="1"/>
  <c r="O264" i="1"/>
  <c r="M248" i="1"/>
  <c r="M236" i="1" s="1"/>
  <c r="B127" i="1" l="1"/>
  <c r="H126" i="1"/>
  <c r="O248" i="1"/>
  <c r="L174" i="1"/>
  <c r="L172" i="1"/>
  <c r="L171" i="1"/>
  <c r="L170" i="1"/>
  <c r="L191" i="1"/>
  <c r="L190" i="1"/>
  <c r="L189" i="1"/>
  <c r="L186" i="1"/>
  <c r="L184" i="1"/>
  <c r="L183" i="1"/>
  <c r="L182" i="1"/>
  <c r="L181" i="1"/>
  <c r="L180" i="1"/>
  <c r="L179" i="1"/>
  <c r="K64" i="1"/>
  <c r="K62" i="1"/>
  <c r="K63" i="1"/>
  <c r="K61" i="1"/>
  <c r="M61" i="1" s="1"/>
  <c r="H127" i="1" l="1"/>
  <c r="M62" i="1"/>
  <c r="M80" i="1"/>
  <c r="M84" i="1"/>
  <c r="M82" i="1"/>
  <c r="M64" i="1"/>
  <c r="M89" i="1"/>
  <c r="M90" i="1"/>
  <c r="M81" i="1"/>
  <c r="M69" i="1"/>
  <c r="M83" i="1"/>
  <c r="M63" i="1"/>
  <c r="M85" i="1"/>
  <c r="M88" i="1"/>
  <c r="M75" i="1"/>
  <c r="M71" i="1"/>
  <c r="M70" i="1"/>
  <c r="M65" i="1"/>
  <c r="B128" i="1" l="1"/>
  <c r="M60" i="1"/>
  <c r="M79" i="1"/>
  <c r="O69" i="1"/>
  <c r="M87" i="1"/>
  <c r="H128" i="1" l="1"/>
  <c r="B129" i="1"/>
  <c r="B130" i="1" s="1"/>
  <c r="B131" i="1" s="1"/>
  <c r="B132" i="1" s="1"/>
  <c r="B133" i="1" s="1"/>
  <c r="B134" i="1" s="1"/>
  <c r="B135" i="1" s="1"/>
  <c r="B136" i="1" s="1"/>
  <c r="B137" i="1" s="1"/>
  <c r="B138" i="1" s="1"/>
  <c r="H138" i="1" s="1"/>
  <c r="M78" i="1"/>
  <c r="H137" i="1" l="1"/>
  <c r="B139" i="1"/>
  <c r="B140" i="1" l="1"/>
  <c r="H140" i="1" s="1"/>
  <c r="B141" i="1" l="1"/>
  <c r="B142" i="1" s="1"/>
  <c r="B143" i="1" s="1"/>
  <c r="B144" i="1" s="1"/>
  <c r="B145" i="1" s="1"/>
  <c r="B146" i="1" s="1"/>
  <c r="B147" i="1" s="1"/>
  <c r="B148" i="1" l="1"/>
  <c r="H148" i="1" s="1"/>
  <c r="B149" i="1" l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H159" i="1" s="1"/>
  <c r="B160" i="1" l="1"/>
  <c r="B161" i="1" s="1"/>
  <c r="B162" i="1" s="1"/>
  <c r="B163" i="1" s="1"/>
  <c r="B164" i="1" s="1"/>
  <c r="H164" i="1" s="1"/>
  <c r="B165" i="1" l="1"/>
  <c r="B166" i="1" s="1"/>
  <c r="B167" i="1" l="1"/>
  <c r="B168" i="1" s="1"/>
  <c r="B169" i="1" s="1"/>
  <c r="B170" i="1" s="1"/>
  <c r="B171" i="1" s="1"/>
  <c r="B172" i="1" s="1"/>
  <c r="B173" i="1" s="1"/>
  <c r="H173" i="1" s="1"/>
  <c r="B174" i="1" l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H222" i="1" l="1"/>
  <c r="B224" i="1"/>
  <c r="H223" i="1"/>
  <c r="B225" i="1" l="1"/>
  <c r="H224" i="1"/>
  <c r="H225" i="1" l="1"/>
  <c r="B226" i="1"/>
  <c r="B227" i="1" s="1"/>
  <c r="B228" i="1" s="1"/>
  <c r="B229" i="1" s="1"/>
  <c r="B230" i="1" l="1"/>
  <c r="B231" i="1" s="1"/>
  <c r="H229" i="1"/>
  <c r="B232" i="1" l="1"/>
  <c r="H232" i="1" s="1"/>
  <c r="B233" i="1" l="1"/>
  <c r="H233" i="1" l="1"/>
  <c r="B234" i="1"/>
  <c r="H234" i="1" l="1"/>
  <c r="B235" i="1" l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H248" i="1" l="1"/>
  <c r="B249" i="1"/>
  <c r="H249" i="1" l="1"/>
  <c r="B250" i="1" l="1"/>
  <c r="B251" i="1" s="1"/>
  <c r="B252" i="1" s="1"/>
  <c r="B253" i="1" s="1"/>
  <c r="B254" i="1" s="1"/>
  <c r="B255" i="1" s="1"/>
  <c r="H255" i="1" l="1"/>
  <c r="B256" i="1"/>
  <c r="B257" i="1" l="1"/>
  <c r="H256" i="1"/>
  <c r="B258" i="1" l="1"/>
  <c r="H258" i="1" l="1"/>
  <c r="B259" i="1"/>
  <c r="B260" i="1" s="1"/>
  <c r="B261" i="1" s="1"/>
  <c r="B262" i="1" s="1"/>
  <c r="B263" i="1" s="1"/>
  <c r="B264" i="1" s="1"/>
  <c r="B265" i="1" s="1"/>
  <c r="B266" i="1" s="1"/>
  <c r="B267" i="1" s="1"/>
  <c r="B268" i="1" l="1"/>
  <c r="B269" i="1" s="1"/>
  <c r="B270" i="1" l="1"/>
  <c r="B271" i="1" l="1"/>
  <c r="B272" i="1" l="1"/>
  <c r="B273" i="1" s="1"/>
  <c r="B274" i="1" s="1"/>
  <c r="B275" i="1" s="1"/>
  <c r="B276" i="1" l="1"/>
  <c r="B277" i="1" s="1"/>
  <c r="B278" i="1" s="1"/>
  <c r="B279" i="1" s="1"/>
  <c r="H279" i="1" l="1"/>
  <c r="B280" i="1"/>
  <c r="B281" i="1" s="1"/>
  <c r="B282" i="1" s="1"/>
  <c r="B283" i="1" l="1"/>
  <c r="H282" i="1"/>
  <c r="B284" i="1" l="1"/>
  <c r="H283" i="1"/>
  <c r="H284" i="1" l="1"/>
  <c r="B285" i="1" l="1"/>
  <c r="B286" i="1" s="1"/>
  <c r="B287" i="1" l="1"/>
  <c r="B288" i="1" s="1"/>
  <c r="B289" i="1" s="1"/>
  <c r="B290" i="1" s="1"/>
  <c r="B291" i="1" s="1"/>
  <c r="B292" i="1" s="1"/>
  <c r="B293" i="1" s="1"/>
  <c r="H293" i="1" s="1"/>
  <c r="B294" i="1" l="1"/>
  <c r="B295" i="1" l="1"/>
  <c r="H294" i="1"/>
  <c r="B296" i="1" l="1"/>
  <c r="H295" i="1"/>
  <c r="H296" i="1" l="1"/>
  <c r="B297" i="1"/>
  <c r="H297" i="1" l="1"/>
  <c r="O133" i="1" l="1"/>
  <c r="M76" i="1"/>
  <c r="M68" i="1" s="1"/>
  <c r="M59" i="1" s="1"/>
  <c r="B13" i="1" l="1"/>
  <c r="B14" i="1" l="1"/>
  <c r="O291" i="1"/>
  <c r="O292" i="1"/>
  <c r="O290" i="1"/>
  <c r="O95" i="1"/>
  <c r="O267" i="1"/>
  <c r="O274" i="1"/>
  <c r="B15" i="1" l="1"/>
  <c r="H14" i="1"/>
  <c r="O275" i="1"/>
  <c r="O269" i="1"/>
  <c r="O100" i="1"/>
  <c r="O98" i="1"/>
  <c r="O99" i="1"/>
  <c r="H95" i="1"/>
  <c r="B16" i="1" l="1"/>
  <c r="B17" i="1" s="1"/>
  <c r="B18" i="1" s="1"/>
  <c r="H15" i="1"/>
  <c r="M285" i="1"/>
  <c r="H98" i="1"/>
  <c r="O268" i="1"/>
  <c r="H18" i="1" l="1"/>
  <c r="B19" i="1"/>
  <c r="H17" i="1"/>
  <c r="H16" i="1"/>
  <c r="O283" i="1"/>
  <c r="M276" i="1"/>
  <c r="H99" i="1"/>
  <c r="B20" i="1" l="1"/>
  <c r="H19" i="1"/>
  <c r="H100" i="1"/>
  <c r="H20" i="1" l="1"/>
  <c r="B21" i="1"/>
  <c r="H101" i="1"/>
  <c r="B22" i="1" l="1"/>
  <c r="B23" i="1" s="1"/>
  <c r="H21" i="1"/>
  <c r="H105" i="1"/>
  <c r="B24" i="1" l="1"/>
  <c r="H24" i="1" s="1"/>
  <c r="H23" i="1"/>
  <c r="H22" i="1"/>
  <c r="B25" i="1"/>
  <c r="H106" i="1"/>
  <c r="B26" i="1" l="1"/>
  <c r="H25" i="1"/>
  <c r="H107" i="1"/>
  <c r="B27" i="1" l="1"/>
  <c r="H26" i="1"/>
  <c r="H108" i="1"/>
  <c r="H27" i="1" l="1"/>
  <c r="B28" i="1"/>
  <c r="H109" i="1"/>
  <c r="B29" i="1" l="1"/>
  <c r="B30" i="1" s="1"/>
  <c r="H28" i="1"/>
  <c r="H111" i="1"/>
  <c r="B31" i="1" l="1"/>
  <c r="H30" i="1"/>
  <c r="H29" i="1"/>
  <c r="H114" i="1"/>
  <c r="B32" i="1" l="1"/>
  <c r="H31" i="1"/>
  <c r="H115" i="1"/>
  <c r="B33" i="1" l="1"/>
  <c r="H32" i="1"/>
  <c r="H117" i="1"/>
  <c r="H33" i="1" l="1"/>
  <c r="B34" i="1"/>
  <c r="H119" i="1"/>
  <c r="H34" i="1" l="1"/>
  <c r="B35" i="1"/>
  <c r="H133" i="1"/>
  <c r="H35" i="1" l="1"/>
  <c r="B36" i="1"/>
  <c r="B37" i="1" s="1"/>
  <c r="B38" i="1" s="1"/>
  <c r="H151" i="1"/>
  <c r="H38" i="1" l="1"/>
  <c r="B39" i="1"/>
  <c r="H39" i="1" s="1"/>
  <c r="H37" i="1"/>
  <c r="B40" i="1"/>
  <c r="H36" i="1"/>
  <c r="B41" i="1" l="1"/>
  <c r="H40" i="1"/>
  <c r="H166" i="1"/>
  <c r="H41" i="1" l="1"/>
  <c r="B42" i="1"/>
  <c r="H221" i="1"/>
  <c r="H42" i="1" l="1"/>
  <c r="B43" i="1"/>
  <c r="H264" i="1"/>
  <c r="H43" i="1" l="1"/>
  <c r="B44" i="1"/>
  <c r="B45" i="1" s="1"/>
  <c r="B46" i="1" s="1"/>
  <c r="B47" i="1" s="1"/>
  <c r="B48" i="1" s="1"/>
  <c r="B49" i="1" s="1"/>
  <c r="B50" i="1" s="1"/>
  <c r="B51" i="1" s="1"/>
  <c r="H266" i="1"/>
  <c r="H51" i="1" l="1"/>
  <c r="B52" i="1"/>
  <c r="A6" i="1"/>
  <c r="B6" i="1"/>
  <c r="B7" i="1" s="1"/>
  <c r="C6" i="1"/>
  <c r="C7" i="1" s="1"/>
  <c r="D6" i="1"/>
  <c r="D7" i="1" s="1"/>
  <c r="E6" i="1"/>
  <c r="E7" i="1" s="1"/>
  <c r="H52" i="1" l="1"/>
  <c r="B53" i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M185" i="1"/>
  <c r="M177" i="1" s="1"/>
  <c r="A7" i="1"/>
  <c r="O195" i="1"/>
  <c r="O196" i="1"/>
  <c r="O197" i="1"/>
  <c r="O198" i="1"/>
  <c r="O211" i="1"/>
  <c r="O209" i="1"/>
  <c r="O204" i="1"/>
  <c r="O203" i="1"/>
  <c r="O202" i="1"/>
  <c r="O201" i="1"/>
  <c r="H67" i="1" l="1"/>
  <c r="B68" i="1"/>
  <c r="B69" i="1" s="1"/>
  <c r="M252" i="1"/>
  <c r="M251" i="1" s="1"/>
  <c r="O194" i="1"/>
  <c r="O207" i="1"/>
  <c r="H69" i="1" l="1"/>
  <c r="B70" i="1"/>
  <c r="B71" i="1" s="1"/>
  <c r="B72" i="1" s="1"/>
  <c r="O193" i="1"/>
  <c r="O206" i="1"/>
  <c r="B73" i="1" l="1"/>
  <c r="H72" i="1"/>
  <c r="O289" i="1"/>
  <c r="O288" i="1"/>
  <c r="O287" i="1"/>
  <c r="O286" i="1"/>
  <c r="O285" i="1"/>
  <c r="O254" i="1"/>
  <c r="O253" i="1"/>
  <c r="O200" i="1"/>
  <c r="O199" i="1"/>
  <c r="O189" i="1"/>
  <c r="O188" i="1"/>
  <c r="O186" i="1"/>
  <c r="O185" i="1"/>
  <c r="O181" i="1"/>
  <c r="O180" i="1"/>
  <c r="O179" i="1"/>
  <c r="O178" i="1"/>
  <c r="O174" i="1"/>
  <c r="O172" i="1"/>
  <c r="O170" i="1"/>
  <c r="O169" i="1"/>
  <c r="O281" i="1"/>
  <c r="O280" i="1"/>
  <c r="O278" i="1"/>
  <c r="O277" i="1"/>
  <c r="O276" i="1"/>
  <c r="O231" i="1"/>
  <c r="O230" i="1"/>
  <c r="O228" i="1"/>
  <c r="O265" i="1"/>
  <c r="O263" i="1"/>
  <c r="O262" i="1"/>
  <c r="O261" i="1"/>
  <c r="O260" i="1"/>
  <c r="O259" i="1"/>
  <c r="O162" i="1"/>
  <c r="O90" i="1"/>
  <c r="O89" i="1"/>
  <c r="O88" i="1"/>
  <c r="O87" i="1"/>
  <c r="O85" i="1"/>
  <c r="O84" i="1"/>
  <c r="O83" i="1"/>
  <c r="O82" i="1"/>
  <c r="O81" i="1"/>
  <c r="O80" i="1"/>
  <c r="O79" i="1"/>
  <c r="O78" i="1"/>
  <c r="O77" i="1"/>
  <c r="O76" i="1"/>
  <c r="O75" i="1"/>
  <c r="O71" i="1"/>
  <c r="O70" i="1"/>
  <c r="O68" i="1"/>
  <c r="O66" i="1"/>
  <c r="O65" i="1"/>
  <c r="O64" i="1"/>
  <c r="O63" i="1"/>
  <c r="O62" i="1"/>
  <c r="O61" i="1"/>
  <c r="O60" i="1"/>
  <c r="O59" i="1"/>
  <c r="O58" i="1"/>
  <c r="B74" i="1" l="1"/>
  <c r="H73" i="1"/>
  <c r="O246" i="1"/>
  <c r="O243" i="1"/>
  <c r="O149" i="1"/>
  <c r="O244" i="1"/>
  <c r="O242" i="1"/>
  <c r="O245" i="1"/>
  <c r="H112" i="1"/>
  <c r="O138" i="1"/>
  <c r="H74" i="1" l="1"/>
  <c r="B75" i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O240" i="1"/>
  <c r="O238" i="1"/>
  <c r="O239" i="1"/>
  <c r="O241" i="1"/>
  <c r="O139" i="1"/>
  <c r="M142" i="1"/>
  <c r="O143" i="1"/>
  <c r="O141" i="1"/>
  <c r="H113" i="1"/>
  <c r="H86" i="1" l="1"/>
  <c r="B87" i="1"/>
  <c r="B88" i="1" s="1"/>
  <c r="B89" i="1" s="1"/>
  <c r="B90" i="1" s="1"/>
  <c r="O237" i="1"/>
  <c r="M146" i="1"/>
  <c r="O147" i="1"/>
  <c r="O142" i="1"/>
  <c r="O136" i="1"/>
  <c r="O146" i="1" l="1"/>
  <c r="H118" i="1" l="1"/>
  <c r="H93" i="1" l="1"/>
  <c r="H94" i="1"/>
  <c r="H92" i="1"/>
  <c r="H102" i="1" l="1"/>
  <c r="H103" i="1" l="1"/>
  <c r="H104" i="1" l="1"/>
  <c r="H110" i="1" l="1"/>
  <c r="H129" i="1" l="1"/>
  <c r="H44" i="1" l="1"/>
  <c r="H130" i="1" l="1"/>
  <c r="H45" i="1"/>
  <c r="H46" i="1" l="1"/>
  <c r="H47" i="1" l="1"/>
  <c r="H131" i="1" l="1"/>
  <c r="H48" i="1"/>
  <c r="H49" i="1" l="1"/>
  <c r="H132" i="1" l="1"/>
  <c r="H50" i="1"/>
  <c r="H134" i="1" l="1"/>
  <c r="H135" i="1" l="1"/>
  <c r="H53" i="1" l="1"/>
  <c r="H54" i="1" l="1"/>
  <c r="H55" i="1" l="1"/>
  <c r="H56" i="1" l="1"/>
  <c r="H57" i="1" l="1"/>
  <c r="H58" i="1" l="1"/>
  <c r="H136" i="1" l="1"/>
  <c r="H59" i="1"/>
  <c r="H60" i="1" l="1"/>
  <c r="H61" i="1" l="1"/>
  <c r="H62" i="1" l="1"/>
  <c r="H139" i="1" l="1"/>
  <c r="H63" i="1"/>
  <c r="H141" i="1" l="1"/>
  <c r="H64" i="1"/>
  <c r="H142" i="1" l="1"/>
  <c r="H143" i="1" l="1"/>
  <c r="H65" i="1"/>
  <c r="H144" i="1" l="1"/>
  <c r="H145" i="1" l="1"/>
  <c r="H146" i="1" l="1"/>
  <c r="H147" i="1" l="1"/>
  <c r="H66" i="1"/>
  <c r="H68" i="1" l="1"/>
  <c r="H149" i="1" l="1"/>
  <c r="H70" i="1"/>
  <c r="H71" i="1" l="1"/>
  <c r="H75" i="1" l="1"/>
  <c r="H76" i="1" l="1"/>
  <c r="H77" i="1" l="1"/>
  <c r="H78" i="1" l="1"/>
  <c r="H79" i="1" l="1"/>
  <c r="H80" i="1" l="1"/>
  <c r="H81" i="1" l="1"/>
  <c r="H82" i="1" l="1"/>
  <c r="H83" i="1" l="1"/>
  <c r="H84" i="1" l="1"/>
  <c r="H85" i="1" l="1"/>
  <c r="H87" i="1" l="1"/>
  <c r="H88" i="1" l="1"/>
  <c r="H89" i="1" l="1"/>
  <c r="H90" i="1" l="1"/>
  <c r="M131" i="1" l="1"/>
  <c r="O94" i="1"/>
  <c r="O132" i="1"/>
  <c r="O131" i="1" l="1"/>
  <c r="H150" i="1" l="1"/>
  <c r="H152" i="1" l="1"/>
  <c r="H153" i="1" l="1"/>
  <c r="H154" i="1" l="1"/>
  <c r="H155" i="1" l="1"/>
  <c r="H156" i="1" l="1"/>
  <c r="H157" i="1" l="1"/>
  <c r="H158" i="1" l="1"/>
  <c r="H160" i="1" l="1"/>
  <c r="H161" i="1" l="1"/>
  <c r="H162" i="1" l="1"/>
  <c r="H163" i="1" l="1"/>
  <c r="H165" i="1" l="1"/>
  <c r="H168" i="1"/>
  <c r="H167" i="1"/>
  <c r="H169" i="1" l="1"/>
  <c r="H170" i="1" l="1"/>
  <c r="H171" i="1" l="1"/>
  <c r="H172" i="1" l="1"/>
  <c r="H174" i="1" l="1"/>
  <c r="H175" i="1"/>
  <c r="H176" i="1" l="1"/>
  <c r="H177" i="1" l="1"/>
  <c r="H178" i="1" l="1"/>
  <c r="H179" i="1" l="1"/>
  <c r="H180" i="1" l="1"/>
  <c r="H181" i="1" l="1"/>
  <c r="H182" i="1" l="1"/>
  <c r="H183" i="1" l="1"/>
  <c r="H184" i="1" l="1"/>
  <c r="H185" i="1" l="1"/>
  <c r="H186" i="1" l="1"/>
  <c r="H187" i="1" l="1"/>
  <c r="H188" i="1" l="1"/>
  <c r="H189" i="1" l="1"/>
  <c r="H192" i="1" l="1"/>
  <c r="H193" i="1" l="1"/>
  <c r="H194" i="1" l="1"/>
  <c r="H195" i="1" l="1"/>
  <c r="H196" i="1" l="1"/>
  <c r="H197" i="1" l="1"/>
  <c r="H198" i="1" l="1"/>
  <c r="H199" i="1" l="1"/>
  <c r="H200" i="1" l="1"/>
  <c r="H201" i="1" l="1"/>
  <c r="H202" i="1" l="1"/>
  <c r="H203" i="1" l="1"/>
  <c r="H204" i="1" l="1"/>
  <c r="H205" i="1" l="1"/>
  <c r="H206" i="1" l="1"/>
  <c r="H207" i="1" l="1"/>
  <c r="H208" i="1" l="1"/>
  <c r="H209" i="1" l="1"/>
  <c r="H210" i="1" l="1"/>
  <c r="H211" i="1" l="1"/>
  <c r="H212" i="1" l="1"/>
  <c r="H213" i="1" l="1"/>
  <c r="H214" i="1" l="1"/>
  <c r="H215" i="1" l="1"/>
  <c r="H216" i="1" l="1"/>
  <c r="H217" i="1" l="1"/>
  <c r="H218" i="1" l="1"/>
  <c r="H219" i="1" l="1"/>
  <c r="H220" i="1" l="1"/>
  <c r="H226" i="1" l="1"/>
  <c r="H227" i="1" l="1"/>
  <c r="H228" i="1" l="1"/>
  <c r="H230" i="1" l="1"/>
  <c r="H231" i="1" l="1"/>
  <c r="H235" i="1" l="1"/>
  <c r="H236" i="1" l="1"/>
  <c r="H237" i="1" l="1"/>
  <c r="H238" i="1" l="1"/>
  <c r="H239" i="1" l="1"/>
  <c r="H240" i="1" l="1"/>
  <c r="H241" i="1" l="1"/>
  <c r="H242" i="1" l="1"/>
  <c r="H243" i="1" l="1"/>
  <c r="H244" i="1" l="1"/>
  <c r="H245" i="1" l="1"/>
  <c r="H246" i="1" l="1"/>
  <c r="H247" i="1" l="1"/>
  <c r="H250" i="1" l="1"/>
  <c r="H251" i="1" l="1"/>
  <c r="H252" i="1" l="1"/>
  <c r="H253" i="1" l="1"/>
  <c r="H254" i="1" l="1"/>
  <c r="H257" i="1" l="1"/>
  <c r="H259" i="1" l="1"/>
  <c r="H260" i="1" l="1"/>
  <c r="H261" i="1" l="1"/>
  <c r="H262" i="1" l="1"/>
  <c r="H263" i="1" l="1"/>
  <c r="H265" i="1" l="1"/>
  <c r="O221" i="1" l="1"/>
  <c r="O210" i="1" l="1"/>
  <c r="O247" i="1"/>
  <c r="M235" i="1" l="1"/>
  <c r="O236" i="1"/>
  <c r="O235" i="1" l="1"/>
  <c r="O257" i="1" l="1"/>
  <c r="O252" i="1" l="1"/>
  <c r="O208" i="1"/>
  <c r="M250" i="1" l="1"/>
  <c r="O251" i="1"/>
  <c r="O250" i="1" l="1"/>
  <c r="O205" i="1"/>
  <c r="O161" i="1"/>
  <c r="M118" i="1" l="1"/>
  <c r="M112" i="1" s="1"/>
  <c r="O119" i="1"/>
  <c r="O114" i="1"/>
  <c r="O159" i="1" l="1"/>
  <c r="O118" i="1"/>
  <c r="O113" i="1"/>
  <c r="O160" i="1"/>
  <c r="O115" i="1" l="1"/>
  <c r="M110" i="1"/>
  <c r="M103" i="1" s="1"/>
  <c r="O111" i="1"/>
  <c r="O110" i="1" l="1"/>
  <c r="O101" i="1" l="1"/>
  <c r="O107" i="1"/>
  <c r="O93" i="1" l="1"/>
  <c r="O92" i="1" l="1"/>
  <c r="O220" i="1" l="1"/>
  <c r="O158" i="1" l="1"/>
  <c r="O157" i="1"/>
  <c r="O218" i="1" l="1"/>
  <c r="O156" i="1"/>
  <c r="M154" i="1" l="1"/>
  <c r="O155" i="1"/>
  <c r="O219" i="1" l="1"/>
  <c r="O154" i="1"/>
  <c r="O217" i="1" l="1"/>
  <c r="O135" i="1" l="1"/>
  <c r="M134" i="1"/>
  <c r="M130" i="1" s="1"/>
  <c r="O134" i="1" l="1"/>
  <c r="M129" i="1" l="1"/>
  <c r="O130" i="1"/>
  <c r="O120" i="1" l="1"/>
  <c r="O129" i="1"/>
  <c r="M47" i="1" l="1"/>
  <c r="M46" i="1" l="1"/>
  <c r="O47" i="1"/>
  <c r="O46" i="1" l="1"/>
  <c r="M49" i="1" l="1"/>
  <c r="O49" i="1" l="1"/>
  <c r="M54" i="1"/>
  <c r="M56" i="1"/>
  <c r="M55" i="1"/>
  <c r="M57" i="1"/>
  <c r="M53" i="1"/>
  <c r="M50" i="1"/>
  <c r="O15" i="1" l="1"/>
  <c r="O55" i="1"/>
  <c r="O53" i="1"/>
  <c r="O57" i="1"/>
  <c r="O56" i="1"/>
  <c r="O54" i="1"/>
  <c r="M48" i="1"/>
  <c r="M45" i="1" s="1"/>
  <c r="M44" i="1" s="1"/>
  <c r="M13" i="1" s="1"/>
  <c r="O50" i="1"/>
  <c r="O14" i="1" l="1"/>
  <c r="O48" i="1"/>
  <c r="O34" i="1" l="1"/>
  <c r="O45" i="1"/>
  <c r="O13" i="1" l="1"/>
  <c r="O44" i="1"/>
  <c r="H267" i="1" l="1"/>
  <c r="H268" i="1" l="1"/>
  <c r="H269" i="1" l="1"/>
  <c r="H276" i="1" l="1"/>
  <c r="H277" i="1" l="1"/>
  <c r="H278" i="1" l="1"/>
  <c r="H280" i="1" l="1"/>
  <c r="H281" i="1" l="1"/>
  <c r="H285" i="1" l="1"/>
  <c r="H286" i="1" l="1"/>
  <c r="H287" i="1" l="1"/>
  <c r="H288" i="1" l="1"/>
  <c r="H289" i="1" l="1"/>
  <c r="H290" i="1" l="1"/>
  <c r="H291" i="1" l="1"/>
  <c r="H292" i="1" l="1"/>
  <c r="O109" i="1" l="1"/>
  <c r="O117" i="1" l="1"/>
  <c r="O112" i="1" l="1"/>
  <c r="O184" i="1"/>
  <c r="O191" i="1" l="1"/>
  <c r="O182" i="1"/>
  <c r="O190" i="1"/>
  <c r="O171" i="1"/>
  <c r="O183" i="1"/>
  <c r="O177" i="1" l="1"/>
  <c r="O187" i="1"/>
  <c r="O106" i="1" l="1"/>
  <c r="O108" i="1" l="1"/>
  <c r="O105" i="1"/>
  <c r="O104" i="1" l="1"/>
  <c r="O103" i="1" l="1"/>
  <c r="M102" i="1"/>
  <c r="Q102" i="1" l="1"/>
  <c r="R102" i="1" s="1"/>
  <c r="O102" i="1"/>
  <c r="C10" i="1" l="1"/>
  <c r="C11" i="1" s="1"/>
  <c r="C12" i="1" s="1"/>
  <c r="C13" i="1" s="1"/>
  <c r="B10" i="1"/>
  <c r="B11" i="1" s="1"/>
  <c r="B12" i="1" s="1"/>
  <c r="D10" i="1"/>
  <c r="D11" i="1" s="1"/>
  <c r="D12" i="1" s="1"/>
  <c r="D13" i="1" s="1"/>
  <c r="E10" i="1"/>
  <c r="E11" i="1" s="1"/>
  <c r="E12" i="1" s="1"/>
  <c r="E13" i="1" s="1"/>
  <c r="M215" i="1"/>
  <c r="O216" i="1"/>
  <c r="D44" i="1" l="1"/>
  <c r="D14" i="1"/>
  <c r="E44" i="1"/>
  <c r="E45" i="1" s="1"/>
  <c r="E14" i="1"/>
  <c r="E15" i="1" s="1"/>
  <c r="O215" i="1"/>
  <c r="O223" i="1" l="1"/>
  <c r="C190" i="1"/>
  <c r="D190" i="1"/>
  <c r="H190" i="1" l="1"/>
  <c r="D191" i="1"/>
  <c r="D192" i="1" s="1"/>
  <c r="C191" i="1"/>
  <c r="H191" i="1" l="1"/>
  <c r="C270" i="1" l="1"/>
  <c r="C271" i="1" l="1"/>
  <c r="H271" i="1" s="1"/>
  <c r="H270" i="1"/>
  <c r="C272" i="1" l="1"/>
  <c r="H272" i="1" s="1"/>
  <c r="C273" i="1" l="1"/>
  <c r="H273" i="1" l="1"/>
  <c r="C274" i="1"/>
  <c r="H274" i="1" l="1"/>
  <c r="C275" i="1" l="1"/>
  <c r="H275" i="1" s="1"/>
  <c r="L234" i="1" l="1"/>
  <c r="M234" i="1" s="1"/>
  <c r="M233" i="1" l="1"/>
  <c r="O234" i="1"/>
  <c r="M227" i="1" l="1"/>
  <c r="O233" i="1"/>
  <c r="M226" i="1" l="1"/>
  <c r="O227" i="1"/>
  <c r="O226" i="1" l="1"/>
  <c r="O151" i="1"/>
  <c r="L151" i="1"/>
  <c r="M150" i="1"/>
  <c r="O150" i="1" s="1"/>
  <c r="O153" i="1"/>
  <c r="L153" i="1"/>
  <c r="M152" i="1"/>
  <c r="O152" i="1" s="1"/>
  <c r="M145" i="1" l="1"/>
  <c r="O145" i="1" l="1"/>
  <c r="M144" i="1"/>
  <c r="O144" i="1" l="1"/>
  <c r="M175" i="1"/>
  <c r="M168" i="1" s="1"/>
  <c r="M167" i="1" s="1"/>
  <c r="L176" i="1"/>
  <c r="O176" i="1"/>
  <c r="O175" i="1" l="1"/>
  <c r="O168" i="1" l="1"/>
  <c r="O167" i="1" l="1"/>
  <c r="M213" i="1"/>
  <c r="M212" i="1" s="1"/>
  <c r="L214" i="1"/>
  <c r="O214" i="1"/>
  <c r="O212" i="1" l="1"/>
  <c r="M192" i="1"/>
  <c r="O213" i="1"/>
  <c r="M297" i="1" l="1"/>
  <c r="O192" i="1"/>
  <c r="O163" i="1" l="1"/>
  <c r="L163" i="1"/>
  <c r="O165" i="1"/>
  <c r="L165" i="1"/>
  <c r="L164" i="1"/>
  <c r="O164" i="1"/>
  <c r="M296" i="1"/>
  <c r="M295" i="1" s="1"/>
  <c r="L297" i="1"/>
  <c r="O297" i="1"/>
  <c r="O296" i="1" l="1"/>
  <c r="O295" i="1"/>
  <c r="M294" i="1"/>
  <c r="M91" i="1" l="1"/>
  <c r="O91" i="1" s="1"/>
  <c r="O298" i="1" s="1"/>
  <c r="O294" i="1"/>
  <c r="M298" i="1" l="1"/>
  <c r="N63" i="1"/>
  <c r="N125" i="1"/>
  <c r="N162" i="1"/>
  <c r="N95" i="1"/>
  <c r="N217" i="1"/>
  <c r="N232" i="1"/>
  <c r="N82" i="1"/>
  <c r="N143" i="1"/>
  <c r="N112" i="1"/>
  <c r="N51" i="1"/>
  <c r="N277" i="1"/>
  <c r="N93" i="1"/>
  <c r="N39" i="1" l="1"/>
  <c r="N38" i="1"/>
  <c r="N37" i="1"/>
  <c r="N40" i="1"/>
  <c r="N42" i="1"/>
  <c r="N41" i="1"/>
  <c r="N30" i="1"/>
  <c r="N33" i="1"/>
  <c r="N31" i="1"/>
  <c r="N32" i="1"/>
  <c r="N23" i="1"/>
  <c r="N24" i="1"/>
  <c r="N131" i="1"/>
  <c r="N21" i="1"/>
  <c r="N22" i="1"/>
  <c r="N27" i="1"/>
  <c r="N19" i="1"/>
  <c r="N20" i="1"/>
  <c r="N26" i="1"/>
  <c r="N25" i="1"/>
  <c r="N18" i="1"/>
  <c r="N253" i="1"/>
  <c r="N257" i="1"/>
  <c r="N75" i="1"/>
  <c r="N212" i="1"/>
  <c r="N238" i="1"/>
  <c r="N129" i="1"/>
  <c r="N293" i="1"/>
  <c r="N89" i="1"/>
  <c r="N285" i="1"/>
  <c r="N247" i="1"/>
  <c r="N150" i="1"/>
  <c r="N182" i="1"/>
  <c r="C23" i="2" s="1"/>
  <c r="N80" i="1"/>
  <c r="N121" i="1"/>
  <c r="N102" i="1"/>
  <c r="N147" i="1"/>
  <c r="N78" i="1"/>
  <c r="N229" i="1"/>
  <c r="N65" i="1"/>
  <c r="N197" i="1"/>
  <c r="N115" i="1"/>
  <c r="N199" i="1"/>
  <c r="N62" i="1"/>
  <c r="N175" i="1"/>
  <c r="N221" i="1"/>
  <c r="N52" i="1"/>
  <c r="N153" i="1"/>
  <c r="N231" i="1"/>
  <c r="N167" i="1"/>
  <c r="N284" i="1"/>
  <c r="N76" i="1"/>
  <c r="N117" i="1"/>
  <c r="N171" i="1"/>
  <c r="N258" i="1"/>
  <c r="N189" i="1"/>
  <c r="N180" i="1"/>
  <c r="N291" i="1"/>
  <c r="C32" i="2" s="1"/>
  <c r="N168" i="1"/>
  <c r="N148" i="1"/>
  <c r="N262" i="1"/>
  <c r="N146" i="1"/>
  <c r="N173" i="1"/>
  <c r="N213" i="1"/>
  <c r="N191" i="1"/>
  <c r="N223" i="1"/>
  <c r="N88" i="1"/>
  <c r="N202" i="1"/>
  <c r="N113" i="1"/>
  <c r="N70" i="1"/>
  <c r="N68" i="1"/>
  <c r="N120" i="1"/>
  <c r="N142" i="1"/>
  <c r="N256" i="1"/>
  <c r="N96" i="1"/>
  <c r="N166" i="1"/>
  <c r="N215" i="1"/>
  <c r="N196" i="1"/>
  <c r="N165" i="1"/>
  <c r="N172" i="1"/>
  <c r="N61" i="1"/>
  <c r="N193" i="1"/>
  <c r="N220" i="1"/>
  <c r="N210" i="1"/>
  <c r="N14" i="1"/>
  <c r="N99" i="1"/>
  <c r="N67" i="1"/>
  <c r="N263" i="1"/>
  <c r="N200" i="1"/>
  <c r="N178" i="1"/>
  <c r="N94" i="1"/>
  <c r="N185" i="1"/>
  <c r="N130" i="1"/>
  <c r="N119" i="1"/>
  <c r="N55" i="1"/>
  <c r="N126" i="1"/>
  <c r="N151" i="1"/>
  <c r="N186" i="1"/>
  <c r="N124" i="1"/>
  <c r="N274" i="1"/>
  <c r="C30" i="2" s="1"/>
  <c r="N227" i="1"/>
  <c r="N214" i="1"/>
  <c r="N104" i="1"/>
  <c r="N279" i="1"/>
  <c r="N16" i="1"/>
  <c r="N195" i="1"/>
  <c r="N15" i="1"/>
  <c r="N79" i="1"/>
  <c r="N208" i="1"/>
  <c r="N49" i="1"/>
  <c r="N123" i="1"/>
  <c r="N286" i="1"/>
  <c r="N149" i="1"/>
  <c r="N92" i="1"/>
  <c r="N54" i="1"/>
  <c r="N174" i="1"/>
  <c r="N251" i="1"/>
  <c r="N57" i="1"/>
  <c r="N71" i="1"/>
  <c r="N207" i="1"/>
  <c r="C24" i="2" s="1"/>
  <c r="N184" i="1"/>
  <c r="N237" i="1"/>
  <c r="N240" i="1"/>
  <c r="N105" i="1"/>
  <c r="N204" i="1"/>
  <c r="N116" i="1"/>
  <c r="N35" i="1"/>
  <c r="N239" i="1"/>
  <c r="N243" i="1"/>
  <c r="N244" i="1"/>
  <c r="N74" i="1"/>
  <c r="N108" i="1"/>
  <c r="N181" i="1"/>
  <c r="N139" i="1"/>
  <c r="N101" i="1"/>
  <c r="N198" i="1"/>
  <c r="N50" i="1"/>
  <c r="N100" i="1"/>
  <c r="N114" i="1"/>
  <c r="N164" i="1"/>
  <c r="N179" i="1"/>
  <c r="N158" i="1"/>
  <c r="N81" i="1"/>
  <c r="N159" i="1"/>
  <c r="C22" i="2" s="1"/>
  <c r="N297" i="1"/>
  <c r="N154" i="1"/>
  <c r="N245" i="1"/>
  <c r="N132" i="1"/>
  <c r="N264" i="1"/>
  <c r="N295" i="1"/>
  <c r="N288" i="1"/>
  <c r="N219" i="1"/>
  <c r="N29" i="1"/>
  <c r="N77" i="1"/>
  <c r="N225" i="1"/>
  <c r="N83" i="1"/>
  <c r="N254" i="1"/>
  <c r="N292" i="1"/>
  <c r="N282" i="1"/>
  <c r="N250" i="1"/>
  <c r="C28" i="2" s="1"/>
  <c r="N106" i="1"/>
  <c r="N176" i="1"/>
  <c r="N211" i="1"/>
  <c r="N103" i="1"/>
  <c r="N128" i="1"/>
  <c r="N242" i="1"/>
  <c r="N97" i="1"/>
  <c r="N188" i="1"/>
  <c r="N60" i="1"/>
  <c r="N265" i="1"/>
  <c r="C29" i="2" s="1"/>
  <c r="N122" i="1"/>
  <c r="N109" i="1"/>
  <c r="N47" i="1"/>
  <c r="N45" i="1"/>
  <c r="N144" i="1"/>
  <c r="C21" i="2" s="1"/>
  <c r="N107" i="1"/>
  <c r="C19" i="2" s="1"/>
  <c r="N91" i="1"/>
  <c r="N46" i="1"/>
  <c r="N296" i="1"/>
  <c r="N249" i="1"/>
  <c r="N187" i="1"/>
  <c r="N276" i="1"/>
  <c r="N226" i="1"/>
  <c r="N287" i="1"/>
  <c r="N267" i="1"/>
  <c r="N44" i="1"/>
  <c r="N206" i="1"/>
  <c r="N248" i="1"/>
  <c r="N209" i="1"/>
  <c r="N133" i="1"/>
  <c r="N140" i="1"/>
  <c r="N86" i="1"/>
  <c r="N289" i="1"/>
  <c r="N90" i="1"/>
  <c r="N136" i="1"/>
  <c r="N241" i="1"/>
  <c r="C27" i="2" s="1"/>
  <c r="N192" i="1"/>
  <c r="N110" i="1"/>
  <c r="N36" i="1"/>
  <c r="N266" i="1"/>
  <c r="N141" i="1"/>
  <c r="N17" i="1"/>
  <c r="N218" i="1"/>
  <c r="N137" i="1"/>
  <c r="N281" i="1"/>
  <c r="N69" i="1"/>
  <c r="N13" i="1"/>
  <c r="N280" i="1"/>
  <c r="N183" i="1"/>
  <c r="N118" i="1"/>
  <c r="N145" i="1"/>
  <c r="N169" i="1"/>
  <c r="C25" i="2" s="1"/>
  <c r="N64" i="1"/>
  <c r="N190" i="1"/>
  <c r="N156" i="1"/>
  <c r="N271" i="1"/>
  <c r="N216" i="1"/>
  <c r="N43" i="1"/>
  <c r="N73" i="1"/>
  <c r="N234" i="1"/>
  <c r="N111" i="1"/>
  <c r="N201" i="1"/>
  <c r="N72" i="1"/>
  <c r="N34" i="1"/>
  <c r="N233" i="1"/>
  <c r="N269" i="1"/>
  <c r="N59" i="1"/>
  <c r="N53" i="1"/>
  <c r="N268" i="1"/>
  <c r="N224" i="1"/>
  <c r="N87" i="1"/>
  <c r="N222" i="1"/>
  <c r="N290" i="1"/>
  <c r="N134" i="1"/>
  <c r="N228" i="1"/>
  <c r="N205" i="1"/>
  <c r="N203" i="1"/>
  <c r="N85" i="1"/>
  <c r="N278" i="1"/>
  <c r="N152" i="1"/>
  <c r="N135" i="1"/>
  <c r="N230" i="1"/>
  <c r="C26" i="2" s="1"/>
  <c r="N283" i="1"/>
  <c r="N235" i="1"/>
  <c r="N261" i="1"/>
  <c r="N98" i="1"/>
  <c r="N28" i="1"/>
  <c r="N138" i="1"/>
  <c r="N157" i="1"/>
  <c r="N260" i="1"/>
  <c r="N259" i="1"/>
  <c r="N155" i="1"/>
  <c r="N84" i="1"/>
  <c r="N58" i="1"/>
  <c r="N194" i="1"/>
  <c r="N275" i="1"/>
  <c r="N127" i="1"/>
  <c r="N294" i="1"/>
  <c r="N252" i="1"/>
  <c r="N160" i="1"/>
  <c r="N170" i="1"/>
  <c r="N48" i="1"/>
  <c r="C18" i="2" s="1"/>
  <c r="N177" i="1"/>
  <c r="N236" i="1"/>
  <c r="N255" i="1"/>
  <c r="N161" i="1"/>
  <c r="N66" i="1"/>
  <c r="N163" i="1"/>
  <c r="N270" i="1"/>
  <c r="N246" i="1"/>
  <c r="N56" i="1"/>
  <c r="C20" i="2" l="1"/>
  <c r="D30" i="2" s="1"/>
  <c r="E30" i="2"/>
  <c r="E26" i="2"/>
  <c r="D26" i="2"/>
  <c r="E21" i="2"/>
  <c r="D21" i="2"/>
  <c r="E20" i="2"/>
  <c r="D31" i="2"/>
  <c r="D34" i="2"/>
  <c r="D20" i="2"/>
  <c r="D33" i="2"/>
  <c r="E27" i="2"/>
  <c r="D27" i="2"/>
  <c r="E23" i="2"/>
  <c r="D23" i="2"/>
  <c r="E25" i="2"/>
  <c r="D25" i="2"/>
  <c r="E32" i="2"/>
  <c r="D32" i="2"/>
  <c r="D19" i="2"/>
  <c r="E19" i="2"/>
  <c r="E24" i="2"/>
  <c r="D24" i="2"/>
  <c r="E28" i="2"/>
  <c r="D28" i="2"/>
  <c r="E22" i="2"/>
  <c r="D22" i="2"/>
  <c r="E29" i="2"/>
  <c r="D29" i="2"/>
  <c r="C35" i="2"/>
  <c r="E18" i="2"/>
  <c r="D18" i="2"/>
  <c r="N298" i="1"/>
  <c r="O272" i="1"/>
  <c r="N272" i="1"/>
  <c r="N273" i="1"/>
  <c r="L273" i="1"/>
  <c r="O273" i="1"/>
  <c r="D35" i="2" l="1"/>
  <c r="E35" i="2"/>
  <c r="E36" i="2" s="1"/>
  <c r="A11" i="1" l="1"/>
  <c r="A12" i="1" l="1"/>
  <c r="A13" i="1" s="1"/>
  <c r="H13" i="1" s="1"/>
  <c r="A14" i="1" l="1"/>
  <c r="A15" i="1" s="1"/>
  <c r="A16" i="1" l="1"/>
  <c r="A17" i="1" l="1"/>
  <c r="A18" i="1" s="1"/>
  <c r="A28" i="1"/>
  <c r="A19" i="1" l="1"/>
  <c r="A21" i="1" s="1"/>
  <c r="A20" i="1"/>
  <c r="A23" i="1"/>
  <c r="A22" i="1"/>
  <c r="A25" i="1" l="1"/>
  <c r="A24" i="1"/>
  <c r="A26" i="1" l="1"/>
  <c r="A27" i="1" s="1"/>
  <c r="A31" i="1" s="1"/>
  <c r="A29" i="1" l="1"/>
  <c r="A34" i="1" l="1"/>
  <c r="A30" i="1"/>
  <c r="A32" i="1" s="1"/>
  <c r="A33" i="1" l="1"/>
  <c r="A38" i="1" s="1"/>
  <c r="A35" i="1" l="1"/>
  <c r="A36" i="1"/>
  <c r="A37" i="1" s="1"/>
  <c r="A40" i="1"/>
  <c r="A43" i="1" l="1"/>
  <c r="A39" i="1"/>
  <c r="A41" i="1" s="1"/>
  <c r="A42" i="1" l="1"/>
  <c r="A44" i="1"/>
  <c r="A45" i="1" s="1"/>
  <c r="A46" i="1" l="1"/>
  <c r="A47" i="1" l="1"/>
  <c r="A48" i="1" l="1"/>
  <c r="A49" i="1" l="1"/>
  <c r="A51" i="1" l="1"/>
  <c r="A50" i="1"/>
  <c r="A53" i="1" s="1"/>
  <c r="A52" i="1" l="1"/>
  <c r="A54" i="1" s="1"/>
  <c r="A55" i="1" l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l="1"/>
  <c r="A68" i="1"/>
  <c r="A69" i="1" l="1"/>
  <c r="A70" i="1" l="1"/>
  <c r="A71" i="1" l="1"/>
  <c r="A72" i="1"/>
  <c r="A75" i="1" l="1"/>
  <c r="A73" i="1"/>
  <c r="A74" i="1" l="1"/>
  <c r="A76" i="1" l="1"/>
  <c r="A77" i="1" l="1"/>
  <c r="A78" i="1" l="1"/>
  <c r="A79" i="1" l="1"/>
  <c r="A80" i="1" l="1"/>
  <c r="A81" i="1" l="1"/>
  <c r="A82" i="1" l="1"/>
  <c r="A83" i="1" l="1"/>
  <c r="A84" i="1" l="1"/>
  <c r="A85" i="1" l="1"/>
  <c r="A87" i="1" l="1"/>
  <c r="A86" i="1"/>
  <c r="A88" i="1" l="1"/>
  <c r="A89" i="1" l="1"/>
  <c r="A90" i="1" l="1"/>
  <c r="A91" i="1" l="1"/>
  <c r="H91" i="1" l="1"/>
  <c r="A92" i="1"/>
  <c r="A93" i="1" l="1"/>
  <c r="A94" i="1" l="1"/>
  <c r="A96" i="1"/>
  <c r="A95" i="1" l="1"/>
  <c r="A98" i="1" s="1"/>
  <c r="A97" i="1" l="1"/>
  <c r="A99" i="1" l="1"/>
  <c r="A100" i="1" l="1"/>
  <c r="A101" i="1" l="1"/>
  <c r="A102" i="1" l="1"/>
  <c r="A103" i="1" l="1"/>
  <c r="A104" i="1" l="1"/>
  <c r="A105" i="1" l="1"/>
  <c r="A106" i="1" l="1"/>
  <c r="A107" i="1" l="1"/>
  <c r="A108" i="1" l="1"/>
  <c r="A109" i="1" l="1"/>
  <c r="A110" i="1" l="1"/>
  <c r="A111" i="1" l="1"/>
  <c r="A112" i="1" l="1"/>
  <c r="A113" i="1" l="1"/>
  <c r="A114" i="1" l="1"/>
  <c r="A116" i="1" l="1"/>
  <c r="A115" i="1"/>
  <c r="A117" i="1" l="1"/>
  <c r="A118" i="1" l="1"/>
  <c r="A119" i="1" l="1"/>
  <c r="A129" i="1" l="1"/>
  <c r="A120" i="1"/>
  <c r="A121" i="1" s="1"/>
  <c r="A122" i="1" s="1"/>
  <c r="A123" i="1" s="1"/>
  <c r="A124" i="1" s="1"/>
  <c r="A125" i="1" s="1"/>
  <c r="A126" i="1" s="1"/>
  <c r="A127" i="1" s="1"/>
  <c r="A128" i="1" s="1"/>
  <c r="A130" i="1" l="1"/>
  <c r="A131" i="1" s="1"/>
  <c r="A132" i="1" s="1"/>
  <c r="A133" i="1" s="1"/>
  <c r="A134" i="1" s="1"/>
  <c r="A135" i="1" s="1"/>
  <c r="A136" i="1" l="1"/>
  <c r="A137" i="1"/>
  <c r="A138" i="1" s="1"/>
  <c r="A139" i="1" l="1"/>
  <c r="A141" i="1" s="1"/>
  <c r="A140" i="1"/>
  <c r="A142" i="1" l="1"/>
  <c r="A143" i="1" s="1"/>
  <c r="A144" i="1" s="1"/>
  <c r="A145" i="1" s="1"/>
  <c r="A146" i="1" s="1"/>
  <c r="A147" i="1" s="1"/>
  <c r="A148" i="1" s="1"/>
  <c r="A149" i="1" l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5" i="1" l="1"/>
  <c r="A164" i="1"/>
  <c r="A166" i="1" l="1"/>
  <c r="A167" i="1" s="1"/>
  <c r="A168" i="1" s="1"/>
  <c r="A169" i="1" s="1"/>
  <c r="A170" i="1" s="1"/>
  <c r="A171" i="1" s="1"/>
  <c r="A173" i="1" l="1"/>
  <c r="A172" i="1"/>
  <c r="A174" i="1" s="1"/>
  <c r="A175" i="1" l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l="1"/>
  <c r="A223" i="1" s="1"/>
  <c r="A225" i="1" s="1"/>
  <c r="A226" i="1"/>
  <c r="A224" i="1" l="1"/>
  <c r="A227" i="1" s="1"/>
  <c r="A229" i="1" s="1"/>
  <c r="A228" i="1" l="1"/>
  <c r="A230" i="1" s="1"/>
  <c r="A231" i="1" s="1"/>
  <c r="A235" i="1" s="1"/>
  <c r="A233" i="1" l="1"/>
  <c r="A232" i="1"/>
  <c r="A234" i="1" l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50" i="1" l="1"/>
  <c r="A248" i="1"/>
  <c r="A249" i="1" s="1"/>
  <c r="A251" i="1" s="1"/>
  <c r="A252" i="1" l="1"/>
  <c r="A253" i="1"/>
  <c r="A256" i="1" s="1"/>
  <c r="A255" i="1" l="1"/>
  <c r="A254" i="1"/>
  <c r="A257" i="1" s="1"/>
  <c r="A259" i="1" s="1"/>
  <c r="A258" i="1" l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l="1"/>
  <c r="A271" i="1" s="1"/>
  <c r="A272" i="1"/>
  <c r="A273" i="1" l="1"/>
  <c r="A274" i="1" l="1"/>
  <c r="A275" i="1" l="1"/>
  <c r="A276" i="1" l="1"/>
  <c r="A277" i="1" l="1"/>
  <c r="A279" i="1" s="1"/>
  <c r="A278" i="1" l="1"/>
  <c r="A280" i="1" s="1"/>
  <c r="A281" i="1" s="1"/>
  <c r="A282" i="1" l="1"/>
  <c r="A284" i="1" s="1"/>
  <c r="A283" i="1"/>
  <c r="A285" i="1" l="1"/>
  <c r="A286" i="1"/>
  <c r="A287" i="1" s="1"/>
  <c r="A288" i="1" s="1"/>
  <c r="A289" i="1" s="1"/>
  <c r="A290" i="1" s="1"/>
  <c r="A291" i="1" s="1"/>
  <c r="A292" i="1" s="1"/>
  <c r="A293" i="1" s="1"/>
  <c r="A294" i="1" l="1"/>
  <c r="A295" i="1" s="1"/>
  <c r="A296" i="1" s="1"/>
  <c r="A297" i="1" s="1"/>
</calcChain>
</file>

<file path=xl/sharedStrings.xml><?xml version="1.0" encoding="utf-8"?>
<sst xmlns="http://schemas.openxmlformats.org/spreadsheetml/2006/main" count="1009" uniqueCount="428">
  <si>
    <t>Obra</t>
  </si>
  <si>
    <t>Código</t>
  </si>
  <si>
    <t>Descrição</t>
  </si>
  <si>
    <t>Un.</t>
  </si>
  <si>
    <t>Preço unitário</t>
  </si>
  <si>
    <t>Preço total</t>
  </si>
  <si>
    <t>vb</t>
  </si>
  <si>
    <t>Bandeja de proteção primária</t>
  </si>
  <si>
    <t>m</t>
  </si>
  <si>
    <t>Bandeja de proteção secundária</t>
  </si>
  <si>
    <t>m2</t>
  </si>
  <si>
    <t>INFRAESTRUTURA</t>
  </si>
  <si>
    <t>SUPRAESTRUTURA</t>
  </si>
  <si>
    <t>Formas</t>
  </si>
  <si>
    <t>Armadura</t>
  </si>
  <si>
    <t>kg</t>
  </si>
  <si>
    <t>Concreto</t>
  </si>
  <si>
    <t>m3</t>
  </si>
  <si>
    <t>Complementares</t>
  </si>
  <si>
    <t>Mão de Obra</t>
  </si>
  <si>
    <t>PAREDES E PAINÉIS</t>
  </si>
  <si>
    <t>Serviços complementares</t>
  </si>
  <si>
    <t>un</t>
  </si>
  <si>
    <t>Mão de obra</t>
  </si>
  <si>
    <t>Alumínio</t>
  </si>
  <si>
    <t>Esquadria em alumínio - Fornecimento e Instalação*</t>
  </si>
  <si>
    <t>IMPERMEABILIZAÇÃO E TRATAMENTOS</t>
  </si>
  <si>
    <t>Regularização e Proteção Mecânica</t>
  </si>
  <si>
    <t>Regularização de superfície para impermeabilização</t>
  </si>
  <si>
    <t>Proteção mecânica com argamassa de cimento e areia, traço 1:3, espessura 5 cm, com camada separadora de polietileno</t>
  </si>
  <si>
    <t>Impermeabilização de baldrames com tinta asfáltica</t>
  </si>
  <si>
    <t>Impermeabilização com manta líquida em peitoris</t>
  </si>
  <si>
    <t>Chapisco e reboco</t>
  </si>
  <si>
    <t>Forro de gesso</t>
  </si>
  <si>
    <t>SISTEMAS E INSTALAÇÕES ELÉTRICAS</t>
  </si>
  <si>
    <t>Entrada de Energia</t>
  </si>
  <si>
    <t>Eletrodutos e Eletrocalhas</t>
  </si>
  <si>
    <t>Mão de Obrapara instalações elétricas</t>
  </si>
  <si>
    <t>SISTEMAS E INSTALAÇÕES HIDROSSANITÁRIAS E DRENAGEM</t>
  </si>
  <si>
    <t>Instalações de Água Fria</t>
  </si>
  <si>
    <t>Instalações de Água Quente</t>
  </si>
  <si>
    <t>Louças e Metais</t>
  </si>
  <si>
    <t>Mão de ObraInstalações Hidráulicas</t>
  </si>
  <si>
    <t>INSTALAÇÕES PREVENTIVAS E GLP</t>
  </si>
  <si>
    <t>Instalações Preventivas</t>
  </si>
  <si>
    <t>Instalações de Proteção e Aterramento - SPDA</t>
  </si>
  <si>
    <t>Ventokit</t>
  </si>
  <si>
    <t>Pintura interna</t>
  </si>
  <si>
    <t>IMPREVISTOS E CONTINGÊNCIAS</t>
  </si>
  <si>
    <t>R00</t>
  </si>
  <si>
    <t>DESPESAS INDIRETAS</t>
  </si>
  <si>
    <t>GERENCIAMENTO  EXECUTIVO</t>
  </si>
  <si>
    <t>ORÇAMENTO PRELIMINAR</t>
  </si>
  <si>
    <t>Estudos</t>
  </si>
  <si>
    <t>Projetos</t>
  </si>
  <si>
    <t>Consultorias</t>
  </si>
  <si>
    <t>Empresa</t>
  </si>
  <si>
    <t>Revisão</t>
  </si>
  <si>
    <t>Unidade</t>
  </si>
  <si>
    <t>Quantidade</t>
  </si>
  <si>
    <t>ÁREA DO TERRENO</t>
  </si>
  <si>
    <t>M2</t>
  </si>
  <si>
    <t>ÁREA CONSTRUÍDA</t>
  </si>
  <si>
    <t>NÚMERO DE APARTAMENTOS</t>
  </si>
  <si>
    <t>UN</t>
  </si>
  <si>
    <t>MESES DE OBRA</t>
  </si>
  <si>
    <t>MÊS</t>
  </si>
  <si>
    <t>NÚMERO DE PAVIMENTOS</t>
  </si>
  <si>
    <t>LEVANTAMENTO QUANTITATIVO</t>
  </si>
  <si>
    <t>Instalações de canteiro</t>
  </si>
  <si>
    <t>m²</t>
  </si>
  <si>
    <t>TOTAL</t>
  </si>
  <si>
    <t>Equipamentos de proteção coletiva</t>
  </si>
  <si>
    <t>Bandejas de proteção</t>
  </si>
  <si>
    <t>Guarda - corpo de desforma</t>
  </si>
  <si>
    <t>Proteção de periferia pós desforma torre</t>
  </si>
  <si>
    <t>Tela fachadeira</t>
  </si>
  <si>
    <t>Perímetro de projeção torre</t>
  </si>
  <si>
    <t xml:space="preserve">Fechamento removível de vãos em madeira </t>
  </si>
  <si>
    <t>Guarda - corpo de vãos</t>
  </si>
  <si>
    <t>Tapume</t>
  </si>
  <si>
    <t>Perímetro de encontro com pavimentação</t>
  </si>
  <si>
    <t>Altura do tapume</t>
  </si>
  <si>
    <t>Cobertura para proteção de pedestres</t>
  </si>
  <si>
    <t xml:space="preserve">un </t>
  </si>
  <si>
    <t/>
  </si>
  <si>
    <t>Documentos</t>
  </si>
  <si>
    <t>SEGURANÇA, MEIO AMBIENTE, SAÚDE</t>
  </si>
  <si>
    <t>Segurança do trabalho</t>
  </si>
  <si>
    <t>mês</t>
  </si>
  <si>
    <t>Serviço de segurança do trabalho terceirizados</t>
  </si>
  <si>
    <t>Equipamentos de proteção</t>
  </si>
  <si>
    <t>Bandeja de protecao primaria - 1 montagem</t>
  </si>
  <si>
    <t>Guarda corpo em laje pós - desforma</t>
  </si>
  <si>
    <t>Bandeja de protecao secundaria - 1 montagem</t>
  </si>
  <si>
    <t>Fechamento removivel de vaos de porta de elevador em madeira</t>
  </si>
  <si>
    <t>Varal de seguranca com cabo de aco com cabo de aço instalado junto ao piso</t>
  </si>
  <si>
    <t>Tela fachadeira - Tela mosqueteira reforçada com impressão digital</t>
  </si>
  <si>
    <t>Equipamento de proteção individual</t>
  </si>
  <si>
    <t>Placas de Sinalização de Obra</t>
  </si>
  <si>
    <t>Meio ambiente</t>
  </si>
  <si>
    <t>ADMINISTRAÇÃO E CANTEIRO DE OBRA</t>
  </si>
  <si>
    <t>Equipe de Gestão e Apoio</t>
  </si>
  <si>
    <t>Limpeza mecanizada de camada vegetal</t>
  </si>
  <si>
    <t>Instalações provisórias</t>
  </si>
  <si>
    <t>Mobiliário de apoio a obra</t>
  </si>
  <si>
    <t>EQUIPAMENTOS</t>
  </si>
  <si>
    <t>Equipamentos de carga e transporte</t>
  </si>
  <si>
    <t>Balancins e Andaimes</t>
  </si>
  <si>
    <t>COMPRA CUBETAS</t>
  </si>
  <si>
    <t>LOCAÇÃO DE CUBETAS</t>
  </si>
  <si>
    <t>REVESTIMENTOS E ACABAMENTOS INTERNOS EM PISO</t>
  </si>
  <si>
    <t>CLIENTE</t>
  </si>
  <si>
    <t>DATA</t>
  </si>
  <si>
    <t>MOVIMENTAÇÃO DE TERRA</t>
  </si>
  <si>
    <t>Escavação mecanizada para blocos e baldrames</t>
  </si>
  <si>
    <t>Reaterro para blocos e baldrames</t>
  </si>
  <si>
    <t>UNIDADE CONSTRUTIVA</t>
  </si>
  <si>
    <t>CÉLULA CONSTRUTIVA</t>
  </si>
  <si>
    <t>ETAPA</t>
  </si>
  <si>
    <t>Subetapa</t>
  </si>
  <si>
    <t>Unidade Construtiva</t>
  </si>
  <si>
    <t>Célula Construtiva</t>
  </si>
  <si>
    <t>Etapa</t>
  </si>
  <si>
    <t>Serviço</t>
  </si>
  <si>
    <t>Estaca Hélice Continua Diâmetro 50</t>
  </si>
  <si>
    <t>Estaca Hélice Continua Diâmetro 60</t>
  </si>
  <si>
    <t>m³</t>
  </si>
  <si>
    <t>Mobilização</t>
  </si>
  <si>
    <t>Armadura Convencional para Estrutura</t>
  </si>
  <si>
    <t>Mão de obra supraestrutura</t>
  </si>
  <si>
    <t>Custo</t>
  </si>
  <si>
    <t>TOTAL DA OBRA</t>
  </si>
  <si>
    <t>OBRA</t>
  </si>
  <si>
    <t>Alvenaria refratárias</t>
  </si>
  <si>
    <t>Churrasqueiras</t>
  </si>
  <si>
    <t>FUNDAÇÃO PROFUNDA</t>
  </si>
  <si>
    <t>Mão de obra de apoio e arrasamento das estacas</t>
  </si>
  <si>
    <t>FUNDAÇÃO RASA</t>
  </si>
  <si>
    <t>Fabricação, montagem e desmontagem de forma para blocos e baldrames</t>
  </si>
  <si>
    <t xml:space="preserve">Armação </t>
  </si>
  <si>
    <t>Mão de obra infraestrutura</t>
  </si>
  <si>
    <t>Alvenaria de vedção</t>
  </si>
  <si>
    <t xml:space="preserve">Mão de obra vedações </t>
  </si>
  <si>
    <t>ESCOLHA UMA OPÇÃO:</t>
  </si>
  <si>
    <t>%</t>
  </si>
  <si>
    <t>R$/m²</t>
  </si>
  <si>
    <t>Observação</t>
  </si>
  <si>
    <t>Nivel</t>
  </si>
  <si>
    <t>Estucamento</t>
  </si>
  <si>
    <t xml:space="preserve">Impermeabilização com manta asfáltica </t>
  </si>
  <si>
    <t>Impermeabilização com argamassa polimérica</t>
  </si>
  <si>
    <t>Impermeabilização Ralos</t>
  </si>
  <si>
    <t>Instalações Sanitárias</t>
  </si>
  <si>
    <t>Cabos e Fiações</t>
  </si>
  <si>
    <t>Quadros e Disjuntores</t>
  </si>
  <si>
    <t>Acabamentos Elétricos</t>
  </si>
  <si>
    <t>Equipamentos e Iluminação</t>
  </si>
  <si>
    <t>Instalações de GLP</t>
  </si>
  <si>
    <t>CFTV</t>
  </si>
  <si>
    <t>Interfone</t>
  </si>
  <si>
    <t>TV e internet</t>
  </si>
  <si>
    <t>Automação, telecomunicação e sistemas de segurança</t>
  </si>
  <si>
    <t>EQUIPAMENTOS E SISTEMAS ESPECIAIS</t>
  </si>
  <si>
    <t>Elevadores</t>
  </si>
  <si>
    <t>Infra de carro elétrico</t>
  </si>
  <si>
    <t>Grupo de geradores</t>
  </si>
  <si>
    <t>OUTROS SISTEMAS ESPECIAIS</t>
  </si>
  <si>
    <t>Outros sistemas</t>
  </si>
  <si>
    <t>COMUNICAÇÃO</t>
  </si>
  <si>
    <t>CLIMATIZAÇÃO, EXAUSTÃO MECÂNICA E PRESSURIZAÇÃO</t>
  </si>
  <si>
    <t>Infraestrutura para Instalação de Ar Condicionado</t>
  </si>
  <si>
    <t>Instalação de Ar Condicionado</t>
  </si>
  <si>
    <t>SISTEMAS DE PINTURA INTERNA</t>
  </si>
  <si>
    <t>ESQUADRIAS, VIDROS E FERRAGENS</t>
  </si>
  <si>
    <t>Guarda-corpo - vidro</t>
  </si>
  <si>
    <t>Esquadrias de madeira</t>
  </si>
  <si>
    <t>Serralheria</t>
  </si>
  <si>
    <t>REVESTIMENTOS E ACABAMENTOS EM FACHADA</t>
  </si>
  <si>
    <t>Revestimento argamassado em fachada</t>
  </si>
  <si>
    <t>Pintura / Textura</t>
  </si>
  <si>
    <t>SERVIÇOS COMPLEMENTARES E FINAIS</t>
  </si>
  <si>
    <t>Móveis e decoração</t>
  </si>
  <si>
    <t>Comunicação visual</t>
  </si>
  <si>
    <t>Paisagismo</t>
  </si>
  <si>
    <t>Ligações definitivas</t>
  </si>
  <si>
    <t>Desmobilização</t>
  </si>
  <si>
    <t>Limpeza</t>
  </si>
  <si>
    <t>Perfuração</t>
  </si>
  <si>
    <t>REVESTIMENTOS E ACABAMENTOS INTERNOS EM TETO</t>
  </si>
  <si>
    <t>REVESTIMENTOS E ACABAMENTOS INTERNOS EM PAREDE</t>
  </si>
  <si>
    <t>* IMPORTANTE: Os custos unitários apresentados nessa página possuem majoração ao custo real buscando contemplar aproximações de quantidades, perdas e outras situações previstas através de índices e indexadores no orçamento</t>
  </si>
  <si>
    <t>Verga/contraverga de concreto, moldada in loco</t>
  </si>
  <si>
    <t>Impermeabilização Poço do Elevador</t>
  </si>
  <si>
    <t>Pintura externa</t>
  </si>
  <si>
    <t>Fabricação, montagem e desmontagem de forma para blocos e baldrames em madeira serrada (2 utilizações)</t>
  </si>
  <si>
    <t>Alvenaria com blocos cerâmicos com argamassa usinada para assentamento</t>
  </si>
  <si>
    <t>Guarda corpo em periferias (risco de queda)</t>
  </si>
  <si>
    <t>Valor repassado pelo cliente - segurança - Guarda corpo em periferias (risco de queda)</t>
  </si>
  <si>
    <t>Contrapiso</t>
  </si>
  <si>
    <t>CUB/SC</t>
  </si>
  <si>
    <t>IMPREVISTOS E CONTINGENCIAS</t>
  </si>
  <si>
    <t>SERVIÇOS COMPLEMENTARES</t>
  </si>
  <si>
    <t>REVESTIMENTOS E ACABAMENTOS DE FACHADA</t>
  </si>
  <si>
    <t>COBERTURA</t>
  </si>
  <si>
    <t>PINTURA INTERNA</t>
  </si>
  <si>
    <t>IMPERMEABILIZAÇÃO</t>
  </si>
  <si>
    <t>INSTALAÇÕES ELÉTRICAS, HIDRÁULICAS, GLP E PREVENTIVAS</t>
  </si>
  <si>
    <t>ALVENARIA</t>
  </si>
  <si>
    <t>GERENCIAMENTO TÉCNICO E ADMINISTRATIVO</t>
  </si>
  <si>
    <t>VALOR / m²</t>
  </si>
  <si>
    <t>VALOR ORÇADO</t>
  </si>
  <si>
    <t xml:space="preserve">ORÇAMENTO PARAMÉTRICO </t>
  </si>
  <si>
    <t>Cliente</t>
  </si>
  <si>
    <t>Data</t>
  </si>
  <si>
    <t>Versão</t>
  </si>
  <si>
    <t>Perímetro de projeção embasamneto</t>
  </si>
  <si>
    <t>Perímetro de projeção da torre</t>
  </si>
  <si>
    <t>Repetições de pavimentos**</t>
  </si>
  <si>
    <t>Perimetro da torre</t>
  </si>
  <si>
    <t>Altura da torre</t>
  </si>
  <si>
    <t xml:space="preserve">Área das portas de elevadores </t>
  </si>
  <si>
    <t>Quantidade de elevadores</t>
  </si>
  <si>
    <t>Quantidade de portas de elevadores</t>
  </si>
  <si>
    <t>Perímetro de vãos</t>
  </si>
  <si>
    <t>Ensaios e Laudos</t>
  </si>
  <si>
    <t>TAXAS E DOCUMENTOS</t>
  </si>
  <si>
    <t>Seguros</t>
  </si>
  <si>
    <t>Licenciamentos, Taxas, Impostos</t>
  </si>
  <si>
    <t>GERENCIAMENTO TÉCNICO</t>
  </si>
  <si>
    <t>GERENCIAMENTO ADMINISTRATIVO</t>
  </si>
  <si>
    <t>Engenheiro Civil</t>
  </si>
  <si>
    <t>Mestre Geral</t>
  </si>
  <si>
    <t>Estagiário de Engenharia</t>
  </si>
  <si>
    <t>Operador de Guincho</t>
  </si>
  <si>
    <t>Equipe de apoio</t>
  </si>
  <si>
    <t>2 seventes (84% de encargos)</t>
  </si>
  <si>
    <t>Operação Inicial do Canteiro</t>
  </si>
  <si>
    <t>Locação de banheiro químico</t>
  </si>
  <si>
    <t>Locação de Conteiner</t>
  </si>
  <si>
    <t>Instalações Provisórias: Redes de Água Fria, Esgoto e Drenagem</t>
  </si>
  <si>
    <t>Instalações Provisórias: Redes Elétrica, Comunicação e Dados</t>
  </si>
  <si>
    <t>Equipamentos escritório - aquisição</t>
  </si>
  <si>
    <t>Tapume com telha metálica</t>
  </si>
  <si>
    <t>mes</t>
  </si>
  <si>
    <t>Despesas de Consumo e Manutenção</t>
  </si>
  <si>
    <t>Ferramentas - aquisição/manutenção</t>
  </si>
  <si>
    <t>Locação de elevador cremalheira</t>
  </si>
  <si>
    <t>Montagem e desmontagem de elevador cremalheira</t>
  </si>
  <si>
    <t>Mobilização e desmobilização de elevador cremalheira</t>
  </si>
  <si>
    <t>Locação de Mini-grua</t>
  </si>
  <si>
    <t>Montagem e Desmontagem de Mini-grua</t>
  </si>
  <si>
    <t>Mobilização e desmobilização de Mini-grua</t>
  </si>
  <si>
    <t>Escavação</t>
  </si>
  <si>
    <t>Movimentação de bota-fora</t>
  </si>
  <si>
    <t>Movimentação de terra (30% de empolamento)</t>
  </si>
  <si>
    <t>Movimentação de terra estacas (30% de empolamento)</t>
  </si>
  <si>
    <t xml:space="preserve">Lastro de concreto magro e= 10cm - Blocos </t>
  </si>
  <si>
    <t>Movimentação de Terra</t>
  </si>
  <si>
    <t>Volume determinado pela area e altura dos subsolos</t>
  </si>
  <si>
    <t>Concreto 40MPa</t>
  </si>
  <si>
    <t>Profundidade de SPT</t>
  </si>
  <si>
    <t>Consideração de 10% de perda</t>
  </si>
  <si>
    <t>Consideração de R$ 535,00/m³ com 30% de perda e R$ 45,00/m³ de bombeamento</t>
  </si>
  <si>
    <t>Previsão de mobilização de maquinários</t>
  </si>
  <si>
    <t>Laje de subpressão</t>
  </si>
  <si>
    <t>Forma de compensado resinado com 2 reutilizações</t>
  </si>
  <si>
    <t>Consideração de R$ 535,00/m³ com 5% de perda e R$ 45,00/m³ de bombeamento</t>
  </si>
  <si>
    <t>Valor estimado por área de projeção do embasamento x 1,5</t>
  </si>
  <si>
    <t>CONTENÇÃO</t>
  </si>
  <si>
    <t>Parede Diafragma</t>
  </si>
  <si>
    <t>Execução de mureta guia</t>
  </si>
  <si>
    <t>Serviço especializado parede diafragma</t>
  </si>
  <si>
    <t>Mobilização para parede diagragma</t>
  </si>
  <si>
    <t>Tratamento em juntas de concretagem com fita hidroexpansiva</t>
  </si>
  <si>
    <t>Fabricação forma</t>
  </si>
  <si>
    <t>Montagem de forma</t>
  </si>
  <si>
    <t>Escoramento</t>
  </si>
  <si>
    <t>Locação de cubetas</t>
  </si>
  <si>
    <t>Concreto (40 Mpa) COM CRISTALIZANTE</t>
  </si>
  <si>
    <t>Perfuração de vigas</t>
  </si>
  <si>
    <t>Forma com compensado plastificado - 8 reutilizações</t>
  </si>
  <si>
    <t>Locação de cubetas  - 2 jogos</t>
  </si>
  <si>
    <t>Sistemas e Instalações Hidrossanitárias e Drenagem</t>
  </si>
  <si>
    <t>Instalações de Águas Pluviais</t>
  </si>
  <si>
    <t>INSTALAÇÕES ELÉTRICAS, HIDRÁULICAS E GLP</t>
  </si>
  <si>
    <t>Sistemas e Isntalações Elétricas</t>
  </si>
  <si>
    <t>Climatização, exaustã mecânica e pressurização</t>
  </si>
  <si>
    <t>Comunicação</t>
  </si>
  <si>
    <t xml:space="preserve">Equipamentos </t>
  </si>
  <si>
    <t>Ventilação mecânica em banheiros enclausurados;</t>
  </si>
  <si>
    <t>Infraestrutura para ar-condicionado tipo split em residencial</t>
  </si>
  <si>
    <t xml:space="preserve">Instalação de ar-codicionado tipo split em áreas comuns </t>
  </si>
  <si>
    <t>Bombas</t>
  </si>
  <si>
    <t>Equipamento de piscina</t>
  </si>
  <si>
    <t>Expectativa de elementos a serem ainda previstos em projeto</t>
  </si>
  <si>
    <t xml:space="preserve">Impermeabilização </t>
  </si>
  <si>
    <t>Impermeabilização com manta asfáltica floreiras</t>
  </si>
  <si>
    <t>Regulazização em áreas que recebem argamassa polimérica e manta asfáltica;</t>
  </si>
  <si>
    <t>Aplicação em áreas externas, terraço e piscina;</t>
  </si>
  <si>
    <t>Proteção mecânica de áreas que recebem manta asfáltica;</t>
  </si>
  <si>
    <t>Revestimento de piso</t>
  </si>
  <si>
    <t>Revestimeto de parede</t>
  </si>
  <si>
    <t>Piso alisado</t>
  </si>
  <si>
    <t>Piso ranhurado</t>
  </si>
  <si>
    <t>Manta acústica</t>
  </si>
  <si>
    <t>Chapisco</t>
  </si>
  <si>
    <t>Reboco</t>
  </si>
  <si>
    <t>Acabamento em garagens</t>
  </si>
  <si>
    <t>Areas tecnicas especificadas em projeto</t>
  </si>
  <si>
    <t>Rampas</t>
  </si>
  <si>
    <t>Em toda edificação onde não há polimento de piso e cimentado</t>
  </si>
  <si>
    <t>Nas áreas privativas;</t>
  </si>
  <si>
    <t>Negativo</t>
  </si>
  <si>
    <t>Sacadas e terraços</t>
  </si>
  <si>
    <t>Escadas e áreas tecnicas</t>
  </si>
  <si>
    <t>REVESTIMENTOS INTERNOS EM PISO E PAREDE</t>
  </si>
  <si>
    <t>ACABAMENTOS EM PISO E PAREDE</t>
  </si>
  <si>
    <t>Acabamentos de piso</t>
  </si>
  <si>
    <t>Ceramica</t>
  </si>
  <si>
    <t>Concreto calçada</t>
  </si>
  <si>
    <t>Vinilico</t>
  </si>
  <si>
    <t>Madeira sauna</t>
  </si>
  <si>
    <t>Rodapés</t>
  </si>
  <si>
    <t>Soleiras e peitoris</t>
  </si>
  <si>
    <t>Acabamentos de parede</t>
  </si>
  <si>
    <t>Porcelanato parede</t>
  </si>
  <si>
    <t>Aplicação em paredes de banheiros</t>
  </si>
  <si>
    <t>Piscina - pastilha 14,5x14,5</t>
  </si>
  <si>
    <t>Playgoround e academia</t>
  </si>
  <si>
    <t>Area tecnicas</t>
  </si>
  <si>
    <t>Porcelanato 90x90</t>
  </si>
  <si>
    <t>FORRO MADEIRA</t>
  </si>
  <si>
    <t>FORRO PVC IMITA MADEIRA</t>
  </si>
  <si>
    <t>FORRO VINILICO</t>
  </si>
  <si>
    <t>DECK MADEIRA</t>
  </si>
  <si>
    <t>PORCELANATO QUE IMITA MADEIRA</t>
  </si>
  <si>
    <t>PISO EMBORRACHADO</t>
  </si>
  <si>
    <t>PISO VINILICO</t>
  </si>
  <si>
    <t>PISO LAPIDADO</t>
  </si>
  <si>
    <t>ESQUADRIAS MAIORES</t>
  </si>
  <si>
    <t>ESQUADRIAS MENORES</t>
  </si>
  <si>
    <t>PISO POLIDO + EPOXI</t>
  </si>
  <si>
    <t>VERSÃO</t>
  </si>
  <si>
    <t>Forros especiais</t>
  </si>
  <si>
    <t>PINTURA EPOXI</t>
  </si>
  <si>
    <t>Pintura acrílica antiderrapante</t>
  </si>
  <si>
    <t xml:space="preserve">Textura escadas </t>
  </si>
  <si>
    <t>Textura Teto</t>
  </si>
  <si>
    <t>Pintura Interna Tetos</t>
  </si>
  <si>
    <t>Pintura Interna</t>
  </si>
  <si>
    <t>Aplicação em piso de escadas e áreas tecnicas</t>
  </si>
  <si>
    <t>Aplicação em regiões que recebm estucamento</t>
  </si>
  <si>
    <t>Consideração de selador, massa PVA e tinta acrílica (3 demãos)</t>
  </si>
  <si>
    <t>Passeio padrão Florianópolis</t>
  </si>
  <si>
    <t>Area intimas privativas</t>
  </si>
  <si>
    <t>Àrea de piscina</t>
  </si>
  <si>
    <t>Imprevistos e contingências</t>
  </si>
  <si>
    <t>Padrão gold 32mm - esquadrias grandes</t>
  </si>
  <si>
    <t>Salas comerciais e lazer</t>
  </si>
  <si>
    <t>Aluminio amadeirado</t>
  </si>
  <si>
    <t>Acesso de veiculos</t>
  </si>
  <si>
    <t>Esquadrias metálicas</t>
  </si>
  <si>
    <t>Corrimão madeira</t>
  </si>
  <si>
    <t>Corrimão comercial</t>
  </si>
  <si>
    <t>Fechadura Biometrica</t>
  </si>
  <si>
    <t>Esquadrias de Madeira</t>
  </si>
  <si>
    <t>Porta corta-fogo</t>
  </si>
  <si>
    <t>Verba  prevista ára eventuais alçapões, bicicletários, etc.</t>
  </si>
  <si>
    <t>Porta semi-oca com revestimento pintado</t>
  </si>
  <si>
    <t>Acesso de unidades</t>
  </si>
  <si>
    <t>Concreto aparente</t>
  </si>
  <si>
    <t>Acabamentos especiais</t>
  </si>
  <si>
    <t>Muros em pedra</t>
  </si>
  <si>
    <t>Acesso veículos</t>
  </si>
  <si>
    <t>paredes + floreiras</t>
  </si>
  <si>
    <t>molduras (0,5m inclinado e 0,1m reto)</t>
  </si>
  <si>
    <t>FACHADA ESQ MAIORES</t>
  </si>
  <si>
    <t>FACHADA ESQ MENORES</t>
  </si>
  <si>
    <t>Locação de balancim motorizado</t>
  </si>
  <si>
    <t>Montagem e desmontagem de balancim</t>
  </si>
  <si>
    <t>uni</t>
  </si>
  <si>
    <t xml:space="preserve">Locação de Andaime </t>
  </si>
  <si>
    <t>INFRAESTRUTURA + CONTENÇÃO</t>
  </si>
  <si>
    <t>Aquisição de escoras de madeira - 2 jogos</t>
  </si>
  <si>
    <t>Placa EPS 30mm</t>
  </si>
  <si>
    <t>Divisória entre paredes duplas</t>
  </si>
  <si>
    <t>32KVa carenado</t>
  </si>
  <si>
    <t>Inlcuso 6 câmeras para proteção de acessos e perímetro</t>
  </si>
  <si>
    <t>Exaustão de churrasqueiras - troca por exaustão comum com Sputnik</t>
  </si>
  <si>
    <t xml:space="preserve">Forro de gesso mineral - material e mão de obra </t>
  </si>
  <si>
    <t>Rodapé de 10cm</t>
  </si>
  <si>
    <t>CHAPISCO</t>
  </si>
  <si>
    <t>REBOCO</t>
  </si>
  <si>
    <t>GESSO SARRAFEADO</t>
  </si>
  <si>
    <t>Piso vinílico play e academia</t>
  </si>
  <si>
    <t>Porcelanato que imita madeira</t>
  </si>
  <si>
    <t>Piso polido</t>
  </si>
  <si>
    <t>BRISE TOTAL</t>
  </si>
  <si>
    <t>BRISE FACHADA NORTE</t>
  </si>
  <si>
    <t>Pele de vidro</t>
  </si>
  <si>
    <t>Brise de fachada</t>
  </si>
  <si>
    <t>Portão de alumínio</t>
  </si>
  <si>
    <t>Gradil area tecnica</t>
  </si>
  <si>
    <t>Pintura piso epoxi</t>
  </si>
  <si>
    <t>Aplicação em piso de garagens (demarcação de faixas)</t>
  </si>
  <si>
    <t>NOW Residence</t>
  </si>
  <si>
    <t>Cambert Engenharia</t>
  </si>
  <si>
    <t>Projeto Arquitetônico</t>
  </si>
  <si>
    <t>Projeto Estrutural</t>
  </si>
  <si>
    <t>Projeto Elétrico</t>
  </si>
  <si>
    <t>Projeto Hidrossanitário</t>
  </si>
  <si>
    <t>Projeto Preventivo</t>
  </si>
  <si>
    <t>Projeto Climatização</t>
  </si>
  <si>
    <t>Projeto Paisagismo</t>
  </si>
  <si>
    <t>Projeto Interiores</t>
  </si>
  <si>
    <t>Projeto Fundações</t>
  </si>
  <si>
    <t>Outros projetos</t>
  </si>
  <si>
    <t>Concreto (CP)</t>
  </si>
  <si>
    <t>Solo/Fundações</t>
  </si>
  <si>
    <t>Estanqueidade</t>
  </si>
  <si>
    <t>Outros ensaios</t>
  </si>
  <si>
    <t>Alvará</t>
  </si>
  <si>
    <t>ARTs/RRTs</t>
  </si>
  <si>
    <t>Bombeiros</t>
  </si>
  <si>
    <t>Habite-se</t>
  </si>
  <si>
    <t>Registro Incorporação</t>
  </si>
  <si>
    <t>Outras taxas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</si>
</sst>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0#"/>
    <numFmt numFmtId="166" formatCode="00#"/>
    <numFmt numFmtId="167" formatCode="00#\ &quot;UC&quot;"/>
    <numFmt numFmtId="168" formatCode="_-* #.##0.00_-;\-* #.##0.00_-;_-* &quot;-&quot;??_-;_-@_-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Poppins"/>
    </font>
    <font>
      <sz val="10"/>
      <color indexed="8"/>
      <name val="Poppins"/>
    </font>
    <font>
      <sz val="11"/>
      <color theme="1"/>
      <name val="Calibri"/>
      <family val="2"/>
      <scheme val="minor"/>
    </font>
    <font>
      <b/>
      <sz val="10"/>
      <color theme="0"/>
      <name val="Poppins"/>
    </font>
    <font>
      <b/>
      <sz val="10"/>
      <color rgb="FF010000"/>
      <name val="Poppins"/>
    </font>
    <font>
      <b/>
      <sz val="10"/>
      <color rgb="FF121212"/>
      <name val="Poppins"/>
    </font>
    <font>
      <b/>
      <sz val="20"/>
      <color rgb="FF121212"/>
      <name val="Poppins"/>
    </font>
    <font>
      <sz val="8"/>
      <name val="Arial"/>
      <family val="2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b/>
      <sz val="8"/>
      <color rgb="FF002060"/>
      <name val="Poppins"/>
    </font>
    <font>
      <sz val="8"/>
      <color theme="1"/>
      <name val="Calibri"/>
      <family val="2"/>
      <scheme val="minor"/>
    </font>
    <font>
      <sz val="8"/>
      <color theme="1"/>
      <name val="Poppins"/>
    </font>
    <font>
      <sz val="10"/>
      <color rgb="FF010000"/>
      <name val="Poppins"/>
    </font>
    <font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b/>
      <sz val="8"/>
      <color theme="0"/>
      <name val="Arial"/>
      <family val="2"/>
    </font>
    <font>
      <b/>
      <sz val="10"/>
      <color rgb="FFFF0000"/>
      <name val="Poppins"/>
    </font>
    <font>
      <sz val="10"/>
      <color rgb="FFFF0000"/>
      <name val="Poppins"/>
    </font>
    <font>
      <sz val="10"/>
      <color theme="0"/>
      <name val="Poppins"/>
    </font>
    <font>
      <sz val="20"/>
      <color rgb="FF121212"/>
      <name val="Poppins"/>
    </font>
    <font>
      <sz val="10"/>
      <color theme="1"/>
      <name val="Poppins"/>
    </font>
    <font>
      <sz val="8"/>
      <color theme="0" tint="-0.499984740745262"/>
      <name val="Poppins"/>
    </font>
    <font>
      <b/>
      <sz val="10"/>
      <color theme="0" tint="-0.499984740745262"/>
      <name val="Poppins"/>
    </font>
    <font>
      <b/>
      <sz val="10"/>
      <name val="Poppins"/>
    </font>
    <font>
      <b/>
      <sz val="8.5"/>
      <color rgb="FFFF0000"/>
      <name val="Poppins"/>
    </font>
    <font>
      <b/>
      <sz val="11"/>
      <color theme="0"/>
      <name val="Poppins"/>
    </font>
    <font>
      <sz val="11"/>
      <name val="Poppins"/>
    </font>
    <font>
      <b/>
      <sz val="10"/>
      <color theme="1"/>
      <name val="Poppins"/>
    </font>
    <font>
      <b/>
      <sz val="14"/>
      <color rgb="FF121212"/>
      <name val="Poppins"/>
    </font>
    <font>
      <sz val="10"/>
      <name val="Roboto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2121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3F3F3F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333333"/>
        <bgColor rgb="FFFFFFFF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rgb="FFFFFFFF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9">
    <xf numFmtId="0" fontId="0" fillId="0" borderId="0" applyNumberFormat="0" applyFont="0" applyFill="0" applyBorder="0" applyAlignment="0" applyProtection="0"/>
    <xf numFmtId="43" fontId="4" fillId="0" borderId="0" applyNumberFormat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7">
    <xf numFmtId="0" fontId="0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7" fillId="2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 applyAlignment="1">
      <alignment horizontal="center"/>
    </xf>
    <xf numFmtId="0" fontId="8" fillId="0" borderId="0" xfId="2"/>
    <xf numFmtId="0" fontId="14" fillId="6" borderId="17" xfId="2" applyFont="1" applyFill="1" applyBorder="1" applyAlignment="1">
      <alignment horizontal="left" vertical="center" wrapText="1"/>
    </xf>
    <xf numFmtId="0" fontId="14" fillId="6" borderId="0" xfId="2" applyFont="1" applyFill="1" applyAlignment="1">
      <alignment horizontal="left" vertical="center" wrapText="1"/>
    </xf>
    <xf numFmtId="0" fontId="14" fillId="6" borderId="0" xfId="2" applyFont="1" applyFill="1" applyAlignment="1">
      <alignment horizontal="center" vertical="center" wrapText="1"/>
    </xf>
    <xf numFmtId="43" fontId="14" fillId="6" borderId="0" xfId="3" applyFont="1" applyFill="1" applyBorder="1" applyAlignment="1">
      <alignment horizontal="left" vertical="center" wrapText="1"/>
    </xf>
    <xf numFmtId="0" fontId="18" fillId="6" borderId="18" xfId="2" applyFont="1" applyFill="1" applyBorder="1"/>
    <xf numFmtId="0" fontId="19" fillId="6" borderId="17" xfId="2" applyFont="1" applyFill="1" applyBorder="1"/>
    <xf numFmtId="0" fontId="20" fillId="8" borderId="2" xfId="2" applyFont="1" applyFill="1" applyBorder="1" applyAlignment="1">
      <alignment horizontal="center" vertical="center"/>
    </xf>
    <xf numFmtId="0" fontId="20" fillId="8" borderId="5" xfId="2" applyFont="1" applyFill="1" applyBorder="1" applyAlignment="1">
      <alignment horizontal="center" vertical="center" wrapText="1"/>
    </xf>
    <xf numFmtId="43" fontId="20" fillId="8" borderId="6" xfId="3" applyFont="1" applyFill="1" applyBorder="1" applyAlignment="1">
      <alignment horizontal="center" vertical="center" wrapText="1"/>
    </xf>
    <xf numFmtId="0" fontId="19" fillId="6" borderId="19" xfId="2" applyFont="1" applyFill="1" applyBorder="1" applyAlignment="1">
      <alignment vertical="center" wrapText="1"/>
    </xf>
    <xf numFmtId="43" fontId="19" fillId="6" borderId="20" xfId="3" applyFont="1" applyFill="1" applyBorder="1" applyAlignment="1">
      <alignment horizontal="center" vertical="center" wrapText="1"/>
    </xf>
    <xf numFmtId="0" fontId="19" fillId="6" borderId="22" xfId="2" applyFont="1" applyFill="1" applyBorder="1" applyAlignment="1">
      <alignment vertical="center" wrapText="1"/>
    </xf>
    <xf numFmtId="43" fontId="19" fillId="6" borderId="23" xfId="3" applyFont="1" applyFill="1" applyBorder="1" applyAlignment="1">
      <alignment horizontal="center" vertical="center" wrapText="1"/>
    </xf>
    <xf numFmtId="43" fontId="18" fillId="6" borderId="18" xfId="2" applyNumberFormat="1" applyFont="1" applyFill="1" applyBorder="1"/>
    <xf numFmtId="0" fontId="19" fillId="6" borderId="24" xfId="2" applyFont="1" applyFill="1" applyBorder="1" applyAlignment="1">
      <alignment vertical="center" wrapText="1"/>
    </xf>
    <xf numFmtId="43" fontId="19" fillId="6" borderId="25" xfId="3" applyFont="1" applyFill="1" applyBorder="1" applyAlignment="1">
      <alignment horizontal="center" vertical="center" wrapText="1"/>
    </xf>
    <xf numFmtId="0" fontId="18" fillId="6" borderId="26" xfId="2" applyFont="1" applyFill="1" applyBorder="1"/>
    <xf numFmtId="0" fontId="18" fillId="6" borderId="27" xfId="2" applyFont="1" applyFill="1" applyBorder="1" applyAlignment="1">
      <alignment horizontal="center"/>
    </xf>
    <xf numFmtId="43" fontId="18" fillId="6" borderId="27" xfId="3" applyFont="1" applyFill="1" applyBorder="1" applyAlignment="1">
      <alignment horizontal="center"/>
    </xf>
    <xf numFmtId="0" fontId="15" fillId="0" borderId="0" xfId="2" applyFont="1"/>
    <xf numFmtId="0" fontId="15" fillId="0" borderId="0" xfId="2" applyFont="1" applyAlignment="1">
      <alignment horizontal="center"/>
    </xf>
    <xf numFmtId="43" fontId="15" fillId="0" borderId="0" xfId="3" applyFont="1" applyAlignment="1">
      <alignment horizontal="center"/>
    </xf>
    <xf numFmtId="0" fontId="5" fillId="0" borderId="0" xfId="4"/>
    <xf numFmtId="0" fontId="19" fillId="6" borderId="19" xfId="4" applyFont="1" applyFill="1" applyBorder="1" applyAlignment="1">
      <alignment vertical="center" wrapText="1"/>
    </xf>
    <xf numFmtId="0" fontId="20" fillId="10" borderId="4" xfId="4" applyFont="1" applyFill="1" applyBorder="1" applyAlignment="1">
      <alignment vertical="center" wrapText="1"/>
    </xf>
    <xf numFmtId="0" fontId="19" fillId="6" borderId="32" xfId="4" applyFont="1" applyFill="1" applyBorder="1" applyAlignment="1">
      <alignment vertical="center" wrapText="1"/>
    </xf>
    <xf numFmtId="0" fontId="19" fillId="6" borderId="29" xfId="4" applyFont="1" applyFill="1" applyBorder="1"/>
    <xf numFmtId="0" fontId="18" fillId="6" borderId="30" xfId="4" applyFont="1" applyFill="1" applyBorder="1" applyAlignment="1">
      <alignment horizontal="center"/>
    </xf>
    <xf numFmtId="0" fontId="19" fillId="6" borderId="30" xfId="4" applyFont="1" applyFill="1" applyBorder="1" applyAlignment="1">
      <alignment horizontal="center"/>
    </xf>
    <xf numFmtId="0" fontId="18" fillId="6" borderId="31" xfId="4" applyFont="1" applyFill="1" applyBorder="1"/>
    <xf numFmtId="0" fontId="18" fillId="6" borderId="17" xfId="4" applyFont="1" applyFill="1" applyBorder="1"/>
    <xf numFmtId="0" fontId="18" fillId="6" borderId="0" xfId="4" applyFont="1" applyFill="1" applyAlignment="1">
      <alignment horizontal="center"/>
    </xf>
    <xf numFmtId="0" fontId="19" fillId="6" borderId="0" xfId="4" applyFont="1" applyFill="1" applyAlignment="1">
      <alignment horizontal="center"/>
    </xf>
    <xf numFmtId="0" fontId="18" fillId="6" borderId="18" xfId="4" applyFont="1" applyFill="1" applyBorder="1"/>
    <xf numFmtId="0" fontId="20" fillId="8" borderId="2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 wrapText="1"/>
    </xf>
    <xf numFmtId="0" fontId="20" fillId="10" borderId="3" xfId="4" applyFont="1" applyFill="1" applyBorder="1" applyAlignment="1">
      <alignment vertical="center" wrapText="1"/>
    </xf>
    <xf numFmtId="0" fontId="20" fillId="8" borderId="41" xfId="4" applyFont="1" applyFill="1" applyBorder="1" applyAlignment="1">
      <alignment horizontal="center" vertical="center"/>
    </xf>
    <xf numFmtId="0" fontId="20" fillId="8" borderId="42" xfId="4" applyFont="1" applyFill="1" applyBorder="1" applyAlignment="1">
      <alignment horizontal="center" vertical="center" wrapText="1"/>
    </xf>
    <xf numFmtId="0" fontId="18" fillId="6" borderId="26" xfId="4" applyFont="1" applyFill="1" applyBorder="1"/>
    <xf numFmtId="0" fontId="18" fillId="6" borderId="27" xfId="4" applyFont="1" applyFill="1" applyBorder="1" applyAlignment="1">
      <alignment horizontal="center"/>
    </xf>
    <xf numFmtId="0" fontId="19" fillId="6" borderId="27" xfId="4" applyFont="1" applyFill="1" applyBorder="1" applyAlignment="1">
      <alignment horizontal="center"/>
    </xf>
    <xf numFmtId="0" fontId="18" fillId="6" borderId="28" xfId="4" applyFont="1" applyFill="1" applyBorder="1"/>
    <xf numFmtId="0" fontId="13" fillId="0" borderId="0" xfId="0" applyNumberFormat="1" applyFont="1" applyFill="1" applyBorder="1" applyAlignment="1"/>
    <xf numFmtId="44" fontId="13" fillId="0" borderId="0" xfId="0" applyNumberFormat="1" applyFont="1" applyFill="1" applyBorder="1" applyAlignment="1"/>
    <xf numFmtId="43" fontId="6" fillId="0" borderId="0" xfId="0" applyNumberFormat="1" applyFont="1" applyFill="1" applyBorder="1" applyAlignment="1"/>
    <xf numFmtId="0" fontId="26" fillId="0" borderId="0" xfId="0" applyFont="1"/>
    <xf numFmtId="0" fontId="27" fillId="0" borderId="0" xfId="0" applyFont="1"/>
    <xf numFmtId="165" fontId="28" fillId="0" borderId="0" xfId="4" applyNumberFormat="1" applyFont="1" applyAlignment="1">
      <alignment horizontal="left" vertical="center"/>
    </xf>
    <xf numFmtId="166" fontId="28" fillId="0" borderId="0" xfId="4" applyNumberFormat="1" applyFont="1" applyAlignment="1">
      <alignment horizontal="left" vertical="center"/>
    </xf>
    <xf numFmtId="0" fontId="29" fillId="0" borderId="0" xfId="4" applyFont="1" applyAlignment="1">
      <alignment vertical="center"/>
    </xf>
    <xf numFmtId="0" fontId="29" fillId="0" borderId="0" xfId="4" applyFont="1" applyAlignment="1">
      <alignment horizontal="left" vertical="center"/>
    </xf>
    <xf numFmtId="4" fontId="13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13" fillId="0" borderId="0" xfId="0" applyNumberFormat="1" applyFont="1" applyFill="1" applyBorder="1" applyAlignment="1">
      <alignment horizontal="center" vertical="center"/>
    </xf>
    <xf numFmtId="44" fontId="13" fillId="0" borderId="0" xfId="9" applyFont="1" applyFill="1" applyBorder="1" applyAlignment="1"/>
    <xf numFmtId="0" fontId="30" fillId="13" borderId="0" xfId="0" applyNumberFormat="1" applyFont="1" applyFill="1" applyBorder="1" applyAlignment="1"/>
    <xf numFmtId="0" fontId="30" fillId="13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/>
    </xf>
    <xf numFmtId="9" fontId="6" fillId="0" borderId="0" xfId="10" applyFont="1" applyFill="1" applyBorder="1" applyAlignment="1">
      <alignment horizontal="center"/>
    </xf>
    <xf numFmtId="0" fontId="4" fillId="0" borderId="46" xfId="0" applyNumberFormat="1" applyFont="1" applyFill="1" applyBorder="1" applyAlignment="1"/>
    <xf numFmtId="167" fontId="10" fillId="14" borderId="1" xfId="0" quotePrefix="1" applyNumberFormat="1" applyFont="1" applyFill="1" applyBorder="1" applyAlignment="1" applyProtection="1">
      <alignment horizontal="left" vertical="center" wrapText="1"/>
    </xf>
    <xf numFmtId="0" fontId="9" fillId="14" borderId="3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>
      <alignment horizontal="left"/>
    </xf>
    <xf numFmtId="0" fontId="34" fillId="0" borderId="0" xfId="0" applyFont="1" applyBorder="1" applyAlignment="1">
      <alignment horizontal="center" vertical="center" wrapText="1"/>
    </xf>
    <xf numFmtId="9" fontId="34" fillId="0" borderId="0" xfId="10" applyFont="1" applyBorder="1" applyAlignment="1">
      <alignment horizontal="center" vertical="center" wrapText="1"/>
    </xf>
    <xf numFmtId="0" fontId="4" fillId="0" borderId="46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167" fontId="24" fillId="0" borderId="46" xfId="0" applyNumberFormat="1" applyFont="1" applyFill="1" applyBorder="1" applyAlignment="1" applyProtection="1">
      <alignment horizontal="left" vertical="center" wrapText="1"/>
    </xf>
    <xf numFmtId="10" fontId="24" fillId="0" borderId="10" xfId="10" applyNumberFormat="1" applyFont="1" applyFill="1" applyBorder="1" applyAlignment="1" applyProtection="1">
      <alignment horizontal="center" vertical="center"/>
    </xf>
    <xf numFmtId="0" fontId="24" fillId="0" borderId="52" xfId="0" applyNumberFormat="1" applyFont="1" applyFill="1" applyBorder="1" applyAlignment="1" applyProtection="1">
      <alignment horizontal="left" vertical="center" wrapText="1"/>
    </xf>
    <xf numFmtId="167" fontId="24" fillId="0" borderId="52" xfId="0" applyNumberFormat="1" applyFont="1" applyFill="1" applyBorder="1" applyAlignment="1" applyProtection="1">
      <alignment horizontal="left" vertical="center" wrapText="1"/>
    </xf>
    <xf numFmtId="0" fontId="24" fillId="0" borderId="52" xfId="0" applyNumberFormat="1" applyFont="1" applyFill="1" applyBorder="1" applyAlignment="1" applyProtection="1">
      <alignment horizontal="center" vertical="center"/>
    </xf>
    <xf numFmtId="43" fontId="24" fillId="0" borderId="52" xfId="1" applyNumberFormat="1" applyFont="1" applyFill="1" applyBorder="1" applyAlignment="1" applyProtection="1">
      <alignment horizontal="right" vertical="center"/>
    </xf>
    <xf numFmtId="10" fontId="24" fillId="0" borderId="52" xfId="10" applyNumberFormat="1" applyFont="1" applyFill="1" applyBorder="1" applyAlignment="1" applyProtection="1">
      <alignment horizontal="center" vertical="center"/>
    </xf>
    <xf numFmtId="0" fontId="34" fillId="0" borderId="0" xfId="0" applyFont="1" applyBorder="1" applyAlignment="1">
      <alignment horizontal="left" vertical="center" wrapText="1"/>
    </xf>
    <xf numFmtId="43" fontId="24" fillId="0" borderId="52" xfId="1" applyFont="1" applyFill="1" applyBorder="1" applyAlignment="1" applyProtection="1">
      <alignment horizontal="left" vertical="center" wrapText="1"/>
    </xf>
    <xf numFmtId="167" fontId="10" fillId="14" borderId="47" xfId="0" quotePrefix="1" applyNumberFormat="1" applyFont="1" applyFill="1" applyBorder="1" applyAlignment="1" applyProtection="1">
      <alignment horizontal="left" vertical="center" wrapText="1"/>
    </xf>
    <xf numFmtId="43" fontId="9" fillId="14" borderId="53" xfId="1" applyFont="1" applyFill="1" applyBorder="1" applyAlignment="1" applyProtection="1">
      <alignment horizontal="right" vertical="center"/>
    </xf>
    <xf numFmtId="43" fontId="9" fillId="14" borderId="54" xfId="1" applyFont="1" applyFill="1" applyBorder="1" applyAlignment="1" applyProtection="1">
      <alignment horizontal="left" vertical="center" wrapText="1"/>
    </xf>
    <xf numFmtId="4" fontId="34" fillId="0" borderId="0" xfId="0" applyNumberFormat="1" applyFont="1" applyBorder="1" applyAlignment="1">
      <alignment horizontal="center" vertical="center" wrapText="1"/>
    </xf>
    <xf numFmtId="4" fontId="32" fillId="2" borderId="0" xfId="0" applyNumberFormat="1" applyFont="1" applyFill="1" applyBorder="1" applyAlignment="1">
      <alignment vertical="top"/>
    </xf>
    <xf numFmtId="4" fontId="24" fillId="0" borderId="52" xfId="1" applyNumberFormat="1" applyFont="1" applyFill="1" applyBorder="1" applyAlignment="1" applyProtection="1">
      <alignment horizontal="right" vertical="center"/>
    </xf>
    <xf numFmtId="4" fontId="9" fillId="14" borderId="30" xfId="0" applyNumberFormat="1" applyFont="1" applyFill="1" applyBorder="1" applyAlignment="1" applyProtection="1">
      <alignment vertical="center"/>
    </xf>
    <xf numFmtId="4" fontId="6" fillId="0" borderId="0" xfId="0" applyNumberFormat="1" applyFont="1" applyFill="1" applyBorder="1" applyAlignment="1"/>
    <xf numFmtId="4" fontId="13" fillId="0" borderId="0" xfId="0" applyNumberFormat="1" applyFont="1" applyFill="1" applyBorder="1" applyAlignment="1">
      <alignment horizontal="center" vertical="center"/>
    </xf>
    <xf numFmtId="4" fontId="30" fillId="13" borderId="0" xfId="0" applyNumberFormat="1" applyFont="1" applyFill="1" applyBorder="1" applyAlignment="1">
      <alignment horizontal="center" vertical="center"/>
    </xf>
    <xf numFmtId="0" fontId="24" fillId="0" borderId="52" xfId="0" applyNumberFormat="1" applyFont="1" applyFill="1" applyBorder="1" applyAlignment="1" applyProtection="1">
      <alignment horizontal="left" vertical="center"/>
    </xf>
    <xf numFmtId="0" fontId="34" fillId="0" borderId="0" xfId="0" applyFont="1" applyBorder="1" applyAlignment="1">
      <alignment horizontal="center" vertical="center"/>
    </xf>
    <xf numFmtId="0" fontId="7" fillId="2" borderId="0" xfId="0" applyNumberFormat="1" applyFont="1" applyFill="1" applyBorder="1" applyAlignment="1"/>
    <xf numFmtId="0" fontId="24" fillId="0" borderId="45" xfId="0" applyNumberFormat="1" applyFont="1" applyFill="1" applyBorder="1" applyAlignment="1" applyProtection="1">
      <alignment horizontal="left" vertical="center"/>
    </xf>
    <xf numFmtId="0" fontId="9" fillId="14" borderId="53" xfId="0" applyNumberFormat="1" applyFont="1" applyFill="1" applyBorder="1" applyAlignment="1" applyProtection="1">
      <alignment vertical="center"/>
    </xf>
    <xf numFmtId="4" fontId="24" fillId="0" borderId="10" xfId="1" applyNumberFormat="1" applyFont="1" applyFill="1" applyBorder="1" applyAlignment="1" applyProtection="1">
      <alignment horizontal="right" vertical="center"/>
    </xf>
    <xf numFmtId="165" fontId="36" fillId="0" borderId="0" xfId="4" applyNumberFormat="1" applyFont="1" applyAlignment="1">
      <alignment horizontal="left" vertical="center"/>
    </xf>
    <xf numFmtId="166" fontId="36" fillId="0" borderId="0" xfId="4" applyNumberFormat="1" applyFont="1" applyAlignment="1">
      <alignment horizontal="left" vertical="center"/>
    </xf>
    <xf numFmtId="0" fontId="6" fillId="0" borderId="46" xfId="0" applyNumberFormat="1" applyFont="1" applyFill="1" applyBorder="1" applyAlignment="1"/>
    <xf numFmtId="0" fontId="37" fillId="0" borderId="0" xfId="4" applyFont="1" applyAlignment="1">
      <alignment vertical="center"/>
    </xf>
    <xf numFmtId="0" fontId="37" fillId="0" borderId="0" xfId="4" applyFont="1" applyAlignment="1">
      <alignment horizontal="left" vertical="center"/>
    </xf>
    <xf numFmtId="0" fontId="38" fillId="0" borderId="0" xfId="0" applyNumberFormat="1" applyFont="1" applyFill="1" applyBorder="1" applyAlignment="1"/>
    <xf numFmtId="0" fontId="32" fillId="0" borderId="52" xfId="0" applyNumberFormat="1" applyFont="1" applyFill="1" applyBorder="1" applyAlignment="1" applyProtection="1">
      <alignment horizontal="left" vertical="center" wrapText="1"/>
    </xf>
    <xf numFmtId="43" fontId="32" fillId="0" borderId="52" xfId="1" applyFont="1" applyFill="1" applyBorder="1" applyAlignment="1" applyProtection="1">
      <alignment horizontal="left" vertical="center" wrapText="1"/>
    </xf>
    <xf numFmtId="4" fontId="4" fillId="0" borderId="0" xfId="0" applyNumberFormat="1" applyFont="1" applyFill="1" applyBorder="1" applyAlignment="1"/>
    <xf numFmtId="167" fontId="6" fillId="0" borderId="52" xfId="0" applyNumberFormat="1" applyFont="1" applyFill="1" applyBorder="1" applyAlignment="1" applyProtection="1">
      <alignment horizontal="left" vertical="center" wrapText="1"/>
    </xf>
    <xf numFmtId="0" fontId="6" fillId="0" borderId="52" xfId="0" applyNumberFormat="1" applyFont="1" applyFill="1" applyBorder="1" applyAlignment="1" applyProtection="1">
      <alignment horizontal="left" vertical="center"/>
    </xf>
    <xf numFmtId="0" fontId="6" fillId="0" borderId="52" xfId="0" applyNumberFormat="1" applyFont="1" applyFill="1" applyBorder="1" applyAlignment="1" applyProtection="1">
      <alignment horizontal="center" vertical="center"/>
    </xf>
    <xf numFmtId="43" fontId="6" fillId="0" borderId="52" xfId="1" applyNumberFormat="1" applyFont="1" applyFill="1" applyBorder="1" applyAlignment="1" applyProtection="1">
      <alignment horizontal="right" vertical="center"/>
    </xf>
    <xf numFmtId="4" fontId="6" fillId="0" borderId="52" xfId="1" applyNumberFormat="1" applyFont="1" applyFill="1" applyBorder="1" applyAlignment="1" applyProtection="1">
      <alignment horizontal="right" vertical="center"/>
    </xf>
    <xf numFmtId="4" fontId="24" fillId="0" borderId="0" xfId="1" applyNumberFormat="1" applyFont="1" applyFill="1" applyBorder="1" applyAlignment="1" applyProtection="1">
      <alignment horizontal="right" vertical="center"/>
    </xf>
    <xf numFmtId="0" fontId="9" fillId="3" borderId="55" xfId="0" applyNumberFormat="1" applyFont="1" applyFill="1" applyBorder="1" applyAlignment="1" applyProtection="1">
      <alignment horizontal="center" vertical="center" wrapText="1"/>
    </xf>
    <xf numFmtId="0" fontId="9" fillId="3" borderId="55" xfId="0" applyNumberFormat="1" applyFont="1" applyFill="1" applyBorder="1" applyAlignment="1" applyProtection="1">
      <alignment horizontal="center" vertical="center"/>
    </xf>
    <xf numFmtId="0" fontId="33" fillId="3" borderId="55" xfId="0" applyNumberFormat="1" applyFont="1" applyFill="1" applyBorder="1" applyAlignment="1" applyProtection="1">
      <alignment horizontal="center" vertical="center" wrapText="1"/>
    </xf>
    <xf numFmtId="43" fontId="9" fillId="3" borderId="55" xfId="1" applyNumberFormat="1" applyFont="1" applyFill="1" applyBorder="1" applyAlignment="1" applyProtection="1">
      <alignment horizontal="center" vertical="center" wrapText="1"/>
    </xf>
    <xf numFmtId="4" fontId="9" fillId="3" borderId="55" xfId="1" applyNumberFormat="1" applyFont="1" applyFill="1" applyBorder="1" applyAlignment="1" applyProtection="1">
      <alignment horizontal="center" vertical="center" wrapText="1"/>
    </xf>
    <xf numFmtId="9" fontId="9" fillId="3" borderId="55" xfId="10" applyFont="1" applyFill="1" applyBorder="1" applyAlignment="1" applyProtection="1">
      <alignment horizontal="center" vertical="center" wrapText="1"/>
    </xf>
    <xf numFmtId="43" fontId="9" fillId="3" borderId="50" xfId="1" applyFont="1" applyFill="1" applyBorder="1" applyAlignment="1" applyProtection="1">
      <alignment horizontal="center" vertical="center" wrapText="1"/>
    </xf>
    <xf numFmtId="0" fontId="24" fillId="0" borderId="46" xfId="0" applyNumberFormat="1" applyFont="1" applyFill="1" applyBorder="1" applyAlignment="1" applyProtection="1">
      <alignment horizontal="left" vertical="center" wrapText="1"/>
    </xf>
    <xf numFmtId="0" fontId="24" fillId="0" borderId="0" xfId="0" applyNumberFormat="1" applyFont="1" applyFill="1" applyBorder="1" applyAlignment="1" applyProtection="1">
      <alignment horizontal="center" vertical="center"/>
    </xf>
    <xf numFmtId="43" fontId="24" fillId="0" borderId="0" xfId="1" applyNumberFormat="1" applyFont="1" applyFill="1" applyBorder="1" applyAlignment="1" applyProtection="1">
      <alignment horizontal="right" vertical="center"/>
    </xf>
    <xf numFmtId="43" fontId="24" fillId="0" borderId="18" xfId="1" applyFont="1" applyFill="1" applyBorder="1" applyAlignment="1" applyProtection="1">
      <alignment horizontal="left" vertical="center" wrapText="1"/>
    </xf>
    <xf numFmtId="43" fontId="33" fillId="16" borderId="15" xfId="1" applyFont="1" applyFill="1" applyBorder="1" applyAlignment="1">
      <alignment vertical="top"/>
    </xf>
    <xf numFmtId="43" fontId="33" fillId="16" borderId="44" xfId="1" applyFont="1" applyFill="1" applyBorder="1" applyAlignment="1">
      <alignment vertical="top"/>
    </xf>
    <xf numFmtId="44" fontId="34" fillId="0" borderId="0" xfId="9" applyFont="1" applyBorder="1" applyAlignment="1">
      <alignment horizontal="center" vertical="center" wrapText="1"/>
    </xf>
    <xf numFmtId="44" fontId="9" fillId="3" borderId="49" xfId="9" applyFont="1" applyFill="1" applyBorder="1" applyAlignment="1" applyProtection="1">
      <alignment horizontal="center" vertical="center" wrapText="1"/>
    </xf>
    <xf numFmtId="44" fontId="33" fillId="16" borderId="15" xfId="9" applyFont="1" applyFill="1" applyBorder="1" applyAlignment="1">
      <alignment vertical="top"/>
    </xf>
    <xf numFmtId="44" fontId="24" fillId="0" borderId="0" xfId="9" applyFont="1" applyFill="1" applyBorder="1" applyAlignment="1" applyProtection="1">
      <alignment horizontal="right" vertical="center"/>
    </xf>
    <xf numFmtId="44" fontId="24" fillId="0" borderId="52" xfId="9" applyFont="1" applyFill="1" applyBorder="1" applyAlignment="1" applyProtection="1">
      <alignment horizontal="right" vertical="center"/>
    </xf>
    <xf numFmtId="44" fontId="9" fillId="14" borderId="53" xfId="9" applyFont="1" applyFill="1" applyBorder="1" applyAlignment="1" applyProtection="1">
      <alignment horizontal="right" vertical="center"/>
    </xf>
    <xf numFmtId="44" fontId="6" fillId="0" borderId="0" xfId="9" applyFont="1" applyFill="1" applyBorder="1" applyAlignment="1"/>
    <xf numFmtId="44" fontId="6" fillId="0" borderId="52" xfId="9" applyFont="1" applyFill="1" applyBorder="1" applyAlignment="1" applyProtection="1">
      <alignment horizontal="right" vertical="center"/>
    </xf>
    <xf numFmtId="10" fontId="6" fillId="0" borderId="52" xfId="10" applyNumberFormat="1" applyFont="1" applyFill="1" applyBorder="1" applyAlignment="1" applyProtection="1">
      <alignment horizontal="center" vertical="center"/>
    </xf>
    <xf numFmtId="164" fontId="40" fillId="11" borderId="7" xfId="14" applyNumberFormat="1" applyFont="1" applyFill="1" applyBorder="1" applyAlignment="1">
      <alignment horizontal="center" vertical="center"/>
    </xf>
    <xf numFmtId="17" fontId="40" fillId="11" borderId="7" xfId="14" applyNumberFormat="1" applyFont="1" applyFill="1" applyBorder="1" applyAlignment="1">
      <alignment horizontal="center" vertical="center"/>
    </xf>
    <xf numFmtId="164" fontId="40" fillId="11" borderId="7" xfId="14" applyNumberFormat="1" applyFont="1" applyFill="1" applyBorder="1" applyAlignment="1">
      <alignment horizontal="left" vertical="center"/>
    </xf>
    <xf numFmtId="0" fontId="40" fillId="11" borderId="7" xfId="14" applyFont="1" applyFill="1" applyBorder="1" applyAlignment="1">
      <alignment horizontal="left" vertical="center"/>
    </xf>
    <xf numFmtId="9" fontId="40" fillId="11" borderId="7" xfId="14" applyNumberFormat="1" applyFont="1" applyFill="1" applyBorder="1" applyAlignment="1">
      <alignment horizontal="center" vertical="center"/>
    </xf>
    <xf numFmtId="4" fontId="15" fillId="9" borderId="56" xfId="14" applyNumberFormat="1" applyFont="1" applyFill="1" applyBorder="1" applyAlignment="1">
      <alignment horizontal="center" vertical="center"/>
    </xf>
    <xf numFmtId="164" fontId="15" fillId="9" borderId="57" xfId="14" applyNumberFormat="1" applyFont="1" applyFill="1" applyBorder="1" applyAlignment="1">
      <alignment horizontal="left" vertical="center"/>
    </xf>
    <xf numFmtId="10" fontId="15" fillId="9" borderId="57" xfId="14" applyNumberFormat="1" applyFont="1" applyFill="1" applyBorder="1" applyAlignment="1">
      <alignment horizontal="center" vertical="center"/>
    </xf>
    <xf numFmtId="164" fontId="41" fillId="9" borderId="57" xfId="14" applyNumberFormat="1" applyFont="1" applyFill="1" applyBorder="1" applyAlignment="1">
      <alignment horizontal="left" vertical="center"/>
    </xf>
    <xf numFmtId="0" fontId="15" fillId="9" borderId="58" xfId="14" applyFont="1" applyFill="1" applyBorder="1" applyAlignment="1">
      <alignment horizontal="left" vertical="center"/>
    </xf>
    <xf numFmtId="4" fontId="15" fillId="17" borderId="59" xfId="14" applyNumberFormat="1" applyFont="1" applyFill="1" applyBorder="1" applyAlignment="1">
      <alignment horizontal="center" vertical="center"/>
    </xf>
    <xf numFmtId="164" fontId="41" fillId="17" borderId="60" xfId="14" applyNumberFormat="1" applyFont="1" applyFill="1" applyBorder="1" applyAlignment="1">
      <alignment horizontal="left" vertical="center"/>
    </xf>
    <xf numFmtId="10" fontId="15" fillId="17" borderId="60" xfId="14" applyNumberFormat="1" applyFont="1" applyFill="1" applyBorder="1" applyAlignment="1">
      <alignment horizontal="center" vertical="center"/>
    </xf>
    <xf numFmtId="0" fontId="15" fillId="17" borderId="61" xfId="14" applyFont="1" applyFill="1" applyBorder="1" applyAlignment="1">
      <alignment horizontal="left" vertical="center"/>
    </xf>
    <xf numFmtId="0" fontId="40" fillId="11" borderId="7" xfId="14" applyFont="1" applyFill="1" applyBorder="1" applyAlignment="1">
      <alignment horizontal="center" vertical="center"/>
    </xf>
    <xf numFmtId="49" fontId="35" fillId="0" borderId="17" xfId="14" applyNumberFormat="1" applyFont="1" applyBorder="1" applyAlignment="1">
      <alignment vertical="center"/>
    </xf>
    <xf numFmtId="0" fontId="35" fillId="18" borderId="0" xfId="14" applyFont="1" applyFill="1" applyAlignment="1">
      <alignment vertical="center"/>
    </xf>
    <xf numFmtId="168" fontId="35" fillId="18" borderId="0" xfId="16" applyFont="1" applyFill="1" applyBorder="1" applyAlignment="1">
      <alignment vertical="center"/>
    </xf>
    <xf numFmtId="0" fontId="44" fillId="6" borderId="18" xfId="14" applyFont="1" applyFill="1" applyBorder="1" applyAlignment="1">
      <alignment vertical="center"/>
    </xf>
    <xf numFmtId="49" fontId="9" fillId="4" borderId="62" xfId="14" applyNumberFormat="1" applyFont="1" applyFill="1" applyBorder="1" applyAlignment="1">
      <alignment vertical="center"/>
    </xf>
    <xf numFmtId="0" fontId="42" fillId="6" borderId="14" xfId="14" applyFont="1" applyFill="1" applyBorder="1" applyAlignment="1">
      <alignment vertical="center"/>
    </xf>
    <xf numFmtId="0" fontId="42" fillId="6" borderId="15" xfId="14" applyFont="1" applyFill="1" applyBorder="1" applyAlignment="1">
      <alignment vertical="center"/>
    </xf>
    <xf numFmtId="43" fontId="42" fillId="6" borderId="15" xfId="17" applyFont="1" applyFill="1" applyBorder="1" applyAlignment="1">
      <alignment vertical="center"/>
    </xf>
    <xf numFmtId="0" fontId="44" fillId="6" borderId="63" xfId="14" applyFont="1" applyFill="1" applyBorder="1" applyAlignment="1">
      <alignment vertical="center"/>
    </xf>
    <xf numFmtId="49" fontId="9" fillId="4" borderId="64" xfId="14" applyNumberFormat="1" applyFont="1" applyFill="1" applyBorder="1" applyAlignment="1">
      <alignment vertical="center"/>
    </xf>
    <xf numFmtId="14" fontId="42" fillId="6" borderId="14" xfId="14" applyNumberFormat="1" applyFont="1" applyFill="1" applyBorder="1" applyAlignment="1">
      <alignment horizontal="left" vertical="center"/>
    </xf>
    <xf numFmtId="14" fontId="42" fillId="6" borderId="15" xfId="14" applyNumberFormat="1" applyFont="1" applyFill="1" applyBorder="1" applyAlignment="1">
      <alignment vertical="center"/>
    </xf>
    <xf numFmtId="49" fontId="9" fillId="4" borderId="65" xfId="14" applyNumberFormat="1" applyFont="1" applyFill="1" applyBorder="1" applyAlignment="1">
      <alignment horizontal="left" vertical="center"/>
    </xf>
    <xf numFmtId="164" fontId="19" fillId="9" borderId="66" xfId="0" applyNumberFormat="1" applyFont="1" applyFill="1" applyBorder="1" applyAlignment="1">
      <alignment vertical="center" wrapText="1"/>
    </xf>
    <xf numFmtId="164" fontId="19" fillId="9" borderId="67" xfId="0" applyNumberFormat="1" applyFont="1" applyFill="1" applyBorder="1" applyAlignment="1">
      <alignment vertical="center" wrapText="1"/>
    </xf>
    <xf numFmtId="164" fontId="23" fillId="9" borderId="67" xfId="0" applyNumberFormat="1" applyFont="1" applyFill="1" applyBorder="1" applyAlignment="1">
      <alignment vertical="center" wrapText="1"/>
    </xf>
    <xf numFmtId="164" fontId="19" fillId="9" borderId="68" xfId="0" applyNumberFormat="1" applyFont="1" applyFill="1" applyBorder="1" applyAlignment="1">
      <alignment vertical="center" wrapText="1"/>
    </xf>
    <xf numFmtId="0" fontId="11" fillId="5" borderId="2" xfId="4" applyFont="1" applyFill="1" applyBorder="1" applyAlignment="1">
      <alignment vertical="center" wrapText="1"/>
    </xf>
    <xf numFmtId="0" fontId="14" fillId="6" borderId="11" xfId="4" applyFont="1" applyFill="1" applyBorder="1" applyAlignment="1">
      <alignment horizontal="left" vertical="center" wrapText="1"/>
    </xf>
    <xf numFmtId="0" fontId="14" fillId="6" borderId="12" xfId="4" applyFont="1" applyFill="1" applyBorder="1" applyAlignment="1">
      <alignment horizontal="center" vertical="center" wrapText="1"/>
    </xf>
    <xf numFmtId="43" fontId="14" fillId="6" borderId="12" xfId="18" applyFont="1" applyFill="1" applyBorder="1" applyAlignment="1">
      <alignment horizontal="left" vertical="center" wrapText="1"/>
    </xf>
    <xf numFmtId="0" fontId="19" fillId="6" borderId="12" xfId="4" applyFont="1" applyFill="1" applyBorder="1" applyAlignment="1">
      <alignment horizontal="center" vertical="center" wrapText="1"/>
    </xf>
    <xf numFmtId="0" fontId="15" fillId="6" borderId="13" xfId="4" applyFont="1" applyFill="1" applyBorder="1"/>
    <xf numFmtId="0" fontId="11" fillId="5" borderId="3" xfId="4" applyFont="1" applyFill="1" applyBorder="1" applyAlignment="1">
      <alignment vertical="center" wrapText="1"/>
    </xf>
    <xf numFmtId="0" fontId="14" fillId="6" borderId="14" xfId="4" applyFont="1" applyFill="1" applyBorder="1" applyAlignment="1">
      <alignment horizontal="left" vertical="center" wrapText="1"/>
    </xf>
    <xf numFmtId="0" fontId="14" fillId="6" borderId="15" xfId="4" applyFont="1" applyFill="1" applyBorder="1" applyAlignment="1">
      <alignment horizontal="center" vertical="center" wrapText="1"/>
    </xf>
    <xf numFmtId="43" fontId="14" fillId="6" borderId="15" xfId="18" applyFont="1" applyFill="1" applyBorder="1" applyAlignment="1">
      <alignment horizontal="left" vertical="center" wrapText="1"/>
    </xf>
    <xf numFmtId="0" fontId="19" fillId="6" borderId="15" xfId="4" applyFont="1" applyFill="1" applyBorder="1" applyAlignment="1">
      <alignment horizontal="center" vertical="center" wrapText="1"/>
    </xf>
    <xf numFmtId="0" fontId="15" fillId="6" borderId="16" xfId="4" applyFont="1" applyFill="1" applyBorder="1"/>
    <xf numFmtId="0" fontId="17" fillId="6" borderId="17" xfId="4" applyFont="1" applyFill="1" applyBorder="1" applyAlignment="1">
      <alignment vertical="center" wrapText="1"/>
    </xf>
    <xf numFmtId="0" fontId="17" fillId="6" borderId="0" xfId="4" applyFont="1" applyFill="1" applyAlignment="1">
      <alignment horizontal="center" vertical="center" wrapText="1"/>
    </xf>
    <xf numFmtId="43" fontId="17" fillId="6" borderId="0" xfId="18" applyFont="1" applyFill="1" applyBorder="1" applyAlignment="1">
      <alignment horizontal="center" vertical="center" wrapText="1"/>
    </xf>
    <xf numFmtId="0" fontId="21" fillId="6" borderId="0" xfId="4" applyFont="1" applyFill="1" applyAlignment="1">
      <alignment horizontal="center" vertical="center" wrapText="1"/>
    </xf>
    <xf numFmtId="0" fontId="15" fillId="6" borderId="18" xfId="4" applyFont="1" applyFill="1" applyBorder="1"/>
    <xf numFmtId="0" fontId="14" fillId="6" borderId="17" xfId="4" applyFont="1" applyFill="1" applyBorder="1" applyAlignment="1">
      <alignment horizontal="left" vertical="center" wrapText="1"/>
    </xf>
    <xf numFmtId="0" fontId="14" fillId="6" borderId="0" xfId="4" applyFont="1" applyFill="1" applyAlignment="1">
      <alignment horizontal="left" vertical="center" wrapText="1"/>
    </xf>
    <xf numFmtId="0" fontId="14" fillId="6" borderId="0" xfId="4" applyFont="1" applyFill="1" applyAlignment="1">
      <alignment horizontal="center" vertical="center" wrapText="1"/>
    </xf>
    <xf numFmtId="43" fontId="14" fillId="6" borderId="0" xfId="18" applyFont="1" applyFill="1" applyBorder="1" applyAlignment="1">
      <alignment horizontal="left" vertical="center" wrapText="1"/>
    </xf>
    <xf numFmtId="0" fontId="19" fillId="6" borderId="0" xfId="4" applyFont="1" applyFill="1" applyAlignment="1">
      <alignment horizontal="center" vertical="center" wrapText="1"/>
    </xf>
    <xf numFmtId="43" fontId="18" fillId="6" borderId="30" xfId="18" applyFont="1" applyFill="1" applyBorder="1" applyAlignment="1">
      <alignment horizontal="center"/>
    </xf>
    <xf numFmtId="0" fontId="19" fillId="6" borderId="17" xfId="4" applyFont="1" applyFill="1" applyBorder="1"/>
    <xf numFmtId="43" fontId="18" fillId="6" borderId="0" xfId="18" applyFont="1" applyFill="1" applyBorder="1" applyAlignment="1">
      <alignment horizontal="center"/>
    </xf>
    <xf numFmtId="43" fontId="20" fillId="8" borderId="6" xfId="18" applyFont="1" applyFill="1" applyBorder="1" applyAlignment="1">
      <alignment horizontal="center" vertical="center" wrapText="1"/>
    </xf>
    <xf numFmtId="0" fontId="19" fillId="9" borderId="69" xfId="0" applyFont="1" applyFill="1" applyBorder="1" applyAlignment="1">
      <alignment vertical="center" wrapText="1"/>
    </xf>
    <xf numFmtId="43" fontId="19" fillId="6" borderId="23" xfId="18" applyFont="1" applyFill="1" applyBorder="1" applyAlignment="1">
      <alignment horizontal="center" vertical="center" wrapText="1"/>
    </xf>
    <xf numFmtId="43" fontId="20" fillId="10" borderId="9" xfId="18" applyFont="1" applyFill="1" applyBorder="1" applyAlignment="1">
      <alignment horizontal="center" vertical="center" wrapText="1"/>
    </xf>
    <xf numFmtId="164" fontId="20" fillId="12" borderId="70" xfId="0" applyNumberFormat="1" applyFont="1" applyFill="1" applyBorder="1" applyAlignment="1">
      <alignment vertical="center" wrapText="1"/>
    </xf>
    <xf numFmtId="0" fontId="19" fillId="9" borderId="35" xfId="0" applyFont="1" applyFill="1" applyBorder="1" applyAlignment="1">
      <alignment vertical="center" wrapText="1"/>
    </xf>
    <xf numFmtId="164" fontId="19" fillId="9" borderId="36" xfId="0" applyNumberFormat="1" applyFont="1" applyFill="1" applyBorder="1" applyAlignment="1">
      <alignment horizontal="center" vertical="center" wrapText="1"/>
    </xf>
    <xf numFmtId="0" fontId="19" fillId="9" borderId="71" xfId="0" applyFont="1" applyFill="1" applyBorder="1" applyAlignment="1">
      <alignment vertical="center" wrapText="1"/>
    </xf>
    <xf numFmtId="164" fontId="19" fillId="9" borderId="72" xfId="0" applyNumberFormat="1" applyFont="1" applyFill="1" applyBorder="1" applyAlignment="1">
      <alignment horizontal="center" vertical="center" wrapText="1"/>
    </xf>
    <xf numFmtId="164" fontId="19" fillId="9" borderId="37" xfId="0" applyNumberFormat="1" applyFont="1" applyFill="1" applyBorder="1" applyAlignment="1">
      <alignment vertical="center" wrapText="1"/>
    </xf>
    <xf numFmtId="43" fontId="20" fillId="10" borderId="7" xfId="18" applyFont="1" applyFill="1" applyBorder="1" applyAlignment="1">
      <alignment horizontal="center" vertical="center" wrapText="1"/>
    </xf>
    <xf numFmtId="164" fontId="20" fillId="12" borderId="40" xfId="0" applyNumberFormat="1" applyFont="1" applyFill="1" applyBorder="1" applyAlignment="1">
      <alignment vertical="center" wrapText="1"/>
    </xf>
    <xf numFmtId="43" fontId="19" fillId="6" borderId="0" xfId="18" applyFont="1" applyFill="1" applyBorder="1" applyAlignment="1">
      <alignment horizontal="center"/>
    </xf>
    <xf numFmtId="0" fontId="19" fillId="6" borderId="18" xfId="4" applyFont="1" applyFill="1" applyBorder="1"/>
    <xf numFmtId="0" fontId="22" fillId="0" borderId="0" xfId="4" applyFont="1"/>
    <xf numFmtId="0" fontId="19" fillId="9" borderId="73" xfId="0" applyFont="1" applyFill="1" applyBorder="1" applyAlignment="1">
      <alignment vertical="center" wrapText="1"/>
    </xf>
    <xf numFmtId="164" fontId="19" fillId="9" borderId="74" xfId="0" applyNumberFormat="1" applyFont="1" applyFill="1" applyBorder="1" applyAlignment="1">
      <alignment horizontal="center" vertical="center" wrapText="1"/>
    </xf>
    <xf numFmtId="164" fontId="19" fillId="9" borderId="75" xfId="0" applyNumberFormat="1" applyFont="1" applyFill="1" applyBorder="1" applyAlignment="1">
      <alignment vertical="center" wrapText="1"/>
    </xf>
    <xf numFmtId="0" fontId="20" fillId="12" borderId="38" xfId="0" applyFont="1" applyFill="1" applyBorder="1" applyAlignment="1">
      <alignment vertical="center" wrapText="1"/>
    </xf>
    <xf numFmtId="164" fontId="20" fillId="12" borderId="39" xfId="0" applyNumberFormat="1" applyFont="1" applyFill="1" applyBorder="1" applyAlignment="1">
      <alignment horizontal="center" vertical="center" wrapText="1"/>
    </xf>
    <xf numFmtId="43" fontId="20" fillId="8" borderId="43" xfId="18" applyFont="1" applyFill="1" applyBorder="1" applyAlignment="1">
      <alignment horizontal="center" vertical="center" wrapText="1"/>
    </xf>
    <xf numFmtId="164" fontId="19" fillId="9" borderId="76" xfId="0" applyNumberFormat="1" applyFont="1" applyFill="1" applyBorder="1" applyAlignment="1">
      <alignment horizontal="center" vertical="center" wrapText="1"/>
    </xf>
    <xf numFmtId="0" fontId="20" fillId="12" borderId="71" xfId="0" applyFont="1" applyFill="1" applyBorder="1" applyAlignment="1">
      <alignment vertical="center" wrapText="1"/>
    </xf>
    <xf numFmtId="164" fontId="20" fillId="12" borderId="72" xfId="0" applyNumberFormat="1" applyFont="1" applyFill="1" applyBorder="1" applyAlignment="1">
      <alignment horizontal="center" vertical="center" wrapText="1"/>
    </xf>
    <xf numFmtId="164" fontId="20" fillId="12" borderId="37" xfId="0" applyNumberFormat="1" applyFont="1" applyFill="1" applyBorder="1" applyAlignment="1">
      <alignment vertical="center" wrapText="1"/>
    </xf>
    <xf numFmtId="43" fontId="19" fillId="6" borderId="20" xfId="18" applyFont="1" applyFill="1" applyBorder="1" applyAlignment="1">
      <alignment horizontal="center" vertical="center" wrapText="1"/>
    </xf>
    <xf numFmtId="43" fontId="19" fillId="6" borderId="21" xfId="18" applyFont="1" applyFill="1" applyBorder="1" applyAlignment="1">
      <alignment vertical="center" wrapText="1"/>
    </xf>
    <xf numFmtId="43" fontId="20" fillId="10" borderId="8" xfId="18" applyFont="1" applyFill="1" applyBorder="1" applyAlignment="1">
      <alignment vertical="center" wrapText="1"/>
    </xf>
    <xf numFmtId="43" fontId="19" fillId="6" borderId="33" xfId="18" applyFont="1" applyFill="1" applyBorder="1" applyAlignment="1">
      <alignment horizontal="center" vertical="center" wrapText="1"/>
    </xf>
    <xf numFmtId="43" fontId="19" fillId="6" borderId="34" xfId="18" applyFont="1" applyFill="1" applyBorder="1" applyAlignment="1">
      <alignment vertical="center" wrapText="1"/>
    </xf>
    <xf numFmtId="43" fontId="18" fillId="6" borderId="27" xfId="18" applyFont="1" applyFill="1" applyBorder="1" applyAlignment="1">
      <alignment horizontal="center"/>
    </xf>
    <xf numFmtId="0" fontId="15" fillId="6" borderId="0" xfId="4" applyFont="1" applyFill="1"/>
    <xf numFmtId="0" fontId="15" fillId="6" borderId="0" xfId="4" applyFont="1" applyFill="1" applyAlignment="1">
      <alignment horizontal="center"/>
    </xf>
    <xf numFmtId="43" fontId="15" fillId="6" borderId="0" xfId="18" applyFont="1" applyFill="1" applyAlignment="1">
      <alignment horizontal="center"/>
    </xf>
    <xf numFmtId="0" fontId="23" fillId="6" borderId="0" xfId="4" applyFont="1" applyFill="1" applyAlignment="1">
      <alignment horizontal="center"/>
    </xf>
    <xf numFmtId="0" fontId="15" fillId="0" borderId="0" xfId="4" applyFont="1"/>
    <xf numFmtId="0" fontId="15" fillId="0" borderId="0" xfId="4" applyFont="1" applyAlignment="1">
      <alignment horizontal="center"/>
    </xf>
    <xf numFmtId="43" fontId="15" fillId="0" borderId="0" xfId="18" applyFont="1" applyAlignment="1">
      <alignment horizontal="center"/>
    </xf>
    <xf numFmtId="0" fontId="23" fillId="0" borderId="0" xfId="4" applyFont="1" applyAlignment="1">
      <alignment horizontal="center"/>
    </xf>
    <xf numFmtId="49" fontId="9" fillId="4" borderId="0" xfId="0" applyNumberFormat="1" applyFont="1" applyFill="1" applyBorder="1" applyAlignment="1">
      <alignment horizontal="left" vertical="top"/>
    </xf>
    <xf numFmtId="49" fontId="9" fillId="4" borderId="15" xfId="0" applyNumberFormat="1" applyFont="1" applyFill="1" applyBorder="1" applyAlignment="1">
      <alignment horizontal="left" vertical="top"/>
    </xf>
    <xf numFmtId="14" fontId="35" fillId="0" borderId="15" xfId="0" applyNumberFormat="1" applyFont="1" applyFill="1" applyBorder="1" applyAlignment="1">
      <alignment horizontal="left" vertical="top"/>
    </xf>
    <xf numFmtId="44" fontId="6" fillId="0" borderId="0" xfId="0" applyNumberFormat="1" applyFont="1" applyFill="1" applyBorder="1" applyAlignment="1"/>
    <xf numFmtId="0" fontId="43" fillId="0" borderId="2" xfId="14" applyFont="1" applyBorder="1" applyAlignment="1">
      <alignment horizontal="left" vertical="center"/>
    </xf>
    <xf numFmtId="0" fontId="43" fillId="0" borderId="5" xfId="14" applyFont="1" applyBorder="1" applyAlignment="1">
      <alignment horizontal="left" vertical="center"/>
    </xf>
    <xf numFmtId="0" fontId="43" fillId="0" borderId="6" xfId="14" applyFont="1" applyBorder="1" applyAlignment="1">
      <alignment horizontal="left" vertical="center"/>
    </xf>
    <xf numFmtId="0" fontId="43" fillId="0" borderId="3" xfId="14" applyFont="1" applyBorder="1" applyAlignment="1">
      <alignment horizontal="left" vertical="center"/>
    </xf>
    <xf numFmtId="0" fontId="43" fillId="0" borderId="7" xfId="14" applyFont="1" applyBorder="1" applyAlignment="1">
      <alignment horizontal="left" vertical="center"/>
    </xf>
    <xf numFmtId="0" fontId="43" fillId="0" borderId="8" xfId="14" applyFont="1" applyBorder="1" applyAlignment="1">
      <alignment horizontal="left" vertical="center"/>
    </xf>
    <xf numFmtId="0" fontId="16" fillId="7" borderId="3" xfId="4" applyFont="1" applyFill="1" applyBorder="1" applyAlignment="1">
      <alignment horizontal="center" vertical="center" wrapText="1"/>
    </xf>
    <xf numFmtId="0" fontId="16" fillId="7" borderId="7" xfId="4" applyFont="1" applyFill="1" applyBorder="1" applyAlignment="1">
      <alignment horizontal="center" vertical="center" wrapText="1"/>
    </xf>
    <xf numFmtId="0" fontId="16" fillId="7" borderId="8" xfId="4" applyFont="1" applyFill="1" applyBorder="1" applyAlignment="1">
      <alignment horizontal="center" vertical="center" wrapText="1"/>
    </xf>
    <xf numFmtId="0" fontId="16" fillId="3" borderId="3" xfId="4" applyFont="1" applyFill="1" applyBorder="1" applyAlignment="1">
      <alignment horizontal="center" vertical="center" wrapText="1"/>
    </xf>
    <xf numFmtId="0" fontId="16" fillId="3" borderId="7" xfId="4" applyFont="1" applyFill="1" applyBorder="1" applyAlignment="1">
      <alignment horizontal="center" vertical="center" wrapText="1"/>
    </xf>
    <xf numFmtId="0" fontId="16" fillId="3" borderId="8" xfId="4" applyFont="1" applyFill="1" applyBorder="1" applyAlignment="1">
      <alignment horizontal="center" vertical="center" wrapText="1"/>
    </xf>
    <xf numFmtId="9" fontId="12" fillId="0" borderId="49" xfId="10" applyFont="1" applyBorder="1" applyAlignment="1">
      <alignment horizontal="center" vertical="center"/>
    </xf>
    <xf numFmtId="9" fontId="12" fillId="0" borderId="51" xfId="10" applyFont="1" applyBorder="1" applyAlignment="1">
      <alignment horizontal="center" vertical="center"/>
    </xf>
    <xf numFmtId="9" fontId="12" fillId="0" borderId="50" xfId="10" applyFont="1" applyBorder="1" applyAlignment="1">
      <alignment horizontal="center" vertical="center"/>
    </xf>
    <xf numFmtId="9" fontId="12" fillId="0" borderId="47" xfId="10" applyFont="1" applyBorder="1" applyAlignment="1">
      <alignment horizontal="center" vertical="center"/>
    </xf>
    <xf numFmtId="9" fontId="12" fillId="0" borderId="30" xfId="10" applyFont="1" applyBorder="1" applyAlignment="1">
      <alignment horizontal="center" vertical="center"/>
    </xf>
    <xf numFmtId="9" fontId="12" fillId="0" borderId="48" xfId="10" applyFont="1" applyBorder="1" applyAlignment="1">
      <alignment horizontal="center" vertical="center"/>
    </xf>
    <xf numFmtId="43" fontId="31" fillId="2" borderId="30" xfId="0" applyNumberFormat="1" applyFont="1" applyFill="1" applyBorder="1" applyAlignment="1">
      <alignment horizontal="center" vertical="top"/>
    </xf>
    <xf numFmtId="49" fontId="9" fillId="4" borderId="14" xfId="0" applyNumberFormat="1" applyFont="1" applyFill="1" applyBorder="1" applyAlignment="1">
      <alignment horizontal="left" vertical="top"/>
    </xf>
    <xf numFmtId="49" fontId="9" fillId="4" borderId="44" xfId="0" applyNumberFormat="1" applyFont="1" applyFill="1" applyBorder="1" applyAlignment="1">
      <alignment horizontal="left" vertical="top"/>
    </xf>
    <xf numFmtId="43" fontId="35" fillId="0" borderId="7" xfId="1" applyFont="1" applyFill="1" applyBorder="1" applyAlignment="1">
      <alignment horizontal="left" vertical="top"/>
    </xf>
    <xf numFmtId="1" fontId="33" fillId="16" borderId="15" xfId="0" applyNumberFormat="1" applyFont="1" applyFill="1" applyBorder="1" applyAlignment="1">
      <alignment horizontal="left" vertical="top"/>
    </xf>
    <xf numFmtId="14" fontId="35" fillId="0" borderId="7" xfId="0" applyNumberFormat="1" applyFont="1" applyFill="1" applyBorder="1" applyAlignment="1">
      <alignment horizontal="left" vertical="top"/>
    </xf>
    <xf numFmtId="0" fontId="35" fillId="0" borderId="7" xfId="0" applyFont="1" applyFill="1" applyBorder="1" applyAlignment="1">
      <alignment horizontal="left" vertical="top"/>
    </xf>
    <xf numFmtId="49" fontId="9" fillId="15" borderId="15" xfId="0" applyNumberFormat="1" applyFont="1" applyFill="1" applyBorder="1" applyAlignment="1">
      <alignment horizontal="left" vertical="top"/>
    </xf>
    <xf numFmtId="0" fontId="39" fillId="2" borderId="15" xfId="0" applyNumberFormat="1" applyFont="1" applyFill="1" applyBorder="1" applyAlignment="1">
      <alignment horizontal="left"/>
    </xf>
    <xf numFmtId="49" fontId="9" fillId="15" borderId="14" xfId="0" applyNumberFormat="1" applyFont="1" applyFill="1" applyBorder="1" applyAlignment="1">
      <alignment horizontal="left" vertical="top"/>
    </xf>
    <xf numFmtId="0" fontId="43" fillId="0" borderId="11" xfId="14" applyFont="1" applyBorder="1" applyAlignment="1">
      <alignment horizontal="left" vertical="center"/>
    </xf>
    <xf numFmtId="0" fontId="43" fillId="0" borderId="14" xfId="14" applyFont="1" applyBorder="1" applyAlignment="1">
      <alignment horizontal="left" vertical="center"/>
    </xf>
    <xf numFmtId="164" fontId="19" fillId="9" borderId="0" xfId="0" applyNumberFormat="1" applyFont="1" applyFill="1" applyBorder="1" applyAlignment="1">
      <alignment vertical="center" wrapText="1"/>
    </xf>
    <xf numFmtId="164" fontId="23" fillId="9" borderId="0" xfId="0" applyNumberFormat="1" applyFont="1" applyFill="1" applyBorder="1" applyAlignment="1">
      <alignment vertical="center" wrapText="1"/>
    </xf>
  </cellXfs>
  <cellStyles count="19">
    <cellStyle name="Moeda" xfId="9" builtinId="4"/>
    <cellStyle name="Moeda 2" xfId="6" xr:uid="{A61AC27E-5D9A-49DC-AA19-92BCB7F0EAC5}"/>
    <cellStyle name="Moeda 3" xfId="12" xr:uid="{652DE4ED-B599-4670-8569-DDA9778A81A4}"/>
    <cellStyle name="Normal" xfId="0" builtinId="0"/>
    <cellStyle name="Normal 10 2" xfId="2" xr:uid="{04066B79-BCB9-4840-AC1B-9701B36F6C01}"/>
    <cellStyle name="Normal 13" xfId="7" xr:uid="{579ED0DB-5C07-45C3-85A9-0800A1C52DD8}"/>
    <cellStyle name="Normal 2" xfId="4" xr:uid="{7F4F51E9-196F-4B19-9753-6C8C82347968}"/>
    <cellStyle name="Normal 3" xfId="11" xr:uid="{571AB81C-230A-45A2-A36C-1278A0B230C5}"/>
    <cellStyle name="Normal 4" xfId="14" xr:uid="{6C8BE6DA-354A-48AE-9682-9C7DDDBF746D}"/>
    <cellStyle name="Porcentagem" xfId="10" builtinId="5"/>
    <cellStyle name="Porcentagem 2" xfId="13" xr:uid="{D5BAA247-1987-4640-95B1-91FEB645CC05}"/>
    <cellStyle name="Porcentagem 3" xfId="15" xr:uid="{F7939E49-587A-4F1B-A8D9-671F5474081B}"/>
    <cellStyle name="Vírgula" xfId="1" builtinId="3"/>
    <cellStyle name="Vírgula 2" xfId="17" xr:uid="{A2B461D3-EC99-4E72-B719-0262CC598AED}"/>
    <cellStyle name="Vírgula 39" xfId="3" xr:uid="{9C5B197A-19B9-439D-A081-94E1A3C59A40}"/>
    <cellStyle name="Vírgula 4" xfId="5" xr:uid="{ABEFE3A7-49C3-464B-B31E-B650BE105994}"/>
    <cellStyle name="Vírgula 41" xfId="8" xr:uid="{0B4CC3FC-3936-4389-B400-D92EEC65B8E7}"/>
    <cellStyle name="Vírgula 5" xfId="16" xr:uid="{BD08843B-685C-4D8E-818D-3440E8BEE71A}"/>
    <cellStyle name="Vírgula 6" xfId="18" xr:uid="{0307764A-AEF5-40F7-91C8-268227922FDD}"/>
  </cellStyles>
  <dxfs count="31">
    <dxf>
      <font>
        <b/>
        <i val="0"/>
      </font>
      <fill>
        <patternFill>
          <bgColor rgb="FF9F9F9F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FE3400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848484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9F9F9F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FE3400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848484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 val="0"/>
        <i val="0"/>
      </font>
      <fill>
        <patternFill>
          <bgColor rgb="FFCDCDCD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9F9F9F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FE3400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848484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 val="0"/>
        <i val="0"/>
      </font>
      <fill>
        <patternFill>
          <bgColor rgb="FFCDCDCD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9F9F9F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FE3400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848484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 val="0"/>
        <i val="0"/>
      </font>
      <fill>
        <patternFill>
          <bgColor rgb="FFCDCDCD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 val="0"/>
        <i val="0"/>
      </font>
      <fill>
        <patternFill>
          <bgColor rgb="FFCDCDCD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9F9F9F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FE3400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848484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 val="0"/>
        <i val="0"/>
      </font>
      <fill>
        <patternFill>
          <bgColor rgb="FFCDCDCD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 val="0"/>
        <i val="0"/>
      </font>
      <fill>
        <patternFill>
          <bgColor rgb="FFCDCDCD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9F9F9F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FE3400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848484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 val="0"/>
        <i val="0"/>
      </font>
      <fill>
        <patternFill>
          <bgColor rgb="FFCDCDCD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9F9F9F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FE3400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848484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9F9F9F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FE3400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  <dxf>
      <font>
        <b/>
        <i val="0"/>
      </font>
      <fill>
        <patternFill>
          <bgColor rgb="FF848484"/>
        </patternFill>
      </fill>
      <border>
        <left/>
        <right/>
        <top style="hair">
          <color theme="0" tint="-0.34998626667073579"/>
        </top>
        <bottom style="hair">
          <color theme="0" tint="-0.34998626667073579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333333"/>
      <color rgb="FF255AE5"/>
      <color rgb="FF848484"/>
      <color rgb="FFCDCDCD"/>
      <color rgb="FF9F9F9F"/>
      <color rgb="FF6F6F6F"/>
      <color rgb="FFFE3400"/>
      <color rgb="FF9D9D9D"/>
      <color rgb="FF737373"/>
      <color rgb="FF5C5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77540</xdr:colOff>
      <xdr:row>0</xdr:row>
      <xdr:rowOff>82426</xdr:rowOff>
    </xdr:from>
    <xdr:to>
      <xdr:col>5</xdr:col>
      <xdr:colOff>605586</xdr:colOff>
      <xdr:row>2</xdr:row>
      <xdr:rowOff>3900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519B27-C580-4EB8-B3AC-9D8C8675F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8715" y="82426"/>
          <a:ext cx="2181586" cy="3881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135695</xdr:colOff>
      <xdr:row>0</xdr:row>
      <xdr:rowOff>210251</xdr:rowOff>
    </xdr:from>
    <xdr:to>
      <xdr:col>5</xdr:col>
      <xdr:colOff>1561662</xdr:colOff>
      <xdr:row>1</xdr:row>
      <xdr:rowOff>225321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8205FA-2138-40D1-A0ED-46CCA2E6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765" y="214061"/>
          <a:ext cx="1425967" cy="2436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143435</xdr:colOff>
      <xdr:row>0</xdr:row>
      <xdr:rowOff>59376</xdr:rowOff>
    </xdr:from>
    <xdr:ext cx="2008095" cy="325140"/>
    <xdr:pic>
      <xdr:nvPicPr>
        <xdr:cNvPr id="4" name="Imagem 4">
          <a:extLst>
            <a:ext uri="{FF2B5EF4-FFF2-40B4-BE49-F238E27FC236}">
              <a16:creationId xmlns:a16="http://schemas.microsoft.com/office/drawing/2014/main" id="{010FA4BE-3E19-473C-A070-D428619D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729" y="59376"/>
          <a:ext cx="2008095" cy="325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D'Lohn%20Empreendimentos\04.%20Custo\03.0%20Custo%20-%20Or&#231;amento%20Param&#233;trico\R01\CTN-DLH-ETR-Gerenciamento%20Executivo%20-%201%20subsolo.xlsx" TargetMode="External"/><Relationship Id="rId1" Type="http://schemas.openxmlformats.org/officeDocument/2006/relationships/externalLinkPath" Target="/.shortcut-targets-by-id/16oaQUYgx8kiowDwLhg-oO1zGZ777DJUb/2.%20Projetos%20em%20Andamento/D'Lohn%20Empreendimentos/04.%20Custo/03.0%20Custo%20-%20Or&#231;amento%20Param&#233;trico/R01/CTN-DLH-ETR-Gerenciamento%20Executivo%20-%201%20subsol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D'Lohn%20Empreendimentos\04.%20Custo\03.0%20Custo%20-%20Or&#231;amento%20Param&#233;trico\R01\CTN-DLH-ETR-Gerenciamento%20Executivo%20-%20R01.xlsx" TargetMode="External"/><Relationship Id="rId1" Type="http://schemas.openxmlformats.org/officeDocument/2006/relationships/externalLinkPath" Target="/.shortcut-targets-by-id/16oaQUYgx8kiowDwLhg-oO1zGZ777DJUb/2.%20Projetos%20em%20Andamento/D'Lohn%20Empreendimentos/04.%20Custo/03.0%20Custo%20-%20Or&#231;amento%20Param&#233;trico/R01/CTN-DLH-ETR-Gerenciamento%20Executivo%20-%20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CONTENÇÕES"/>
      <sheetName val="INFRAESTRUTURA"/>
      <sheetName val="CONTENÇÃO"/>
      <sheetName val="SUPRAESTRUTURA"/>
      <sheetName val="ALVENARIA"/>
      <sheetName val="Orçamento"/>
      <sheetName val="INSTALAÇÕES"/>
      <sheetName val="SISTEMAS ESPECIAIS"/>
      <sheetName val="IMPERMEABILIZAÇÃO"/>
      <sheetName val="PISO E TETO"/>
      <sheetName val="Rev. Internos Piso e Parede"/>
      <sheetName val="TETO"/>
      <sheetName val="Acabamentos de Piso e Parede"/>
      <sheetName val="PINTURA INTERNA"/>
      <sheetName val="COBERTURA"/>
      <sheetName val="ESQUADRIAS"/>
      <sheetName val="ESQUADRIAS (2)"/>
      <sheetName val="Rev. Fachada"/>
      <sheetName val="Rev. Fachada (2)"/>
      <sheetName val="COMPLEMENTARES"/>
      <sheetName val="Auxiliar"/>
    </sheetNames>
    <sheetDataSet>
      <sheetData sheetId="0" refreshError="1"/>
      <sheetData sheetId="1">
        <row r="34">
          <cell r="F34">
            <v>502487.38482836017</v>
          </cell>
        </row>
      </sheetData>
      <sheetData sheetId="2" refreshError="1"/>
      <sheetData sheetId="3" refreshError="1"/>
      <sheetData sheetId="4">
        <row r="36">
          <cell r="G36">
            <v>876334.74615724001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CONTENÇÕES"/>
      <sheetName val="INFRAESTRUTURA"/>
      <sheetName val="CONTENÇÃO"/>
      <sheetName val="SUPRAESTRUTURA"/>
      <sheetName val="ALVENARIA"/>
      <sheetName val="Orçamento"/>
      <sheetName val="INSTALAÇÕES"/>
      <sheetName val="SISTEMAS ESPECIAIS"/>
      <sheetName val="IMPERMEABILIZAÇÃO"/>
      <sheetName val="PISO E TETO"/>
      <sheetName val="Rev. Internos Piso e Parede"/>
      <sheetName val="TETO"/>
      <sheetName val="Acabamentos de Piso e Parede"/>
      <sheetName val="PINTURA INTERNA"/>
      <sheetName val="COBERTURA"/>
      <sheetName val="ESQUADRIAS"/>
      <sheetName val="ESQUADRIAS (2)"/>
      <sheetName val="Rev. Fachada"/>
      <sheetName val="Rev. Fachada (2)"/>
      <sheetName val="COMPLEMENTARES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0">
          <cell r="B20">
            <v>35425.930000000008</v>
          </cell>
          <cell r="G20">
            <v>194842.61500000005</v>
          </cell>
        </row>
        <row r="21">
          <cell r="B21">
            <v>35425.930000000008</v>
          </cell>
          <cell r="G21">
            <v>1948426.1500000006</v>
          </cell>
        </row>
        <row r="38">
          <cell r="B38">
            <v>35425.930000000008</v>
          </cell>
          <cell r="G38">
            <v>2034546.5858300005</v>
          </cell>
        </row>
      </sheetData>
      <sheetData sheetId="13">
        <row r="10">
          <cell r="D10">
            <v>7970.8199999999979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3310-DBD8-4F77-8E81-7F594576FE52}">
  <dimension ref="A1:F38"/>
  <sheetViews>
    <sheetView showGridLines="0" workbookViewId="0">
      <selection activeCell="C18" sqref="C18"/>
    </sheetView>
  </sheetViews>
  <sheetFormatPr defaultColWidth="9.140625" defaultRowHeight="21.75" x14ac:dyDescent="0.6"/>
  <cols>
    <col min="1" max="1" width="10.7109375" style="24" customWidth="1"/>
    <col min="2" max="2" width="61.85546875" style="25" customWidth="1"/>
    <col min="3" max="3" width="18.85546875" style="25" bestFit="1" customWidth="1"/>
    <col min="4" max="4" width="11.28515625" style="26" customWidth="1"/>
    <col min="5" max="5" width="13.7109375" style="26" bestFit="1" customWidth="1"/>
    <col min="6" max="6" width="24" style="24" customWidth="1"/>
    <col min="7" max="8" width="9.28515625" style="4" bestFit="1" customWidth="1"/>
    <col min="9" max="16384" width="9.140625" style="4"/>
  </cols>
  <sheetData>
    <row r="1" spans="1:6" ht="18" customHeight="1" x14ac:dyDescent="0.25">
      <c r="A1" s="235" t="s">
        <v>212</v>
      </c>
      <c r="B1" s="236"/>
      <c r="C1" s="236"/>
      <c r="D1" s="236"/>
      <c r="E1" s="263"/>
      <c r="F1" s="237"/>
    </row>
    <row r="2" spans="1:6" ht="18" customHeight="1" x14ac:dyDescent="0.25">
      <c r="A2" s="238"/>
      <c r="B2" s="239"/>
      <c r="C2" s="239"/>
      <c r="D2" s="239"/>
      <c r="E2" s="264"/>
      <c r="F2" s="240"/>
    </row>
    <row r="3" spans="1:6" ht="18" customHeight="1" x14ac:dyDescent="0.25">
      <c r="A3" s="238"/>
      <c r="B3" s="239"/>
      <c r="C3" s="239"/>
      <c r="D3" s="239"/>
      <c r="E3" s="264"/>
      <c r="F3" s="240"/>
    </row>
    <row r="4" spans="1:6" ht="15.75" customHeight="1" thickBot="1" x14ac:dyDescent="0.3">
      <c r="A4" s="150"/>
      <c r="B4" s="151"/>
      <c r="C4" s="151"/>
      <c r="D4" s="152"/>
      <c r="E4" s="152"/>
      <c r="F4" s="153"/>
    </row>
    <row r="5" spans="1:6" ht="19.5" x14ac:dyDescent="0.25">
      <c r="A5" s="154" t="s">
        <v>0</v>
      </c>
      <c r="B5" s="155" t="s">
        <v>406</v>
      </c>
      <c r="C5" s="156"/>
      <c r="D5" s="157"/>
      <c r="E5" s="157"/>
      <c r="F5" s="158"/>
    </row>
    <row r="6" spans="1:6" ht="19.5" x14ac:dyDescent="0.25">
      <c r="A6" s="159" t="s">
        <v>213</v>
      </c>
      <c r="B6" s="155" t="s">
        <v>407</v>
      </c>
      <c r="C6" s="156"/>
      <c r="D6" s="157"/>
      <c r="E6" s="157"/>
      <c r="F6" s="158"/>
    </row>
    <row r="7" spans="1:6" ht="19.5" x14ac:dyDescent="0.25">
      <c r="A7" s="159" t="s">
        <v>214</v>
      </c>
      <c r="B7" s="160">
        <v>46107</v>
      </c>
      <c r="C7" s="161"/>
      <c r="D7" s="157"/>
      <c r="E7" s="157"/>
      <c r="F7" s="158"/>
    </row>
    <row r="8" spans="1:6" ht="20.25" thickBot="1" x14ac:dyDescent="0.3">
      <c r="A8" s="162" t="s">
        <v>215</v>
      </c>
      <c r="B8" s="155" t="s">
        <v>49</v>
      </c>
      <c r="C8" s="156"/>
      <c r="D8" s="157"/>
      <c r="E8" s="157"/>
      <c r="F8" s="158"/>
    </row>
    <row r="9" spans="1:6" ht="14.45" customHeight="1" thickBot="1" x14ac:dyDescent="0.65">
      <c r="A9" s="5"/>
      <c r="B9" s="6"/>
      <c r="C9" s="7"/>
      <c r="D9" s="8"/>
      <c r="E9" s="8"/>
      <c r="F9" s="9"/>
    </row>
    <row r="10" spans="1:6" x14ac:dyDescent="0.6">
      <c r="A10" s="10"/>
      <c r="B10" s="11" t="s">
        <v>2</v>
      </c>
      <c r="C10" s="12" t="s">
        <v>58</v>
      </c>
      <c r="D10" s="13" t="s">
        <v>59</v>
      </c>
      <c r="E10" s="265"/>
      <c r="F10" s="9"/>
    </row>
    <row r="11" spans="1:6" x14ac:dyDescent="0.6">
      <c r="A11" s="10"/>
      <c r="B11" s="14" t="s">
        <v>60</v>
      </c>
      <c r="C11" s="15" t="s">
        <v>61</v>
      </c>
      <c r="D11" s="163">
        <v>1210.5</v>
      </c>
      <c r="E11" s="265"/>
      <c r="F11" s="9"/>
    </row>
    <row r="12" spans="1:6" x14ac:dyDescent="0.6">
      <c r="A12" s="10"/>
      <c r="B12" s="16" t="s">
        <v>62</v>
      </c>
      <c r="C12" s="17" t="s">
        <v>61</v>
      </c>
      <c r="D12" s="164">
        <v>13275.29</v>
      </c>
      <c r="E12" s="265"/>
      <c r="F12" s="9"/>
    </row>
    <row r="13" spans="1:6" x14ac:dyDescent="0.6">
      <c r="A13" s="10"/>
      <c r="B13" s="16" t="s">
        <v>63</v>
      </c>
      <c r="C13" s="17" t="s">
        <v>64</v>
      </c>
      <c r="D13" s="164">
        <v>144</v>
      </c>
      <c r="E13" s="265"/>
      <c r="F13" s="9"/>
    </row>
    <row r="14" spans="1:6" x14ac:dyDescent="0.6">
      <c r="A14" s="10"/>
      <c r="B14" s="16" t="s">
        <v>65</v>
      </c>
      <c r="C14" s="17" t="s">
        <v>66</v>
      </c>
      <c r="D14" s="165">
        <v>48</v>
      </c>
      <c r="E14" s="266"/>
      <c r="F14" s="18"/>
    </row>
    <row r="15" spans="1:6" ht="22.5" thickBot="1" x14ac:dyDescent="0.65">
      <c r="A15" s="10"/>
      <c r="B15" s="19" t="s">
        <v>67</v>
      </c>
      <c r="C15" s="20" t="s">
        <v>64</v>
      </c>
      <c r="D15" s="166">
        <v>24</v>
      </c>
      <c r="E15" s="265"/>
      <c r="F15" s="9"/>
    </row>
    <row r="16" spans="1:6" x14ac:dyDescent="0.6">
      <c r="F16" s="9"/>
    </row>
    <row r="17" spans="2:6" x14ac:dyDescent="0.6">
      <c r="B17" s="138" t="s">
        <v>119</v>
      </c>
      <c r="C17" s="138" t="s">
        <v>211</v>
      </c>
      <c r="D17" s="149" t="s">
        <v>145</v>
      </c>
      <c r="E17" s="149" t="s">
        <v>210</v>
      </c>
      <c r="F17" s="9"/>
    </row>
    <row r="18" spans="2:6" x14ac:dyDescent="0.6">
      <c r="B18" s="144" t="s">
        <v>209</v>
      </c>
      <c r="C18" s="141">
        <f>ORÇAMENTO!N48</f>
        <v>7.1869175048270414E-3</v>
      </c>
      <c r="D18" s="142">
        <f t="shared" ref="D18:D34" si="0">C18/C$20</f>
        <v>0.12958334804672242</v>
      </c>
      <c r="E18" s="140">
        <f>C18/OBRA!$D$12</f>
        <v>5.4137555600119026E-7</v>
      </c>
      <c r="F18" s="9"/>
    </row>
    <row r="19" spans="2:6" x14ac:dyDescent="0.6">
      <c r="B19" s="148" t="s">
        <v>114</v>
      </c>
      <c r="C19" s="146">
        <f>ORÇAMENTO!N107</f>
        <v>2.938263204744366E-3</v>
      </c>
      <c r="D19" s="147">
        <f t="shared" si="0"/>
        <v>5.2978204252037017E-2</v>
      </c>
      <c r="E19" s="145">
        <f>C19/OBRA!$D$12</f>
        <v>2.2133325936716755E-7</v>
      </c>
      <c r="F19" s="9"/>
    </row>
    <row r="20" spans="2:6" x14ac:dyDescent="0.6">
      <c r="B20" s="144" t="s">
        <v>383</v>
      </c>
      <c r="C20" s="141">
        <f>ORÇAMENTO!N117+ORÇAMENTO!N135</f>
        <v>5.5461736505185329E-2</v>
      </c>
      <c r="D20" s="142">
        <f t="shared" si="0"/>
        <v>1</v>
      </c>
      <c r="E20" s="140">
        <f>C20/OBRA!$D$12</f>
        <v>4.1778173211421614E-6</v>
      </c>
      <c r="F20" s="9"/>
    </row>
    <row r="21" spans="2:6" x14ac:dyDescent="0.6">
      <c r="B21" s="148" t="s">
        <v>12</v>
      </c>
      <c r="C21" s="146">
        <f>ORÇAMENTO!N144</f>
        <v>4.0402559952847451E-2</v>
      </c>
      <c r="D21" s="147">
        <f t="shared" si="0"/>
        <v>0.72847628831582045</v>
      </c>
      <c r="E21" s="145">
        <f>C21/OBRA!$D$12</f>
        <v>3.0434408553671858E-6</v>
      </c>
      <c r="F21" s="9"/>
    </row>
    <row r="22" spans="2:6" x14ac:dyDescent="0.6">
      <c r="B22" s="144" t="s">
        <v>208</v>
      </c>
      <c r="C22" s="141">
        <f>ORÇAMENTO!N159</f>
        <v>1.2770114783319578E-2</v>
      </c>
      <c r="D22" s="142">
        <f t="shared" si="0"/>
        <v>0.23025090067502038</v>
      </c>
      <c r="E22" s="140">
        <f>C22/OBRA!$D$12</f>
        <v>9.6194620104868347E-7</v>
      </c>
      <c r="F22" s="9"/>
    </row>
    <row r="23" spans="2:6" x14ac:dyDescent="0.6">
      <c r="B23" s="148" t="s">
        <v>207</v>
      </c>
      <c r="C23" s="146">
        <f>ORÇAMENTO!N182</f>
        <v>5.2275916011868756E-3</v>
      </c>
      <c r="D23" s="147">
        <f t="shared" si="0"/>
        <v>9.4255822673315115E-2</v>
      </c>
      <c r="E23" s="145">
        <f>C23/OBRA!$D$12</f>
        <v>3.9378360858307994E-7</v>
      </c>
      <c r="F23" s="9"/>
    </row>
    <row r="24" spans="2:6" x14ac:dyDescent="0.6">
      <c r="B24" s="144" t="s">
        <v>163</v>
      </c>
      <c r="C24" s="141">
        <f>ORÇAMENTO!N207</f>
        <v>1.7630590213846956E-2</v>
      </c>
      <c r="D24" s="142">
        <f t="shared" si="0"/>
        <v>0.31788745403235985</v>
      </c>
      <c r="E24" s="140">
        <f>C24/OBRA!$D$12</f>
        <v>1.3280757116301757E-6</v>
      </c>
      <c r="F24" s="9"/>
    </row>
    <row r="25" spans="2:6" x14ac:dyDescent="0.6">
      <c r="B25" s="148" t="s">
        <v>206</v>
      </c>
      <c r="C25" s="146">
        <f>ORÇAMENTO!N169</f>
        <v>3.4850610674579167E-2</v>
      </c>
      <c r="D25" s="147">
        <f t="shared" si="0"/>
        <v>0.62837215115543399</v>
      </c>
      <c r="E25" s="145">
        <f>C25/OBRA!$D$12</f>
        <v>2.6252240572205329E-6</v>
      </c>
      <c r="F25" s="9"/>
    </row>
    <row r="26" spans="2:6" x14ac:dyDescent="0.6">
      <c r="B26" s="144" t="s">
        <v>190</v>
      </c>
      <c r="C26" s="141">
        <f>ORÇAMENTO!N230</f>
        <v>1.4506298907937918E-2</v>
      </c>
      <c r="D26" s="142">
        <f t="shared" si="0"/>
        <v>0.26155507962830682</v>
      </c>
      <c r="E26" s="140">
        <f>C26/OBRA!$D$12</f>
        <v>1.0927293421038573E-6</v>
      </c>
      <c r="F26" s="9"/>
    </row>
    <row r="27" spans="2:6" x14ac:dyDescent="0.6">
      <c r="B27" s="148" t="s">
        <v>189</v>
      </c>
      <c r="C27" s="146">
        <f>ORÇAMENTO!N241</f>
        <v>2.3995118517029291E-4</v>
      </c>
      <c r="D27" s="147">
        <f t="shared" si="0"/>
        <v>4.3264275569132055E-3</v>
      </c>
      <c r="E27" s="145">
        <f>C27/OBRA!$D$12</f>
        <v>1.8075023985938756E-8</v>
      </c>
      <c r="F27" s="9"/>
    </row>
    <row r="28" spans="2:6" x14ac:dyDescent="0.6">
      <c r="B28" s="144" t="s">
        <v>111</v>
      </c>
      <c r="C28" s="141">
        <f>ORÇAMENTO!N250</f>
        <v>4.3991981584934656E-2</v>
      </c>
      <c r="D28" s="142">
        <f t="shared" si="0"/>
        <v>0.79319517124786887</v>
      </c>
      <c r="E28" s="140">
        <f>C28/OBRA!$D$12</f>
        <v>3.3138245254856695E-6</v>
      </c>
      <c r="F28" s="9"/>
    </row>
    <row r="29" spans="2:6" x14ac:dyDescent="0.6">
      <c r="B29" s="148" t="s">
        <v>205</v>
      </c>
      <c r="C29" s="146">
        <f>ORÇAMENTO!N265</f>
        <v>7.9520521353215138E-4</v>
      </c>
      <c r="D29" s="147">
        <f t="shared" si="0"/>
        <v>1.4337906882122319E-2</v>
      </c>
      <c r="E29" s="145">
        <f>C29/OBRA!$D$12</f>
        <v>5.9901155721054023E-8</v>
      </c>
      <c r="F29" s="9"/>
    </row>
    <row r="30" spans="2:6" x14ac:dyDescent="0.6">
      <c r="B30" s="144" t="s">
        <v>174</v>
      </c>
      <c r="C30" s="141">
        <f>ORÇAMENTO!N274</f>
        <v>1.7425305337289585E-3</v>
      </c>
      <c r="D30" s="142">
        <f t="shared" si="0"/>
        <v>3.1418607557771705E-2</v>
      </c>
      <c r="E30" s="140">
        <f>C30/OBRA!$D$12</f>
        <v>1.3126120286102664E-7</v>
      </c>
      <c r="F30" s="9"/>
    </row>
    <row r="31" spans="2:6" x14ac:dyDescent="0.6">
      <c r="B31" s="148" t="s">
        <v>204</v>
      </c>
      <c r="C31" s="146"/>
      <c r="D31" s="147">
        <f t="shared" si="0"/>
        <v>0</v>
      </c>
      <c r="E31" s="145">
        <f>C31/OBRA!$D$12</f>
        <v>0</v>
      </c>
      <c r="F31" s="9"/>
    </row>
    <row r="32" spans="2:6" x14ac:dyDescent="0.6">
      <c r="B32" s="144" t="s">
        <v>203</v>
      </c>
      <c r="C32" s="141">
        <f>ORÇAMENTO!N291</f>
        <v>1.1616870224859723E-3</v>
      </c>
      <c r="D32" s="142">
        <f t="shared" si="0"/>
        <v>2.0945738371847801E-2</v>
      </c>
      <c r="E32" s="140">
        <f>C32/OBRA!$D$12</f>
        <v>8.7507468574017758E-8</v>
      </c>
      <c r="F32" s="9"/>
    </row>
    <row r="33" spans="1:6" x14ac:dyDescent="0.6">
      <c r="B33" s="148" t="s">
        <v>202</v>
      </c>
      <c r="C33" s="146">
        <f>ORÇAMENTO!N300</f>
        <v>0</v>
      </c>
      <c r="D33" s="147">
        <f t="shared" si="0"/>
        <v>0</v>
      </c>
      <c r="E33" s="145">
        <f>C33/OBRA!$D$12</f>
        <v>0</v>
      </c>
      <c r="F33" s="9"/>
    </row>
    <row r="34" spans="1:6" x14ac:dyDescent="0.6">
      <c r="B34" s="144" t="s">
        <v>201</v>
      </c>
      <c r="C34" s="143">
        <f>ORÇAMENTO!N309</f>
        <v>0</v>
      </c>
      <c r="D34" s="142">
        <f t="shared" si="0"/>
        <v>0</v>
      </c>
      <c r="E34" s="140">
        <f>C34/OBRA!$D$12</f>
        <v>0</v>
      </c>
      <c r="F34" s="9"/>
    </row>
    <row r="35" spans="1:6" x14ac:dyDescent="0.6">
      <c r="B35" s="138" t="s">
        <v>71</v>
      </c>
      <c r="C35" s="137">
        <f t="shared" ref="C35:E35" si="1">SUM(C18:C34)</f>
        <v>0.23890603888832673</v>
      </c>
      <c r="D35" s="139">
        <f t="shared" si="1"/>
        <v>4.30758310039554</v>
      </c>
      <c r="E35" s="135">
        <f t="shared" si="1"/>
        <v>1.7996295289091741E-5</v>
      </c>
      <c r="F35" s="9"/>
    </row>
    <row r="36" spans="1:6" x14ac:dyDescent="0.6">
      <c r="B36" s="138" t="s">
        <v>200</v>
      </c>
      <c r="C36" s="137">
        <v>2907.85</v>
      </c>
      <c r="D36" s="136">
        <v>45689</v>
      </c>
      <c r="E36" s="135">
        <f>+E35/C36</f>
        <v>6.1888664439677908E-9</v>
      </c>
      <c r="F36" s="9"/>
    </row>
    <row r="37" spans="1:6" x14ac:dyDescent="0.6">
      <c r="F37" s="9"/>
    </row>
    <row r="38" spans="1:6" ht="22.5" thickBot="1" x14ac:dyDescent="0.65">
      <c r="A38" s="21"/>
      <c r="B38" s="22"/>
      <c r="C38" s="22"/>
      <c r="D38" s="23"/>
      <c r="E38" s="23"/>
      <c r="F38" s="9"/>
    </row>
  </sheetData>
  <mergeCells count="1">
    <mergeCell ref="A1:F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1060-93C5-434D-BD91-E53BF28CFBC6}">
  <dimension ref="A1:F53"/>
  <sheetViews>
    <sheetView showGridLines="0" workbookViewId="0">
      <selection activeCell="D41" sqref="D41"/>
    </sheetView>
  </sheetViews>
  <sheetFormatPr defaultRowHeight="21.75" x14ac:dyDescent="0.6"/>
  <cols>
    <col min="1" max="1" width="10.7109375" style="227" customWidth="1"/>
    <col min="2" max="2" width="83.7109375" style="228" customWidth="1"/>
    <col min="3" max="3" width="11.28515625" style="228" customWidth="1"/>
    <col min="4" max="4" width="11.28515625" style="229" customWidth="1"/>
    <col min="5" max="5" width="11.140625" style="230" customWidth="1"/>
    <col min="6" max="6" width="24" style="227" customWidth="1"/>
    <col min="7" max="8" width="9.28515625" style="27" bestFit="1" customWidth="1"/>
    <col min="9" max="16384" width="9.140625" style="27"/>
  </cols>
  <sheetData>
    <row r="1" spans="1:6" ht="18" customHeight="1" x14ac:dyDescent="0.6">
      <c r="A1" s="167" t="s">
        <v>0</v>
      </c>
      <c r="B1" s="168" t="str">
        <f>OBRA!B5</f>
        <v>NOW Residence</v>
      </c>
      <c r="C1" s="169"/>
      <c r="D1" s="170"/>
      <c r="E1" s="171"/>
      <c r="F1" s="172"/>
    </row>
    <row r="2" spans="1:6" ht="18" customHeight="1" x14ac:dyDescent="0.6">
      <c r="A2" s="173" t="s">
        <v>56</v>
      </c>
      <c r="B2" s="174" t="str">
        <f>OBRA!B6</f>
        <v>Cambert Engenharia</v>
      </c>
      <c r="C2" s="175"/>
      <c r="D2" s="176"/>
      <c r="E2" s="177"/>
      <c r="F2" s="178"/>
    </row>
    <row r="3" spans="1:6" ht="18" customHeight="1" x14ac:dyDescent="0.6">
      <c r="A3" s="173" t="s">
        <v>57</v>
      </c>
      <c r="B3" s="174" t="s">
        <v>49</v>
      </c>
      <c r="C3" s="175"/>
      <c r="D3" s="176"/>
      <c r="E3" s="177"/>
      <c r="F3" s="178"/>
    </row>
    <row r="4" spans="1:6" ht="25.15" customHeight="1" x14ac:dyDescent="0.2">
      <c r="A4" s="241" t="s">
        <v>68</v>
      </c>
      <c r="B4" s="242"/>
      <c r="C4" s="242"/>
      <c r="D4" s="242"/>
      <c r="E4" s="242"/>
      <c r="F4" s="243"/>
    </row>
    <row r="5" spans="1:6" ht="14.45" customHeight="1" x14ac:dyDescent="0.6">
      <c r="A5" s="179"/>
      <c r="B5" s="180"/>
      <c r="C5" s="180"/>
      <c r="D5" s="181"/>
      <c r="E5" s="182"/>
      <c r="F5" s="183"/>
    </row>
    <row r="6" spans="1:6" ht="16.899999999999999" customHeight="1" x14ac:dyDescent="0.2">
      <c r="A6" s="244" t="s">
        <v>72</v>
      </c>
      <c r="B6" s="245"/>
      <c r="C6" s="245"/>
      <c r="D6" s="245"/>
      <c r="E6" s="245"/>
      <c r="F6" s="246"/>
    </row>
    <row r="7" spans="1:6" ht="14.45" customHeight="1" x14ac:dyDescent="0.6">
      <c r="A7" s="184"/>
      <c r="B7" s="185"/>
      <c r="C7" s="186"/>
      <c r="D7" s="187"/>
      <c r="E7" s="188"/>
      <c r="F7" s="38"/>
    </row>
    <row r="8" spans="1:6" x14ac:dyDescent="0.6">
      <c r="A8" s="31" t="s">
        <v>73</v>
      </c>
      <c r="B8" s="32"/>
      <c r="C8" s="32"/>
      <c r="D8" s="189"/>
      <c r="E8" s="33"/>
      <c r="F8" s="34"/>
    </row>
    <row r="9" spans="1:6" ht="22.5" thickBot="1" x14ac:dyDescent="0.65">
      <c r="A9" s="190"/>
      <c r="B9" s="36"/>
      <c r="C9" s="36"/>
      <c r="D9" s="191"/>
      <c r="E9" s="37"/>
      <c r="F9" s="38"/>
    </row>
    <row r="10" spans="1:6" x14ac:dyDescent="0.6">
      <c r="A10" s="190"/>
      <c r="B10" s="39" t="s">
        <v>2</v>
      </c>
      <c r="C10" s="40" t="s">
        <v>58</v>
      </c>
      <c r="D10" s="192" t="s">
        <v>59</v>
      </c>
      <c r="E10" s="37"/>
      <c r="F10" s="38"/>
    </row>
    <row r="11" spans="1:6" x14ac:dyDescent="0.6">
      <c r="A11" s="190"/>
      <c r="B11" s="193" t="s">
        <v>216</v>
      </c>
      <c r="C11" s="194" t="s">
        <v>8</v>
      </c>
      <c r="D11" s="164">
        <v>157.96</v>
      </c>
      <c r="E11" s="37"/>
      <c r="F11" s="38"/>
    </row>
    <row r="12" spans="1:6" x14ac:dyDescent="0.6">
      <c r="A12" s="190"/>
      <c r="B12" s="193" t="s">
        <v>77</v>
      </c>
      <c r="C12" s="194" t="s">
        <v>8</v>
      </c>
      <c r="D12" s="164">
        <v>132.16</v>
      </c>
      <c r="E12" s="37"/>
      <c r="F12" s="38"/>
    </row>
    <row r="13" spans="1:6" ht="22.5" thickBot="1" x14ac:dyDescent="0.65">
      <c r="A13" s="190"/>
      <c r="B13" s="29" t="s">
        <v>7</v>
      </c>
      <c r="C13" s="195" t="s">
        <v>8</v>
      </c>
      <c r="D13" s="196">
        <f>D11+D12</f>
        <v>290.12</v>
      </c>
      <c r="E13" s="37"/>
      <c r="F13" s="38"/>
    </row>
    <row r="14" spans="1:6" ht="22.5" thickBot="1" x14ac:dyDescent="0.65">
      <c r="A14" s="190"/>
      <c r="B14" s="29" t="s">
        <v>9</v>
      </c>
      <c r="C14" s="195" t="s">
        <v>8</v>
      </c>
      <c r="D14" s="196">
        <f>D12</f>
        <v>132.16</v>
      </c>
      <c r="E14" s="37"/>
      <c r="F14" s="38"/>
    </row>
    <row r="15" spans="1:6" x14ac:dyDescent="0.6">
      <c r="A15" s="35"/>
      <c r="B15" s="36"/>
      <c r="C15" s="36"/>
      <c r="D15" s="191"/>
      <c r="E15" s="37"/>
      <c r="F15" s="38"/>
    </row>
    <row r="16" spans="1:6" x14ac:dyDescent="0.6">
      <c r="A16" s="31" t="s">
        <v>74</v>
      </c>
      <c r="B16" s="32"/>
      <c r="C16" s="32"/>
      <c r="D16" s="189"/>
      <c r="E16" s="33"/>
      <c r="F16" s="34"/>
    </row>
    <row r="17" spans="1:6" ht="22.5" thickBot="1" x14ac:dyDescent="0.65">
      <c r="A17" s="35"/>
      <c r="B17" s="36"/>
      <c r="C17" s="36"/>
      <c r="D17" s="191"/>
      <c r="E17" s="37"/>
      <c r="F17" s="38"/>
    </row>
    <row r="18" spans="1:6" x14ac:dyDescent="0.6">
      <c r="A18" s="35"/>
      <c r="B18" s="39" t="s">
        <v>2</v>
      </c>
      <c r="C18" s="40" t="s">
        <v>58</v>
      </c>
      <c r="D18" s="192" t="s">
        <v>59</v>
      </c>
      <c r="E18" s="37"/>
      <c r="F18" s="38"/>
    </row>
    <row r="19" spans="1:6" x14ac:dyDescent="0.6">
      <c r="A19" s="35"/>
      <c r="B19" s="197" t="s">
        <v>217</v>
      </c>
      <c r="C19" s="198" t="s">
        <v>8</v>
      </c>
      <c r="D19" s="163">
        <f>D12</f>
        <v>132.16</v>
      </c>
      <c r="E19" s="37"/>
      <c r="F19" s="38"/>
    </row>
    <row r="20" spans="1:6" x14ac:dyDescent="0.6">
      <c r="A20" s="35"/>
      <c r="B20" s="199" t="s">
        <v>218</v>
      </c>
      <c r="C20" s="200" t="s">
        <v>22</v>
      </c>
      <c r="D20" s="201">
        <v>4</v>
      </c>
      <c r="E20" s="37"/>
      <c r="F20" s="38"/>
    </row>
    <row r="21" spans="1:6" x14ac:dyDescent="0.6">
      <c r="A21" s="35"/>
      <c r="B21" s="41" t="s">
        <v>75</v>
      </c>
      <c r="C21" s="202" t="s">
        <v>8</v>
      </c>
      <c r="D21" s="203">
        <f>(D19*D20)</f>
        <v>528.64</v>
      </c>
      <c r="E21" s="37"/>
      <c r="F21" s="38"/>
    </row>
    <row r="22" spans="1:6" s="206" customFormat="1" ht="15.75" x14ac:dyDescent="0.45">
      <c r="A22" s="190"/>
      <c r="B22" s="37"/>
      <c r="C22" s="37"/>
      <c r="D22" s="204"/>
      <c r="E22" s="37"/>
      <c r="F22" s="205"/>
    </row>
    <row r="23" spans="1:6" x14ac:dyDescent="0.6">
      <c r="A23" s="31" t="s">
        <v>76</v>
      </c>
      <c r="B23" s="32"/>
      <c r="C23" s="32"/>
      <c r="D23" s="189"/>
      <c r="E23" s="33"/>
      <c r="F23" s="34"/>
    </row>
    <row r="24" spans="1:6" ht="22.5" thickBot="1" x14ac:dyDescent="0.65">
      <c r="A24" s="35"/>
      <c r="B24" s="36"/>
      <c r="C24" s="36"/>
      <c r="D24" s="191"/>
      <c r="E24" s="37"/>
      <c r="F24" s="38"/>
    </row>
    <row r="25" spans="1:6" x14ac:dyDescent="0.6">
      <c r="A25" s="35"/>
      <c r="B25" s="39" t="s">
        <v>2</v>
      </c>
      <c r="C25" s="40" t="s">
        <v>58</v>
      </c>
      <c r="D25" s="192" t="s">
        <v>59</v>
      </c>
      <c r="E25" s="37"/>
      <c r="F25" s="38"/>
    </row>
    <row r="26" spans="1:6" x14ac:dyDescent="0.6">
      <c r="A26" s="35"/>
      <c r="B26" s="197" t="s">
        <v>219</v>
      </c>
      <c r="C26" s="198" t="s">
        <v>8</v>
      </c>
      <c r="D26" s="201">
        <f>D12</f>
        <v>132.16</v>
      </c>
      <c r="E26" s="37"/>
      <c r="F26" s="38"/>
    </row>
    <row r="27" spans="1:6" x14ac:dyDescent="0.6">
      <c r="A27" s="35"/>
      <c r="B27" s="207" t="s">
        <v>220</v>
      </c>
      <c r="C27" s="208" t="s">
        <v>8</v>
      </c>
      <c r="D27" s="209">
        <v>44.78</v>
      </c>
      <c r="E27" s="37"/>
      <c r="F27" s="38"/>
    </row>
    <row r="28" spans="1:6" x14ac:dyDescent="0.6">
      <c r="A28" s="35"/>
      <c r="B28" s="210" t="s">
        <v>76</v>
      </c>
      <c r="C28" s="211" t="s">
        <v>10</v>
      </c>
      <c r="D28" s="203">
        <f>D26*D27</f>
        <v>5918.1247999999996</v>
      </c>
      <c r="E28" s="37"/>
      <c r="F28" s="38"/>
    </row>
    <row r="29" spans="1:6" x14ac:dyDescent="0.6">
      <c r="A29" s="35"/>
      <c r="B29" s="36"/>
      <c r="C29" s="36"/>
      <c r="D29" s="191"/>
      <c r="E29" s="37"/>
      <c r="F29" s="38"/>
    </row>
    <row r="30" spans="1:6" x14ac:dyDescent="0.6">
      <c r="A30" s="31" t="s">
        <v>78</v>
      </c>
      <c r="B30" s="32"/>
      <c r="C30" s="32"/>
      <c r="D30" s="189"/>
      <c r="E30" s="33"/>
      <c r="F30" s="34"/>
    </row>
    <row r="31" spans="1:6" ht="22.5" thickBot="1" x14ac:dyDescent="0.65">
      <c r="A31" s="35"/>
      <c r="B31" s="36"/>
      <c r="C31" s="36"/>
      <c r="D31" s="191"/>
      <c r="E31" s="37"/>
      <c r="F31" s="38"/>
    </row>
    <row r="32" spans="1:6" x14ac:dyDescent="0.6">
      <c r="A32" s="35"/>
      <c r="B32" s="42" t="s">
        <v>2</v>
      </c>
      <c r="C32" s="43" t="s">
        <v>58</v>
      </c>
      <c r="D32" s="212" t="s">
        <v>59</v>
      </c>
      <c r="E32" s="37"/>
      <c r="F32" s="38"/>
    </row>
    <row r="33" spans="1:6" x14ac:dyDescent="0.6">
      <c r="A33" s="35"/>
      <c r="B33" s="193" t="s">
        <v>221</v>
      </c>
      <c r="C33" s="213" t="s">
        <v>10</v>
      </c>
      <c r="D33" s="165">
        <f>0.9*2.4</f>
        <v>2.16</v>
      </c>
      <c r="E33" s="37"/>
      <c r="F33" s="38"/>
    </row>
    <row r="34" spans="1:6" x14ac:dyDescent="0.6">
      <c r="A34" s="35"/>
      <c r="B34" s="193" t="s">
        <v>222</v>
      </c>
      <c r="C34" s="213" t="s">
        <v>22</v>
      </c>
      <c r="D34" s="165">
        <v>2</v>
      </c>
      <c r="E34" s="37"/>
      <c r="F34" s="38"/>
    </row>
    <row r="35" spans="1:6" x14ac:dyDescent="0.6">
      <c r="A35" s="35"/>
      <c r="B35" s="193" t="s">
        <v>223</v>
      </c>
      <c r="C35" s="213" t="s">
        <v>22</v>
      </c>
      <c r="D35" s="165">
        <v>26</v>
      </c>
      <c r="E35" s="37"/>
      <c r="F35" s="38"/>
    </row>
    <row r="36" spans="1:6" x14ac:dyDescent="0.6">
      <c r="A36" s="35"/>
      <c r="B36" s="214" t="s">
        <v>78</v>
      </c>
      <c r="C36" s="215" t="s">
        <v>10</v>
      </c>
      <c r="D36" s="216">
        <f>D33*D35</f>
        <v>56.160000000000004</v>
      </c>
      <c r="E36" s="37"/>
      <c r="F36" s="38"/>
    </row>
    <row r="37" spans="1:6" x14ac:dyDescent="0.6">
      <c r="A37" s="35"/>
      <c r="B37" s="36"/>
      <c r="C37" s="36"/>
      <c r="D37" s="191"/>
      <c r="E37" s="37"/>
      <c r="F37" s="38"/>
    </row>
    <row r="38" spans="1:6" x14ac:dyDescent="0.6">
      <c r="A38" s="31" t="s">
        <v>79</v>
      </c>
      <c r="B38" s="32"/>
      <c r="C38" s="32"/>
      <c r="D38" s="189"/>
      <c r="E38" s="33"/>
      <c r="F38" s="34"/>
    </row>
    <row r="39" spans="1:6" ht="22.5" thickBot="1" x14ac:dyDescent="0.65">
      <c r="A39" s="35"/>
      <c r="B39" s="36"/>
      <c r="C39" s="36"/>
      <c r="D39" s="191"/>
      <c r="E39" s="37"/>
      <c r="F39" s="38"/>
    </row>
    <row r="40" spans="1:6" x14ac:dyDescent="0.6">
      <c r="A40" s="35"/>
      <c r="B40" s="39" t="s">
        <v>2</v>
      </c>
      <c r="C40" s="40" t="s">
        <v>58</v>
      </c>
      <c r="D40" s="192" t="s">
        <v>59</v>
      </c>
      <c r="E40" s="37"/>
      <c r="F40" s="38"/>
    </row>
    <row r="41" spans="1:6" x14ac:dyDescent="0.6">
      <c r="A41" s="35"/>
      <c r="B41" s="28" t="s">
        <v>224</v>
      </c>
      <c r="C41" s="217" t="s">
        <v>8</v>
      </c>
      <c r="D41" s="218">
        <v>632.21439999999996</v>
      </c>
      <c r="E41" s="37"/>
      <c r="F41" s="38"/>
    </row>
    <row r="42" spans="1:6" x14ac:dyDescent="0.6">
      <c r="A42" s="35"/>
      <c r="B42" s="41" t="s">
        <v>79</v>
      </c>
      <c r="C42" s="202" t="s">
        <v>8</v>
      </c>
      <c r="D42" s="219">
        <f>D41</f>
        <v>632.21439999999996</v>
      </c>
      <c r="E42" s="37"/>
      <c r="F42" s="38"/>
    </row>
    <row r="43" spans="1:6" x14ac:dyDescent="0.6">
      <c r="A43" s="35"/>
      <c r="B43" s="36"/>
      <c r="C43" s="36"/>
      <c r="D43" s="191"/>
      <c r="E43" s="37"/>
      <c r="F43" s="38"/>
    </row>
    <row r="44" spans="1:6" x14ac:dyDescent="0.6">
      <c r="A44" s="31" t="s">
        <v>80</v>
      </c>
      <c r="B44" s="32"/>
      <c r="C44" s="32"/>
      <c r="D44" s="189"/>
      <c r="E44" s="33"/>
      <c r="F44" s="34"/>
    </row>
    <row r="45" spans="1:6" ht="22.5" thickBot="1" x14ac:dyDescent="0.65">
      <c r="A45" s="35"/>
      <c r="B45" s="36"/>
      <c r="C45" s="36"/>
      <c r="D45" s="191"/>
      <c r="E45" s="37"/>
      <c r="F45" s="38"/>
    </row>
    <row r="46" spans="1:6" x14ac:dyDescent="0.6">
      <c r="A46" s="35"/>
      <c r="B46" s="39" t="s">
        <v>2</v>
      </c>
      <c r="C46" s="40" t="s">
        <v>58</v>
      </c>
      <c r="D46" s="192" t="s">
        <v>59</v>
      </c>
      <c r="E46" s="37"/>
      <c r="F46" s="38"/>
    </row>
    <row r="47" spans="1:6" x14ac:dyDescent="0.6">
      <c r="A47" s="35"/>
      <c r="B47" s="28" t="s">
        <v>81</v>
      </c>
      <c r="C47" s="217" t="s">
        <v>8</v>
      </c>
      <c r="D47" s="163">
        <v>31</v>
      </c>
      <c r="E47" s="37"/>
      <c r="F47" s="38"/>
    </row>
    <row r="48" spans="1:6" x14ac:dyDescent="0.6">
      <c r="A48" s="35"/>
      <c r="B48" s="30" t="s">
        <v>82</v>
      </c>
      <c r="C48" s="220" t="s">
        <v>8</v>
      </c>
      <c r="D48" s="221">
        <v>2.4</v>
      </c>
      <c r="E48" s="37"/>
      <c r="F48" s="38"/>
    </row>
    <row r="49" spans="1:6" x14ac:dyDescent="0.6">
      <c r="A49" s="35"/>
      <c r="B49" s="41" t="s">
        <v>83</v>
      </c>
      <c r="C49" s="202" t="s">
        <v>10</v>
      </c>
      <c r="D49" s="219">
        <f>D48*D47</f>
        <v>74.399999999999991</v>
      </c>
      <c r="E49" s="37"/>
      <c r="F49" s="38"/>
    </row>
    <row r="50" spans="1:6" x14ac:dyDescent="0.6">
      <c r="A50" s="35"/>
      <c r="B50" s="36"/>
      <c r="C50" s="36"/>
      <c r="D50" s="191"/>
      <c r="E50" s="37"/>
      <c r="F50" s="38"/>
    </row>
    <row r="51" spans="1:6" ht="22.5" thickBot="1" x14ac:dyDescent="0.65">
      <c r="A51" s="44"/>
      <c r="B51" s="45"/>
      <c r="C51" s="45"/>
      <c r="D51" s="222"/>
      <c r="E51" s="46"/>
      <c r="F51" s="47"/>
    </row>
    <row r="52" spans="1:6" x14ac:dyDescent="0.6">
      <c r="A52" s="223"/>
      <c r="B52" s="224"/>
      <c r="C52" s="224"/>
      <c r="D52" s="225"/>
      <c r="E52" s="226"/>
      <c r="F52" s="223"/>
    </row>
    <row r="53" spans="1:6" x14ac:dyDescent="0.6">
      <c r="A53" s="223"/>
      <c r="B53" s="224"/>
      <c r="C53" s="224"/>
      <c r="D53" s="225"/>
      <c r="E53" s="226"/>
      <c r="F53" s="223"/>
    </row>
  </sheetData>
  <mergeCells count="2">
    <mergeCell ref="A4:F4"/>
    <mergeCell ref="A6:F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5EFA-57B9-4367-A783-19D51BA810ED}">
  <sheetPr>
    <outlinePr summaryBelow="0"/>
  </sheetPr>
  <dimension ref="A1:R298"/>
  <sheetViews>
    <sheetView showGridLines="0" tabSelected="1" topLeftCell="F1" zoomScale="66" zoomScaleNormal="66" workbookViewId="0">
      <pane ySplit="10" topLeftCell="A11" activePane="bottomLeft" state="frozen"/>
      <selection activeCell="F1" sqref="F1"/>
      <selection pane="bottomLeft" activeCell="M5" sqref="M5:P9"/>
    </sheetView>
  </sheetViews>
  <sheetFormatPr defaultColWidth="8.85546875" defaultRowHeight="19.5" outlineLevelRow="3" outlineLevelCol="1" x14ac:dyDescent="0.55000000000000004"/>
  <cols>
    <col min="1" max="1" width="7" style="55" hidden="1" customWidth="1" outlineLevel="1"/>
    <col min="2" max="4" width="6.7109375" style="55" hidden="1" customWidth="1" outlineLevel="1"/>
    <col min="5" max="5" width="6.7109375" style="56" hidden="1" customWidth="1" outlineLevel="1"/>
    <col min="6" max="6" width="2.5703125" style="58" customWidth="1" collapsed="1"/>
    <col min="7" max="7" width="13.28515625" style="1" hidden="1" customWidth="1" outlineLevel="1"/>
    <col min="8" max="8" width="15.42578125" style="1" customWidth="1" collapsed="1"/>
    <col min="9" max="9" width="88.85546875" style="1" customWidth="1"/>
    <col min="10" max="10" width="11.5703125" style="3" customWidth="1"/>
    <col min="11" max="11" width="13.5703125" style="50" customWidth="1"/>
    <col min="12" max="12" width="14.7109375" style="89" customWidth="1"/>
    <col min="13" max="13" width="20.5703125" style="132" customWidth="1"/>
    <col min="14" max="14" width="13.7109375" style="64" customWidth="1" outlineLevel="1"/>
    <col min="15" max="15" width="12.42578125" style="89" bestFit="1" customWidth="1" outlineLevel="1"/>
    <col min="16" max="16" width="71.140625" style="68" customWidth="1"/>
    <col min="17" max="17" width="16.85546875" style="58" bestFit="1" customWidth="1"/>
    <col min="18" max="18" width="12.42578125" style="58" bestFit="1" customWidth="1"/>
    <col min="19" max="16384" width="8.85546875" style="58"/>
  </cols>
  <sheetData>
    <row r="1" spans="1:17" ht="36.6" customHeight="1" x14ac:dyDescent="0.25">
      <c r="A1" s="51"/>
      <c r="B1" s="51"/>
      <c r="C1" s="51"/>
      <c r="D1" s="51"/>
      <c r="E1" s="51"/>
      <c r="F1" s="65"/>
      <c r="G1" s="247" t="s">
        <v>52</v>
      </c>
      <c r="H1" s="248"/>
      <c r="I1" s="248"/>
      <c r="J1" s="248"/>
      <c r="K1" s="248"/>
      <c r="L1" s="248"/>
      <c r="M1" s="248"/>
      <c r="N1" s="248"/>
      <c r="O1" s="248"/>
      <c r="P1" s="249"/>
      <c r="Q1" s="106"/>
    </row>
    <row r="2" spans="1:17" ht="5.45" customHeight="1" x14ac:dyDescent="0.25">
      <c r="A2" s="51"/>
      <c r="B2" s="51"/>
      <c r="C2" s="51"/>
      <c r="D2" s="51"/>
      <c r="E2" s="51"/>
      <c r="F2" s="65"/>
      <c r="G2" s="250"/>
      <c r="H2" s="251"/>
      <c r="I2" s="251"/>
      <c r="J2" s="251"/>
      <c r="K2" s="251"/>
      <c r="L2" s="251"/>
      <c r="M2" s="251"/>
      <c r="N2" s="251"/>
      <c r="O2" s="251"/>
      <c r="P2" s="252"/>
    </row>
    <row r="3" spans="1:17" ht="9" customHeight="1" x14ac:dyDescent="0.25">
      <c r="A3" s="51"/>
      <c r="B3" s="51"/>
      <c r="C3" s="51"/>
      <c r="D3" s="51"/>
      <c r="E3" s="51"/>
      <c r="G3" s="58"/>
      <c r="H3" s="69"/>
      <c r="I3" s="93"/>
      <c r="J3" s="69"/>
      <c r="K3" s="69"/>
      <c r="L3" s="85"/>
      <c r="M3" s="126"/>
      <c r="N3" s="70"/>
      <c r="O3" s="85"/>
      <c r="P3" s="80"/>
    </row>
    <row r="4" spans="1:17" ht="14.45" customHeight="1" x14ac:dyDescent="0.55000000000000004">
      <c r="A4" s="52" t="s">
        <v>121</v>
      </c>
      <c r="B4" s="52" t="s">
        <v>122</v>
      </c>
      <c r="C4" s="52" t="s">
        <v>123</v>
      </c>
      <c r="D4" s="52" t="s">
        <v>120</v>
      </c>
      <c r="E4" s="52" t="s">
        <v>124</v>
      </c>
      <c r="G4" s="2"/>
      <c r="H4" s="2"/>
      <c r="I4" s="94"/>
      <c r="J4" s="63"/>
      <c r="L4" s="86"/>
      <c r="M4" s="253" t="s">
        <v>144</v>
      </c>
      <c r="N4" s="253"/>
      <c r="O4" s="253"/>
      <c r="P4" s="253"/>
    </row>
    <row r="5" spans="1:17" s="72" customFormat="1" ht="16.899999999999999" customHeight="1" x14ac:dyDescent="0.2">
      <c r="A5" s="53">
        <v>0</v>
      </c>
      <c r="B5" s="53">
        <v>0</v>
      </c>
      <c r="C5" s="53">
        <v>0</v>
      </c>
      <c r="D5" s="54">
        <v>0</v>
      </c>
      <c r="E5" s="54">
        <v>0</v>
      </c>
      <c r="F5" s="71"/>
      <c r="G5" s="254" t="s">
        <v>112</v>
      </c>
      <c r="H5" s="255"/>
      <c r="I5" s="259" t="str">
        <f>OBRA!B6</f>
        <v>Cambert Engenharia</v>
      </c>
      <c r="J5" s="259"/>
      <c r="K5" s="254"/>
      <c r="L5" s="255"/>
      <c r="M5" s="256" t="s">
        <v>334</v>
      </c>
      <c r="N5" s="256"/>
      <c r="O5" s="256"/>
      <c r="P5" s="256"/>
    </row>
    <row r="6" spans="1:17" s="72" customFormat="1" ht="16.899999999999999" customHeight="1" x14ac:dyDescent="0.2">
      <c r="A6" s="53">
        <f ca="1">IF(G6="UNIDADE CONSTRUTIVA",OFFSET(A6,-1,0)+1,LARGE(A$4:A5,1))</f>
        <v>0</v>
      </c>
      <c r="B6" s="53">
        <f ca="1">IF(G6="UNIDADE CONSTRUTIVA",0,IF(G6="CÉLULA CONSTRUTIVA",OFFSET(B6,-1,0)+1,OFFSET(B6,-1,0)))</f>
        <v>0</v>
      </c>
      <c r="C6" s="53">
        <f ca="1">IF(G6="CÉLULA CONSTRUTIVA",0,IF(G6="ETAPA",OFFSET(C6,-1,0)+1,OFFSET(C6,-1,0)))</f>
        <v>0</v>
      </c>
      <c r="D6" s="54">
        <f ca="1">IF(G6="ETAPA",0,IF(G6="SUBETAPA",OFFSET(D6,-1,0)+1,OFFSET(D6,-1,0)))</f>
        <v>0</v>
      </c>
      <c r="E6" s="54">
        <f ca="1">IF(G6="Subetapa",0,IF(G6="serviço",OFFSET(E6,-1,0)+1,OFFSET(E6,-1,0)))</f>
        <v>0</v>
      </c>
      <c r="F6" s="71"/>
      <c r="G6" s="254" t="s">
        <v>133</v>
      </c>
      <c r="H6" s="255"/>
      <c r="I6" s="259" t="str">
        <f>OBRA!B5</f>
        <v>NOW Residence</v>
      </c>
      <c r="J6" s="259"/>
      <c r="K6" s="254"/>
      <c r="L6" s="255"/>
      <c r="M6" s="256" t="s">
        <v>393</v>
      </c>
      <c r="N6" s="256"/>
      <c r="O6" s="256"/>
      <c r="P6" s="256"/>
    </row>
    <row r="7" spans="1:17" s="72" customFormat="1" ht="16.899999999999999" customHeight="1" x14ac:dyDescent="0.2">
      <c r="A7" s="53">
        <f ca="1">IF(G7="UNIDADE CONSTRUTIVA",OFFSET(A7,-1,0)+1,LARGE(A$4:A6,1))</f>
        <v>0</v>
      </c>
      <c r="B7" s="53">
        <f t="shared" ref="B7" ca="1" si="0">IF(G7="UNIDADE CONSTRUTIVA",0,IF(G7="CÉLULA CONSTRUTIVA",OFFSET(B7,-1,0)+1,OFFSET(B7,-1,0)))</f>
        <v>0</v>
      </c>
      <c r="C7" s="53">
        <f t="shared" ref="C7" ca="1" si="1">IF(G7="CÉLULA CONSTRUTIVA",0,IF(G7="ETAPA",OFFSET(C7,-1,0)+1,OFFSET(C7,-1,0)))</f>
        <v>0</v>
      </c>
      <c r="D7" s="54">
        <f t="shared" ref="D7" ca="1" si="2">IF(G7="ETAPA",0,IF(G7="SUBETAPA",OFFSET(D7,-1,0)+1,OFFSET(D7,-1,0)))</f>
        <v>0</v>
      </c>
      <c r="E7" s="54">
        <f t="shared" ref="E7" ca="1" si="3">IF(G7="Subetapa",0,IF(G7="serviço",OFFSET(E7,-1,0)+1,OFFSET(E7,-1,0)))</f>
        <v>0</v>
      </c>
      <c r="F7" s="71"/>
      <c r="G7" s="254" t="s">
        <v>113</v>
      </c>
      <c r="H7" s="255"/>
      <c r="I7" s="258">
        <f>OBRA!B7</f>
        <v>46107</v>
      </c>
      <c r="J7" s="258"/>
      <c r="K7" s="254"/>
      <c r="L7" s="255"/>
      <c r="M7" s="256" t="s">
        <v>398</v>
      </c>
      <c r="N7" s="256"/>
      <c r="O7" s="256"/>
      <c r="P7" s="256"/>
    </row>
    <row r="8" spans="1:17" s="72" customFormat="1" ht="16.899999999999999" customHeight="1" x14ac:dyDescent="0.2">
      <c r="A8" s="53"/>
      <c r="B8" s="53"/>
      <c r="C8" s="53"/>
      <c r="D8" s="54"/>
      <c r="E8" s="54"/>
      <c r="G8" s="231"/>
      <c r="H8" s="232" t="s">
        <v>343</v>
      </c>
      <c r="I8" s="233" t="str">
        <f>OBRA!B8</f>
        <v>R00</v>
      </c>
      <c r="J8" s="233"/>
      <c r="K8" s="232"/>
      <c r="L8" s="232"/>
      <c r="M8" s="256"/>
      <c r="N8" s="256"/>
      <c r="O8" s="256"/>
      <c r="P8" s="256"/>
    </row>
    <row r="9" spans="1:17" s="72" customFormat="1" ht="16.899999999999999" customHeight="1" x14ac:dyDescent="0.2">
      <c r="A9" s="53"/>
      <c r="B9" s="53"/>
      <c r="C9" s="53"/>
      <c r="D9" s="54"/>
      <c r="E9" s="54"/>
      <c r="G9" s="231"/>
      <c r="H9" s="232"/>
      <c r="I9" s="233"/>
      <c r="J9" s="233"/>
      <c r="K9" s="232"/>
      <c r="L9" s="232"/>
      <c r="M9" s="256" t="s">
        <v>340</v>
      </c>
      <c r="N9" s="256"/>
      <c r="O9" s="256"/>
      <c r="P9" s="256"/>
    </row>
    <row r="10" spans="1:17" ht="23.45" customHeight="1" x14ac:dyDescent="0.55000000000000004">
      <c r="A10" s="53"/>
      <c r="B10" s="53">
        <f t="shared" ref="B10:B16" ca="1" si="4">IF(G10="UNIDADE CONSTRUTIVA",0,IF(G10="CÉLULA CONSTRUTIVA",OFFSET(B10,-1,0)+1,OFFSET(B10,-1,0)))</f>
        <v>0</v>
      </c>
      <c r="C10" s="53">
        <f t="shared" ref="C10:C16" ca="1" si="5">IF(G10="CÉLULA CONSTRUTIVA",0,IF(G10="ETAPA",OFFSET(C10,-1,0)+1,OFFSET(C10,-1,0)))</f>
        <v>0</v>
      </c>
      <c r="D10" s="54">
        <f t="shared" ref="D10:D16" ca="1" si="6">IF(G10="ETAPA",0,IF(G10="SUBETAPA",OFFSET(D10,-1,0)+1,OFFSET(D10,-1,0)))</f>
        <v>0</v>
      </c>
      <c r="E10" s="54">
        <f t="shared" ref="E10:E16" ca="1" si="7">IF(G10="Subetapa",0,IF(G10="serviço",OFFSET(E10,-1,0)+1,OFFSET(E10,-1,0)))</f>
        <v>0</v>
      </c>
      <c r="G10" s="2"/>
      <c r="H10" s="261" t="s">
        <v>191</v>
      </c>
      <c r="I10" s="261"/>
      <c r="J10" s="261"/>
      <c r="K10" s="261"/>
      <c r="L10" s="261"/>
      <c r="M10" s="261"/>
      <c r="N10" s="261"/>
      <c r="O10" s="261"/>
      <c r="P10" s="261"/>
    </row>
    <row r="11" spans="1:17" ht="35.25" customHeight="1" x14ac:dyDescent="0.2">
      <c r="A11" s="53">
        <f ca="1">IF(G11="UNIDADE CONSTRUTIVA",OFFSET(A11,-1,0)+1,LARGE(A$4:A10,1))</f>
        <v>0</v>
      </c>
      <c r="B11" s="53">
        <f t="shared" ca="1" si="4"/>
        <v>0</v>
      </c>
      <c r="C11" s="53">
        <f t="shared" ca="1" si="5"/>
        <v>0</v>
      </c>
      <c r="D11" s="54">
        <f t="shared" ca="1" si="6"/>
        <v>0</v>
      </c>
      <c r="E11" s="54">
        <f t="shared" ca="1" si="7"/>
        <v>0</v>
      </c>
      <c r="F11" s="65"/>
      <c r="G11" s="115" t="s">
        <v>148</v>
      </c>
      <c r="H11" s="113" t="s">
        <v>1</v>
      </c>
      <c r="I11" s="114" t="s">
        <v>2</v>
      </c>
      <c r="J11" s="113" t="s">
        <v>3</v>
      </c>
      <c r="K11" s="116" t="s">
        <v>59</v>
      </c>
      <c r="L11" s="117" t="s">
        <v>4</v>
      </c>
      <c r="M11" s="127" t="s">
        <v>5</v>
      </c>
      <c r="N11" s="118" t="s">
        <v>145</v>
      </c>
      <c r="O11" s="117" t="s">
        <v>146</v>
      </c>
      <c r="P11" s="119" t="s">
        <v>147</v>
      </c>
    </row>
    <row r="12" spans="1:17" s="72" customFormat="1" ht="16.899999999999999" customHeight="1" x14ac:dyDescent="0.2">
      <c r="A12" s="98">
        <f ca="1">IF(G12="UNIDADE CONSTRUTIVA",OFFSET(A12,-1,0)+1,LARGE(A$4:A11,1))</f>
        <v>0</v>
      </c>
      <c r="B12" s="53">
        <f ca="1">IF(G12="UNIDADE CONSTRUTIVA",0,IF(G12="CÉLULA CONSTRUTIVA",OFFSET(B12,-1,0)+1,OFFSET(B12,-1,0)))</f>
        <v>0</v>
      </c>
      <c r="C12" s="53">
        <f ca="1">IF(G12="CÉLULA CONSTRUTIVA",0,IF(G12="ETAPA",OFFSET(C12,-1,0)+1,OFFSET(C12,-1,0)))</f>
        <v>0</v>
      </c>
      <c r="D12" s="54">
        <f ca="1">IF(G12="ETAPA",0,IF(G12="SUBETAPA",OFFSET(D12,-1,0)+1,OFFSET(D12,-1,0)))</f>
        <v>0</v>
      </c>
      <c r="E12" s="54">
        <f ca="1">IF(G12="Subetapa",0,IF(G12="serviço",OFFSET(E12,-1,0)+1,OFFSET(E12,-1,0)))</f>
        <v>0</v>
      </c>
      <c r="G12" s="262"/>
      <c r="H12" s="260"/>
      <c r="I12" s="257"/>
      <c r="J12" s="257"/>
      <c r="K12" s="260"/>
      <c r="L12" s="260"/>
      <c r="M12" s="128"/>
      <c r="N12" s="124"/>
      <c r="O12" s="124"/>
      <c r="P12" s="125"/>
    </row>
    <row r="13" spans="1:17" s="1" customFormat="1" ht="19.899999999999999" customHeight="1" x14ac:dyDescent="0.55000000000000004">
      <c r="A13" s="98">
        <f ca="1">IF(G13="UNIDADE CONSTRUTIVA",OFFSET(A13,-1,0)+1,LARGE(A$4:A12,1))</f>
        <v>1</v>
      </c>
      <c r="B13" s="98">
        <f t="shared" ca="1" si="4"/>
        <v>0</v>
      </c>
      <c r="C13" s="98">
        <f t="shared" ca="1" si="5"/>
        <v>0</v>
      </c>
      <c r="D13" s="99">
        <f t="shared" ca="1" si="6"/>
        <v>0</v>
      </c>
      <c r="E13" s="99">
        <f t="shared" ca="1" si="7"/>
        <v>0</v>
      </c>
      <c r="F13" s="100"/>
      <c r="G13" s="120" t="s">
        <v>117</v>
      </c>
      <c r="H13" s="73" t="str">
        <f ca="1">IF(G13="Unidade Construtiva",CONCATENATE("UC ",TEXT(A13,"00")),IF(G13="Célula Construtiva",TEXT(B13,"00"),IF(G13="Etapa",CONCATENATE(TEXT(B13,"00"),".",TEXT(C13,"000")),IF(G13="Subetapa",CONCATENATE(TEXT(B13,"00"),".",TEXT(C13,"000"),".",TEXT(D13,"000")),IF(G13="Serviço",CONCATENATE(TEXT(B13,"00"),".",TEXT(C13,"000"),".",TEXT(D13,"000"),".",TEXT(E13,"000")),"")))))</f>
        <v>UC 01</v>
      </c>
      <c r="I13" s="95" t="s">
        <v>50</v>
      </c>
      <c r="J13" s="121"/>
      <c r="K13" s="122"/>
      <c r="L13" s="112"/>
      <c r="M13" s="129">
        <f>M14+M44</f>
        <v>4611806.8072808525</v>
      </c>
      <c r="N13" s="74">
        <f t="shared" ref="N13:N96" si="8">M13/$M$298</f>
        <v>9.2609414569515144E-2</v>
      </c>
      <c r="O13" s="97">
        <f>M13/OBRA!$D$12</f>
        <v>347.39782010644228</v>
      </c>
      <c r="P13" s="123"/>
    </row>
    <row r="14" spans="1:17" s="1" customFormat="1" ht="19.899999999999999" customHeight="1" outlineLevel="1" x14ac:dyDescent="0.55000000000000004">
      <c r="A14" s="98">
        <f ca="1">IF(G14="UNIDADE CONSTRUTIVA",OFFSET(A14,-1,0)+1,LARGE(A$4:A13,1))</f>
        <v>1</v>
      </c>
      <c r="B14" s="98">
        <f t="shared" ca="1" si="4"/>
        <v>1</v>
      </c>
      <c r="C14" s="98">
        <f t="shared" ca="1" si="5"/>
        <v>0</v>
      </c>
      <c r="D14" s="99">
        <f t="shared" ca="1" si="6"/>
        <v>0</v>
      </c>
      <c r="E14" s="99">
        <f t="shared" ca="1" si="7"/>
        <v>0</v>
      </c>
      <c r="G14" s="75" t="s">
        <v>118</v>
      </c>
      <c r="H14" s="76" t="str">
        <f t="shared" ref="H14:H16" ca="1" si="9">IF(G14="Unidade Construtiva",CONCATENATE("UC ",TEXT(A14,"00")),IF(G14="Célula Construtiva",TEXT(B14,"00"),IF(G14="Etapa",CONCATENATE(TEXT(B14,"00"),".",TEXT(C14,"000")),IF(G14="Subetapa",CONCATENATE(TEXT(B14,"00"),".",TEXT(C14,"000"),".",TEXT(D14,"000")),IF(G14="Serviço",CONCATENATE(TEXT(B14,"00"),".",TEXT(C14,"000"),".",TEXT(D14,"000"),".",TEXT(E14,"000")),"")))))</f>
        <v>01</v>
      </c>
      <c r="I14" s="92" t="s">
        <v>229</v>
      </c>
      <c r="J14" s="77"/>
      <c r="K14" s="78"/>
      <c r="L14" s="87" t="s">
        <v>85</v>
      </c>
      <c r="M14" s="130">
        <f>M15+M34</f>
        <v>1796608.0773561599</v>
      </c>
      <c r="N14" s="79">
        <f t="shared" si="8"/>
        <v>3.6077578529989725E-2</v>
      </c>
      <c r="O14" s="87">
        <f>M14/OBRA!$D$12</f>
        <v>135.33475181002899</v>
      </c>
      <c r="P14" s="81"/>
    </row>
    <row r="15" spans="1:17" s="1" customFormat="1" ht="19.899999999999999" customHeight="1" outlineLevel="2" x14ac:dyDescent="0.55000000000000004">
      <c r="A15" s="98">
        <f ca="1">IF(G15="UNIDADE CONSTRUTIVA",OFFSET(A15,-1,0)+1,LARGE(A$4:A14,1))</f>
        <v>1</v>
      </c>
      <c r="B15" s="98">
        <f t="shared" ca="1" si="4"/>
        <v>1</v>
      </c>
      <c r="C15" s="98">
        <f t="shared" ca="1" si="5"/>
        <v>1</v>
      </c>
      <c r="D15" s="99">
        <f t="shared" ca="1" si="6"/>
        <v>0</v>
      </c>
      <c r="E15" s="99">
        <f t="shared" ca="1" si="7"/>
        <v>0</v>
      </c>
      <c r="G15" s="75" t="s">
        <v>119</v>
      </c>
      <c r="H15" s="76" t="str">
        <f t="shared" ca="1" si="9"/>
        <v>01.001</v>
      </c>
      <c r="I15" s="92" t="s">
        <v>87</v>
      </c>
      <c r="J15" s="77"/>
      <c r="K15" s="78"/>
      <c r="L15" s="87" t="s">
        <v>85</v>
      </c>
      <c r="M15" s="130">
        <f>SUM(M16:M33)/2</f>
        <v>1378548.5900000003</v>
      </c>
      <c r="N15" s="79">
        <f t="shared" si="8"/>
        <v>2.7682551158469609E-2</v>
      </c>
      <c r="O15" s="87">
        <f>M15/OBRA!$D$12</f>
        <v>103.8431996589152</v>
      </c>
      <c r="P15" s="81"/>
    </row>
    <row r="16" spans="1:17" s="1" customFormat="1" ht="19.899999999999999" customHeight="1" outlineLevel="2" x14ac:dyDescent="0.55000000000000004">
      <c r="A16" s="98">
        <f ca="1">IF(G16="UNIDADE CONSTRUTIVA",OFFSET(A16,-1,0)+1,LARGE(A$4:A15,1))</f>
        <v>1</v>
      </c>
      <c r="B16" s="98">
        <f t="shared" ca="1" si="4"/>
        <v>1</v>
      </c>
      <c r="C16" s="98">
        <f t="shared" ca="1" si="5"/>
        <v>1</v>
      </c>
      <c r="D16" s="99">
        <f t="shared" ca="1" si="6"/>
        <v>1</v>
      </c>
      <c r="E16" s="99">
        <f t="shared" ca="1" si="7"/>
        <v>0</v>
      </c>
      <c r="G16" s="75" t="s">
        <v>120</v>
      </c>
      <c r="H16" s="76" t="str">
        <f t="shared" ca="1" si="9"/>
        <v>01.001.001</v>
      </c>
      <c r="I16" s="92" t="s">
        <v>53</v>
      </c>
      <c r="J16" s="77"/>
      <c r="K16" s="78"/>
      <c r="L16" s="87" t="s">
        <v>85</v>
      </c>
      <c r="M16" s="130"/>
      <c r="N16" s="79">
        <f t="shared" si="8"/>
        <v>0</v>
      </c>
      <c r="O16" s="87">
        <f>M16/OBRA!$D$12</f>
        <v>0</v>
      </c>
      <c r="P16" s="81"/>
    </row>
    <row r="17" spans="1:16" s="1" customFormat="1" ht="19.899999999999999" customHeight="1" outlineLevel="2" collapsed="1" x14ac:dyDescent="0.55000000000000004">
      <c r="A17" s="98">
        <f ca="1">IF(G17="UNIDADE CONSTRUTIVA",OFFSET(A17,-1,0)+1,LARGE(A$4:A16,1))</f>
        <v>1</v>
      </c>
      <c r="B17" s="98">
        <f t="shared" ref="B17:B34" ca="1" si="10">IF(G17="UNIDADE CONSTRUTIVA",0,IF(G17="CÉLULA CONSTRUTIVA",OFFSET(B17,-1,0)+1,OFFSET(B17,-1,0)))</f>
        <v>1</v>
      </c>
      <c r="C17" s="98">
        <f t="shared" ref="C17:C34" ca="1" si="11">IF(G17="CÉLULA CONSTRUTIVA",0,IF(G17="ETAPA",OFFSET(C17,-1,0)+1,OFFSET(C17,-1,0)))</f>
        <v>1</v>
      </c>
      <c r="D17" s="99">
        <f t="shared" ref="D17:D34" ca="1" si="12">IF(G17="ETAPA",0,IF(G17="SUBETAPA",OFFSET(D17,-1,0)+1,OFFSET(D17,-1,0)))</f>
        <v>2</v>
      </c>
      <c r="E17" s="99">
        <f t="shared" ref="E17:E34" ca="1" si="13">IF(G17="Subetapa",0,IF(G17="serviço",OFFSET(E17,-1,0)+1,OFFSET(E17,-1,0)))</f>
        <v>0</v>
      </c>
      <c r="G17" s="75" t="s">
        <v>120</v>
      </c>
      <c r="H17" s="76" t="str">
        <f t="shared" ref="H17:H34" ca="1" si="14">IF(G17="Unidade Construtiva",CONCATENATE("UC ",TEXT(A17,"00")),IF(G17="Célula Construtiva",TEXT(B17,"00"),IF(G17="Etapa",CONCATENATE(TEXT(B17,"00"),".",TEXT(C17,"000")),IF(G17="Subetapa",CONCATENATE(TEXT(B17,"00"),".",TEXT(C17,"000"),".",TEXT(D17,"000")),IF(G17="Serviço",CONCATENATE(TEXT(B17,"00"),".",TEXT(C17,"000"),".",TEXT(D17,"000"),".",TEXT(E17,"000")),"")))))</f>
        <v>01.001.002</v>
      </c>
      <c r="I17" s="92" t="s">
        <v>54</v>
      </c>
      <c r="J17" s="77"/>
      <c r="K17" s="78"/>
      <c r="L17" s="87" t="s">
        <v>85</v>
      </c>
      <c r="M17" s="130">
        <f>SUM(M18:M27)</f>
        <v>1251785.4999999998</v>
      </c>
      <c r="N17" s="79">
        <f t="shared" si="8"/>
        <v>2.5137029187473504E-2</v>
      </c>
      <c r="O17" s="87">
        <f>M17/OBRA!$D$12</f>
        <v>94.294399595037078</v>
      </c>
      <c r="P17" s="81"/>
    </row>
    <row r="18" spans="1:16" s="1" customFormat="1" ht="19.899999999999999" hidden="1" customHeight="1" outlineLevel="3" x14ac:dyDescent="0.55000000000000004">
      <c r="A18" s="98">
        <f ca="1">IF(G18="UNIDADE CONSTRUTIVA",OFFSET(A18,-1,0)+1,LARGE(A$4:A17,1))</f>
        <v>1</v>
      </c>
      <c r="B18" s="98">
        <f t="shared" ca="1" si="10"/>
        <v>1</v>
      </c>
      <c r="C18" s="98">
        <f t="shared" ca="1" si="11"/>
        <v>1</v>
      </c>
      <c r="D18" s="99">
        <f t="shared" ca="1" si="12"/>
        <v>2</v>
      </c>
      <c r="E18" s="99">
        <f t="shared" ca="1" si="13"/>
        <v>1</v>
      </c>
      <c r="G18" s="75" t="s">
        <v>124</v>
      </c>
      <c r="H18" s="76" t="str">
        <f t="shared" ca="1" si="14"/>
        <v>01.001.002.001</v>
      </c>
      <c r="I18" s="92" t="s">
        <v>408</v>
      </c>
      <c r="J18" s="77" t="s">
        <v>6</v>
      </c>
      <c r="K18" s="78">
        <v>1</v>
      </c>
      <c r="L18" s="87">
        <v>316907.71999999997</v>
      </c>
      <c r="M18" s="130">
        <f t="shared" ref="M18:M27" si="15">K18*L18</f>
        <v>316907.71999999997</v>
      </c>
      <c r="N18" s="79">
        <f t="shared" ref="N18:N27" si="16">M18/$M$298</f>
        <v>6.3638048270855362E-3</v>
      </c>
      <c r="O18" s="87">
        <f>M18/OBRA!$D$12</f>
        <v>23.871999783055582</v>
      </c>
      <c r="P18" s="81"/>
    </row>
    <row r="19" spans="1:16" s="1" customFormat="1" ht="19.899999999999999" hidden="1" customHeight="1" outlineLevel="3" x14ac:dyDescent="0.55000000000000004">
      <c r="A19" s="98">
        <f ca="1">IF(G19="UNIDADE CONSTRUTIVA",OFFSET(A19,-1,0)+1,LARGE(A$4:A18,1))</f>
        <v>1</v>
      </c>
      <c r="B19" s="98">
        <f t="shared" ca="1" si="10"/>
        <v>1</v>
      </c>
      <c r="C19" s="98">
        <f t="shared" ca="1" si="11"/>
        <v>1</v>
      </c>
      <c r="D19" s="99">
        <f t="shared" ca="1" si="12"/>
        <v>2</v>
      </c>
      <c r="E19" s="99">
        <f t="shared" ca="1" si="13"/>
        <v>2</v>
      </c>
      <c r="G19" s="75" t="s">
        <v>124</v>
      </c>
      <c r="H19" s="76" t="str">
        <f t="shared" ca="1" si="14"/>
        <v>01.001.002.002</v>
      </c>
      <c r="I19" s="92" t="s">
        <v>409</v>
      </c>
      <c r="J19" s="77" t="s">
        <v>6</v>
      </c>
      <c r="K19" s="78">
        <v>1</v>
      </c>
      <c r="L19" s="87">
        <v>237680.79</v>
      </c>
      <c r="M19" s="130">
        <f t="shared" si="15"/>
        <v>237680.79</v>
      </c>
      <c r="N19" s="79">
        <f t="shared" si="16"/>
        <v>4.772853620314153E-3</v>
      </c>
      <c r="O19" s="87">
        <f>M19/OBRA!$D$12</f>
        <v>17.903999837291689</v>
      </c>
      <c r="P19" s="81"/>
    </row>
    <row r="20" spans="1:16" s="1" customFormat="1" ht="19.899999999999999" hidden="1" customHeight="1" outlineLevel="3" x14ac:dyDescent="0.55000000000000004">
      <c r="A20" s="98">
        <f ca="1">IF(G20="UNIDADE CONSTRUTIVA",OFFSET(A20,-1,0)+1,LARGE(A$4:A18,1))</f>
        <v>1</v>
      </c>
      <c r="B20" s="98">
        <f t="shared" ca="1" si="10"/>
        <v>1</v>
      </c>
      <c r="C20" s="98">
        <f t="shared" ca="1" si="11"/>
        <v>1</v>
      </c>
      <c r="D20" s="99">
        <f t="shared" ca="1" si="12"/>
        <v>2</v>
      </c>
      <c r="E20" s="99">
        <f t="shared" ca="1" si="13"/>
        <v>3</v>
      </c>
      <c r="G20" s="75" t="s">
        <v>124</v>
      </c>
      <c r="H20" s="76" t="str">
        <f t="shared" ca="1" si="14"/>
        <v>01.001.002.003</v>
      </c>
      <c r="I20" s="92" t="s">
        <v>410</v>
      </c>
      <c r="J20" s="77" t="s">
        <v>6</v>
      </c>
      <c r="K20" s="78">
        <v>1</v>
      </c>
      <c r="L20" s="87">
        <v>126763.09</v>
      </c>
      <c r="M20" s="130">
        <f t="shared" si="15"/>
        <v>126763.09</v>
      </c>
      <c r="N20" s="79">
        <f t="shared" si="16"/>
        <v>2.5455219709960941E-3</v>
      </c>
      <c r="O20" s="87">
        <f>M20/OBRA!$D$12</f>
        <v>9.5488000638780761</v>
      </c>
      <c r="P20" s="81"/>
    </row>
    <row r="21" spans="1:16" s="1" customFormat="1" ht="19.899999999999999" hidden="1" customHeight="1" outlineLevel="3" x14ac:dyDescent="0.55000000000000004">
      <c r="A21" s="98">
        <f ca="1">IF(G21="UNIDADE CONSTRUTIVA",OFFSET(A21,-1,0)+1,LARGE(A$4:A19,1))</f>
        <v>1</v>
      </c>
      <c r="B21" s="98">
        <f t="shared" ca="1" si="10"/>
        <v>1</v>
      </c>
      <c r="C21" s="98">
        <f t="shared" ca="1" si="11"/>
        <v>1</v>
      </c>
      <c r="D21" s="99">
        <f t="shared" ca="1" si="12"/>
        <v>2</v>
      </c>
      <c r="E21" s="99">
        <f t="shared" ca="1" si="13"/>
        <v>4</v>
      </c>
      <c r="G21" s="75" t="s">
        <v>124</v>
      </c>
      <c r="H21" s="76" t="str">
        <f t="shared" ca="1" si="14"/>
        <v>01.001.002.004</v>
      </c>
      <c r="I21" s="92" t="s">
        <v>411</v>
      </c>
      <c r="J21" s="77" t="s">
        <v>6</v>
      </c>
      <c r="K21" s="78">
        <v>1</v>
      </c>
      <c r="L21" s="87">
        <v>126763.09</v>
      </c>
      <c r="M21" s="130">
        <f t="shared" si="15"/>
        <v>126763.09</v>
      </c>
      <c r="N21" s="79">
        <f t="shared" si="16"/>
        <v>2.5455219709960941E-3</v>
      </c>
      <c r="O21" s="87">
        <f>M21/OBRA!$D$12</f>
        <v>9.5488000638780761</v>
      </c>
      <c r="P21" s="81"/>
    </row>
    <row r="22" spans="1:16" s="1" customFormat="1" ht="19.899999999999999" hidden="1" customHeight="1" outlineLevel="3" x14ac:dyDescent="0.55000000000000004">
      <c r="A22" s="98">
        <f ca="1">IF(G22="UNIDADE CONSTRUTIVA",OFFSET(A22,-1,0)+1,LARGE(A$4:A19,1))</f>
        <v>1</v>
      </c>
      <c r="B22" s="98">
        <f t="shared" ca="1" si="10"/>
        <v>1</v>
      </c>
      <c r="C22" s="98">
        <f t="shared" ca="1" si="11"/>
        <v>1</v>
      </c>
      <c r="D22" s="99">
        <f t="shared" ca="1" si="12"/>
        <v>2</v>
      </c>
      <c r="E22" s="99">
        <f t="shared" ca="1" si="13"/>
        <v>5</v>
      </c>
      <c r="G22" s="75" t="s">
        <v>124</v>
      </c>
      <c r="H22" s="76" t="str">
        <f t="shared" ca="1" si="14"/>
        <v>01.001.002.005</v>
      </c>
      <c r="I22" s="92" t="s">
        <v>412</v>
      </c>
      <c r="J22" s="77" t="s">
        <v>6</v>
      </c>
      <c r="K22" s="78">
        <v>1</v>
      </c>
      <c r="L22" s="87">
        <v>126763.09</v>
      </c>
      <c r="M22" s="130">
        <f t="shared" si="15"/>
        <v>126763.09</v>
      </c>
      <c r="N22" s="79">
        <f t="shared" si="16"/>
        <v>2.5455219709960941E-3</v>
      </c>
      <c r="O22" s="87">
        <f>M22/OBRA!$D$12</f>
        <v>9.5488000638780761</v>
      </c>
      <c r="P22" s="81"/>
    </row>
    <row r="23" spans="1:16" s="1" customFormat="1" ht="19.899999999999999" hidden="1" customHeight="1" outlineLevel="3" x14ac:dyDescent="0.55000000000000004">
      <c r="A23" s="98">
        <f ca="1">IF(G23="UNIDADE CONSTRUTIVA",OFFSET(A23,-1,0)+1,LARGE(A$4:A20,1))</f>
        <v>1</v>
      </c>
      <c r="B23" s="98">
        <f t="shared" ref="B23:B24" ca="1" si="17">IF(G23="UNIDADE CONSTRUTIVA",0,IF(G23="CÉLULA CONSTRUTIVA",OFFSET(B23,-1,0)+1,OFFSET(B23,-1,0)))</f>
        <v>1</v>
      </c>
      <c r="C23" s="98">
        <f t="shared" ref="C23:C24" ca="1" si="18">IF(G23="CÉLULA CONSTRUTIVA",0,IF(G23="ETAPA",OFFSET(C23,-1,0)+1,OFFSET(C23,-1,0)))</f>
        <v>1</v>
      </c>
      <c r="D23" s="99">
        <f t="shared" ref="D23:D24" ca="1" si="19">IF(G23="ETAPA",0,IF(G23="SUBETAPA",OFFSET(D23,-1,0)+1,OFFSET(D23,-1,0)))</f>
        <v>2</v>
      </c>
      <c r="E23" s="99">
        <f t="shared" ref="E23:E24" ca="1" si="20">IF(G23="Subetapa",0,IF(G23="serviço",OFFSET(E23,-1,0)+1,OFFSET(E23,-1,0)))</f>
        <v>6</v>
      </c>
      <c r="G23" s="75" t="s">
        <v>124</v>
      </c>
      <c r="H23" s="76" t="str">
        <f t="shared" ref="H23:H24" ca="1" si="21">IF(G23="Unidade Construtiva",CONCATENATE("UC ",TEXT(A23,"00")),IF(G23="Célula Construtiva",TEXT(B23,"00"),IF(G23="Etapa",CONCATENATE(TEXT(B23,"00"),".",TEXT(C23,"000")),IF(G23="Subetapa",CONCATENATE(TEXT(B23,"00"),".",TEXT(C23,"000"),".",TEXT(D23,"000")),IF(G23="Serviço",CONCATENATE(TEXT(B23,"00"),".",TEXT(C23,"000"),".",TEXT(D23,"000"),".",TEXT(E23,"000")),"")))))</f>
        <v>01.001.002.006</v>
      </c>
      <c r="I23" s="92" t="s">
        <v>413</v>
      </c>
      <c r="J23" s="77" t="s">
        <v>6</v>
      </c>
      <c r="K23" s="78">
        <v>1</v>
      </c>
      <c r="L23" s="87">
        <v>79226.929999999993</v>
      </c>
      <c r="M23" s="130">
        <f t="shared" ref="M23:M24" si="22">K23*L23</f>
        <v>79226.929999999993</v>
      </c>
      <c r="N23" s="79">
        <f t="shared" ref="N23:N24" si="23">M23/$M$298</f>
        <v>1.590951206771384E-3</v>
      </c>
      <c r="O23" s="87">
        <f>M23/OBRA!$D$12</f>
        <v>5.9679999457638955</v>
      </c>
      <c r="P23" s="81"/>
    </row>
    <row r="24" spans="1:16" s="1" customFormat="1" ht="19.899999999999999" hidden="1" customHeight="1" outlineLevel="3" x14ac:dyDescent="0.55000000000000004">
      <c r="A24" s="98">
        <f ca="1">IF(G24="UNIDADE CONSTRUTIVA",OFFSET(A24,-1,0)+1,LARGE(A$4:A23,1))</f>
        <v>1</v>
      </c>
      <c r="B24" s="98">
        <f t="shared" ca="1" si="17"/>
        <v>1</v>
      </c>
      <c r="C24" s="98">
        <f t="shared" ca="1" si="18"/>
        <v>1</v>
      </c>
      <c r="D24" s="99">
        <f t="shared" ca="1" si="19"/>
        <v>2</v>
      </c>
      <c r="E24" s="99">
        <f t="shared" ca="1" si="20"/>
        <v>7</v>
      </c>
      <c r="G24" s="75" t="s">
        <v>124</v>
      </c>
      <c r="H24" s="76" t="str">
        <f t="shared" ca="1" si="21"/>
        <v>01.001.002.007</v>
      </c>
      <c r="I24" s="92" t="s">
        <v>414</v>
      </c>
      <c r="J24" s="77" t="s">
        <v>6</v>
      </c>
      <c r="K24" s="78">
        <v>1</v>
      </c>
      <c r="L24" s="87">
        <v>31690.77</v>
      </c>
      <c r="M24" s="130">
        <f t="shared" si="22"/>
        <v>31690.77</v>
      </c>
      <c r="N24" s="79">
        <f t="shared" si="23"/>
        <v>6.3638044254667419E-4</v>
      </c>
      <c r="O24" s="87">
        <f>M24/OBRA!$D$12</f>
        <v>2.3871998276497162</v>
      </c>
      <c r="P24" s="81"/>
    </row>
    <row r="25" spans="1:16" s="1" customFormat="1" ht="19.899999999999999" hidden="1" customHeight="1" outlineLevel="3" x14ac:dyDescent="0.55000000000000004">
      <c r="A25" s="98">
        <f ca="1">IF(G25="UNIDADE CONSTRUTIVA",OFFSET(A25,-1,0)+1,LARGE(A$4:A22,1))</f>
        <v>1</v>
      </c>
      <c r="B25" s="98">
        <f t="shared" ca="1" si="10"/>
        <v>1</v>
      </c>
      <c r="C25" s="98">
        <f t="shared" ca="1" si="11"/>
        <v>1</v>
      </c>
      <c r="D25" s="99">
        <f t="shared" ca="1" si="12"/>
        <v>2</v>
      </c>
      <c r="E25" s="99">
        <f t="shared" ca="1" si="13"/>
        <v>8</v>
      </c>
      <c r="G25" s="75" t="s">
        <v>124</v>
      </c>
      <c r="H25" s="76" t="str">
        <f t="shared" ca="1" si="14"/>
        <v>01.001.002.008</v>
      </c>
      <c r="I25" s="92" t="s">
        <v>415</v>
      </c>
      <c r="J25" s="77" t="s">
        <v>6</v>
      </c>
      <c r="K25" s="78">
        <v>1</v>
      </c>
      <c r="L25" s="87">
        <v>79226.929999999993</v>
      </c>
      <c r="M25" s="130">
        <f t="shared" si="15"/>
        <v>79226.929999999993</v>
      </c>
      <c r="N25" s="79">
        <f t="shared" si="16"/>
        <v>1.590951206771384E-3</v>
      </c>
      <c r="O25" s="87">
        <f>M25/OBRA!$D$12</f>
        <v>5.9679999457638955</v>
      </c>
      <c r="P25" s="81"/>
    </row>
    <row r="26" spans="1:16" s="1" customFormat="1" ht="19.899999999999999" hidden="1" customHeight="1" outlineLevel="3" x14ac:dyDescent="0.55000000000000004">
      <c r="A26" s="98">
        <f ca="1">IF(G26="UNIDADE CONSTRUTIVA",OFFSET(A26,-1,0)+1,LARGE(A$4:A25,1))</f>
        <v>1</v>
      </c>
      <c r="B26" s="98">
        <f t="shared" ca="1" si="10"/>
        <v>1</v>
      </c>
      <c r="C26" s="98">
        <f t="shared" ca="1" si="11"/>
        <v>1</v>
      </c>
      <c r="D26" s="99">
        <f t="shared" ca="1" si="12"/>
        <v>2</v>
      </c>
      <c r="E26" s="99">
        <f t="shared" ca="1" si="13"/>
        <v>9</v>
      </c>
      <c r="G26" s="75" t="s">
        <v>124</v>
      </c>
      <c r="H26" s="76" t="str">
        <f t="shared" ca="1" si="14"/>
        <v>01.001.002.009</v>
      </c>
      <c r="I26" s="92" t="s">
        <v>416</v>
      </c>
      <c r="J26" s="77" t="s">
        <v>6</v>
      </c>
      <c r="K26" s="78">
        <v>1</v>
      </c>
      <c r="L26" s="87">
        <v>47536.160000000003</v>
      </c>
      <c r="M26" s="130">
        <f t="shared" si="15"/>
        <v>47536.160000000003</v>
      </c>
      <c r="N26" s="79">
        <f t="shared" si="16"/>
        <v>9.5457076422471006E-4</v>
      </c>
      <c r="O26" s="87">
        <f>M26/OBRA!$D$12</f>
        <v>3.5808001181141806</v>
      </c>
      <c r="P26" s="81"/>
    </row>
    <row r="27" spans="1:16" s="1" customFormat="1" ht="19.899999999999999" hidden="1" customHeight="1" outlineLevel="3" x14ac:dyDescent="0.55000000000000004">
      <c r="A27" s="98">
        <f ca="1">IF(G27="UNIDADE CONSTRUTIVA",OFFSET(A27,-1,0)+1,LARGE(A$4:A26,1))</f>
        <v>1</v>
      </c>
      <c r="B27" s="98">
        <f t="shared" ca="1" si="10"/>
        <v>1</v>
      </c>
      <c r="C27" s="98">
        <f t="shared" ca="1" si="11"/>
        <v>1</v>
      </c>
      <c r="D27" s="99">
        <f t="shared" ca="1" si="12"/>
        <v>2</v>
      </c>
      <c r="E27" s="99">
        <f t="shared" ca="1" si="13"/>
        <v>10</v>
      </c>
      <c r="G27" s="75" t="s">
        <v>124</v>
      </c>
      <c r="H27" s="76" t="str">
        <f t="shared" ca="1" si="14"/>
        <v>01.001.002.010</v>
      </c>
      <c r="I27" s="92" t="s">
        <v>417</v>
      </c>
      <c r="J27" s="77" t="s">
        <v>6</v>
      </c>
      <c r="K27" s="78">
        <v>1</v>
      </c>
      <c r="L27" s="87">
        <v>79226.929999999993</v>
      </c>
      <c r="M27" s="130">
        <f t="shared" si="15"/>
        <v>79226.929999999993</v>
      </c>
      <c r="N27" s="79">
        <f t="shared" si="16"/>
        <v>1.590951206771384E-3</v>
      </c>
      <c r="O27" s="87">
        <f>M27/OBRA!$D$12</f>
        <v>5.9679999457638955</v>
      </c>
      <c r="P27" s="81"/>
    </row>
    <row r="28" spans="1:16" s="1" customFormat="1" ht="19.899999999999999" customHeight="1" outlineLevel="2" x14ac:dyDescent="0.55000000000000004">
      <c r="A28" s="98">
        <f ca="1">IF(G28="UNIDADE CONSTRUTIVA",OFFSET(A28,-1,0)+1,LARGE(A$4:A17,1))</f>
        <v>1</v>
      </c>
      <c r="B28" s="98">
        <f t="shared" ca="1" si="10"/>
        <v>1</v>
      </c>
      <c r="C28" s="98">
        <f t="shared" ca="1" si="11"/>
        <v>1</v>
      </c>
      <c r="D28" s="99">
        <f t="shared" ca="1" si="12"/>
        <v>3</v>
      </c>
      <c r="E28" s="99">
        <f t="shared" ca="1" si="13"/>
        <v>0</v>
      </c>
      <c r="G28" s="75" t="s">
        <v>120</v>
      </c>
      <c r="H28" s="76" t="str">
        <f t="shared" ca="1" si="14"/>
        <v>01.001.003</v>
      </c>
      <c r="I28" s="92" t="s">
        <v>55</v>
      </c>
      <c r="J28" s="77"/>
      <c r="K28" s="78"/>
      <c r="L28" s="87" t="s">
        <v>85</v>
      </c>
      <c r="M28" s="130"/>
      <c r="N28" s="79">
        <f t="shared" si="8"/>
        <v>0</v>
      </c>
      <c r="O28" s="87">
        <f>M28/OBRA!$D$12</f>
        <v>0</v>
      </c>
      <c r="P28" s="81"/>
    </row>
    <row r="29" spans="1:16" s="1" customFormat="1" ht="19.899999999999999" customHeight="1" outlineLevel="2" collapsed="1" x14ac:dyDescent="0.55000000000000004">
      <c r="A29" s="98">
        <f ca="1">IF(G29="UNIDADE CONSTRUTIVA",OFFSET(A29,-1,0)+1,LARGE(A$4:A28,1))</f>
        <v>1</v>
      </c>
      <c r="B29" s="98">
        <f t="shared" ca="1" si="10"/>
        <v>1</v>
      </c>
      <c r="C29" s="98">
        <f t="shared" ca="1" si="11"/>
        <v>1</v>
      </c>
      <c r="D29" s="99">
        <f t="shared" ca="1" si="12"/>
        <v>4</v>
      </c>
      <c r="E29" s="99">
        <f t="shared" ca="1" si="13"/>
        <v>0</v>
      </c>
      <c r="G29" s="75" t="s">
        <v>120</v>
      </c>
      <c r="H29" s="76" t="str">
        <f t="shared" ca="1" si="14"/>
        <v>01.001.004</v>
      </c>
      <c r="I29" s="92" t="s">
        <v>225</v>
      </c>
      <c r="J29" s="77"/>
      <c r="K29" s="78"/>
      <c r="L29" s="87" t="s">
        <v>85</v>
      </c>
      <c r="M29" s="130">
        <f>SUM(M30:M33)</f>
        <v>126763.09</v>
      </c>
      <c r="N29" s="79">
        <f t="shared" si="8"/>
        <v>2.5455219709960941E-3</v>
      </c>
      <c r="O29" s="87">
        <f>M29/OBRA!$D$12</f>
        <v>9.5488000638780761</v>
      </c>
      <c r="P29" s="81"/>
    </row>
    <row r="30" spans="1:16" s="1" customFormat="1" ht="19.899999999999999" hidden="1" customHeight="1" outlineLevel="3" x14ac:dyDescent="0.55000000000000004">
      <c r="A30" s="98">
        <f ca="1">IF(G30="UNIDADE CONSTRUTIVA",OFFSET(A30,-1,0)+1,LARGE(A$4:A29,1))</f>
        <v>1</v>
      </c>
      <c r="B30" s="98">
        <f t="shared" ca="1" si="10"/>
        <v>1</v>
      </c>
      <c r="C30" s="98">
        <f t="shared" ca="1" si="11"/>
        <v>1</v>
      </c>
      <c r="D30" s="99">
        <f t="shared" ca="1" si="12"/>
        <v>4</v>
      </c>
      <c r="E30" s="99">
        <f t="shared" ca="1" si="13"/>
        <v>1</v>
      </c>
      <c r="G30" s="75" t="s">
        <v>124</v>
      </c>
      <c r="H30" s="76" t="str">
        <f t="shared" ca="1" si="14"/>
        <v>01.001.004.001</v>
      </c>
      <c r="I30" s="92" t="s">
        <v>418</v>
      </c>
      <c r="J30" s="77" t="s">
        <v>6</v>
      </c>
      <c r="K30" s="78">
        <v>1</v>
      </c>
      <c r="L30" s="87">
        <v>76057.850000000006</v>
      </c>
      <c r="M30" s="130">
        <f t="shared" ref="M30:M33" si="24">K30*L30</f>
        <v>76057.850000000006</v>
      </c>
      <c r="N30" s="79">
        <f t="shared" si="8"/>
        <v>1.5273131022738977E-3</v>
      </c>
      <c r="O30" s="87">
        <f>M30/OBRA!$D$12</f>
        <v>5.7292797370151609</v>
      </c>
      <c r="P30" s="81"/>
    </row>
    <row r="31" spans="1:16" s="1" customFormat="1" ht="19.899999999999999" hidden="1" customHeight="1" outlineLevel="3" x14ac:dyDescent="0.55000000000000004">
      <c r="A31" s="98">
        <f ca="1">IF(G31="UNIDADE CONSTRUTIVA",OFFSET(A31,-1,0)+1,LARGE(A$4:A28,1))</f>
        <v>1</v>
      </c>
      <c r="B31" s="98">
        <f t="shared" ref="B31:B33" ca="1" si="25">IF(G31="UNIDADE CONSTRUTIVA",0,IF(G31="CÉLULA CONSTRUTIVA",OFFSET(B31,-1,0)+1,OFFSET(B31,-1,0)))</f>
        <v>1</v>
      </c>
      <c r="C31" s="98">
        <f t="shared" ref="C31:C33" ca="1" si="26">IF(G31="CÉLULA CONSTRUTIVA",0,IF(G31="ETAPA",OFFSET(C31,-1,0)+1,OFFSET(C31,-1,0)))</f>
        <v>1</v>
      </c>
      <c r="D31" s="99">
        <f t="shared" ref="D31:D33" ca="1" si="27">IF(G31="ETAPA",0,IF(G31="SUBETAPA",OFFSET(D31,-1,0)+1,OFFSET(D31,-1,0)))</f>
        <v>4</v>
      </c>
      <c r="E31" s="99">
        <f t="shared" ref="E31:E33" ca="1" si="28">IF(G31="Subetapa",0,IF(G31="serviço",OFFSET(E31,-1,0)+1,OFFSET(E31,-1,0)))</f>
        <v>2</v>
      </c>
      <c r="G31" s="75" t="s">
        <v>124</v>
      </c>
      <c r="H31" s="76" t="str">
        <f t="shared" ref="H31:H33" ca="1" si="29">IF(G31="Unidade Construtiva",CONCATENATE("UC ",TEXT(A31,"00")),IF(G31="Célula Construtiva",TEXT(B31,"00"),IF(G31="Etapa",CONCATENATE(TEXT(B31,"00"),".",TEXT(C31,"000")),IF(G31="Subetapa",CONCATENATE(TEXT(B31,"00"),".",TEXT(C31,"000"),".",TEXT(D31,"000")),IF(G31="Serviço",CONCATENATE(TEXT(B31,"00"),".",TEXT(C31,"000"),".",TEXT(D31,"000"),".",TEXT(E31,"000")),"")))))</f>
        <v>01.001.004.002</v>
      </c>
      <c r="I31" s="92" t="s">
        <v>419</v>
      </c>
      <c r="J31" s="77" t="s">
        <v>6</v>
      </c>
      <c r="K31" s="78">
        <v>1</v>
      </c>
      <c r="L31" s="87">
        <v>25352.62</v>
      </c>
      <c r="M31" s="130">
        <f t="shared" si="24"/>
        <v>25352.62</v>
      </c>
      <c r="N31" s="79">
        <f t="shared" si="8"/>
        <v>5.0910443436109822E-4</v>
      </c>
      <c r="O31" s="87">
        <f>M31/OBRA!$D$12</f>
        <v>1.9097601634314578</v>
      </c>
      <c r="P31" s="81"/>
    </row>
    <row r="32" spans="1:16" s="1" customFormat="1" ht="19.899999999999999" hidden="1" customHeight="1" outlineLevel="3" x14ac:dyDescent="0.55000000000000004">
      <c r="A32" s="98">
        <f ca="1">IF(G32="UNIDADE CONSTRUTIVA",OFFSET(A32,-1,0)+1,LARGE(A$4:A31,1))</f>
        <v>1</v>
      </c>
      <c r="B32" s="98">
        <f t="shared" ca="1" si="25"/>
        <v>1</v>
      </c>
      <c r="C32" s="98">
        <f t="shared" ca="1" si="26"/>
        <v>1</v>
      </c>
      <c r="D32" s="99">
        <f t="shared" ca="1" si="27"/>
        <v>4</v>
      </c>
      <c r="E32" s="99">
        <f t="shared" ca="1" si="28"/>
        <v>3</v>
      </c>
      <c r="G32" s="75" t="s">
        <v>124</v>
      </c>
      <c r="H32" s="76" t="str">
        <f t="shared" ca="1" si="29"/>
        <v>01.001.004.003</v>
      </c>
      <c r="I32" s="92" t="s">
        <v>420</v>
      </c>
      <c r="J32" s="77" t="s">
        <v>6</v>
      </c>
      <c r="K32" s="78">
        <v>1</v>
      </c>
      <c r="L32" s="87">
        <v>12676.31</v>
      </c>
      <c r="M32" s="130">
        <f t="shared" si="24"/>
        <v>12676.31</v>
      </c>
      <c r="N32" s="79">
        <f t="shared" si="8"/>
        <v>2.5455221718054911E-4</v>
      </c>
      <c r="O32" s="87">
        <f>M32/OBRA!$D$12</f>
        <v>0.95488008171572891</v>
      </c>
      <c r="P32" s="81"/>
    </row>
    <row r="33" spans="1:16" s="1" customFormat="1" ht="19.899999999999999" hidden="1" customHeight="1" outlineLevel="3" x14ac:dyDescent="0.55000000000000004">
      <c r="A33" s="98">
        <f ca="1">IF(G33="UNIDADE CONSTRUTIVA",OFFSET(A33,-1,0)+1,LARGE(A$4:A32,1))</f>
        <v>1</v>
      </c>
      <c r="B33" s="98">
        <f t="shared" ca="1" si="25"/>
        <v>1</v>
      </c>
      <c r="C33" s="98">
        <f t="shared" ca="1" si="26"/>
        <v>1</v>
      </c>
      <c r="D33" s="99">
        <f t="shared" ca="1" si="27"/>
        <v>4</v>
      </c>
      <c r="E33" s="99">
        <f t="shared" ca="1" si="28"/>
        <v>4</v>
      </c>
      <c r="G33" s="75" t="s">
        <v>124</v>
      </c>
      <c r="H33" s="76" t="str">
        <f t="shared" ca="1" si="29"/>
        <v>01.001.004.004</v>
      </c>
      <c r="I33" s="92" t="s">
        <v>421</v>
      </c>
      <c r="J33" s="77" t="s">
        <v>6</v>
      </c>
      <c r="K33" s="78">
        <v>1</v>
      </c>
      <c r="L33" s="87">
        <v>12676.31</v>
      </c>
      <c r="M33" s="130">
        <f t="shared" si="24"/>
        <v>12676.31</v>
      </c>
      <c r="N33" s="79">
        <f t="shared" si="8"/>
        <v>2.5455221718054911E-4</v>
      </c>
      <c r="O33" s="87">
        <f>M33/OBRA!$D$12</f>
        <v>0.95488008171572891</v>
      </c>
      <c r="P33" s="81"/>
    </row>
    <row r="34" spans="1:16" s="1" customFormat="1" ht="19.899999999999999" customHeight="1" outlineLevel="2" x14ac:dyDescent="0.55000000000000004">
      <c r="A34" s="98">
        <f ca="1">IF(G34="UNIDADE CONSTRUTIVA",OFFSET(A34,-1,0)+1,LARGE(A$4:A29,1))</f>
        <v>1</v>
      </c>
      <c r="B34" s="98">
        <f t="shared" ca="1" si="10"/>
        <v>1</v>
      </c>
      <c r="C34" s="98">
        <f t="shared" ca="1" si="11"/>
        <v>2</v>
      </c>
      <c r="D34" s="99">
        <f t="shared" ca="1" si="12"/>
        <v>0</v>
      </c>
      <c r="E34" s="99">
        <f t="shared" ca="1" si="13"/>
        <v>4</v>
      </c>
      <c r="G34" s="75" t="s">
        <v>119</v>
      </c>
      <c r="H34" s="76" t="str">
        <f t="shared" ca="1" si="14"/>
        <v>01.002</v>
      </c>
      <c r="I34" s="92" t="s">
        <v>226</v>
      </c>
      <c r="J34" s="77"/>
      <c r="K34" s="78"/>
      <c r="L34" s="87" t="s">
        <v>85</v>
      </c>
      <c r="M34" s="130">
        <f>M35+M36+M43</f>
        <v>418059.4873561596</v>
      </c>
      <c r="N34" s="79">
        <f t="shared" si="8"/>
        <v>8.3950273715201178E-3</v>
      </c>
      <c r="O34" s="87">
        <f>M34/OBRA!$D$12</f>
        <v>31.491552151113805</v>
      </c>
      <c r="P34" s="81"/>
    </row>
    <row r="35" spans="1:16" s="1" customFormat="1" ht="19.899999999999999" customHeight="1" outlineLevel="2" x14ac:dyDescent="0.55000000000000004">
      <c r="A35" s="98">
        <f ca="1">IF(G35="UNIDADE CONSTRUTIVA",OFFSET(A35,-1,0)+1,LARGE(A$4:A34,1))</f>
        <v>1</v>
      </c>
      <c r="B35" s="98">
        <f t="shared" ref="B35:B43" ca="1" si="30">IF(G35="UNIDADE CONSTRUTIVA",0,IF(G35="CÉLULA CONSTRUTIVA",OFFSET(B35,-1,0)+1,OFFSET(B35,-1,0)))</f>
        <v>1</v>
      </c>
      <c r="C35" s="98">
        <f t="shared" ref="C35:C43" ca="1" si="31">IF(G35="CÉLULA CONSTRUTIVA",0,IF(G35="ETAPA",OFFSET(C35,-1,0)+1,OFFSET(C35,-1,0)))</f>
        <v>2</v>
      </c>
      <c r="D35" s="99">
        <f t="shared" ref="D35:D43" ca="1" si="32">IF(G35="ETAPA",0,IF(G35="SUBETAPA",OFFSET(D35,-1,0)+1,OFFSET(D35,-1,0)))</f>
        <v>1</v>
      </c>
      <c r="E35" s="99">
        <f t="shared" ref="E35:E43" ca="1" si="33">IF(G35="Subetapa",0,IF(G35="serviço",OFFSET(E35,-1,0)+1,OFFSET(E35,-1,0)))</f>
        <v>0</v>
      </c>
      <c r="G35" s="75" t="s">
        <v>120</v>
      </c>
      <c r="H35" s="76" t="str">
        <f t="shared" ref="H35:H43" ca="1" si="34">IF(G35="Unidade Construtiva",CONCATENATE("UC ",TEXT(A35,"00")),IF(G35="Célula Construtiva",TEXT(B35,"00"),IF(G35="Etapa",CONCATENATE(TEXT(B35,"00"),".",TEXT(C35,"000")),IF(G35="Subetapa",CONCATENATE(TEXT(B35,"00"),".",TEXT(C35,"000"),".",TEXT(D35,"000")),IF(G35="Serviço",CONCATENATE(TEXT(B35,"00"),".",TEXT(C35,"000"),".",TEXT(D35,"000"),".",TEXT(E35,"000")),"")))))</f>
        <v>01.002.001</v>
      </c>
      <c r="I35" s="92" t="s">
        <v>227</v>
      </c>
      <c r="J35" s="77"/>
      <c r="K35" s="78"/>
      <c r="L35" s="87" t="s">
        <v>85</v>
      </c>
      <c r="M35" s="130">
        <v>27131.404580381797</v>
      </c>
      <c r="N35" s="79">
        <f t="shared" si="8"/>
        <v>5.4482410032246709E-4</v>
      </c>
      <c r="O35" s="87">
        <f>M35/OBRA!$D$12</f>
        <v>2.0437523082645876</v>
      </c>
      <c r="P35" s="81"/>
    </row>
    <row r="36" spans="1:16" s="1" customFormat="1" ht="19.899999999999999" customHeight="1" outlineLevel="2" collapsed="1" x14ac:dyDescent="0.55000000000000004">
      <c r="A36" s="98">
        <f ca="1">IF(G36="UNIDADE CONSTRUTIVA",OFFSET(A36,-1,0)+1,LARGE(A$4:A35,1))</f>
        <v>1</v>
      </c>
      <c r="B36" s="98">
        <f t="shared" ca="1" si="30"/>
        <v>1</v>
      </c>
      <c r="C36" s="98">
        <f t="shared" ca="1" si="31"/>
        <v>2</v>
      </c>
      <c r="D36" s="99">
        <f t="shared" ca="1" si="32"/>
        <v>2</v>
      </c>
      <c r="E36" s="99">
        <f t="shared" ca="1" si="33"/>
        <v>0</v>
      </c>
      <c r="G36" s="75" t="s">
        <v>120</v>
      </c>
      <c r="H36" s="76" t="str">
        <f t="shared" ca="1" si="34"/>
        <v>01.002.002</v>
      </c>
      <c r="I36" s="92" t="s">
        <v>228</v>
      </c>
      <c r="J36" s="77"/>
      <c r="K36" s="78"/>
      <c r="L36" s="87" t="s">
        <v>85</v>
      </c>
      <c r="M36" s="130">
        <f>SUM(M37:M42)</f>
        <v>316907.71000000002</v>
      </c>
      <c r="N36" s="79">
        <f t="shared" si="8"/>
        <v>6.3638046262761393E-3</v>
      </c>
      <c r="O36" s="87">
        <f>M36/OBRA!$D$12</f>
        <v>23.871999029776376</v>
      </c>
      <c r="P36" s="81"/>
    </row>
    <row r="37" spans="1:16" s="1" customFormat="1" ht="19.899999999999999" hidden="1" customHeight="1" outlineLevel="3" x14ac:dyDescent="0.55000000000000004">
      <c r="A37" s="98">
        <f ca="1">IF(G37="UNIDADE CONSTRUTIVA",OFFSET(A37,-1,0)+1,LARGE(A$4:A36,1))</f>
        <v>1</v>
      </c>
      <c r="B37" s="98">
        <f t="shared" ca="1" si="30"/>
        <v>1</v>
      </c>
      <c r="C37" s="98">
        <f t="shared" ca="1" si="31"/>
        <v>2</v>
      </c>
      <c r="D37" s="99">
        <f t="shared" ca="1" si="32"/>
        <v>2</v>
      </c>
      <c r="E37" s="99">
        <f t="shared" ca="1" si="33"/>
        <v>1</v>
      </c>
      <c r="G37" s="75" t="s">
        <v>124</v>
      </c>
      <c r="H37" s="76" t="str">
        <f t="shared" ca="1" si="34"/>
        <v>01.002.002.001</v>
      </c>
      <c r="I37" s="92" t="s">
        <v>422</v>
      </c>
      <c r="J37" s="77" t="s">
        <v>6</v>
      </c>
      <c r="K37" s="78">
        <v>1</v>
      </c>
      <c r="L37" s="87">
        <v>79226.929999999993</v>
      </c>
      <c r="M37" s="130">
        <f t="shared" ref="M37:M42" si="35">K37*L37</f>
        <v>79226.929999999993</v>
      </c>
      <c r="N37" s="79">
        <f t="shared" ref="N37:N42" si="36">M37/$M$298</f>
        <v>1.590951206771384E-3</v>
      </c>
      <c r="O37" s="87">
        <f>M37/OBRA!$D$12</f>
        <v>5.9679999457638955</v>
      </c>
      <c r="P37" s="81"/>
    </row>
    <row r="38" spans="1:16" s="1" customFormat="1" ht="19.899999999999999" hidden="1" customHeight="1" outlineLevel="3" x14ac:dyDescent="0.55000000000000004">
      <c r="A38" s="98">
        <f ca="1">IF(G38="UNIDADE CONSTRUTIVA",OFFSET(A38,-1,0)+1,LARGE(A$4:A33,1))</f>
        <v>1</v>
      </c>
      <c r="B38" s="98">
        <f t="shared" ref="B38:B39" ca="1" si="37">IF(G38="UNIDADE CONSTRUTIVA",0,IF(G38="CÉLULA CONSTRUTIVA",OFFSET(B38,-1,0)+1,OFFSET(B38,-1,0)))</f>
        <v>1</v>
      </c>
      <c r="C38" s="98">
        <f t="shared" ref="C38:C39" ca="1" si="38">IF(G38="CÉLULA CONSTRUTIVA",0,IF(G38="ETAPA",OFFSET(C38,-1,0)+1,OFFSET(C38,-1,0)))</f>
        <v>2</v>
      </c>
      <c r="D38" s="99">
        <f t="shared" ref="D38:D39" ca="1" si="39">IF(G38="ETAPA",0,IF(G38="SUBETAPA",OFFSET(D38,-1,0)+1,OFFSET(D38,-1,0)))</f>
        <v>2</v>
      </c>
      <c r="E38" s="99">
        <f t="shared" ref="E38:E39" ca="1" si="40">IF(G38="Subetapa",0,IF(G38="serviço",OFFSET(E38,-1,0)+1,OFFSET(E38,-1,0)))</f>
        <v>2</v>
      </c>
      <c r="G38" s="75" t="s">
        <v>124</v>
      </c>
      <c r="H38" s="76" t="str">
        <f t="shared" ref="H38:H39" ca="1" si="41">IF(G38="Unidade Construtiva",CONCATENATE("UC ",TEXT(A38,"00")),IF(G38="Célula Construtiva",TEXT(B38,"00"),IF(G38="Etapa",CONCATENATE(TEXT(B38,"00"),".",TEXT(C38,"000")),IF(G38="Subetapa",CONCATENATE(TEXT(B38,"00"),".",TEXT(C38,"000"),".",TEXT(D38,"000")),IF(G38="Serviço",CONCATENATE(TEXT(B38,"00"),".",TEXT(C38,"000"),".",TEXT(D38,"000"),".",TEXT(E38,"000")),"")))))</f>
        <v>01.002.002.002</v>
      </c>
      <c r="I38" s="92" t="s">
        <v>423</v>
      </c>
      <c r="J38" s="77" t="s">
        <v>6</v>
      </c>
      <c r="K38" s="78">
        <v>1</v>
      </c>
      <c r="L38" s="87">
        <v>63381.54</v>
      </c>
      <c r="M38" s="130">
        <f t="shared" ref="M38:M39" si="42">K38*L38</f>
        <v>63381.54</v>
      </c>
      <c r="N38" s="79">
        <f t="shared" ref="N38:N39" si="43">M38/$M$298</f>
        <v>1.2727608850933484E-3</v>
      </c>
      <c r="O38" s="87">
        <f>M38/OBRA!$D$12</f>
        <v>4.7743996552994323</v>
      </c>
      <c r="P38" s="81"/>
    </row>
    <row r="39" spans="1:16" s="1" customFormat="1" ht="19.899999999999999" hidden="1" customHeight="1" outlineLevel="3" x14ac:dyDescent="0.55000000000000004">
      <c r="A39" s="98">
        <f ca="1">IF(G39="UNIDADE CONSTRUTIVA",OFFSET(A39,-1,0)+1,LARGE(A$4:A38,1))</f>
        <v>1</v>
      </c>
      <c r="B39" s="98">
        <f t="shared" ca="1" si="37"/>
        <v>1</v>
      </c>
      <c r="C39" s="98">
        <f t="shared" ca="1" si="38"/>
        <v>2</v>
      </c>
      <c r="D39" s="99">
        <f t="shared" ca="1" si="39"/>
        <v>2</v>
      </c>
      <c r="E39" s="99">
        <f t="shared" ca="1" si="40"/>
        <v>3</v>
      </c>
      <c r="G39" s="75" t="s">
        <v>124</v>
      </c>
      <c r="H39" s="76" t="str">
        <f t="shared" ca="1" si="41"/>
        <v>01.002.002.003</v>
      </c>
      <c r="I39" s="92" t="s">
        <v>424</v>
      </c>
      <c r="J39" s="77" t="s">
        <v>6</v>
      </c>
      <c r="K39" s="78">
        <v>1</v>
      </c>
      <c r="L39" s="87">
        <v>63381.54</v>
      </c>
      <c r="M39" s="130">
        <f t="shared" si="42"/>
        <v>63381.54</v>
      </c>
      <c r="N39" s="79">
        <f t="shared" si="43"/>
        <v>1.2727608850933484E-3</v>
      </c>
      <c r="O39" s="87">
        <f>M39/OBRA!$D$12</f>
        <v>4.7743996552994323</v>
      </c>
      <c r="P39" s="81"/>
    </row>
    <row r="40" spans="1:16" s="1" customFormat="1" ht="19.899999999999999" hidden="1" customHeight="1" outlineLevel="3" x14ac:dyDescent="0.55000000000000004">
      <c r="A40" s="98">
        <f ca="1">IF(G40="UNIDADE CONSTRUTIVA",OFFSET(A40,-1,0)+1,LARGE(A$4:A35,1))</f>
        <v>1</v>
      </c>
      <c r="B40" s="98">
        <f t="shared" ca="1" si="30"/>
        <v>1</v>
      </c>
      <c r="C40" s="98">
        <f t="shared" ca="1" si="31"/>
        <v>2</v>
      </c>
      <c r="D40" s="99">
        <f t="shared" ca="1" si="32"/>
        <v>2</v>
      </c>
      <c r="E40" s="99">
        <f t="shared" ca="1" si="33"/>
        <v>4</v>
      </c>
      <c r="G40" s="75" t="s">
        <v>124</v>
      </c>
      <c r="H40" s="76" t="str">
        <f t="shared" ca="1" si="34"/>
        <v>01.002.002.004</v>
      </c>
      <c r="I40" s="92" t="s">
        <v>425</v>
      </c>
      <c r="J40" s="77" t="s">
        <v>6</v>
      </c>
      <c r="K40" s="78">
        <v>1</v>
      </c>
      <c r="L40" s="87">
        <v>47536.160000000003</v>
      </c>
      <c r="M40" s="130">
        <f t="shared" si="35"/>
        <v>47536.160000000003</v>
      </c>
      <c r="N40" s="79">
        <f t="shared" si="36"/>
        <v>9.5457076422471006E-4</v>
      </c>
      <c r="O40" s="87">
        <f>M40/OBRA!$D$12</f>
        <v>3.5808001181141806</v>
      </c>
      <c r="P40" s="81"/>
    </row>
    <row r="41" spans="1:16" s="1" customFormat="1" ht="19.899999999999999" hidden="1" customHeight="1" outlineLevel="3" x14ac:dyDescent="0.55000000000000004">
      <c r="A41" s="98">
        <f ca="1">IF(G41="UNIDADE CONSTRUTIVA",OFFSET(A41,-1,0)+1,LARGE(A$4:A40,1))</f>
        <v>1</v>
      </c>
      <c r="B41" s="98">
        <f t="shared" ca="1" si="30"/>
        <v>1</v>
      </c>
      <c r="C41" s="98">
        <f t="shared" ca="1" si="31"/>
        <v>2</v>
      </c>
      <c r="D41" s="99">
        <f t="shared" ca="1" si="32"/>
        <v>2</v>
      </c>
      <c r="E41" s="99">
        <f t="shared" ca="1" si="33"/>
        <v>5</v>
      </c>
      <c r="G41" s="75" t="s">
        <v>124</v>
      </c>
      <c r="H41" s="76" t="str">
        <f t="shared" ca="1" si="34"/>
        <v>01.002.002.005</v>
      </c>
      <c r="I41" s="92" t="s">
        <v>426</v>
      </c>
      <c r="J41" s="77" t="s">
        <v>6</v>
      </c>
      <c r="K41" s="78">
        <v>1</v>
      </c>
      <c r="L41" s="87">
        <v>31690.77</v>
      </c>
      <c r="M41" s="130">
        <f t="shared" si="35"/>
        <v>31690.77</v>
      </c>
      <c r="N41" s="79">
        <f t="shared" si="36"/>
        <v>6.3638044254667419E-4</v>
      </c>
      <c r="O41" s="87">
        <f>M41/OBRA!$D$12</f>
        <v>2.3871998276497162</v>
      </c>
      <c r="P41" s="81"/>
    </row>
    <row r="42" spans="1:16" s="1" customFormat="1" ht="19.899999999999999" hidden="1" customHeight="1" outlineLevel="3" x14ac:dyDescent="0.55000000000000004">
      <c r="A42" s="98">
        <f ca="1">IF(G42="UNIDADE CONSTRUTIVA",OFFSET(A42,-1,0)+1,LARGE(A$4:A41,1))</f>
        <v>1</v>
      </c>
      <c r="B42" s="98">
        <f t="shared" ca="1" si="30"/>
        <v>1</v>
      </c>
      <c r="C42" s="98">
        <f t="shared" ca="1" si="31"/>
        <v>2</v>
      </c>
      <c r="D42" s="99">
        <f t="shared" ca="1" si="32"/>
        <v>2</v>
      </c>
      <c r="E42" s="99">
        <f t="shared" ca="1" si="33"/>
        <v>6</v>
      </c>
      <c r="G42" s="75" t="s">
        <v>124</v>
      </c>
      <c r="H42" s="76" t="str">
        <f t="shared" ca="1" si="34"/>
        <v>01.002.002.006</v>
      </c>
      <c r="I42" s="92" t="s">
        <v>427</v>
      </c>
      <c r="J42" s="77" t="s">
        <v>6</v>
      </c>
      <c r="K42" s="78">
        <v>1</v>
      </c>
      <c r="L42" s="87">
        <v>31690.77</v>
      </c>
      <c r="M42" s="130">
        <f t="shared" si="35"/>
        <v>31690.77</v>
      </c>
      <c r="N42" s="79">
        <f t="shared" si="36"/>
        <v>6.3638044254667419E-4</v>
      </c>
      <c r="O42" s="87">
        <f>M42/OBRA!$D$12</f>
        <v>2.3871998276497162</v>
      </c>
      <c r="P42" s="81"/>
    </row>
    <row r="43" spans="1:16" s="1" customFormat="1" ht="19.899999999999999" customHeight="1" outlineLevel="2" x14ac:dyDescent="0.55000000000000004">
      <c r="A43" s="98">
        <f ca="1">IF(G43="UNIDADE CONSTRUTIVA",OFFSET(A43,-1,0)+1,LARGE(A$4:A36,1))</f>
        <v>1</v>
      </c>
      <c r="B43" s="98">
        <f t="shared" ca="1" si="30"/>
        <v>1</v>
      </c>
      <c r="C43" s="98">
        <f t="shared" ca="1" si="31"/>
        <v>2</v>
      </c>
      <c r="D43" s="99">
        <f t="shared" ca="1" si="32"/>
        <v>3</v>
      </c>
      <c r="E43" s="99">
        <f t="shared" ca="1" si="33"/>
        <v>0</v>
      </c>
      <c r="G43" s="75" t="s">
        <v>120</v>
      </c>
      <c r="H43" s="76" t="str">
        <f t="shared" ca="1" si="34"/>
        <v>01.002.003</v>
      </c>
      <c r="I43" s="92" t="s">
        <v>86</v>
      </c>
      <c r="J43" s="77"/>
      <c r="K43" s="78"/>
      <c r="L43" s="87" t="s">
        <v>85</v>
      </c>
      <c r="M43" s="130">
        <v>74020.372775777781</v>
      </c>
      <c r="N43" s="79">
        <f t="shared" si="8"/>
        <v>1.4863986449215106E-3</v>
      </c>
      <c r="O43" s="87">
        <f>M43/OBRA!$D$12</f>
        <v>5.5758008130728429</v>
      </c>
      <c r="P43" s="81"/>
    </row>
    <row r="44" spans="1:16" s="1" customFormat="1" ht="19.899999999999999" customHeight="1" outlineLevel="1" x14ac:dyDescent="0.55000000000000004">
      <c r="A44" s="98">
        <f ca="1">IF(G44="UNIDADE CONSTRUTIVA",OFFSET(A44,-1,0)+1,LARGE(A$4:A43,1))</f>
        <v>1</v>
      </c>
      <c r="B44" s="98">
        <f t="shared" ref="B44:B85" ca="1" si="44">IF(G44="UNIDADE CONSTRUTIVA",0,IF(G44="CÉLULA CONSTRUTIVA",OFFSET(B44,-1,0)+1,OFFSET(B44,-1,0)))</f>
        <v>2</v>
      </c>
      <c r="C44" s="98">
        <f t="shared" ref="C44:C85" ca="1" si="45">IF(G44="CÉLULA CONSTRUTIVA",0,IF(G44="ETAPA",OFFSET(C44,-1,0)+1,OFFSET(C44,-1,0)))</f>
        <v>0</v>
      </c>
      <c r="D44" s="99">
        <f t="shared" ref="D44:D85" ca="1" si="46">IF(G44="ETAPA",0,IF(G44="SUBETAPA",OFFSET(D44,-1,0)+1,OFFSET(D44,-1,0)))</f>
        <v>3</v>
      </c>
      <c r="E44" s="99">
        <f t="shared" ref="E44:E85" ca="1" si="47">IF(G44="Subetapa",0,IF(G44="serviço",OFFSET(E44,-1,0)+1,OFFSET(E44,-1,0)))</f>
        <v>0</v>
      </c>
      <c r="G44" s="75" t="s">
        <v>118</v>
      </c>
      <c r="H44" s="76" t="str">
        <f t="shared" ref="H44:H85" ca="1" si="48">IF(G44="Unidade Construtiva",CONCATENATE("UC ",TEXT(A44,"00")),IF(G44="Célula Construtiva",TEXT(B44,"00"),IF(G44="Etapa",CONCATENATE(TEXT(B44,"00"),".",TEXT(C44,"000")),IF(G44="Subetapa",CONCATENATE(TEXT(B44,"00"),".",TEXT(C44,"000"),".",TEXT(D44,"000")),IF(G44="Serviço",CONCATENATE(TEXT(B44,"00"),".",TEXT(C44,"000"),".",TEXT(D44,"000"),".",TEXT(E44,"000")),"")))))</f>
        <v>02</v>
      </c>
      <c r="I44" s="92" t="s">
        <v>230</v>
      </c>
      <c r="J44" s="77"/>
      <c r="K44" s="78"/>
      <c r="L44" s="87" t="s">
        <v>85</v>
      </c>
      <c r="M44" s="130">
        <f>M45+M59+M78</f>
        <v>2815198.7299246928</v>
      </c>
      <c r="N44" s="79">
        <f t="shared" si="8"/>
        <v>5.653183603952542E-2</v>
      </c>
      <c r="O44" s="87">
        <f>M44/OBRA!$D$12</f>
        <v>212.06306829641329</v>
      </c>
      <c r="P44" s="81"/>
    </row>
    <row r="45" spans="1:16" s="1" customFormat="1" ht="19.899999999999999" customHeight="1" outlineLevel="2" x14ac:dyDescent="0.55000000000000004">
      <c r="A45" s="98">
        <f ca="1">IF(G45="UNIDADE CONSTRUTIVA",OFFSET(A45,-1,0)+1,LARGE(A$4:A44,1))</f>
        <v>1</v>
      </c>
      <c r="B45" s="98">
        <f t="shared" ca="1" si="44"/>
        <v>2</v>
      </c>
      <c r="C45" s="98">
        <f t="shared" ca="1" si="45"/>
        <v>1</v>
      </c>
      <c r="D45" s="99">
        <f t="shared" ca="1" si="46"/>
        <v>0</v>
      </c>
      <c r="E45" s="99">
        <f t="shared" ca="1" si="47"/>
        <v>0</v>
      </c>
      <c r="G45" s="75" t="s">
        <v>119</v>
      </c>
      <c r="H45" s="76" t="str">
        <f t="shared" ca="1" si="48"/>
        <v>02.001</v>
      </c>
      <c r="I45" s="92" t="s">
        <v>87</v>
      </c>
      <c r="J45" s="77"/>
      <c r="K45" s="78"/>
      <c r="L45" s="87" t="s">
        <v>85</v>
      </c>
      <c r="M45" s="130">
        <f>M46+M48+M58</f>
        <v>520489.01828931307</v>
      </c>
      <c r="N45" s="79">
        <f t="shared" si="8"/>
        <v>1.0451908609340733E-2</v>
      </c>
      <c r="O45" s="87">
        <f>M45/OBRA!$D$12</f>
        <v>39.207355793305688</v>
      </c>
      <c r="P45" s="81"/>
    </row>
    <row r="46" spans="1:16" s="1" customFormat="1" ht="19.899999999999999" customHeight="1" outlineLevel="2" x14ac:dyDescent="0.55000000000000004">
      <c r="A46" s="98">
        <f ca="1">IF(G46="UNIDADE CONSTRUTIVA",OFFSET(A46,-1,0)+1,LARGE(A$4:A45,1))</f>
        <v>1</v>
      </c>
      <c r="B46" s="98">
        <f t="shared" ca="1" si="44"/>
        <v>2</v>
      </c>
      <c r="C46" s="98">
        <f t="shared" ca="1" si="45"/>
        <v>1</v>
      </c>
      <c r="D46" s="99">
        <f t="shared" ca="1" si="46"/>
        <v>1</v>
      </c>
      <c r="E46" s="99">
        <f t="shared" ca="1" si="47"/>
        <v>0</v>
      </c>
      <c r="G46" s="75" t="s">
        <v>120</v>
      </c>
      <c r="H46" s="76" t="str">
        <f t="shared" ca="1" si="48"/>
        <v>02.001.001</v>
      </c>
      <c r="I46" s="92" t="s">
        <v>88</v>
      </c>
      <c r="J46" s="77"/>
      <c r="K46" s="78"/>
      <c r="L46" s="87" t="s">
        <v>85</v>
      </c>
      <c r="M46" s="130">
        <f>M47</f>
        <v>120000</v>
      </c>
      <c r="N46" s="79">
        <f t="shared" si="8"/>
        <v>2.4097127682792467E-3</v>
      </c>
      <c r="O46" s="87">
        <f>M46/OBRA!$D$12</f>
        <v>9.0393505527939499</v>
      </c>
      <c r="P46" s="81"/>
    </row>
    <row r="47" spans="1:16" s="1" customFormat="1" ht="19.899999999999999" customHeight="1" outlineLevel="3" x14ac:dyDescent="0.55000000000000004">
      <c r="A47" s="98">
        <f ca="1">IF(G47="UNIDADE CONSTRUTIVA",OFFSET(A47,-1,0)+1,LARGE(A$4:A46,1))</f>
        <v>1</v>
      </c>
      <c r="B47" s="98">
        <f t="shared" ca="1" si="44"/>
        <v>2</v>
      </c>
      <c r="C47" s="98">
        <f t="shared" ca="1" si="45"/>
        <v>1</v>
      </c>
      <c r="D47" s="99">
        <f t="shared" ca="1" si="46"/>
        <v>1</v>
      </c>
      <c r="E47" s="99">
        <f t="shared" ca="1" si="47"/>
        <v>1</v>
      </c>
      <c r="G47" s="75" t="s">
        <v>124</v>
      </c>
      <c r="H47" s="76" t="str">
        <f t="shared" ca="1" si="48"/>
        <v>02.001.001.001</v>
      </c>
      <c r="I47" s="92" t="s">
        <v>90</v>
      </c>
      <c r="J47" s="77" t="s">
        <v>89</v>
      </c>
      <c r="K47" s="78">
        <f>OBRA!D14</f>
        <v>48</v>
      </c>
      <c r="L47" s="78">
        <v>2500</v>
      </c>
      <c r="M47" s="130">
        <f>K47*L47</f>
        <v>120000</v>
      </c>
      <c r="N47" s="79">
        <f t="shared" si="8"/>
        <v>2.4097127682792467E-3</v>
      </c>
      <c r="O47" s="87">
        <f>M47/OBRA!$D$12</f>
        <v>9.0393505527939499</v>
      </c>
      <c r="P47" s="81"/>
    </row>
    <row r="48" spans="1:16" s="1" customFormat="1" ht="19.899999999999999" customHeight="1" outlineLevel="2" x14ac:dyDescent="0.55000000000000004">
      <c r="A48" s="98">
        <f ca="1">IF(G48="UNIDADE CONSTRUTIVA",OFFSET(A48,-1,0)+1,LARGE(A$4:A47,1))</f>
        <v>1</v>
      </c>
      <c r="B48" s="98">
        <f t="shared" ca="1" si="44"/>
        <v>2</v>
      </c>
      <c r="C48" s="98">
        <f t="shared" ca="1" si="45"/>
        <v>1</v>
      </c>
      <c r="D48" s="99">
        <f t="shared" ca="1" si="46"/>
        <v>2</v>
      </c>
      <c r="E48" s="99">
        <f t="shared" ca="1" si="47"/>
        <v>0</v>
      </c>
      <c r="G48" s="75" t="s">
        <v>120</v>
      </c>
      <c r="H48" s="76" t="str">
        <f t="shared" ca="1" si="48"/>
        <v>02.001.002</v>
      </c>
      <c r="I48" s="92" t="s">
        <v>91</v>
      </c>
      <c r="J48" s="77" t="s">
        <v>85</v>
      </c>
      <c r="K48" s="78" t="s">
        <v>85</v>
      </c>
      <c r="L48" s="87" t="s">
        <v>85</v>
      </c>
      <c r="M48" s="130">
        <f>SUM(M49:M57)</f>
        <v>357897.46891497704</v>
      </c>
      <c r="N48" s="79">
        <f t="shared" si="8"/>
        <v>7.1869175048270414E-3</v>
      </c>
      <c r="O48" s="87">
        <f>M48/OBRA!$D$12</f>
        <v>26.959672362334608</v>
      </c>
      <c r="P48" s="81"/>
    </row>
    <row r="49" spans="1:16" s="1" customFormat="1" ht="19.899999999999999" customHeight="1" outlineLevel="3" x14ac:dyDescent="0.55000000000000004">
      <c r="A49" s="98">
        <f ca="1">IF(G49="UNIDADE CONSTRUTIVA",OFFSET(A49,-1,0)+1,LARGE(A$4:A48,1))</f>
        <v>1</v>
      </c>
      <c r="B49" s="98">
        <f t="shared" ca="1" si="44"/>
        <v>2</v>
      </c>
      <c r="C49" s="98">
        <f t="shared" ca="1" si="45"/>
        <v>1</v>
      </c>
      <c r="D49" s="99">
        <f t="shared" ca="1" si="46"/>
        <v>2</v>
      </c>
      <c r="E49" s="99">
        <f t="shared" ca="1" si="47"/>
        <v>1</v>
      </c>
      <c r="G49" s="75" t="s">
        <v>124</v>
      </c>
      <c r="H49" s="76" t="str">
        <f t="shared" ca="1" si="48"/>
        <v>02.001.002.001</v>
      </c>
      <c r="I49" s="92" t="s">
        <v>92</v>
      </c>
      <c r="J49" s="77" t="s">
        <v>8</v>
      </c>
      <c r="K49" s="78">
        <f>'EPC''s'!D13</f>
        <v>290.12</v>
      </c>
      <c r="L49" s="87">
        <v>294.33</v>
      </c>
      <c r="M49" s="130">
        <f t="shared" ref="M49:M57" si="49">K49*L49</f>
        <v>85391.0196</v>
      </c>
      <c r="N49" s="79">
        <f t="shared" si="8"/>
        <v>1.7147319185541951E-3</v>
      </c>
      <c r="O49" s="87">
        <f>M49/OBRA!$D$12</f>
        <v>6.4323280018741587</v>
      </c>
      <c r="P49" s="81"/>
    </row>
    <row r="50" spans="1:16" s="1" customFormat="1" ht="19.899999999999999" customHeight="1" outlineLevel="3" x14ac:dyDescent="0.55000000000000004">
      <c r="A50" s="98">
        <f ca="1">IF(G50="UNIDADE CONSTRUTIVA",OFFSET(A50,-1,0)+1,LARGE(A$4:A49,1))</f>
        <v>1</v>
      </c>
      <c r="B50" s="98">
        <f t="shared" ca="1" si="44"/>
        <v>2</v>
      </c>
      <c r="C50" s="98">
        <f t="shared" ca="1" si="45"/>
        <v>1</v>
      </c>
      <c r="D50" s="99">
        <f t="shared" ca="1" si="46"/>
        <v>2</v>
      </c>
      <c r="E50" s="99">
        <f t="shared" ca="1" si="47"/>
        <v>2</v>
      </c>
      <c r="G50" s="75" t="s">
        <v>124</v>
      </c>
      <c r="H50" s="76" t="str">
        <f t="shared" ca="1" si="48"/>
        <v>02.001.002.002</v>
      </c>
      <c r="I50" s="92" t="s">
        <v>94</v>
      </c>
      <c r="J50" s="77" t="s">
        <v>8</v>
      </c>
      <c r="K50" s="78">
        <f>'EPC''s'!D14</f>
        <v>132.16</v>
      </c>
      <c r="L50" s="87">
        <v>210.06</v>
      </c>
      <c r="M50" s="130">
        <f t="shared" si="49"/>
        <v>27761.529599999998</v>
      </c>
      <c r="N50" s="79">
        <f t="shared" si="8"/>
        <v>5.5747760286735198E-4</v>
      </c>
      <c r="O50" s="87">
        <f>M50/OBRA!$D$12</f>
        <v>2.0912183161347131</v>
      </c>
      <c r="P50" s="81"/>
    </row>
    <row r="51" spans="1:16" s="1" customFormat="1" ht="19.899999999999999" customHeight="1" outlineLevel="3" x14ac:dyDescent="0.55000000000000004">
      <c r="A51" s="98">
        <f ca="1">IF(G51="UNIDADE CONSTRUTIVA",OFFSET(A51,-1,0)+1,LARGE(A$4:A49,1))</f>
        <v>1</v>
      </c>
      <c r="B51" s="98">
        <f t="shared" ca="1" si="44"/>
        <v>2</v>
      </c>
      <c r="C51" s="98">
        <f t="shared" ca="1" si="45"/>
        <v>1</v>
      </c>
      <c r="D51" s="99">
        <f t="shared" ca="1" si="46"/>
        <v>2</v>
      </c>
      <c r="E51" s="99">
        <f t="shared" ca="1" si="47"/>
        <v>3</v>
      </c>
      <c r="G51" s="75" t="s">
        <v>124</v>
      </c>
      <c r="H51" s="76" t="str">
        <f t="shared" ca="1" si="48"/>
        <v>02.001.002.003</v>
      </c>
      <c r="I51" s="92" t="s">
        <v>93</v>
      </c>
      <c r="J51" s="77" t="s">
        <v>8</v>
      </c>
      <c r="K51" s="78">
        <f>'EPC''s'!D21</f>
        <v>528.64</v>
      </c>
      <c r="L51" s="87">
        <v>17.89</v>
      </c>
      <c r="M51" s="130">
        <f t="shared" si="49"/>
        <v>9457.3696</v>
      </c>
      <c r="N51" s="79">
        <f t="shared" si="8"/>
        <v>1.899128689954666E-4</v>
      </c>
      <c r="O51" s="87">
        <f>M51/OBRA!$D$12</f>
        <v>0.71240399268113908</v>
      </c>
      <c r="P51" s="81" t="s">
        <v>198</v>
      </c>
    </row>
    <row r="52" spans="1:16" s="1" customFormat="1" ht="19.899999999999999" customHeight="1" outlineLevel="3" x14ac:dyDescent="0.55000000000000004">
      <c r="A52" s="98">
        <f ca="1">IF(G52="UNIDADE CONSTRUTIVA",OFFSET(A52,-1,0)+1,LARGE(A$4:A50,1))</f>
        <v>1</v>
      </c>
      <c r="B52" s="98">
        <f t="shared" ref="B52" ca="1" si="50">IF(G52="UNIDADE CONSTRUTIVA",0,IF(G52="CÉLULA CONSTRUTIVA",OFFSET(B52,-1,0)+1,OFFSET(B52,-1,0)))</f>
        <v>2</v>
      </c>
      <c r="C52" s="98">
        <f t="shared" ref="C52" ca="1" si="51">IF(G52="CÉLULA CONSTRUTIVA",0,IF(G52="ETAPA",OFFSET(C52,-1,0)+1,OFFSET(C52,-1,0)))</f>
        <v>1</v>
      </c>
      <c r="D52" s="99">
        <f t="shared" ref="D52" ca="1" si="52">IF(G52="ETAPA",0,IF(G52="SUBETAPA",OFFSET(D52,-1,0)+1,OFFSET(D52,-1,0)))</f>
        <v>2</v>
      </c>
      <c r="E52" s="99">
        <f t="shared" ref="E52" ca="1" si="53">IF(G52="Subetapa",0,IF(G52="serviço",OFFSET(E52,-1,0)+1,OFFSET(E52,-1,0)))</f>
        <v>4</v>
      </c>
      <c r="G52" s="75" t="s">
        <v>124</v>
      </c>
      <c r="H52" s="76" t="str">
        <f t="shared" ref="H52" ca="1" si="54">IF(G52="Unidade Construtiva",CONCATENATE("UC ",TEXT(A52,"00")),IF(G52="Célula Construtiva",TEXT(B52,"00"),IF(G52="Etapa",CONCATENATE(TEXT(B52,"00"),".",TEXT(C52,"000")),IF(G52="Subetapa",CONCATENATE(TEXT(B52,"00"),".",TEXT(C52,"000"),".",TEXT(D52,"000")),IF(G52="Serviço",CONCATENATE(TEXT(B52,"00"),".",TEXT(C52,"000"),".",TEXT(D52,"000"),".",TEXT(E52,"000")),"")))))</f>
        <v>02.001.002.004</v>
      </c>
      <c r="I52" s="92" t="s">
        <v>197</v>
      </c>
      <c r="J52" s="77" t="s">
        <v>8</v>
      </c>
      <c r="K52" s="78">
        <f>'EPC''s'!D42</f>
        <v>632.21439999999996</v>
      </c>
      <c r="L52" s="87">
        <v>15.38</v>
      </c>
      <c r="M52" s="130">
        <f t="shared" ref="M52" si="55">K52*L52</f>
        <v>9723.4574720000001</v>
      </c>
      <c r="N52" s="79">
        <f t="shared" si="8"/>
        <v>1.9525616351748871E-4</v>
      </c>
      <c r="O52" s="87">
        <f>M52/OBRA!$D$12</f>
        <v>0.73244783895493049</v>
      </c>
      <c r="P52" s="81" t="s">
        <v>198</v>
      </c>
    </row>
    <row r="53" spans="1:16" s="1" customFormat="1" ht="19.899999999999999" customHeight="1" outlineLevel="3" x14ac:dyDescent="0.55000000000000004">
      <c r="A53" s="98">
        <f ca="1">IF(G53="UNIDADE CONSTRUTIVA",OFFSET(A53,-1,0)+1,LARGE(A$4:A50,1))</f>
        <v>1</v>
      </c>
      <c r="B53" s="98">
        <f t="shared" ca="1" si="44"/>
        <v>2</v>
      </c>
      <c r="C53" s="98">
        <f t="shared" ca="1" si="45"/>
        <v>1</v>
      </c>
      <c r="D53" s="99">
        <f t="shared" ca="1" si="46"/>
        <v>2</v>
      </c>
      <c r="E53" s="99">
        <f t="shared" ca="1" si="47"/>
        <v>5</v>
      </c>
      <c r="G53" s="75" t="s">
        <v>124</v>
      </c>
      <c r="H53" s="76" t="str">
        <f t="shared" ca="1" si="48"/>
        <v>02.001.002.005</v>
      </c>
      <c r="I53" s="92" t="s">
        <v>95</v>
      </c>
      <c r="J53" s="77" t="s">
        <v>70</v>
      </c>
      <c r="K53" s="78">
        <f>'EPC''s'!D36</f>
        <v>56.160000000000004</v>
      </c>
      <c r="L53" s="87">
        <v>47.3</v>
      </c>
      <c r="M53" s="130">
        <f t="shared" si="49"/>
        <v>2656.3679999999999</v>
      </c>
      <c r="N53" s="79">
        <f t="shared" si="8"/>
        <v>5.3342365723736714E-5</v>
      </c>
      <c r="O53" s="87">
        <f>M53/OBRA!$D$12</f>
        <v>0.20009867957686797</v>
      </c>
      <c r="P53" s="81"/>
    </row>
    <row r="54" spans="1:16" s="1" customFormat="1" ht="19.899999999999999" customHeight="1" outlineLevel="3" x14ac:dyDescent="0.55000000000000004">
      <c r="A54" s="98">
        <f ca="1">IF(G54="UNIDADE CONSTRUTIVA",OFFSET(A54,-1,0)+1,LARGE(A$4:A53,1))</f>
        <v>1</v>
      </c>
      <c r="B54" s="98">
        <f t="shared" ca="1" si="44"/>
        <v>2</v>
      </c>
      <c r="C54" s="98">
        <f t="shared" ca="1" si="45"/>
        <v>1</v>
      </c>
      <c r="D54" s="99">
        <f t="shared" ca="1" si="46"/>
        <v>2</v>
      </c>
      <c r="E54" s="99">
        <f t="shared" ca="1" si="47"/>
        <v>6</v>
      </c>
      <c r="G54" s="75" t="s">
        <v>124</v>
      </c>
      <c r="H54" s="76" t="str">
        <f t="shared" ca="1" si="48"/>
        <v>02.001.002.006</v>
      </c>
      <c r="I54" s="92" t="s">
        <v>96</v>
      </c>
      <c r="J54" s="77" t="s">
        <v>8</v>
      </c>
      <c r="K54" s="78">
        <f>'EPC''s'!D21</f>
        <v>528.64</v>
      </c>
      <c r="L54" s="87">
        <v>244</v>
      </c>
      <c r="M54" s="130">
        <f t="shared" si="49"/>
        <v>128988.16</v>
      </c>
      <c r="N54" s="79">
        <f t="shared" si="8"/>
        <v>2.5902034675737199E-3</v>
      </c>
      <c r="O54" s="87">
        <f>M54/OBRA!$D$12</f>
        <v>9.7164099616656205</v>
      </c>
      <c r="P54" s="81"/>
    </row>
    <row r="55" spans="1:16" s="1" customFormat="1" ht="19.899999999999999" customHeight="1" outlineLevel="3" x14ac:dyDescent="0.55000000000000004">
      <c r="A55" s="98">
        <f ca="1">IF(G55="UNIDADE CONSTRUTIVA",OFFSET(A55,-1,0)+1,LARGE(A$4:A54,1))</f>
        <v>1</v>
      </c>
      <c r="B55" s="98">
        <f t="shared" ca="1" si="44"/>
        <v>2</v>
      </c>
      <c r="C55" s="98">
        <f t="shared" ca="1" si="45"/>
        <v>1</v>
      </c>
      <c r="D55" s="99">
        <f t="shared" ca="1" si="46"/>
        <v>2</v>
      </c>
      <c r="E55" s="99">
        <f t="shared" ca="1" si="47"/>
        <v>7</v>
      </c>
      <c r="G55" s="75" t="s">
        <v>124</v>
      </c>
      <c r="H55" s="76" t="str">
        <f t="shared" ca="1" si="48"/>
        <v>02.001.002.007</v>
      </c>
      <c r="I55" s="92" t="s">
        <v>97</v>
      </c>
      <c r="J55" s="77" t="s">
        <v>70</v>
      </c>
      <c r="K55" s="78">
        <f>'EPC''s'!D28</f>
        <v>5918.1247999999996</v>
      </c>
      <c r="L55" s="87">
        <v>8.5</v>
      </c>
      <c r="M55" s="130">
        <f t="shared" si="49"/>
        <v>50304.060799999999</v>
      </c>
      <c r="N55" s="79">
        <f t="shared" si="8"/>
        <v>1.0101528133837961E-3</v>
      </c>
      <c r="O55" s="87">
        <f>M55/OBRA!$D$12</f>
        <v>3.7893003316688372</v>
      </c>
      <c r="P55" s="81"/>
    </row>
    <row r="56" spans="1:16" s="1" customFormat="1" ht="19.899999999999999" customHeight="1" outlineLevel="3" x14ac:dyDescent="0.55000000000000004">
      <c r="A56" s="98">
        <f ca="1">IF(G56="UNIDADE CONSTRUTIVA",OFFSET(A56,-1,0)+1,LARGE(A$4:A55,1))</f>
        <v>1</v>
      </c>
      <c r="B56" s="98">
        <f t="shared" ca="1" si="44"/>
        <v>2</v>
      </c>
      <c r="C56" s="98">
        <f t="shared" ca="1" si="45"/>
        <v>1</v>
      </c>
      <c r="D56" s="99">
        <f t="shared" ca="1" si="46"/>
        <v>2</v>
      </c>
      <c r="E56" s="99">
        <f t="shared" ca="1" si="47"/>
        <v>8</v>
      </c>
      <c r="G56" s="75" t="s">
        <v>124</v>
      </c>
      <c r="H56" s="76" t="str">
        <f t="shared" ca="1" si="48"/>
        <v>02.001.002.008</v>
      </c>
      <c r="I56" s="92" t="s">
        <v>98</v>
      </c>
      <c r="J56" s="77" t="s">
        <v>6</v>
      </c>
      <c r="K56" s="78">
        <v>1</v>
      </c>
      <c r="L56" s="87">
        <v>40000</v>
      </c>
      <c r="M56" s="130">
        <f t="shared" si="49"/>
        <v>40000</v>
      </c>
      <c r="N56" s="79">
        <f t="shared" si="8"/>
        <v>8.032375894264156E-4</v>
      </c>
      <c r="O56" s="87">
        <f>M56/OBRA!$D$12</f>
        <v>3.0131168509313166</v>
      </c>
      <c r="P56" s="81"/>
    </row>
    <row r="57" spans="1:16" s="1" customFormat="1" ht="19.899999999999999" customHeight="1" outlineLevel="3" x14ac:dyDescent="0.55000000000000004">
      <c r="A57" s="98">
        <f ca="1">IF(G57="UNIDADE CONSTRUTIVA",OFFSET(A57,-1,0)+1,LARGE(A$4:A56,1))</f>
        <v>1</v>
      </c>
      <c r="B57" s="98">
        <f t="shared" ca="1" si="44"/>
        <v>2</v>
      </c>
      <c r="C57" s="98">
        <f t="shared" ca="1" si="45"/>
        <v>1</v>
      </c>
      <c r="D57" s="99">
        <f t="shared" ca="1" si="46"/>
        <v>2</v>
      </c>
      <c r="E57" s="99">
        <f t="shared" ca="1" si="47"/>
        <v>9</v>
      </c>
      <c r="G57" s="75" t="s">
        <v>124</v>
      </c>
      <c r="H57" s="76" t="str">
        <f t="shared" ca="1" si="48"/>
        <v>02.001.002.009</v>
      </c>
      <c r="I57" s="92" t="s">
        <v>99</v>
      </c>
      <c r="J57" s="77" t="s">
        <v>6</v>
      </c>
      <c r="K57" s="78">
        <v>1</v>
      </c>
      <c r="L57" s="87">
        <v>3615.5038429770984</v>
      </c>
      <c r="M57" s="130">
        <f t="shared" si="49"/>
        <v>3615.5038429770984</v>
      </c>
      <c r="N57" s="79">
        <f t="shared" si="8"/>
        <v>7.2602714784871653E-5</v>
      </c>
      <c r="O57" s="87">
        <f>M57/OBRA!$D$12</f>
        <v>0.27234838884703072</v>
      </c>
      <c r="P57" s="81"/>
    </row>
    <row r="58" spans="1:16" s="1" customFormat="1" ht="19.899999999999999" customHeight="1" outlineLevel="2" x14ac:dyDescent="0.55000000000000004">
      <c r="A58" s="98">
        <f ca="1">IF(G58="UNIDADE CONSTRUTIVA",OFFSET(A58,-1,0)+1,LARGE(A$4:A57,1))</f>
        <v>1</v>
      </c>
      <c r="B58" s="98">
        <f t="shared" ca="1" si="44"/>
        <v>2</v>
      </c>
      <c r="C58" s="98">
        <f t="shared" ca="1" si="45"/>
        <v>1</v>
      </c>
      <c r="D58" s="99">
        <f t="shared" ca="1" si="46"/>
        <v>3</v>
      </c>
      <c r="E58" s="99">
        <f t="shared" ca="1" si="47"/>
        <v>0</v>
      </c>
      <c r="G58" s="75" t="s">
        <v>120</v>
      </c>
      <c r="H58" s="76" t="str">
        <f t="shared" ca="1" si="48"/>
        <v>02.001.003</v>
      </c>
      <c r="I58" s="92" t="s">
        <v>100</v>
      </c>
      <c r="J58" s="77"/>
      <c r="K58" s="78" t="s">
        <v>85</v>
      </c>
      <c r="L58" s="87" t="s">
        <v>85</v>
      </c>
      <c r="M58" s="130">
        <v>42591.549374336028</v>
      </c>
      <c r="N58" s="79">
        <f t="shared" si="8"/>
        <v>8.5527833623444567E-4</v>
      </c>
      <c r="O58" s="87">
        <f>M58/OBRA!$D$12</f>
        <v>3.2083328781771265</v>
      </c>
      <c r="P58" s="81"/>
    </row>
    <row r="59" spans="1:16" s="1" customFormat="1" ht="19.899999999999999" customHeight="1" outlineLevel="2" x14ac:dyDescent="0.55000000000000004">
      <c r="A59" s="98">
        <f ca="1">IF(G59="UNIDADE CONSTRUTIVA",OFFSET(A59,-1,0)+1,LARGE(A$4:A58,1))</f>
        <v>1</v>
      </c>
      <c r="B59" s="98">
        <f t="shared" ca="1" si="44"/>
        <v>2</v>
      </c>
      <c r="C59" s="98">
        <f t="shared" ca="1" si="45"/>
        <v>2</v>
      </c>
      <c r="D59" s="99">
        <f t="shared" ca="1" si="46"/>
        <v>0</v>
      </c>
      <c r="E59" s="99">
        <f t="shared" ca="1" si="47"/>
        <v>0</v>
      </c>
      <c r="G59" s="75" t="s">
        <v>119</v>
      </c>
      <c r="H59" s="76" t="str">
        <f t="shared" ca="1" si="48"/>
        <v>02.002</v>
      </c>
      <c r="I59" s="92" t="s">
        <v>101</v>
      </c>
      <c r="J59" s="77"/>
      <c r="K59" s="78"/>
      <c r="L59" s="87" t="s">
        <v>85</v>
      </c>
      <c r="M59" s="130">
        <f>M60+M66+M68+M77</f>
        <v>1802503.7116353798</v>
      </c>
      <c r="N59" s="79">
        <f t="shared" si="8"/>
        <v>3.6195968406654233E-2</v>
      </c>
      <c r="O59" s="87">
        <f>M59/OBRA!$D$12</f>
        <v>135.77885768487013</v>
      </c>
      <c r="P59" s="81"/>
    </row>
    <row r="60" spans="1:16" s="1" customFormat="1" ht="19.899999999999999" customHeight="1" outlineLevel="2" x14ac:dyDescent="0.55000000000000004">
      <c r="A60" s="98">
        <f ca="1">IF(G60="UNIDADE CONSTRUTIVA",OFFSET(A60,-1,0)+1,LARGE(A$4:A59,1))</f>
        <v>1</v>
      </c>
      <c r="B60" s="98">
        <f t="shared" ca="1" si="44"/>
        <v>2</v>
      </c>
      <c r="C60" s="98">
        <f t="shared" ca="1" si="45"/>
        <v>2</v>
      </c>
      <c r="D60" s="99">
        <f t="shared" ca="1" si="46"/>
        <v>1</v>
      </c>
      <c r="E60" s="99">
        <f t="shared" ca="1" si="47"/>
        <v>0</v>
      </c>
      <c r="G60" s="75" t="s">
        <v>120</v>
      </c>
      <c r="H60" s="76" t="str">
        <f t="shared" ca="1" si="48"/>
        <v>02.002.001</v>
      </c>
      <c r="I60" s="92" t="s">
        <v>102</v>
      </c>
      <c r="J60" s="77"/>
      <c r="K60" s="78"/>
      <c r="L60" s="87" t="s">
        <v>85</v>
      </c>
      <c r="M60" s="130">
        <f>SUM(M61:M65)</f>
        <v>1289183.2</v>
      </c>
      <c r="N60" s="79">
        <f t="shared" si="8"/>
        <v>2.5888010147425814E-2</v>
      </c>
      <c r="O60" s="87">
        <f>M60/OBRA!$D$12</f>
        <v>97.111490596438941</v>
      </c>
      <c r="P60" s="81"/>
    </row>
    <row r="61" spans="1:16" s="1" customFormat="1" ht="19.899999999999999" customHeight="1" outlineLevel="3" x14ac:dyDescent="0.55000000000000004">
      <c r="A61" s="98">
        <f ca="1">IF(G61="UNIDADE CONSTRUTIVA",OFFSET(A61,-1,0)+1,LARGE(A$4:A60,1))</f>
        <v>1</v>
      </c>
      <c r="B61" s="98">
        <f t="shared" ca="1" si="44"/>
        <v>2</v>
      </c>
      <c r="C61" s="98">
        <f t="shared" ca="1" si="45"/>
        <v>2</v>
      </c>
      <c r="D61" s="99">
        <f t="shared" ca="1" si="46"/>
        <v>1</v>
      </c>
      <c r="E61" s="99">
        <f t="shared" ca="1" si="47"/>
        <v>1</v>
      </c>
      <c r="G61" s="75" t="s">
        <v>124</v>
      </c>
      <c r="H61" s="76" t="str">
        <f t="shared" ca="1" si="48"/>
        <v>02.002.001.001</v>
      </c>
      <c r="I61" s="92" t="s">
        <v>231</v>
      </c>
      <c r="J61" s="77" t="s">
        <v>89</v>
      </c>
      <c r="K61" s="78">
        <f>IFERROR(OBRA!$D$14,0)</f>
        <v>48</v>
      </c>
      <c r="L61" s="87">
        <v>8500</v>
      </c>
      <c r="M61" s="130">
        <f>K61*L61</f>
        <v>408000</v>
      </c>
      <c r="N61" s="79">
        <f t="shared" si="8"/>
        <v>8.1930234121494385E-3</v>
      </c>
      <c r="O61" s="87">
        <f>M61/OBRA!$D$12</f>
        <v>30.733791879499428</v>
      </c>
      <c r="P61" s="81"/>
    </row>
    <row r="62" spans="1:16" s="1" customFormat="1" ht="19.899999999999999" customHeight="1" outlineLevel="3" x14ac:dyDescent="0.55000000000000004">
      <c r="A62" s="98">
        <f ca="1">IF(G62="UNIDADE CONSTRUTIVA",OFFSET(A62,-1,0)+1,LARGE(A$4:A61,1))</f>
        <v>1</v>
      </c>
      <c r="B62" s="98">
        <f t="shared" ca="1" si="44"/>
        <v>2</v>
      </c>
      <c r="C62" s="98">
        <f t="shared" ca="1" si="45"/>
        <v>2</v>
      </c>
      <c r="D62" s="99">
        <f t="shared" ca="1" si="46"/>
        <v>1</v>
      </c>
      <c r="E62" s="99">
        <f t="shared" ca="1" si="47"/>
        <v>2</v>
      </c>
      <c r="G62" s="75" t="s">
        <v>124</v>
      </c>
      <c r="H62" s="76" t="str">
        <f t="shared" ca="1" si="48"/>
        <v>02.002.001.002</v>
      </c>
      <c r="I62" s="92" t="s">
        <v>232</v>
      </c>
      <c r="J62" s="77" t="s">
        <v>89</v>
      </c>
      <c r="K62" s="78">
        <f>IFERROR(OBRA!$D$14,0)</f>
        <v>48</v>
      </c>
      <c r="L62" s="87">
        <v>8000</v>
      </c>
      <c r="M62" s="130">
        <f t="shared" ref="M62:M65" si="56">K62*L62</f>
        <v>384000</v>
      </c>
      <c r="N62" s="79">
        <f t="shared" si="8"/>
        <v>7.7110808584935891E-3</v>
      </c>
      <c r="O62" s="87">
        <f>M62/OBRA!$D$12</f>
        <v>28.92592176894064</v>
      </c>
      <c r="P62" s="81"/>
    </row>
    <row r="63" spans="1:16" s="1" customFormat="1" ht="19.899999999999999" customHeight="1" outlineLevel="3" x14ac:dyDescent="0.55000000000000004">
      <c r="A63" s="98">
        <f ca="1">IF(G63="UNIDADE CONSTRUTIVA",OFFSET(A63,-1,0)+1,LARGE(A$4:A62,1))</f>
        <v>1</v>
      </c>
      <c r="B63" s="98">
        <f t="shared" ca="1" si="44"/>
        <v>2</v>
      </c>
      <c r="C63" s="98">
        <f t="shared" ca="1" si="45"/>
        <v>2</v>
      </c>
      <c r="D63" s="99">
        <f t="shared" ca="1" si="46"/>
        <v>1</v>
      </c>
      <c r="E63" s="99">
        <f t="shared" ca="1" si="47"/>
        <v>3</v>
      </c>
      <c r="G63" s="75" t="s">
        <v>124</v>
      </c>
      <c r="H63" s="76" t="str">
        <f t="shared" ca="1" si="48"/>
        <v>02.002.001.003</v>
      </c>
      <c r="I63" s="92" t="s">
        <v>233</v>
      </c>
      <c r="J63" s="77" t="s">
        <v>89</v>
      </c>
      <c r="K63" s="78">
        <f>IFERROR(OBRA!$D$14,0)</f>
        <v>48</v>
      </c>
      <c r="L63" s="87">
        <v>2200</v>
      </c>
      <c r="M63" s="130">
        <f t="shared" si="56"/>
        <v>105600</v>
      </c>
      <c r="N63" s="79">
        <f t="shared" si="8"/>
        <v>2.1205472360857373E-3</v>
      </c>
      <c r="O63" s="87">
        <f>M63/OBRA!$D$12</f>
        <v>7.9546284864586756</v>
      </c>
      <c r="P63" s="81"/>
    </row>
    <row r="64" spans="1:16" s="1" customFormat="1" ht="19.899999999999999" customHeight="1" outlineLevel="3" x14ac:dyDescent="0.55000000000000004">
      <c r="A64" s="98">
        <f ca="1">IF(G64="UNIDADE CONSTRUTIVA",OFFSET(A64,-1,0)+1,LARGE(A$4:A63,1))</f>
        <v>1</v>
      </c>
      <c r="B64" s="98">
        <f t="shared" ca="1" si="44"/>
        <v>2</v>
      </c>
      <c r="C64" s="98">
        <f t="shared" ca="1" si="45"/>
        <v>2</v>
      </c>
      <c r="D64" s="99">
        <f t="shared" ca="1" si="46"/>
        <v>1</v>
      </c>
      <c r="E64" s="99">
        <f t="shared" ca="1" si="47"/>
        <v>4</v>
      </c>
      <c r="G64" s="75" t="s">
        <v>124</v>
      </c>
      <c r="H64" s="76" t="str">
        <f t="shared" ca="1" si="48"/>
        <v>02.002.001.004</v>
      </c>
      <c r="I64" s="92" t="s">
        <v>234</v>
      </c>
      <c r="J64" s="77" t="s">
        <v>89</v>
      </c>
      <c r="K64" s="78">
        <f>K81</f>
        <v>17</v>
      </c>
      <c r="L64" s="87">
        <v>3500</v>
      </c>
      <c r="M64" s="130">
        <f t="shared" si="56"/>
        <v>59500</v>
      </c>
      <c r="N64" s="79">
        <f t="shared" si="8"/>
        <v>1.1948159142717932E-3</v>
      </c>
      <c r="O64" s="87">
        <f>M64/OBRA!$D$12</f>
        <v>4.4820113157603334</v>
      </c>
      <c r="P64" s="81"/>
    </row>
    <row r="65" spans="1:16" s="1" customFormat="1" ht="19.899999999999999" customHeight="1" outlineLevel="3" x14ac:dyDescent="0.55000000000000004">
      <c r="A65" s="98">
        <f ca="1">IF(G65="UNIDADE CONSTRUTIVA",OFFSET(A65,-1,0)+1,LARGE(A$4:A64,1))</f>
        <v>1</v>
      </c>
      <c r="B65" s="98">
        <f t="shared" ca="1" si="44"/>
        <v>2</v>
      </c>
      <c r="C65" s="98">
        <f t="shared" ca="1" si="45"/>
        <v>2</v>
      </c>
      <c r="D65" s="99">
        <f t="shared" ca="1" si="46"/>
        <v>1</v>
      </c>
      <c r="E65" s="99">
        <f t="shared" ca="1" si="47"/>
        <v>5</v>
      </c>
      <c r="G65" s="75" t="s">
        <v>124</v>
      </c>
      <c r="H65" s="76" t="str">
        <f t="shared" ca="1" si="48"/>
        <v>02.002.001.005</v>
      </c>
      <c r="I65" s="92" t="s">
        <v>235</v>
      </c>
      <c r="J65" s="77" t="s">
        <v>89</v>
      </c>
      <c r="K65" s="78">
        <f>IFERROR(OBRA!$D$14,0)</f>
        <v>48</v>
      </c>
      <c r="L65" s="87">
        <v>6918.4000000000005</v>
      </c>
      <c r="M65" s="130">
        <f t="shared" si="56"/>
        <v>332083.20000000001</v>
      </c>
      <c r="N65" s="79">
        <f t="shared" si="8"/>
        <v>6.6685427264252563E-3</v>
      </c>
      <c r="O65" s="87">
        <f>M65/OBRA!$D$12</f>
        <v>25.015137145779864</v>
      </c>
      <c r="P65" s="81" t="s">
        <v>236</v>
      </c>
    </row>
    <row r="66" spans="1:16" s="1" customFormat="1" ht="19.899999999999999" customHeight="1" outlineLevel="2" x14ac:dyDescent="0.55000000000000004">
      <c r="A66" s="98">
        <f ca="1">IF(G66="UNIDADE CONSTRUTIVA",OFFSET(A66,-1,0)+1,LARGE(A$4:A65,1))</f>
        <v>1</v>
      </c>
      <c r="B66" s="98">
        <f t="shared" ca="1" si="44"/>
        <v>2</v>
      </c>
      <c r="C66" s="98">
        <f t="shared" ca="1" si="45"/>
        <v>2</v>
      </c>
      <c r="D66" s="99">
        <f t="shared" ca="1" si="46"/>
        <v>2</v>
      </c>
      <c r="E66" s="99">
        <f t="shared" ca="1" si="47"/>
        <v>0</v>
      </c>
      <c r="G66" s="75" t="s">
        <v>120</v>
      </c>
      <c r="H66" s="76" t="str">
        <f t="shared" ca="1" si="48"/>
        <v>02.002.002</v>
      </c>
      <c r="I66" s="92" t="s">
        <v>237</v>
      </c>
      <c r="J66" s="77" t="s">
        <v>85</v>
      </c>
      <c r="K66" s="78" t="s">
        <v>85</v>
      </c>
      <c r="L66" s="87" t="s">
        <v>85</v>
      </c>
      <c r="M66" s="130">
        <f>M67</f>
        <v>15131.25</v>
      </c>
      <c r="N66" s="79">
        <f t="shared" si="8"/>
        <v>3.0384971937521128E-4</v>
      </c>
      <c r="O66" s="87">
        <f>M66/OBRA!$D$12</f>
        <v>1.1398056087663622</v>
      </c>
      <c r="P66" s="81"/>
    </row>
    <row r="67" spans="1:16" s="1" customFormat="1" ht="19.899999999999999" customHeight="1" outlineLevel="3" x14ac:dyDescent="0.55000000000000004">
      <c r="A67" s="98">
        <f ca="1">IF(G67="UNIDADE CONSTRUTIVA",OFFSET(A67,-1,0)+1,LARGE(A$4:A66,1))</f>
        <v>1</v>
      </c>
      <c r="B67" s="98">
        <f t="shared" ref="B67" ca="1" si="57">IF(G67="UNIDADE CONSTRUTIVA",0,IF(G67="CÉLULA CONSTRUTIVA",OFFSET(B67,-1,0)+1,OFFSET(B67,-1,0)))</f>
        <v>2</v>
      </c>
      <c r="C67" s="98">
        <f t="shared" ref="C67" ca="1" si="58">IF(G67="CÉLULA CONSTRUTIVA",0,IF(G67="ETAPA",OFFSET(C67,-1,0)+1,OFFSET(C67,-1,0)))</f>
        <v>2</v>
      </c>
      <c r="D67" s="99">
        <f t="shared" ref="D67" ca="1" si="59">IF(G67="ETAPA",0,IF(G67="SUBETAPA",OFFSET(D67,-1,0)+1,OFFSET(D67,-1,0)))</f>
        <v>2</v>
      </c>
      <c r="E67" s="99">
        <f t="shared" ref="E67" ca="1" si="60">IF(G67="Subetapa",0,IF(G67="serviço",OFFSET(E67,-1,0)+1,OFFSET(E67,-1,0)))</f>
        <v>1</v>
      </c>
      <c r="G67" s="75" t="s">
        <v>124</v>
      </c>
      <c r="H67" s="76" t="str">
        <f t="shared" ca="1" si="48"/>
        <v>02.002.002.001</v>
      </c>
      <c r="I67" s="92" t="s">
        <v>103</v>
      </c>
      <c r="J67" s="77" t="s">
        <v>70</v>
      </c>
      <c r="K67" s="78">
        <f>OBRA!D11</f>
        <v>1210.5</v>
      </c>
      <c r="L67" s="87">
        <v>12.5</v>
      </c>
      <c r="M67" s="130">
        <f t="shared" ref="M67" si="61">K67*L67</f>
        <v>15131.25</v>
      </c>
      <c r="N67" s="79">
        <f t="shared" si="8"/>
        <v>3.0384971937521128E-4</v>
      </c>
      <c r="O67" s="87">
        <f>M67/OBRA!$D$12</f>
        <v>1.1398056087663622</v>
      </c>
      <c r="P67" s="81"/>
    </row>
    <row r="68" spans="1:16" s="1" customFormat="1" ht="19.899999999999999" customHeight="1" outlineLevel="2" x14ac:dyDescent="0.55000000000000004">
      <c r="A68" s="98">
        <f ca="1">IF(G68="UNIDADE CONSTRUTIVA",OFFSET(A68,-1,0)+1,LARGE(A$4:A66,1))</f>
        <v>1</v>
      </c>
      <c r="B68" s="98">
        <f t="shared" ca="1" si="44"/>
        <v>2</v>
      </c>
      <c r="C68" s="98">
        <f t="shared" ca="1" si="45"/>
        <v>2</v>
      </c>
      <c r="D68" s="99">
        <f t="shared" ca="1" si="46"/>
        <v>3</v>
      </c>
      <c r="E68" s="99">
        <f t="shared" ca="1" si="47"/>
        <v>0</v>
      </c>
      <c r="G68" s="75" t="s">
        <v>120</v>
      </c>
      <c r="H68" s="76" t="str">
        <f t="shared" ca="1" si="48"/>
        <v>02.002.003</v>
      </c>
      <c r="I68" s="92" t="s">
        <v>104</v>
      </c>
      <c r="J68" s="77" t="s">
        <v>85</v>
      </c>
      <c r="K68" s="78" t="s">
        <v>85</v>
      </c>
      <c r="L68" s="87" t="s">
        <v>85</v>
      </c>
      <c r="M68" s="130">
        <f>SUM(M69:M76)</f>
        <v>228249.33782733069</v>
      </c>
      <c r="N68" s="79">
        <f t="shared" si="8"/>
        <v>4.5834611976150168E-3</v>
      </c>
      <c r="O68" s="87">
        <f>M68/OBRA!$D$12</f>
        <v>17.19354815053612</v>
      </c>
      <c r="P68" s="81"/>
    </row>
    <row r="69" spans="1:16" s="1" customFormat="1" ht="19.899999999999999" customHeight="1" outlineLevel="3" x14ac:dyDescent="0.55000000000000004">
      <c r="A69" s="98">
        <f ca="1">IF(G69="UNIDADE CONSTRUTIVA",OFFSET(A69,-1,0)+1,LARGE(A$4:A68,1))</f>
        <v>1</v>
      </c>
      <c r="B69" s="98">
        <f t="shared" ca="1" si="44"/>
        <v>2</v>
      </c>
      <c r="C69" s="98">
        <f t="shared" ca="1" si="45"/>
        <v>2</v>
      </c>
      <c r="D69" s="99">
        <f t="shared" ca="1" si="46"/>
        <v>3</v>
      </c>
      <c r="E69" s="99">
        <f t="shared" ca="1" si="47"/>
        <v>1</v>
      </c>
      <c r="G69" s="75" t="s">
        <v>124</v>
      </c>
      <c r="H69" s="76" t="str">
        <f t="shared" ref="H69" ca="1" si="62">IF(G69="Unidade Construtiva",CONCATENATE("UC ",TEXT(A69,"00")),IF(G69="Célula Construtiva",TEXT(B69,"00"),IF(G69="Etapa",CONCATENATE(TEXT(B69,"00"),".",TEXT(C69,"000")),IF(G69="Subetapa",CONCATENATE(TEXT(B69,"00"),".",TEXT(C69,"000"),".",TEXT(D69,"000")),IF(G69="Serviço",CONCATENATE(TEXT(B69,"00"),".",TEXT(C69,"000"),".",TEXT(D69,"000"),".",TEXT(E69,"000")),"")))))</f>
        <v>02.002.003.001</v>
      </c>
      <c r="I69" s="92" t="s">
        <v>238</v>
      </c>
      <c r="J69" s="77" t="s">
        <v>244</v>
      </c>
      <c r="K69" s="78">
        <v>7</v>
      </c>
      <c r="L69" s="87">
        <v>2850</v>
      </c>
      <c r="M69" s="130">
        <f t="shared" ref="M69" si="63">K69*L69</f>
        <v>19950</v>
      </c>
      <c r="N69" s="79">
        <f t="shared" si="8"/>
        <v>4.0061474772642476E-4</v>
      </c>
      <c r="O69" s="87">
        <f>M69/OBRA!$D$12</f>
        <v>1.5027920294019941</v>
      </c>
      <c r="P69" s="81"/>
    </row>
    <row r="70" spans="1:16" s="1" customFormat="1" ht="19.899999999999999" customHeight="1" outlineLevel="3" x14ac:dyDescent="0.55000000000000004">
      <c r="A70" s="98">
        <f ca="1">IF(G70="UNIDADE CONSTRUTIVA",OFFSET(A70,-1,0)+1,LARGE(A$4:A69,1))</f>
        <v>1</v>
      </c>
      <c r="B70" s="98">
        <f t="shared" ca="1" si="44"/>
        <v>2</v>
      </c>
      <c r="C70" s="98">
        <f t="shared" ca="1" si="45"/>
        <v>2</v>
      </c>
      <c r="D70" s="99">
        <f t="shared" ca="1" si="46"/>
        <v>3</v>
      </c>
      <c r="E70" s="99">
        <f t="shared" ca="1" si="47"/>
        <v>2</v>
      </c>
      <c r="G70" s="75" t="s">
        <v>124</v>
      </c>
      <c r="H70" s="76" t="str">
        <f t="shared" ca="1" si="48"/>
        <v>02.002.003.002</v>
      </c>
      <c r="I70" s="92" t="s">
        <v>69</v>
      </c>
      <c r="J70" s="77" t="s">
        <v>6</v>
      </c>
      <c r="K70" s="78">
        <v>1</v>
      </c>
      <c r="L70" s="87">
        <v>73627.572200917653</v>
      </c>
      <c r="M70" s="130">
        <f t="shared" ref="M70:M76" si="64">K70*L70</f>
        <v>73627.572200917653</v>
      </c>
      <c r="N70" s="79">
        <f t="shared" si="8"/>
        <v>1.4785108402496116E-3</v>
      </c>
      <c r="O70" s="87">
        <f>M70/OBRA!$D$12</f>
        <v>5.546211962293679</v>
      </c>
      <c r="P70" s="81"/>
    </row>
    <row r="71" spans="1:16" s="1" customFormat="1" ht="19.899999999999999" customHeight="1" outlineLevel="3" x14ac:dyDescent="0.55000000000000004">
      <c r="A71" s="98">
        <f ca="1">IF(G71="UNIDADE CONSTRUTIVA",OFFSET(A71,-1,0)+1,LARGE(A$4:A70,1))</f>
        <v>1</v>
      </c>
      <c r="B71" s="98">
        <f t="shared" ca="1" si="44"/>
        <v>2</v>
      </c>
      <c r="C71" s="98">
        <f t="shared" ca="1" si="45"/>
        <v>2</v>
      </c>
      <c r="D71" s="99">
        <f t="shared" ca="1" si="46"/>
        <v>3</v>
      </c>
      <c r="E71" s="99">
        <f t="shared" ca="1" si="47"/>
        <v>3</v>
      </c>
      <c r="G71" s="75" t="s">
        <v>124</v>
      </c>
      <c r="H71" s="76" t="str">
        <f t="shared" ca="1" si="48"/>
        <v>02.002.003.003</v>
      </c>
      <c r="I71" s="92" t="s">
        <v>239</v>
      </c>
      <c r="J71" s="77" t="s">
        <v>244</v>
      </c>
      <c r="K71" s="78">
        <f>OBRA!D14</f>
        <v>48</v>
      </c>
      <c r="L71" s="87">
        <v>1500</v>
      </c>
      <c r="M71" s="130">
        <f t="shared" si="64"/>
        <v>72000</v>
      </c>
      <c r="N71" s="79">
        <f t="shared" si="8"/>
        <v>1.4458276609675481E-3</v>
      </c>
      <c r="O71" s="87">
        <f>M71/OBRA!$D$12</f>
        <v>5.42361033167637</v>
      </c>
      <c r="P71" s="81"/>
    </row>
    <row r="72" spans="1:16" s="1" customFormat="1" ht="19.899999999999999" customHeight="1" outlineLevel="3" x14ac:dyDescent="0.55000000000000004">
      <c r="A72" s="98">
        <f ca="1">IF(G72="UNIDADE CONSTRUTIVA",OFFSET(A72,-1,0)+1,LARGE(A$4:A70,1))</f>
        <v>1</v>
      </c>
      <c r="B72" s="98">
        <f t="shared" ca="1" si="44"/>
        <v>2</v>
      </c>
      <c r="C72" s="98">
        <f t="shared" ca="1" si="45"/>
        <v>2</v>
      </c>
      <c r="D72" s="99">
        <f t="shared" ca="1" si="46"/>
        <v>3</v>
      </c>
      <c r="E72" s="99">
        <f t="shared" ca="1" si="47"/>
        <v>4</v>
      </c>
      <c r="G72" s="75" t="s">
        <v>124</v>
      </c>
      <c r="H72" s="76" t="str">
        <f t="shared" ca="1" si="48"/>
        <v>02.002.003.004</v>
      </c>
      <c r="I72" s="92" t="s">
        <v>240</v>
      </c>
      <c r="J72" s="77" t="s">
        <v>6</v>
      </c>
      <c r="K72" s="78">
        <v>1</v>
      </c>
      <c r="L72" s="87">
        <v>15778.006046364875</v>
      </c>
      <c r="M72" s="130">
        <f t="shared" si="64"/>
        <v>15778.006046364875</v>
      </c>
      <c r="N72" s="79">
        <f t="shared" si="8"/>
        <v>3.168371885659383E-4</v>
      </c>
      <c r="O72" s="87">
        <f>M72/OBRA!$D$12</f>
        <v>1.1885243973099551</v>
      </c>
      <c r="P72" s="81"/>
    </row>
    <row r="73" spans="1:16" s="1" customFormat="1" ht="19.899999999999999" customHeight="1" outlineLevel="3" x14ac:dyDescent="0.55000000000000004">
      <c r="A73" s="98">
        <f ca="1">IF(G73="UNIDADE CONSTRUTIVA",OFFSET(A73,-1,0)+1,LARGE(A$4:A71,1))</f>
        <v>1</v>
      </c>
      <c r="B73" s="98">
        <f t="shared" ref="B73" ca="1" si="65">IF(G73="UNIDADE CONSTRUTIVA",0,IF(G73="CÉLULA CONSTRUTIVA",OFFSET(B73,-1,0)+1,OFFSET(B73,-1,0)))</f>
        <v>2</v>
      </c>
      <c r="C73" s="98">
        <f t="shared" ref="C73" ca="1" si="66">IF(G73="CÉLULA CONSTRUTIVA",0,IF(G73="ETAPA",OFFSET(C73,-1,0)+1,OFFSET(C73,-1,0)))</f>
        <v>2</v>
      </c>
      <c r="D73" s="99">
        <f t="shared" ref="D73" ca="1" si="67">IF(G73="ETAPA",0,IF(G73="SUBETAPA",OFFSET(D73,-1,0)+1,OFFSET(D73,-1,0)))</f>
        <v>3</v>
      </c>
      <c r="E73" s="99">
        <f t="shared" ref="E73" ca="1" si="68">IF(G73="Subetapa",0,IF(G73="serviço",OFFSET(E73,-1,0)+1,OFFSET(E73,-1,0)))</f>
        <v>5</v>
      </c>
      <c r="G73" s="75" t="s">
        <v>124</v>
      </c>
      <c r="H73" s="76" t="str">
        <f t="shared" ref="H73" ca="1" si="69">IF(G73="Unidade Construtiva",CONCATENATE("UC ",TEXT(A73,"00")),IF(G73="Célula Construtiva",TEXT(B73,"00"),IF(G73="Etapa",CONCATENATE(TEXT(B73,"00"),".",TEXT(C73,"000")),IF(G73="Subetapa",CONCATENATE(TEXT(B73,"00"),".",TEXT(C73,"000"),".",TEXT(D73,"000")),IF(G73="Serviço",CONCATENATE(TEXT(B73,"00"),".",TEXT(C73,"000"),".",TEXT(D73,"000"),".",TEXT(E73,"000")),"")))))</f>
        <v>02.002.003.005</v>
      </c>
      <c r="I73" s="92" t="s">
        <v>241</v>
      </c>
      <c r="J73" s="77" t="s">
        <v>6</v>
      </c>
      <c r="K73" s="78">
        <v>1</v>
      </c>
      <c r="L73" s="87">
        <v>13809.655580048184</v>
      </c>
      <c r="M73" s="130">
        <f t="shared" ref="M73" si="70">K73*L73</f>
        <v>13809.655580048184</v>
      </c>
      <c r="N73" s="79">
        <f t="shared" si="8"/>
        <v>2.7731086147317379E-4</v>
      </c>
      <c r="O73" s="87">
        <f>M73/OBRA!$D$12</f>
        <v>1.0402526483450216</v>
      </c>
      <c r="P73" s="81"/>
    </row>
    <row r="74" spans="1:16" s="1" customFormat="1" ht="19.899999999999999" customHeight="1" outlineLevel="3" x14ac:dyDescent="0.55000000000000004">
      <c r="A74" s="98">
        <f ca="1">IF(G74="UNIDADE CONSTRUTIVA",OFFSET(A74,-1,0)+1,LARGE(A$4:A73,1))</f>
        <v>1</v>
      </c>
      <c r="B74" s="98">
        <f t="shared" ref="B74" ca="1" si="71">IF(G74="UNIDADE CONSTRUTIVA",0,IF(G74="CÉLULA CONSTRUTIVA",OFFSET(B74,-1,0)+1,OFFSET(B74,-1,0)))</f>
        <v>2</v>
      </c>
      <c r="C74" s="98">
        <f t="shared" ref="C74" ca="1" si="72">IF(G74="CÉLULA CONSTRUTIVA",0,IF(G74="ETAPA",OFFSET(C74,-1,0)+1,OFFSET(C74,-1,0)))</f>
        <v>2</v>
      </c>
      <c r="D74" s="99">
        <f t="shared" ref="D74" ca="1" si="73">IF(G74="ETAPA",0,IF(G74="SUBETAPA",OFFSET(D74,-1,0)+1,OFFSET(D74,-1,0)))</f>
        <v>3</v>
      </c>
      <c r="E74" s="99">
        <f t="shared" ref="E74" ca="1" si="74">IF(G74="Subetapa",0,IF(G74="serviço",OFFSET(E74,-1,0)+1,OFFSET(E74,-1,0)))</f>
        <v>6</v>
      </c>
      <c r="G74" s="75" t="s">
        <v>124</v>
      </c>
      <c r="H74" s="76" t="str">
        <f t="shared" ref="H74" ca="1" si="75">IF(G74="Unidade Construtiva",CONCATENATE("UC ",TEXT(A74,"00")),IF(G74="Célula Construtiva",TEXT(B74,"00"),IF(G74="Etapa",CONCATENATE(TEXT(B74,"00"),".",TEXT(C74,"000")),IF(G74="Subetapa",CONCATENATE(TEXT(B74,"00"),".",TEXT(C74,"000"),".",TEXT(D74,"000")),IF(G74="Serviço",CONCATENATE(TEXT(B74,"00"),".",TEXT(C74,"000"),".",TEXT(D74,"000"),".",TEXT(E74,"000")),"")))))</f>
        <v>02.002.003.006</v>
      </c>
      <c r="I74" s="92" t="s">
        <v>105</v>
      </c>
      <c r="J74" s="77" t="s">
        <v>6</v>
      </c>
      <c r="K74" s="78">
        <v>1</v>
      </c>
      <c r="L74" s="87">
        <v>15200</v>
      </c>
      <c r="M74" s="130">
        <f t="shared" ref="M74" si="76">K74*L74</f>
        <v>15200</v>
      </c>
      <c r="N74" s="79">
        <f t="shared" si="8"/>
        <v>3.0523028398203789E-4</v>
      </c>
      <c r="O74" s="87">
        <f>M74/OBRA!$D$12</f>
        <v>1.1449844033539003</v>
      </c>
      <c r="P74" s="81"/>
    </row>
    <row r="75" spans="1:16" s="1" customFormat="1" ht="19.899999999999999" customHeight="1" outlineLevel="3" x14ac:dyDescent="0.55000000000000004">
      <c r="A75" s="98">
        <f ca="1">IF(G75="UNIDADE CONSTRUTIVA",OFFSET(A75,-1,0)+1,LARGE(A$4:A71,1))</f>
        <v>1</v>
      </c>
      <c r="B75" s="98">
        <f t="shared" ca="1" si="44"/>
        <v>2</v>
      </c>
      <c r="C75" s="98">
        <f t="shared" ca="1" si="45"/>
        <v>2</v>
      </c>
      <c r="D75" s="99">
        <f t="shared" ca="1" si="46"/>
        <v>3</v>
      </c>
      <c r="E75" s="99">
        <f t="shared" ca="1" si="47"/>
        <v>7</v>
      </c>
      <c r="G75" s="75" t="s">
        <v>124</v>
      </c>
      <c r="H75" s="76" t="str">
        <f t="shared" ca="1" si="48"/>
        <v>02.002.003.007</v>
      </c>
      <c r="I75" s="92" t="s">
        <v>242</v>
      </c>
      <c r="J75" s="77" t="s">
        <v>6</v>
      </c>
      <c r="K75" s="78">
        <v>1</v>
      </c>
      <c r="L75" s="87">
        <v>9000</v>
      </c>
      <c r="M75" s="130">
        <f t="shared" si="64"/>
        <v>9000</v>
      </c>
      <c r="N75" s="79">
        <f t="shared" si="8"/>
        <v>1.8072845762094351E-4</v>
      </c>
      <c r="O75" s="87">
        <f>M75/OBRA!$D$12</f>
        <v>0.67795129145954625</v>
      </c>
      <c r="P75" s="81"/>
    </row>
    <row r="76" spans="1:16" s="1" customFormat="1" ht="19.899999999999999" customHeight="1" outlineLevel="3" x14ac:dyDescent="0.55000000000000004">
      <c r="A76" s="98">
        <f ca="1">IF(G76="UNIDADE CONSTRUTIVA",OFFSET(A76,-1,0)+1,LARGE(A$4:A75,1))</f>
        <v>1</v>
      </c>
      <c r="B76" s="98">
        <f t="shared" ca="1" si="44"/>
        <v>2</v>
      </c>
      <c r="C76" s="98">
        <f t="shared" ca="1" si="45"/>
        <v>2</v>
      </c>
      <c r="D76" s="99">
        <f t="shared" ca="1" si="46"/>
        <v>3</v>
      </c>
      <c r="E76" s="99">
        <f t="shared" ca="1" si="47"/>
        <v>8</v>
      </c>
      <c r="G76" s="75" t="s">
        <v>124</v>
      </c>
      <c r="H76" s="76" t="str">
        <f t="shared" ca="1" si="48"/>
        <v>02.002.003.008</v>
      </c>
      <c r="I76" s="92" t="s">
        <v>243</v>
      </c>
      <c r="J76" s="77" t="s">
        <v>10</v>
      </c>
      <c r="K76" s="78">
        <f>'EPC''s'!D49</f>
        <v>74.399999999999991</v>
      </c>
      <c r="L76" s="87">
        <v>119.41</v>
      </c>
      <c r="M76" s="130">
        <f t="shared" si="64"/>
        <v>8884.1039999999994</v>
      </c>
      <c r="N76" s="79">
        <f t="shared" si="8"/>
        <v>1.7840115702933939E-4</v>
      </c>
      <c r="O76" s="87">
        <f>M76/OBRA!$D$12</f>
        <v>0.66922108669565783</v>
      </c>
      <c r="P76" s="81"/>
    </row>
    <row r="77" spans="1:16" s="1" customFormat="1" ht="19.899999999999999" customHeight="1" outlineLevel="2" x14ac:dyDescent="0.55000000000000004">
      <c r="A77" s="98">
        <f ca="1">IF(G77="UNIDADE CONSTRUTIVA",OFFSET(A77,-1,0)+1,LARGE(A$4:A76,1))</f>
        <v>1</v>
      </c>
      <c r="B77" s="98">
        <f t="shared" ca="1" si="44"/>
        <v>2</v>
      </c>
      <c r="C77" s="98">
        <f t="shared" ca="1" si="45"/>
        <v>2</v>
      </c>
      <c r="D77" s="99">
        <f t="shared" ca="1" si="46"/>
        <v>4</v>
      </c>
      <c r="E77" s="99">
        <f t="shared" ca="1" si="47"/>
        <v>0</v>
      </c>
      <c r="G77" s="75" t="s">
        <v>120</v>
      </c>
      <c r="H77" s="76" t="str">
        <f t="shared" ca="1" si="48"/>
        <v>02.002.004</v>
      </c>
      <c r="I77" s="92" t="s">
        <v>245</v>
      </c>
      <c r="J77" s="77" t="s">
        <v>85</v>
      </c>
      <c r="K77" s="78" t="s">
        <v>85</v>
      </c>
      <c r="L77" s="87" t="s">
        <v>85</v>
      </c>
      <c r="M77" s="130">
        <v>269939.92380804918</v>
      </c>
      <c r="N77" s="79">
        <f t="shared" si="8"/>
        <v>5.4206473422381924E-3</v>
      </c>
      <c r="O77" s="87">
        <f>M77/OBRA!$D$12</f>
        <v>20.334013329128716</v>
      </c>
      <c r="P77" s="81"/>
    </row>
    <row r="78" spans="1:16" s="1" customFormat="1" ht="19.899999999999999" customHeight="1" outlineLevel="2" x14ac:dyDescent="0.55000000000000004">
      <c r="A78" s="98">
        <f ca="1">IF(G78="UNIDADE CONSTRUTIVA",OFFSET(A78,-1,0)+1,LARGE(A$4:A77,1))</f>
        <v>1</v>
      </c>
      <c r="B78" s="98">
        <f t="shared" ca="1" si="44"/>
        <v>2</v>
      </c>
      <c r="C78" s="98">
        <f t="shared" ca="1" si="45"/>
        <v>3</v>
      </c>
      <c r="D78" s="99">
        <f t="shared" ca="1" si="46"/>
        <v>0</v>
      </c>
      <c r="E78" s="99">
        <f t="shared" ca="1" si="47"/>
        <v>0</v>
      </c>
      <c r="G78" s="75" t="s">
        <v>119</v>
      </c>
      <c r="H78" s="76" t="str">
        <f t="shared" ca="1" si="48"/>
        <v>02.003</v>
      </c>
      <c r="I78" s="92" t="s">
        <v>106</v>
      </c>
      <c r="J78" s="77" t="s">
        <v>85</v>
      </c>
      <c r="K78" s="78" t="s">
        <v>85</v>
      </c>
      <c r="L78" s="87" t="s">
        <v>85</v>
      </c>
      <c r="M78" s="130">
        <f>M79+M87</f>
        <v>492206</v>
      </c>
      <c r="N78" s="79">
        <f t="shared" si="8"/>
        <v>9.8839590235304583E-3</v>
      </c>
      <c r="O78" s="87">
        <f>M78/OBRA!$D$12</f>
        <v>37.076854818237493</v>
      </c>
      <c r="P78" s="81"/>
    </row>
    <row r="79" spans="1:16" s="1" customFormat="1" ht="19.899999999999999" customHeight="1" outlineLevel="2" x14ac:dyDescent="0.55000000000000004">
      <c r="A79" s="98">
        <f ca="1">IF(G79="UNIDADE CONSTRUTIVA",OFFSET(A79,-1,0)+1,LARGE(A$4:A78,1))</f>
        <v>1</v>
      </c>
      <c r="B79" s="98">
        <f t="shared" ca="1" si="44"/>
        <v>2</v>
      </c>
      <c r="C79" s="98">
        <f t="shared" ca="1" si="45"/>
        <v>3</v>
      </c>
      <c r="D79" s="99">
        <f t="shared" ca="1" si="46"/>
        <v>1</v>
      </c>
      <c r="E79" s="99">
        <f t="shared" ca="1" si="47"/>
        <v>0</v>
      </c>
      <c r="G79" s="75" t="s">
        <v>120</v>
      </c>
      <c r="H79" s="76" t="str">
        <f t="shared" ca="1" si="48"/>
        <v>02.003.001</v>
      </c>
      <c r="I79" s="92" t="s">
        <v>107</v>
      </c>
      <c r="J79" s="77" t="s">
        <v>85</v>
      </c>
      <c r="K79" s="78" t="s">
        <v>85</v>
      </c>
      <c r="L79" s="87" t="s">
        <v>85</v>
      </c>
      <c r="M79" s="130">
        <f>SUM(M80:M86)</f>
        <v>384206</v>
      </c>
      <c r="N79" s="79">
        <f t="shared" si="8"/>
        <v>7.7152175320791359E-3</v>
      </c>
      <c r="O79" s="87">
        <f>M79/OBRA!$D$12</f>
        <v>28.941439320722935</v>
      </c>
      <c r="P79" s="81"/>
    </row>
    <row r="80" spans="1:16" s="1" customFormat="1" ht="19.899999999999999" customHeight="1" outlineLevel="3" x14ac:dyDescent="0.55000000000000004">
      <c r="A80" s="98">
        <f ca="1">IF(G80="UNIDADE CONSTRUTIVA",OFFSET(A80,-1,0)+1,LARGE(A$4:A79,1))</f>
        <v>1</v>
      </c>
      <c r="B80" s="98">
        <f t="shared" ca="1" si="44"/>
        <v>2</v>
      </c>
      <c r="C80" s="98">
        <f t="shared" ca="1" si="45"/>
        <v>3</v>
      </c>
      <c r="D80" s="99">
        <f t="shared" ca="1" si="46"/>
        <v>1</v>
      </c>
      <c r="E80" s="99">
        <f t="shared" ca="1" si="47"/>
        <v>1</v>
      </c>
      <c r="G80" s="75" t="s">
        <v>124</v>
      </c>
      <c r="H80" s="76" t="str">
        <f t="shared" ca="1" si="48"/>
        <v>02.003.001.001</v>
      </c>
      <c r="I80" s="92" t="s">
        <v>246</v>
      </c>
      <c r="J80" s="77" t="s">
        <v>6</v>
      </c>
      <c r="K80" s="78">
        <v>1</v>
      </c>
      <c r="L80" s="87">
        <v>73600</v>
      </c>
      <c r="M80" s="130">
        <f t="shared" ref="M80:M85" si="77">K80*L80</f>
        <v>73600</v>
      </c>
      <c r="N80" s="79">
        <f t="shared" si="8"/>
        <v>1.4779571645446047E-3</v>
      </c>
      <c r="O80" s="87">
        <f>M80/OBRA!$D$12</f>
        <v>5.5441350057136223</v>
      </c>
      <c r="P80" s="81"/>
    </row>
    <row r="81" spans="1:18" s="1" customFormat="1" ht="19.899999999999999" customHeight="1" outlineLevel="3" x14ac:dyDescent="0.55000000000000004">
      <c r="A81" s="98">
        <f ca="1">IF(G81="UNIDADE CONSTRUTIVA",OFFSET(A81,-1,0)+1,LARGE(A$4:A80,1))</f>
        <v>1</v>
      </c>
      <c r="B81" s="98">
        <f t="shared" ca="1" si="44"/>
        <v>2</v>
      </c>
      <c r="C81" s="98">
        <f t="shared" ca="1" si="45"/>
        <v>3</v>
      </c>
      <c r="D81" s="99">
        <f t="shared" ca="1" si="46"/>
        <v>1</v>
      </c>
      <c r="E81" s="99">
        <f t="shared" ca="1" si="47"/>
        <v>2</v>
      </c>
      <c r="G81" s="75" t="s">
        <v>124</v>
      </c>
      <c r="H81" s="76" t="str">
        <f t="shared" ca="1" si="48"/>
        <v>02.003.001.002</v>
      </c>
      <c r="I81" s="92" t="s">
        <v>247</v>
      </c>
      <c r="J81" s="77" t="s">
        <v>89</v>
      </c>
      <c r="K81" s="78">
        <v>17</v>
      </c>
      <c r="L81" s="87">
        <v>12000</v>
      </c>
      <c r="M81" s="130">
        <f t="shared" si="77"/>
        <v>204000</v>
      </c>
      <c r="N81" s="79">
        <f t="shared" si="8"/>
        <v>4.0965117060747193E-3</v>
      </c>
      <c r="O81" s="87">
        <f>M81/OBRA!$D$12</f>
        <v>15.366895939749714</v>
      </c>
      <c r="P81" s="81"/>
    </row>
    <row r="82" spans="1:18" s="1" customFormat="1" ht="19.899999999999999" customHeight="1" outlineLevel="3" x14ac:dyDescent="0.55000000000000004">
      <c r="A82" s="98">
        <f ca="1">IF(G82="UNIDADE CONSTRUTIVA",OFFSET(A82,-1,0)+1,LARGE(A$4:A81,1))</f>
        <v>1</v>
      </c>
      <c r="B82" s="98">
        <f t="shared" ca="1" si="44"/>
        <v>2</v>
      </c>
      <c r="C82" s="98">
        <f t="shared" ca="1" si="45"/>
        <v>3</v>
      </c>
      <c r="D82" s="99">
        <f t="shared" ca="1" si="46"/>
        <v>1</v>
      </c>
      <c r="E82" s="99">
        <f t="shared" ca="1" si="47"/>
        <v>3</v>
      </c>
      <c r="G82" s="75" t="s">
        <v>124</v>
      </c>
      <c r="H82" s="76" t="str">
        <f t="shared" ca="1" si="48"/>
        <v>02.003.001.003</v>
      </c>
      <c r="I82" s="92" t="s">
        <v>248</v>
      </c>
      <c r="J82" s="77" t="s">
        <v>6</v>
      </c>
      <c r="K82" s="78">
        <v>1</v>
      </c>
      <c r="L82" s="87">
        <v>17600</v>
      </c>
      <c r="M82" s="130">
        <f t="shared" si="77"/>
        <v>17600</v>
      </c>
      <c r="N82" s="79">
        <f t="shared" si="8"/>
        <v>3.5342453934762285E-4</v>
      </c>
      <c r="O82" s="87">
        <f>M82/OBRA!$D$12</f>
        <v>1.3257714144097792</v>
      </c>
      <c r="P82" s="81"/>
    </row>
    <row r="83" spans="1:18" s="1" customFormat="1" ht="19.899999999999999" customHeight="1" outlineLevel="3" x14ac:dyDescent="0.55000000000000004">
      <c r="A83" s="98">
        <f ca="1">IF(G83="UNIDADE CONSTRUTIVA",OFFSET(A83,-1,0)+1,LARGE(A$4:A82,1))</f>
        <v>1</v>
      </c>
      <c r="B83" s="98">
        <f t="shared" ca="1" si="44"/>
        <v>2</v>
      </c>
      <c r="C83" s="98">
        <f t="shared" ca="1" si="45"/>
        <v>3</v>
      </c>
      <c r="D83" s="99">
        <f t="shared" ca="1" si="46"/>
        <v>1</v>
      </c>
      <c r="E83" s="99">
        <f t="shared" ca="1" si="47"/>
        <v>4</v>
      </c>
      <c r="G83" s="75" t="s">
        <v>124</v>
      </c>
      <c r="H83" s="76" t="str">
        <f t="shared" ca="1" si="48"/>
        <v>02.003.001.004</v>
      </c>
      <c r="I83" s="92" t="s">
        <v>249</v>
      </c>
      <c r="J83" s="77" t="s">
        <v>6</v>
      </c>
      <c r="K83" s="78">
        <v>1</v>
      </c>
      <c r="L83" s="87">
        <v>13000</v>
      </c>
      <c r="M83" s="130">
        <f t="shared" si="77"/>
        <v>13000</v>
      </c>
      <c r="N83" s="79">
        <f t="shared" si="8"/>
        <v>2.6105221656358505E-4</v>
      </c>
      <c r="O83" s="87">
        <f>M83/OBRA!$D$12</f>
        <v>0.97926297655267791</v>
      </c>
      <c r="P83" s="81"/>
    </row>
    <row r="84" spans="1:18" s="1" customFormat="1" ht="19.899999999999999" customHeight="1" outlineLevel="3" x14ac:dyDescent="0.55000000000000004">
      <c r="A84" s="98">
        <f ca="1">IF(G84="UNIDADE CONSTRUTIVA",OFFSET(A84,-1,0)+1,LARGE(A$4:A83,1))</f>
        <v>1</v>
      </c>
      <c r="B84" s="98">
        <f t="shared" ca="1" si="44"/>
        <v>2</v>
      </c>
      <c r="C84" s="98">
        <f t="shared" ca="1" si="45"/>
        <v>3</v>
      </c>
      <c r="D84" s="99">
        <f t="shared" ca="1" si="46"/>
        <v>1</v>
      </c>
      <c r="E84" s="99">
        <f t="shared" ca="1" si="47"/>
        <v>5</v>
      </c>
      <c r="G84" s="75" t="s">
        <v>124</v>
      </c>
      <c r="H84" s="76" t="str">
        <f t="shared" ca="1" si="48"/>
        <v>02.003.001.005</v>
      </c>
      <c r="I84" s="92" t="s">
        <v>250</v>
      </c>
      <c r="J84" s="77" t="s">
        <v>89</v>
      </c>
      <c r="K84" s="78">
        <v>15</v>
      </c>
      <c r="L84" s="87">
        <v>3950</v>
      </c>
      <c r="M84" s="130">
        <f t="shared" si="77"/>
        <v>59250</v>
      </c>
      <c r="N84" s="79">
        <f t="shared" si="8"/>
        <v>1.1897956793378781E-3</v>
      </c>
      <c r="O84" s="87">
        <f>M84/OBRA!$D$12</f>
        <v>4.4631793354420131</v>
      </c>
      <c r="P84" s="81"/>
    </row>
    <row r="85" spans="1:18" s="1" customFormat="1" ht="19.899999999999999" customHeight="1" outlineLevel="3" x14ac:dyDescent="0.55000000000000004">
      <c r="A85" s="98">
        <f ca="1">IF(G85="UNIDADE CONSTRUTIVA",OFFSET(A85,-1,0)+1,LARGE(A$4:A84,1))</f>
        <v>1</v>
      </c>
      <c r="B85" s="98">
        <f t="shared" ca="1" si="44"/>
        <v>2</v>
      </c>
      <c r="C85" s="98">
        <f t="shared" ca="1" si="45"/>
        <v>3</v>
      </c>
      <c r="D85" s="99">
        <f t="shared" ca="1" si="46"/>
        <v>1</v>
      </c>
      <c r="E85" s="99">
        <f t="shared" ca="1" si="47"/>
        <v>6</v>
      </c>
      <c r="G85" s="75" t="s">
        <v>124</v>
      </c>
      <c r="H85" s="76" t="str">
        <f t="shared" ca="1" si="48"/>
        <v>02.003.001.006</v>
      </c>
      <c r="I85" s="92" t="s">
        <v>251</v>
      </c>
      <c r="J85" s="77" t="s">
        <v>6</v>
      </c>
      <c r="K85" s="78">
        <v>1</v>
      </c>
      <c r="L85" s="87">
        <v>7000</v>
      </c>
      <c r="M85" s="130">
        <f t="shared" si="77"/>
        <v>7000</v>
      </c>
      <c r="N85" s="79">
        <f t="shared" si="8"/>
        <v>1.4056657814962272E-4</v>
      </c>
      <c r="O85" s="87">
        <f>M85/OBRA!$D$12</f>
        <v>0.52729544891298041</v>
      </c>
      <c r="P85" s="81"/>
    </row>
    <row r="86" spans="1:18" s="1" customFormat="1" ht="19.899999999999999" customHeight="1" outlineLevel="3" x14ac:dyDescent="0.55000000000000004">
      <c r="A86" s="98">
        <f ca="1">IF(G86="UNIDADE CONSTRUTIVA",OFFSET(A86,-1,0)+1,LARGE(A$4:A85,1))</f>
        <v>1</v>
      </c>
      <c r="B86" s="98">
        <f t="shared" ref="B86" ca="1" si="78">IF(G86="UNIDADE CONSTRUTIVA",0,IF(G86="CÉLULA CONSTRUTIVA",OFFSET(B86,-1,0)+1,OFFSET(B86,-1,0)))</f>
        <v>2</v>
      </c>
      <c r="C86" s="98">
        <f t="shared" ref="C86" ca="1" si="79">IF(G86="CÉLULA CONSTRUTIVA",0,IF(G86="ETAPA",OFFSET(C86,-1,0)+1,OFFSET(C86,-1,0)))</f>
        <v>3</v>
      </c>
      <c r="D86" s="99">
        <f t="shared" ref="D86" ca="1" si="80">IF(G86="ETAPA",0,IF(G86="SUBETAPA",OFFSET(D86,-1,0)+1,OFFSET(D86,-1,0)))</f>
        <v>1</v>
      </c>
      <c r="E86" s="99">
        <f t="shared" ref="E86" ca="1" si="81">IF(G86="Subetapa",0,IF(G86="serviço",OFFSET(E86,-1,0)+1,OFFSET(E86,-1,0)))</f>
        <v>7</v>
      </c>
      <c r="G86" s="75" t="s">
        <v>124</v>
      </c>
      <c r="H86" s="76" t="str">
        <f t="shared" ref="H86" ca="1" si="82">IF(G86="Unidade Construtiva",CONCATENATE("UC ",TEXT(A86,"00")),IF(G86="Célula Construtiva",TEXT(B86,"00"),IF(G86="Etapa",CONCATENATE(TEXT(B86,"00"),".",TEXT(C86,"000")),IF(G86="Subetapa",CONCATENATE(TEXT(B86,"00"),".",TEXT(C86,"000"),".",TEXT(D86,"000")),IF(G86="Serviço",CONCATENATE(TEXT(B86,"00"),".",TEXT(C86,"000"),".",TEXT(D86,"000"),".",TEXT(E86,"000")),"")))))</f>
        <v>02.003.001.007</v>
      </c>
      <c r="I86" s="92" t="s">
        <v>252</v>
      </c>
      <c r="J86" s="77" t="s">
        <v>6</v>
      </c>
      <c r="K86" s="78">
        <v>1</v>
      </c>
      <c r="L86" s="87">
        <v>9756</v>
      </c>
      <c r="M86" s="130">
        <f t="shared" ref="M86" si="83">K86*L86</f>
        <v>9756</v>
      </c>
      <c r="N86" s="79">
        <f t="shared" si="8"/>
        <v>1.9590964806110274E-4</v>
      </c>
      <c r="O86" s="87">
        <f>M86/OBRA!$D$12</f>
        <v>0.73489919994214814</v>
      </c>
      <c r="P86" s="81"/>
    </row>
    <row r="87" spans="1:18" s="1" customFormat="1" ht="19.899999999999999" customHeight="1" outlineLevel="2" x14ac:dyDescent="0.55000000000000004">
      <c r="A87" s="98">
        <f ca="1">IF(G87="UNIDADE CONSTRUTIVA",OFFSET(A87,-1,0)+1,LARGE(A$4:A85,1))</f>
        <v>1</v>
      </c>
      <c r="B87" s="98">
        <f t="shared" ref="B87:B151" ca="1" si="84">IF(G87="UNIDADE CONSTRUTIVA",0,IF(G87="CÉLULA CONSTRUTIVA",OFFSET(B87,-1,0)+1,OFFSET(B87,-1,0)))</f>
        <v>2</v>
      </c>
      <c r="C87" s="98">
        <f t="shared" ref="C87:C151" ca="1" si="85">IF(G87="CÉLULA CONSTRUTIVA",0,IF(G87="ETAPA",OFFSET(C87,-1,0)+1,OFFSET(C87,-1,0)))</f>
        <v>3</v>
      </c>
      <c r="D87" s="99">
        <f t="shared" ref="D87:D151" ca="1" si="86">IF(G87="ETAPA",0,IF(G87="SUBETAPA",OFFSET(D87,-1,0)+1,OFFSET(D87,-1,0)))</f>
        <v>2</v>
      </c>
      <c r="E87" s="99">
        <f t="shared" ref="E87:E151" ca="1" si="87">IF(G87="Subetapa",0,IF(G87="serviço",OFFSET(E87,-1,0)+1,OFFSET(E87,-1,0)))</f>
        <v>0</v>
      </c>
      <c r="G87" s="75" t="s">
        <v>120</v>
      </c>
      <c r="H87" s="76" t="str">
        <f t="shared" ref="H87:H153" ca="1" si="88">IF(G87="Unidade Construtiva",CONCATENATE("UC ",TEXT(A87,"00")),IF(G87="Célula Construtiva",TEXT(B87,"00"),IF(G87="Etapa",CONCATENATE(TEXT(B87,"00"),".",TEXT(C87,"000")),IF(G87="Subetapa",CONCATENATE(TEXT(B87,"00"),".",TEXT(C87,"000"),".",TEXT(D87,"000")),IF(G87="Serviço",CONCATENATE(TEXT(B87,"00"),".",TEXT(C87,"000"),".",TEXT(D87,"000"),".",TEXT(E87,"000")),"")))))</f>
        <v>02.003.002</v>
      </c>
      <c r="I87" s="92" t="s">
        <v>108</v>
      </c>
      <c r="J87" s="77" t="s">
        <v>85</v>
      </c>
      <c r="K87" s="78"/>
      <c r="L87" s="87"/>
      <c r="M87" s="130">
        <f>SUM(M88:M90)</f>
        <v>108000</v>
      </c>
      <c r="N87" s="79">
        <f t="shared" si="8"/>
        <v>2.168741491451322E-3</v>
      </c>
      <c r="O87" s="87">
        <f>M87/OBRA!$D$12</f>
        <v>8.1354154975145541</v>
      </c>
      <c r="P87" s="81"/>
    </row>
    <row r="88" spans="1:18" s="1" customFormat="1" ht="19.899999999999999" customHeight="1" outlineLevel="3" x14ac:dyDescent="0.55000000000000004">
      <c r="A88" s="98">
        <f ca="1">IF(G88="UNIDADE CONSTRUTIVA",OFFSET(A88,-1,0)+1,LARGE(A$4:A87,1))</f>
        <v>1</v>
      </c>
      <c r="B88" s="98">
        <f t="shared" ca="1" si="84"/>
        <v>2</v>
      </c>
      <c r="C88" s="98">
        <f t="shared" ca="1" si="85"/>
        <v>3</v>
      </c>
      <c r="D88" s="99">
        <f t="shared" ca="1" si="86"/>
        <v>2</v>
      </c>
      <c r="E88" s="99">
        <f t="shared" ca="1" si="87"/>
        <v>1</v>
      </c>
      <c r="G88" s="75" t="s">
        <v>124</v>
      </c>
      <c r="H88" s="76" t="str">
        <f t="shared" ca="1" si="88"/>
        <v>02.003.002.001</v>
      </c>
      <c r="I88" s="92" t="s">
        <v>379</v>
      </c>
      <c r="J88" s="77" t="s">
        <v>89</v>
      </c>
      <c r="K88" s="78">
        <v>9</v>
      </c>
      <c r="L88" s="87">
        <v>3600</v>
      </c>
      <c r="M88" s="130">
        <f t="shared" ref="M88:M90" si="89">K88*L88</f>
        <v>32400</v>
      </c>
      <c r="N88" s="79">
        <f t="shared" si="8"/>
        <v>6.5062244743539657E-4</v>
      </c>
      <c r="O88" s="87">
        <f>M88/OBRA!$D$12</f>
        <v>2.4406246492543664</v>
      </c>
      <c r="P88" s="81"/>
    </row>
    <row r="89" spans="1:18" s="1" customFormat="1" ht="19.899999999999999" customHeight="1" outlineLevel="3" x14ac:dyDescent="0.55000000000000004">
      <c r="A89" s="98">
        <f ca="1">IF(G89="UNIDADE CONSTRUTIVA",OFFSET(A89,-1,0)+1,LARGE(A$4:A88,1))</f>
        <v>1</v>
      </c>
      <c r="B89" s="98">
        <f t="shared" ca="1" si="84"/>
        <v>2</v>
      </c>
      <c r="C89" s="98">
        <f t="shared" ca="1" si="85"/>
        <v>3</v>
      </c>
      <c r="D89" s="99">
        <f t="shared" ca="1" si="86"/>
        <v>2</v>
      </c>
      <c r="E89" s="99">
        <f t="shared" ca="1" si="87"/>
        <v>2</v>
      </c>
      <c r="G89" s="75" t="s">
        <v>124</v>
      </c>
      <c r="H89" s="76" t="str">
        <f t="shared" ca="1" si="88"/>
        <v>02.003.002.002</v>
      </c>
      <c r="I89" s="92" t="s">
        <v>380</v>
      </c>
      <c r="J89" s="77" t="s">
        <v>381</v>
      </c>
      <c r="K89" s="78">
        <v>148</v>
      </c>
      <c r="L89" s="87">
        <v>450</v>
      </c>
      <c r="M89" s="130">
        <f t="shared" si="89"/>
        <v>66600</v>
      </c>
      <c r="N89" s="79">
        <f t="shared" si="8"/>
        <v>1.337390586394982E-3</v>
      </c>
      <c r="O89" s="87">
        <f>M89/OBRA!$D$12</f>
        <v>5.0168395568006421</v>
      </c>
      <c r="P89" s="81"/>
    </row>
    <row r="90" spans="1:18" s="1" customFormat="1" ht="19.899999999999999" customHeight="1" outlineLevel="3" x14ac:dyDescent="0.55000000000000004">
      <c r="A90" s="98">
        <f ca="1">IF(G90="UNIDADE CONSTRUTIVA",OFFSET(A90,-1,0)+1,LARGE(A$4:A89,1))</f>
        <v>1</v>
      </c>
      <c r="B90" s="98">
        <f t="shared" ca="1" si="84"/>
        <v>2</v>
      </c>
      <c r="C90" s="98">
        <f t="shared" ca="1" si="85"/>
        <v>3</v>
      </c>
      <c r="D90" s="99">
        <f t="shared" ca="1" si="86"/>
        <v>2</v>
      </c>
      <c r="E90" s="99">
        <f t="shared" ca="1" si="87"/>
        <v>3</v>
      </c>
      <c r="G90" s="75" t="s">
        <v>124</v>
      </c>
      <c r="H90" s="76" t="str">
        <f t="shared" ca="1" si="88"/>
        <v>02.003.002.003</v>
      </c>
      <c r="I90" s="92" t="s">
        <v>382</v>
      </c>
      <c r="J90" s="77" t="s">
        <v>89</v>
      </c>
      <c r="K90" s="78">
        <v>6</v>
      </c>
      <c r="L90" s="87">
        <v>1500</v>
      </c>
      <c r="M90" s="130">
        <f t="shared" si="89"/>
        <v>9000</v>
      </c>
      <c r="N90" s="79">
        <f t="shared" si="8"/>
        <v>1.8072845762094351E-4</v>
      </c>
      <c r="O90" s="87">
        <f>M90/OBRA!$D$12</f>
        <v>0.67795129145954625</v>
      </c>
      <c r="P90" s="81"/>
    </row>
    <row r="91" spans="1:18" s="1" customFormat="1" ht="19.899999999999999" customHeight="1" x14ac:dyDescent="0.55000000000000004">
      <c r="A91" s="98">
        <f ca="1">IF(G91="UNIDADE CONSTRUTIVA",OFFSET(A91,-1,0)+1,LARGE(A$4:A90,1))</f>
        <v>2</v>
      </c>
      <c r="B91" s="98">
        <f t="shared" ca="1" si="84"/>
        <v>0</v>
      </c>
      <c r="C91" s="98">
        <f t="shared" ca="1" si="85"/>
        <v>3</v>
      </c>
      <c r="D91" s="99">
        <f t="shared" ca="1" si="86"/>
        <v>2</v>
      </c>
      <c r="E91" s="99">
        <f t="shared" ca="1" si="87"/>
        <v>3</v>
      </c>
      <c r="G91" s="75" t="s">
        <v>117</v>
      </c>
      <c r="H91" s="76" t="str">
        <f t="shared" ca="1" si="88"/>
        <v>UC 02</v>
      </c>
      <c r="I91" s="92" t="s">
        <v>51</v>
      </c>
      <c r="J91" s="77"/>
      <c r="K91" s="78"/>
      <c r="L91" s="87"/>
      <c r="M91" s="130">
        <f>M92+M102+M120+M129+M144+M154+M167+M192+M215+M226+M235+M250+M259+M276+M285+M294</f>
        <v>45186659.457929201</v>
      </c>
      <c r="N91" s="74">
        <f t="shared" si="8"/>
        <v>0.90739058543048479</v>
      </c>
      <c r="O91" s="97">
        <f>M91/OBRA!$D$12</f>
        <v>3403.8171262495357</v>
      </c>
      <c r="P91" s="81"/>
    </row>
    <row r="92" spans="1:18" s="1" customFormat="1" ht="19.899999999999999" customHeight="1" outlineLevel="1" x14ac:dyDescent="0.55000000000000004">
      <c r="A92" s="98">
        <f ca="1">IF(G92="UNIDADE CONSTRUTIVA",OFFSET(A92,-1,0)+1,LARGE(A$4:A91,1))</f>
        <v>2</v>
      </c>
      <c r="B92" s="98">
        <f t="shared" ca="1" si="84"/>
        <v>1</v>
      </c>
      <c r="C92" s="98">
        <f t="shared" ca="1" si="85"/>
        <v>0</v>
      </c>
      <c r="D92" s="99">
        <f t="shared" ca="1" si="86"/>
        <v>2</v>
      </c>
      <c r="E92" s="99">
        <f t="shared" ca="1" si="87"/>
        <v>3</v>
      </c>
      <c r="G92" s="75" t="s">
        <v>118</v>
      </c>
      <c r="H92" s="76" t="str">
        <f t="shared" ca="1" si="88"/>
        <v>01</v>
      </c>
      <c r="I92" s="92" t="s">
        <v>114</v>
      </c>
      <c r="J92" s="77"/>
      <c r="K92" s="78"/>
      <c r="L92" s="87"/>
      <c r="M92" s="130">
        <f>M93</f>
        <v>805728.93486836029</v>
      </c>
      <c r="N92" s="79">
        <f t="shared" si="8"/>
        <v>1.6179794184369378E-2</v>
      </c>
      <c r="O92" s="87">
        <f>M92/OBRA!$D$12</f>
        <v>60.693885773369942</v>
      </c>
      <c r="P92" s="81">
        <f>[1]MOVIMENTAÇÃO_DE_TERRA!$F$34</f>
        <v>502487.38482836017</v>
      </c>
      <c r="Q92" s="234">
        <f>M92-P92</f>
        <v>303241.55004000012</v>
      </c>
      <c r="R92" s="234">
        <f>Q92/OBRA!D12</f>
        <v>22.842555608201412</v>
      </c>
    </row>
    <row r="93" spans="1:18" s="1" customFormat="1" ht="19.899999999999999" customHeight="1" outlineLevel="2" x14ac:dyDescent="0.55000000000000004">
      <c r="A93" s="98">
        <f ca="1">IF(G93="UNIDADE CONSTRUTIVA",OFFSET(A93,-1,0)+1,LARGE(A$4:A92,1))</f>
        <v>2</v>
      </c>
      <c r="B93" s="98">
        <f t="shared" ca="1" si="84"/>
        <v>1</v>
      </c>
      <c r="C93" s="98">
        <f t="shared" ca="1" si="85"/>
        <v>1</v>
      </c>
      <c r="D93" s="99">
        <f t="shared" ca="1" si="86"/>
        <v>0</v>
      </c>
      <c r="E93" s="99">
        <f t="shared" ca="1" si="87"/>
        <v>3</v>
      </c>
      <c r="G93" s="75" t="s">
        <v>119</v>
      </c>
      <c r="H93" s="76" t="str">
        <f t="shared" ca="1" si="88"/>
        <v>01.001</v>
      </c>
      <c r="I93" s="92" t="s">
        <v>114</v>
      </c>
      <c r="J93" s="77"/>
      <c r="K93" s="78"/>
      <c r="L93" s="87"/>
      <c r="M93" s="130">
        <f>M94</f>
        <v>805728.93486836029</v>
      </c>
      <c r="N93" s="79">
        <f t="shared" si="8"/>
        <v>1.6179794184369378E-2</v>
      </c>
      <c r="O93" s="87">
        <f>M93/OBRA!$D$12</f>
        <v>60.693885773369942</v>
      </c>
      <c r="P93" s="81"/>
    </row>
    <row r="94" spans="1:18" s="1" customFormat="1" ht="19.899999999999999" customHeight="1" outlineLevel="3" x14ac:dyDescent="0.55000000000000004">
      <c r="A94" s="98">
        <f ca="1">IF(G94="UNIDADE CONSTRUTIVA",OFFSET(A94,-1,0)+1,LARGE(A$4:A93,1))</f>
        <v>2</v>
      </c>
      <c r="B94" s="98">
        <f t="shared" ca="1" si="84"/>
        <v>1</v>
      </c>
      <c r="C94" s="98">
        <f t="shared" ca="1" si="85"/>
        <v>1</v>
      </c>
      <c r="D94" s="99">
        <f t="shared" ca="1" si="86"/>
        <v>1</v>
      </c>
      <c r="E94" s="99">
        <f t="shared" ca="1" si="87"/>
        <v>0</v>
      </c>
      <c r="G94" s="75" t="s">
        <v>120</v>
      </c>
      <c r="H94" s="76" t="str">
        <f t="shared" ca="1" si="88"/>
        <v>01.001.001</v>
      </c>
      <c r="I94" s="92" t="s">
        <v>258</v>
      </c>
      <c r="J94" s="77"/>
      <c r="K94" s="78"/>
      <c r="L94" s="87"/>
      <c r="M94" s="130">
        <f>SUM(M95:M101)</f>
        <v>805728.93486836029</v>
      </c>
      <c r="N94" s="79">
        <f t="shared" si="8"/>
        <v>1.6179794184369378E-2</v>
      </c>
      <c r="O94" s="87">
        <f>M94/OBRA!$D$12</f>
        <v>60.693885773369942</v>
      </c>
      <c r="P94" s="81"/>
    </row>
    <row r="95" spans="1:18" s="1" customFormat="1" ht="19.899999999999999" customHeight="1" outlineLevel="3" x14ac:dyDescent="0.55000000000000004">
      <c r="A95" s="98">
        <f ca="1">IF(G95="UNIDADE CONSTRUTIVA",OFFSET(A95,-1,0)+1,LARGE(A$4:A94,1))</f>
        <v>2</v>
      </c>
      <c r="B95" s="98">
        <f t="shared" ca="1" si="84"/>
        <v>1</v>
      </c>
      <c r="C95" s="98">
        <f t="shared" ca="1" si="85"/>
        <v>1</v>
      </c>
      <c r="D95" s="99">
        <f t="shared" ca="1" si="86"/>
        <v>1</v>
      </c>
      <c r="E95" s="99">
        <f t="shared" ca="1" si="87"/>
        <v>1</v>
      </c>
      <c r="G95" s="75" t="s">
        <v>124</v>
      </c>
      <c r="H95" s="76" t="str">
        <f t="shared" ca="1" si="88"/>
        <v>01.001.001.001</v>
      </c>
      <c r="I95" s="92" t="s">
        <v>253</v>
      </c>
      <c r="J95" s="77" t="s">
        <v>17</v>
      </c>
      <c r="K95" s="78">
        <v>8929.44</v>
      </c>
      <c r="L95" s="87">
        <f>M95/K95</f>
        <v>2.9260000000000002</v>
      </c>
      <c r="M95" s="130">
        <v>26127.541440000005</v>
      </c>
      <c r="N95" s="79">
        <f t="shared" si="8"/>
        <v>5.2466558509760958E-4</v>
      </c>
      <c r="O95" s="87">
        <f>M95/OBRA!$D$12</f>
        <v>1.9681333846567572</v>
      </c>
      <c r="P95" s="81" t="s">
        <v>259</v>
      </c>
    </row>
    <row r="96" spans="1:18" s="1" customFormat="1" ht="19.899999999999999" customHeight="1" outlineLevel="3" x14ac:dyDescent="0.55000000000000004">
      <c r="A96" s="98">
        <f ca="1">IF(G96="UNIDADE CONSTRUTIVA",OFFSET(A96,-1,0)+1,LARGE(A$4:A93,1))</f>
        <v>2</v>
      </c>
      <c r="B96" s="98">
        <f t="shared" ref="B96:B97" ca="1" si="90">IF(G96="UNIDADE CONSTRUTIVA",0,IF(G96="CÉLULA CONSTRUTIVA",OFFSET(B96,-1,0)+1,OFFSET(B96,-1,0)))</f>
        <v>1</v>
      </c>
      <c r="C96" s="98">
        <f t="shared" ref="C96:C97" ca="1" si="91">IF(G96="CÉLULA CONSTRUTIVA",0,IF(G96="ETAPA",OFFSET(C96,-1,0)+1,OFFSET(C96,-1,0)))</f>
        <v>1</v>
      </c>
      <c r="D96" s="99">
        <f t="shared" ref="D96:D97" ca="1" si="92">IF(G96="ETAPA",0,IF(G96="SUBETAPA",OFFSET(D96,-1,0)+1,OFFSET(D96,-1,0)))</f>
        <v>1</v>
      </c>
      <c r="E96" s="99">
        <f t="shared" ref="E96:E97" ca="1" si="93">IF(G96="Subetapa",0,IF(G96="serviço",OFFSET(E96,-1,0)+1,OFFSET(E96,-1,0)))</f>
        <v>2</v>
      </c>
      <c r="G96" s="75" t="s">
        <v>124</v>
      </c>
      <c r="H96" s="76" t="str">
        <f t="shared" ca="1" si="88"/>
        <v>01.001.001.002</v>
      </c>
      <c r="I96" s="92" t="s">
        <v>254</v>
      </c>
      <c r="J96" s="77" t="s">
        <v>17</v>
      </c>
      <c r="K96" s="78">
        <v>11608.272000000001</v>
      </c>
      <c r="L96" s="87">
        <f t="shared" ref="L96:L101" si="94">M96/K96</f>
        <v>49.995000000000012</v>
      </c>
      <c r="M96" s="130">
        <v>580355.55864000018</v>
      </c>
      <c r="N96" s="79">
        <f t="shared" si="8"/>
        <v>1.1654084998305362E-2</v>
      </c>
      <c r="O96" s="87">
        <f>M96/OBRA!$D$12</f>
        <v>43.716977831746057</v>
      </c>
      <c r="P96" s="81"/>
    </row>
    <row r="97" spans="1:18" s="1" customFormat="1" ht="19.899999999999999" customHeight="1" outlineLevel="3" x14ac:dyDescent="0.55000000000000004">
      <c r="A97" s="98">
        <f ca="1">IF(G97="UNIDADE CONSTRUTIVA",OFFSET(A97,-1,0)+1,LARGE(A$4:A96,1))</f>
        <v>2</v>
      </c>
      <c r="B97" s="98">
        <f t="shared" ca="1" si="90"/>
        <v>1</v>
      </c>
      <c r="C97" s="98">
        <f t="shared" ca="1" si="91"/>
        <v>1</v>
      </c>
      <c r="D97" s="99">
        <f t="shared" ca="1" si="92"/>
        <v>1</v>
      </c>
      <c r="E97" s="99">
        <f t="shared" ca="1" si="93"/>
        <v>3</v>
      </c>
      <c r="G97" s="75" t="s">
        <v>124</v>
      </c>
      <c r="H97" s="76" t="str">
        <f t="shared" ref="H97" ca="1" si="95">IF(G97="Unidade Construtiva",CONCATENATE("UC ",TEXT(A97,"00")),IF(G97="Célula Construtiva",TEXT(B97,"00"),IF(G97="Etapa",CONCATENATE(TEXT(B97,"00"),".",TEXT(C97,"000")),IF(G97="Subetapa",CONCATENATE(TEXT(B97,"00"),".",TEXT(C97,"000"),".",TEXT(D97,"000")),IF(G97="Serviço",CONCATENATE(TEXT(B97,"00"),".",TEXT(C97,"000"),".",TEXT(D97,"000"),".",TEXT(E97,"000")),"")))))</f>
        <v>01.001.001.003</v>
      </c>
      <c r="I97" s="92" t="s">
        <v>115</v>
      </c>
      <c r="J97" s="77" t="s">
        <v>17</v>
      </c>
      <c r="K97" s="78">
        <v>444.98376000000002</v>
      </c>
      <c r="L97" s="87">
        <f t="shared" si="94"/>
        <v>39.996000000000002</v>
      </c>
      <c r="M97" s="130">
        <v>17797.570464960001</v>
      </c>
      <c r="N97" s="79">
        <f t="shared" ref="N97:N161" si="96">M97/$M$298</f>
        <v>3.5739193994803101E-4</v>
      </c>
      <c r="O97" s="87">
        <f>M97/OBRA!$D$12</f>
        <v>1.3406539868402121</v>
      </c>
      <c r="P97" s="81"/>
    </row>
    <row r="98" spans="1:18" s="1" customFormat="1" ht="19.899999999999999" customHeight="1" outlineLevel="3" x14ac:dyDescent="0.55000000000000004">
      <c r="A98" s="98">
        <f ca="1">IF(G98="UNIDADE CONSTRUTIVA",OFFSET(A98,-1,0)+1,LARGE(A$4:A95,1))</f>
        <v>2</v>
      </c>
      <c r="B98" s="98">
        <f t="shared" ca="1" si="84"/>
        <v>1</v>
      </c>
      <c r="C98" s="98">
        <f t="shared" ca="1" si="85"/>
        <v>1</v>
      </c>
      <c r="D98" s="99">
        <f t="shared" ca="1" si="86"/>
        <v>1</v>
      </c>
      <c r="E98" s="99">
        <f t="shared" ca="1" si="87"/>
        <v>4</v>
      </c>
      <c r="G98" s="75" t="s">
        <v>124</v>
      </c>
      <c r="H98" s="76" t="str">
        <f t="shared" ref="H98" ca="1" si="97">IF(G98="Unidade Construtiva",CONCATENATE("UC ",TEXT(A98,"00")),IF(G98="Célula Construtiva",TEXT(B98,"00"),IF(G98="Etapa",CONCATENATE(TEXT(B98,"00"),".",TEXT(C98,"000")),IF(G98="Subetapa",CONCATENATE(TEXT(B98,"00"),".",TEXT(C98,"000"),".",TEXT(D98,"000")),IF(G98="Serviço",CONCATENATE(TEXT(B98,"00"),".",TEXT(C98,"000"),".",TEXT(D98,"000"),".",TEXT(E98,"000")),"")))))</f>
        <v>01.001.001.004</v>
      </c>
      <c r="I98" s="92" t="s">
        <v>116</v>
      </c>
      <c r="J98" s="77" t="s">
        <v>17</v>
      </c>
      <c r="K98" s="78">
        <v>102.68856</v>
      </c>
      <c r="L98" s="87">
        <f t="shared" si="94"/>
        <v>16.005000000000003</v>
      </c>
      <c r="M98" s="130">
        <v>1643.5304028</v>
      </c>
      <c r="N98" s="79">
        <f t="shared" si="96"/>
        <v>3.3003634972352444E-5</v>
      </c>
      <c r="O98" s="87">
        <f>M98/OBRA!$D$12</f>
        <v>0.12380372879236536</v>
      </c>
      <c r="P98" s="81"/>
    </row>
    <row r="99" spans="1:18" s="1" customFormat="1" ht="19.899999999999999" customHeight="1" outlineLevel="3" x14ac:dyDescent="0.55000000000000004">
      <c r="A99" s="98">
        <f ca="1">IF(G99="UNIDADE CONSTRUTIVA",OFFSET(A99,-1,0)+1,LARGE(A$4:A98,1))</f>
        <v>2</v>
      </c>
      <c r="B99" s="98">
        <f t="shared" ca="1" si="84"/>
        <v>1</v>
      </c>
      <c r="C99" s="98">
        <f t="shared" ca="1" si="85"/>
        <v>1</v>
      </c>
      <c r="D99" s="99">
        <f t="shared" ca="1" si="86"/>
        <v>1</v>
      </c>
      <c r="E99" s="99">
        <f t="shared" ca="1" si="87"/>
        <v>5</v>
      </c>
      <c r="G99" s="75" t="s">
        <v>124</v>
      </c>
      <c r="H99" s="76" t="str">
        <f t="shared" ca="1" si="88"/>
        <v>01.001.001.005</v>
      </c>
      <c r="I99" s="92" t="s">
        <v>255</v>
      </c>
      <c r="J99" s="77" t="s">
        <v>17</v>
      </c>
      <c r="K99" s="78">
        <v>444.98376000000002</v>
      </c>
      <c r="L99" s="87">
        <f t="shared" si="94"/>
        <v>49.995000000000005</v>
      </c>
      <c r="M99" s="130">
        <v>22246.963081200003</v>
      </c>
      <c r="N99" s="79">
        <f t="shared" si="96"/>
        <v>4.467399249350388E-4</v>
      </c>
      <c r="O99" s="87">
        <f>M99/OBRA!$D$12</f>
        <v>1.6758174835502653</v>
      </c>
      <c r="P99" s="81"/>
    </row>
    <row r="100" spans="1:18" s="1" customFormat="1" ht="19.899999999999999" customHeight="1" outlineLevel="3" x14ac:dyDescent="0.55000000000000004">
      <c r="A100" s="98">
        <f ca="1">IF(G100="UNIDADE CONSTRUTIVA",OFFSET(A100,-1,0)+1,LARGE(A$4:A99,1))</f>
        <v>2</v>
      </c>
      <c r="B100" s="98">
        <f t="shared" ca="1" si="84"/>
        <v>1</v>
      </c>
      <c r="C100" s="98">
        <f t="shared" ca="1" si="85"/>
        <v>1</v>
      </c>
      <c r="D100" s="99">
        <f t="shared" ca="1" si="86"/>
        <v>1</v>
      </c>
      <c r="E100" s="99">
        <f t="shared" ca="1" si="87"/>
        <v>6</v>
      </c>
      <c r="G100" s="75" t="s">
        <v>124</v>
      </c>
      <c r="H100" s="76" t="str">
        <f t="shared" ref="H100" ca="1" si="98">IF(G100="Unidade Construtiva",CONCATENATE("UC ",TEXT(A100,"00")),IF(G100="Célula Construtiva",TEXT(B100,"00"),IF(G100="Etapa",CONCATENATE(TEXT(B100,"00"),".",TEXT(C100,"000")),IF(G100="Subetapa",CONCATENATE(TEXT(B100,"00"),".",TEXT(C100,"000"),".",TEXT(D100,"000")),IF(G100="Serviço",CONCATENATE(TEXT(B100,"00"),".",TEXT(C100,"000"),".",TEXT(D100,"000"),".",TEXT(E100,"000")),"")))))</f>
        <v>01.001.001.006</v>
      </c>
      <c r="I100" s="92" t="s">
        <v>256</v>
      </c>
      <c r="J100" s="77" t="s">
        <v>10</v>
      </c>
      <c r="K100" s="78">
        <v>1454.7144782447535</v>
      </c>
      <c r="L100" s="87">
        <f t="shared" si="94"/>
        <v>74.998000000000019</v>
      </c>
      <c r="M100" s="130">
        <v>109100.67643940005</v>
      </c>
      <c r="N100" s="79">
        <f t="shared" si="96"/>
        <v>2.1908441086993758E-3</v>
      </c>
      <c r="O100" s="87">
        <f>M100/OBRA!$D$12</f>
        <v>8.2183271656890398</v>
      </c>
      <c r="P100" s="81"/>
    </row>
    <row r="101" spans="1:18" s="1" customFormat="1" ht="19.899999999999999" customHeight="1" outlineLevel="3" x14ac:dyDescent="0.55000000000000004">
      <c r="A101" s="98">
        <f ca="1">IF(G101="UNIDADE CONSTRUTIVA",OFFSET(A101,-1,0)+1,LARGE(A$4:A100,1))</f>
        <v>2</v>
      </c>
      <c r="B101" s="98">
        <f t="shared" ca="1" si="84"/>
        <v>1</v>
      </c>
      <c r="C101" s="98">
        <f t="shared" ca="1" si="85"/>
        <v>1</v>
      </c>
      <c r="D101" s="99">
        <f t="shared" ca="1" si="86"/>
        <v>1</v>
      </c>
      <c r="E101" s="99">
        <f t="shared" ca="1" si="87"/>
        <v>7</v>
      </c>
      <c r="G101" s="75" t="s">
        <v>124</v>
      </c>
      <c r="H101" s="76" t="str">
        <f t="shared" ca="1" si="88"/>
        <v>01.001.001.007</v>
      </c>
      <c r="I101" s="92" t="s">
        <v>257</v>
      </c>
      <c r="J101" s="77" t="s">
        <v>17</v>
      </c>
      <c r="K101" s="78">
        <v>1190.5920000000001</v>
      </c>
      <c r="L101" s="87">
        <f t="shared" si="94"/>
        <v>40.700000000000003</v>
      </c>
      <c r="M101" s="130">
        <v>48457.094400000009</v>
      </c>
      <c r="N101" s="79">
        <f t="shared" si="96"/>
        <v>9.730639924116067E-4</v>
      </c>
      <c r="O101" s="87">
        <f>M101/OBRA!$D$12</f>
        <v>3.6501721920952392</v>
      </c>
      <c r="P101" s="81"/>
    </row>
    <row r="102" spans="1:18" s="1" customFormat="1" ht="19.899999999999999" customHeight="1" outlineLevel="1" x14ac:dyDescent="0.55000000000000004">
      <c r="A102" s="98">
        <f ca="1">IF(G102="UNIDADE CONSTRUTIVA",OFFSET(A102,-1,0)+1,LARGE(A$4:A101,1))</f>
        <v>2</v>
      </c>
      <c r="B102" s="98">
        <f t="shared" ca="1" si="84"/>
        <v>2</v>
      </c>
      <c r="C102" s="98">
        <f t="shared" ca="1" si="85"/>
        <v>0</v>
      </c>
      <c r="D102" s="99">
        <f t="shared" ca="1" si="86"/>
        <v>1</v>
      </c>
      <c r="E102" s="99">
        <f t="shared" ca="1" si="87"/>
        <v>7</v>
      </c>
      <c r="G102" s="75" t="s">
        <v>118</v>
      </c>
      <c r="H102" s="76" t="str">
        <f t="shared" ca="1" si="88"/>
        <v>02</v>
      </c>
      <c r="I102" s="92" t="s">
        <v>11</v>
      </c>
      <c r="J102" s="77"/>
      <c r="K102" s="78"/>
      <c r="L102" s="87"/>
      <c r="M102" s="130">
        <f>M103+M112</f>
        <v>3545346.2934206193</v>
      </c>
      <c r="N102" s="79">
        <f t="shared" si="96"/>
        <v>7.1193885260226394E-2</v>
      </c>
      <c r="O102" s="87">
        <f>M102/OBRA!$D$12</f>
        <v>267.06356647731377</v>
      </c>
      <c r="P102" s="81"/>
      <c r="Q102" s="234">
        <f>Q120+M102</f>
        <v>3921526.6114992392</v>
      </c>
      <c r="R102" s="234">
        <f>Q102/OBRA!D12</f>
        <v>295.40044786209859</v>
      </c>
    </row>
    <row r="103" spans="1:18" s="1" customFormat="1" ht="19.899999999999999" customHeight="1" outlineLevel="2" x14ac:dyDescent="0.55000000000000004">
      <c r="A103" s="98">
        <f ca="1">IF(G103="UNIDADE CONSTRUTIVA",OFFSET(A103,-1,0)+1,LARGE(A$4:A102,1))</f>
        <v>2</v>
      </c>
      <c r="B103" s="98">
        <f t="shared" ca="1" si="84"/>
        <v>2</v>
      </c>
      <c r="C103" s="98">
        <f t="shared" ca="1" si="85"/>
        <v>1</v>
      </c>
      <c r="D103" s="99">
        <f t="shared" ca="1" si="86"/>
        <v>0</v>
      </c>
      <c r="E103" s="99">
        <f t="shared" ca="1" si="87"/>
        <v>7</v>
      </c>
      <c r="G103" s="75" t="s">
        <v>119</v>
      </c>
      <c r="H103" s="76" t="str">
        <f t="shared" ca="1" si="88"/>
        <v>02.001</v>
      </c>
      <c r="I103" s="92" t="s">
        <v>136</v>
      </c>
      <c r="J103" s="77"/>
      <c r="K103" s="78"/>
      <c r="L103" s="87"/>
      <c r="M103" s="130">
        <f>M104+M110</f>
        <v>2101175.5915232669</v>
      </c>
      <c r="N103" s="79">
        <f t="shared" si="96"/>
        <v>4.2193580427419289E-2</v>
      </c>
      <c r="O103" s="87">
        <f>M103/OBRA!$D$12</f>
        <v>158.27718953960832</v>
      </c>
      <c r="P103" s="81"/>
    </row>
    <row r="104" spans="1:18" s="1" customFormat="1" ht="19.899999999999999" customHeight="1" outlineLevel="3" x14ac:dyDescent="0.55000000000000004">
      <c r="A104" s="98">
        <f ca="1">IF(G104="UNIDADE CONSTRUTIVA",OFFSET(A104,-1,0)+1,LARGE(A$4:A103,1))</f>
        <v>2</v>
      </c>
      <c r="B104" s="98">
        <f t="shared" ca="1" si="84"/>
        <v>2</v>
      </c>
      <c r="C104" s="98">
        <f t="shared" ca="1" si="85"/>
        <v>1</v>
      </c>
      <c r="D104" s="99">
        <f t="shared" ca="1" si="86"/>
        <v>1</v>
      </c>
      <c r="E104" s="99">
        <f t="shared" ca="1" si="87"/>
        <v>0</v>
      </c>
      <c r="G104" s="75" t="s">
        <v>120</v>
      </c>
      <c r="H104" s="76" t="str">
        <f t="shared" ca="1" si="88"/>
        <v>02.001.001</v>
      </c>
      <c r="I104" s="92" t="s">
        <v>188</v>
      </c>
      <c r="J104" s="77"/>
      <c r="K104" s="78"/>
      <c r="L104" s="87"/>
      <c r="M104" s="130">
        <f>SUM(M105:M109)</f>
        <v>2033975.5915232669</v>
      </c>
      <c r="N104" s="79">
        <f t="shared" si="96"/>
        <v>4.0844141277182916E-2</v>
      </c>
      <c r="O104" s="87">
        <f>M104/OBRA!$D$12</f>
        <v>153.21515323004368</v>
      </c>
      <c r="P104" s="81"/>
    </row>
    <row r="105" spans="1:18" s="1" customFormat="1" ht="19.899999999999999" customHeight="1" outlineLevel="3" x14ac:dyDescent="0.55000000000000004">
      <c r="A105" s="98">
        <f ca="1">IF(G105="UNIDADE CONSTRUTIVA",OFFSET(A105,-1,0)+1,LARGE(A$4:A104,1))</f>
        <v>2</v>
      </c>
      <c r="B105" s="98">
        <f t="shared" ca="1" si="84"/>
        <v>2</v>
      </c>
      <c r="C105" s="98">
        <f t="shared" ca="1" si="85"/>
        <v>1</v>
      </c>
      <c r="D105" s="99">
        <f t="shared" ca="1" si="86"/>
        <v>1</v>
      </c>
      <c r="E105" s="99">
        <f t="shared" ca="1" si="87"/>
        <v>1</v>
      </c>
      <c r="G105" s="75" t="s">
        <v>124</v>
      </c>
      <c r="H105" s="76" t="str">
        <f t="shared" ref="H105" ca="1" si="99">IF(G105="Unidade Construtiva",CONCATENATE("UC ",TEXT(A105,"00")),IF(G105="Célula Construtiva",TEXT(B105,"00"),IF(G105="Etapa",CONCATENATE(TEXT(B105,"00"),".",TEXT(C105,"000")),IF(G105="Subetapa",CONCATENATE(TEXT(B105,"00"),".",TEXT(C105,"000"),".",TEXT(D105,"000")),IF(G105="Serviço",CONCATENATE(TEXT(B105,"00"),".",TEXT(C105,"000"),".",TEXT(D105,"000"),".",TEXT(E105,"000")),"")))))</f>
        <v>02.001.001.001</v>
      </c>
      <c r="I105" s="92" t="s">
        <v>125</v>
      </c>
      <c r="J105" s="77" t="s">
        <v>8</v>
      </c>
      <c r="K105" s="78">
        <v>3780</v>
      </c>
      <c r="L105" s="87">
        <f t="shared" ref="L105:L109" si="100">M105/K105</f>
        <v>99.000000000000014</v>
      </c>
      <c r="M105" s="130">
        <v>374220.00000000006</v>
      </c>
      <c r="N105" s="79">
        <f t="shared" si="96"/>
        <v>7.5146892678788317E-3</v>
      </c>
      <c r="O105" s="87">
        <f>M105/OBRA!$D$12</f>
        <v>28.189214698887938</v>
      </c>
      <c r="P105" s="81" t="s">
        <v>261</v>
      </c>
    </row>
    <row r="106" spans="1:18" s="1" customFormat="1" ht="19.899999999999999" customHeight="1" outlineLevel="3" x14ac:dyDescent="0.55000000000000004">
      <c r="A106" s="98">
        <f ca="1">IF(G106="UNIDADE CONSTRUTIVA",OFFSET(A106,-1,0)+1,LARGE(A$4:A105,1))</f>
        <v>2</v>
      </c>
      <c r="B106" s="98">
        <f t="shared" ca="1" si="84"/>
        <v>2</v>
      </c>
      <c r="C106" s="98">
        <f t="shared" ca="1" si="85"/>
        <v>1</v>
      </c>
      <c r="D106" s="99">
        <f t="shared" ca="1" si="86"/>
        <v>1</v>
      </c>
      <c r="E106" s="99">
        <f t="shared" ca="1" si="87"/>
        <v>2</v>
      </c>
      <c r="G106" s="75" t="s">
        <v>124</v>
      </c>
      <c r="H106" s="76" t="str">
        <f t="shared" ca="1" si="88"/>
        <v>02.001.001.002</v>
      </c>
      <c r="I106" s="92" t="s">
        <v>126</v>
      </c>
      <c r="J106" s="77" t="s">
        <v>8</v>
      </c>
      <c r="K106" s="78">
        <v>2520</v>
      </c>
      <c r="L106" s="87">
        <f t="shared" si="100"/>
        <v>115.5</v>
      </c>
      <c r="M106" s="130">
        <v>291060</v>
      </c>
      <c r="N106" s="79">
        <f t="shared" si="96"/>
        <v>5.8447583194613127E-3</v>
      </c>
      <c r="O106" s="87">
        <f>M106/OBRA!$D$12</f>
        <v>21.924944765801726</v>
      </c>
      <c r="P106" s="81" t="s">
        <v>261</v>
      </c>
    </row>
    <row r="107" spans="1:18" s="1" customFormat="1" ht="19.899999999999999" customHeight="1" outlineLevel="3" x14ac:dyDescent="0.55000000000000004">
      <c r="A107" s="98">
        <f ca="1">IF(G107="UNIDADE CONSTRUTIVA",OFFSET(A107,-1,0)+1,LARGE(A$4:A106,1))</f>
        <v>2</v>
      </c>
      <c r="B107" s="98">
        <f t="shared" ca="1" si="84"/>
        <v>2</v>
      </c>
      <c r="C107" s="98">
        <f t="shared" ca="1" si="85"/>
        <v>1</v>
      </c>
      <c r="D107" s="99">
        <f t="shared" ca="1" si="86"/>
        <v>1</v>
      </c>
      <c r="E107" s="99">
        <f t="shared" ca="1" si="87"/>
        <v>3</v>
      </c>
      <c r="G107" s="75" t="s">
        <v>124</v>
      </c>
      <c r="H107" s="76" t="str">
        <f t="shared" ref="H107" ca="1" si="101">IF(G107="Unidade Construtiva",CONCATENATE("UC ",TEXT(A107,"00")),IF(G107="Célula Construtiva",TEXT(B107,"00"),IF(G107="Etapa",CONCATENATE(TEXT(B107,"00"),".",TEXT(C107,"000")),IF(G107="Subetapa",CONCATENATE(TEXT(B107,"00"),".",TEXT(C107,"000"),".",TEXT(D107,"000")),IF(G107="Serviço",CONCATENATE(TEXT(B107,"00"),".",TEXT(C107,"000"),".",TEXT(D107,"000"),".",TEXT(E107,"000")),"")))))</f>
        <v>02.001.001.003</v>
      </c>
      <c r="I107" s="92" t="s">
        <v>14</v>
      </c>
      <c r="J107" s="77" t="s">
        <v>15</v>
      </c>
      <c r="K107" s="78">
        <v>17456.573738937041</v>
      </c>
      <c r="L107" s="87">
        <f t="shared" si="100"/>
        <v>8.3820000000000014</v>
      </c>
      <c r="M107" s="130">
        <v>146321.0010797703</v>
      </c>
      <c r="N107" s="79">
        <f t="shared" si="96"/>
        <v>2.938263204744366E-3</v>
      </c>
      <c r="O107" s="87">
        <f>M107/OBRA!$D$12</f>
        <v>11.022056849964882</v>
      </c>
      <c r="P107" s="81" t="s">
        <v>262</v>
      </c>
    </row>
    <row r="108" spans="1:18" s="1" customFormat="1" ht="19.899999999999999" customHeight="1" outlineLevel="3" x14ac:dyDescent="0.55000000000000004">
      <c r="A108" s="98">
        <f ca="1">IF(G108="UNIDADE CONSTRUTIVA",OFFSET(A108,-1,0)+1,LARGE(A$4:A107,1))</f>
        <v>2</v>
      </c>
      <c r="B108" s="98">
        <f t="shared" ca="1" si="84"/>
        <v>2</v>
      </c>
      <c r="C108" s="98">
        <f t="shared" ca="1" si="85"/>
        <v>1</v>
      </c>
      <c r="D108" s="99">
        <f t="shared" ca="1" si="86"/>
        <v>1</v>
      </c>
      <c r="E108" s="99">
        <f t="shared" ca="1" si="87"/>
        <v>4</v>
      </c>
      <c r="G108" s="75" t="s">
        <v>124</v>
      </c>
      <c r="H108" s="76" t="str">
        <f t="shared" ca="1" si="88"/>
        <v>02.001.001.004</v>
      </c>
      <c r="I108" s="92" t="s">
        <v>260</v>
      </c>
      <c r="J108" s="77" t="s">
        <v>127</v>
      </c>
      <c r="K108" s="78">
        <v>1454.7144782447535</v>
      </c>
      <c r="L108" s="87">
        <f t="shared" si="100"/>
        <v>830.83286000000021</v>
      </c>
      <c r="M108" s="130">
        <v>1208624.5904434966</v>
      </c>
      <c r="N108" s="79">
        <f t="shared" si="96"/>
        <v>2.4270317563733074E-2</v>
      </c>
      <c r="O108" s="87">
        <f>M108/OBRA!$D$12</f>
        <v>91.043177997881514</v>
      </c>
      <c r="P108" s="81" t="s">
        <v>263</v>
      </c>
    </row>
    <row r="109" spans="1:18" s="1" customFormat="1" ht="19.899999999999999" customHeight="1" outlineLevel="3" x14ac:dyDescent="0.55000000000000004">
      <c r="A109" s="98">
        <f ca="1">IF(G109="UNIDADE CONSTRUTIVA",OFFSET(A109,-1,0)+1,LARGE(A$4:A108,1))</f>
        <v>2</v>
      </c>
      <c r="B109" s="98">
        <f t="shared" ca="1" si="84"/>
        <v>2</v>
      </c>
      <c r="C109" s="98">
        <f t="shared" ca="1" si="85"/>
        <v>1</v>
      </c>
      <c r="D109" s="99">
        <f t="shared" ca="1" si="86"/>
        <v>1</v>
      </c>
      <c r="E109" s="99">
        <f t="shared" ca="1" si="87"/>
        <v>5</v>
      </c>
      <c r="G109" s="75" t="s">
        <v>124</v>
      </c>
      <c r="H109" s="76" t="str">
        <f t="shared" ref="H109" ca="1" si="102">IF(G109="Unidade Construtiva",CONCATENATE("UC ",TEXT(A109,"00")),IF(G109="Célula Construtiva",TEXT(B109,"00"),IF(G109="Etapa",CONCATENATE(TEXT(B109,"00"),".",TEXT(C109,"000")),IF(G109="Subetapa",CONCATENATE(TEXT(B109,"00"),".",TEXT(C109,"000"),".",TEXT(D109,"000")),IF(G109="Serviço",CONCATENATE(TEXT(B109,"00"),".",TEXT(C109,"000"),".",TEXT(D109,"000"),".",TEXT(E109,"000")),"")))))</f>
        <v>02.001.001.005</v>
      </c>
      <c r="I109" s="92" t="s">
        <v>128</v>
      </c>
      <c r="J109" s="77" t="s">
        <v>6</v>
      </c>
      <c r="K109" s="78">
        <v>1</v>
      </c>
      <c r="L109" s="87">
        <f t="shared" si="100"/>
        <v>13750.000000000002</v>
      </c>
      <c r="M109" s="130">
        <v>13750.000000000002</v>
      </c>
      <c r="N109" s="79">
        <f t="shared" si="96"/>
        <v>2.761129213653304E-4</v>
      </c>
      <c r="O109" s="87">
        <f>M109/OBRA!$D$12</f>
        <v>1.0357589175076403</v>
      </c>
      <c r="P109" s="81" t="s">
        <v>264</v>
      </c>
    </row>
    <row r="110" spans="1:18" s="1" customFormat="1" ht="19.899999999999999" customHeight="1" outlineLevel="3" x14ac:dyDescent="0.55000000000000004">
      <c r="A110" s="98">
        <f ca="1">IF(G110="UNIDADE CONSTRUTIVA",OFFSET(A110,-1,0)+1,LARGE(A$4:A109,1))</f>
        <v>2</v>
      </c>
      <c r="B110" s="98">
        <f t="shared" ca="1" si="84"/>
        <v>2</v>
      </c>
      <c r="C110" s="98">
        <f t="shared" ca="1" si="85"/>
        <v>1</v>
      </c>
      <c r="D110" s="99">
        <f t="shared" ca="1" si="86"/>
        <v>2</v>
      </c>
      <c r="E110" s="99">
        <f t="shared" ca="1" si="87"/>
        <v>0</v>
      </c>
      <c r="G110" s="75" t="s">
        <v>120</v>
      </c>
      <c r="H110" s="76" t="str">
        <f t="shared" ca="1" si="88"/>
        <v>02.001.002</v>
      </c>
      <c r="I110" s="92" t="s">
        <v>137</v>
      </c>
      <c r="J110" s="77"/>
      <c r="K110" s="78"/>
      <c r="L110" s="87"/>
      <c r="M110" s="130">
        <f>M111</f>
        <v>67200</v>
      </c>
      <c r="N110" s="79">
        <f t="shared" si="96"/>
        <v>1.349439150236378E-3</v>
      </c>
      <c r="O110" s="87">
        <f>M110/OBRA!$D$12</f>
        <v>5.0620363095646121</v>
      </c>
      <c r="P110" s="81"/>
    </row>
    <row r="111" spans="1:18" s="1" customFormat="1" ht="19.899999999999999" customHeight="1" outlineLevel="3" x14ac:dyDescent="0.55000000000000004">
      <c r="A111" s="98">
        <f ca="1">IF(G111="UNIDADE CONSTRUTIVA",OFFSET(A111,-1,0)+1,LARGE(A$4:A110,1))</f>
        <v>2</v>
      </c>
      <c r="B111" s="98">
        <f t="shared" ca="1" si="84"/>
        <v>2</v>
      </c>
      <c r="C111" s="98">
        <f t="shared" ca="1" si="85"/>
        <v>1</v>
      </c>
      <c r="D111" s="99">
        <f t="shared" ca="1" si="86"/>
        <v>2</v>
      </c>
      <c r="E111" s="99">
        <f t="shared" ca="1" si="87"/>
        <v>1</v>
      </c>
      <c r="G111" s="75" t="s">
        <v>124</v>
      </c>
      <c r="H111" s="76" t="str">
        <f t="shared" ca="1" si="88"/>
        <v>02.001.002.001</v>
      </c>
      <c r="I111" s="92" t="s">
        <v>137</v>
      </c>
      <c r="J111" s="77" t="s">
        <v>22</v>
      </c>
      <c r="K111" s="78">
        <v>224</v>
      </c>
      <c r="L111" s="87">
        <v>315</v>
      </c>
      <c r="M111" s="130">
        <v>67200</v>
      </c>
      <c r="N111" s="79">
        <f t="shared" si="96"/>
        <v>1.349439150236378E-3</v>
      </c>
      <c r="O111" s="87">
        <f>M111/OBRA!$D$12</f>
        <v>5.0620363095646121</v>
      </c>
      <c r="P111" s="81"/>
    </row>
    <row r="112" spans="1:18" s="1" customFormat="1" ht="19.899999999999999" customHeight="1" outlineLevel="2" x14ac:dyDescent="0.55000000000000004">
      <c r="A112" s="98">
        <f ca="1">IF(G112="UNIDADE CONSTRUTIVA",OFFSET(A112,-1,0)+1,LARGE(A$4:A111,1))</f>
        <v>2</v>
      </c>
      <c r="B112" s="98">
        <f t="shared" ca="1" si="84"/>
        <v>2</v>
      </c>
      <c r="C112" s="98">
        <f t="shared" ca="1" si="85"/>
        <v>2</v>
      </c>
      <c r="D112" s="99">
        <f t="shared" ca="1" si="86"/>
        <v>0</v>
      </c>
      <c r="E112" s="99">
        <f t="shared" ca="1" si="87"/>
        <v>1</v>
      </c>
      <c r="G112" s="75" t="s">
        <v>119</v>
      </c>
      <c r="H112" s="76" t="str">
        <f t="shared" ref="H112:H118" ca="1" si="103">IF(G112="Unidade Construtiva",CONCATENATE("UC ",TEXT(A112,"00")),IF(G112="Célula Construtiva",TEXT(B112,"00"),IF(G112="Etapa",CONCATENATE(TEXT(B112,"00"),".",TEXT(C112,"000")),IF(G112="Subetapa",CONCATENATE(TEXT(B112,"00"),".",TEXT(C112,"000"),".",TEXT(D112,"000")),IF(G112="Serviço",CONCATENATE(TEXT(B112,"00"),".",TEXT(C112,"000"),".",TEXT(D112,"000"),".",TEXT(E112,"000")),"")))))</f>
        <v>02.002</v>
      </c>
      <c r="I112" s="92" t="s">
        <v>138</v>
      </c>
      <c r="J112" s="77"/>
      <c r="K112" s="78"/>
      <c r="L112" s="87"/>
      <c r="M112" s="130">
        <f>M113+M118</f>
        <v>1444170.7018973522</v>
      </c>
      <c r="N112" s="79">
        <f t="shared" si="96"/>
        <v>2.9000304832807095E-2</v>
      </c>
      <c r="O112" s="87">
        <f>M112/OBRA!$D$12</f>
        <v>108.78637693770548</v>
      </c>
      <c r="P112" s="81"/>
    </row>
    <row r="113" spans="1:17" s="1" customFormat="1" ht="19.899999999999999" customHeight="1" outlineLevel="3" x14ac:dyDescent="0.55000000000000004">
      <c r="A113" s="98">
        <f ca="1">IF(G113="UNIDADE CONSTRUTIVA",OFFSET(A113,-1,0)+1,LARGE(A$4:A112,1))</f>
        <v>2</v>
      </c>
      <c r="B113" s="98">
        <f t="shared" ca="1" si="84"/>
        <v>2</v>
      </c>
      <c r="C113" s="98">
        <f t="shared" ca="1" si="85"/>
        <v>2</v>
      </c>
      <c r="D113" s="99">
        <f t="shared" ca="1" si="86"/>
        <v>1</v>
      </c>
      <c r="E113" s="99">
        <f t="shared" ca="1" si="87"/>
        <v>0</v>
      </c>
      <c r="G113" s="75" t="s">
        <v>120</v>
      </c>
      <c r="H113" s="76" t="str">
        <f t="shared" ca="1" si="103"/>
        <v>02.002.001</v>
      </c>
      <c r="I113" s="92" t="s">
        <v>139</v>
      </c>
      <c r="J113" s="77"/>
      <c r="K113" s="78"/>
      <c r="L113" s="87"/>
      <c r="M113" s="130">
        <f>SUM(M114:M117)</f>
        <v>854827.6618973522</v>
      </c>
      <c r="N113" s="79">
        <f t="shared" si="96"/>
        <v>1.7165742762936205E-2</v>
      </c>
      <c r="O113" s="87">
        <f>M113/OBRA!$D$12</f>
        <v>64.392390817628254</v>
      </c>
      <c r="P113" s="81"/>
    </row>
    <row r="114" spans="1:17" s="1" customFormat="1" ht="19.899999999999999" customHeight="1" outlineLevel="3" x14ac:dyDescent="0.55000000000000004">
      <c r="A114" s="98">
        <f ca="1">IF(G114="UNIDADE CONSTRUTIVA",OFFSET(A114,-1,0)+1,LARGE(A$4:A113,1))</f>
        <v>2</v>
      </c>
      <c r="B114" s="98">
        <f t="shared" ca="1" si="84"/>
        <v>2</v>
      </c>
      <c r="C114" s="98">
        <f t="shared" ca="1" si="85"/>
        <v>2</v>
      </c>
      <c r="D114" s="99">
        <f t="shared" ca="1" si="86"/>
        <v>1</v>
      </c>
      <c r="E114" s="99">
        <f t="shared" ca="1" si="87"/>
        <v>1</v>
      </c>
      <c r="G114" s="75" t="s">
        <v>124</v>
      </c>
      <c r="H114" s="76" t="str">
        <f t="shared" ca="1" si="103"/>
        <v>02.002.001.001</v>
      </c>
      <c r="I114" s="92" t="s">
        <v>195</v>
      </c>
      <c r="J114" s="77" t="s">
        <v>10</v>
      </c>
      <c r="K114" s="78">
        <v>1131.0624</v>
      </c>
      <c r="L114" s="87">
        <f t="shared" ref="L114:L117" si="104">M114/K114</f>
        <v>74.8</v>
      </c>
      <c r="M114" s="130">
        <v>84603.467520000006</v>
      </c>
      <c r="N114" s="79">
        <f t="shared" si="96"/>
        <v>1.6989171326970212E-3</v>
      </c>
      <c r="O114" s="87">
        <f>M114/OBRA!$D$12</f>
        <v>6.3730033407933089</v>
      </c>
      <c r="P114" s="81" t="s">
        <v>266</v>
      </c>
    </row>
    <row r="115" spans="1:17" s="1" customFormat="1" ht="19.899999999999999" customHeight="1" outlineLevel="3" x14ac:dyDescent="0.55000000000000004">
      <c r="A115" s="98">
        <f ca="1">IF(G115="UNIDADE CONSTRUTIVA",OFFSET(A115,-1,0)+1,LARGE(A$4:A114,1))</f>
        <v>2</v>
      </c>
      <c r="B115" s="98">
        <f t="shared" ca="1" si="84"/>
        <v>2</v>
      </c>
      <c r="C115" s="98">
        <f t="shared" ca="1" si="85"/>
        <v>2</v>
      </c>
      <c r="D115" s="99">
        <f t="shared" ca="1" si="86"/>
        <v>1</v>
      </c>
      <c r="E115" s="99">
        <f t="shared" ca="1" si="87"/>
        <v>2</v>
      </c>
      <c r="G115" s="75" t="s">
        <v>124</v>
      </c>
      <c r="H115" s="76" t="str">
        <f t="shared" ref="H115:H116" ca="1" si="105">IF(G115="Unidade Construtiva",CONCATENATE("UC ",TEXT(A115,"00")),IF(G115="Célula Construtiva",TEXT(B115,"00"),IF(G115="Etapa",CONCATENATE(TEXT(B115,"00"),".",TEXT(C115,"000")),IF(G115="Subetapa",CONCATENATE(TEXT(B115,"00"),".",TEXT(C115,"000"),".",TEXT(D115,"000")),IF(G115="Serviço",CONCATENATE(TEXT(B115,"00"),".",TEXT(C115,"000"),".",TEXT(D115,"000"),".",TEXT(E115,"000")),"")))))</f>
        <v>02.002.001.002</v>
      </c>
      <c r="I115" s="92" t="s">
        <v>140</v>
      </c>
      <c r="J115" s="77" t="s">
        <v>15</v>
      </c>
      <c r="K115" s="78">
        <v>342.29520000000002</v>
      </c>
      <c r="L115" s="87">
        <f t="shared" si="104"/>
        <v>671.05731000000014</v>
      </c>
      <c r="M115" s="130">
        <v>229699.69613791205</v>
      </c>
      <c r="N115" s="79">
        <f t="shared" si="96"/>
        <v>4.6125857554449156E-3</v>
      </c>
      <c r="O115" s="87">
        <f>M115/OBRA!$D$12</f>
        <v>17.302800627173646</v>
      </c>
      <c r="P115" s="81" t="s">
        <v>267</v>
      </c>
    </row>
    <row r="116" spans="1:17" s="1" customFormat="1" ht="19.899999999999999" customHeight="1" outlineLevel="3" x14ac:dyDescent="0.55000000000000004">
      <c r="A116" s="98">
        <f ca="1">IF(G116="UNIDADE CONSTRUTIVA",OFFSET(A116,-1,0)+1,LARGE(A$4:A114,1))</f>
        <v>2</v>
      </c>
      <c r="B116" s="98">
        <f t="shared" ref="B116" ca="1" si="106">IF(G116="UNIDADE CONSTRUTIVA",0,IF(G116="CÉLULA CONSTRUTIVA",OFFSET(B116,-1,0)+1,OFFSET(B116,-1,0)))</f>
        <v>2</v>
      </c>
      <c r="C116" s="98">
        <f t="shared" ref="C116" ca="1" si="107">IF(G116="CÉLULA CONSTRUTIVA",0,IF(G116="ETAPA",OFFSET(C116,-1,0)+1,OFFSET(C116,-1,0)))</f>
        <v>2</v>
      </c>
      <c r="D116" s="99">
        <f t="shared" ref="D116" ca="1" si="108">IF(G116="ETAPA",0,IF(G116="SUBETAPA",OFFSET(D116,-1,0)+1,OFFSET(D116,-1,0)))</f>
        <v>1</v>
      </c>
      <c r="E116" s="99">
        <f t="shared" ref="E116" ca="1" si="109">IF(G116="Subetapa",0,IF(G116="serviço",OFFSET(E116,-1,0)+1,OFFSET(E116,-1,0)))</f>
        <v>3</v>
      </c>
      <c r="G116" s="75" t="s">
        <v>124</v>
      </c>
      <c r="H116" s="76" t="str">
        <f t="shared" ca="1" si="105"/>
        <v>02.002.001.003</v>
      </c>
      <c r="I116" s="92" t="s">
        <v>260</v>
      </c>
      <c r="J116" s="77" t="s">
        <v>127</v>
      </c>
      <c r="K116" s="78">
        <v>30806.568000000003</v>
      </c>
      <c r="L116" s="87">
        <f t="shared" si="104"/>
        <v>8.3820000000000014</v>
      </c>
      <c r="M116" s="130">
        <v>258220.65297600007</v>
      </c>
      <c r="N116" s="79">
        <f t="shared" si="96"/>
        <v>5.1853133709139319E-3</v>
      </c>
      <c r="O116" s="87">
        <f>M116/OBRA!$D$12</f>
        <v>19.451225018511842</v>
      </c>
      <c r="P116" s="81" t="s">
        <v>262</v>
      </c>
    </row>
    <row r="117" spans="1:17" s="1" customFormat="1" ht="19.899999999999999" customHeight="1" outlineLevel="3" x14ac:dyDescent="0.55000000000000004">
      <c r="A117" s="98">
        <f ca="1">IF(G117="UNIDADE CONSTRUTIVA",OFFSET(A117,-1,0)+1,LARGE(A$4:A115,1))</f>
        <v>2</v>
      </c>
      <c r="B117" s="98">
        <f t="shared" ca="1" si="84"/>
        <v>2</v>
      </c>
      <c r="C117" s="98">
        <f t="shared" ca="1" si="85"/>
        <v>2</v>
      </c>
      <c r="D117" s="99">
        <f t="shared" ca="1" si="86"/>
        <v>1</v>
      </c>
      <c r="E117" s="99">
        <f t="shared" ca="1" si="87"/>
        <v>4</v>
      </c>
      <c r="G117" s="75" t="s">
        <v>124</v>
      </c>
      <c r="H117" s="76" t="str">
        <f t="shared" ca="1" si="103"/>
        <v>02.002.001.004</v>
      </c>
      <c r="I117" s="92" t="s">
        <v>265</v>
      </c>
      <c r="J117" s="77" t="s">
        <v>127</v>
      </c>
      <c r="K117" s="78">
        <v>1488.24</v>
      </c>
      <c r="L117" s="87">
        <f t="shared" si="104"/>
        <v>189.68973100000002</v>
      </c>
      <c r="M117" s="130">
        <v>282303.84526344005</v>
      </c>
      <c r="N117" s="79">
        <f t="shared" si="96"/>
        <v>5.6689265038803354E-3</v>
      </c>
      <c r="O117" s="87">
        <f>M117/OBRA!$D$12</f>
        <v>21.265361831149452</v>
      </c>
      <c r="P117" s="81"/>
    </row>
    <row r="118" spans="1:17" s="1" customFormat="1" ht="19.899999999999999" customHeight="1" outlineLevel="3" x14ac:dyDescent="0.55000000000000004">
      <c r="A118" s="98">
        <f ca="1">IF(G118="UNIDADE CONSTRUTIVA",OFFSET(A118,-1,0)+1,LARGE(A$4:A117,1))</f>
        <v>2</v>
      </c>
      <c r="B118" s="98">
        <f t="shared" ca="1" si="84"/>
        <v>2</v>
      </c>
      <c r="C118" s="98">
        <f t="shared" ca="1" si="85"/>
        <v>2</v>
      </c>
      <c r="D118" s="99">
        <f t="shared" ca="1" si="86"/>
        <v>2</v>
      </c>
      <c r="E118" s="99">
        <f t="shared" ca="1" si="87"/>
        <v>0</v>
      </c>
      <c r="G118" s="75" t="s">
        <v>120</v>
      </c>
      <c r="H118" s="76" t="str">
        <f t="shared" ca="1" si="103"/>
        <v>02.002.002</v>
      </c>
      <c r="I118" s="92" t="s">
        <v>141</v>
      </c>
      <c r="J118" s="77"/>
      <c r="K118" s="78"/>
      <c r="L118" s="87"/>
      <c r="M118" s="130">
        <f>M119</f>
        <v>589343.04</v>
      </c>
      <c r="N118" s="79">
        <f t="shared" si="96"/>
        <v>1.183456206987089E-2</v>
      </c>
      <c r="O118" s="87">
        <f>M118/OBRA!$D$12</f>
        <v>44.393986120077223</v>
      </c>
      <c r="P118" s="81"/>
    </row>
    <row r="119" spans="1:17" s="1" customFormat="1" outlineLevel="3" x14ac:dyDescent="0.55000000000000004">
      <c r="A119" s="98">
        <f ca="1">IF(G119="UNIDADE CONSTRUTIVA",OFFSET(A119,-1,0)+1,LARGE(A$4:A118,1))</f>
        <v>2</v>
      </c>
      <c r="B119" s="98">
        <f t="shared" ca="1" si="84"/>
        <v>2</v>
      </c>
      <c r="C119" s="98">
        <f t="shared" ca="1" si="85"/>
        <v>2</v>
      </c>
      <c r="D119" s="99">
        <f t="shared" ca="1" si="86"/>
        <v>2</v>
      </c>
      <c r="E119" s="99">
        <f t="shared" ca="1" si="87"/>
        <v>1</v>
      </c>
      <c r="G119" s="75" t="s">
        <v>124</v>
      </c>
      <c r="H119" s="76" t="str">
        <f t="shared" ref="H119:H128" ca="1" si="110">IF(G119="Unidade Construtiva",CONCATENATE("UC ",TEXT(A119,"00")),IF(G119="Célula Construtiva",TEXT(B119,"00"),IF(G119="Etapa",CONCATENATE(TEXT(B119,"00"),".",TEXT(C119,"000")),IF(G119="Subetapa",CONCATENATE(TEXT(B119,"00"),".",TEXT(C119,"000"),".",TEXT(D119,"000")),IF(G119="Serviço",CONCATENATE(TEXT(B119,"00"),".",TEXT(C119,"000"),".",TEXT(D119,"000"),".",TEXT(E119,"000")),"")))))</f>
        <v>02.002.002.001</v>
      </c>
      <c r="I119" s="92" t="s">
        <v>141</v>
      </c>
      <c r="J119" s="77" t="s">
        <v>127</v>
      </c>
      <c r="K119" s="78">
        <v>1488.24</v>
      </c>
      <c r="L119" s="87">
        <f t="shared" ref="L119" si="111">M119/K119</f>
        <v>396</v>
      </c>
      <c r="M119" s="133">
        <v>589343.04</v>
      </c>
      <c r="N119" s="79">
        <f t="shared" si="96"/>
        <v>1.183456206987089E-2</v>
      </c>
      <c r="O119" s="87">
        <f>M119/OBRA!$D$12</f>
        <v>44.393986120077223</v>
      </c>
      <c r="P119" s="81" t="s">
        <v>268</v>
      </c>
    </row>
    <row r="120" spans="1:17" s="1" customFormat="1" ht="19.899999999999999" customHeight="1" outlineLevel="1" x14ac:dyDescent="0.55000000000000004">
      <c r="A120" s="98">
        <f ca="1">IF(G120="UNIDADE CONSTRUTIVA",OFFSET(A120,-1,0)+1,LARGE(A$4:A119,1))</f>
        <v>2</v>
      </c>
      <c r="B120" s="98">
        <f t="shared" ref="B120:B128" ca="1" si="112">IF(G120="UNIDADE CONSTRUTIVA",0,IF(G120="CÉLULA CONSTRUTIVA",OFFSET(B120,-1,0)+1,OFFSET(B120,-1,0)))</f>
        <v>3</v>
      </c>
      <c r="C120" s="98">
        <f t="shared" ref="C120:C128" ca="1" si="113">IF(G120="CÉLULA CONSTRUTIVA",0,IF(G120="ETAPA",OFFSET(C120,-1,0)+1,OFFSET(C120,-1,0)))</f>
        <v>0</v>
      </c>
      <c r="D120" s="99">
        <f t="shared" ref="D120:D128" ca="1" si="114">IF(G120="ETAPA",0,IF(G120="SUBETAPA",OFFSET(D120,-1,0)+1,OFFSET(D120,-1,0)))</f>
        <v>2</v>
      </c>
      <c r="E120" s="99">
        <f t="shared" ref="E120:E128" ca="1" si="115">IF(G120="Subetapa",0,IF(G120="serviço",OFFSET(E120,-1,0)+1,OFFSET(E120,-1,0)))</f>
        <v>1</v>
      </c>
      <c r="G120" s="75" t="s">
        <v>118</v>
      </c>
      <c r="H120" s="76" t="str">
        <f t="shared" ca="1" si="110"/>
        <v>03</v>
      </c>
      <c r="I120" s="92" t="s">
        <v>269</v>
      </c>
      <c r="J120" s="77"/>
      <c r="K120" s="78"/>
      <c r="L120" s="87"/>
      <c r="M120" s="130">
        <f>M121</f>
        <v>1252515.0642358598</v>
      </c>
      <c r="N120" s="79">
        <f t="shared" si="96"/>
        <v>2.5151679522927101E-2</v>
      </c>
      <c r="O120" s="87">
        <f>M120/OBRA!$D$12</f>
        <v>94.349356152359732</v>
      </c>
      <c r="P120" s="81">
        <f>[1]CONTENÇÃO!$G$36</f>
        <v>876334.74615724001</v>
      </c>
      <c r="Q120" s="234">
        <f>M120-P120</f>
        <v>376180.31807861978</v>
      </c>
    </row>
    <row r="121" spans="1:17" s="1" customFormat="1" ht="19.899999999999999" customHeight="1" outlineLevel="2" x14ac:dyDescent="0.55000000000000004">
      <c r="A121" s="98">
        <f ca="1">IF(G121="UNIDADE CONSTRUTIVA",OFFSET(A121,-1,0)+1,LARGE(A$4:A120,1))</f>
        <v>2</v>
      </c>
      <c r="B121" s="98">
        <f t="shared" ca="1" si="112"/>
        <v>3</v>
      </c>
      <c r="C121" s="98">
        <f t="shared" ca="1" si="113"/>
        <v>1</v>
      </c>
      <c r="D121" s="99">
        <f t="shared" ca="1" si="114"/>
        <v>0</v>
      </c>
      <c r="E121" s="99">
        <f t="shared" ca="1" si="115"/>
        <v>1</v>
      </c>
      <c r="G121" s="75" t="s">
        <v>119</v>
      </c>
      <c r="H121" s="76" t="str">
        <f t="shared" ca="1" si="110"/>
        <v>03.001</v>
      </c>
      <c r="I121" s="92" t="s">
        <v>269</v>
      </c>
      <c r="J121" s="77"/>
      <c r="K121" s="78"/>
      <c r="L121" s="87"/>
      <c r="M121" s="130">
        <f>M122</f>
        <v>1252515.0642358598</v>
      </c>
      <c r="N121" s="79">
        <f t="shared" si="96"/>
        <v>2.5151679522927101E-2</v>
      </c>
      <c r="O121" s="87">
        <f>M121/OBRA!$D$12</f>
        <v>94.349356152359732</v>
      </c>
      <c r="P121" s="81"/>
    </row>
    <row r="122" spans="1:17" s="1" customFormat="1" ht="19.899999999999999" customHeight="1" outlineLevel="3" x14ac:dyDescent="0.55000000000000004">
      <c r="A122" s="98">
        <f ca="1">IF(G122="UNIDADE CONSTRUTIVA",OFFSET(A122,-1,0)+1,LARGE(A$4:A121,1))</f>
        <v>2</v>
      </c>
      <c r="B122" s="98">
        <f t="shared" ca="1" si="112"/>
        <v>3</v>
      </c>
      <c r="C122" s="98">
        <f t="shared" ca="1" si="113"/>
        <v>1</v>
      </c>
      <c r="D122" s="99">
        <f t="shared" ca="1" si="114"/>
        <v>1</v>
      </c>
      <c r="E122" s="99">
        <f t="shared" ca="1" si="115"/>
        <v>0</v>
      </c>
      <c r="G122" s="75" t="s">
        <v>120</v>
      </c>
      <c r="H122" s="76" t="str">
        <f t="shared" ca="1" si="110"/>
        <v>03.001.001</v>
      </c>
      <c r="I122" s="92" t="s">
        <v>270</v>
      </c>
      <c r="J122" s="77"/>
      <c r="K122" s="78"/>
      <c r="L122" s="87"/>
      <c r="M122" s="130">
        <f>SUM(M123:M128)</f>
        <v>1252515.0642358598</v>
      </c>
      <c r="N122" s="79">
        <f t="shared" si="96"/>
        <v>2.5151679522927101E-2</v>
      </c>
      <c r="O122" s="87">
        <f>M122/OBRA!$D$12</f>
        <v>94.349356152359732</v>
      </c>
      <c r="P122" s="81"/>
    </row>
    <row r="123" spans="1:17" s="1" customFormat="1" ht="19.899999999999999" customHeight="1" outlineLevel="3" x14ac:dyDescent="0.55000000000000004">
      <c r="A123" s="98">
        <f ca="1">IF(G123="UNIDADE CONSTRUTIVA",OFFSET(A123,-1,0)+1,LARGE(A$4:A122,1))</f>
        <v>2</v>
      </c>
      <c r="B123" s="98">
        <f t="shared" ca="1" si="112"/>
        <v>3</v>
      </c>
      <c r="C123" s="98">
        <f t="shared" ca="1" si="113"/>
        <v>1</v>
      </c>
      <c r="D123" s="99">
        <f t="shared" ca="1" si="114"/>
        <v>1</v>
      </c>
      <c r="E123" s="99">
        <f t="shared" ca="1" si="115"/>
        <v>1</v>
      </c>
      <c r="G123" s="75" t="s">
        <v>124</v>
      </c>
      <c r="H123" s="76" t="str">
        <f t="shared" ca="1" si="110"/>
        <v>03.001.001.001</v>
      </c>
      <c r="I123" s="92" t="s">
        <v>271</v>
      </c>
      <c r="J123" s="77" t="s">
        <v>8</v>
      </c>
      <c r="K123" s="78">
        <v>157.96</v>
      </c>
      <c r="L123" s="87">
        <f t="shared" ref="L123:L128" si="116">M123/K123</f>
        <v>781</v>
      </c>
      <c r="M123" s="130">
        <v>123366.76000000001</v>
      </c>
      <c r="N123" s="79">
        <f t="shared" si="96"/>
        <v>2.4773204729436789E-3</v>
      </c>
      <c r="O123" s="87">
        <f>M123/OBRA!$D$12</f>
        <v>9.292961585019988</v>
      </c>
      <c r="P123" s="81"/>
    </row>
    <row r="124" spans="1:17" s="1" customFormat="1" ht="19.899999999999999" customHeight="1" outlineLevel="3" x14ac:dyDescent="0.55000000000000004">
      <c r="A124" s="98">
        <f ca="1">IF(G124="UNIDADE CONSTRUTIVA",OFFSET(A124,-1,0)+1,LARGE(A$4:A123,1))</f>
        <v>2</v>
      </c>
      <c r="B124" s="98">
        <f t="shared" ca="1" si="112"/>
        <v>3</v>
      </c>
      <c r="C124" s="98">
        <f t="shared" ca="1" si="113"/>
        <v>1</v>
      </c>
      <c r="D124" s="99">
        <f t="shared" ca="1" si="114"/>
        <v>1</v>
      </c>
      <c r="E124" s="99">
        <f t="shared" ca="1" si="115"/>
        <v>2</v>
      </c>
      <c r="G124" s="75" t="s">
        <v>124</v>
      </c>
      <c r="H124" s="76" t="str">
        <f t="shared" ca="1" si="110"/>
        <v>03.001.001.002</v>
      </c>
      <c r="I124" s="92" t="s">
        <v>272</v>
      </c>
      <c r="J124" s="77" t="s">
        <v>70</v>
      </c>
      <c r="K124" s="78">
        <v>1421.64</v>
      </c>
      <c r="L124" s="87">
        <f t="shared" si="116"/>
        <v>270</v>
      </c>
      <c r="M124" s="130">
        <v>383842.80000000005</v>
      </c>
      <c r="N124" s="79">
        <f t="shared" si="96"/>
        <v>7.7079241347671442E-3</v>
      </c>
      <c r="O124" s="87">
        <f>M124/OBRA!$D$12</f>
        <v>28.914080219716482</v>
      </c>
      <c r="P124" s="81"/>
    </row>
    <row r="125" spans="1:17" s="1" customFormat="1" ht="19.899999999999999" customHeight="1" outlineLevel="3" x14ac:dyDescent="0.55000000000000004">
      <c r="A125" s="98">
        <f ca="1">IF(G125="UNIDADE CONSTRUTIVA",OFFSET(A125,-1,0)+1,LARGE(A$4:A124,1))</f>
        <v>2</v>
      </c>
      <c r="B125" s="98">
        <f t="shared" ca="1" si="112"/>
        <v>3</v>
      </c>
      <c r="C125" s="98">
        <f t="shared" ca="1" si="113"/>
        <v>1</v>
      </c>
      <c r="D125" s="99">
        <f t="shared" ca="1" si="114"/>
        <v>1</v>
      </c>
      <c r="E125" s="99">
        <f t="shared" ca="1" si="115"/>
        <v>3</v>
      </c>
      <c r="G125" s="75" t="s">
        <v>124</v>
      </c>
      <c r="H125" s="76" t="str">
        <f t="shared" ca="1" si="110"/>
        <v>03.001.001.003</v>
      </c>
      <c r="I125" s="92" t="s">
        <v>273</v>
      </c>
      <c r="J125" s="77" t="s">
        <v>6</v>
      </c>
      <c r="K125" s="78">
        <v>1</v>
      </c>
      <c r="L125" s="87">
        <f t="shared" si="116"/>
        <v>18000</v>
      </c>
      <c r="M125" s="130">
        <v>18000</v>
      </c>
      <c r="N125" s="79">
        <f t="shared" si="96"/>
        <v>3.6145691524188702E-4</v>
      </c>
      <c r="O125" s="87">
        <f>M125/OBRA!$D$12</f>
        <v>1.3559025829190925</v>
      </c>
      <c r="P125" s="81"/>
    </row>
    <row r="126" spans="1:17" s="1" customFormat="1" ht="19.899999999999999" customHeight="1" outlineLevel="3" x14ac:dyDescent="0.55000000000000004">
      <c r="A126" s="98">
        <f ca="1">IF(G126="UNIDADE CONSTRUTIVA",OFFSET(A126,-1,0)+1,LARGE(A$4:A125,1))</f>
        <v>2</v>
      </c>
      <c r="B126" s="98">
        <f t="shared" ca="1" si="112"/>
        <v>3</v>
      </c>
      <c r="C126" s="98">
        <f t="shared" ca="1" si="113"/>
        <v>1</v>
      </c>
      <c r="D126" s="99">
        <f t="shared" ca="1" si="114"/>
        <v>1</v>
      </c>
      <c r="E126" s="99">
        <f t="shared" ca="1" si="115"/>
        <v>4</v>
      </c>
      <c r="G126" s="75" t="s">
        <v>124</v>
      </c>
      <c r="H126" s="76" t="str">
        <f t="shared" ca="1" si="110"/>
        <v>03.001.001.004</v>
      </c>
      <c r="I126" s="92" t="s">
        <v>140</v>
      </c>
      <c r="J126" s="77" t="s">
        <v>15</v>
      </c>
      <c r="K126" s="78">
        <v>47767.103999999992</v>
      </c>
      <c r="L126" s="87">
        <f t="shared" si="116"/>
        <v>7.62</v>
      </c>
      <c r="M126" s="130">
        <v>363985.33247999992</v>
      </c>
      <c r="N126" s="79">
        <f t="shared" si="96"/>
        <v>7.3091675261951882E-3</v>
      </c>
      <c r="O126" s="87">
        <f>M126/OBRA!$D$12</f>
        <v>27.418258469683142</v>
      </c>
      <c r="P126" s="81"/>
    </row>
    <row r="127" spans="1:17" s="1" customFormat="1" ht="19.899999999999999" customHeight="1" outlineLevel="3" x14ac:dyDescent="0.55000000000000004">
      <c r="A127" s="98">
        <f ca="1">IF(G127="UNIDADE CONSTRUTIVA",OFFSET(A127,-1,0)+1,LARGE(A$4:A126,1))</f>
        <v>2</v>
      </c>
      <c r="B127" s="98">
        <f t="shared" ca="1" si="112"/>
        <v>3</v>
      </c>
      <c r="C127" s="98">
        <f t="shared" ca="1" si="113"/>
        <v>1</v>
      </c>
      <c r="D127" s="99">
        <f t="shared" ca="1" si="114"/>
        <v>1</v>
      </c>
      <c r="E127" s="99">
        <f t="shared" ca="1" si="115"/>
        <v>5</v>
      </c>
      <c r="G127" s="75" t="s">
        <v>124</v>
      </c>
      <c r="H127" s="76" t="str">
        <f t="shared" ca="1" si="110"/>
        <v>03.001.001.005</v>
      </c>
      <c r="I127" s="92" t="s">
        <v>279</v>
      </c>
      <c r="J127" s="77" t="s">
        <v>127</v>
      </c>
      <c r="K127" s="78">
        <v>426.49199999999996</v>
      </c>
      <c r="L127" s="87">
        <f t="shared" si="116"/>
        <v>770.31895499999996</v>
      </c>
      <c r="M127" s="130">
        <v>328534.87175585993</v>
      </c>
      <c r="N127" s="79">
        <f t="shared" si="96"/>
        <v>6.5972889607923378E-3</v>
      </c>
      <c r="O127" s="87">
        <f>M127/OBRA!$D$12</f>
        <v>24.747848955153515</v>
      </c>
      <c r="P127" s="81"/>
    </row>
    <row r="128" spans="1:17" s="1" customFormat="1" ht="19.899999999999999" customHeight="1" outlineLevel="3" x14ac:dyDescent="0.55000000000000004">
      <c r="A128" s="98">
        <f ca="1">IF(G128="UNIDADE CONSTRUTIVA",OFFSET(A128,-1,0)+1,LARGE(A$4:A127,1))</f>
        <v>2</v>
      </c>
      <c r="B128" s="98">
        <f t="shared" ca="1" si="112"/>
        <v>3</v>
      </c>
      <c r="C128" s="98">
        <f t="shared" ca="1" si="113"/>
        <v>1</v>
      </c>
      <c r="D128" s="99">
        <f t="shared" ca="1" si="114"/>
        <v>1</v>
      </c>
      <c r="E128" s="99">
        <f t="shared" ca="1" si="115"/>
        <v>6</v>
      </c>
      <c r="G128" s="75" t="s">
        <v>124</v>
      </c>
      <c r="H128" s="76" t="str">
        <f t="shared" ca="1" si="110"/>
        <v>03.001.001.006</v>
      </c>
      <c r="I128" s="92" t="s">
        <v>274</v>
      </c>
      <c r="J128" s="77" t="s">
        <v>8</v>
      </c>
      <c r="K128" s="78">
        <v>762</v>
      </c>
      <c r="L128" s="87">
        <f t="shared" si="116"/>
        <v>45.650000000000006</v>
      </c>
      <c r="M128" s="130">
        <v>34785.300000000003</v>
      </c>
      <c r="N128" s="79">
        <f t="shared" si="96"/>
        <v>6.9852151298686741E-4</v>
      </c>
      <c r="O128" s="87">
        <f>M128/OBRA!$D$12</f>
        <v>2.6203043398675283</v>
      </c>
      <c r="P128" s="81"/>
    </row>
    <row r="129" spans="1:16" s="1" customFormat="1" ht="19.899999999999999" customHeight="1" outlineLevel="1" x14ac:dyDescent="0.55000000000000004">
      <c r="A129" s="98">
        <f ca="1">IF(G129="UNIDADE CONSTRUTIVA",OFFSET(A129,-1,0)+1,LARGE(A$4:A119,1))</f>
        <v>2</v>
      </c>
      <c r="B129" s="98">
        <f t="shared" ca="1" si="84"/>
        <v>4</v>
      </c>
      <c r="C129" s="98">
        <f t="shared" ca="1" si="85"/>
        <v>0</v>
      </c>
      <c r="D129" s="99">
        <f t="shared" ca="1" si="86"/>
        <v>1</v>
      </c>
      <c r="E129" s="99">
        <f t="shared" ca="1" si="87"/>
        <v>6</v>
      </c>
      <c r="G129" s="75" t="s">
        <v>118</v>
      </c>
      <c r="H129" s="76" t="str">
        <f t="shared" ca="1" si="88"/>
        <v>04</v>
      </c>
      <c r="I129" s="92" t="s">
        <v>12</v>
      </c>
      <c r="J129" s="77"/>
      <c r="K129" s="78"/>
      <c r="L129" s="87"/>
      <c r="M129" s="130">
        <f>M130</f>
        <v>9439573.1502641048</v>
      </c>
      <c r="N129" s="79">
        <f t="shared" si="96"/>
        <v>0.18955549956081139</v>
      </c>
      <c r="O129" s="87">
        <f>M129/OBRA!$D$12</f>
        <v>711.06342311648973</v>
      </c>
      <c r="P129" s="81"/>
    </row>
    <row r="130" spans="1:16" s="1" customFormat="1" ht="19.899999999999999" customHeight="1" outlineLevel="2" x14ac:dyDescent="0.55000000000000004">
      <c r="A130" s="98">
        <f ca="1">IF(G130="UNIDADE CONSTRUTIVA",OFFSET(A130,-1,0)+1,LARGE(A$4:A129,1))</f>
        <v>2</v>
      </c>
      <c r="B130" s="98">
        <f t="shared" ca="1" si="84"/>
        <v>4</v>
      </c>
      <c r="C130" s="98">
        <f t="shared" ca="1" si="85"/>
        <v>1</v>
      </c>
      <c r="D130" s="99">
        <f t="shared" ca="1" si="86"/>
        <v>0</v>
      </c>
      <c r="E130" s="99">
        <f t="shared" ca="1" si="87"/>
        <v>6</v>
      </c>
      <c r="G130" s="75" t="s">
        <v>119</v>
      </c>
      <c r="H130" s="76" t="str">
        <f t="shared" ca="1" si="88"/>
        <v>04.001</v>
      </c>
      <c r="I130" s="92" t="s">
        <v>12</v>
      </c>
      <c r="J130" s="77"/>
      <c r="K130" s="78"/>
      <c r="L130" s="87"/>
      <c r="M130" s="130">
        <f>M131+M134+M136+M138+M142</f>
        <v>9439573.1502641048</v>
      </c>
      <c r="N130" s="79">
        <f t="shared" si="96"/>
        <v>0.18955549956081139</v>
      </c>
      <c r="O130" s="87">
        <f>M130/OBRA!$D$12</f>
        <v>711.06342311648973</v>
      </c>
      <c r="P130" s="81"/>
    </row>
    <row r="131" spans="1:16" s="1" customFormat="1" ht="19.899999999999999" customHeight="1" outlineLevel="2" x14ac:dyDescent="0.55000000000000004">
      <c r="A131" s="98">
        <f ca="1">IF(G131="UNIDADE CONSTRUTIVA",OFFSET(A131,-1,0)+1,LARGE(A$4:A130,1))</f>
        <v>2</v>
      </c>
      <c r="B131" s="98">
        <f t="shared" ca="1" si="84"/>
        <v>4</v>
      </c>
      <c r="C131" s="98">
        <f t="shared" ca="1" si="85"/>
        <v>1</v>
      </c>
      <c r="D131" s="99">
        <f t="shared" ca="1" si="86"/>
        <v>1</v>
      </c>
      <c r="E131" s="99">
        <f t="shared" ca="1" si="87"/>
        <v>0</v>
      </c>
      <c r="G131" s="75" t="s">
        <v>120</v>
      </c>
      <c r="H131" s="76" t="str">
        <f t="shared" ca="1" si="88"/>
        <v>04.001.001</v>
      </c>
      <c r="I131" s="92" t="s">
        <v>13</v>
      </c>
      <c r="J131" s="77"/>
      <c r="K131" s="78"/>
      <c r="L131" s="87"/>
      <c r="M131" s="130">
        <f>SUM(M132:M133)</f>
        <v>702268.44134615408</v>
      </c>
      <c r="N131" s="79">
        <f t="shared" si="96"/>
        <v>1.4102210248928273E-2</v>
      </c>
      <c r="O131" s="87">
        <f>M131/OBRA!$D$12</f>
        <v>52.900421862434193</v>
      </c>
      <c r="P131" s="81"/>
    </row>
    <row r="132" spans="1:16" s="1" customFormat="1" ht="19.899999999999999" customHeight="1" outlineLevel="3" x14ac:dyDescent="0.55000000000000004">
      <c r="A132" s="98">
        <f ca="1">IF(G132="UNIDADE CONSTRUTIVA",OFFSET(A132,-1,0)+1,LARGE(A$4:A131,1))</f>
        <v>2</v>
      </c>
      <c r="B132" s="98">
        <f t="shared" ca="1" si="84"/>
        <v>4</v>
      </c>
      <c r="C132" s="98">
        <f t="shared" ca="1" si="85"/>
        <v>1</v>
      </c>
      <c r="D132" s="99">
        <f t="shared" ca="1" si="86"/>
        <v>1</v>
      </c>
      <c r="E132" s="99">
        <f t="shared" ca="1" si="87"/>
        <v>1</v>
      </c>
      <c r="G132" s="75" t="s">
        <v>124</v>
      </c>
      <c r="H132" s="76" t="str">
        <f t="shared" ca="1" si="88"/>
        <v>04.001.001.001</v>
      </c>
      <c r="I132" s="92" t="s">
        <v>275</v>
      </c>
      <c r="J132" s="77" t="s">
        <v>70</v>
      </c>
      <c r="K132" s="78">
        <v>5056.8384615384621</v>
      </c>
      <c r="L132" s="87">
        <f t="shared" ref="L132:L133" si="117">M132/K132</f>
        <v>121.00000000000003</v>
      </c>
      <c r="M132" s="130">
        <v>611877.45384615404</v>
      </c>
      <c r="N132" s="79">
        <f t="shared" si="96"/>
        <v>1.2287074276293941E-2</v>
      </c>
      <c r="O132" s="87">
        <f>M132/OBRA!$D$12</f>
        <v>46.091456672219891</v>
      </c>
      <c r="P132" s="81" t="s">
        <v>281</v>
      </c>
    </row>
    <row r="133" spans="1:16" s="1" customFormat="1" ht="19.899999999999999" customHeight="1" outlineLevel="3" x14ac:dyDescent="0.55000000000000004">
      <c r="A133" s="98">
        <f ca="1">IF(G133="UNIDADE CONSTRUTIVA",OFFSET(A133,-1,0)+1,LARGE(A$4:A132,1))</f>
        <v>2</v>
      </c>
      <c r="B133" s="98">
        <f t="shared" ca="1" si="84"/>
        <v>4</v>
      </c>
      <c r="C133" s="98">
        <f t="shared" ca="1" si="85"/>
        <v>1</v>
      </c>
      <c r="D133" s="99">
        <f t="shared" ca="1" si="86"/>
        <v>1</v>
      </c>
      <c r="E133" s="99">
        <f t="shared" ca="1" si="87"/>
        <v>2</v>
      </c>
      <c r="G133" s="75" t="s">
        <v>124</v>
      </c>
      <c r="H133" s="76" t="str">
        <f t="shared" ref="H133" ca="1" si="118">IF(G133="Unidade Construtiva",CONCATENATE("UC ",TEXT(A133,"00")),IF(G133="Célula Construtiva",TEXT(B133,"00"),IF(G133="Etapa",CONCATENATE(TEXT(B133,"00"),".",TEXT(C133,"000")),IF(G133="Subetapa",CONCATENATE(TEXT(B133,"00"),".",TEXT(C133,"000"),".",TEXT(D133,"000")),IF(G133="Serviço",CONCATENATE(TEXT(B133,"00"),".",TEXT(C133,"000"),".",TEXT(D133,"000"),".",TEXT(E133,"000")),"")))))</f>
        <v>04.001.001.002</v>
      </c>
      <c r="I133" s="92" t="s">
        <v>276</v>
      </c>
      <c r="J133" s="77" t="s">
        <v>70</v>
      </c>
      <c r="K133" s="78">
        <v>32869.450000000004</v>
      </c>
      <c r="L133" s="87">
        <f t="shared" si="117"/>
        <v>2.75</v>
      </c>
      <c r="M133" s="130">
        <v>90390.987500000017</v>
      </c>
      <c r="N133" s="79">
        <f t="shared" si="96"/>
        <v>1.8151359726343319E-3</v>
      </c>
      <c r="O133" s="87">
        <f>M133/OBRA!$D$12</f>
        <v>6.8089651902143009</v>
      </c>
      <c r="P133" s="81"/>
    </row>
    <row r="134" spans="1:16" s="1" customFormat="1" ht="19.899999999999999" customHeight="1" outlineLevel="2" x14ac:dyDescent="0.55000000000000004">
      <c r="A134" s="98">
        <f ca="1">IF(G134="UNIDADE CONSTRUTIVA",OFFSET(A134,-1,0)+1,LARGE(A$4:A133,1))</f>
        <v>2</v>
      </c>
      <c r="B134" s="98">
        <f t="shared" ca="1" si="84"/>
        <v>4</v>
      </c>
      <c r="C134" s="98">
        <f t="shared" ca="1" si="85"/>
        <v>1</v>
      </c>
      <c r="D134" s="99">
        <f t="shared" ca="1" si="86"/>
        <v>2</v>
      </c>
      <c r="E134" s="99">
        <f t="shared" ca="1" si="87"/>
        <v>0</v>
      </c>
      <c r="G134" s="75" t="s">
        <v>120</v>
      </c>
      <c r="H134" s="76" t="str">
        <f t="shared" ca="1" si="88"/>
        <v>04.001.002</v>
      </c>
      <c r="I134" s="92" t="s">
        <v>14</v>
      </c>
      <c r="J134" s="77"/>
      <c r="K134" s="78"/>
      <c r="L134" s="87"/>
      <c r="M134" s="130">
        <f>M135</f>
        <v>2479605.5691000004</v>
      </c>
      <c r="N134" s="79">
        <f t="shared" si="96"/>
        <v>4.9792810001304991E-2</v>
      </c>
      <c r="O134" s="87">
        <f>M134/OBRA!$D$12</f>
        <v>186.7835330979587</v>
      </c>
      <c r="P134" s="81"/>
    </row>
    <row r="135" spans="1:16" s="1" customFormat="1" ht="19.899999999999999" customHeight="1" outlineLevel="3" x14ac:dyDescent="0.55000000000000004">
      <c r="A135" s="98">
        <f ca="1">IF(G135="UNIDADE CONSTRUTIVA",OFFSET(A135,-1,0)+1,LARGE(A$4:A134,1))</f>
        <v>2</v>
      </c>
      <c r="B135" s="98">
        <f t="shared" ca="1" si="84"/>
        <v>4</v>
      </c>
      <c r="C135" s="98">
        <f t="shared" ca="1" si="85"/>
        <v>1</v>
      </c>
      <c r="D135" s="99">
        <f t="shared" ca="1" si="86"/>
        <v>2</v>
      </c>
      <c r="E135" s="99">
        <f t="shared" ca="1" si="87"/>
        <v>1</v>
      </c>
      <c r="G135" s="75" t="s">
        <v>124</v>
      </c>
      <c r="H135" s="76" t="str">
        <f t="shared" ca="1" si="88"/>
        <v>04.001.002.001</v>
      </c>
      <c r="I135" s="92" t="s">
        <v>129</v>
      </c>
      <c r="J135" s="77" t="s">
        <v>15</v>
      </c>
      <c r="K135" s="78">
        <v>295825.05</v>
      </c>
      <c r="L135" s="87">
        <f t="shared" ref="L135" si="119">M135/K135</f>
        <v>8.3820000000000014</v>
      </c>
      <c r="M135" s="130">
        <v>2479605.5691000004</v>
      </c>
      <c r="N135" s="79">
        <f t="shared" si="96"/>
        <v>4.9792810001304991E-2</v>
      </c>
      <c r="O135" s="87">
        <f>M135/OBRA!$D$12</f>
        <v>186.7835330979587</v>
      </c>
      <c r="P135" s="81" t="s">
        <v>262</v>
      </c>
    </row>
    <row r="136" spans="1:16" s="1" customFormat="1" ht="19.899999999999999" customHeight="1" outlineLevel="2" x14ac:dyDescent="0.55000000000000004">
      <c r="A136" s="98">
        <f ca="1">IF(G136="UNIDADE CONSTRUTIVA",OFFSET(A136,-1,0)+1,LARGE(A$4:A135,1))</f>
        <v>2</v>
      </c>
      <c r="B136" s="98">
        <f t="shared" ca="1" si="84"/>
        <v>4</v>
      </c>
      <c r="C136" s="98">
        <f t="shared" ca="1" si="85"/>
        <v>1</v>
      </c>
      <c r="D136" s="99">
        <f t="shared" ca="1" si="86"/>
        <v>3</v>
      </c>
      <c r="E136" s="99">
        <f t="shared" ca="1" si="87"/>
        <v>0</v>
      </c>
      <c r="G136" s="75" t="s">
        <v>120</v>
      </c>
      <c r="H136" s="76" t="str">
        <f t="shared" ca="1" si="88"/>
        <v>04.001.003</v>
      </c>
      <c r="I136" s="92" t="s">
        <v>16</v>
      </c>
      <c r="J136" s="77"/>
      <c r="K136" s="78"/>
      <c r="L136" s="87"/>
      <c r="M136" s="130">
        <f>M137</f>
        <v>2205728.4698179499</v>
      </c>
      <c r="N136" s="79">
        <f t="shared" si="96"/>
        <v>4.4293100475644658E-2</v>
      </c>
      <c r="O136" s="87">
        <f>M136/OBRA!$D$12</f>
        <v>166.15294052468531</v>
      </c>
      <c r="P136" s="81"/>
    </row>
    <row r="137" spans="1:16" s="1" customFormat="1" ht="19.899999999999999" customHeight="1" outlineLevel="3" x14ac:dyDescent="0.55000000000000004">
      <c r="A137" s="98">
        <f ca="1">IF(G137="UNIDADE CONSTRUTIVA",OFFSET(A137,-1,0)+1,LARGE(A$4:A135,1))</f>
        <v>2</v>
      </c>
      <c r="B137" s="98">
        <f t="shared" ref="B137:B138" ca="1" si="120">IF(G137="UNIDADE CONSTRUTIVA",0,IF(G137="CÉLULA CONSTRUTIVA",OFFSET(B137,-1,0)+1,OFFSET(B137,-1,0)))</f>
        <v>4</v>
      </c>
      <c r="C137" s="98">
        <f t="shared" ref="C137:C138" ca="1" si="121">IF(G137="CÉLULA CONSTRUTIVA",0,IF(G137="ETAPA",OFFSET(C137,-1,0)+1,OFFSET(C137,-1,0)))</f>
        <v>1</v>
      </c>
      <c r="D137" s="99">
        <f t="shared" ref="D137:D138" ca="1" si="122">IF(G137="ETAPA",0,IF(G137="SUBETAPA",OFFSET(D137,-1,0)+1,OFFSET(D137,-1,0)))</f>
        <v>3</v>
      </c>
      <c r="E137" s="99">
        <f t="shared" ref="E137:E138" ca="1" si="123">IF(G137="Subetapa",0,IF(G137="serviço",OFFSET(E137,-1,0)+1,OFFSET(E137,-1,0)))</f>
        <v>1</v>
      </c>
      <c r="G137" s="75" t="s">
        <v>124</v>
      </c>
      <c r="H137" s="76" t="str">
        <f t="shared" ref="H137:H138" ca="1" si="124">IF(G137="Unidade Construtiva",CONCATENATE("UC ",TEXT(A137,"00")),IF(G137="Célula Construtiva",TEXT(B137,"00"),IF(G137="Etapa",CONCATENATE(TEXT(B137,"00"),".",TEXT(C137,"000")),IF(G137="Subetapa",CONCATENATE(TEXT(B137,"00"),".",TEXT(C137,"000"),".",TEXT(D137,"000")),IF(G137="Serviço",CONCATENATE(TEXT(B137,"00"),".",TEXT(C137,"000"),".",TEXT(D137,"000"),".",TEXT(E137,"000")),"")))))</f>
        <v>04.001.003.001</v>
      </c>
      <c r="I137" s="92" t="s">
        <v>260</v>
      </c>
      <c r="J137" s="77" t="s">
        <v>127</v>
      </c>
      <c r="K137" s="78">
        <v>3286.9450000000002</v>
      </c>
      <c r="L137" s="87">
        <f t="shared" ref="L137" si="125">M137/K137</f>
        <v>671.05730999999992</v>
      </c>
      <c r="M137" s="130">
        <v>2205728.4698179499</v>
      </c>
      <c r="N137" s="79">
        <f t="shared" si="96"/>
        <v>4.4293100475644658E-2</v>
      </c>
      <c r="O137" s="87">
        <f>M137/OBRA!$D$12</f>
        <v>166.15294052468531</v>
      </c>
      <c r="P137" s="81" t="s">
        <v>267</v>
      </c>
    </row>
    <row r="138" spans="1:16" s="1" customFormat="1" ht="19.899999999999999" customHeight="1" outlineLevel="2" x14ac:dyDescent="0.55000000000000004">
      <c r="A138" s="98">
        <f ca="1">IF(G138="UNIDADE CONSTRUTIVA",OFFSET(A138,-1,0)+1,LARGE(A$4:A137,1))</f>
        <v>2</v>
      </c>
      <c r="B138" s="98">
        <f t="shared" ca="1" si="120"/>
        <v>4</v>
      </c>
      <c r="C138" s="98">
        <f t="shared" ca="1" si="121"/>
        <v>1</v>
      </c>
      <c r="D138" s="99">
        <f t="shared" ca="1" si="122"/>
        <v>4</v>
      </c>
      <c r="E138" s="99">
        <f t="shared" ca="1" si="123"/>
        <v>0</v>
      </c>
      <c r="G138" s="75" t="s">
        <v>120</v>
      </c>
      <c r="H138" s="76" t="str">
        <f t="shared" ca="1" si="124"/>
        <v>04.001.004</v>
      </c>
      <c r="I138" s="92" t="s">
        <v>18</v>
      </c>
      <c r="J138" s="77"/>
      <c r="K138" s="78"/>
      <c r="L138" s="87"/>
      <c r="M138" s="130">
        <f>SUM(M139:M141)</f>
        <v>580956.75000000012</v>
      </c>
      <c r="N138" s="79">
        <f t="shared" si="96"/>
        <v>1.1666157485775121E-2</v>
      </c>
      <c r="O138" s="87">
        <f>M138/OBRA!$D$12</f>
        <v>43.762264327182315</v>
      </c>
      <c r="P138" s="81"/>
    </row>
    <row r="139" spans="1:16" s="1" customFormat="1" ht="19.899999999999999" customHeight="1" outlineLevel="3" x14ac:dyDescent="0.55000000000000004">
      <c r="A139" s="98">
        <f ca="1">IF(G139="UNIDADE CONSTRUTIVA",OFFSET(A139,-1,0)+1,LARGE(A$4:A138,1))</f>
        <v>2</v>
      </c>
      <c r="B139" s="98">
        <f t="shared" ca="1" si="84"/>
        <v>4</v>
      </c>
      <c r="C139" s="98">
        <f t="shared" ca="1" si="85"/>
        <v>1</v>
      </c>
      <c r="D139" s="99">
        <f t="shared" ca="1" si="86"/>
        <v>4</v>
      </c>
      <c r="E139" s="99">
        <f t="shared" ca="1" si="87"/>
        <v>1</v>
      </c>
      <c r="G139" s="75" t="s">
        <v>124</v>
      </c>
      <c r="H139" s="76" t="str">
        <f t="shared" ca="1" si="88"/>
        <v>04.001.004.001</v>
      </c>
      <c r="I139" s="92" t="s">
        <v>277</v>
      </c>
      <c r="J139" s="77" t="s">
        <v>22</v>
      </c>
      <c r="K139" s="78">
        <v>4444</v>
      </c>
      <c r="L139" s="87">
        <f t="shared" ref="L139:L141" si="126">M139/K139</f>
        <v>22.000000000000004</v>
      </c>
      <c r="M139" s="130">
        <v>97768.000000000015</v>
      </c>
      <c r="N139" s="79">
        <f t="shared" si="96"/>
        <v>1.9632733160760453E-3</v>
      </c>
      <c r="O139" s="87">
        <f>M139/OBRA!$D$12</f>
        <v>7.3646602070463247</v>
      </c>
      <c r="P139" s="81" t="s">
        <v>384</v>
      </c>
    </row>
    <row r="140" spans="1:16" s="1" customFormat="1" ht="19.899999999999999" customHeight="1" outlineLevel="3" x14ac:dyDescent="0.55000000000000004">
      <c r="A140" s="98">
        <f ca="1">IF(G140="UNIDADE CONSTRUTIVA",OFFSET(A140,-1,0)+1,LARGE(A$4:A138,1))</f>
        <v>2</v>
      </c>
      <c r="B140" s="98">
        <f t="shared" ref="B140" ca="1" si="127">IF(G140="UNIDADE CONSTRUTIVA",0,IF(G140="CÉLULA CONSTRUTIVA",OFFSET(B140,-1,0)+1,OFFSET(B140,-1,0)))</f>
        <v>4</v>
      </c>
      <c r="C140" s="98">
        <f t="shared" ref="C140" ca="1" si="128">IF(G140="CÉLULA CONSTRUTIVA",0,IF(G140="ETAPA",OFFSET(C140,-1,0)+1,OFFSET(C140,-1,0)))</f>
        <v>1</v>
      </c>
      <c r="D140" s="99">
        <f t="shared" ref="D140" ca="1" si="129">IF(G140="ETAPA",0,IF(G140="SUBETAPA",OFFSET(D140,-1,0)+1,OFFSET(D140,-1,0)))</f>
        <v>4</v>
      </c>
      <c r="E140" s="99">
        <f t="shared" ref="E140" ca="1" si="130">IF(G140="Subetapa",0,IF(G140="serviço",OFFSET(E140,-1,0)+1,OFFSET(E140,-1,0)))</f>
        <v>2</v>
      </c>
      <c r="G140" s="75" t="s">
        <v>124</v>
      </c>
      <c r="H140" s="76" t="str">
        <f t="shared" ref="H140" ca="1" si="131">IF(G140="Unidade Construtiva",CONCATENATE("UC ",TEXT(A140,"00")),IF(G140="Célula Construtiva",TEXT(B140,"00"),IF(G140="Etapa",CONCATENATE(TEXT(B140,"00"),".",TEXT(C140,"000")),IF(G140="Subetapa",CONCATENATE(TEXT(B140,"00"),".",TEXT(C140,"000"),".",TEXT(D140,"000")),IF(G140="Serviço",CONCATENATE(TEXT(B140,"00"),".",TEXT(C140,"000"),".",TEXT(D140,"000"),".",TEXT(E140,"000")),"")))))</f>
        <v>04.001.004.002</v>
      </c>
      <c r="I140" s="92" t="s">
        <v>278</v>
      </c>
      <c r="J140" s="77" t="s">
        <v>89</v>
      </c>
      <c r="K140" s="78">
        <v>15</v>
      </c>
      <c r="L140" s="87">
        <f t="shared" si="126"/>
        <v>28170.450000000004</v>
      </c>
      <c r="M140" s="130">
        <v>422556.75000000006</v>
      </c>
      <c r="N140" s="79">
        <f t="shared" si="96"/>
        <v>8.4853366316465142E-3</v>
      </c>
      <c r="O140" s="87">
        <f>M140/OBRA!$D$12</f>
        <v>31.830321597494294</v>
      </c>
      <c r="P140" s="81" t="s">
        <v>282</v>
      </c>
    </row>
    <row r="141" spans="1:16" s="1" customFormat="1" ht="19.899999999999999" customHeight="1" outlineLevel="3" x14ac:dyDescent="0.55000000000000004">
      <c r="A141" s="98">
        <f ca="1">IF(G141="UNIDADE CONSTRUTIVA",OFFSET(A141,-1,0)+1,LARGE(A$4:A139,1))</f>
        <v>2</v>
      </c>
      <c r="B141" s="98">
        <f t="shared" ca="1" si="84"/>
        <v>4</v>
      </c>
      <c r="C141" s="98">
        <f t="shared" ca="1" si="85"/>
        <v>1</v>
      </c>
      <c r="D141" s="99">
        <f t="shared" ca="1" si="86"/>
        <v>4</v>
      </c>
      <c r="E141" s="99">
        <f t="shared" ca="1" si="87"/>
        <v>3</v>
      </c>
      <c r="G141" s="75" t="s">
        <v>124</v>
      </c>
      <c r="H141" s="76" t="str">
        <f t="shared" ca="1" si="88"/>
        <v>04.001.004.003</v>
      </c>
      <c r="I141" s="92" t="s">
        <v>280</v>
      </c>
      <c r="J141" s="77" t="s">
        <v>6</v>
      </c>
      <c r="K141" s="78">
        <v>1</v>
      </c>
      <c r="L141" s="87">
        <f t="shared" si="126"/>
        <v>60632.000000000007</v>
      </c>
      <c r="M141" s="130">
        <v>60632.000000000007</v>
      </c>
      <c r="N141" s="79">
        <f t="shared" si="96"/>
        <v>1.2175475380525609E-3</v>
      </c>
      <c r="O141" s="87">
        <f>M141/OBRA!$D$12</f>
        <v>4.5672825226416904</v>
      </c>
      <c r="P141" s="81"/>
    </row>
    <row r="142" spans="1:16" s="1" customFormat="1" ht="19.899999999999999" customHeight="1" outlineLevel="2" x14ac:dyDescent="0.55000000000000004">
      <c r="A142" s="98">
        <f ca="1">IF(G142="UNIDADE CONSTRUTIVA",OFFSET(A142,-1,0)+1,LARGE(A$4:A141,1))</f>
        <v>2</v>
      </c>
      <c r="B142" s="98">
        <f t="shared" ca="1" si="84"/>
        <v>4</v>
      </c>
      <c r="C142" s="98">
        <f t="shared" ca="1" si="85"/>
        <v>1</v>
      </c>
      <c r="D142" s="99">
        <f t="shared" ca="1" si="86"/>
        <v>5</v>
      </c>
      <c r="E142" s="99">
        <f t="shared" ca="1" si="87"/>
        <v>0</v>
      </c>
      <c r="G142" s="75" t="s">
        <v>120</v>
      </c>
      <c r="H142" s="76" t="str">
        <f t="shared" ca="1" si="88"/>
        <v>04.001.005</v>
      </c>
      <c r="I142" s="92" t="s">
        <v>19</v>
      </c>
      <c r="J142" s="77"/>
      <c r="K142" s="78"/>
      <c r="L142" s="87"/>
      <c r="M142" s="130">
        <f>M143</f>
        <v>3471013.9200000004</v>
      </c>
      <c r="N142" s="79">
        <f t="shared" si="96"/>
        <v>6.9701221349158335E-2</v>
      </c>
      <c r="O142" s="87">
        <f>M142/OBRA!$D$12</f>
        <v>261.46426330422912</v>
      </c>
      <c r="P142" s="81"/>
    </row>
    <row r="143" spans="1:16" s="1" customFormat="1" ht="19.899999999999999" customHeight="1" outlineLevel="3" x14ac:dyDescent="0.55000000000000004">
      <c r="A143" s="98">
        <f ca="1">IF(G143="UNIDADE CONSTRUTIVA",OFFSET(A143,-1,0)+1,LARGE(A$4:A142,1))</f>
        <v>2</v>
      </c>
      <c r="B143" s="98">
        <f t="shared" ca="1" si="84"/>
        <v>4</v>
      </c>
      <c r="C143" s="98">
        <f t="shared" ca="1" si="85"/>
        <v>1</v>
      </c>
      <c r="D143" s="99">
        <f t="shared" ca="1" si="86"/>
        <v>5</v>
      </c>
      <c r="E143" s="99">
        <f t="shared" ca="1" si="87"/>
        <v>1</v>
      </c>
      <c r="G143" s="75" t="s">
        <v>124</v>
      </c>
      <c r="H143" s="76" t="str">
        <f t="shared" ca="1" si="88"/>
        <v>04.001.005.001</v>
      </c>
      <c r="I143" s="92" t="s">
        <v>130</v>
      </c>
      <c r="J143" s="77" t="s">
        <v>70</v>
      </c>
      <c r="K143" s="78">
        <v>13147.78</v>
      </c>
      <c r="L143" s="87">
        <f t="shared" ref="L143" si="132">M143/K143</f>
        <v>264</v>
      </c>
      <c r="M143" s="133">
        <v>3471013.9200000004</v>
      </c>
      <c r="N143" s="79">
        <f t="shared" si="96"/>
        <v>6.9701221349158335E-2</v>
      </c>
      <c r="O143" s="87">
        <f>M143/OBRA!$D$12</f>
        <v>261.46426330422912</v>
      </c>
      <c r="P143" s="81"/>
    </row>
    <row r="144" spans="1:16" s="1" customFormat="1" ht="19.899999999999999" customHeight="1" outlineLevel="1" x14ac:dyDescent="0.55000000000000004">
      <c r="A144" s="98">
        <f ca="1">IF(G144="UNIDADE CONSTRUTIVA",OFFSET(A144,-1,0)+1,LARGE(A$4:A143,1))</f>
        <v>2</v>
      </c>
      <c r="B144" s="98">
        <f t="shared" ca="1" si="84"/>
        <v>5</v>
      </c>
      <c r="C144" s="98">
        <f t="shared" ca="1" si="85"/>
        <v>0</v>
      </c>
      <c r="D144" s="99">
        <f t="shared" ca="1" si="86"/>
        <v>5</v>
      </c>
      <c r="E144" s="99">
        <f t="shared" ca="1" si="87"/>
        <v>1</v>
      </c>
      <c r="G144" s="75" t="s">
        <v>118</v>
      </c>
      <c r="H144" s="76" t="str">
        <f t="shared" ca="1" si="88"/>
        <v>05</v>
      </c>
      <c r="I144" s="92" t="s">
        <v>20</v>
      </c>
      <c r="J144" s="77"/>
      <c r="K144" s="78"/>
      <c r="L144" s="87"/>
      <c r="M144" s="130">
        <f>M145</f>
        <v>2011985.5188400005</v>
      </c>
      <c r="N144" s="79">
        <f t="shared" si="96"/>
        <v>4.0402559952847451E-2</v>
      </c>
      <c r="O144" s="87">
        <f>M144/OBRA!$D$12</f>
        <v>151.55868676616484</v>
      </c>
      <c r="P144" s="81"/>
    </row>
    <row r="145" spans="1:16" s="1" customFormat="1" ht="19.899999999999999" customHeight="1" outlineLevel="2" x14ac:dyDescent="0.55000000000000004">
      <c r="A145" s="98">
        <f ca="1">IF(G145="UNIDADE CONSTRUTIVA",OFFSET(A145,-1,0)+1,LARGE(A$4:A144,1))</f>
        <v>2</v>
      </c>
      <c r="B145" s="98">
        <f t="shared" ca="1" si="84"/>
        <v>5</v>
      </c>
      <c r="C145" s="98">
        <f t="shared" ca="1" si="85"/>
        <v>1</v>
      </c>
      <c r="D145" s="99">
        <f t="shared" ca="1" si="86"/>
        <v>0</v>
      </c>
      <c r="E145" s="99">
        <f t="shared" ca="1" si="87"/>
        <v>1</v>
      </c>
      <c r="G145" s="75" t="s">
        <v>119</v>
      </c>
      <c r="H145" s="76" t="str">
        <f t="shared" ca="1" si="88"/>
        <v>05.001</v>
      </c>
      <c r="I145" s="92" t="s">
        <v>20</v>
      </c>
      <c r="J145" s="77"/>
      <c r="K145" s="78"/>
      <c r="L145" s="87"/>
      <c r="M145" s="130">
        <f>M146+M150+M152</f>
        <v>2011985.5188400005</v>
      </c>
      <c r="N145" s="79">
        <f t="shared" si="96"/>
        <v>4.0402559952847451E-2</v>
      </c>
      <c r="O145" s="87">
        <f>M145/OBRA!$D$12</f>
        <v>151.55868676616484</v>
      </c>
      <c r="P145" s="81"/>
    </row>
    <row r="146" spans="1:16" s="1" customFormat="1" ht="19.899999999999999" customHeight="1" outlineLevel="2" x14ac:dyDescent="0.55000000000000004">
      <c r="A146" s="98">
        <f ca="1">IF(G146="UNIDADE CONSTRUTIVA",OFFSET(A146,-1,0)+1,LARGE(A$4:A145,1))</f>
        <v>2</v>
      </c>
      <c r="B146" s="98">
        <f t="shared" ca="1" si="84"/>
        <v>5</v>
      </c>
      <c r="C146" s="98">
        <f t="shared" ca="1" si="85"/>
        <v>1</v>
      </c>
      <c r="D146" s="99">
        <f t="shared" ca="1" si="86"/>
        <v>1</v>
      </c>
      <c r="E146" s="99">
        <f t="shared" ca="1" si="87"/>
        <v>0</v>
      </c>
      <c r="G146" s="75" t="s">
        <v>120</v>
      </c>
      <c r="H146" s="76" t="str">
        <f t="shared" ca="1" si="88"/>
        <v>05.001.001</v>
      </c>
      <c r="I146" s="92" t="s">
        <v>142</v>
      </c>
      <c r="J146" s="77"/>
      <c r="K146" s="78"/>
      <c r="L146" s="87"/>
      <c r="M146" s="130">
        <f>SUM(M147:M149)</f>
        <v>1138230.8238400002</v>
      </c>
      <c r="N146" s="79">
        <f t="shared" si="96"/>
        <v>2.2856744578802119E-2</v>
      </c>
      <c r="O146" s="87">
        <f>M146/OBRA!$D$12</f>
        <v>85.740561889043491</v>
      </c>
      <c r="P146" s="81"/>
    </row>
    <row r="147" spans="1:16" s="1" customFormat="1" ht="19.899999999999999" customHeight="1" outlineLevel="3" x14ac:dyDescent="0.55000000000000004">
      <c r="A147" s="98">
        <f ca="1">IF(G147="UNIDADE CONSTRUTIVA",OFFSET(A147,-1,0)+1,LARGE(A$4:A146,1))</f>
        <v>2</v>
      </c>
      <c r="B147" s="98">
        <f t="shared" ca="1" si="84"/>
        <v>5</v>
      </c>
      <c r="C147" s="98">
        <f t="shared" ca="1" si="85"/>
        <v>1</v>
      </c>
      <c r="D147" s="99">
        <f t="shared" ca="1" si="86"/>
        <v>1</v>
      </c>
      <c r="E147" s="99">
        <f t="shared" ca="1" si="87"/>
        <v>1</v>
      </c>
      <c r="G147" s="75" t="s">
        <v>124</v>
      </c>
      <c r="H147" s="76" t="str">
        <f t="shared" ca="1" si="88"/>
        <v>05.001.001.001</v>
      </c>
      <c r="I147" s="92" t="s">
        <v>196</v>
      </c>
      <c r="J147" s="77" t="s">
        <v>70</v>
      </c>
      <c r="K147" s="78">
        <v>19140.300000000003</v>
      </c>
      <c r="L147" s="87">
        <f t="shared" ref="L147:L149" si="133">M147/K147</f>
        <v>49.5</v>
      </c>
      <c r="M147" s="130">
        <v>947444.85000000021</v>
      </c>
      <c r="N147" s="79">
        <f t="shared" si="96"/>
        <v>1.9025582935711802E-2</v>
      </c>
      <c r="O147" s="87">
        <f>M147/OBRA!$D$12</f>
        <v>71.36905107157736</v>
      </c>
      <c r="P147" s="81"/>
    </row>
    <row r="148" spans="1:16" s="1" customFormat="1" ht="19.899999999999999" customHeight="1" outlineLevel="3" x14ac:dyDescent="0.55000000000000004">
      <c r="A148" s="98">
        <f ca="1">IF(G148="UNIDADE CONSTRUTIVA",OFFSET(A148,-1,0)+1,LARGE(A$4:A147,1))</f>
        <v>2</v>
      </c>
      <c r="B148" s="98">
        <f t="shared" ref="B148" ca="1" si="134">IF(G148="UNIDADE CONSTRUTIVA",0,IF(G148="CÉLULA CONSTRUTIVA",OFFSET(B148,-1,0)+1,OFFSET(B148,-1,0)))</f>
        <v>5</v>
      </c>
      <c r="C148" s="98">
        <f t="shared" ref="C148" ca="1" si="135">IF(G148="CÉLULA CONSTRUTIVA",0,IF(G148="ETAPA",OFFSET(C148,-1,0)+1,OFFSET(C148,-1,0)))</f>
        <v>1</v>
      </c>
      <c r="D148" s="99">
        <f t="shared" ref="D148" ca="1" si="136">IF(G148="ETAPA",0,IF(G148="SUBETAPA",OFFSET(D148,-1,0)+1,OFFSET(D148,-1,0)))</f>
        <v>1</v>
      </c>
      <c r="E148" s="99">
        <f t="shared" ref="E148" ca="1" si="137">IF(G148="Subetapa",0,IF(G148="serviço",OFFSET(E148,-1,0)+1,OFFSET(E148,-1,0)))</f>
        <v>2</v>
      </c>
      <c r="G148" s="75" t="s">
        <v>124</v>
      </c>
      <c r="H148" s="76" t="str">
        <f t="shared" ref="H148" ca="1" si="138">IF(G148="Unidade Construtiva",CONCATENATE("UC ",TEXT(A148,"00")),IF(G148="Célula Construtiva",TEXT(B148,"00"),IF(G148="Etapa",CONCATENATE(TEXT(B148,"00"),".",TEXT(C148,"000")),IF(G148="Subetapa",CONCATENATE(TEXT(B148,"00"),".",TEXT(C148,"000"),".",TEXT(D148,"000")),IF(G148="Serviço",CONCATENATE(TEXT(B148,"00"),".",TEXT(C148,"000"),".",TEXT(D148,"000"),".",TEXT(E148,"000")),"")))))</f>
        <v>05.001.001.002</v>
      </c>
      <c r="I148" s="92" t="s">
        <v>385</v>
      </c>
      <c r="J148" s="77" t="s">
        <v>70</v>
      </c>
      <c r="K148" s="78">
        <v>4791.6400000000003</v>
      </c>
      <c r="L148" s="87">
        <f t="shared" ref="L148" si="139">M148/K148</f>
        <v>29.106000000000002</v>
      </c>
      <c r="M148" s="130">
        <v>139465.47384000002</v>
      </c>
      <c r="N148" s="79">
        <f t="shared" ref="N148" si="140">M148/$M$298</f>
        <v>2.8005977753863607E-3</v>
      </c>
      <c r="O148" s="87">
        <f>M148/OBRA!$D$12</f>
        <v>10.50564423376062</v>
      </c>
      <c r="P148" s="81" t="s">
        <v>386</v>
      </c>
    </row>
    <row r="149" spans="1:16" s="1" customFormat="1" ht="19.899999999999999" customHeight="1" outlineLevel="3" x14ac:dyDescent="0.55000000000000004">
      <c r="A149" s="98">
        <f ca="1">IF(G149="UNIDADE CONSTRUTIVA",OFFSET(A149,-1,0)+1,LARGE(A$4:A147,1))</f>
        <v>2</v>
      </c>
      <c r="B149" s="98">
        <f t="shared" ca="1" si="84"/>
        <v>5</v>
      </c>
      <c r="C149" s="98">
        <f t="shared" ca="1" si="85"/>
        <v>1</v>
      </c>
      <c r="D149" s="99">
        <f t="shared" ca="1" si="86"/>
        <v>1</v>
      </c>
      <c r="E149" s="99">
        <f t="shared" ca="1" si="87"/>
        <v>3</v>
      </c>
      <c r="G149" s="75" t="s">
        <v>124</v>
      </c>
      <c r="H149" s="76" t="str">
        <f t="shared" ca="1" si="88"/>
        <v>05.001.001.003</v>
      </c>
      <c r="I149" s="92" t="s">
        <v>134</v>
      </c>
      <c r="J149" s="77" t="s">
        <v>70</v>
      </c>
      <c r="K149" s="78">
        <v>150.5</v>
      </c>
      <c r="L149" s="87">
        <f t="shared" si="133"/>
        <v>341.00000000000006</v>
      </c>
      <c r="M149" s="130">
        <v>51320.500000000007</v>
      </c>
      <c r="N149" s="79">
        <f t="shared" si="96"/>
        <v>1.0305638677039592E-3</v>
      </c>
      <c r="O149" s="87">
        <f>M149/OBRA!$D$12</f>
        <v>3.8658665837055164</v>
      </c>
      <c r="P149" s="81" t="s">
        <v>135</v>
      </c>
    </row>
    <row r="150" spans="1:16" s="1" customFormat="1" ht="19.899999999999999" customHeight="1" outlineLevel="2" x14ac:dyDescent="0.55000000000000004">
      <c r="A150" s="98">
        <f ca="1">IF(G150="UNIDADE CONSTRUTIVA",OFFSET(A150,-1,0)+1,LARGE(A$4:A149,1))</f>
        <v>2</v>
      </c>
      <c r="B150" s="98">
        <f t="shared" ca="1" si="84"/>
        <v>5</v>
      </c>
      <c r="C150" s="98">
        <f t="shared" ca="1" si="85"/>
        <v>1</v>
      </c>
      <c r="D150" s="99">
        <f t="shared" ca="1" si="86"/>
        <v>2</v>
      </c>
      <c r="E150" s="99">
        <f t="shared" ca="1" si="87"/>
        <v>0</v>
      </c>
      <c r="G150" s="75" t="s">
        <v>120</v>
      </c>
      <c r="H150" s="76" t="str">
        <f t="shared" ca="1" si="88"/>
        <v>05.001.002</v>
      </c>
      <c r="I150" s="92" t="s">
        <v>21</v>
      </c>
      <c r="J150" s="77"/>
      <c r="K150" s="78"/>
      <c r="L150" s="87"/>
      <c r="M150" s="130">
        <f>SUM(M151:M151)</f>
        <v>136853.14500000002</v>
      </c>
      <c r="N150" s="79">
        <f t="shared" si="96"/>
        <v>2.7481397573805933E-3</v>
      </c>
      <c r="O150" s="87">
        <f>M150/OBRA!$D$12</f>
        <v>10.308862932561173</v>
      </c>
      <c r="P150" s="81"/>
    </row>
    <row r="151" spans="1:16" s="1" customFormat="1" ht="19.899999999999999" customHeight="1" outlineLevel="3" x14ac:dyDescent="0.55000000000000004">
      <c r="A151" s="98">
        <f ca="1">IF(G151="UNIDADE CONSTRUTIVA",OFFSET(A151,-1,0)+1,LARGE(A$4:A150,1))</f>
        <v>2</v>
      </c>
      <c r="B151" s="98">
        <f t="shared" ca="1" si="84"/>
        <v>5</v>
      </c>
      <c r="C151" s="98">
        <f t="shared" ca="1" si="85"/>
        <v>1</v>
      </c>
      <c r="D151" s="99">
        <f t="shared" ca="1" si="86"/>
        <v>2</v>
      </c>
      <c r="E151" s="99">
        <f t="shared" ca="1" si="87"/>
        <v>1</v>
      </c>
      <c r="G151" s="75" t="s">
        <v>124</v>
      </c>
      <c r="H151" s="76" t="str">
        <f t="shared" ca="1" si="88"/>
        <v>05.001.002.001</v>
      </c>
      <c r="I151" s="92" t="s">
        <v>192</v>
      </c>
      <c r="J151" s="77" t="s">
        <v>70</v>
      </c>
      <c r="K151" s="78">
        <v>19140.300000000003</v>
      </c>
      <c r="L151" s="87">
        <f t="shared" ref="L151" si="141">M151/K151</f>
        <v>7.1499999999999995</v>
      </c>
      <c r="M151" s="130">
        <v>136853.14500000002</v>
      </c>
      <c r="N151" s="79">
        <f t="shared" si="96"/>
        <v>2.7481397573805933E-3</v>
      </c>
      <c r="O151" s="87">
        <f>M151/OBRA!$D$12</f>
        <v>10.308862932561173</v>
      </c>
      <c r="P151" s="81"/>
    </row>
    <row r="152" spans="1:16" s="1" customFormat="1" ht="19.899999999999999" customHeight="1" outlineLevel="2" x14ac:dyDescent="0.55000000000000004">
      <c r="A152" s="98">
        <f ca="1">IF(G152="UNIDADE CONSTRUTIVA",OFFSET(A152,-1,0)+1,LARGE(A$4:A151,1))</f>
        <v>2</v>
      </c>
      <c r="B152" s="98">
        <f t="shared" ref="B152:B196" ca="1" si="142">IF(G152="UNIDADE CONSTRUTIVA",0,IF(G152="CÉLULA CONSTRUTIVA",OFFSET(B152,-1,0)+1,OFFSET(B152,-1,0)))</f>
        <v>5</v>
      </c>
      <c r="C152" s="98">
        <f t="shared" ref="C152:C196" ca="1" si="143">IF(G152="CÉLULA CONSTRUTIVA",0,IF(G152="ETAPA",OFFSET(C152,-1,0)+1,OFFSET(C152,-1,0)))</f>
        <v>1</v>
      </c>
      <c r="D152" s="99">
        <f t="shared" ref="D152:D196" ca="1" si="144">IF(G152="ETAPA",0,IF(G152="SUBETAPA",OFFSET(D152,-1,0)+1,OFFSET(D152,-1,0)))</f>
        <v>3</v>
      </c>
      <c r="E152" s="99">
        <f t="shared" ref="E152:E196" ca="1" si="145">IF(G152="Subetapa",0,IF(G152="serviço",OFFSET(E152,-1,0)+1,OFFSET(E152,-1,0)))</f>
        <v>0</v>
      </c>
      <c r="G152" s="75" t="s">
        <v>120</v>
      </c>
      <c r="H152" s="76" t="str">
        <f t="shared" ca="1" si="88"/>
        <v>05.001.003</v>
      </c>
      <c r="I152" s="92" t="s">
        <v>23</v>
      </c>
      <c r="J152" s="77"/>
      <c r="K152" s="78"/>
      <c r="L152" s="87"/>
      <c r="M152" s="130">
        <f>M153</f>
        <v>736901.55000000016</v>
      </c>
      <c r="N152" s="79">
        <f t="shared" si="96"/>
        <v>1.4797675616664735E-2</v>
      </c>
      <c r="O152" s="87">
        <f>M152/OBRA!$D$12</f>
        <v>55.509261944560166</v>
      </c>
      <c r="P152" s="81"/>
    </row>
    <row r="153" spans="1:16" s="1" customFormat="1" outlineLevel="3" x14ac:dyDescent="0.55000000000000004">
      <c r="A153" s="98">
        <f ca="1">IF(G153="UNIDADE CONSTRUTIVA",OFFSET(A153,-1,0)+1,LARGE(A$4:A152,1))</f>
        <v>2</v>
      </c>
      <c r="B153" s="98">
        <f t="shared" ca="1" si="142"/>
        <v>5</v>
      </c>
      <c r="C153" s="98">
        <f t="shared" ca="1" si="143"/>
        <v>1</v>
      </c>
      <c r="D153" s="99">
        <f t="shared" ca="1" si="144"/>
        <v>3</v>
      </c>
      <c r="E153" s="99">
        <f t="shared" ca="1" si="145"/>
        <v>1</v>
      </c>
      <c r="G153" s="75" t="s">
        <v>124</v>
      </c>
      <c r="H153" s="76" t="str">
        <f t="shared" ca="1" si="88"/>
        <v>05.001.003.001</v>
      </c>
      <c r="I153" s="92" t="s">
        <v>143</v>
      </c>
      <c r="J153" s="77" t="s">
        <v>70</v>
      </c>
      <c r="K153" s="78">
        <v>19140.300000000003</v>
      </c>
      <c r="L153" s="87">
        <f t="shared" ref="L153" si="146">M153/K153</f>
        <v>38.5</v>
      </c>
      <c r="M153" s="133">
        <v>736901.55000000016</v>
      </c>
      <c r="N153" s="79">
        <f t="shared" si="96"/>
        <v>1.4797675616664735E-2</v>
      </c>
      <c r="O153" s="87">
        <f>M153/OBRA!$D$12</f>
        <v>55.509261944560166</v>
      </c>
      <c r="P153" s="81"/>
    </row>
    <row r="154" spans="1:16" s="1" customFormat="1" ht="19.899999999999999" customHeight="1" outlineLevel="1" x14ac:dyDescent="0.55000000000000004">
      <c r="A154" s="98">
        <f ca="1">IF(G154="UNIDADE CONSTRUTIVA",OFFSET(A154,-1,0)+1,LARGE(A$4:A153,1))</f>
        <v>2</v>
      </c>
      <c r="B154" s="98">
        <f t="shared" ca="1" si="142"/>
        <v>6</v>
      </c>
      <c r="C154" s="98">
        <f t="shared" ca="1" si="143"/>
        <v>0</v>
      </c>
      <c r="D154" s="99">
        <f t="shared" ca="1" si="144"/>
        <v>3</v>
      </c>
      <c r="E154" s="99">
        <f t="shared" ca="1" si="145"/>
        <v>1</v>
      </c>
      <c r="G154" s="75" t="s">
        <v>118</v>
      </c>
      <c r="H154" s="76" t="str">
        <f t="shared" ref="H154:H176" ca="1" si="147">IF(G154="Unidade Construtiva",CONCATENATE("UC ",TEXT(A154,"00")),IF(G154="Célula Construtiva",TEXT(B154,"00"),IF(G154="Etapa",CONCATENATE(TEXT(B154,"00"),".",TEXT(C154,"000")),IF(G154="Subetapa",CONCATENATE(TEXT(B154,"00"),".",TEXT(C154,"000"),".",TEXT(D154,"000")),IF(G154="Serviço",CONCATENATE(TEXT(B154,"00"),".",TEXT(C154,"000"),".",TEXT(D154,"000"),".",TEXT(E154,"000")),"")))))</f>
        <v>06</v>
      </c>
      <c r="I154" s="92" t="s">
        <v>26</v>
      </c>
      <c r="J154" s="77"/>
      <c r="K154" s="78"/>
      <c r="L154" s="87"/>
      <c r="M154" s="130">
        <f>M155</f>
        <v>935210.30504000024</v>
      </c>
      <c r="N154" s="79">
        <f t="shared" si="96"/>
        <v>1.8779901775676813E-2</v>
      </c>
      <c r="O154" s="87">
        <f>M154/OBRA!$D$12</f>
        <v>70.447448232016043</v>
      </c>
      <c r="P154" s="81"/>
    </row>
    <row r="155" spans="1:16" s="1" customFormat="1" ht="19.899999999999999" customHeight="1" outlineLevel="2" x14ac:dyDescent="0.55000000000000004">
      <c r="A155" s="98">
        <f ca="1">IF(G155="UNIDADE CONSTRUTIVA",OFFSET(A155,-1,0)+1,LARGE(A$4:A154,1))</f>
        <v>2</v>
      </c>
      <c r="B155" s="98">
        <f t="shared" ca="1" si="142"/>
        <v>6</v>
      </c>
      <c r="C155" s="98">
        <f t="shared" ca="1" si="143"/>
        <v>1</v>
      </c>
      <c r="D155" s="99">
        <f t="shared" ca="1" si="144"/>
        <v>0</v>
      </c>
      <c r="E155" s="99">
        <f t="shared" ca="1" si="145"/>
        <v>1</v>
      </c>
      <c r="G155" s="75" t="s">
        <v>119</v>
      </c>
      <c r="H155" s="76" t="str">
        <f t="shared" ca="1" si="147"/>
        <v>06.001</v>
      </c>
      <c r="I155" s="92" t="s">
        <v>26</v>
      </c>
      <c r="J155" s="77"/>
      <c r="K155" s="78"/>
      <c r="L155" s="87"/>
      <c r="M155" s="130">
        <f>M156+M159</f>
        <v>935210.30504000024</v>
      </c>
      <c r="N155" s="79">
        <f t="shared" si="96"/>
        <v>1.8779901775676813E-2</v>
      </c>
      <c r="O155" s="87">
        <f>M155/OBRA!$D$12</f>
        <v>70.447448232016043</v>
      </c>
      <c r="P155" s="81"/>
    </row>
    <row r="156" spans="1:16" s="1" customFormat="1" ht="19.899999999999999" customHeight="1" outlineLevel="2" x14ac:dyDescent="0.55000000000000004">
      <c r="A156" s="98">
        <f ca="1">IF(G156="UNIDADE CONSTRUTIVA",OFFSET(A156,-1,0)+1,LARGE(A$4:A155,1))</f>
        <v>2</v>
      </c>
      <c r="B156" s="98">
        <f t="shared" ca="1" si="142"/>
        <v>6</v>
      </c>
      <c r="C156" s="98">
        <f t="shared" ca="1" si="143"/>
        <v>1</v>
      </c>
      <c r="D156" s="99">
        <f t="shared" ca="1" si="144"/>
        <v>1</v>
      </c>
      <c r="E156" s="99">
        <f t="shared" ca="1" si="145"/>
        <v>0</v>
      </c>
      <c r="G156" s="75" t="s">
        <v>120</v>
      </c>
      <c r="H156" s="76" t="str">
        <f t="shared" ca="1" si="147"/>
        <v>06.001.001</v>
      </c>
      <c r="I156" s="92" t="s">
        <v>27</v>
      </c>
      <c r="J156" s="77"/>
      <c r="K156" s="78"/>
      <c r="L156" s="87"/>
      <c r="M156" s="130">
        <f>SUM(M157:M158)</f>
        <v>299278.1748000001</v>
      </c>
      <c r="N156" s="79">
        <f t="shared" si="96"/>
        <v>6.0097869923572377E-3</v>
      </c>
      <c r="O156" s="87">
        <f>M156/OBRA!$D$12</f>
        <v>22.544002790146209</v>
      </c>
      <c r="P156" s="81"/>
    </row>
    <row r="157" spans="1:16" s="1" customFormat="1" ht="19.899999999999999" customHeight="1" outlineLevel="3" x14ac:dyDescent="0.55000000000000004">
      <c r="A157" s="98">
        <f ca="1">IF(G157="UNIDADE CONSTRUTIVA",OFFSET(A157,-1,0)+1,LARGE(A$4:A156,1))</f>
        <v>2</v>
      </c>
      <c r="B157" s="98">
        <f t="shared" ca="1" si="142"/>
        <v>6</v>
      </c>
      <c r="C157" s="98">
        <f t="shared" ca="1" si="143"/>
        <v>1</v>
      </c>
      <c r="D157" s="99">
        <f t="shared" ca="1" si="144"/>
        <v>1</v>
      </c>
      <c r="E157" s="99">
        <f t="shared" ca="1" si="145"/>
        <v>1</v>
      </c>
      <c r="G157" s="75" t="s">
        <v>124</v>
      </c>
      <c r="H157" s="76" t="str">
        <f t="shared" ca="1" si="147"/>
        <v>06.001.001.001</v>
      </c>
      <c r="I157" s="92" t="s">
        <v>28</v>
      </c>
      <c r="J157" s="77" t="s">
        <v>70</v>
      </c>
      <c r="K157" s="78">
        <v>6059.7330000000002</v>
      </c>
      <c r="L157" s="87">
        <f t="shared" ref="L157:L158" si="148">M157/K157</f>
        <v>27.500000000000004</v>
      </c>
      <c r="M157" s="130">
        <v>166642.65750000003</v>
      </c>
      <c r="N157" s="79">
        <f t="shared" si="96"/>
        <v>3.3463411626477955E-3</v>
      </c>
      <c r="O157" s="87">
        <f>M157/OBRA!$D$12</f>
        <v>12.552844984930651</v>
      </c>
      <c r="P157" s="81" t="s">
        <v>298</v>
      </c>
    </row>
    <row r="158" spans="1:16" s="1" customFormat="1" ht="19.899999999999999" customHeight="1" outlineLevel="3" x14ac:dyDescent="0.55000000000000004">
      <c r="A158" s="98">
        <f ca="1">IF(G158="UNIDADE CONSTRUTIVA",OFFSET(A158,-1,0)+1,LARGE(A$4:A157,1))</f>
        <v>2</v>
      </c>
      <c r="B158" s="98">
        <f t="shared" ca="1" si="142"/>
        <v>6</v>
      </c>
      <c r="C158" s="98">
        <f t="shared" ca="1" si="143"/>
        <v>1</v>
      </c>
      <c r="D158" s="99">
        <f t="shared" ca="1" si="144"/>
        <v>1</v>
      </c>
      <c r="E158" s="99">
        <f t="shared" ca="1" si="145"/>
        <v>2</v>
      </c>
      <c r="G158" s="75" t="s">
        <v>124</v>
      </c>
      <c r="H158" s="76" t="str">
        <f t="shared" ca="1" si="147"/>
        <v>06.001.001.002</v>
      </c>
      <c r="I158" s="92" t="s">
        <v>29</v>
      </c>
      <c r="J158" s="77" t="s">
        <v>70</v>
      </c>
      <c r="K158" s="78">
        <v>2115.3990000000008</v>
      </c>
      <c r="L158" s="87">
        <f t="shared" si="148"/>
        <v>62.70000000000001</v>
      </c>
      <c r="M158" s="130">
        <v>132635.51730000007</v>
      </c>
      <c r="N158" s="79">
        <f t="shared" si="96"/>
        <v>2.6634458297094422E-3</v>
      </c>
      <c r="O158" s="87">
        <f>M158/OBRA!$D$12</f>
        <v>9.9911578052155594</v>
      </c>
      <c r="P158" s="81" t="s">
        <v>300</v>
      </c>
    </row>
    <row r="159" spans="1:16" s="1" customFormat="1" ht="19.899999999999999" customHeight="1" outlineLevel="2" x14ac:dyDescent="0.55000000000000004">
      <c r="A159" s="98">
        <f ca="1">IF(G159="UNIDADE CONSTRUTIVA",OFFSET(A159,-1,0)+1,LARGE(A$4:A158,1))</f>
        <v>2</v>
      </c>
      <c r="B159" s="98">
        <f t="shared" ca="1" si="142"/>
        <v>6</v>
      </c>
      <c r="C159" s="98">
        <f t="shared" ca="1" si="143"/>
        <v>1</v>
      </c>
      <c r="D159" s="99">
        <f t="shared" ca="1" si="144"/>
        <v>2</v>
      </c>
      <c r="E159" s="99">
        <f t="shared" ca="1" si="145"/>
        <v>0</v>
      </c>
      <c r="G159" s="75" t="s">
        <v>120</v>
      </c>
      <c r="H159" s="76" t="str">
        <f t="shared" ca="1" si="147"/>
        <v>06.001.002</v>
      </c>
      <c r="I159" s="92" t="s">
        <v>296</v>
      </c>
      <c r="J159" s="77"/>
      <c r="K159" s="78"/>
      <c r="L159" s="87"/>
      <c r="M159" s="130">
        <f>SUM(M160:M166)</f>
        <v>635932.1302400002</v>
      </c>
      <c r="N159" s="79">
        <f t="shared" si="96"/>
        <v>1.2770114783319578E-2</v>
      </c>
      <c r="O159" s="87">
        <f>M159/OBRA!$D$12</f>
        <v>47.903445441869835</v>
      </c>
      <c r="P159" s="81"/>
    </row>
    <row r="160" spans="1:16" s="1" customFormat="1" ht="19.899999999999999" customHeight="1" outlineLevel="3" x14ac:dyDescent="0.55000000000000004">
      <c r="A160" s="98">
        <f ca="1">IF(G160="UNIDADE CONSTRUTIVA",OFFSET(A160,-1,0)+1,LARGE(A$4:A159,1))</f>
        <v>2</v>
      </c>
      <c r="B160" s="98">
        <f t="shared" ca="1" si="142"/>
        <v>6</v>
      </c>
      <c r="C160" s="98">
        <f t="shared" ca="1" si="143"/>
        <v>1</v>
      </c>
      <c r="D160" s="99">
        <f t="shared" ca="1" si="144"/>
        <v>2</v>
      </c>
      <c r="E160" s="99">
        <f t="shared" ca="1" si="145"/>
        <v>1</v>
      </c>
      <c r="G160" s="75" t="s">
        <v>124</v>
      </c>
      <c r="H160" s="76" t="str">
        <f t="shared" ca="1" si="147"/>
        <v>06.001.002.001</v>
      </c>
      <c r="I160" s="92" t="s">
        <v>193</v>
      </c>
      <c r="J160" s="77" t="s">
        <v>70</v>
      </c>
      <c r="K160" s="78">
        <v>37.805999999999997</v>
      </c>
      <c r="L160" s="87">
        <f t="shared" ref="L160:L166" si="149">M160/K160</f>
        <v>45.1</v>
      </c>
      <c r="M160" s="130">
        <v>1705.0506</v>
      </c>
      <c r="N160" s="79">
        <f t="shared" si="96"/>
        <v>3.4239018344851587E-5</v>
      </c>
      <c r="O160" s="87">
        <f>M160/OBRA!$D$12</f>
        <v>0.12843791736376381</v>
      </c>
      <c r="P160" s="81"/>
    </row>
    <row r="161" spans="1:16" s="1" customFormat="1" ht="19.899999999999999" customHeight="1" outlineLevel="3" x14ac:dyDescent="0.55000000000000004">
      <c r="A161" s="98">
        <f ca="1">IF(G161="UNIDADE CONSTRUTIVA",OFFSET(A161,-1,0)+1,LARGE(A$4:A160,1))</f>
        <v>2</v>
      </c>
      <c r="B161" s="98">
        <f t="shared" ca="1" si="142"/>
        <v>6</v>
      </c>
      <c r="C161" s="98">
        <f t="shared" ca="1" si="143"/>
        <v>1</v>
      </c>
      <c r="D161" s="99">
        <f t="shared" ca="1" si="144"/>
        <v>2</v>
      </c>
      <c r="E161" s="99">
        <f t="shared" ca="1" si="145"/>
        <v>2</v>
      </c>
      <c r="G161" s="75" t="s">
        <v>124</v>
      </c>
      <c r="H161" s="76" t="str">
        <f t="shared" ca="1" si="147"/>
        <v>06.001.002.002</v>
      </c>
      <c r="I161" s="92" t="s">
        <v>30</v>
      </c>
      <c r="J161" s="77" t="s">
        <v>70</v>
      </c>
      <c r="K161" s="78">
        <v>1131.0624</v>
      </c>
      <c r="L161" s="87">
        <f t="shared" si="149"/>
        <v>58.300000000000011</v>
      </c>
      <c r="M161" s="130">
        <v>65940.937920000011</v>
      </c>
      <c r="N161" s="79">
        <f t="shared" si="96"/>
        <v>1.3241560004844432E-3</v>
      </c>
      <c r="O161" s="87">
        <f>M161/OBRA!$D$12</f>
        <v>4.9671937803241972</v>
      </c>
      <c r="P161" s="81"/>
    </row>
    <row r="162" spans="1:16" s="1" customFormat="1" ht="19.899999999999999" customHeight="1" outlineLevel="3" x14ac:dyDescent="0.55000000000000004">
      <c r="A162" s="98">
        <f ca="1">IF(G162="UNIDADE CONSTRUTIVA",OFFSET(A162,-1,0)+1,LARGE(A$4:A161,1))</f>
        <v>2</v>
      </c>
      <c r="B162" s="98">
        <f t="shared" ca="1" si="142"/>
        <v>6</v>
      </c>
      <c r="C162" s="98">
        <f t="shared" ca="1" si="143"/>
        <v>1</v>
      </c>
      <c r="D162" s="99">
        <f t="shared" ca="1" si="144"/>
        <v>2</v>
      </c>
      <c r="E162" s="99">
        <f t="shared" ca="1" si="145"/>
        <v>3</v>
      </c>
      <c r="G162" s="75" t="s">
        <v>124</v>
      </c>
      <c r="H162" s="76" t="str">
        <f t="shared" ca="1" si="147"/>
        <v>06.001.002.003</v>
      </c>
      <c r="I162" s="92" t="s">
        <v>152</v>
      </c>
      <c r="J162" s="77" t="s">
        <v>6</v>
      </c>
      <c r="K162" s="78">
        <v>1</v>
      </c>
      <c r="L162" s="87">
        <f t="shared" si="149"/>
        <v>14462.558000000003</v>
      </c>
      <c r="M162" s="130">
        <v>14462.558000000003</v>
      </c>
      <c r="N162" s="79">
        <f t="shared" ref="N162:N225" si="150">M162/$M$298</f>
        <v>2.9042175562149307E-4</v>
      </c>
      <c r="O162" s="87">
        <f>M162/OBRA!$D$12</f>
        <v>1.0894344304342882</v>
      </c>
      <c r="P162" s="81"/>
    </row>
    <row r="163" spans="1:16" s="1" customFormat="1" ht="19.899999999999999" customHeight="1" outlineLevel="3" x14ac:dyDescent="0.55000000000000004">
      <c r="A163" s="98">
        <f ca="1">IF(G163="UNIDADE CONSTRUTIVA",OFFSET(A163,-1,0)+1,LARGE(A$4:A162,1))</f>
        <v>2</v>
      </c>
      <c r="B163" s="98">
        <f t="shared" ca="1" si="142"/>
        <v>6</v>
      </c>
      <c r="C163" s="98">
        <f t="shared" ca="1" si="143"/>
        <v>1</v>
      </c>
      <c r="D163" s="99">
        <f t="shared" ca="1" si="144"/>
        <v>2</v>
      </c>
      <c r="E163" s="99">
        <f t="shared" ca="1" si="145"/>
        <v>4</v>
      </c>
      <c r="G163" s="75" t="s">
        <v>124</v>
      </c>
      <c r="H163" s="76" t="str">
        <f t="shared" ca="1" si="147"/>
        <v>06.001.002.004</v>
      </c>
      <c r="I163" s="92" t="s">
        <v>151</v>
      </c>
      <c r="J163" s="77" t="s">
        <v>70</v>
      </c>
      <c r="K163" s="78">
        <v>3944.3339999999998</v>
      </c>
      <c r="L163" s="87">
        <f t="shared" si="149"/>
        <v>77.000000000000014</v>
      </c>
      <c r="M163" s="130">
        <v>303713.71800000005</v>
      </c>
      <c r="N163" s="79">
        <f t="shared" si="150"/>
        <v>6.0988568680513553E-3</v>
      </c>
      <c r="O163" s="87">
        <f>M163/OBRA!$D$12</f>
        <v>22.878123039120052</v>
      </c>
      <c r="P163" s="81"/>
    </row>
    <row r="164" spans="1:16" s="1" customFormat="1" ht="19.899999999999999" customHeight="1" outlineLevel="3" x14ac:dyDescent="0.55000000000000004">
      <c r="A164" s="98">
        <f ca="1">IF(G164="UNIDADE CONSTRUTIVA",OFFSET(A164,-1,0)+1,LARGE(A$4:A163,1))</f>
        <v>2</v>
      </c>
      <c r="B164" s="98">
        <f t="shared" ref="B164" ca="1" si="151">IF(G164="UNIDADE CONSTRUTIVA",0,IF(G164="CÉLULA CONSTRUTIVA",OFFSET(B164,-1,0)+1,OFFSET(B164,-1,0)))</f>
        <v>6</v>
      </c>
      <c r="C164" s="98">
        <f t="shared" ref="C164" ca="1" si="152">IF(G164="CÉLULA CONSTRUTIVA",0,IF(G164="ETAPA",OFFSET(C164,-1,0)+1,OFFSET(C164,-1,0)))</f>
        <v>1</v>
      </c>
      <c r="D164" s="99">
        <f t="shared" ref="D164" ca="1" si="153">IF(G164="ETAPA",0,IF(G164="SUBETAPA",OFFSET(D164,-1,0)+1,OFFSET(D164,-1,0)))</f>
        <v>2</v>
      </c>
      <c r="E164" s="99">
        <f t="shared" ref="E164" ca="1" si="154">IF(G164="Subetapa",0,IF(G164="serviço",OFFSET(E164,-1,0)+1,OFFSET(E164,-1,0)))</f>
        <v>5</v>
      </c>
      <c r="G164" s="75" t="s">
        <v>124</v>
      </c>
      <c r="H164" s="76" t="str">
        <f t="shared" ref="H164" ca="1" si="155">IF(G164="Unidade Construtiva",CONCATENATE("UC ",TEXT(A164,"00")),IF(G164="Célula Construtiva",TEXT(B164,"00"),IF(G164="Etapa",CONCATENATE(TEXT(B164,"00"),".",TEXT(C164,"000")),IF(G164="Subetapa",CONCATENATE(TEXT(B164,"00"),".",TEXT(C164,"000"),".",TEXT(D164,"000")),IF(G164="Serviço",CONCATENATE(TEXT(B164,"00"),".",TEXT(C164,"000"),".",TEXT(D164,"000"),".",TEXT(E164,"000")),"")))))</f>
        <v>06.001.002.005</v>
      </c>
      <c r="I164" s="92" t="s">
        <v>150</v>
      </c>
      <c r="J164" s="77" t="s">
        <v>70</v>
      </c>
      <c r="K164" s="78">
        <v>2115.3990000000008</v>
      </c>
      <c r="L164" s="87">
        <f t="shared" si="149"/>
        <v>107.8</v>
      </c>
      <c r="M164" s="130">
        <v>228040.01220000008</v>
      </c>
      <c r="N164" s="79">
        <f t="shared" si="150"/>
        <v>4.5792577423074618E-3</v>
      </c>
      <c r="O164" s="87">
        <f>M164/OBRA!$D$12</f>
        <v>17.17778008616008</v>
      </c>
      <c r="P164" s="81" t="s">
        <v>299</v>
      </c>
    </row>
    <row r="165" spans="1:16" s="1" customFormat="1" ht="19.899999999999999" customHeight="1" outlineLevel="3" x14ac:dyDescent="0.55000000000000004">
      <c r="A165" s="98">
        <f ca="1">IF(G165="UNIDADE CONSTRUTIVA",OFFSET(A165,-1,0)+1,LARGE(A$4:A163,1))</f>
        <v>2</v>
      </c>
      <c r="B165" s="98">
        <f t="shared" ca="1" si="142"/>
        <v>6</v>
      </c>
      <c r="C165" s="98">
        <f t="shared" ca="1" si="143"/>
        <v>1</v>
      </c>
      <c r="D165" s="99">
        <f t="shared" ca="1" si="144"/>
        <v>2</v>
      </c>
      <c r="E165" s="99">
        <f t="shared" ca="1" si="145"/>
        <v>6</v>
      </c>
      <c r="G165" s="75" t="s">
        <v>124</v>
      </c>
      <c r="H165" s="76" t="str">
        <f t="shared" ca="1" si="147"/>
        <v>06.001.002.006</v>
      </c>
      <c r="I165" s="92" t="s">
        <v>297</v>
      </c>
      <c r="J165" s="77" t="s">
        <v>70</v>
      </c>
      <c r="K165" s="78">
        <v>43.736400000000003</v>
      </c>
      <c r="L165" s="87">
        <f t="shared" si="149"/>
        <v>107.79999999999998</v>
      </c>
      <c r="M165" s="130">
        <v>4714.7839199999999</v>
      </c>
      <c r="N165" s="79">
        <f t="shared" si="150"/>
        <v>9.4677291764180648E-5</v>
      </c>
      <c r="O165" s="87">
        <f>M165/OBRA!$D$12</f>
        <v>0.35515487194630019</v>
      </c>
      <c r="P165" s="81"/>
    </row>
    <row r="166" spans="1:16" s="1" customFormat="1" ht="19.899999999999999" customHeight="1" outlineLevel="3" x14ac:dyDescent="0.55000000000000004">
      <c r="A166" s="98">
        <f ca="1">IF(G166="UNIDADE CONSTRUTIVA",OFFSET(A166,-1,0)+1,LARGE(A$4:A165,1))</f>
        <v>2</v>
      </c>
      <c r="B166" s="98">
        <f t="shared" ca="1" si="142"/>
        <v>6</v>
      </c>
      <c r="C166" s="98">
        <f t="shared" ca="1" si="143"/>
        <v>1</v>
      </c>
      <c r="D166" s="99">
        <f t="shared" ca="1" si="144"/>
        <v>2</v>
      </c>
      <c r="E166" s="99">
        <f t="shared" ca="1" si="145"/>
        <v>7</v>
      </c>
      <c r="G166" s="75" t="s">
        <v>124</v>
      </c>
      <c r="H166" s="76" t="str">
        <f t="shared" ref="H166" ca="1" si="156">IF(G166="Unidade Construtiva",CONCATENATE("UC ",TEXT(A166,"00")),IF(G166="Célula Construtiva",TEXT(B166,"00"),IF(G166="Etapa",CONCATENATE(TEXT(B166,"00"),".",TEXT(C166,"000")),IF(G166="Subetapa",CONCATENATE(TEXT(B166,"00"),".",TEXT(C166,"000"),".",TEXT(D166,"000")),IF(G166="Serviço",CONCATENATE(TEXT(B166,"00"),".",TEXT(C166,"000"),".",TEXT(D166,"000"),".",TEXT(E166,"000")),"")))))</f>
        <v>06.001.002.007</v>
      </c>
      <c r="I166" s="92" t="s">
        <v>31</v>
      </c>
      <c r="J166" s="77" t="s">
        <v>6</v>
      </c>
      <c r="K166" s="78">
        <v>1</v>
      </c>
      <c r="L166" s="87">
        <f t="shared" si="149"/>
        <v>17355.069599999999</v>
      </c>
      <c r="M166" s="130">
        <v>17355.069599999999</v>
      </c>
      <c r="N166" s="79">
        <f t="shared" si="150"/>
        <v>3.4850610674579162E-4</v>
      </c>
      <c r="O166" s="87">
        <f>M166/OBRA!$D$12</f>
        <v>1.3073213165211455</v>
      </c>
      <c r="P166" s="81"/>
    </row>
    <row r="167" spans="1:16" s="1" customFormat="1" ht="19.899999999999999" customHeight="1" outlineLevel="1" x14ac:dyDescent="0.55000000000000004">
      <c r="A167" s="98">
        <f ca="1">IF(G167="UNIDADE CONSTRUTIVA",OFFSET(A167,-1,0)+1,LARGE(A$4:A166,1))</f>
        <v>2</v>
      </c>
      <c r="B167" s="98">
        <f t="shared" ca="1" si="142"/>
        <v>7</v>
      </c>
      <c r="C167" s="98">
        <f t="shared" ca="1" si="143"/>
        <v>0</v>
      </c>
      <c r="D167" s="99">
        <f t="shared" ca="1" si="144"/>
        <v>2</v>
      </c>
      <c r="E167" s="99">
        <f t="shared" ca="1" si="145"/>
        <v>7</v>
      </c>
      <c r="G167" s="75" t="s">
        <v>118</v>
      </c>
      <c r="H167" s="76" t="str">
        <f t="shared" ca="1" si="147"/>
        <v>07</v>
      </c>
      <c r="I167" s="92" t="s">
        <v>285</v>
      </c>
      <c r="J167" s="77"/>
      <c r="K167" s="78"/>
      <c r="L167" s="87"/>
      <c r="M167" s="130">
        <f>M168+M177+M187</f>
        <v>5372840.2970000012</v>
      </c>
      <c r="N167" s="79">
        <f t="shared" si="150"/>
        <v>0.10789168221338469</v>
      </c>
      <c r="O167" s="87">
        <f>M167/OBRA!$D$12</f>
        <v>404.72489090633809</v>
      </c>
      <c r="P167" s="81"/>
    </row>
    <row r="168" spans="1:16" s="1" customFormat="1" ht="19.899999999999999" customHeight="1" outlineLevel="2" x14ac:dyDescent="0.55000000000000004">
      <c r="A168" s="98">
        <f ca="1">IF(G168="UNIDADE CONSTRUTIVA",OFFSET(A168,-1,0)+1,LARGE(A$4:A167,1))</f>
        <v>2</v>
      </c>
      <c r="B168" s="98">
        <f t="shared" ca="1" si="142"/>
        <v>7</v>
      </c>
      <c r="C168" s="98">
        <f t="shared" ca="1" si="143"/>
        <v>1</v>
      </c>
      <c r="D168" s="99">
        <f t="shared" ca="1" si="144"/>
        <v>0</v>
      </c>
      <c r="E168" s="99">
        <f t="shared" ca="1" si="145"/>
        <v>7</v>
      </c>
      <c r="G168" s="75" t="s">
        <v>119</v>
      </c>
      <c r="H168" s="76" t="str">
        <f t="shared" ca="1" si="147"/>
        <v>07.001</v>
      </c>
      <c r="I168" s="92" t="s">
        <v>38</v>
      </c>
      <c r="J168" s="77"/>
      <c r="K168" s="78"/>
      <c r="L168" s="87"/>
      <c r="M168" s="130">
        <f>M169+M175</f>
        <v>2530947.6500000004</v>
      </c>
      <c r="N168" s="79">
        <f t="shared" si="150"/>
        <v>5.0823807233761294E-2</v>
      </c>
      <c r="O168" s="87">
        <f>M168/OBRA!$D$12</f>
        <v>190.65102532600042</v>
      </c>
      <c r="P168" s="81"/>
    </row>
    <row r="169" spans="1:16" s="1" customFormat="1" ht="19.899999999999999" customHeight="1" outlineLevel="2" x14ac:dyDescent="0.55000000000000004">
      <c r="A169" s="98">
        <f ca="1">IF(G169="UNIDADE CONSTRUTIVA",OFFSET(A169,-1,0)+1,LARGE(A$4:A168,1))</f>
        <v>2</v>
      </c>
      <c r="B169" s="98">
        <f t="shared" ca="1" si="142"/>
        <v>7</v>
      </c>
      <c r="C169" s="98">
        <f t="shared" ca="1" si="143"/>
        <v>1</v>
      </c>
      <c r="D169" s="99">
        <f t="shared" ca="1" si="144"/>
        <v>1</v>
      </c>
      <c r="E169" s="99">
        <f t="shared" ca="1" si="145"/>
        <v>0</v>
      </c>
      <c r="G169" s="75" t="s">
        <v>120</v>
      </c>
      <c r="H169" s="76" t="str">
        <f t="shared" ca="1" si="147"/>
        <v>07.001.001</v>
      </c>
      <c r="I169" s="92" t="s">
        <v>283</v>
      </c>
      <c r="J169" s="77"/>
      <c r="K169" s="78"/>
      <c r="L169" s="87"/>
      <c r="M169" s="130">
        <f>SUM(M170:M174)</f>
        <v>1735506.9600000002</v>
      </c>
      <c r="N169" s="79">
        <f t="shared" si="150"/>
        <v>3.4850610674579167E-2</v>
      </c>
      <c r="O169" s="87">
        <f>M169/OBRA!$D$12</f>
        <v>130.73213165211456</v>
      </c>
      <c r="P169" s="81"/>
    </row>
    <row r="170" spans="1:16" s="1" customFormat="1" ht="19.899999999999999" customHeight="1" outlineLevel="3" x14ac:dyDescent="0.55000000000000004">
      <c r="A170" s="98">
        <f ca="1">IF(G170="UNIDADE CONSTRUTIVA",OFFSET(A170,-1,0)+1,LARGE(A$4:A169,1))</f>
        <v>2</v>
      </c>
      <c r="B170" s="98">
        <f t="shared" ca="1" si="142"/>
        <v>7</v>
      </c>
      <c r="C170" s="98">
        <f t="shared" ca="1" si="143"/>
        <v>1</v>
      </c>
      <c r="D170" s="99">
        <f t="shared" ca="1" si="144"/>
        <v>1</v>
      </c>
      <c r="E170" s="99">
        <f t="shared" ca="1" si="145"/>
        <v>1</v>
      </c>
      <c r="G170" s="75" t="s">
        <v>124</v>
      </c>
      <c r="H170" s="76" t="str">
        <f t="shared" ca="1" si="147"/>
        <v>07.001.001.001</v>
      </c>
      <c r="I170" s="92" t="s">
        <v>39</v>
      </c>
      <c r="J170" s="77" t="s">
        <v>6</v>
      </c>
      <c r="K170" s="78">
        <v>1</v>
      </c>
      <c r="L170" s="87">
        <f t="shared" ref="L170:L174" si="157">M170/K170</f>
        <v>361563.95</v>
      </c>
      <c r="M170" s="130">
        <v>361563.95</v>
      </c>
      <c r="N170" s="79">
        <f t="shared" si="150"/>
        <v>7.2605438905373266E-3</v>
      </c>
      <c r="O170" s="87">
        <f>M170/OBRA!$D$12</f>
        <v>27.2358607608572</v>
      </c>
      <c r="P170" s="81"/>
    </row>
    <row r="171" spans="1:16" s="1" customFormat="1" ht="19.899999999999999" customHeight="1" outlineLevel="3" x14ac:dyDescent="0.55000000000000004">
      <c r="A171" s="98">
        <f ca="1">IF(G171="UNIDADE CONSTRUTIVA",OFFSET(A171,-1,0)+1,LARGE(A$4:A170,1))</f>
        <v>2</v>
      </c>
      <c r="B171" s="98">
        <f t="shared" ca="1" si="142"/>
        <v>7</v>
      </c>
      <c r="C171" s="98">
        <f t="shared" ca="1" si="143"/>
        <v>1</v>
      </c>
      <c r="D171" s="99">
        <f t="shared" ca="1" si="144"/>
        <v>1</v>
      </c>
      <c r="E171" s="99">
        <f t="shared" ca="1" si="145"/>
        <v>2</v>
      </c>
      <c r="G171" s="75" t="s">
        <v>124</v>
      </c>
      <c r="H171" s="76" t="str">
        <f t="shared" ca="1" si="147"/>
        <v>07.001.001.002</v>
      </c>
      <c r="I171" s="92" t="s">
        <v>40</v>
      </c>
      <c r="J171" s="77" t="s">
        <v>6</v>
      </c>
      <c r="K171" s="78">
        <v>1</v>
      </c>
      <c r="L171" s="87">
        <f t="shared" si="157"/>
        <v>289251.16000000009</v>
      </c>
      <c r="M171" s="130">
        <v>289251.16000000009</v>
      </c>
      <c r="N171" s="79">
        <f t="shared" si="150"/>
        <v>5.808435112429863E-3</v>
      </c>
      <c r="O171" s="87">
        <f>M171/OBRA!$D$12</f>
        <v>21.788688608685767</v>
      </c>
      <c r="P171" s="81"/>
    </row>
    <row r="172" spans="1:16" s="1" customFormat="1" ht="19.899999999999999" customHeight="1" outlineLevel="3" x14ac:dyDescent="0.55000000000000004">
      <c r="A172" s="98">
        <f ca="1">IF(G172="UNIDADE CONSTRUTIVA",OFFSET(A172,-1,0)+1,LARGE(A$4:A171,1))</f>
        <v>2</v>
      </c>
      <c r="B172" s="98">
        <f t="shared" ca="1" si="142"/>
        <v>7</v>
      </c>
      <c r="C172" s="98">
        <f t="shared" ca="1" si="143"/>
        <v>1</v>
      </c>
      <c r="D172" s="99">
        <f t="shared" ca="1" si="144"/>
        <v>1</v>
      </c>
      <c r="E172" s="99">
        <f t="shared" ca="1" si="145"/>
        <v>3</v>
      </c>
      <c r="G172" s="75" t="s">
        <v>124</v>
      </c>
      <c r="H172" s="76" t="str">
        <f t="shared" ca="1" si="147"/>
        <v>07.001.001.003</v>
      </c>
      <c r="I172" s="92" t="s">
        <v>284</v>
      </c>
      <c r="J172" s="77" t="s">
        <v>6</v>
      </c>
      <c r="K172" s="78">
        <v>1</v>
      </c>
      <c r="L172" s="87">
        <f t="shared" si="157"/>
        <v>144625.58000000005</v>
      </c>
      <c r="M172" s="130">
        <v>144625.58000000005</v>
      </c>
      <c r="N172" s="79">
        <f t="shared" si="150"/>
        <v>2.9042175562149315E-3</v>
      </c>
      <c r="O172" s="87">
        <f>M172/OBRA!$D$12</f>
        <v>10.894344304342884</v>
      </c>
      <c r="P172" s="81"/>
    </row>
    <row r="173" spans="1:16" s="1" customFormat="1" ht="19.899999999999999" customHeight="1" outlineLevel="3" x14ac:dyDescent="0.55000000000000004">
      <c r="A173" s="98">
        <f ca="1">IF(G173="UNIDADE CONSTRUTIVA",OFFSET(A173,-1,0)+1,LARGE(A$4:A171,1))</f>
        <v>2</v>
      </c>
      <c r="B173" s="98">
        <f t="shared" ref="B173" ca="1" si="158">IF(G173="UNIDADE CONSTRUTIVA",0,IF(G173="CÉLULA CONSTRUTIVA",OFFSET(B173,-1,0)+1,OFFSET(B173,-1,0)))</f>
        <v>7</v>
      </c>
      <c r="C173" s="98">
        <f t="shared" ref="C173" ca="1" si="159">IF(G173="CÉLULA CONSTRUTIVA",0,IF(G173="ETAPA",OFFSET(C173,-1,0)+1,OFFSET(C173,-1,0)))</f>
        <v>1</v>
      </c>
      <c r="D173" s="99">
        <f t="shared" ref="D173" ca="1" si="160">IF(G173="ETAPA",0,IF(G173="SUBETAPA",OFFSET(D173,-1,0)+1,OFFSET(D173,-1,0)))</f>
        <v>1</v>
      </c>
      <c r="E173" s="99">
        <f t="shared" ref="E173" ca="1" si="161">IF(G173="Subetapa",0,IF(G173="serviço",OFFSET(E173,-1,0)+1,OFFSET(E173,-1,0)))</f>
        <v>4</v>
      </c>
      <c r="G173" s="75" t="s">
        <v>124</v>
      </c>
      <c r="H173" s="76" t="str">
        <f t="shared" ref="H173" ca="1" si="162">IF(G173="Unidade Construtiva",CONCATENATE("UC ",TEXT(A173,"00")),IF(G173="Célula Construtiva",TEXT(B173,"00"),IF(G173="Etapa",CONCATENATE(TEXT(B173,"00"),".",TEXT(C173,"000")),IF(G173="Subetapa",CONCATENATE(TEXT(B173,"00"),".",TEXT(C173,"000"),".",TEXT(D173,"000")),IF(G173="Serviço",CONCATENATE(TEXT(B173,"00"),".",TEXT(C173,"000"),".",TEXT(D173,"000"),".",TEXT(E173,"000")),"")))))</f>
        <v>07.001.001.004</v>
      </c>
      <c r="I173" s="92" t="s">
        <v>153</v>
      </c>
      <c r="J173" s="77" t="s">
        <v>6</v>
      </c>
      <c r="K173" s="78">
        <v>1</v>
      </c>
      <c r="L173" s="87">
        <f t="shared" si="157"/>
        <v>216938.37000000002</v>
      </c>
      <c r="M173" s="130">
        <v>216938.37000000002</v>
      </c>
      <c r="N173" s="79">
        <f t="shared" si="150"/>
        <v>4.3563263343223959E-3</v>
      </c>
      <c r="O173" s="87">
        <f>M173/OBRA!$D$12</f>
        <v>16.34151645651432</v>
      </c>
      <c r="P173" s="81"/>
    </row>
    <row r="174" spans="1:16" s="1" customFormat="1" ht="19.899999999999999" customHeight="1" outlineLevel="3" x14ac:dyDescent="0.55000000000000004">
      <c r="A174" s="98">
        <f ca="1">IF(G174="UNIDADE CONSTRUTIVA",OFFSET(A174,-1,0)+1,LARGE(A$4:A172,1))</f>
        <v>2</v>
      </c>
      <c r="B174" s="98">
        <f t="shared" ca="1" si="142"/>
        <v>7</v>
      </c>
      <c r="C174" s="98">
        <f t="shared" ca="1" si="143"/>
        <v>1</v>
      </c>
      <c r="D174" s="99">
        <f t="shared" ca="1" si="144"/>
        <v>1</v>
      </c>
      <c r="E174" s="99">
        <f t="shared" ca="1" si="145"/>
        <v>5</v>
      </c>
      <c r="G174" s="75" t="s">
        <v>124</v>
      </c>
      <c r="H174" s="76" t="str">
        <f t="shared" ca="1" si="147"/>
        <v>07.001.001.005</v>
      </c>
      <c r="I174" s="92" t="s">
        <v>41</v>
      </c>
      <c r="J174" s="77" t="s">
        <v>6</v>
      </c>
      <c r="K174" s="78">
        <v>1</v>
      </c>
      <c r="L174" s="87">
        <f t="shared" si="157"/>
        <v>723127.9</v>
      </c>
      <c r="M174" s="130">
        <v>723127.9</v>
      </c>
      <c r="N174" s="79">
        <f t="shared" si="150"/>
        <v>1.4521087781074653E-2</v>
      </c>
      <c r="O174" s="87">
        <f>M174/OBRA!$D$12</f>
        <v>54.4717215217144</v>
      </c>
      <c r="P174" s="81"/>
    </row>
    <row r="175" spans="1:16" s="1" customFormat="1" ht="19.899999999999999" customHeight="1" outlineLevel="2" x14ac:dyDescent="0.55000000000000004">
      <c r="A175" s="98">
        <f ca="1">IF(G175="UNIDADE CONSTRUTIVA",OFFSET(A175,-1,0)+1,LARGE(A$4:A174,1))</f>
        <v>2</v>
      </c>
      <c r="B175" s="98">
        <f t="shared" ca="1" si="142"/>
        <v>7</v>
      </c>
      <c r="C175" s="98">
        <f t="shared" ca="1" si="143"/>
        <v>1</v>
      </c>
      <c r="D175" s="99">
        <f t="shared" ca="1" si="144"/>
        <v>2</v>
      </c>
      <c r="E175" s="99">
        <f t="shared" ca="1" si="145"/>
        <v>0</v>
      </c>
      <c r="G175" s="75" t="s">
        <v>120</v>
      </c>
      <c r="H175" s="76" t="str">
        <f t="shared" ca="1" si="147"/>
        <v>07.001.002</v>
      </c>
      <c r="I175" s="92" t="s">
        <v>19</v>
      </c>
      <c r="J175" s="77"/>
      <c r="K175" s="78"/>
      <c r="L175" s="87"/>
      <c r="M175" s="130">
        <f>M176</f>
        <v>795440.69000000006</v>
      </c>
      <c r="N175" s="79">
        <f t="shared" si="150"/>
        <v>1.5973196559182119E-2</v>
      </c>
      <c r="O175" s="87">
        <f>M175/OBRA!$D$12</f>
        <v>59.918893673885847</v>
      </c>
      <c r="P175" s="81"/>
    </row>
    <row r="176" spans="1:16" s="1" customFormat="1" ht="19.899999999999999" customHeight="1" outlineLevel="3" x14ac:dyDescent="0.55000000000000004">
      <c r="A176" s="98">
        <f ca="1">IF(G176="UNIDADE CONSTRUTIVA",OFFSET(A176,-1,0)+1,LARGE(A$4:A175,1))</f>
        <v>2</v>
      </c>
      <c r="B176" s="98">
        <f t="shared" ca="1" si="142"/>
        <v>7</v>
      </c>
      <c r="C176" s="98">
        <f t="shared" ca="1" si="143"/>
        <v>1</v>
      </c>
      <c r="D176" s="99">
        <f t="shared" ca="1" si="144"/>
        <v>2</v>
      </c>
      <c r="E176" s="99">
        <f t="shared" ca="1" si="145"/>
        <v>1</v>
      </c>
      <c r="G176" s="75" t="s">
        <v>124</v>
      </c>
      <c r="H176" s="76" t="str">
        <f t="shared" ca="1" si="147"/>
        <v>07.001.002.001</v>
      </c>
      <c r="I176" s="92" t="s">
        <v>42</v>
      </c>
      <c r="J176" s="77" t="s">
        <v>6</v>
      </c>
      <c r="K176" s="78">
        <v>1</v>
      </c>
      <c r="L176" s="87">
        <f t="shared" ref="L176" si="163">M176/K176</f>
        <v>795440.69000000006</v>
      </c>
      <c r="M176" s="133">
        <v>795440.69000000006</v>
      </c>
      <c r="N176" s="79">
        <f t="shared" si="150"/>
        <v>1.5973196559182119E-2</v>
      </c>
      <c r="O176" s="87">
        <f>M176/OBRA!$D$12</f>
        <v>59.918893673885847</v>
      </c>
      <c r="P176" s="81"/>
    </row>
    <row r="177" spans="1:16" s="1" customFormat="1" ht="19.899999999999999" customHeight="1" outlineLevel="2" x14ac:dyDescent="0.55000000000000004">
      <c r="A177" s="98">
        <f ca="1">IF(G177="UNIDADE CONSTRUTIVA",OFFSET(A177,-1,0)+1,LARGE(A$4:A176,1))</f>
        <v>2</v>
      </c>
      <c r="B177" s="98">
        <f t="shared" ca="1" si="142"/>
        <v>7</v>
      </c>
      <c r="C177" s="98">
        <f t="shared" ca="1" si="143"/>
        <v>2</v>
      </c>
      <c r="D177" s="99">
        <f t="shared" ca="1" si="144"/>
        <v>0</v>
      </c>
      <c r="E177" s="99">
        <f t="shared" ca="1" si="145"/>
        <v>1</v>
      </c>
      <c r="G177" s="75" t="s">
        <v>119</v>
      </c>
      <c r="H177" s="76" t="str">
        <f t="shared" ref="H177:H197" ca="1" si="164">IF(G177="Unidade Construtiva",CONCATENATE("UC ",TEXT(A177,"00")),IF(G177="Célula Construtiva",TEXT(B177,"00"),IF(G177="Etapa",CONCATENATE(TEXT(B177,"00"),".",TEXT(C177,"000")),IF(G177="Subetapa",CONCATENATE(TEXT(B177,"00"),".",TEXT(C177,"000"),".",TEXT(D177,"000")),IF(G177="Serviço",CONCATENATE(TEXT(B177,"00"),".",TEXT(C177,"000"),".",TEXT(D177,"000"),".",TEXT(E177,"000")),"")))))</f>
        <v>07.002</v>
      </c>
      <c r="I177" s="92" t="s">
        <v>34</v>
      </c>
      <c r="J177" s="77"/>
      <c r="K177" s="78"/>
      <c r="L177" s="87"/>
      <c r="M177" s="130">
        <f>M178+M185</f>
        <v>2220002.6530000004</v>
      </c>
      <c r="N177" s="79">
        <f t="shared" si="150"/>
        <v>4.4579739487899193E-2</v>
      </c>
      <c r="O177" s="87">
        <f>M177/OBRA!$D$12</f>
        <v>167.22818507166323</v>
      </c>
      <c r="P177" s="81"/>
    </row>
    <row r="178" spans="1:16" s="1" customFormat="1" ht="19.899999999999999" customHeight="1" outlineLevel="2" x14ac:dyDescent="0.55000000000000004">
      <c r="A178" s="98">
        <f ca="1">IF(G178="UNIDADE CONSTRUTIVA",OFFSET(A178,-1,0)+1,LARGE(A$4:A177,1))</f>
        <v>2</v>
      </c>
      <c r="B178" s="98">
        <f t="shared" ca="1" si="142"/>
        <v>7</v>
      </c>
      <c r="C178" s="98">
        <f t="shared" ca="1" si="143"/>
        <v>2</v>
      </c>
      <c r="D178" s="99">
        <f t="shared" ca="1" si="144"/>
        <v>1</v>
      </c>
      <c r="E178" s="99">
        <f t="shared" ca="1" si="145"/>
        <v>0</v>
      </c>
      <c r="G178" s="75" t="s">
        <v>120</v>
      </c>
      <c r="H178" s="76" t="str">
        <f t="shared" ca="1" si="164"/>
        <v>07.002.001</v>
      </c>
      <c r="I178" s="92" t="s">
        <v>286</v>
      </c>
      <c r="J178" s="77"/>
      <c r="K178" s="78"/>
      <c r="L178" s="87"/>
      <c r="M178" s="130">
        <f>SUM(M179:M184)</f>
        <v>1352249.1730000002</v>
      </c>
      <c r="N178" s="79">
        <f t="shared" si="150"/>
        <v>2.7154434150609603E-2</v>
      </c>
      <c r="O178" s="87">
        <f>M178/OBRA!$D$12</f>
        <v>101.86211924560594</v>
      </c>
      <c r="P178" s="81"/>
    </row>
    <row r="179" spans="1:16" s="1" customFormat="1" ht="19.899999999999999" customHeight="1" outlineLevel="3" x14ac:dyDescent="0.55000000000000004">
      <c r="A179" s="98">
        <f ca="1">IF(G179="UNIDADE CONSTRUTIVA",OFFSET(A179,-1,0)+1,LARGE(A$4:A178,1))</f>
        <v>2</v>
      </c>
      <c r="B179" s="98">
        <f t="shared" ca="1" si="142"/>
        <v>7</v>
      </c>
      <c r="C179" s="98">
        <f t="shared" ca="1" si="143"/>
        <v>2</v>
      </c>
      <c r="D179" s="99">
        <f t="shared" ca="1" si="144"/>
        <v>1</v>
      </c>
      <c r="E179" s="99">
        <f t="shared" ca="1" si="145"/>
        <v>1</v>
      </c>
      <c r="G179" s="75" t="s">
        <v>124</v>
      </c>
      <c r="H179" s="76" t="str">
        <f t="shared" ca="1" si="164"/>
        <v>07.002.001.001</v>
      </c>
      <c r="I179" s="92" t="s">
        <v>35</v>
      </c>
      <c r="J179" s="77" t="s">
        <v>6</v>
      </c>
      <c r="K179" s="78">
        <v>1</v>
      </c>
      <c r="L179" s="87">
        <f t="shared" ref="L179:L186" si="165">M179/K179</f>
        <v>79544.069000000018</v>
      </c>
      <c r="M179" s="130">
        <v>79544.069000000018</v>
      </c>
      <c r="N179" s="79">
        <f t="shared" si="150"/>
        <v>1.5973196559182121E-3</v>
      </c>
      <c r="O179" s="87">
        <f>M179/OBRA!$D$12</f>
        <v>5.9918893673885849</v>
      </c>
      <c r="P179" s="81"/>
    </row>
    <row r="180" spans="1:16" s="1" customFormat="1" ht="19.899999999999999" customHeight="1" outlineLevel="3" x14ac:dyDescent="0.55000000000000004">
      <c r="A180" s="98">
        <f ca="1">IF(G180="UNIDADE CONSTRUTIVA",OFFSET(A180,-1,0)+1,LARGE(A$4:A179,1))</f>
        <v>2</v>
      </c>
      <c r="B180" s="98">
        <f t="shared" ca="1" si="142"/>
        <v>7</v>
      </c>
      <c r="C180" s="98">
        <f t="shared" ca="1" si="143"/>
        <v>2</v>
      </c>
      <c r="D180" s="99">
        <f t="shared" ca="1" si="144"/>
        <v>1</v>
      </c>
      <c r="E180" s="99">
        <f t="shared" ca="1" si="145"/>
        <v>2</v>
      </c>
      <c r="G180" s="75" t="s">
        <v>124</v>
      </c>
      <c r="H180" s="76" t="str">
        <f t="shared" ca="1" si="164"/>
        <v>07.002.001.002</v>
      </c>
      <c r="I180" s="92" t="s">
        <v>36</v>
      </c>
      <c r="J180" s="77" t="s">
        <v>6</v>
      </c>
      <c r="K180" s="78">
        <v>1</v>
      </c>
      <c r="L180" s="87">
        <f t="shared" si="165"/>
        <v>144625.58000000005</v>
      </c>
      <c r="M180" s="130">
        <v>144625.58000000005</v>
      </c>
      <c r="N180" s="79">
        <f t="shared" si="150"/>
        <v>2.9042175562149315E-3</v>
      </c>
      <c r="O180" s="87">
        <f>M180/OBRA!$D$12</f>
        <v>10.894344304342884</v>
      </c>
      <c r="P180" s="81"/>
    </row>
    <row r="181" spans="1:16" s="1" customFormat="1" ht="19.899999999999999" customHeight="1" outlineLevel="3" x14ac:dyDescent="0.55000000000000004">
      <c r="A181" s="98">
        <f ca="1">IF(G181="UNIDADE CONSTRUTIVA",OFFSET(A181,-1,0)+1,LARGE(A$4:A180,1))</f>
        <v>2</v>
      </c>
      <c r="B181" s="98">
        <f t="shared" ca="1" si="142"/>
        <v>7</v>
      </c>
      <c r="C181" s="98">
        <f t="shared" ca="1" si="143"/>
        <v>2</v>
      </c>
      <c r="D181" s="99">
        <f t="shared" ca="1" si="144"/>
        <v>1</v>
      </c>
      <c r="E181" s="99">
        <f t="shared" ca="1" si="145"/>
        <v>3</v>
      </c>
      <c r="G181" s="75" t="s">
        <v>124</v>
      </c>
      <c r="H181" s="76" t="str">
        <f t="shared" ca="1" si="164"/>
        <v>07.002.001.003</v>
      </c>
      <c r="I181" s="92" t="s">
        <v>154</v>
      </c>
      <c r="J181" s="77" t="s">
        <v>6</v>
      </c>
      <c r="K181" s="78">
        <v>1</v>
      </c>
      <c r="L181" s="87">
        <f t="shared" si="165"/>
        <v>433876.74000000005</v>
      </c>
      <c r="M181" s="130">
        <v>433876.74000000005</v>
      </c>
      <c r="N181" s="79">
        <f t="shared" si="150"/>
        <v>8.7126526686447919E-3</v>
      </c>
      <c r="O181" s="87">
        <f>M181/OBRA!$D$12</f>
        <v>32.68303291302864</v>
      </c>
      <c r="P181" s="81"/>
    </row>
    <row r="182" spans="1:16" s="1" customFormat="1" ht="19.899999999999999" customHeight="1" outlineLevel="3" x14ac:dyDescent="0.55000000000000004">
      <c r="A182" s="98">
        <f ca="1">IF(G182="UNIDADE CONSTRUTIVA",OFFSET(A182,-1,0)+1,LARGE(A$4:A181,1))</f>
        <v>2</v>
      </c>
      <c r="B182" s="98">
        <f t="shared" ca="1" si="142"/>
        <v>7</v>
      </c>
      <c r="C182" s="98">
        <f t="shared" ca="1" si="143"/>
        <v>2</v>
      </c>
      <c r="D182" s="99">
        <f t="shared" ca="1" si="144"/>
        <v>1</v>
      </c>
      <c r="E182" s="99">
        <f t="shared" ca="1" si="145"/>
        <v>4</v>
      </c>
      <c r="G182" s="75" t="s">
        <v>124</v>
      </c>
      <c r="H182" s="76" t="str">
        <f t="shared" ca="1" si="164"/>
        <v>07.002.001.004</v>
      </c>
      <c r="I182" s="92" t="s">
        <v>155</v>
      </c>
      <c r="J182" s="77" t="s">
        <v>6</v>
      </c>
      <c r="K182" s="78">
        <v>1</v>
      </c>
      <c r="L182" s="87">
        <f t="shared" si="165"/>
        <v>260326.04400000002</v>
      </c>
      <c r="M182" s="130">
        <v>260326.04400000002</v>
      </c>
      <c r="N182" s="79">
        <f t="shared" si="150"/>
        <v>5.2275916011868756E-3</v>
      </c>
      <c r="O182" s="87">
        <f>M182/OBRA!$D$12</f>
        <v>19.609819747817184</v>
      </c>
      <c r="P182" s="81"/>
    </row>
    <row r="183" spans="1:16" s="1" customFormat="1" ht="19.899999999999999" customHeight="1" outlineLevel="3" x14ac:dyDescent="0.55000000000000004">
      <c r="A183" s="98">
        <f ca="1">IF(G183="UNIDADE CONSTRUTIVA",OFFSET(A183,-1,0)+1,LARGE(A$4:A182,1))</f>
        <v>2</v>
      </c>
      <c r="B183" s="98">
        <f t="shared" ca="1" si="142"/>
        <v>7</v>
      </c>
      <c r="C183" s="98">
        <f t="shared" ca="1" si="143"/>
        <v>2</v>
      </c>
      <c r="D183" s="99">
        <f t="shared" ca="1" si="144"/>
        <v>1</v>
      </c>
      <c r="E183" s="99">
        <f t="shared" ca="1" si="145"/>
        <v>5</v>
      </c>
      <c r="G183" s="75" t="s">
        <v>124</v>
      </c>
      <c r="H183" s="76" t="str">
        <f t="shared" ca="1" si="164"/>
        <v>07.002.001.005</v>
      </c>
      <c r="I183" s="92" t="s">
        <v>156</v>
      </c>
      <c r="J183" s="77" t="s">
        <v>6</v>
      </c>
      <c r="K183" s="78">
        <v>1</v>
      </c>
      <c r="L183" s="87">
        <f t="shared" si="165"/>
        <v>216938.37000000002</v>
      </c>
      <c r="M183" s="130">
        <v>216938.37000000002</v>
      </c>
      <c r="N183" s="79">
        <f t="shared" si="150"/>
        <v>4.3563263343223959E-3</v>
      </c>
      <c r="O183" s="87">
        <f>M183/OBRA!$D$12</f>
        <v>16.34151645651432</v>
      </c>
      <c r="P183" s="81"/>
    </row>
    <row r="184" spans="1:16" s="1" customFormat="1" ht="19.899999999999999" customHeight="1" outlineLevel="3" x14ac:dyDescent="0.55000000000000004">
      <c r="A184" s="98">
        <f ca="1">IF(G184="UNIDADE CONSTRUTIVA",OFFSET(A184,-1,0)+1,LARGE(A$4:A183,1))</f>
        <v>2</v>
      </c>
      <c r="B184" s="98">
        <f t="shared" ca="1" si="142"/>
        <v>7</v>
      </c>
      <c r="C184" s="98">
        <f t="shared" ca="1" si="143"/>
        <v>2</v>
      </c>
      <c r="D184" s="99">
        <f t="shared" ca="1" si="144"/>
        <v>1</v>
      </c>
      <c r="E184" s="99">
        <f t="shared" ca="1" si="145"/>
        <v>6</v>
      </c>
      <c r="G184" s="75" t="s">
        <v>124</v>
      </c>
      <c r="H184" s="76" t="str">
        <f t="shared" ca="1" si="164"/>
        <v>07.002.001.006</v>
      </c>
      <c r="I184" s="92" t="s">
        <v>157</v>
      </c>
      <c r="J184" s="77" t="s">
        <v>6</v>
      </c>
      <c r="K184" s="78">
        <v>1</v>
      </c>
      <c r="L184" s="87">
        <f t="shared" si="165"/>
        <v>216938.37000000002</v>
      </c>
      <c r="M184" s="130">
        <v>216938.37000000002</v>
      </c>
      <c r="N184" s="79">
        <f t="shared" si="150"/>
        <v>4.3563263343223959E-3</v>
      </c>
      <c r="O184" s="87">
        <f>M184/OBRA!$D$12</f>
        <v>16.34151645651432</v>
      </c>
      <c r="P184" s="81"/>
    </row>
    <row r="185" spans="1:16" s="1" customFormat="1" ht="19.899999999999999" customHeight="1" outlineLevel="2" x14ac:dyDescent="0.55000000000000004">
      <c r="A185" s="98">
        <f ca="1">IF(G185="UNIDADE CONSTRUTIVA",OFFSET(A185,-1,0)+1,LARGE(A$4:A184,1))</f>
        <v>2</v>
      </c>
      <c r="B185" s="98">
        <f t="shared" ca="1" si="142"/>
        <v>7</v>
      </c>
      <c r="C185" s="98">
        <f t="shared" ca="1" si="143"/>
        <v>2</v>
      </c>
      <c r="D185" s="99">
        <f t="shared" ca="1" si="144"/>
        <v>2</v>
      </c>
      <c r="E185" s="99">
        <f t="shared" ca="1" si="145"/>
        <v>0</v>
      </c>
      <c r="G185" s="75" t="s">
        <v>120</v>
      </c>
      <c r="H185" s="76" t="str">
        <f t="shared" ca="1" si="164"/>
        <v>07.002.002</v>
      </c>
      <c r="I185" s="92" t="s">
        <v>19</v>
      </c>
      <c r="J185" s="77"/>
      <c r="K185" s="78"/>
      <c r="L185" s="87"/>
      <c r="M185" s="130">
        <f>M186</f>
        <v>867753.4800000001</v>
      </c>
      <c r="N185" s="79">
        <f t="shared" si="150"/>
        <v>1.7425305337289584E-2</v>
      </c>
      <c r="O185" s="87">
        <f>M185/OBRA!$D$12</f>
        <v>65.36606582605728</v>
      </c>
      <c r="P185" s="81"/>
    </row>
    <row r="186" spans="1:16" s="1" customFormat="1" ht="19.899999999999999" customHeight="1" outlineLevel="3" x14ac:dyDescent="0.55000000000000004">
      <c r="A186" s="98">
        <f ca="1">IF(G186="UNIDADE CONSTRUTIVA",OFFSET(A186,-1,0)+1,LARGE(A$4:A185,1))</f>
        <v>2</v>
      </c>
      <c r="B186" s="98">
        <f t="shared" ca="1" si="142"/>
        <v>7</v>
      </c>
      <c r="C186" s="98">
        <f t="shared" ca="1" si="143"/>
        <v>2</v>
      </c>
      <c r="D186" s="99">
        <f t="shared" ca="1" si="144"/>
        <v>2</v>
      </c>
      <c r="E186" s="99">
        <f t="shared" ca="1" si="145"/>
        <v>1</v>
      </c>
      <c r="G186" s="75" t="s">
        <v>124</v>
      </c>
      <c r="H186" s="76" t="str">
        <f t="shared" ca="1" si="164"/>
        <v>07.002.002.001</v>
      </c>
      <c r="I186" s="92" t="s">
        <v>37</v>
      </c>
      <c r="J186" s="77" t="s">
        <v>6</v>
      </c>
      <c r="K186" s="78">
        <v>1</v>
      </c>
      <c r="L186" s="87">
        <f t="shared" si="165"/>
        <v>867753.4800000001</v>
      </c>
      <c r="M186" s="133">
        <v>867753.4800000001</v>
      </c>
      <c r="N186" s="79">
        <f t="shared" si="150"/>
        <v>1.7425305337289584E-2</v>
      </c>
      <c r="O186" s="87">
        <f>M186/OBRA!$D$12</f>
        <v>65.36606582605728</v>
      </c>
      <c r="P186" s="81"/>
    </row>
    <row r="187" spans="1:16" s="1" customFormat="1" ht="19.899999999999999" customHeight="1" outlineLevel="2" x14ac:dyDescent="0.55000000000000004">
      <c r="A187" s="98">
        <f ca="1">IF(G187="UNIDADE CONSTRUTIVA",OFFSET(A187,-1,0)+1,LARGE(A$4:A186,1))</f>
        <v>2</v>
      </c>
      <c r="B187" s="98">
        <f t="shared" ca="1" si="142"/>
        <v>7</v>
      </c>
      <c r="C187" s="98">
        <f t="shared" ca="1" si="143"/>
        <v>3</v>
      </c>
      <c r="D187" s="99">
        <f t="shared" ca="1" si="144"/>
        <v>0</v>
      </c>
      <c r="E187" s="99">
        <f t="shared" ca="1" si="145"/>
        <v>1</v>
      </c>
      <c r="G187" s="75" t="s">
        <v>119</v>
      </c>
      <c r="H187" s="76" t="str">
        <f t="shared" ca="1" si="164"/>
        <v>07.003</v>
      </c>
      <c r="I187" s="92" t="s">
        <v>43</v>
      </c>
      <c r="J187" s="77"/>
      <c r="K187" s="78"/>
      <c r="L187" s="87"/>
      <c r="M187" s="130">
        <f>M188</f>
        <v>621889.99400000018</v>
      </c>
      <c r="N187" s="79">
        <f t="shared" si="150"/>
        <v>1.2488135491724204E-2</v>
      </c>
      <c r="O187" s="87">
        <f>M187/OBRA!$D$12</f>
        <v>46.845680508674398</v>
      </c>
      <c r="P187" s="81"/>
    </row>
    <row r="188" spans="1:16" s="1" customFormat="1" ht="19.899999999999999" customHeight="1" outlineLevel="2" x14ac:dyDescent="0.55000000000000004">
      <c r="A188" s="98">
        <f ca="1">IF(G188="UNIDADE CONSTRUTIVA",OFFSET(A188,-1,0)+1,LARGE(A$4:A187,1))</f>
        <v>2</v>
      </c>
      <c r="B188" s="98">
        <f t="shared" ca="1" si="142"/>
        <v>7</v>
      </c>
      <c r="C188" s="98">
        <f t="shared" ca="1" si="143"/>
        <v>3</v>
      </c>
      <c r="D188" s="99">
        <f t="shared" ca="1" si="144"/>
        <v>1</v>
      </c>
      <c r="E188" s="99">
        <f t="shared" ca="1" si="145"/>
        <v>0</v>
      </c>
      <c r="G188" s="75" t="s">
        <v>120</v>
      </c>
      <c r="H188" s="76" t="str">
        <f t="shared" ca="1" si="164"/>
        <v>07.003.001</v>
      </c>
      <c r="I188" s="92" t="s">
        <v>44</v>
      </c>
      <c r="J188" s="77"/>
      <c r="K188" s="78"/>
      <c r="L188" s="87"/>
      <c r="M188" s="130">
        <f>SUM(M189:M191)</f>
        <v>621889.99400000018</v>
      </c>
      <c r="N188" s="79">
        <f t="shared" si="150"/>
        <v>1.2488135491724204E-2</v>
      </c>
      <c r="O188" s="87">
        <f>M188/OBRA!$D$12</f>
        <v>46.845680508674398</v>
      </c>
      <c r="P188" s="81"/>
    </row>
    <row r="189" spans="1:16" s="1" customFormat="1" ht="19.899999999999999" customHeight="1" outlineLevel="3" x14ac:dyDescent="0.55000000000000004">
      <c r="A189" s="98">
        <f ca="1">IF(G189="UNIDADE CONSTRUTIVA",OFFSET(A189,-1,0)+1,LARGE(A$4:A188,1))</f>
        <v>2</v>
      </c>
      <c r="B189" s="98">
        <f t="shared" ca="1" si="142"/>
        <v>7</v>
      </c>
      <c r="C189" s="98">
        <f t="shared" ca="1" si="143"/>
        <v>3</v>
      </c>
      <c r="D189" s="99">
        <f t="shared" ca="1" si="144"/>
        <v>1</v>
      </c>
      <c r="E189" s="99">
        <f t="shared" ca="1" si="145"/>
        <v>1</v>
      </c>
      <c r="G189" s="75" t="s">
        <v>124</v>
      </c>
      <c r="H189" s="76" t="str">
        <f t="shared" ca="1" si="164"/>
        <v>07.003.001.001</v>
      </c>
      <c r="I189" s="92" t="s">
        <v>44</v>
      </c>
      <c r="J189" s="77" t="s">
        <v>6</v>
      </c>
      <c r="K189" s="78">
        <v>1</v>
      </c>
      <c r="L189" s="87">
        <f t="shared" ref="L189:L191" si="166">M189/K189</f>
        <v>289251.16000000009</v>
      </c>
      <c r="M189" s="130">
        <v>289251.16000000009</v>
      </c>
      <c r="N189" s="79">
        <f t="shared" si="150"/>
        <v>5.808435112429863E-3</v>
      </c>
      <c r="O189" s="87">
        <f>M189/OBRA!$D$12</f>
        <v>21.788688608685767</v>
      </c>
      <c r="P189" s="81"/>
    </row>
    <row r="190" spans="1:16" s="1" customFormat="1" ht="19.899999999999999" customHeight="1" outlineLevel="3" x14ac:dyDescent="0.55000000000000004">
      <c r="A190" s="98">
        <f ca="1">IF(G190="UNIDADE CONSTRUTIVA",OFFSET(A190,-1,0)+1,LARGE(A$4:A189,1))</f>
        <v>2</v>
      </c>
      <c r="B190" s="98">
        <f t="shared" ca="1" si="142"/>
        <v>7</v>
      </c>
      <c r="C190" s="98">
        <f t="shared" ca="1" si="143"/>
        <v>3</v>
      </c>
      <c r="D190" s="99">
        <f t="shared" ca="1" si="144"/>
        <v>1</v>
      </c>
      <c r="E190" s="99">
        <f t="shared" ca="1" si="145"/>
        <v>2</v>
      </c>
      <c r="G190" s="75" t="s">
        <v>124</v>
      </c>
      <c r="H190" s="76" t="str">
        <f t="shared" ca="1" si="164"/>
        <v>07.003.001.002</v>
      </c>
      <c r="I190" s="92" t="s">
        <v>158</v>
      </c>
      <c r="J190" s="77" t="s">
        <v>6</v>
      </c>
      <c r="K190" s="78">
        <v>1</v>
      </c>
      <c r="L190" s="87">
        <f t="shared" si="166"/>
        <v>216938.37000000002</v>
      </c>
      <c r="M190" s="130">
        <v>216938.37000000002</v>
      </c>
      <c r="N190" s="79">
        <f t="shared" si="150"/>
        <v>4.3563263343223959E-3</v>
      </c>
      <c r="O190" s="87">
        <f>M190/OBRA!$D$12</f>
        <v>16.34151645651432</v>
      </c>
      <c r="P190" s="81"/>
    </row>
    <row r="191" spans="1:16" s="1" customFormat="1" ht="19.899999999999999" customHeight="1" outlineLevel="3" x14ac:dyDescent="0.55000000000000004">
      <c r="A191" s="98">
        <f ca="1">IF(G191="UNIDADE CONSTRUTIVA",OFFSET(A191,-1,0)+1,LARGE(A$4:A190,1))</f>
        <v>2</v>
      </c>
      <c r="B191" s="98">
        <f t="shared" ca="1" si="142"/>
        <v>7</v>
      </c>
      <c r="C191" s="98">
        <f t="shared" ca="1" si="143"/>
        <v>3</v>
      </c>
      <c r="D191" s="99">
        <f t="shared" ca="1" si="144"/>
        <v>1</v>
      </c>
      <c r="E191" s="99">
        <f t="shared" ca="1" si="145"/>
        <v>3</v>
      </c>
      <c r="G191" s="75" t="s">
        <v>124</v>
      </c>
      <c r="H191" s="76" t="str">
        <f t="shared" ca="1" si="164"/>
        <v>07.003.001.003</v>
      </c>
      <c r="I191" s="92" t="s">
        <v>45</v>
      </c>
      <c r="J191" s="77" t="s">
        <v>6</v>
      </c>
      <c r="K191" s="78">
        <v>1</v>
      </c>
      <c r="L191" s="87">
        <f t="shared" si="166"/>
        <v>115700.46400000002</v>
      </c>
      <c r="M191" s="130">
        <v>115700.46400000002</v>
      </c>
      <c r="N191" s="79">
        <f t="shared" si="150"/>
        <v>2.3233740449719446E-3</v>
      </c>
      <c r="O191" s="87">
        <f>M191/OBRA!$D$12</f>
        <v>8.7154754434743058</v>
      </c>
      <c r="P191" s="81"/>
    </row>
    <row r="192" spans="1:16" s="1" customFormat="1" ht="19.899999999999999" customHeight="1" outlineLevel="1" x14ac:dyDescent="0.55000000000000004">
      <c r="A192" s="98">
        <f ca="1">IF(G192="UNIDADE CONSTRUTIVA",OFFSET(A192,-1,0)+1,LARGE(A$4:A191,1))</f>
        <v>2</v>
      </c>
      <c r="B192" s="98">
        <f t="shared" ca="1" si="142"/>
        <v>8</v>
      </c>
      <c r="C192" s="98">
        <f t="shared" ca="1" si="143"/>
        <v>0</v>
      </c>
      <c r="D192" s="99">
        <f t="shared" ca="1" si="144"/>
        <v>1</v>
      </c>
      <c r="E192" s="99">
        <f t="shared" ca="1" si="145"/>
        <v>3</v>
      </c>
      <c r="G192" s="75" t="s">
        <v>118</v>
      </c>
      <c r="H192" s="76" t="str">
        <f t="shared" ca="1" si="164"/>
        <v>08</v>
      </c>
      <c r="I192" s="92" t="s">
        <v>163</v>
      </c>
      <c r="J192" s="77"/>
      <c r="K192" s="78"/>
      <c r="L192" s="87"/>
      <c r="M192" s="130">
        <f>M193+M199+M205+M212</f>
        <v>2206547.8820000002</v>
      </c>
      <c r="N192" s="79">
        <f t="shared" si="150"/>
        <v>4.4309555042291074E-2</v>
      </c>
      <c r="O192" s="87">
        <f>M192/OBRA!$D$12</f>
        <v>166.21466514102516</v>
      </c>
      <c r="P192" s="81"/>
    </row>
    <row r="193" spans="1:16" s="1" customFormat="1" ht="19.899999999999999" customHeight="1" outlineLevel="2" x14ac:dyDescent="0.55000000000000004">
      <c r="A193" s="98">
        <f ca="1">IF(G193="UNIDADE CONSTRUTIVA",OFFSET(A193,-1,0)+1,LARGE(A$4:A192,1))</f>
        <v>2</v>
      </c>
      <c r="B193" s="98">
        <f t="shared" ca="1" si="142"/>
        <v>8</v>
      </c>
      <c r="C193" s="98">
        <f t="shared" ca="1" si="143"/>
        <v>1</v>
      </c>
      <c r="D193" s="99">
        <f t="shared" ca="1" si="144"/>
        <v>0</v>
      </c>
      <c r="E193" s="99">
        <f t="shared" ca="1" si="145"/>
        <v>3</v>
      </c>
      <c r="G193" s="75" t="s">
        <v>119</v>
      </c>
      <c r="H193" s="76" t="str">
        <f t="shared" ca="1" si="164"/>
        <v>08.001</v>
      </c>
      <c r="I193" s="92" t="s">
        <v>170</v>
      </c>
      <c r="J193" s="77"/>
      <c r="K193" s="78"/>
      <c r="L193" s="87"/>
      <c r="M193" s="130">
        <f>M194</f>
        <v>672438.00000000012</v>
      </c>
      <c r="N193" s="79">
        <f t="shared" si="150"/>
        <v>1.3503186953968002E-2</v>
      </c>
      <c r="O193" s="87">
        <f>M193/OBRA!$D$12</f>
        <v>50.653356725163825</v>
      </c>
      <c r="P193" s="81"/>
    </row>
    <row r="194" spans="1:16" s="1" customFormat="1" ht="19.899999999999999" customHeight="1" outlineLevel="2" x14ac:dyDescent="0.55000000000000004">
      <c r="A194" s="98">
        <f ca="1">IF(G194="UNIDADE CONSTRUTIVA",OFFSET(A194,-1,0)+1,LARGE(A$4:A193,1))</f>
        <v>2</v>
      </c>
      <c r="B194" s="98">
        <f t="shared" ca="1" si="142"/>
        <v>8</v>
      </c>
      <c r="C194" s="98">
        <f t="shared" ca="1" si="143"/>
        <v>1</v>
      </c>
      <c r="D194" s="99">
        <f t="shared" ca="1" si="144"/>
        <v>1</v>
      </c>
      <c r="E194" s="99">
        <f t="shared" ca="1" si="145"/>
        <v>0</v>
      </c>
      <c r="G194" s="75" t="s">
        <v>120</v>
      </c>
      <c r="H194" s="76" t="str">
        <f t="shared" ca="1" si="164"/>
        <v>08.001.001</v>
      </c>
      <c r="I194" s="92" t="s">
        <v>287</v>
      </c>
      <c r="J194" s="77"/>
      <c r="K194" s="78"/>
      <c r="L194" s="87"/>
      <c r="M194" s="130">
        <f>SUM(M195:M198)</f>
        <v>672438.00000000012</v>
      </c>
      <c r="N194" s="79">
        <f t="shared" si="150"/>
        <v>1.3503186953968002E-2</v>
      </c>
      <c r="O194" s="87">
        <f>M194/OBRA!$D$12</f>
        <v>50.653356725163825</v>
      </c>
      <c r="P194" s="81"/>
    </row>
    <row r="195" spans="1:16" s="1" customFormat="1" ht="19.899999999999999" customHeight="1" outlineLevel="3" x14ac:dyDescent="0.55000000000000004">
      <c r="A195" s="98">
        <f ca="1">IF(G195="UNIDADE CONSTRUTIVA",OFFSET(A195,-1,0)+1,LARGE(A$4:A194,1))</f>
        <v>2</v>
      </c>
      <c r="B195" s="98">
        <f t="shared" ca="1" si="142"/>
        <v>8</v>
      </c>
      <c r="C195" s="98">
        <f t="shared" ca="1" si="143"/>
        <v>1</v>
      </c>
      <c r="D195" s="99">
        <f t="shared" ca="1" si="144"/>
        <v>1</v>
      </c>
      <c r="E195" s="99">
        <f t="shared" ca="1" si="145"/>
        <v>1</v>
      </c>
      <c r="G195" s="75" t="s">
        <v>124</v>
      </c>
      <c r="H195" s="76" t="str">
        <f t="shared" ca="1" si="164"/>
        <v>08.001.001.001</v>
      </c>
      <c r="I195" s="92" t="s">
        <v>171</v>
      </c>
      <c r="J195" s="77" t="s">
        <v>84</v>
      </c>
      <c r="K195" s="78">
        <v>291</v>
      </c>
      <c r="L195" s="87">
        <f t="shared" ref="L195:L198" si="167">M195/K195</f>
        <v>1320.0000000000002</v>
      </c>
      <c r="M195" s="130">
        <v>384120.00000000006</v>
      </c>
      <c r="N195" s="79">
        <f t="shared" si="150"/>
        <v>7.7134905712618702E-3</v>
      </c>
      <c r="O195" s="87">
        <f>M195/OBRA!$D$12</f>
        <v>28.934961119493437</v>
      </c>
      <c r="P195" s="81" t="s">
        <v>291</v>
      </c>
    </row>
    <row r="196" spans="1:16" s="1" customFormat="1" ht="19.899999999999999" customHeight="1" outlineLevel="3" x14ac:dyDescent="0.55000000000000004">
      <c r="A196" s="98">
        <f ca="1">IF(G196="UNIDADE CONSTRUTIVA",OFFSET(A196,-1,0)+1,LARGE(A$4:A195,1))</f>
        <v>2</v>
      </c>
      <c r="B196" s="98">
        <f t="shared" ca="1" si="142"/>
        <v>8</v>
      </c>
      <c r="C196" s="98">
        <f t="shared" ca="1" si="143"/>
        <v>1</v>
      </c>
      <c r="D196" s="99">
        <f t="shared" ca="1" si="144"/>
        <v>1</v>
      </c>
      <c r="E196" s="99">
        <f t="shared" ca="1" si="145"/>
        <v>2</v>
      </c>
      <c r="G196" s="75" t="s">
        <v>124</v>
      </c>
      <c r="H196" s="76" t="str">
        <f t="shared" ca="1" si="164"/>
        <v>08.001.001.002</v>
      </c>
      <c r="I196" s="92" t="s">
        <v>172</v>
      </c>
      <c r="J196" s="77" t="s">
        <v>84</v>
      </c>
      <c r="K196" s="78">
        <v>8</v>
      </c>
      <c r="L196" s="87">
        <f t="shared" si="167"/>
        <v>5500</v>
      </c>
      <c r="M196" s="130">
        <v>44000</v>
      </c>
      <c r="N196" s="79">
        <f t="shared" si="150"/>
        <v>8.8356134836905706E-4</v>
      </c>
      <c r="O196" s="87">
        <f>M196/OBRA!$D$12</f>
        <v>3.3144285360244483</v>
      </c>
      <c r="P196" s="81" t="s">
        <v>292</v>
      </c>
    </row>
    <row r="197" spans="1:16" s="1" customFormat="1" ht="19.899999999999999" customHeight="1" outlineLevel="3" x14ac:dyDescent="0.55000000000000004">
      <c r="A197" s="98">
        <f ca="1">IF(G197="UNIDADE CONSTRUTIVA",OFFSET(A197,-1,0)+1,LARGE(A$4:A196,1))</f>
        <v>2</v>
      </c>
      <c r="B197" s="98">
        <f t="shared" ref="B197:B253" ca="1" si="168">IF(G197="UNIDADE CONSTRUTIVA",0,IF(G197="CÉLULA CONSTRUTIVA",OFFSET(B197,-1,0)+1,OFFSET(B197,-1,0)))</f>
        <v>8</v>
      </c>
      <c r="C197" s="98">
        <f t="shared" ref="C197:C253" ca="1" si="169">IF(G197="CÉLULA CONSTRUTIVA",0,IF(G197="ETAPA",OFFSET(C197,-1,0)+1,OFFSET(C197,-1,0)))</f>
        <v>1</v>
      </c>
      <c r="D197" s="99">
        <f t="shared" ref="D197:D253" ca="1" si="170">IF(G197="ETAPA",0,IF(G197="SUBETAPA",OFFSET(D197,-1,0)+1,OFFSET(D197,-1,0)))</f>
        <v>1</v>
      </c>
      <c r="E197" s="99">
        <f t="shared" ref="E197:E253" ca="1" si="171">IF(G197="Subetapa",0,IF(G197="serviço",OFFSET(E197,-1,0)+1,OFFSET(E197,-1,0)))</f>
        <v>3</v>
      </c>
      <c r="G197" s="75" t="s">
        <v>124</v>
      </c>
      <c r="H197" s="76" t="str">
        <f t="shared" ca="1" si="164"/>
        <v>08.001.001.003</v>
      </c>
      <c r="I197" s="92" t="s">
        <v>46</v>
      </c>
      <c r="J197" s="77" t="s">
        <v>84</v>
      </c>
      <c r="K197" s="78">
        <v>217</v>
      </c>
      <c r="L197" s="87">
        <f t="shared" si="167"/>
        <v>990.00000000000011</v>
      </c>
      <c r="M197" s="130">
        <v>214830.00000000003</v>
      </c>
      <c r="N197" s="79">
        <f t="shared" si="150"/>
        <v>4.3139882834119219E-3</v>
      </c>
      <c r="O197" s="87">
        <f>M197/OBRA!$D$12</f>
        <v>16.182697327139369</v>
      </c>
      <c r="P197" s="81" t="s">
        <v>290</v>
      </c>
    </row>
    <row r="198" spans="1:16" s="1" customFormat="1" ht="19.899999999999999" customHeight="1" outlineLevel="3" x14ac:dyDescent="0.55000000000000004">
      <c r="A198" s="98">
        <f ca="1">IF(G198="UNIDADE CONSTRUTIVA",OFFSET(A198,-1,0)+1,LARGE(A$4:A197,1))</f>
        <v>2</v>
      </c>
      <c r="B198" s="98">
        <f t="shared" ca="1" si="168"/>
        <v>8</v>
      </c>
      <c r="C198" s="98">
        <f t="shared" ca="1" si="169"/>
        <v>1</v>
      </c>
      <c r="D198" s="99">
        <f t="shared" ca="1" si="170"/>
        <v>1</v>
      </c>
      <c r="E198" s="99">
        <f t="shared" ca="1" si="171"/>
        <v>4</v>
      </c>
      <c r="G198" s="75" t="s">
        <v>124</v>
      </c>
      <c r="H198" s="76" t="str">
        <f t="shared" ref="H198:H216" ca="1" si="172">IF(G198="Unidade Construtiva",CONCATENATE("UC ",TEXT(A198,"00")),IF(G198="Célula Construtiva",TEXT(B198,"00"),IF(G198="Etapa",CONCATENATE(TEXT(B198,"00"),".",TEXT(C198,"000")),IF(G198="Subetapa",CONCATENATE(TEXT(B198,"00"),".",TEXT(C198,"000"),".",TEXT(D198,"000")),IF(G198="Serviço",CONCATENATE(TEXT(B198,"00"),".",TEXT(C198,"000"),".",TEXT(D198,"000"),".",TEXT(E198,"000")),"")))))</f>
        <v>08.001.001.004</v>
      </c>
      <c r="I198" s="92" t="s">
        <v>135</v>
      </c>
      <c r="J198" s="77" t="s">
        <v>84</v>
      </c>
      <c r="K198" s="78">
        <v>86</v>
      </c>
      <c r="L198" s="87">
        <f t="shared" si="167"/>
        <v>342.88372093023258</v>
      </c>
      <c r="M198" s="130">
        <v>29488.000000000004</v>
      </c>
      <c r="N198" s="79">
        <f t="shared" si="150"/>
        <v>5.9214675092515365E-4</v>
      </c>
      <c r="O198" s="87">
        <f>M198/OBRA!$D$12</f>
        <v>2.2212697425065668</v>
      </c>
      <c r="P198" s="81" t="s">
        <v>389</v>
      </c>
    </row>
    <row r="199" spans="1:16" s="1" customFormat="1" ht="19.899999999999999" customHeight="1" outlineLevel="2" x14ac:dyDescent="0.55000000000000004">
      <c r="A199" s="98">
        <f ca="1">IF(G199="UNIDADE CONSTRUTIVA",OFFSET(A199,-1,0)+1,LARGE(A$4:A198,1))</f>
        <v>2</v>
      </c>
      <c r="B199" s="98">
        <f t="shared" ca="1" si="168"/>
        <v>8</v>
      </c>
      <c r="C199" s="98">
        <f t="shared" ca="1" si="169"/>
        <v>2</v>
      </c>
      <c r="D199" s="99">
        <f t="shared" ca="1" si="170"/>
        <v>0</v>
      </c>
      <c r="E199" s="99">
        <f t="shared" ca="1" si="171"/>
        <v>4</v>
      </c>
      <c r="G199" s="75" t="s">
        <v>119</v>
      </c>
      <c r="H199" s="76" t="str">
        <f t="shared" ca="1" si="172"/>
        <v>08.002</v>
      </c>
      <c r="I199" s="92" t="s">
        <v>169</v>
      </c>
      <c r="J199" s="77"/>
      <c r="K199" s="78"/>
      <c r="L199" s="87"/>
      <c r="M199" s="130">
        <f>M200</f>
        <v>219438.37000000005</v>
      </c>
      <c r="N199" s="79">
        <f t="shared" si="150"/>
        <v>4.4065286836615473E-3</v>
      </c>
      <c r="O199" s="87">
        <f>M199/OBRA!$D$12</f>
        <v>16.529836259697532</v>
      </c>
      <c r="P199" s="81"/>
    </row>
    <row r="200" spans="1:16" s="1" customFormat="1" ht="19.899999999999999" customHeight="1" outlineLevel="2" x14ac:dyDescent="0.55000000000000004">
      <c r="A200" s="98">
        <f ca="1">IF(G200="UNIDADE CONSTRUTIVA",OFFSET(A200,-1,0)+1,LARGE(A$4:A199,1))</f>
        <v>2</v>
      </c>
      <c r="B200" s="98">
        <f t="shared" ca="1" si="168"/>
        <v>8</v>
      </c>
      <c r="C200" s="98">
        <f t="shared" ca="1" si="169"/>
        <v>2</v>
      </c>
      <c r="D200" s="99">
        <f t="shared" ca="1" si="170"/>
        <v>1</v>
      </c>
      <c r="E200" s="99">
        <f t="shared" ca="1" si="171"/>
        <v>0</v>
      </c>
      <c r="G200" s="75" t="s">
        <v>120</v>
      </c>
      <c r="H200" s="76" t="str">
        <f t="shared" ca="1" si="172"/>
        <v>08.002.001</v>
      </c>
      <c r="I200" s="92" t="s">
        <v>288</v>
      </c>
      <c r="J200" s="77"/>
      <c r="K200" s="78"/>
      <c r="L200" s="87"/>
      <c r="M200" s="130">
        <f>SUM(M201:M204)</f>
        <v>219438.37000000005</v>
      </c>
      <c r="N200" s="79">
        <f t="shared" si="150"/>
        <v>4.4065286836615473E-3</v>
      </c>
      <c r="O200" s="87">
        <f>M200/OBRA!$D$12</f>
        <v>16.529836259697532</v>
      </c>
      <c r="P200" s="81"/>
    </row>
    <row r="201" spans="1:16" s="1" customFormat="1" ht="19.899999999999999" customHeight="1" outlineLevel="3" x14ac:dyDescent="0.55000000000000004">
      <c r="A201" s="98">
        <f ca="1">IF(G201="UNIDADE CONSTRUTIVA",OFFSET(A201,-1,0)+1,LARGE(A$4:A200,1))</f>
        <v>2</v>
      </c>
      <c r="B201" s="98">
        <f t="shared" ca="1" si="168"/>
        <v>8</v>
      </c>
      <c r="C201" s="98">
        <f t="shared" ca="1" si="169"/>
        <v>2</v>
      </c>
      <c r="D201" s="99">
        <f t="shared" ca="1" si="170"/>
        <v>1</v>
      </c>
      <c r="E201" s="99">
        <f t="shared" ca="1" si="171"/>
        <v>1</v>
      </c>
      <c r="G201" s="75" t="s">
        <v>124</v>
      </c>
      <c r="H201" s="76" t="str">
        <f t="shared" ca="1" si="172"/>
        <v>08.002.001.001</v>
      </c>
      <c r="I201" s="92" t="s">
        <v>159</v>
      </c>
      <c r="J201" s="77" t="s">
        <v>6</v>
      </c>
      <c r="K201" s="78">
        <v>1</v>
      </c>
      <c r="L201" s="87">
        <f t="shared" ref="L201:L204" si="173">M201/K201</f>
        <v>31425.116000000005</v>
      </c>
      <c r="M201" s="130">
        <v>31425.116000000005</v>
      </c>
      <c r="N201" s="79">
        <f t="shared" si="150"/>
        <v>6.3104586058213713E-4</v>
      </c>
      <c r="O201" s="87">
        <f>M201/OBRA!$D$12</f>
        <v>2.3671886640517839</v>
      </c>
      <c r="P201" s="81" t="s">
        <v>388</v>
      </c>
    </row>
    <row r="202" spans="1:16" s="1" customFormat="1" ht="19.899999999999999" customHeight="1" outlineLevel="3" x14ac:dyDescent="0.55000000000000004">
      <c r="A202" s="98">
        <f ca="1">IF(G202="UNIDADE CONSTRUTIVA",OFFSET(A202,-1,0)+1,LARGE(A$4:A201,1))</f>
        <v>2</v>
      </c>
      <c r="B202" s="98">
        <f t="shared" ca="1" si="168"/>
        <v>8</v>
      </c>
      <c r="C202" s="98">
        <f t="shared" ca="1" si="169"/>
        <v>2</v>
      </c>
      <c r="D202" s="99">
        <f t="shared" ca="1" si="170"/>
        <v>1</v>
      </c>
      <c r="E202" s="99">
        <f t="shared" ca="1" si="171"/>
        <v>2</v>
      </c>
      <c r="G202" s="75" t="s">
        <v>124</v>
      </c>
      <c r="H202" s="76" t="str">
        <f t="shared" ca="1" si="172"/>
        <v>08.002.001.002</v>
      </c>
      <c r="I202" s="92" t="s">
        <v>160</v>
      </c>
      <c r="J202" s="77" t="s">
        <v>6</v>
      </c>
      <c r="K202" s="78">
        <v>1</v>
      </c>
      <c r="L202" s="87">
        <f t="shared" si="173"/>
        <v>72312.790000000023</v>
      </c>
      <c r="M202" s="130">
        <v>72312.790000000023</v>
      </c>
      <c r="N202" s="79">
        <f t="shared" si="150"/>
        <v>1.4521087781074657E-3</v>
      </c>
      <c r="O202" s="87">
        <f>M202/OBRA!$D$12</f>
        <v>5.4471721521714418</v>
      </c>
      <c r="P202" s="81"/>
    </row>
    <row r="203" spans="1:16" s="1" customFormat="1" ht="19.899999999999999" customHeight="1" outlineLevel="3" x14ac:dyDescent="0.55000000000000004">
      <c r="A203" s="98">
        <f ca="1">IF(G203="UNIDADE CONSTRUTIVA",OFFSET(A203,-1,0)+1,LARGE(A$4:A202,1))</f>
        <v>2</v>
      </c>
      <c r="B203" s="98">
        <f t="shared" ca="1" si="168"/>
        <v>8</v>
      </c>
      <c r="C203" s="98">
        <f t="shared" ca="1" si="169"/>
        <v>2</v>
      </c>
      <c r="D203" s="99">
        <f t="shared" ca="1" si="170"/>
        <v>1</v>
      </c>
      <c r="E203" s="99">
        <f t="shared" ca="1" si="171"/>
        <v>3</v>
      </c>
      <c r="G203" s="75" t="s">
        <v>124</v>
      </c>
      <c r="H203" s="76" t="str">
        <f t="shared" ca="1" si="172"/>
        <v>08.002.001.003</v>
      </c>
      <c r="I203" s="92" t="s">
        <v>161</v>
      </c>
      <c r="J203" s="77" t="s">
        <v>6</v>
      </c>
      <c r="K203" s="78">
        <v>1</v>
      </c>
      <c r="L203" s="87">
        <f t="shared" si="173"/>
        <v>43387.674000000006</v>
      </c>
      <c r="M203" s="130">
        <v>43387.674000000006</v>
      </c>
      <c r="N203" s="79">
        <f t="shared" si="150"/>
        <v>8.7126526686447927E-4</v>
      </c>
      <c r="O203" s="87">
        <f>M203/OBRA!$D$12</f>
        <v>3.2683032913028645</v>
      </c>
      <c r="P203" s="81"/>
    </row>
    <row r="204" spans="1:16" s="1" customFormat="1" ht="19.899999999999999" customHeight="1" outlineLevel="3" x14ac:dyDescent="0.55000000000000004">
      <c r="A204" s="98">
        <f ca="1">IF(G204="UNIDADE CONSTRUTIVA",OFFSET(A204,-1,0)+1,LARGE(A$4:A203,1))</f>
        <v>2</v>
      </c>
      <c r="B204" s="98">
        <f t="shared" ca="1" si="168"/>
        <v>8</v>
      </c>
      <c r="C204" s="98">
        <f t="shared" ca="1" si="169"/>
        <v>2</v>
      </c>
      <c r="D204" s="99">
        <f t="shared" ca="1" si="170"/>
        <v>1</v>
      </c>
      <c r="E204" s="99">
        <f t="shared" ca="1" si="171"/>
        <v>4</v>
      </c>
      <c r="G204" s="75" t="s">
        <v>124</v>
      </c>
      <c r="H204" s="76" t="str">
        <f t="shared" ca="1" si="172"/>
        <v>08.002.001.004</v>
      </c>
      <c r="I204" s="92" t="s">
        <v>162</v>
      </c>
      <c r="J204" s="77" t="s">
        <v>6</v>
      </c>
      <c r="K204" s="78">
        <v>1</v>
      </c>
      <c r="L204" s="87">
        <f t="shared" si="173"/>
        <v>72312.790000000023</v>
      </c>
      <c r="M204" s="130">
        <v>72312.790000000023</v>
      </c>
      <c r="N204" s="79">
        <f t="shared" si="150"/>
        <v>1.4521087781074657E-3</v>
      </c>
      <c r="O204" s="87">
        <f>M204/OBRA!$D$12</f>
        <v>5.4471721521714418</v>
      </c>
      <c r="P204" s="81"/>
    </row>
    <row r="205" spans="1:16" s="1" customFormat="1" ht="19.899999999999999" customHeight="1" outlineLevel="2" x14ac:dyDescent="0.55000000000000004">
      <c r="A205" s="98">
        <f ca="1">IF(G205="UNIDADE CONSTRUTIVA",OFFSET(A205,-1,0)+1,LARGE(A$4:A204,1))</f>
        <v>2</v>
      </c>
      <c r="B205" s="98">
        <f t="shared" ca="1" si="168"/>
        <v>8</v>
      </c>
      <c r="C205" s="98">
        <f t="shared" ca="1" si="169"/>
        <v>3</v>
      </c>
      <c r="D205" s="99">
        <f t="shared" ca="1" si="170"/>
        <v>0</v>
      </c>
      <c r="E205" s="99">
        <f t="shared" ca="1" si="171"/>
        <v>4</v>
      </c>
      <c r="G205" s="75" t="s">
        <v>119</v>
      </c>
      <c r="H205" s="76" t="str">
        <f t="shared" ca="1" si="172"/>
        <v>08.003</v>
      </c>
      <c r="I205" s="92" t="s">
        <v>106</v>
      </c>
      <c r="J205" s="77"/>
      <c r="K205" s="78"/>
      <c r="L205" s="87"/>
      <c r="M205" s="130">
        <f>M206</f>
        <v>1025420.3520000001</v>
      </c>
      <c r="N205" s="79">
        <f t="shared" si="150"/>
        <v>2.0591404292231663E-2</v>
      </c>
      <c r="O205" s="87">
        <f>M205/OBRA!$D$12</f>
        <v>77.242783547478055</v>
      </c>
      <c r="P205" s="81"/>
    </row>
    <row r="206" spans="1:16" s="1" customFormat="1" ht="19.899999999999999" customHeight="1" outlineLevel="2" x14ac:dyDescent="0.55000000000000004">
      <c r="A206" s="98">
        <f ca="1">IF(G206="UNIDADE CONSTRUTIVA",OFFSET(A206,-1,0)+1,LARGE(A$4:A205,1))</f>
        <v>2</v>
      </c>
      <c r="B206" s="98">
        <f t="shared" ca="1" si="168"/>
        <v>8</v>
      </c>
      <c r="C206" s="98">
        <f t="shared" ca="1" si="169"/>
        <v>3</v>
      </c>
      <c r="D206" s="99">
        <f t="shared" ca="1" si="170"/>
        <v>1</v>
      </c>
      <c r="E206" s="99">
        <f t="shared" ca="1" si="171"/>
        <v>0</v>
      </c>
      <c r="G206" s="75" t="s">
        <v>120</v>
      </c>
      <c r="H206" s="76" t="str">
        <f t="shared" ca="1" si="172"/>
        <v>08.003.001</v>
      </c>
      <c r="I206" s="92" t="s">
        <v>289</v>
      </c>
      <c r="J206" s="77"/>
      <c r="K206" s="78"/>
      <c r="L206" s="87"/>
      <c r="M206" s="130">
        <f>SUM(M207:M211)</f>
        <v>1025420.3520000001</v>
      </c>
      <c r="N206" s="79">
        <f t="shared" si="150"/>
        <v>2.0591404292231663E-2</v>
      </c>
      <c r="O206" s="87">
        <f>M206/OBRA!$D$12</f>
        <v>77.242783547478055</v>
      </c>
      <c r="P206" s="81"/>
    </row>
    <row r="207" spans="1:16" s="1" customFormat="1" ht="19.899999999999999" customHeight="1" outlineLevel="3" x14ac:dyDescent="0.55000000000000004">
      <c r="A207" s="98">
        <f ca="1">IF(G207="UNIDADE CONSTRUTIVA",OFFSET(A207,-1,0)+1,LARGE(A$4:A206,1))</f>
        <v>2</v>
      </c>
      <c r="B207" s="98">
        <f t="shared" ca="1" si="168"/>
        <v>8</v>
      </c>
      <c r="C207" s="98">
        <f t="shared" ca="1" si="169"/>
        <v>3</v>
      </c>
      <c r="D207" s="99">
        <f t="shared" ca="1" si="170"/>
        <v>1</v>
      </c>
      <c r="E207" s="99">
        <f t="shared" ca="1" si="171"/>
        <v>1</v>
      </c>
      <c r="G207" s="75" t="s">
        <v>124</v>
      </c>
      <c r="H207" s="76" t="str">
        <f t="shared" ca="1" si="172"/>
        <v>08.003.001.001</v>
      </c>
      <c r="I207" s="92" t="s">
        <v>164</v>
      </c>
      <c r="J207" s="77" t="s">
        <v>22</v>
      </c>
      <c r="K207" s="78">
        <v>2</v>
      </c>
      <c r="L207" s="87">
        <f t="shared" ref="L207:L211" si="174">M207/K207</f>
        <v>438988.17600000004</v>
      </c>
      <c r="M207" s="130">
        <v>877976.35200000007</v>
      </c>
      <c r="N207" s="79">
        <f t="shared" si="150"/>
        <v>1.7630590213846956E-2</v>
      </c>
      <c r="O207" s="87">
        <f>M207/OBRA!$D$12</f>
        <v>66.136133523260128</v>
      </c>
      <c r="P207" s="81"/>
    </row>
    <row r="208" spans="1:16" s="1" customFormat="1" ht="19.899999999999999" customHeight="1" outlineLevel="3" x14ac:dyDescent="0.55000000000000004">
      <c r="A208" s="98">
        <f ca="1">IF(G208="UNIDADE CONSTRUTIVA",OFFSET(A208,-1,0)+1,LARGE(A$4:A207,1))</f>
        <v>2</v>
      </c>
      <c r="B208" s="98">
        <f t="shared" ca="1" si="168"/>
        <v>8</v>
      </c>
      <c r="C208" s="98">
        <f t="shared" ca="1" si="169"/>
        <v>3</v>
      </c>
      <c r="D208" s="99">
        <f t="shared" ca="1" si="170"/>
        <v>1</v>
      </c>
      <c r="E208" s="99">
        <f t="shared" ca="1" si="171"/>
        <v>2</v>
      </c>
      <c r="G208" s="75" t="s">
        <v>124</v>
      </c>
      <c r="H208" s="76" t="str">
        <f t="shared" ca="1" si="172"/>
        <v>08.003.001.002</v>
      </c>
      <c r="I208" s="92" t="s">
        <v>166</v>
      </c>
      <c r="J208" s="77" t="s">
        <v>22</v>
      </c>
      <c r="K208" s="78">
        <v>1</v>
      </c>
      <c r="L208" s="87">
        <f t="shared" si="174"/>
        <v>55000</v>
      </c>
      <c r="M208" s="130">
        <v>55000</v>
      </c>
      <c r="N208" s="79">
        <f t="shared" si="150"/>
        <v>1.1044516854613214E-3</v>
      </c>
      <c r="O208" s="87">
        <f>M208/OBRA!$D$12</f>
        <v>4.1430356700305602</v>
      </c>
      <c r="P208" s="81" t="s">
        <v>387</v>
      </c>
    </row>
    <row r="209" spans="1:16" s="1" customFormat="1" ht="19.899999999999999" customHeight="1" outlineLevel="3" x14ac:dyDescent="0.55000000000000004">
      <c r="A209" s="98">
        <f ca="1">IF(G209="UNIDADE CONSTRUTIVA",OFFSET(A209,-1,0)+1,LARGE(A$4:A208,1))</f>
        <v>2</v>
      </c>
      <c r="B209" s="98">
        <f t="shared" ca="1" si="168"/>
        <v>8</v>
      </c>
      <c r="C209" s="98">
        <f t="shared" ca="1" si="169"/>
        <v>3</v>
      </c>
      <c r="D209" s="99">
        <f t="shared" ca="1" si="170"/>
        <v>1</v>
      </c>
      <c r="E209" s="99">
        <f t="shared" ca="1" si="171"/>
        <v>3</v>
      </c>
      <c r="G209" s="75" t="s">
        <v>124</v>
      </c>
      <c r="H209" s="76" t="str">
        <f t="shared" ca="1" si="172"/>
        <v>08.003.001.003</v>
      </c>
      <c r="I209" s="92" t="s">
        <v>293</v>
      </c>
      <c r="J209" s="77" t="s">
        <v>6</v>
      </c>
      <c r="K209" s="78">
        <v>1</v>
      </c>
      <c r="L209" s="87">
        <f t="shared" si="174"/>
        <v>13200.000000000002</v>
      </c>
      <c r="M209" s="130">
        <v>13200.000000000002</v>
      </c>
      <c r="N209" s="79">
        <f t="shared" si="150"/>
        <v>2.6506840451071716E-4</v>
      </c>
      <c r="O209" s="87">
        <f>M209/OBRA!$D$12</f>
        <v>0.99432856080733456</v>
      </c>
      <c r="P209" s="81"/>
    </row>
    <row r="210" spans="1:16" s="1" customFormat="1" ht="19.899999999999999" customHeight="1" outlineLevel="3" x14ac:dyDescent="0.55000000000000004">
      <c r="A210" s="98">
        <f ca="1">IF(G210="UNIDADE CONSTRUTIVA",OFFSET(A210,-1,0)+1,LARGE(A$4:A209,1))</f>
        <v>2</v>
      </c>
      <c r="B210" s="98">
        <f t="shared" ca="1" si="168"/>
        <v>8</v>
      </c>
      <c r="C210" s="98">
        <f t="shared" ca="1" si="169"/>
        <v>3</v>
      </c>
      <c r="D210" s="99">
        <f t="shared" ca="1" si="170"/>
        <v>1</v>
      </c>
      <c r="E210" s="99">
        <f t="shared" ca="1" si="171"/>
        <v>4</v>
      </c>
      <c r="G210" s="75" t="s">
        <v>124</v>
      </c>
      <c r="H210" s="76" t="str">
        <f t="shared" ca="1" si="172"/>
        <v>08.003.001.004</v>
      </c>
      <c r="I210" s="92" t="s">
        <v>165</v>
      </c>
      <c r="J210" s="77" t="s">
        <v>22</v>
      </c>
      <c r="K210" s="78">
        <v>84</v>
      </c>
      <c r="L210" s="87">
        <f t="shared" si="174"/>
        <v>616.00000000000011</v>
      </c>
      <c r="M210" s="130">
        <v>51744.000000000007</v>
      </c>
      <c r="N210" s="79">
        <f t="shared" si="150"/>
        <v>1.0390681456820114E-3</v>
      </c>
      <c r="O210" s="87">
        <f>M210/OBRA!$D$12</f>
        <v>3.8977679583647515</v>
      </c>
      <c r="P210" s="81"/>
    </row>
    <row r="211" spans="1:16" s="1" customFormat="1" ht="19.899999999999999" customHeight="1" outlineLevel="3" x14ac:dyDescent="0.55000000000000004">
      <c r="A211" s="98">
        <f ca="1">IF(G211="UNIDADE CONSTRUTIVA",OFFSET(A211,-1,0)+1,LARGE(A$4:A210,1))</f>
        <v>2</v>
      </c>
      <c r="B211" s="98">
        <f t="shared" ca="1" si="168"/>
        <v>8</v>
      </c>
      <c r="C211" s="98">
        <f t="shared" ca="1" si="169"/>
        <v>3</v>
      </c>
      <c r="D211" s="99">
        <f t="shared" ca="1" si="170"/>
        <v>1</v>
      </c>
      <c r="E211" s="99">
        <f t="shared" ca="1" si="171"/>
        <v>5</v>
      </c>
      <c r="G211" s="75" t="s">
        <v>124</v>
      </c>
      <c r="H211" s="76" t="str">
        <f t="shared" ca="1" si="172"/>
        <v>08.003.001.005</v>
      </c>
      <c r="I211" s="92" t="s">
        <v>294</v>
      </c>
      <c r="J211" s="77" t="s">
        <v>22</v>
      </c>
      <c r="K211" s="78">
        <v>1</v>
      </c>
      <c r="L211" s="87">
        <f t="shared" si="174"/>
        <v>27500.000000000004</v>
      </c>
      <c r="M211" s="130">
        <v>27500.000000000004</v>
      </c>
      <c r="N211" s="79">
        <f t="shared" si="150"/>
        <v>5.522258427306608E-4</v>
      </c>
      <c r="O211" s="87">
        <f>M211/OBRA!$D$12</f>
        <v>2.0715178350152805</v>
      </c>
      <c r="P211" s="81"/>
    </row>
    <row r="212" spans="1:16" s="1" customFormat="1" ht="19.899999999999999" customHeight="1" outlineLevel="2" x14ac:dyDescent="0.55000000000000004">
      <c r="A212" s="98">
        <f ca="1">IF(G212="UNIDADE CONSTRUTIVA",OFFSET(A212,-1,0)+1,LARGE(A$4:A211,1))</f>
        <v>2</v>
      </c>
      <c r="B212" s="98">
        <f t="shared" ca="1" si="168"/>
        <v>8</v>
      </c>
      <c r="C212" s="98">
        <f t="shared" ca="1" si="169"/>
        <v>4</v>
      </c>
      <c r="D212" s="99">
        <f t="shared" ca="1" si="170"/>
        <v>0</v>
      </c>
      <c r="E212" s="99">
        <f t="shared" ca="1" si="171"/>
        <v>5</v>
      </c>
      <c r="G212" s="75" t="s">
        <v>119</v>
      </c>
      <c r="H212" s="76" t="str">
        <f t="shared" ca="1" si="172"/>
        <v>08.004</v>
      </c>
      <c r="I212" s="92" t="s">
        <v>167</v>
      </c>
      <c r="J212" s="77"/>
      <c r="K212" s="78"/>
      <c r="L212" s="87"/>
      <c r="M212" s="130">
        <f>M213</f>
        <v>289251.16000000009</v>
      </c>
      <c r="N212" s="79">
        <f t="shared" si="150"/>
        <v>5.808435112429863E-3</v>
      </c>
      <c r="O212" s="87">
        <f>M212/OBRA!$D$12</f>
        <v>21.788688608685767</v>
      </c>
      <c r="P212" s="81"/>
    </row>
    <row r="213" spans="1:16" s="1" customFormat="1" ht="19.899999999999999" customHeight="1" outlineLevel="2" x14ac:dyDescent="0.55000000000000004">
      <c r="A213" s="98">
        <f ca="1">IF(G213="UNIDADE CONSTRUTIVA",OFFSET(A213,-1,0)+1,LARGE(A$4:A212,1))</f>
        <v>2</v>
      </c>
      <c r="B213" s="98">
        <f t="shared" ca="1" si="168"/>
        <v>8</v>
      </c>
      <c r="C213" s="98">
        <f t="shared" ca="1" si="169"/>
        <v>4</v>
      </c>
      <c r="D213" s="99">
        <f t="shared" ca="1" si="170"/>
        <v>1</v>
      </c>
      <c r="E213" s="99">
        <f t="shared" ca="1" si="171"/>
        <v>0</v>
      </c>
      <c r="G213" s="75" t="s">
        <v>120</v>
      </c>
      <c r="H213" s="76" t="str">
        <f t="shared" ca="1" si="172"/>
        <v>08.004.001</v>
      </c>
      <c r="I213" s="92" t="s">
        <v>168</v>
      </c>
      <c r="J213" s="77"/>
      <c r="K213" s="78"/>
      <c r="L213" s="87"/>
      <c r="M213" s="130">
        <f>M214</f>
        <v>289251.16000000009</v>
      </c>
      <c r="N213" s="79">
        <f t="shared" si="150"/>
        <v>5.808435112429863E-3</v>
      </c>
      <c r="O213" s="87">
        <f>M213/OBRA!$D$12</f>
        <v>21.788688608685767</v>
      </c>
      <c r="P213" s="81"/>
    </row>
    <row r="214" spans="1:16" s="1" customFormat="1" ht="19.899999999999999" customHeight="1" outlineLevel="3" x14ac:dyDescent="0.55000000000000004">
      <c r="A214" s="98">
        <f ca="1">IF(G214="UNIDADE CONSTRUTIVA",OFFSET(A214,-1,0)+1,LARGE(A$4:A213,1))</f>
        <v>2</v>
      </c>
      <c r="B214" s="98">
        <f t="shared" ca="1" si="168"/>
        <v>8</v>
      </c>
      <c r="C214" s="98">
        <f t="shared" ca="1" si="169"/>
        <v>4</v>
      </c>
      <c r="D214" s="99">
        <f t="shared" ca="1" si="170"/>
        <v>1</v>
      </c>
      <c r="E214" s="99">
        <f t="shared" ca="1" si="171"/>
        <v>1</v>
      </c>
      <c r="G214" s="75" t="s">
        <v>124</v>
      </c>
      <c r="H214" s="76" t="str">
        <f t="shared" ca="1" si="172"/>
        <v>08.004.001.001</v>
      </c>
      <c r="I214" s="92" t="s">
        <v>168</v>
      </c>
      <c r="J214" s="77" t="s">
        <v>6</v>
      </c>
      <c r="K214" s="78">
        <v>1</v>
      </c>
      <c r="L214" s="87">
        <f t="shared" ref="L214" si="175">M214/K214</f>
        <v>289251.16000000009</v>
      </c>
      <c r="M214" s="130">
        <v>289251.16000000009</v>
      </c>
      <c r="N214" s="79">
        <f t="shared" si="150"/>
        <v>5.808435112429863E-3</v>
      </c>
      <c r="O214" s="87">
        <f>M214/OBRA!$D$12</f>
        <v>21.788688608685767</v>
      </c>
      <c r="P214" s="81" t="s">
        <v>295</v>
      </c>
    </row>
    <row r="215" spans="1:16" s="1" customFormat="1" ht="19.899999999999999" customHeight="1" outlineLevel="1" x14ac:dyDescent="0.55000000000000004">
      <c r="A215" s="98">
        <f ca="1">IF(G215="UNIDADE CONSTRUTIVA",OFFSET(A215,-1,0)+1,LARGE(A$4:A214,1))</f>
        <v>2</v>
      </c>
      <c r="B215" s="98">
        <f t="shared" ca="1" si="168"/>
        <v>9</v>
      </c>
      <c r="C215" s="98">
        <f t="shared" ca="1" si="169"/>
        <v>0</v>
      </c>
      <c r="D215" s="99">
        <f t="shared" ca="1" si="170"/>
        <v>1</v>
      </c>
      <c r="E215" s="99">
        <f t="shared" ca="1" si="171"/>
        <v>1</v>
      </c>
      <c r="G215" s="75" t="s">
        <v>118</v>
      </c>
      <c r="H215" s="76" t="str">
        <f t="shared" ca="1" si="172"/>
        <v>09</v>
      </c>
      <c r="I215" s="92" t="s">
        <v>316</v>
      </c>
      <c r="J215" s="77"/>
      <c r="K215" s="78"/>
      <c r="L215" s="87"/>
      <c r="M215" s="130">
        <f>M216</f>
        <v>3160623.4396000011</v>
      </c>
      <c r="N215" s="79">
        <f t="shared" si="150"/>
        <v>6.3468288817723276E-2</v>
      </c>
      <c r="O215" s="87">
        <f>M215/OBRA!$D$12</f>
        <v>238.08319363268154</v>
      </c>
      <c r="P215" s="81"/>
    </row>
    <row r="216" spans="1:16" s="1" customFormat="1" ht="19.899999999999999" customHeight="1" outlineLevel="2" x14ac:dyDescent="0.55000000000000004">
      <c r="A216" s="98">
        <f ca="1">IF(G216="UNIDADE CONSTRUTIVA",OFFSET(A216,-1,0)+1,LARGE(A$4:A215,1))</f>
        <v>2</v>
      </c>
      <c r="B216" s="98">
        <f t="shared" ca="1" si="168"/>
        <v>9</v>
      </c>
      <c r="C216" s="98">
        <f t="shared" ca="1" si="169"/>
        <v>1</v>
      </c>
      <c r="D216" s="99">
        <f t="shared" ca="1" si="170"/>
        <v>0</v>
      </c>
      <c r="E216" s="99">
        <f t="shared" ca="1" si="171"/>
        <v>1</v>
      </c>
      <c r="G216" s="75" t="s">
        <v>119</v>
      </c>
      <c r="H216" s="76" t="str">
        <f t="shared" ca="1" si="172"/>
        <v>09.001</v>
      </c>
      <c r="I216" s="92" t="s">
        <v>316</v>
      </c>
      <c r="J216" s="77"/>
      <c r="K216" s="78"/>
      <c r="L216" s="87"/>
      <c r="M216" s="130">
        <f>M217+M223</f>
        <v>3160623.4396000011</v>
      </c>
      <c r="N216" s="79">
        <f t="shared" si="150"/>
        <v>6.3468288817723276E-2</v>
      </c>
      <c r="O216" s="87">
        <f>M216/OBRA!$D$12</f>
        <v>238.08319363268154</v>
      </c>
      <c r="P216" s="81"/>
    </row>
    <row r="217" spans="1:16" s="1" customFormat="1" ht="19.899999999999999" customHeight="1" outlineLevel="2" x14ac:dyDescent="0.55000000000000004">
      <c r="A217" s="98">
        <f ca="1">IF(G217="UNIDADE CONSTRUTIVA",OFFSET(A217,-1,0)+1,LARGE(A$4:A216,1))</f>
        <v>2</v>
      </c>
      <c r="B217" s="98">
        <f t="shared" ca="1" si="168"/>
        <v>9</v>
      </c>
      <c r="C217" s="98">
        <f t="shared" ca="1" si="169"/>
        <v>1</v>
      </c>
      <c r="D217" s="99">
        <f t="shared" ca="1" si="170"/>
        <v>1</v>
      </c>
      <c r="E217" s="99">
        <f t="shared" ca="1" si="171"/>
        <v>0</v>
      </c>
      <c r="G217" s="75" t="s">
        <v>120</v>
      </c>
      <c r="H217" s="76" t="str">
        <f t="shared" ref="H217:H219" ca="1" si="176">IF(G217="Unidade Construtiva",CONCATENATE("UC ",TEXT(A217,"00")),IF(G217="Célula Construtiva",TEXT(B217,"00"),IF(G217="Etapa",CONCATENATE(TEXT(B217,"00"),".",TEXT(C217,"000")),IF(G217="Subetapa",CONCATENATE(TEXT(B217,"00"),".",TEXT(C217,"000"),".",TEXT(D217,"000")),IF(G217="Serviço",CONCATENATE(TEXT(B217,"00"),".",TEXT(C217,"000"),".",TEXT(D217,"000"),".",TEXT(E217,"000")),"")))))</f>
        <v>09.001.001</v>
      </c>
      <c r="I217" s="92" t="s">
        <v>301</v>
      </c>
      <c r="J217" s="77"/>
      <c r="K217" s="78"/>
      <c r="L217" s="87"/>
      <c r="M217" s="130">
        <f>SUM(M218:M222)</f>
        <v>1017354.6746000003</v>
      </c>
      <c r="N217" s="79">
        <f t="shared" si="150"/>
        <v>2.0429437910434989E-2</v>
      </c>
      <c r="O217" s="87">
        <f>M217/OBRA!$D$12</f>
        <v>76.635212835275169</v>
      </c>
      <c r="P217" s="81"/>
    </row>
    <row r="218" spans="1:16" s="1" customFormat="1" ht="19.899999999999999" customHeight="1" outlineLevel="3" x14ac:dyDescent="0.55000000000000004">
      <c r="A218" s="98">
        <f ca="1">IF(G218="UNIDADE CONSTRUTIVA",OFFSET(A218,-1,0)+1,LARGE(A$4:A217,1))</f>
        <v>2</v>
      </c>
      <c r="B218" s="98">
        <f t="shared" ca="1" si="168"/>
        <v>9</v>
      </c>
      <c r="C218" s="98">
        <f t="shared" ca="1" si="169"/>
        <v>1</v>
      </c>
      <c r="D218" s="99">
        <f t="shared" ca="1" si="170"/>
        <v>1</v>
      </c>
      <c r="E218" s="99">
        <f t="shared" ca="1" si="171"/>
        <v>1</v>
      </c>
      <c r="G218" s="75" t="s">
        <v>124</v>
      </c>
      <c r="H218" s="76" t="str">
        <f t="shared" ca="1" si="176"/>
        <v>09.001.001.001</v>
      </c>
      <c r="I218" s="92" t="s">
        <v>397</v>
      </c>
      <c r="J218" s="77" t="s">
        <v>70</v>
      </c>
      <c r="K218" s="78">
        <v>2485.44</v>
      </c>
      <c r="L218" s="87">
        <v>55</v>
      </c>
      <c r="M218" s="130">
        <f>L218*K218</f>
        <v>136699.20000000001</v>
      </c>
      <c r="N218" s="79">
        <f t="shared" si="150"/>
        <v>2.745048397112987E-3</v>
      </c>
      <c r="O218" s="87">
        <f>M218/OBRA!$D$12</f>
        <v>10.297266575720757</v>
      </c>
      <c r="P218" s="81" t="s">
        <v>308</v>
      </c>
    </row>
    <row r="219" spans="1:16" s="1" customFormat="1" ht="19.899999999999999" customHeight="1" outlineLevel="3" x14ac:dyDescent="0.55000000000000004">
      <c r="A219" s="98">
        <f ca="1">IF(G219="UNIDADE CONSTRUTIVA",OFFSET(A219,-1,0)+1,LARGE(A$4:A218,1))</f>
        <v>2</v>
      </c>
      <c r="B219" s="98">
        <f t="shared" ca="1" si="168"/>
        <v>9</v>
      </c>
      <c r="C219" s="98">
        <f t="shared" ca="1" si="169"/>
        <v>1</v>
      </c>
      <c r="D219" s="99">
        <f t="shared" ca="1" si="170"/>
        <v>1</v>
      </c>
      <c r="E219" s="99">
        <f t="shared" ca="1" si="171"/>
        <v>2</v>
      </c>
      <c r="G219" s="75" t="s">
        <v>124</v>
      </c>
      <c r="H219" s="76" t="str">
        <f t="shared" ca="1" si="176"/>
        <v>09.001.001.002</v>
      </c>
      <c r="I219" s="92" t="s">
        <v>303</v>
      </c>
      <c r="J219" s="77" t="s">
        <v>70</v>
      </c>
      <c r="K219" s="78">
        <v>500.98399999999987</v>
      </c>
      <c r="L219" s="87">
        <f t="shared" ref="L219:L222" si="177">M219/K219</f>
        <v>27.500000000000004</v>
      </c>
      <c r="M219" s="130">
        <v>13777.059999999998</v>
      </c>
      <c r="N219" s="79">
        <f t="shared" si="150"/>
        <v>2.7665631159457725E-4</v>
      </c>
      <c r="O219" s="87">
        <f>M219/OBRA!$D$12</f>
        <v>1.037797291057295</v>
      </c>
      <c r="P219" s="81" t="s">
        <v>309</v>
      </c>
    </row>
    <row r="220" spans="1:16" s="1" customFormat="1" ht="19.899999999999999" customHeight="1" outlineLevel="3" x14ac:dyDescent="0.55000000000000004">
      <c r="A220" s="98">
        <f ca="1">IF(G220="UNIDADE CONSTRUTIVA",OFFSET(A220,-1,0)+1,LARGE(A$4:A219,1))</f>
        <v>2</v>
      </c>
      <c r="B220" s="98">
        <f t="shared" ca="1" si="168"/>
        <v>9</v>
      </c>
      <c r="C220" s="98">
        <f t="shared" ca="1" si="169"/>
        <v>1</v>
      </c>
      <c r="D220" s="99">
        <f t="shared" ca="1" si="170"/>
        <v>1</v>
      </c>
      <c r="E220" s="99">
        <f t="shared" ca="1" si="171"/>
        <v>3</v>
      </c>
      <c r="G220" s="75" t="s">
        <v>124</v>
      </c>
      <c r="H220" s="76" t="str">
        <f t="shared" ref="H220:H238" ca="1" si="178">IF(G220="Unidade Construtiva",CONCATENATE("UC ",TEXT(A220,"00")),IF(G220="Célula Construtiva",TEXT(B220,"00"),IF(G220="Etapa",CONCATENATE(TEXT(B220,"00"),".",TEXT(C220,"000")),IF(G220="Subetapa",CONCATENATE(TEXT(B220,"00"),".",TEXT(C220,"000"),".",TEXT(D220,"000")),IF(G220="Serviço",CONCATENATE(TEXT(B220,"00"),".",TEXT(C220,"000"),".",TEXT(D220,"000"),".",TEXT(E220,"000")),"")))))</f>
        <v>09.001.001.003</v>
      </c>
      <c r="I220" s="92" t="s">
        <v>304</v>
      </c>
      <c r="J220" s="77" t="s">
        <v>70</v>
      </c>
      <c r="K220" s="78">
        <v>193.99199999999999</v>
      </c>
      <c r="L220" s="87">
        <f t="shared" si="177"/>
        <v>30.800000000000004</v>
      </c>
      <c r="M220" s="130">
        <v>5974.9536000000007</v>
      </c>
      <c r="N220" s="79">
        <f t="shared" si="150"/>
        <v>1.1998268316496711E-4</v>
      </c>
      <c r="O220" s="87">
        <f>M220/OBRA!$D$12</f>
        <v>0.45008083439231839</v>
      </c>
      <c r="P220" s="81" t="s">
        <v>310</v>
      </c>
    </row>
    <row r="221" spans="1:16" s="1" customFormat="1" ht="19.899999999999999" customHeight="1" outlineLevel="3" x14ac:dyDescent="0.55000000000000004">
      <c r="A221" s="98">
        <f ca="1">IF(G221="UNIDADE CONSTRUTIVA",OFFSET(A221,-1,0)+1,LARGE(A$4:A220,1))</f>
        <v>2</v>
      </c>
      <c r="B221" s="98">
        <f t="shared" ca="1" si="168"/>
        <v>9</v>
      </c>
      <c r="C221" s="98">
        <f t="shared" ca="1" si="169"/>
        <v>1</v>
      </c>
      <c r="D221" s="99">
        <f t="shared" ca="1" si="170"/>
        <v>1</v>
      </c>
      <c r="E221" s="99">
        <f t="shared" ca="1" si="171"/>
        <v>4</v>
      </c>
      <c r="G221" s="75" t="s">
        <v>124</v>
      </c>
      <c r="H221" s="76" t="str">
        <f t="shared" ref="H221" ca="1" si="179">IF(G221="Unidade Construtiva",CONCATENATE("UC ",TEXT(A221,"00")),IF(G221="Célula Construtiva",TEXT(B221,"00"),IF(G221="Etapa",CONCATENATE(TEXT(B221,"00"),".",TEXT(C221,"000")),IF(G221="Subetapa",CONCATENATE(TEXT(B221,"00"),".",TEXT(C221,"000"),".",TEXT(D221,"000")),IF(G221="Serviço",CONCATENATE(TEXT(B221,"00"),".",TEXT(C221,"000"),".",TEXT(D221,"000"),".",TEXT(E221,"000")),"")))))</f>
        <v>09.001.001.004</v>
      </c>
      <c r="I221" s="92" t="s">
        <v>199</v>
      </c>
      <c r="J221" s="77" t="s">
        <v>70</v>
      </c>
      <c r="K221" s="78">
        <v>9257.5640000000021</v>
      </c>
      <c r="L221" s="87">
        <f t="shared" si="177"/>
        <v>71.500000000000014</v>
      </c>
      <c r="M221" s="130">
        <v>661915.82600000023</v>
      </c>
      <c r="N221" s="79">
        <f t="shared" si="150"/>
        <v>1.3291891811985873E-2</v>
      </c>
      <c r="O221" s="87">
        <f>M221/OBRA!$D$12</f>
        <v>49.860743230468046</v>
      </c>
      <c r="P221" s="81" t="s">
        <v>311</v>
      </c>
    </row>
    <row r="222" spans="1:16" s="1" customFormat="1" ht="19.899999999999999" customHeight="1" outlineLevel="3" x14ac:dyDescent="0.55000000000000004">
      <c r="A222" s="98">
        <f ca="1">IF(G222="UNIDADE CONSTRUTIVA",OFFSET(A222,-1,0)+1,LARGE(A$4:A221,1))</f>
        <v>2</v>
      </c>
      <c r="B222" s="98">
        <f t="shared" ref="B222:B225" ca="1" si="180">IF(G222="UNIDADE CONSTRUTIVA",0,IF(G222="CÉLULA CONSTRUTIVA",OFFSET(B222,-1,0)+1,OFFSET(B222,-1,0)))</f>
        <v>9</v>
      </c>
      <c r="C222" s="98">
        <f t="shared" ref="C222:C225" ca="1" si="181">IF(G222="CÉLULA CONSTRUTIVA",0,IF(G222="ETAPA",OFFSET(C222,-1,0)+1,OFFSET(C222,-1,0)))</f>
        <v>1</v>
      </c>
      <c r="D222" s="99">
        <f t="shared" ref="D222:D225" ca="1" si="182">IF(G222="ETAPA",0,IF(G222="SUBETAPA",OFFSET(D222,-1,0)+1,OFFSET(D222,-1,0)))</f>
        <v>1</v>
      </c>
      <c r="E222" s="99">
        <f t="shared" ref="E222:E225" ca="1" si="183">IF(G222="Subetapa",0,IF(G222="serviço",OFFSET(E222,-1,0)+1,OFFSET(E222,-1,0)))</f>
        <v>5</v>
      </c>
      <c r="G222" s="75" t="s">
        <v>124</v>
      </c>
      <c r="H222" s="76" t="str">
        <f t="shared" ref="H222:H225" ca="1" si="184">IF(G222="Unidade Construtiva",CONCATENATE("UC ",TEXT(A222,"00")),IF(G222="Célula Construtiva",TEXT(B222,"00"),IF(G222="Etapa",CONCATENATE(TEXT(B222,"00"),".",TEXT(C222,"000")),IF(G222="Subetapa",CONCATENATE(TEXT(B222,"00"),".",TEXT(C222,"000"),".",TEXT(D222,"000")),IF(G222="Serviço",CONCATENATE(TEXT(B222,"00"),".",TEXT(C222,"000"),".",TEXT(D222,"000"),".",TEXT(E222,"000")),"")))))</f>
        <v>09.001.001.005</v>
      </c>
      <c r="I222" s="92" t="s">
        <v>305</v>
      </c>
      <c r="J222" s="77" t="s">
        <v>70</v>
      </c>
      <c r="K222" s="78">
        <v>7235.9139999999989</v>
      </c>
      <c r="L222" s="87">
        <f t="shared" si="177"/>
        <v>27.5</v>
      </c>
      <c r="M222" s="130">
        <v>198987.63499999998</v>
      </c>
      <c r="N222" s="79">
        <f t="shared" si="150"/>
        <v>3.995858706576586E-3</v>
      </c>
      <c r="O222" s="87">
        <f>M222/OBRA!$D$12</f>
        <v>14.989324903636755</v>
      </c>
      <c r="P222" s="81" t="s">
        <v>312</v>
      </c>
    </row>
    <row r="223" spans="1:16" s="1" customFormat="1" ht="19.899999999999999" customHeight="1" outlineLevel="2" x14ac:dyDescent="0.55000000000000004">
      <c r="A223" s="98">
        <f ca="1">IF(G223="UNIDADE CONSTRUTIVA",OFFSET(A223,-1,0)+1,LARGE(A$4:A222,1))</f>
        <v>2</v>
      </c>
      <c r="B223" s="98">
        <f t="shared" ca="1" si="180"/>
        <v>9</v>
      </c>
      <c r="C223" s="98">
        <f t="shared" ca="1" si="181"/>
        <v>1</v>
      </c>
      <c r="D223" s="99">
        <f t="shared" ca="1" si="182"/>
        <v>2</v>
      </c>
      <c r="E223" s="99">
        <f t="shared" ca="1" si="183"/>
        <v>0</v>
      </c>
      <c r="G223" s="75" t="s">
        <v>120</v>
      </c>
      <c r="H223" s="76" t="str">
        <f t="shared" ca="1" si="184"/>
        <v>09.001.002</v>
      </c>
      <c r="I223" s="92" t="s">
        <v>302</v>
      </c>
      <c r="J223" s="77"/>
      <c r="K223" s="78"/>
      <c r="L223" s="87"/>
      <c r="M223" s="130">
        <f>M224+M225</f>
        <v>2143268.7650000006</v>
      </c>
      <c r="N223" s="79">
        <f t="shared" si="150"/>
        <v>4.3038850907288283E-2</v>
      </c>
      <c r="O223" s="87">
        <f>M223/OBRA!$D$12</f>
        <v>161.44798079740633</v>
      </c>
      <c r="P223" s="81"/>
    </row>
    <row r="224" spans="1:16" s="1" customFormat="1" ht="19.899999999999999" customHeight="1" outlineLevel="3" x14ac:dyDescent="0.55000000000000004">
      <c r="A224" s="98">
        <f ca="1">IF(G224="UNIDADE CONSTRUTIVA",OFFSET(A224,-1,0)+1,LARGE(A$4:A223,1))</f>
        <v>2</v>
      </c>
      <c r="B224" s="98">
        <f t="shared" ref="B224" ca="1" si="185">IF(G224="UNIDADE CONSTRUTIVA",0,IF(G224="CÉLULA CONSTRUTIVA",OFFSET(B224,-1,0)+1,OFFSET(B224,-1,0)))</f>
        <v>9</v>
      </c>
      <c r="C224" s="98">
        <f t="shared" ref="C224" ca="1" si="186">IF(G224="CÉLULA CONSTRUTIVA",0,IF(G224="ETAPA",OFFSET(C224,-1,0)+1,OFFSET(C224,-1,0)))</f>
        <v>1</v>
      </c>
      <c r="D224" s="99">
        <f t="shared" ref="D224" ca="1" si="187">IF(G224="ETAPA",0,IF(G224="SUBETAPA",OFFSET(D224,-1,0)+1,OFFSET(D224,-1,0)))</f>
        <v>2</v>
      </c>
      <c r="E224" s="99">
        <f t="shared" ref="E224" ca="1" si="188">IF(G224="Subetapa",0,IF(G224="serviço",OFFSET(E224,-1,0)+1,OFFSET(E224,-1,0)))</f>
        <v>1</v>
      </c>
      <c r="G224" s="75" t="s">
        <v>124</v>
      </c>
      <c r="H224" s="76" t="str">
        <f t="shared" ref="H224" ca="1" si="189">IF(G224="Unidade Construtiva",CONCATENATE("UC ",TEXT(A224,"00")),IF(G224="Célula Construtiva",TEXT(B224,"00"),IF(G224="Etapa",CONCATENATE(TEXT(B224,"00"),".",TEXT(C224,"000")),IF(G224="Subetapa",CONCATENATE(TEXT(B224,"00"),".",TEXT(C224,"000"),".",TEXT(D224,"000")),IF(G224="Serviço",CONCATENATE(TEXT(B224,"00"),".",TEXT(C224,"000"),".",TEXT(D224,"000"),".",TEXT(E224,"000")),"")))))</f>
        <v>09.001.002.001</v>
      </c>
      <c r="I224" s="92" t="s">
        <v>306</v>
      </c>
      <c r="J224" s="77" t="s">
        <v>70</v>
      </c>
      <c r="K224" s="78">
        <v>35425.930000000008</v>
      </c>
      <c r="L224" s="87">
        <f>IF(M6="REBOCO",Planilha1!E19,IF(M6="GESSO SARRAFEADO",0,"NA"))</f>
        <v>5.5</v>
      </c>
      <c r="M224" s="133">
        <f>L224*K224</f>
        <v>194842.61500000005</v>
      </c>
      <c r="N224" s="79">
        <f t="shared" si="150"/>
        <v>3.9126228097534797E-3</v>
      </c>
      <c r="O224" s="87">
        <f>M224/OBRA!$D$12</f>
        <v>14.677089163400577</v>
      </c>
      <c r="P224" s="81"/>
    </row>
    <row r="225" spans="1:16" s="1" customFormat="1" ht="19.899999999999999" customHeight="1" outlineLevel="3" x14ac:dyDescent="0.55000000000000004">
      <c r="A225" s="98">
        <f ca="1">IF(G225="UNIDADE CONSTRUTIVA",OFFSET(A225,-1,0)+1,LARGE(A$4:A223,1))</f>
        <v>2</v>
      </c>
      <c r="B225" s="98">
        <f t="shared" ca="1" si="180"/>
        <v>9</v>
      </c>
      <c r="C225" s="98">
        <f t="shared" ca="1" si="181"/>
        <v>1</v>
      </c>
      <c r="D225" s="99">
        <f t="shared" ca="1" si="182"/>
        <v>2</v>
      </c>
      <c r="E225" s="99">
        <f t="shared" ca="1" si="183"/>
        <v>2</v>
      </c>
      <c r="G225" s="75" t="s">
        <v>124</v>
      </c>
      <c r="H225" s="76" t="str">
        <f t="shared" ca="1" si="184"/>
        <v>09.001.002.002</v>
      </c>
      <c r="I225" s="92" t="s">
        <v>307</v>
      </c>
      <c r="J225" s="77" t="s">
        <v>70</v>
      </c>
      <c r="K225" s="78">
        <v>35425.930000000008</v>
      </c>
      <c r="L225" s="87">
        <f>IF(M6="REBOCO",Planilha1!E20,IF(M6="GESSO SARRAFEADO",Planilha1!E21,"NA"))</f>
        <v>55.000000000000007</v>
      </c>
      <c r="M225" s="133">
        <f>L225*K225</f>
        <v>1948426.1500000006</v>
      </c>
      <c r="N225" s="79">
        <f t="shared" si="150"/>
        <v>3.9126228097534799E-2</v>
      </c>
      <c r="O225" s="87">
        <f>M225/OBRA!$D$12</f>
        <v>146.77089163400578</v>
      </c>
      <c r="P225" s="81"/>
    </row>
    <row r="226" spans="1:16" s="1" customFormat="1" ht="19.899999999999999" customHeight="1" outlineLevel="1" x14ac:dyDescent="0.55000000000000004">
      <c r="A226" s="98">
        <f ca="1">IF(G226="UNIDADE CONSTRUTIVA",OFFSET(A226,-1,0)+1,LARGE(A$4:A221,1))</f>
        <v>2</v>
      </c>
      <c r="B226" s="98">
        <f t="shared" ca="1" si="168"/>
        <v>10</v>
      </c>
      <c r="C226" s="98">
        <f t="shared" ca="1" si="169"/>
        <v>0</v>
      </c>
      <c r="D226" s="99">
        <f t="shared" ca="1" si="170"/>
        <v>2</v>
      </c>
      <c r="E226" s="99">
        <f t="shared" ca="1" si="171"/>
        <v>2</v>
      </c>
      <c r="G226" s="75" t="s">
        <v>118</v>
      </c>
      <c r="H226" s="76" t="str">
        <f t="shared" ca="1" si="178"/>
        <v>10</v>
      </c>
      <c r="I226" s="92" t="s">
        <v>189</v>
      </c>
      <c r="J226" s="77"/>
      <c r="K226" s="78"/>
      <c r="L226" s="87"/>
      <c r="M226" s="130">
        <f>M227</f>
        <v>916915.9504999998</v>
      </c>
      <c r="N226" s="79">
        <f t="shared" ref="N226:N269" si="190">M226/$M$298</f>
        <v>1.8412533944656261E-2</v>
      </c>
      <c r="O226" s="87">
        <f>M226/OBRA!$D$12</f>
        <v>69.069372533481356</v>
      </c>
      <c r="P226" s="81"/>
    </row>
    <row r="227" spans="1:16" s="1" customFormat="1" ht="19.899999999999999" customHeight="1" outlineLevel="2" x14ac:dyDescent="0.55000000000000004">
      <c r="A227" s="98">
        <f ca="1">IF(G227="UNIDADE CONSTRUTIVA",OFFSET(A227,-1,0)+1,LARGE(A$4:A226,1))</f>
        <v>2</v>
      </c>
      <c r="B227" s="98">
        <f t="shared" ca="1" si="168"/>
        <v>10</v>
      </c>
      <c r="C227" s="98">
        <f t="shared" ca="1" si="169"/>
        <v>1</v>
      </c>
      <c r="D227" s="99">
        <f t="shared" ca="1" si="170"/>
        <v>0</v>
      </c>
      <c r="E227" s="99">
        <f t="shared" ca="1" si="171"/>
        <v>2</v>
      </c>
      <c r="G227" s="75" t="s">
        <v>119</v>
      </c>
      <c r="H227" s="76" t="str">
        <f t="shared" ca="1" si="178"/>
        <v>10.001</v>
      </c>
      <c r="I227" s="92" t="s">
        <v>189</v>
      </c>
      <c r="J227" s="77"/>
      <c r="K227" s="78"/>
      <c r="L227" s="87"/>
      <c r="M227" s="130">
        <f>M228+M230+M233</f>
        <v>916915.9504999998</v>
      </c>
      <c r="N227" s="79">
        <f t="shared" si="190"/>
        <v>1.8412533944656261E-2</v>
      </c>
      <c r="O227" s="87">
        <f>M227/OBRA!$D$12</f>
        <v>69.069372533481356</v>
      </c>
      <c r="P227" s="81"/>
    </row>
    <row r="228" spans="1:16" s="1" customFormat="1" ht="19.899999999999999" customHeight="1" outlineLevel="2" x14ac:dyDescent="0.55000000000000004">
      <c r="A228" s="98">
        <f ca="1">IF(G228="UNIDADE CONSTRUTIVA",OFFSET(A228,-1,0)+1,LARGE(A$4:A227,1))</f>
        <v>2</v>
      </c>
      <c r="B228" s="98">
        <f t="shared" ca="1" si="168"/>
        <v>10</v>
      </c>
      <c r="C228" s="98">
        <f t="shared" ca="1" si="169"/>
        <v>1</v>
      </c>
      <c r="D228" s="99">
        <f t="shared" ca="1" si="170"/>
        <v>1</v>
      </c>
      <c r="E228" s="99">
        <f t="shared" ca="1" si="171"/>
        <v>0</v>
      </c>
      <c r="G228" s="75" t="s">
        <v>120</v>
      </c>
      <c r="H228" s="76" t="str">
        <f t="shared" ca="1" si="178"/>
        <v>10.001.001</v>
      </c>
      <c r="I228" s="92" t="s">
        <v>32</v>
      </c>
      <c r="J228" s="77"/>
      <c r="K228" s="78"/>
      <c r="L228" s="87"/>
      <c r="M228" s="130">
        <f>M229</f>
        <v>100939.81369999998</v>
      </c>
      <c r="N228" s="79">
        <f t="shared" si="190"/>
        <v>2.0269663158384867E-3</v>
      </c>
      <c r="O228" s="87">
        <f>M228/OBRA!$D$12</f>
        <v>7.6035863397334431</v>
      </c>
      <c r="P228" s="81"/>
    </row>
    <row r="229" spans="1:16" s="1" customFormat="1" ht="19.899999999999999" customHeight="1" outlineLevel="3" x14ac:dyDescent="0.55000000000000004">
      <c r="A229" s="98">
        <f ca="1">IF(G229="UNIDADE CONSTRUTIVA",OFFSET(A229,-1,0)+1,LARGE(A$4:A227,1))</f>
        <v>2</v>
      </c>
      <c r="B229" s="98">
        <f t="shared" ref="B229" ca="1" si="191">IF(G229="UNIDADE CONSTRUTIVA",0,IF(G229="CÉLULA CONSTRUTIVA",OFFSET(B229,-1,0)+1,OFFSET(B229,-1,0)))</f>
        <v>10</v>
      </c>
      <c r="C229" s="98">
        <f t="shared" ref="C229" ca="1" si="192">IF(G229="CÉLULA CONSTRUTIVA",0,IF(G229="ETAPA",OFFSET(C229,-1,0)+1,OFFSET(C229,-1,0)))</f>
        <v>1</v>
      </c>
      <c r="D229" s="99">
        <f t="shared" ref="D229" ca="1" si="193">IF(G229="ETAPA",0,IF(G229="SUBETAPA",OFFSET(D229,-1,0)+1,OFFSET(D229,-1,0)))</f>
        <v>1</v>
      </c>
      <c r="E229" s="99">
        <f t="shared" ref="E229" ca="1" si="194">IF(G229="Subetapa",0,IF(G229="serviço",OFFSET(E229,-1,0)+1,OFFSET(E229,-1,0)))</f>
        <v>1</v>
      </c>
      <c r="G229" s="75" t="s">
        <v>124</v>
      </c>
      <c r="H229" s="76" t="str">
        <f t="shared" ref="H229" ca="1" si="195">IF(G229="Unidade Construtiva",CONCATENATE("UC ",TEXT(A229,"00")),IF(G229="Célula Construtiva",TEXT(B229,"00"),IF(G229="Etapa",CONCATENATE(TEXT(B229,"00"),".",TEXT(C229,"000")),IF(G229="Subetapa",CONCATENATE(TEXT(B229,"00"),".",TEXT(C229,"000"),".",TEXT(D229,"000")),IF(G229="Serviço",CONCATENATE(TEXT(B229,"00"),".",TEXT(C229,"000"),".",TEXT(D229,"000"),".",TEXT(E229,"000")),"")))))</f>
        <v>10.001.001.001</v>
      </c>
      <c r="I229" s="92" t="s">
        <v>149</v>
      </c>
      <c r="J229" s="77" t="s">
        <v>70</v>
      </c>
      <c r="K229" s="78">
        <v>3110.6259999999993</v>
      </c>
      <c r="L229" s="87">
        <f t="shared" ref="L229" si="196">M229/K229</f>
        <v>32.450000000000003</v>
      </c>
      <c r="M229" s="130">
        <v>100939.81369999998</v>
      </c>
      <c r="N229" s="79">
        <f t="shared" si="190"/>
        <v>2.0269663158384867E-3</v>
      </c>
      <c r="O229" s="87">
        <f>M229/OBRA!$D$12</f>
        <v>7.6035863397334431</v>
      </c>
      <c r="P229" s="81" t="s">
        <v>315</v>
      </c>
    </row>
    <row r="230" spans="1:16" s="1" customFormat="1" ht="19.899999999999999" customHeight="1" outlineLevel="2" x14ac:dyDescent="0.55000000000000004">
      <c r="A230" s="98">
        <f ca="1">IF(G230="UNIDADE CONSTRUTIVA",OFFSET(A230,-1,0)+1,LARGE(A$4:A229,1))</f>
        <v>2</v>
      </c>
      <c r="B230" s="98">
        <f t="shared" ca="1" si="168"/>
        <v>10</v>
      </c>
      <c r="C230" s="98">
        <f t="shared" ca="1" si="169"/>
        <v>1</v>
      </c>
      <c r="D230" s="99">
        <f t="shared" ca="1" si="170"/>
        <v>2</v>
      </c>
      <c r="E230" s="99">
        <f t="shared" ca="1" si="171"/>
        <v>0</v>
      </c>
      <c r="G230" s="75" t="s">
        <v>120</v>
      </c>
      <c r="H230" s="76" t="str">
        <f t="shared" ca="1" si="178"/>
        <v>10.001.002</v>
      </c>
      <c r="I230" s="92" t="s">
        <v>33</v>
      </c>
      <c r="J230" s="77"/>
      <c r="K230" s="78"/>
      <c r="L230" s="87"/>
      <c r="M230" s="130">
        <f>SUM(M231:M232)</f>
        <v>722391.43679999991</v>
      </c>
      <c r="N230" s="79">
        <f t="shared" si="190"/>
        <v>1.4506298907937918E-2</v>
      </c>
      <c r="O230" s="87">
        <f>M230/OBRA!$D$12</f>
        <v>54.416245279764119</v>
      </c>
      <c r="P230" s="81"/>
    </row>
    <row r="231" spans="1:16" s="1" customFormat="1" ht="19.899999999999999" customHeight="1" outlineLevel="3" x14ac:dyDescent="0.55000000000000004">
      <c r="A231" s="98">
        <f ca="1">IF(G231="UNIDADE CONSTRUTIVA",OFFSET(A231,-1,0)+1,LARGE(A$4:A230,1))</f>
        <v>2</v>
      </c>
      <c r="B231" s="98">
        <f t="shared" ca="1" si="168"/>
        <v>10</v>
      </c>
      <c r="C231" s="98">
        <f t="shared" ca="1" si="169"/>
        <v>1</v>
      </c>
      <c r="D231" s="99">
        <f t="shared" ca="1" si="170"/>
        <v>2</v>
      </c>
      <c r="E231" s="99">
        <f t="shared" ca="1" si="171"/>
        <v>1</v>
      </c>
      <c r="G231" s="75" t="s">
        <v>124</v>
      </c>
      <c r="H231" s="76" t="str">
        <f t="shared" ca="1" si="178"/>
        <v>10.001.002.001</v>
      </c>
      <c r="I231" s="92" t="s">
        <v>390</v>
      </c>
      <c r="J231" s="77" t="s">
        <v>70</v>
      </c>
      <c r="K231" s="78">
        <v>7600.9199999999983</v>
      </c>
      <c r="L231" s="87">
        <f t="shared" ref="L231:L232" si="197">M231/K231</f>
        <v>66</v>
      </c>
      <c r="M231" s="130">
        <v>501660.71999999991</v>
      </c>
      <c r="N231" s="79">
        <f t="shared" si="190"/>
        <v>1.0073818686067999E-2</v>
      </c>
      <c r="O231" s="87">
        <f>M231/OBRA!$D$12</f>
        <v>37.78905922205842</v>
      </c>
      <c r="P231" s="81"/>
    </row>
    <row r="232" spans="1:16" s="1" customFormat="1" ht="19.899999999999999" customHeight="1" outlineLevel="3" x14ac:dyDescent="0.55000000000000004">
      <c r="A232" s="98">
        <f ca="1">IF(G232="UNIDADE CONSTRUTIVA",OFFSET(A232,-1,0)+1,LARGE(A$4:A231,1))</f>
        <v>2</v>
      </c>
      <c r="B232" s="98">
        <f t="shared" ref="B232" ca="1" si="198">IF(G232="UNIDADE CONSTRUTIVA",0,IF(G232="CÉLULA CONSTRUTIVA",OFFSET(B232,-1,0)+1,OFFSET(B232,-1,0)))</f>
        <v>10</v>
      </c>
      <c r="C232" s="98">
        <f t="shared" ref="C232" ca="1" si="199">IF(G232="CÉLULA CONSTRUTIVA",0,IF(G232="ETAPA",OFFSET(C232,-1,0)+1,OFFSET(C232,-1,0)))</f>
        <v>1</v>
      </c>
      <c r="D232" s="99">
        <f t="shared" ref="D232" ca="1" si="200">IF(G232="ETAPA",0,IF(G232="SUBETAPA",OFFSET(D232,-1,0)+1,OFFSET(D232,-1,0)))</f>
        <v>2</v>
      </c>
      <c r="E232" s="99">
        <f t="shared" ref="E232" ca="1" si="201">IF(G232="Subetapa",0,IF(G232="serviço",OFFSET(E232,-1,0)+1,OFFSET(E232,-1,0)))</f>
        <v>2</v>
      </c>
      <c r="G232" s="75" t="s">
        <v>124</v>
      </c>
      <c r="H232" s="76" t="str">
        <f t="shared" ref="H232" ca="1" si="202">IF(G232="Unidade Construtiva",CONCATENATE("UC ",TEXT(A232,"00")),IF(G232="Célula Construtiva",TEXT(B232,"00"),IF(G232="Etapa",CONCATENATE(TEXT(B232,"00"),".",TEXT(C232,"000")),IF(G232="Subetapa",CONCATENATE(TEXT(B232,"00"),".",TEXT(C232,"000"),".",TEXT(D232,"000")),IF(G232="Serviço",CONCATENATE(TEXT(B232,"00"),".",TEXT(C232,"000"),".",TEXT(D232,"000"),".",TEXT(E232,"000")),"")))))</f>
        <v>10.001.002.002</v>
      </c>
      <c r="I232" s="92" t="s">
        <v>313</v>
      </c>
      <c r="J232" s="77" t="s">
        <v>70</v>
      </c>
      <c r="K232" s="78">
        <v>9121.1039999999975</v>
      </c>
      <c r="L232" s="87">
        <f t="shared" si="197"/>
        <v>24.200000000000003</v>
      </c>
      <c r="M232" s="130">
        <v>220730.71679999997</v>
      </c>
      <c r="N232" s="79">
        <f t="shared" si="190"/>
        <v>4.4324802218699199E-3</v>
      </c>
      <c r="O232" s="87">
        <f>M232/OBRA!$D$12</f>
        <v>16.627186057705703</v>
      </c>
      <c r="P232" s="81"/>
    </row>
    <row r="233" spans="1:16" s="1" customFormat="1" ht="19.899999999999999" customHeight="1" outlineLevel="2" x14ac:dyDescent="0.55000000000000004">
      <c r="A233" s="98">
        <f ca="1">IF(G233="UNIDADE CONSTRUTIVA",OFFSET(A233,-1,0)+1,LARGE(A$4:A231,1))</f>
        <v>2</v>
      </c>
      <c r="B233" s="98">
        <f t="shared" ca="1" si="168"/>
        <v>10</v>
      </c>
      <c r="C233" s="98">
        <f t="shared" ca="1" si="169"/>
        <v>1</v>
      </c>
      <c r="D233" s="99">
        <f t="shared" ca="1" si="170"/>
        <v>3</v>
      </c>
      <c r="E233" s="99">
        <f t="shared" ca="1" si="171"/>
        <v>0</v>
      </c>
      <c r="G233" s="75" t="s">
        <v>120</v>
      </c>
      <c r="H233" s="76" t="str">
        <f t="shared" ca="1" si="178"/>
        <v>10.001.003</v>
      </c>
      <c r="I233" s="92" t="s">
        <v>344</v>
      </c>
      <c r="J233" s="77"/>
      <c r="K233" s="78"/>
      <c r="L233" s="87"/>
      <c r="M233" s="130">
        <f>M234</f>
        <v>93584.700000000012</v>
      </c>
      <c r="N233" s="79">
        <f t="shared" si="190"/>
        <v>1.879268720879857E-3</v>
      </c>
      <c r="O233" s="87">
        <f>M233/OBRA!$D$12</f>
        <v>7.0495409139838001</v>
      </c>
      <c r="P233" s="81"/>
    </row>
    <row r="234" spans="1:16" s="1" customFormat="1" ht="19.899999999999999" customHeight="1" outlineLevel="3" x14ac:dyDescent="0.55000000000000004">
      <c r="A234" s="98">
        <f ca="1">IF(G234="UNIDADE CONSTRUTIVA",OFFSET(A234,-1,0)+1,LARGE(A$4:A233,1))</f>
        <v>2</v>
      </c>
      <c r="B234" s="98">
        <f t="shared" ca="1" si="168"/>
        <v>10</v>
      </c>
      <c r="C234" s="98">
        <f t="shared" ca="1" si="169"/>
        <v>1</v>
      </c>
      <c r="D234" s="99">
        <f t="shared" ca="1" si="170"/>
        <v>3</v>
      </c>
      <c r="E234" s="99">
        <f t="shared" ca="1" si="171"/>
        <v>1</v>
      </c>
      <c r="G234" s="75" t="s">
        <v>124</v>
      </c>
      <c r="H234" s="76" t="str">
        <f t="shared" ca="1" si="178"/>
        <v>10.001.003.001</v>
      </c>
      <c r="I234" s="92" t="str">
        <f>IF(M5="FORRO GESSO",I231,IF(M5="FORRO MADEIRA","Forro de madeira",IF(M5="FORRO PVC IMITA MADEIRA","Forro de PVC que imita madeira",IF(M5="FORRO VINILICO","Forro vinílico","NA"))))</f>
        <v>Forro vinílico</v>
      </c>
      <c r="J234" s="77" t="s">
        <v>70</v>
      </c>
      <c r="K234" s="78">
        <v>369.9</v>
      </c>
      <c r="L234" s="87">
        <f>IF(M5="FORRO GESSO",Planilha1!E4,IF(M5="FORRO MADEIRA",Planilha1!E5,IF(M5="FORRO PVC IMITA MADEIRA",Planilha1!E6,IF(M5="FORRO VINILICO",Planilha1!E7,"NA"))))</f>
        <v>253.00000000000006</v>
      </c>
      <c r="M234" s="130">
        <f>L234*K234</f>
        <v>93584.700000000012</v>
      </c>
      <c r="N234" s="79">
        <f t="shared" si="190"/>
        <v>1.879268720879857E-3</v>
      </c>
      <c r="O234" s="87">
        <f>M234/OBRA!$D$12</f>
        <v>7.0495409139838001</v>
      </c>
      <c r="P234" s="81" t="s">
        <v>314</v>
      </c>
    </row>
    <row r="235" spans="1:16" s="1" customFormat="1" ht="19.899999999999999" customHeight="1" outlineLevel="1" x14ac:dyDescent="0.55000000000000004">
      <c r="A235" s="98">
        <f ca="1">IF(G235="UNIDADE CONSTRUTIVA",OFFSET(A235,-1,0)+1,LARGE(A$4:A231,1))</f>
        <v>2</v>
      </c>
      <c r="B235" s="98">
        <f t="shared" ca="1" si="168"/>
        <v>11</v>
      </c>
      <c r="C235" s="98">
        <f t="shared" ca="1" si="169"/>
        <v>0</v>
      </c>
      <c r="D235" s="99">
        <f t="shared" ca="1" si="170"/>
        <v>3</v>
      </c>
      <c r="E235" s="99">
        <f t="shared" ca="1" si="171"/>
        <v>1</v>
      </c>
      <c r="G235" s="75" t="s">
        <v>118</v>
      </c>
      <c r="H235" s="76" t="str">
        <f t="shared" ca="1" si="178"/>
        <v>11</v>
      </c>
      <c r="I235" s="92" t="s">
        <v>317</v>
      </c>
      <c r="J235" s="77"/>
      <c r="K235" s="78"/>
      <c r="L235" s="87"/>
      <c r="M235" s="130">
        <f>M236</f>
        <v>2377562.7370000002</v>
      </c>
      <c r="N235" s="79">
        <f t="shared" si="190"/>
        <v>4.7743694039448774E-2</v>
      </c>
      <c r="O235" s="87">
        <f>M235/OBRA!$D$12</f>
        <v>179.09685867502708</v>
      </c>
      <c r="P235" s="81"/>
    </row>
    <row r="236" spans="1:16" s="1" customFormat="1" ht="19.899999999999999" customHeight="1" outlineLevel="2" x14ac:dyDescent="0.55000000000000004">
      <c r="A236" s="98">
        <f ca="1">IF(G236="UNIDADE CONSTRUTIVA",OFFSET(A236,-1,0)+1,LARGE(A$4:A235,1))</f>
        <v>2</v>
      </c>
      <c r="B236" s="98">
        <f t="shared" ca="1" si="168"/>
        <v>11</v>
      </c>
      <c r="C236" s="98">
        <f t="shared" ca="1" si="169"/>
        <v>1</v>
      </c>
      <c r="D236" s="99">
        <f t="shared" ca="1" si="170"/>
        <v>0</v>
      </c>
      <c r="E236" s="99">
        <f t="shared" ca="1" si="171"/>
        <v>1</v>
      </c>
      <c r="G236" s="75" t="s">
        <v>119</v>
      </c>
      <c r="H236" s="76" t="str">
        <f t="shared" ca="1" si="178"/>
        <v>11.001</v>
      </c>
      <c r="I236" s="92" t="s">
        <v>317</v>
      </c>
      <c r="J236" s="77"/>
      <c r="K236" s="78"/>
      <c r="L236" s="87"/>
      <c r="M236" s="130">
        <f>M237+M248</f>
        <v>2377562.7370000002</v>
      </c>
      <c r="N236" s="79">
        <f t="shared" si="190"/>
        <v>4.7743694039448774E-2</v>
      </c>
      <c r="O236" s="87">
        <f>M236/OBRA!$D$12</f>
        <v>179.09685867502708</v>
      </c>
      <c r="P236" s="81"/>
    </row>
    <row r="237" spans="1:16" s="1" customFormat="1" ht="19.899999999999999" customHeight="1" outlineLevel="2" x14ac:dyDescent="0.55000000000000004">
      <c r="A237" s="98">
        <f ca="1">IF(G237="UNIDADE CONSTRUTIVA",OFFSET(A237,-1,0)+1,LARGE(A$4:A236,1))</f>
        <v>2</v>
      </c>
      <c r="B237" s="98">
        <f t="shared" ca="1" si="168"/>
        <v>11</v>
      </c>
      <c r="C237" s="98">
        <f t="shared" ca="1" si="169"/>
        <v>1</v>
      </c>
      <c r="D237" s="99">
        <f t="shared" ca="1" si="170"/>
        <v>1</v>
      </c>
      <c r="E237" s="99">
        <f t="shared" ca="1" si="171"/>
        <v>0</v>
      </c>
      <c r="G237" s="75" t="s">
        <v>120</v>
      </c>
      <c r="H237" s="76" t="str">
        <f t="shared" ca="1" si="178"/>
        <v>11.001.001</v>
      </c>
      <c r="I237" s="92" t="s">
        <v>318</v>
      </c>
      <c r="J237" s="77"/>
      <c r="K237" s="78"/>
      <c r="L237" s="87"/>
      <c r="M237" s="130">
        <f>SUM(M238:M247)</f>
        <v>1890290.017</v>
      </c>
      <c r="N237" s="79">
        <f t="shared" si="190"/>
        <v>3.7958799914297452E-2</v>
      </c>
      <c r="O237" s="87">
        <f>M237/OBRA!$D$12</f>
        <v>142.39161758424862</v>
      </c>
      <c r="P237" s="81"/>
    </row>
    <row r="238" spans="1:16" s="1" customFormat="1" ht="19.899999999999999" customHeight="1" outlineLevel="3" x14ac:dyDescent="0.55000000000000004">
      <c r="A238" s="98">
        <f ca="1">IF(G238="UNIDADE CONSTRUTIVA",OFFSET(A238,-1,0)+1,LARGE(A$4:A237,1))</f>
        <v>2</v>
      </c>
      <c r="B238" s="98">
        <f t="shared" ca="1" si="168"/>
        <v>11</v>
      </c>
      <c r="C238" s="98">
        <f t="shared" ca="1" si="169"/>
        <v>1</v>
      </c>
      <c r="D238" s="99">
        <f t="shared" ca="1" si="170"/>
        <v>1</v>
      </c>
      <c r="E238" s="99">
        <f t="shared" ca="1" si="171"/>
        <v>1</v>
      </c>
      <c r="G238" s="75" t="s">
        <v>124</v>
      </c>
      <c r="H238" s="76" t="str">
        <f t="shared" ca="1" si="178"/>
        <v>11.001.001.001</v>
      </c>
      <c r="I238" s="92" t="s">
        <v>331</v>
      </c>
      <c r="J238" s="77" t="s">
        <v>70</v>
      </c>
      <c r="K238" s="78">
        <v>4938.989999999998</v>
      </c>
      <c r="L238" s="87">
        <f t="shared" ref="L238:L249" si="203">M238/K238</f>
        <v>187.00000000000003</v>
      </c>
      <c r="M238" s="130">
        <v>923591.12999999977</v>
      </c>
      <c r="N238" s="79">
        <f t="shared" si="190"/>
        <v>1.8546577821920474E-2</v>
      </c>
      <c r="O238" s="87">
        <f>M238/OBRA!$D$12</f>
        <v>69.572199929342389</v>
      </c>
      <c r="P238" s="81"/>
    </row>
    <row r="239" spans="1:16" s="1" customFormat="1" ht="19.899999999999999" customHeight="1" outlineLevel="3" x14ac:dyDescent="0.55000000000000004">
      <c r="A239" s="98">
        <f ca="1">IF(G239="UNIDADE CONSTRUTIVA",OFFSET(A239,-1,0)+1,LARGE(A$4:A238,1))</f>
        <v>2</v>
      </c>
      <c r="B239" s="98">
        <f t="shared" ca="1" si="168"/>
        <v>11</v>
      </c>
      <c r="C239" s="98">
        <f t="shared" ca="1" si="169"/>
        <v>1</v>
      </c>
      <c r="D239" s="99">
        <f t="shared" ca="1" si="170"/>
        <v>1</v>
      </c>
      <c r="E239" s="99">
        <f t="shared" ca="1" si="171"/>
        <v>2</v>
      </c>
      <c r="G239" s="75" t="s">
        <v>124</v>
      </c>
      <c r="H239" s="76" t="str">
        <f t="shared" ref="H239" ca="1" si="204">IF(G239="Unidade Construtiva",CONCATENATE("UC ",TEXT(A239,"00")),IF(G239="Célula Construtiva",TEXT(B239,"00"),IF(G239="Etapa",CONCATENATE(TEXT(B239,"00"),".",TEXT(C239,"000")),IF(G239="Subetapa",CONCATENATE(TEXT(B239,"00"),".",TEXT(C239,"000"),".",TEXT(D239,"000")),IF(G239="Serviço",CONCATENATE(TEXT(B239,"00"),".",TEXT(C239,"000"),".",TEXT(D239,"000"),".",TEXT(E239,"000")),"")))))</f>
        <v>11.001.001.002</v>
      </c>
      <c r="I239" s="92" t="s">
        <v>319</v>
      </c>
      <c r="J239" s="77" t="s">
        <v>70</v>
      </c>
      <c r="K239" s="78">
        <v>27.2</v>
      </c>
      <c r="L239" s="87">
        <f t="shared" si="203"/>
        <v>143.11000000000001</v>
      </c>
      <c r="M239" s="130">
        <v>3892.5920000000001</v>
      </c>
      <c r="N239" s="79">
        <f t="shared" si="190"/>
        <v>7.8166905367513744E-5</v>
      </c>
      <c r="O239" s="87">
        <f>M239/OBRA!$D$12</f>
        <v>0.29322086372501088</v>
      </c>
      <c r="P239" s="81" t="s">
        <v>330</v>
      </c>
    </row>
    <row r="240" spans="1:16" s="1" customFormat="1" ht="19.899999999999999" customHeight="1" outlineLevel="3" x14ac:dyDescent="0.55000000000000004">
      <c r="A240" s="98">
        <f ca="1">IF(G240="UNIDADE CONSTRUTIVA",OFFSET(A240,-1,0)+1,LARGE(A$4:A239,1))</f>
        <v>2</v>
      </c>
      <c r="B240" s="98">
        <f t="shared" ca="1" si="168"/>
        <v>11</v>
      </c>
      <c r="C240" s="98">
        <f t="shared" ca="1" si="169"/>
        <v>1</v>
      </c>
      <c r="D240" s="99">
        <f t="shared" ca="1" si="170"/>
        <v>1</v>
      </c>
      <c r="E240" s="99">
        <f t="shared" ca="1" si="171"/>
        <v>3</v>
      </c>
      <c r="G240" s="75" t="s">
        <v>124</v>
      </c>
      <c r="H240" s="76" t="str">
        <f t="shared" ref="H240:H249" ca="1" si="205">IF(G240="Unidade Construtiva",CONCATENATE("UC ",TEXT(A240,"00")),IF(G240="Célula Construtiva",TEXT(B240,"00"),IF(G240="Etapa",CONCATENATE(TEXT(B240,"00"),".",TEXT(C240,"000")),IF(G240="Subetapa",CONCATENATE(TEXT(B240,"00"),".",TEXT(C240,"000"),".",TEXT(D240,"000")),IF(G240="Serviço",CONCATENATE(TEXT(B240,"00"),".",TEXT(C240,"000"),".",TEXT(D240,"000"),".",TEXT(E240,"000")),"")))))</f>
        <v>11.001.001.003</v>
      </c>
      <c r="I240" s="92" t="s">
        <v>328</v>
      </c>
      <c r="J240" s="77" t="s">
        <v>70</v>
      </c>
      <c r="K240" s="78">
        <v>54.960000000000008</v>
      </c>
      <c r="L240" s="87">
        <f t="shared" si="203"/>
        <v>374</v>
      </c>
      <c r="M240" s="130">
        <v>20555.040000000005</v>
      </c>
      <c r="N240" s="79">
        <f t="shared" si="190"/>
        <v>4.1276451950408882E-4</v>
      </c>
      <c r="O240" s="87">
        <f>M240/OBRA!$D$12</f>
        <v>1.5483684348891815</v>
      </c>
      <c r="P240" s="81"/>
    </row>
    <row r="241" spans="1:16" s="1" customFormat="1" ht="19.899999999999999" customHeight="1" outlineLevel="3" x14ac:dyDescent="0.55000000000000004">
      <c r="A241" s="98">
        <f ca="1">IF(G241="UNIDADE CONSTRUTIVA",OFFSET(A241,-1,0)+1,LARGE(A$4:A240,1))</f>
        <v>2</v>
      </c>
      <c r="B241" s="98">
        <f t="shared" ca="1" si="168"/>
        <v>11</v>
      </c>
      <c r="C241" s="98">
        <f t="shared" ca="1" si="169"/>
        <v>1</v>
      </c>
      <c r="D241" s="99">
        <f t="shared" ca="1" si="170"/>
        <v>1</v>
      </c>
      <c r="E241" s="99">
        <f t="shared" ca="1" si="171"/>
        <v>4</v>
      </c>
      <c r="G241" s="75" t="s">
        <v>124</v>
      </c>
      <c r="H241" s="76" t="str">
        <f t="shared" ca="1" si="205"/>
        <v>11.001.001.004</v>
      </c>
      <c r="I241" s="92" t="s">
        <v>320</v>
      </c>
      <c r="J241" s="77" t="s">
        <v>70</v>
      </c>
      <c r="K241" s="78">
        <v>134.11000000000001</v>
      </c>
      <c r="L241" s="87">
        <f t="shared" si="203"/>
        <v>89.100000000000009</v>
      </c>
      <c r="M241" s="130">
        <v>11949.201000000003</v>
      </c>
      <c r="N241" s="79">
        <f t="shared" si="190"/>
        <v>2.3995118517029291E-4</v>
      </c>
      <c r="O241" s="87">
        <f>M241/OBRA!$D$12</f>
        <v>0.9001084722066337</v>
      </c>
      <c r="P241" s="81" t="s">
        <v>354</v>
      </c>
    </row>
    <row r="242" spans="1:16" s="1" customFormat="1" ht="19.899999999999999" customHeight="1" outlineLevel="3" x14ac:dyDescent="0.55000000000000004">
      <c r="A242" s="98">
        <f ca="1">IF(G242="UNIDADE CONSTRUTIVA",OFFSET(A242,-1,0)+1,LARGE(A$4:A241,1))</f>
        <v>2</v>
      </c>
      <c r="B242" s="98">
        <f t="shared" ca="1" si="168"/>
        <v>11</v>
      </c>
      <c r="C242" s="98">
        <f t="shared" ca="1" si="169"/>
        <v>1</v>
      </c>
      <c r="D242" s="99">
        <f t="shared" ca="1" si="170"/>
        <v>1</v>
      </c>
      <c r="E242" s="99">
        <f t="shared" ca="1" si="171"/>
        <v>5</v>
      </c>
      <c r="G242" s="75" t="s">
        <v>124</v>
      </c>
      <c r="H242" s="76" t="str">
        <f t="shared" ca="1" si="205"/>
        <v>11.001.001.005</v>
      </c>
      <c r="I242" s="92" t="s">
        <v>321</v>
      </c>
      <c r="J242" s="77" t="s">
        <v>70</v>
      </c>
      <c r="K242" s="78">
        <v>2328.2100000000005</v>
      </c>
      <c r="L242" s="87">
        <f t="shared" si="203"/>
        <v>165</v>
      </c>
      <c r="M242" s="130">
        <v>384154.65000000008</v>
      </c>
      <c r="N242" s="79">
        <f t="shared" si="190"/>
        <v>7.7141863758237112E-3</v>
      </c>
      <c r="O242" s="87">
        <f>M242/OBRA!$D$12</f>
        <v>28.93757123196556</v>
      </c>
      <c r="P242" s="81" t="s">
        <v>355</v>
      </c>
    </row>
    <row r="243" spans="1:16" s="1" customFormat="1" ht="19.899999999999999" customHeight="1" outlineLevel="3" x14ac:dyDescent="0.55000000000000004">
      <c r="A243" s="98">
        <f ca="1">IF(G243="UNIDADE CONSTRUTIVA",OFFSET(A243,-1,0)+1,LARGE(A$4:A242,1))</f>
        <v>2</v>
      </c>
      <c r="B243" s="98">
        <f t="shared" ca="1" si="168"/>
        <v>11</v>
      </c>
      <c r="C243" s="98">
        <f t="shared" ca="1" si="169"/>
        <v>1</v>
      </c>
      <c r="D243" s="99">
        <f t="shared" ca="1" si="170"/>
        <v>1</v>
      </c>
      <c r="E243" s="99">
        <f t="shared" ca="1" si="171"/>
        <v>6</v>
      </c>
      <c r="G243" s="75" t="s">
        <v>124</v>
      </c>
      <c r="H243" s="76" t="str">
        <f t="shared" ca="1" si="205"/>
        <v>11.001.001.006</v>
      </c>
      <c r="I243" s="92" t="s">
        <v>395</v>
      </c>
      <c r="J243" s="77" t="s">
        <v>70</v>
      </c>
      <c r="K243" s="78">
        <v>126.97999999999999</v>
      </c>
      <c r="L243" s="87">
        <v>165.00000000000003</v>
      </c>
      <c r="M243" s="130">
        <f>L243*K243</f>
        <v>20951.7</v>
      </c>
      <c r="N243" s="79">
        <f t="shared" si="190"/>
        <v>4.2072982505963579E-4</v>
      </c>
      <c r="O243" s="87">
        <f>M243/OBRA!$D$12</f>
        <v>1.5782480081414416</v>
      </c>
      <c r="P243" s="81" t="s">
        <v>329</v>
      </c>
    </row>
    <row r="244" spans="1:16" s="1" customFormat="1" ht="19.899999999999999" customHeight="1" outlineLevel="3" x14ac:dyDescent="0.55000000000000004">
      <c r="A244" s="98">
        <f ca="1">IF(G244="UNIDADE CONSTRUTIVA",OFFSET(A244,-1,0)+1,LARGE(A$4:A243,1))</f>
        <v>2</v>
      </c>
      <c r="B244" s="98">
        <f t="shared" ca="1" si="168"/>
        <v>11</v>
      </c>
      <c r="C244" s="98">
        <f t="shared" ca="1" si="169"/>
        <v>1</v>
      </c>
      <c r="D244" s="99">
        <f t="shared" ca="1" si="170"/>
        <v>1</v>
      </c>
      <c r="E244" s="99">
        <f t="shared" ca="1" si="171"/>
        <v>7</v>
      </c>
      <c r="G244" s="75" t="s">
        <v>124</v>
      </c>
      <c r="H244" s="76" t="str">
        <f t="shared" ca="1" si="205"/>
        <v>11.001.001.007</v>
      </c>
      <c r="I244" s="92" t="s">
        <v>396</v>
      </c>
      <c r="J244" s="77" t="s">
        <v>70</v>
      </c>
      <c r="K244" s="78">
        <v>96.22</v>
      </c>
      <c r="L244" s="87">
        <v>324.50000000000006</v>
      </c>
      <c r="M244" s="130">
        <f>L244*K244</f>
        <v>31223.390000000007</v>
      </c>
      <c r="N244" s="79">
        <f t="shared" si="190"/>
        <v>6.2699501293302139E-4</v>
      </c>
      <c r="O244" s="87">
        <f>M244/OBRA!$D$12</f>
        <v>2.3519930638050095</v>
      </c>
      <c r="P244" s="81" t="s">
        <v>356</v>
      </c>
    </row>
    <row r="245" spans="1:16" s="1" customFormat="1" ht="19.899999999999999" customHeight="1" outlineLevel="3" x14ac:dyDescent="0.55000000000000004">
      <c r="A245" s="98">
        <f ca="1">IF(G245="UNIDADE CONSTRUTIVA",OFFSET(A245,-1,0)+1,LARGE(A$4:A244,1))</f>
        <v>2</v>
      </c>
      <c r="B245" s="98">
        <f t="shared" ca="1" si="168"/>
        <v>11</v>
      </c>
      <c r="C245" s="98">
        <f t="shared" ca="1" si="169"/>
        <v>1</v>
      </c>
      <c r="D245" s="99">
        <f t="shared" ca="1" si="170"/>
        <v>1</v>
      </c>
      <c r="E245" s="99">
        <f t="shared" ca="1" si="171"/>
        <v>8</v>
      </c>
      <c r="G245" s="75" t="s">
        <v>124</v>
      </c>
      <c r="H245" s="76" t="str">
        <f t="shared" ca="1" si="205"/>
        <v>11.001.001.008</v>
      </c>
      <c r="I245" s="92" t="s">
        <v>322</v>
      </c>
      <c r="J245" s="77" t="s">
        <v>70</v>
      </c>
      <c r="K245" s="78">
        <v>7.41</v>
      </c>
      <c r="L245" s="87">
        <f t="shared" si="203"/>
        <v>1083.72</v>
      </c>
      <c r="M245" s="130">
        <v>8030.3652000000011</v>
      </c>
      <c r="N245" s="79">
        <f t="shared" si="190"/>
        <v>1.6125727963654441E-4</v>
      </c>
      <c r="O245" s="87">
        <f>M245/OBRA!$D$12</f>
        <v>0.60491071758131087</v>
      </c>
      <c r="P245" s="81"/>
    </row>
    <row r="246" spans="1:16" s="1" customFormat="1" ht="19.899999999999999" customHeight="1" outlineLevel="3" x14ac:dyDescent="0.55000000000000004">
      <c r="A246" s="98">
        <f ca="1">IF(G246="UNIDADE CONSTRUTIVA",OFFSET(A246,-1,0)+1,LARGE(A$4:A245,1))</f>
        <v>2</v>
      </c>
      <c r="B246" s="98">
        <f t="shared" ca="1" si="168"/>
        <v>11</v>
      </c>
      <c r="C246" s="98">
        <f t="shared" ca="1" si="169"/>
        <v>1</v>
      </c>
      <c r="D246" s="99">
        <f t="shared" ca="1" si="170"/>
        <v>1</v>
      </c>
      <c r="E246" s="99">
        <f t="shared" ca="1" si="171"/>
        <v>9</v>
      </c>
      <c r="G246" s="75" t="s">
        <v>124</v>
      </c>
      <c r="H246" s="76" t="str">
        <f t="shared" ca="1" si="205"/>
        <v>11.001.001.009</v>
      </c>
      <c r="I246" s="92" t="s">
        <v>323</v>
      </c>
      <c r="J246" s="77" t="s">
        <v>6</v>
      </c>
      <c r="K246" s="78">
        <v>1</v>
      </c>
      <c r="L246" s="87">
        <f t="shared" si="203"/>
        <v>269003.57880000008</v>
      </c>
      <c r="M246" s="130">
        <v>269003.57880000008</v>
      </c>
      <c r="N246" s="79">
        <f t="shared" si="190"/>
        <v>5.4018446545597721E-3</v>
      </c>
      <c r="O246" s="87">
        <f>M246/OBRA!$D$12</f>
        <v>20.263480406077761</v>
      </c>
      <c r="P246" s="81" t="s">
        <v>391</v>
      </c>
    </row>
    <row r="247" spans="1:16" s="1" customFormat="1" ht="19.899999999999999" customHeight="1" outlineLevel="3" x14ac:dyDescent="0.55000000000000004">
      <c r="A247" s="98">
        <f ca="1">IF(G247="UNIDADE CONSTRUTIVA",OFFSET(A247,-1,0)+1,LARGE(A$4:A246,1))</f>
        <v>2</v>
      </c>
      <c r="B247" s="98">
        <f t="shared" ca="1" si="168"/>
        <v>11</v>
      </c>
      <c r="C247" s="98">
        <f t="shared" ca="1" si="169"/>
        <v>1</v>
      </c>
      <c r="D247" s="99">
        <f t="shared" ca="1" si="170"/>
        <v>1</v>
      </c>
      <c r="E247" s="99">
        <f t="shared" ca="1" si="171"/>
        <v>10</v>
      </c>
      <c r="G247" s="75" t="s">
        <v>124</v>
      </c>
      <c r="H247" s="76" t="str">
        <f t="shared" ca="1" si="205"/>
        <v>11.001.001.010</v>
      </c>
      <c r="I247" s="92" t="s">
        <v>324</v>
      </c>
      <c r="J247" s="77" t="s">
        <v>6</v>
      </c>
      <c r="K247" s="78">
        <v>1</v>
      </c>
      <c r="L247" s="87">
        <f t="shared" si="203"/>
        <v>216938.37000000002</v>
      </c>
      <c r="M247" s="130">
        <v>216938.37000000002</v>
      </c>
      <c r="N247" s="79">
        <f t="shared" si="190"/>
        <v>4.3563263343223959E-3</v>
      </c>
      <c r="O247" s="87">
        <f>M247/OBRA!$D$12</f>
        <v>16.34151645651432</v>
      </c>
      <c r="P247" s="81"/>
    </row>
    <row r="248" spans="1:16" s="1" customFormat="1" ht="19.899999999999999" customHeight="1" outlineLevel="2" x14ac:dyDescent="0.55000000000000004">
      <c r="A248" s="98">
        <f ca="1">IF(G248="UNIDADE CONSTRUTIVA",OFFSET(A248,-1,0)+1,LARGE(A$4:A247,1))</f>
        <v>2</v>
      </c>
      <c r="B248" s="98">
        <f t="shared" ref="B248:B249" ca="1" si="206">IF(G248="UNIDADE CONSTRUTIVA",0,IF(G248="CÉLULA CONSTRUTIVA",OFFSET(B248,-1,0)+1,OFFSET(B248,-1,0)))</f>
        <v>11</v>
      </c>
      <c r="C248" s="98">
        <f t="shared" ref="C248:C249" ca="1" si="207">IF(G248="CÉLULA CONSTRUTIVA",0,IF(G248="ETAPA",OFFSET(C248,-1,0)+1,OFFSET(C248,-1,0)))</f>
        <v>1</v>
      </c>
      <c r="D248" s="99">
        <f t="shared" ref="D248:D249" ca="1" si="208">IF(G248="ETAPA",0,IF(G248="SUBETAPA",OFFSET(D248,-1,0)+1,OFFSET(D248,-1,0)))</f>
        <v>2</v>
      </c>
      <c r="E248" s="99">
        <f t="shared" ref="E248:E249" ca="1" si="209">IF(G248="Subetapa",0,IF(G248="serviço",OFFSET(E248,-1,0)+1,OFFSET(E248,-1,0)))</f>
        <v>0</v>
      </c>
      <c r="G248" s="75" t="s">
        <v>120</v>
      </c>
      <c r="H248" s="76" t="str">
        <f t="shared" ca="1" si="205"/>
        <v>11.001.002</v>
      </c>
      <c r="I248" s="92" t="s">
        <v>325</v>
      </c>
      <c r="J248" s="77"/>
      <c r="K248" s="78"/>
      <c r="L248" s="87"/>
      <c r="M248" s="130">
        <f>SUM(M249:M249)</f>
        <v>487272.72000000003</v>
      </c>
      <c r="N248" s="79">
        <f t="shared" si="190"/>
        <v>9.7848941251513187E-3</v>
      </c>
      <c r="O248" s="87">
        <f>M248/OBRA!$D$12</f>
        <v>36.705241090778429</v>
      </c>
      <c r="P248" s="81"/>
    </row>
    <row r="249" spans="1:16" s="1" customFormat="1" ht="19.899999999999999" customHeight="1" outlineLevel="3" x14ac:dyDescent="0.55000000000000004">
      <c r="A249" s="98">
        <f ca="1">IF(G249="UNIDADE CONSTRUTIVA",OFFSET(A249,-1,0)+1,LARGE(A$4:A248,1))</f>
        <v>2</v>
      </c>
      <c r="B249" s="98">
        <f t="shared" ca="1" si="206"/>
        <v>11</v>
      </c>
      <c r="C249" s="98">
        <f t="shared" ca="1" si="207"/>
        <v>1</v>
      </c>
      <c r="D249" s="99">
        <f t="shared" ca="1" si="208"/>
        <v>2</v>
      </c>
      <c r="E249" s="99">
        <f t="shared" ca="1" si="209"/>
        <v>1</v>
      </c>
      <c r="G249" s="75" t="s">
        <v>124</v>
      </c>
      <c r="H249" s="76" t="str">
        <f t="shared" ca="1" si="205"/>
        <v>11.001.002.001</v>
      </c>
      <c r="I249" s="92" t="s">
        <v>326</v>
      </c>
      <c r="J249" s="77" t="s">
        <v>70</v>
      </c>
      <c r="K249" s="78">
        <v>3691.46</v>
      </c>
      <c r="L249" s="87">
        <f t="shared" si="203"/>
        <v>132</v>
      </c>
      <c r="M249" s="133">
        <v>487272.72000000003</v>
      </c>
      <c r="N249" s="79">
        <f t="shared" si="190"/>
        <v>9.7848941251513187E-3</v>
      </c>
      <c r="O249" s="87">
        <f>M249/OBRA!$D$12</f>
        <v>36.705241090778429</v>
      </c>
      <c r="P249" s="81" t="s">
        <v>327</v>
      </c>
    </row>
    <row r="250" spans="1:16" s="1" customFormat="1" ht="19.899999999999999" customHeight="1" outlineLevel="1" x14ac:dyDescent="0.55000000000000004">
      <c r="A250" s="98">
        <f ca="1">IF(G250="UNIDADE CONSTRUTIVA",OFFSET(A250,-1,0)+1,LARGE(A$4:A247,1))</f>
        <v>2</v>
      </c>
      <c r="B250" s="98">
        <f t="shared" ca="1" si="168"/>
        <v>12</v>
      </c>
      <c r="C250" s="98">
        <f t="shared" ca="1" si="169"/>
        <v>0</v>
      </c>
      <c r="D250" s="99">
        <f t="shared" ca="1" si="170"/>
        <v>2</v>
      </c>
      <c r="E250" s="99">
        <f t="shared" ca="1" si="171"/>
        <v>1</v>
      </c>
      <c r="G250" s="75" t="s">
        <v>118</v>
      </c>
      <c r="H250" s="76" t="str">
        <f t="shared" ref="H250:H257" ca="1" si="210">IF(G250="Unidade Construtiva",CONCATENATE("UC ",TEXT(A250,"00")),IF(G250="Célula Construtiva",TEXT(B250,"00"),IF(G250="Etapa",CONCATENATE(TEXT(B250,"00"),".",TEXT(C250,"000")),IF(G250="Subetapa",CONCATENATE(TEXT(B250,"00"),".",TEXT(C250,"000"),".",TEXT(D250,"000")),IF(G250="Serviço",CONCATENATE(TEXT(B250,"00"),".",TEXT(C250,"000"),".",TEXT(D250,"000"),".",TEXT(E250,"000")),"")))))</f>
        <v>12</v>
      </c>
      <c r="I250" s="92" t="s">
        <v>173</v>
      </c>
      <c r="J250" s="77"/>
      <c r="K250" s="78"/>
      <c r="L250" s="87"/>
      <c r="M250" s="130">
        <f>M251</f>
        <v>2190733.2108971104</v>
      </c>
      <c r="N250" s="79">
        <f t="shared" si="190"/>
        <v>4.3991981584934656E-2</v>
      </c>
      <c r="O250" s="87">
        <f>M250/OBRA!$D$12</f>
        <v>165.02337884122383</v>
      </c>
      <c r="P250" s="81"/>
    </row>
    <row r="251" spans="1:16" s="1" customFormat="1" ht="19.899999999999999" customHeight="1" outlineLevel="2" x14ac:dyDescent="0.55000000000000004">
      <c r="A251" s="98">
        <f ca="1">IF(G251="UNIDADE CONSTRUTIVA",OFFSET(A251,-1,0)+1,LARGE(A$4:A250,1))</f>
        <v>2</v>
      </c>
      <c r="B251" s="98">
        <f t="shared" ca="1" si="168"/>
        <v>12</v>
      </c>
      <c r="C251" s="98">
        <f t="shared" ca="1" si="169"/>
        <v>1</v>
      </c>
      <c r="D251" s="99">
        <f t="shared" ca="1" si="170"/>
        <v>0</v>
      </c>
      <c r="E251" s="99">
        <f t="shared" ca="1" si="171"/>
        <v>1</v>
      </c>
      <c r="G251" s="75" t="s">
        <v>119</v>
      </c>
      <c r="H251" s="76" t="str">
        <f t="shared" ca="1" si="210"/>
        <v>12.001</v>
      </c>
      <c r="I251" s="92" t="s">
        <v>173</v>
      </c>
      <c r="J251" s="77"/>
      <c r="K251" s="78"/>
      <c r="L251" s="87"/>
      <c r="M251" s="130">
        <f>M252</f>
        <v>2190733.2108971104</v>
      </c>
      <c r="N251" s="79">
        <f t="shared" si="190"/>
        <v>4.3991981584934656E-2</v>
      </c>
      <c r="O251" s="87">
        <f>M251/OBRA!$D$12</f>
        <v>165.02337884122383</v>
      </c>
      <c r="P251" s="81"/>
    </row>
    <row r="252" spans="1:16" s="1" customFormat="1" ht="19.899999999999999" customHeight="1" outlineLevel="2" x14ac:dyDescent="0.55000000000000004">
      <c r="A252" s="98">
        <f ca="1">IF(G252="UNIDADE CONSTRUTIVA",OFFSET(A252,-1,0)+1,LARGE(A$4:A251,1))</f>
        <v>2</v>
      </c>
      <c r="B252" s="98">
        <f t="shared" ca="1" si="168"/>
        <v>12</v>
      </c>
      <c r="C252" s="98">
        <f t="shared" ca="1" si="169"/>
        <v>1</v>
      </c>
      <c r="D252" s="99">
        <f t="shared" ca="1" si="170"/>
        <v>1</v>
      </c>
      <c r="E252" s="99">
        <f t="shared" ca="1" si="171"/>
        <v>0</v>
      </c>
      <c r="G252" s="75" t="s">
        <v>120</v>
      </c>
      <c r="H252" s="76" t="str">
        <f t="shared" ca="1" si="210"/>
        <v>12.001.001</v>
      </c>
      <c r="I252" s="92" t="s">
        <v>47</v>
      </c>
      <c r="J252" s="77"/>
      <c r="K252" s="78"/>
      <c r="L252" s="87"/>
      <c r="M252" s="130">
        <f>SUM(M253:M258)</f>
        <v>2190733.2108971104</v>
      </c>
      <c r="N252" s="79">
        <f t="shared" si="190"/>
        <v>4.3991981584934656E-2</v>
      </c>
      <c r="O252" s="87">
        <f>M252/OBRA!$D$12</f>
        <v>165.02337884122383</v>
      </c>
      <c r="P252" s="81"/>
    </row>
    <row r="253" spans="1:16" s="1" customFormat="1" ht="19.899999999999999" customHeight="1" outlineLevel="3" x14ac:dyDescent="0.55000000000000004">
      <c r="A253" s="98">
        <f ca="1">IF(G253="UNIDADE CONSTRUTIVA",OFFSET(A253,-1,0)+1,LARGE(A$4:A252,1))</f>
        <v>2</v>
      </c>
      <c r="B253" s="98">
        <f t="shared" ca="1" si="168"/>
        <v>12</v>
      </c>
      <c r="C253" s="98">
        <f t="shared" ca="1" si="169"/>
        <v>1</v>
      </c>
      <c r="D253" s="99">
        <f t="shared" ca="1" si="170"/>
        <v>1</v>
      </c>
      <c r="E253" s="99">
        <f t="shared" ca="1" si="171"/>
        <v>1</v>
      </c>
      <c r="G253" s="75" t="s">
        <v>124</v>
      </c>
      <c r="H253" s="76" t="str">
        <f t="shared" ca="1" si="210"/>
        <v>12.001.001.001</v>
      </c>
      <c r="I253" s="92" t="s">
        <v>404</v>
      </c>
      <c r="J253" s="77" t="s">
        <v>10</v>
      </c>
      <c r="K253" s="78">
        <v>248.54400000000001</v>
      </c>
      <c r="L253" s="78">
        <v>132</v>
      </c>
      <c r="M253" s="130">
        <v>32807.808000000005</v>
      </c>
      <c r="N253" s="79">
        <f t="shared" si="190"/>
        <v>6.5881161530711692E-4</v>
      </c>
      <c r="O253" s="87">
        <f>M253/OBRA!$D$12</f>
        <v>2.4713439781729818</v>
      </c>
      <c r="P253" s="81" t="s">
        <v>405</v>
      </c>
    </row>
    <row r="254" spans="1:16" s="1" customFormat="1" ht="19.899999999999999" customHeight="1" outlineLevel="3" x14ac:dyDescent="0.55000000000000004">
      <c r="A254" s="98">
        <f ca="1">IF(G254="UNIDADE CONSTRUTIVA",OFFSET(A254,-1,0)+1,LARGE(A$4:A253,1))</f>
        <v>2</v>
      </c>
      <c r="B254" s="98">
        <f t="shared" ref="B254:B292" ca="1" si="211">IF(G254="UNIDADE CONSTRUTIVA",0,IF(G254="CÉLULA CONSTRUTIVA",OFFSET(B254,-1,0)+1,OFFSET(B254,-1,0)))</f>
        <v>12</v>
      </c>
      <c r="C254" s="98">
        <f t="shared" ref="C254:C292" ca="1" si="212">IF(G254="CÉLULA CONSTRUTIVA",0,IF(G254="ETAPA",OFFSET(C254,-1,0)+1,OFFSET(C254,-1,0)))</f>
        <v>1</v>
      </c>
      <c r="D254" s="99">
        <f t="shared" ref="D254:D292" ca="1" si="213">IF(G254="ETAPA",0,IF(G254="SUBETAPA",OFFSET(D254,-1,0)+1,OFFSET(D254,-1,0)))</f>
        <v>1</v>
      </c>
      <c r="E254" s="99">
        <f t="shared" ref="E254:E292" ca="1" si="214">IF(G254="Subetapa",0,IF(G254="serviço",OFFSET(E254,-1,0)+1,OFFSET(E254,-1,0)))</f>
        <v>2</v>
      </c>
      <c r="G254" s="75" t="s">
        <v>124</v>
      </c>
      <c r="H254" s="76" t="str">
        <f t="shared" ca="1" si="210"/>
        <v>12.001.001.002</v>
      </c>
      <c r="I254" s="92" t="s">
        <v>346</v>
      </c>
      <c r="J254" s="77" t="s">
        <v>10</v>
      </c>
      <c r="K254" s="78">
        <v>500.98399999999987</v>
      </c>
      <c r="L254" s="87">
        <f t="shared" ref="L254:L258" si="215">M254/K254</f>
        <v>71.5</v>
      </c>
      <c r="M254" s="130">
        <v>35820.355999999992</v>
      </c>
      <c r="N254" s="79">
        <f t="shared" si="190"/>
        <v>7.1930641014590093E-4</v>
      </c>
      <c r="O254" s="87">
        <f>M254/OBRA!$D$12</f>
        <v>2.6982729567489665</v>
      </c>
      <c r="P254" s="81" t="s">
        <v>351</v>
      </c>
    </row>
    <row r="255" spans="1:16" s="1" customFormat="1" ht="19.899999999999999" customHeight="1" outlineLevel="3" x14ac:dyDescent="0.55000000000000004">
      <c r="A255" s="98">
        <f ca="1">IF(G255="UNIDADE CONSTRUTIVA",OFFSET(A255,-1,0)+1,LARGE(A$4:A253,1))</f>
        <v>2</v>
      </c>
      <c r="B255" s="98">
        <f t="shared" ref="B255:B256" ca="1" si="216">IF(G255="UNIDADE CONSTRUTIVA",0,IF(G255="CÉLULA CONSTRUTIVA",OFFSET(B255,-1,0)+1,OFFSET(B255,-1,0)))</f>
        <v>12</v>
      </c>
      <c r="C255" s="98">
        <f t="shared" ref="C255:C256" ca="1" si="217">IF(G255="CÉLULA CONSTRUTIVA",0,IF(G255="ETAPA",OFFSET(C255,-1,0)+1,OFFSET(C255,-1,0)))</f>
        <v>1</v>
      </c>
      <c r="D255" s="99">
        <f t="shared" ref="D255:D256" ca="1" si="218">IF(G255="ETAPA",0,IF(G255="SUBETAPA",OFFSET(D255,-1,0)+1,OFFSET(D255,-1,0)))</f>
        <v>1</v>
      </c>
      <c r="E255" s="99">
        <f t="shared" ref="E255:E256" ca="1" si="219">IF(G255="Subetapa",0,IF(G255="serviço",OFFSET(E255,-1,0)+1,OFFSET(E255,-1,0)))</f>
        <v>3</v>
      </c>
      <c r="G255" s="75" t="s">
        <v>124</v>
      </c>
      <c r="H255" s="76" t="str">
        <f t="shared" ref="H255:H256" ca="1" si="220">IF(G255="Unidade Construtiva",CONCATENATE("UC ",TEXT(A255,"00")),IF(G255="Célula Construtiva",TEXT(B255,"00"),IF(G255="Etapa",CONCATENATE(TEXT(B255,"00"),".",TEXT(C255,"000")),IF(G255="Subetapa",CONCATENATE(TEXT(B255,"00"),".",TEXT(C255,"000"),".",TEXT(D255,"000")),IF(G255="Serviço",CONCATENATE(TEXT(B255,"00"),".",TEXT(C255,"000"),".",TEXT(D255,"000"),".",TEXT(E255,"000")),"")))))</f>
        <v>12.001.001.003</v>
      </c>
      <c r="I255" s="92" t="s">
        <v>347</v>
      </c>
      <c r="J255" s="77" t="s">
        <v>10</v>
      </c>
      <c r="K255" s="78">
        <v>9520.3410000000022</v>
      </c>
      <c r="L255" s="87">
        <f t="shared" si="215"/>
        <v>38.443350000000009</v>
      </c>
      <c r="M255" s="130">
        <v>365993.80118235014</v>
      </c>
      <c r="N255" s="79">
        <f t="shared" si="190"/>
        <v>7.3494994651680436E-3</v>
      </c>
      <c r="O255" s="87">
        <f>M255/OBRA!$D$12</f>
        <v>27.569552241973632</v>
      </c>
      <c r="P255" s="81" t="s">
        <v>352</v>
      </c>
    </row>
    <row r="256" spans="1:16" s="1" customFormat="1" ht="19.899999999999999" customHeight="1" outlineLevel="3" x14ac:dyDescent="0.55000000000000004">
      <c r="A256" s="98">
        <f ca="1">IF(G256="UNIDADE CONSTRUTIVA",OFFSET(A256,-1,0)+1,LARGE(A$4:A253,1))</f>
        <v>2</v>
      </c>
      <c r="B256" s="98">
        <f t="shared" ca="1" si="216"/>
        <v>12</v>
      </c>
      <c r="C256" s="98">
        <f t="shared" ca="1" si="217"/>
        <v>1</v>
      </c>
      <c r="D256" s="99">
        <f t="shared" ca="1" si="218"/>
        <v>1</v>
      </c>
      <c r="E256" s="99">
        <f t="shared" ca="1" si="219"/>
        <v>4</v>
      </c>
      <c r="G256" s="75" t="s">
        <v>124</v>
      </c>
      <c r="H256" s="76" t="str">
        <f t="shared" ca="1" si="220"/>
        <v>12.001.001.004</v>
      </c>
      <c r="I256" s="92" t="s">
        <v>348</v>
      </c>
      <c r="J256" s="77" t="s">
        <v>10</v>
      </c>
      <c r="K256" s="78">
        <v>3110.6259999999993</v>
      </c>
      <c r="L256" s="87">
        <f t="shared" si="215"/>
        <v>38.443350000000009</v>
      </c>
      <c r="M256" s="130">
        <v>119582.8840371</v>
      </c>
      <c r="N256" s="79">
        <f t="shared" si="190"/>
        <v>2.4013366877654696E-3</v>
      </c>
      <c r="O256" s="87">
        <f>M256/OBRA!$D$12</f>
        <v>9.0079300743787893</v>
      </c>
      <c r="P256" s="81" t="s">
        <v>352</v>
      </c>
    </row>
    <row r="257" spans="1:16" s="1" customFormat="1" ht="19.899999999999999" customHeight="1" outlineLevel="3" x14ac:dyDescent="0.55000000000000004">
      <c r="A257" s="98">
        <f ca="1">IF(G257="UNIDADE CONSTRUTIVA",OFFSET(A257,-1,0)+1,LARGE(A$4:A254,1))</f>
        <v>2</v>
      </c>
      <c r="B257" s="98">
        <f t="shared" ca="1" si="211"/>
        <v>12</v>
      </c>
      <c r="C257" s="98">
        <f t="shared" ca="1" si="212"/>
        <v>1</v>
      </c>
      <c r="D257" s="99">
        <f t="shared" ca="1" si="213"/>
        <v>1</v>
      </c>
      <c r="E257" s="99">
        <f t="shared" ca="1" si="214"/>
        <v>5</v>
      </c>
      <c r="G257" s="75" t="s">
        <v>124</v>
      </c>
      <c r="H257" s="76" t="str">
        <f t="shared" ca="1" si="210"/>
        <v>12.001.001.005</v>
      </c>
      <c r="I257" s="92" t="s">
        <v>349</v>
      </c>
      <c r="J257" s="77" t="s">
        <v>10</v>
      </c>
      <c r="K257" s="78">
        <v>7600.9199999999983</v>
      </c>
      <c r="L257" s="87">
        <f t="shared" si="215"/>
        <v>54.889340000000011</v>
      </c>
      <c r="M257" s="130">
        <v>417209.48219279997</v>
      </c>
      <c r="N257" s="79">
        <f t="shared" si="190"/>
        <v>8.3779584690596917E-3</v>
      </c>
      <c r="O257" s="87">
        <f>M257/OBRA!$D$12</f>
        <v>31.427523029086366</v>
      </c>
      <c r="P257" s="81" t="s">
        <v>353</v>
      </c>
    </row>
    <row r="258" spans="1:16" s="1" customFormat="1" ht="19.899999999999999" customHeight="1" outlineLevel="3" x14ac:dyDescent="0.55000000000000004">
      <c r="A258" s="98">
        <f ca="1">IF(G258="UNIDADE CONSTRUTIVA",OFFSET(A258,-1,0)+1,LARGE(A$4:A257,1))</f>
        <v>2</v>
      </c>
      <c r="B258" s="98">
        <f t="shared" ca="1" si="211"/>
        <v>12</v>
      </c>
      <c r="C258" s="98">
        <f t="shared" ca="1" si="212"/>
        <v>1</v>
      </c>
      <c r="D258" s="99">
        <f t="shared" ca="1" si="213"/>
        <v>1</v>
      </c>
      <c r="E258" s="99">
        <f t="shared" ca="1" si="214"/>
        <v>6</v>
      </c>
      <c r="G258" s="75" t="s">
        <v>124</v>
      </c>
      <c r="H258" s="76" t="str">
        <f t="shared" ref="H258" ca="1" si="221">IF(G258="Unidade Construtiva",CONCATENATE("UC ",TEXT(A258,"00")),IF(G258="Célula Construtiva",TEXT(B258,"00"),IF(G258="Etapa",CONCATENATE(TEXT(B258,"00"),".",TEXT(C258,"000")),IF(G258="Subetapa",CONCATENATE(TEXT(B258,"00"),".",TEXT(C258,"000"),".",TEXT(D258,"000")),IF(G258="Serviço",CONCATENATE(TEXT(B258,"00"),".",TEXT(C258,"000"),".",TEXT(D258,"000"),".",TEXT(E258,"000")),"")))))</f>
        <v>12.001.001.006</v>
      </c>
      <c r="I258" s="92" t="s">
        <v>350</v>
      </c>
      <c r="J258" s="77" t="s">
        <v>6</v>
      </c>
      <c r="K258" s="78">
        <v>22214.129000000004</v>
      </c>
      <c r="L258" s="87">
        <f t="shared" si="215"/>
        <v>54.889339999999997</v>
      </c>
      <c r="M258" s="133">
        <v>1219318.8794848602</v>
      </c>
      <c r="N258" s="79">
        <f t="shared" si="190"/>
        <v>2.4485068937488429E-2</v>
      </c>
      <c r="O258" s="87">
        <f>M258/OBRA!$D$12</f>
        <v>91.848756560863094</v>
      </c>
      <c r="P258" s="81" t="s">
        <v>353</v>
      </c>
    </row>
    <row r="259" spans="1:16" s="1" customFormat="1" ht="19.899999999999999" customHeight="1" outlineLevel="1" x14ac:dyDescent="0.55000000000000004">
      <c r="A259" s="98">
        <f ca="1">IF(G259="UNIDADE CONSTRUTIVA",OFFSET(A259,-1,0)+1,LARGE(A$4:A257,1))</f>
        <v>2</v>
      </c>
      <c r="B259" s="98">
        <f t="shared" ca="1" si="211"/>
        <v>13</v>
      </c>
      <c r="C259" s="98">
        <f t="shared" ca="1" si="212"/>
        <v>0</v>
      </c>
      <c r="D259" s="99">
        <f t="shared" ca="1" si="213"/>
        <v>1</v>
      </c>
      <c r="E259" s="99">
        <f t="shared" ca="1" si="214"/>
        <v>6</v>
      </c>
      <c r="G259" s="75" t="s">
        <v>118</v>
      </c>
      <c r="H259" s="76" t="str">
        <f t="shared" ref="H259:H265" ca="1" si="222">IF(G259="Unidade Construtiva",CONCATENATE("UC ",TEXT(A259,"00")),IF(G259="Célula Construtiva",TEXT(B259,"00"),IF(G259="Etapa",CONCATENATE(TEXT(B259,"00"),".",TEXT(C259,"000")),IF(G259="Subetapa",CONCATENATE(TEXT(B259,"00"),".",TEXT(C259,"000"),".",TEXT(D259,"000")),IF(G259="Serviço",CONCATENATE(TEXT(B259,"00"),".",TEXT(C259,"000"),".",TEXT(D259,"000"),".",TEXT(E259,"000")),"")))))</f>
        <v>13</v>
      </c>
      <c r="I259" s="92" t="s">
        <v>174</v>
      </c>
      <c r="J259" s="77"/>
      <c r="K259" s="78"/>
      <c r="L259" s="87"/>
      <c r="M259" s="130">
        <f>M260</f>
        <v>6714354.9869000008</v>
      </c>
      <c r="N259" s="79">
        <f t="shared" si="190"/>
        <v>0.13483055785576972</v>
      </c>
      <c r="O259" s="87">
        <f>M259/OBRA!$D$12</f>
        <v>505.77840385407779</v>
      </c>
      <c r="P259" s="81"/>
    </row>
    <row r="260" spans="1:16" s="1" customFormat="1" ht="19.899999999999999" customHeight="1" outlineLevel="2" x14ac:dyDescent="0.55000000000000004">
      <c r="A260" s="98">
        <f ca="1">IF(G260="UNIDADE CONSTRUTIVA",OFFSET(A260,-1,0)+1,LARGE(A$4:A259,1))</f>
        <v>2</v>
      </c>
      <c r="B260" s="98">
        <f t="shared" ca="1" si="211"/>
        <v>13</v>
      </c>
      <c r="C260" s="98">
        <f t="shared" ca="1" si="212"/>
        <v>1</v>
      </c>
      <c r="D260" s="99">
        <f t="shared" ca="1" si="213"/>
        <v>0</v>
      </c>
      <c r="E260" s="99">
        <f t="shared" ca="1" si="214"/>
        <v>6</v>
      </c>
      <c r="G260" s="75" t="s">
        <v>119</v>
      </c>
      <c r="H260" s="76" t="str">
        <f t="shared" ca="1" si="222"/>
        <v>13.001</v>
      </c>
      <c r="I260" s="92" t="s">
        <v>174</v>
      </c>
      <c r="J260" s="77"/>
      <c r="K260" s="78"/>
      <c r="L260" s="87"/>
      <c r="M260" s="130">
        <f>M261+M268+M272</f>
        <v>6714354.9869000008</v>
      </c>
      <c r="N260" s="79">
        <f t="shared" si="190"/>
        <v>0.13483055785576972</v>
      </c>
      <c r="O260" s="87">
        <f>M260/OBRA!$D$12</f>
        <v>505.77840385407779</v>
      </c>
      <c r="P260" s="81"/>
    </row>
    <row r="261" spans="1:16" s="1" customFormat="1" ht="19.899999999999999" customHeight="1" outlineLevel="2" x14ac:dyDescent="0.55000000000000004">
      <c r="A261" s="98">
        <f ca="1">IF(G261="UNIDADE CONSTRUTIVA",OFFSET(A261,-1,0)+1,LARGE(A$4:A260,1))</f>
        <v>2</v>
      </c>
      <c r="B261" s="98">
        <f t="shared" ca="1" si="211"/>
        <v>13</v>
      </c>
      <c r="C261" s="98">
        <f t="shared" ca="1" si="212"/>
        <v>1</v>
      </c>
      <c r="D261" s="99">
        <f t="shared" ca="1" si="213"/>
        <v>1</v>
      </c>
      <c r="E261" s="99">
        <f t="shared" ca="1" si="214"/>
        <v>0</v>
      </c>
      <c r="G261" s="75" t="s">
        <v>120</v>
      </c>
      <c r="H261" s="76" t="str">
        <f t="shared" ca="1" si="222"/>
        <v>13.001.001</v>
      </c>
      <c r="I261" s="92" t="s">
        <v>24</v>
      </c>
      <c r="J261" s="77"/>
      <c r="K261" s="78"/>
      <c r="L261" s="87"/>
      <c r="M261" s="130">
        <f>SUM(M262:M267)</f>
        <v>5389416.9989</v>
      </c>
      <c r="N261" s="79">
        <f t="shared" si="190"/>
        <v>0.10822455796525457</v>
      </c>
      <c r="O261" s="87">
        <f>M261/OBRA!$D$12</f>
        <v>405.97357940203187</v>
      </c>
      <c r="P261" s="81"/>
    </row>
    <row r="262" spans="1:16" s="1" customFormat="1" ht="19.899999999999999" customHeight="1" outlineLevel="3" x14ac:dyDescent="0.55000000000000004">
      <c r="A262" s="98">
        <f ca="1">IF(G262="UNIDADE CONSTRUTIVA",OFFSET(A262,-1,0)+1,LARGE(A$4:A261,1))</f>
        <v>2</v>
      </c>
      <c r="B262" s="98">
        <f t="shared" ca="1" si="211"/>
        <v>13</v>
      </c>
      <c r="C262" s="98">
        <f t="shared" ca="1" si="212"/>
        <v>1</v>
      </c>
      <c r="D262" s="99">
        <f t="shared" ca="1" si="213"/>
        <v>1</v>
      </c>
      <c r="E262" s="99">
        <f t="shared" ca="1" si="214"/>
        <v>1</v>
      </c>
      <c r="G262" s="75" t="s">
        <v>124</v>
      </c>
      <c r="H262" s="76" t="str">
        <f t="shared" ca="1" si="222"/>
        <v>13.001.001.001</v>
      </c>
      <c r="I262" s="92" t="s">
        <v>25</v>
      </c>
      <c r="J262" s="77" t="s">
        <v>10</v>
      </c>
      <c r="K262" s="78">
        <f>IF(M9="ESQUADRIAS MAIORES",Planilha1!D15,IF(M9="ESQUADRIAS MENORES",Planilha1!D16,"NA"))</f>
        <v>2110.7750999999998</v>
      </c>
      <c r="L262" s="87">
        <f>IF(M9="ESQUADRIAS MAIORES",Planilha1!E15,IF(M9="ESQUADRIAS MENORES",Planilha1!E16,"NA"))</f>
        <v>1375.0000000000002</v>
      </c>
      <c r="M262" s="130">
        <f>L262*K262</f>
        <v>2902315.7625000002</v>
      </c>
      <c r="N262" s="79">
        <f t="shared" si="190"/>
        <v>5.8281227920619731E-2</v>
      </c>
      <c r="O262" s="87">
        <f>M262/OBRA!$D$12</f>
        <v>218.62541326780809</v>
      </c>
      <c r="P262" s="81" t="s">
        <v>358</v>
      </c>
    </row>
    <row r="263" spans="1:16" s="1" customFormat="1" ht="19.899999999999999" customHeight="1" outlineLevel="3" x14ac:dyDescent="0.55000000000000004">
      <c r="A263" s="98">
        <f ca="1">IF(G263="UNIDADE CONSTRUTIVA",OFFSET(A263,-1,0)+1,LARGE(A$4:A262,1))</f>
        <v>2</v>
      </c>
      <c r="B263" s="98">
        <f t="shared" ca="1" si="211"/>
        <v>13</v>
      </c>
      <c r="C263" s="98">
        <f t="shared" ca="1" si="212"/>
        <v>1</v>
      </c>
      <c r="D263" s="99">
        <f t="shared" ca="1" si="213"/>
        <v>1</v>
      </c>
      <c r="E263" s="99">
        <f t="shared" ca="1" si="214"/>
        <v>2</v>
      </c>
      <c r="G263" s="75" t="s">
        <v>124</v>
      </c>
      <c r="H263" s="76" t="str">
        <f t="shared" ca="1" si="222"/>
        <v>13.001.001.002</v>
      </c>
      <c r="I263" s="92" t="s">
        <v>400</v>
      </c>
      <c r="J263" s="77" t="s">
        <v>10</v>
      </c>
      <c r="K263" s="78">
        <v>254.69</v>
      </c>
      <c r="L263" s="87">
        <f t="shared" ref="L263:L267" si="223">M263/K263</f>
        <v>1045.0000000000002</v>
      </c>
      <c r="M263" s="130">
        <v>266151.05000000005</v>
      </c>
      <c r="N263" s="79">
        <f t="shared" si="190"/>
        <v>5.3445631956327358E-3</v>
      </c>
      <c r="O263" s="87">
        <f>M263/OBRA!$D$12</f>
        <v>20.048605341201586</v>
      </c>
      <c r="P263" s="81" t="s">
        <v>359</v>
      </c>
    </row>
    <row r="264" spans="1:16" s="1" customFormat="1" ht="19.899999999999999" customHeight="1" outlineLevel="3" x14ac:dyDescent="0.55000000000000004">
      <c r="A264" s="98">
        <f ca="1">IF(G264="UNIDADE CONSTRUTIVA",OFFSET(A264,-1,0)+1,LARGE(A$4:A263,1))</f>
        <v>2</v>
      </c>
      <c r="B264" s="98">
        <f t="shared" ca="1" si="211"/>
        <v>13</v>
      </c>
      <c r="C264" s="98">
        <f t="shared" ca="1" si="212"/>
        <v>1</v>
      </c>
      <c r="D264" s="99">
        <f t="shared" ca="1" si="213"/>
        <v>1</v>
      </c>
      <c r="E264" s="99">
        <f t="shared" ca="1" si="214"/>
        <v>3</v>
      </c>
      <c r="G264" s="75" t="s">
        <v>124</v>
      </c>
      <c r="H264" s="76" t="str">
        <f t="shared" ref="H264" ca="1" si="224">IF(G264="Unidade Construtiva",CONCATENATE("UC ",TEXT(A264,"00")),IF(G264="Célula Construtiva",TEXT(B264,"00"),IF(G264="Etapa",CONCATENATE(TEXT(B264,"00"),".",TEXT(C264,"000")),IF(G264="Subetapa",CONCATENATE(TEXT(B264,"00"),".",TEXT(C264,"000"),".",TEXT(D264,"000")),IF(G264="Serviço",CONCATENATE(TEXT(B264,"00"),".",TEXT(C264,"000"),".",TEXT(D264,"000"),".",TEXT(E264,"000")),"")))))</f>
        <v>13.001.001.003</v>
      </c>
      <c r="I264" s="92" t="s">
        <v>401</v>
      </c>
      <c r="J264" s="77" t="s">
        <v>10</v>
      </c>
      <c r="K264" s="78">
        <f>IF(M7="BRISE TOTAL",Planilha1!D22,IF(M7="BRISE FACHADA NORTE",Planilha1!D23,"NA"))</f>
        <v>345.25400000000002</v>
      </c>
      <c r="L264" s="87">
        <v>2310</v>
      </c>
      <c r="M264" s="130">
        <f>L264*K264</f>
        <v>797536.74</v>
      </c>
      <c r="N264" s="79">
        <f t="shared" si="190"/>
        <v>1.601528721291505E-2</v>
      </c>
      <c r="O264" s="87">
        <f>M264/OBRA!$D$12</f>
        <v>60.076784763270702</v>
      </c>
      <c r="P264" s="81" t="s">
        <v>360</v>
      </c>
    </row>
    <row r="265" spans="1:16" s="1" customFormat="1" ht="19.899999999999999" customHeight="1" outlineLevel="3" x14ac:dyDescent="0.55000000000000004">
      <c r="A265" s="98">
        <f ca="1">IF(G265="UNIDADE CONSTRUTIVA",OFFSET(A265,-1,0)+1,LARGE(A$4:A264,1))</f>
        <v>2</v>
      </c>
      <c r="B265" s="98">
        <f t="shared" ca="1" si="211"/>
        <v>13</v>
      </c>
      <c r="C265" s="98">
        <f t="shared" ca="1" si="212"/>
        <v>1</v>
      </c>
      <c r="D265" s="99">
        <f t="shared" ca="1" si="213"/>
        <v>1</v>
      </c>
      <c r="E265" s="99">
        <f t="shared" ca="1" si="214"/>
        <v>4</v>
      </c>
      <c r="G265" s="75" t="s">
        <v>124</v>
      </c>
      <c r="H265" s="76" t="str">
        <f t="shared" ca="1" si="222"/>
        <v>13.001.001.004</v>
      </c>
      <c r="I265" s="92" t="s">
        <v>402</v>
      </c>
      <c r="J265" s="77" t="s">
        <v>22</v>
      </c>
      <c r="K265" s="78">
        <v>2</v>
      </c>
      <c r="L265" s="87">
        <f t="shared" si="223"/>
        <v>19800</v>
      </c>
      <c r="M265" s="130">
        <v>39600</v>
      </c>
      <c r="N265" s="79">
        <f t="shared" si="190"/>
        <v>7.9520521353215138E-4</v>
      </c>
      <c r="O265" s="87">
        <f>M265/OBRA!$D$12</f>
        <v>2.9829856824220036</v>
      </c>
      <c r="P265" s="81" t="s">
        <v>361</v>
      </c>
    </row>
    <row r="266" spans="1:16" s="1" customFormat="1" ht="19.899999999999999" customHeight="1" outlineLevel="3" x14ac:dyDescent="0.55000000000000004">
      <c r="A266" s="98">
        <f ca="1">IF(G266="UNIDADE CONSTRUTIVA",OFFSET(A266,-1,0)+1,LARGE(A$4:A265,1))</f>
        <v>2</v>
      </c>
      <c r="B266" s="98">
        <f t="shared" ca="1" si="211"/>
        <v>13</v>
      </c>
      <c r="C266" s="98">
        <f t="shared" ca="1" si="212"/>
        <v>1</v>
      </c>
      <c r="D266" s="99">
        <f t="shared" ca="1" si="213"/>
        <v>1</v>
      </c>
      <c r="E266" s="99">
        <f t="shared" ca="1" si="214"/>
        <v>5</v>
      </c>
      <c r="G266" s="75" t="s">
        <v>124</v>
      </c>
      <c r="H266" s="76" t="str">
        <f t="shared" ref="H266" ca="1" si="225">IF(G266="Unidade Construtiva",CONCATENATE("UC ",TEXT(A266,"00")),IF(G266="Célula Construtiva",TEXT(B266,"00"),IF(G266="Etapa",CONCATENATE(TEXT(B266,"00"),".",TEXT(C266,"000")),IF(G266="Subetapa",CONCATENATE(TEXT(B266,"00"),".",TEXT(C266,"000"),".",TEXT(D266,"000")),IF(G266="Serviço",CONCATENATE(TEXT(B266,"00"),".",TEXT(C266,"000"),".",TEXT(D266,"000"),".",TEXT(E266,"000")),"")))))</f>
        <v>13.001.001.005</v>
      </c>
      <c r="I266" s="92" t="s">
        <v>175</v>
      </c>
      <c r="J266" s="77" t="s">
        <v>70</v>
      </c>
      <c r="K266" s="78">
        <v>454.56639999999999</v>
      </c>
      <c r="L266" s="87">
        <f t="shared" si="223"/>
        <v>2310.0000000000005</v>
      </c>
      <c r="M266" s="130">
        <v>1050048.3840000001</v>
      </c>
      <c r="N266" s="79">
        <f t="shared" si="190"/>
        <v>2.1085958318631581E-2</v>
      </c>
      <c r="O266" s="87">
        <f>M266/OBRA!$D$12</f>
        <v>79.097962003089947</v>
      </c>
      <c r="P266" s="81"/>
    </row>
    <row r="267" spans="1:16" s="1" customFormat="1" ht="19.899999999999999" customHeight="1" outlineLevel="3" x14ac:dyDescent="0.55000000000000004">
      <c r="A267" s="98">
        <f ca="1">IF(G267="UNIDADE CONSTRUTIVA",OFFSET(A267,-1,0)+1,LARGE(A$4:A266,1))</f>
        <v>2</v>
      </c>
      <c r="B267" s="98">
        <f t="shared" ca="1" si="211"/>
        <v>13</v>
      </c>
      <c r="C267" s="98">
        <f t="shared" ca="1" si="212"/>
        <v>1</v>
      </c>
      <c r="D267" s="99">
        <f t="shared" ca="1" si="213"/>
        <v>1</v>
      </c>
      <c r="E267" s="99">
        <f t="shared" ca="1" si="214"/>
        <v>6</v>
      </c>
      <c r="G267" s="75" t="s">
        <v>124</v>
      </c>
      <c r="H267" s="76" t="str">
        <f t="shared" ref="H267" ca="1" si="226">IF(G267="Unidade Construtiva",CONCATENATE("UC ",TEXT(A267,"00")),IF(G267="Célula Construtiva",TEXT(B267,"00"),IF(G267="Etapa",CONCATENATE(TEXT(B267,"00"),".",TEXT(C267,"000")),IF(G267="Subetapa",CONCATENATE(TEXT(B267,"00"),".",TEXT(C267,"000"),".",TEXT(D267,"000")),IF(G267="Serviço",CONCATENATE(TEXT(B267,"00"),".",TEXT(C267,"000"),".",TEXT(D267,"000"),".",TEXT(E267,"000")),"")))))</f>
        <v>13.001.001.006</v>
      </c>
      <c r="I267" s="92" t="s">
        <v>403</v>
      </c>
      <c r="J267" s="77" t="s">
        <v>22</v>
      </c>
      <c r="K267" s="78">
        <v>497.41439999999994</v>
      </c>
      <c r="L267" s="87">
        <f t="shared" si="223"/>
        <v>671.00000000000011</v>
      </c>
      <c r="M267" s="130">
        <v>333765.0624</v>
      </c>
      <c r="N267" s="79">
        <f t="shared" si="190"/>
        <v>6.702316103923329E-3</v>
      </c>
      <c r="O267" s="87">
        <f>M267/OBRA!$D$12</f>
        <v>25.14182834423956</v>
      </c>
      <c r="P267" s="81"/>
    </row>
    <row r="268" spans="1:16" s="1" customFormat="1" ht="19.899999999999999" customHeight="1" outlineLevel="2" x14ac:dyDescent="0.55000000000000004">
      <c r="A268" s="98">
        <f ca="1">IF(G268="UNIDADE CONSTRUTIVA",OFFSET(A268,-1,0)+1,LARGE(A$4:A267,1))</f>
        <v>2</v>
      </c>
      <c r="B268" s="98">
        <f t="shared" ca="1" si="211"/>
        <v>13</v>
      </c>
      <c r="C268" s="98">
        <f t="shared" ca="1" si="212"/>
        <v>1</v>
      </c>
      <c r="D268" s="99">
        <f t="shared" ca="1" si="213"/>
        <v>2</v>
      </c>
      <c r="E268" s="99">
        <f t="shared" ca="1" si="214"/>
        <v>0</v>
      </c>
      <c r="G268" s="75" t="s">
        <v>120</v>
      </c>
      <c r="H268" s="76" t="str">
        <f t="shared" ref="H268:H269" ca="1" si="227">IF(G268="Unidade Construtiva",CONCATENATE("UC ",TEXT(A268,"00")),IF(G268="Célula Construtiva",TEXT(B268,"00"),IF(G268="Etapa",CONCATENATE(TEXT(B268,"00"),".",TEXT(C268,"000")),IF(G268="Subetapa",CONCATENATE(TEXT(B268,"00"),".",TEXT(C268,"000"),".",TEXT(D268,"000")),IF(G268="Serviço",CONCATENATE(TEXT(B268,"00"),".",TEXT(C268,"000"),".",TEXT(D268,"000"),".",TEXT(E268,"000")),"")))))</f>
        <v>13.001.002</v>
      </c>
      <c r="I268" s="92" t="s">
        <v>176</v>
      </c>
      <c r="J268" s="77"/>
      <c r="K268" s="78"/>
      <c r="L268" s="87"/>
      <c r="M268" s="130">
        <f>SUM(M269:M271)</f>
        <v>1167440.56</v>
      </c>
      <c r="N268" s="79">
        <f t="shared" si="190"/>
        <v>2.3443303530325619E-2</v>
      </c>
      <c r="O268" s="87">
        <f>M268/OBRA!$D$12</f>
        <v>87.940870594917328</v>
      </c>
      <c r="P268" s="81"/>
    </row>
    <row r="269" spans="1:16" s="1" customFormat="1" ht="19.899999999999999" customHeight="1" outlineLevel="3" x14ac:dyDescent="0.55000000000000004">
      <c r="A269" s="98">
        <f ca="1">IF(G269="UNIDADE CONSTRUTIVA",OFFSET(A269,-1,0)+1,LARGE(A$4:A268,1))</f>
        <v>2</v>
      </c>
      <c r="B269" s="98">
        <f t="shared" ca="1" si="211"/>
        <v>13</v>
      </c>
      <c r="C269" s="98">
        <f t="shared" ca="1" si="212"/>
        <v>1</v>
      </c>
      <c r="D269" s="99">
        <f t="shared" ca="1" si="213"/>
        <v>2</v>
      </c>
      <c r="E269" s="99">
        <f t="shared" ca="1" si="214"/>
        <v>1</v>
      </c>
      <c r="G269" s="75" t="s">
        <v>124</v>
      </c>
      <c r="H269" s="76" t="str">
        <f t="shared" ca="1" si="227"/>
        <v>13.001.002.001</v>
      </c>
      <c r="I269" s="92" t="s">
        <v>363</v>
      </c>
      <c r="J269" s="77" t="s">
        <v>8</v>
      </c>
      <c r="K269" s="78">
        <v>255.83999999999995</v>
      </c>
      <c r="L269" s="87">
        <f t="shared" ref="L269:L271" si="228">M269/K269</f>
        <v>71.5</v>
      </c>
      <c r="M269" s="130">
        <v>18292.559999999998</v>
      </c>
      <c r="N269" s="79">
        <f t="shared" si="190"/>
        <v>3.6733179497095174E-4</v>
      </c>
      <c r="O269" s="87">
        <f>M269/OBRA!$D$12</f>
        <v>1.377940519566804</v>
      </c>
      <c r="P269" s="81"/>
    </row>
    <row r="270" spans="1:16" s="1" customFormat="1" ht="24" customHeight="1" outlineLevel="3" x14ac:dyDescent="0.55000000000000004">
      <c r="A270" s="98">
        <f ca="1">IF(G270="UNIDADE CONSTRUTIVA",OFFSET(A270,-1,0)+1,LARGE(A$4:A269,1))</f>
        <v>2</v>
      </c>
      <c r="B270" s="98">
        <f t="shared" ref="B270:B271" ca="1" si="229">IF(G270="UNIDADE CONSTRUTIVA",0,IF(G270="CÉLULA CONSTRUTIVA",OFFSET(B270,-1,0)+1,OFFSET(B270,-1,0)))</f>
        <v>13</v>
      </c>
      <c r="C270" s="98">
        <f t="shared" ref="C270:C271" ca="1" si="230">IF(G270="CÉLULA CONSTRUTIVA",0,IF(G270="ETAPA",OFFSET(C270,-1,0)+1,OFFSET(C270,-1,0)))</f>
        <v>1</v>
      </c>
      <c r="D270" s="99">
        <f t="shared" ref="D270:D271" ca="1" si="231">IF(G270="ETAPA",0,IF(G270="SUBETAPA",OFFSET(D270,-1,0)+1,OFFSET(D270,-1,0)))</f>
        <v>2</v>
      </c>
      <c r="E270" s="99">
        <f t="shared" ref="E270:E271" ca="1" si="232">IF(G270="Subetapa",0,IF(G270="serviço",OFFSET(E270,-1,0)+1,OFFSET(E270,-1,0)))</f>
        <v>2</v>
      </c>
      <c r="G270" s="75" t="s">
        <v>124</v>
      </c>
      <c r="H270" s="76" t="str">
        <f t="shared" ref="H270:H271" ca="1" si="233">IF(G270="Unidade Construtiva",CONCATENATE("UC ",TEXT(A270,"00")),IF(G270="Célula Construtiva",TEXT(B270,"00"),IF(G270="Etapa",CONCATENATE(TEXT(B270,"00"),".",TEXT(C270,"000")),IF(G270="Subetapa",CONCATENATE(TEXT(B270,"00"),".",TEXT(C270,"000"),".",TEXT(D270,"000")),IF(G270="Serviço",CONCATENATE(TEXT(B270,"00"),".",TEXT(C270,"000"),".",TEXT(D270,"000"),".",TEXT(E270,"000")),"")))))</f>
        <v>13.001.002.002</v>
      </c>
      <c r="I270" s="92" t="s">
        <v>365</v>
      </c>
      <c r="J270" s="77" t="s">
        <v>22</v>
      </c>
      <c r="K270" s="78">
        <v>84</v>
      </c>
      <c r="L270" s="87">
        <f t="shared" si="228"/>
        <v>1650</v>
      </c>
      <c r="M270" s="133">
        <v>138600</v>
      </c>
      <c r="N270" s="79">
        <f t="shared" ref="N270:N271" si="234">M270/$M$298</f>
        <v>2.7832182473625298E-3</v>
      </c>
      <c r="O270" s="87">
        <f>M270/OBRA!$D$12</f>
        <v>10.440449888477012</v>
      </c>
      <c r="P270" s="81" t="s">
        <v>370</v>
      </c>
    </row>
    <row r="271" spans="1:16" s="1" customFormat="1" ht="24" customHeight="1" outlineLevel="3" x14ac:dyDescent="0.55000000000000004">
      <c r="A271" s="98">
        <f ca="1">IF(G271="UNIDADE CONSTRUTIVA",OFFSET(A271,-1,0)+1,LARGE(A$4:A270,1))</f>
        <v>2</v>
      </c>
      <c r="B271" s="98">
        <f t="shared" ca="1" si="229"/>
        <v>13</v>
      </c>
      <c r="C271" s="98">
        <f t="shared" ca="1" si="230"/>
        <v>1</v>
      </c>
      <c r="D271" s="99">
        <f t="shared" ca="1" si="231"/>
        <v>2</v>
      </c>
      <c r="E271" s="99">
        <f t="shared" ca="1" si="232"/>
        <v>3</v>
      </c>
      <c r="G271" s="75" t="s">
        <v>124</v>
      </c>
      <c r="H271" s="76" t="str">
        <f t="shared" ca="1" si="233"/>
        <v>13.001.002.003</v>
      </c>
      <c r="I271" s="92" t="s">
        <v>366</v>
      </c>
      <c r="J271" s="77" t="s">
        <v>22</v>
      </c>
      <c r="K271" s="78">
        <v>476</v>
      </c>
      <c r="L271" s="87">
        <f t="shared" si="228"/>
        <v>2123.0000000000005</v>
      </c>
      <c r="M271" s="133">
        <v>1010548.0000000001</v>
      </c>
      <c r="N271" s="79">
        <f t="shared" si="234"/>
        <v>2.0292753487992136E-2</v>
      </c>
      <c r="O271" s="87">
        <f>M271/OBRA!$D$12</f>
        <v>76.122480186873517</v>
      </c>
      <c r="P271" s="81" t="s">
        <v>369</v>
      </c>
    </row>
    <row r="272" spans="1:16" s="1" customFormat="1" ht="19.899999999999999" customHeight="1" outlineLevel="2" x14ac:dyDescent="0.55000000000000004">
      <c r="A272" s="98">
        <f ca="1">IF(G272="UNIDADE CONSTRUTIVA",OFFSET(A272,-1,0)+1,LARGE(A$4:A269,1))</f>
        <v>2</v>
      </c>
      <c r="B272" s="98">
        <f t="shared" ca="1" si="211"/>
        <v>13</v>
      </c>
      <c r="C272" s="98">
        <f t="shared" ca="1" si="212"/>
        <v>1</v>
      </c>
      <c r="D272" s="99">
        <f t="shared" ca="1" si="213"/>
        <v>3</v>
      </c>
      <c r="E272" s="99">
        <f t="shared" ca="1" si="214"/>
        <v>0</v>
      </c>
      <c r="G272" s="75" t="s">
        <v>120</v>
      </c>
      <c r="H272" s="76" t="str">
        <f ca="1">IF(G272="Unidade Construtiva",CONCATENATE("UC ",TEXT(A272,"00")),IF(G272="Célula Construtiva",TEXT(B272,"00"),IF(G272="Etapa",CONCATENATE(TEXT(B272,"00"),".",TEXT(C272,"000")),IF(G272="Subetapa",CONCATENATE(TEXT(B272,"00"),".",TEXT(C272,"000"),".",TEXT(D272,"000")),IF(G272="Serviço",CONCATENATE(TEXT(B272,"00"),".",TEXT(C272,"000"),".",TEXT(D272,"000"),".",TEXT(E272,"000")),"")))))</f>
        <v>13.001.003</v>
      </c>
      <c r="I272" s="92" t="s">
        <v>362</v>
      </c>
      <c r="J272" s="77"/>
      <c r="K272" s="78"/>
      <c r="L272" s="87"/>
      <c r="M272" s="130">
        <f>SUM(M273:M275)</f>
        <v>157497.42800000001</v>
      </c>
      <c r="N272" s="79">
        <f t="shared" ref="N272:N297" si="235">M272/$M$298</f>
        <v>3.1626963601895115E-3</v>
      </c>
      <c r="O272" s="87">
        <f>M272/OBRA!$D$12</f>
        <v>11.863953857128545</v>
      </c>
      <c r="P272" s="81"/>
    </row>
    <row r="273" spans="1:16" s="1" customFormat="1" ht="19.899999999999999" customHeight="1" outlineLevel="3" x14ac:dyDescent="0.55000000000000004">
      <c r="A273" s="98">
        <f ca="1">IF(G273="UNIDADE CONSTRUTIVA",OFFSET(A273,-1,0)+1,LARGE(A$4:A272,1))</f>
        <v>2</v>
      </c>
      <c r="B273" s="98">
        <f t="shared" ca="1" si="211"/>
        <v>13</v>
      </c>
      <c r="C273" s="98">
        <f t="shared" ca="1" si="212"/>
        <v>1</v>
      </c>
      <c r="D273" s="99">
        <f t="shared" ca="1" si="213"/>
        <v>3</v>
      </c>
      <c r="E273" s="99">
        <f t="shared" ca="1" si="214"/>
        <v>1</v>
      </c>
      <c r="G273" s="75" t="s">
        <v>124</v>
      </c>
      <c r="H273" s="76" t="str">
        <f ca="1">IF(G273="Unidade Construtiva",CONCATENATE("UC ",TEXT(A273,"00")),IF(G273="Célula Construtiva",TEXT(B273,"00"),IF(G273="Etapa",CONCATENATE(TEXT(B273,"00"),".",TEXT(C273,"000")),IF(G273="Subetapa",CONCATENATE(TEXT(B273,"00"),".",TEXT(C273,"000"),".",TEXT(D273,"000")),IF(G273="Serviço",CONCATENATE(TEXT(B273,"00"),".",TEXT(C273,"000"),".",TEXT(D273,"000"),".",TEXT(E273,"000")),"")))))</f>
        <v>13.001.003.001</v>
      </c>
      <c r="I273" s="92" t="s">
        <v>364</v>
      </c>
      <c r="J273" s="77" t="s">
        <v>8</v>
      </c>
      <c r="K273" s="78">
        <v>28.911999999999999</v>
      </c>
      <c r="L273" s="87">
        <f t="shared" ref="L273:L275" si="236">M273/K273</f>
        <v>715.00000000000011</v>
      </c>
      <c r="M273" s="130">
        <v>20672.080000000002</v>
      </c>
      <c r="N273" s="79">
        <f t="shared" si="235"/>
        <v>4.1511479269075045E-4</v>
      </c>
      <c r="O273" s="87">
        <f>M273/OBRA!$D$12</f>
        <v>1.5571848147950065</v>
      </c>
      <c r="P273" s="81"/>
    </row>
    <row r="274" spans="1:16" s="1" customFormat="1" ht="19.899999999999999" customHeight="1" outlineLevel="3" x14ac:dyDescent="0.55000000000000004">
      <c r="A274" s="98">
        <f ca="1">IF(G274="UNIDADE CONSTRUTIVA",OFFSET(A274,-1,0)+1,LARGE(A$4:A273,1))</f>
        <v>2</v>
      </c>
      <c r="B274" s="98">
        <f t="shared" ca="1" si="211"/>
        <v>13</v>
      </c>
      <c r="C274" s="98">
        <f t="shared" ca="1" si="212"/>
        <v>1</v>
      </c>
      <c r="D274" s="99">
        <f t="shared" ca="1" si="213"/>
        <v>3</v>
      </c>
      <c r="E274" s="99">
        <f t="shared" ca="1" si="214"/>
        <v>2</v>
      </c>
      <c r="G274" s="75" t="s">
        <v>124</v>
      </c>
      <c r="H274" s="76" t="str">
        <f t="shared" ref="H274" ca="1" si="237">IF(G274="Unidade Construtiva",CONCATENATE("UC ",TEXT(A274,"00")),IF(G274="Célula Construtiva",TEXT(B274,"00"),IF(G274="Etapa",CONCATENATE(TEXT(B274,"00"),".",TEXT(C274,"000")),IF(G274="Subetapa",CONCATENATE(TEXT(B274,"00"),".",TEXT(C274,"000"),".",TEXT(D274,"000")),IF(G274="Serviço",CONCATENATE(TEXT(B274,"00"),".",TEXT(C274,"000"),".",TEXT(D274,"000"),".",TEXT(E274,"000")),"")))))</f>
        <v>13.001.003.002</v>
      </c>
      <c r="I274" s="92" t="s">
        <v>177</v>
      </c>
      <c r="J274" s="77" t="s">
        <v>6</v>
      </c>
      <c r="K274" s="78">
        <v>1</v>
      </c>
      <c r="L274" s="87">
        <f t="shared" si="236"/>
        <v>86775.348000000013</v>
      </c>
      <c r="M274" s="130">
        <v>86775.348000000013</v>
      </c>
      <c r="N274" s="79">
        <f t="shared" si="235"/>
        <v>1.7425305337289585E-3</v>
      </c>
      <c r="O274" s="87">
        <f>M274/OBRA!$D$12</f>
        <v>6.5366065826057289</v>
      </c>
      <c r="P274" s="81" t="s">
        <v>368</v>
      </c>
    </row>
    <row r="275" spans="1:16" s="1" customFormat="1" ht="19.899999999999999" customHeight="1" outlineLevel="3" x14ac:dyDescent="0.55000000000000004">
      <c r="A275" s="98">
        <f ca="1">IF(G275="UNIDADE CONSTRUTIVA",OFFSET(A275,-1,0)+1,LARGE(A$4:A274,1))</f>
        <v>2</v>
      </c>
      <c r="B275" s="98">
        <f t="shared" ca="1" si="211"/>
        <v>13</v>
      </c>
      <c r="C275" s="98">
        <f t="shared" ca="1" si="212"/>
        <v>1</v>
      </c>
      <c r="D275" s="99">
        <f t="shared" ca="1" si="213"/>
        <v>3</v>
      </c>
      <c r="E275" s="99">
        <f t="shared" ca="1" si="214"/>
        <v>3</v>
      </c>
      <c r="G275" s="75" t="s">
        <v>124</v>
      </c>
      <c r="H275" s="76" t="str">
        <f t="shared" ref="H275" ca="1" si="238">IF(G275="Unidade Construtiva",CONCATENATE("UC ",TEXT(A275,"00")),IF(G275="Célula Construtiva",TEXT(B275,"00"),IF(G275="Etapa",CONCATENATE(TEXT(B275,"00"),".",TEXT(C275,"000")),IF(G275="Subetapa",CONCATENATE(TEXT(B275,"00"),".",TEXT(C275,"000"),".",TEXT(D275,"000")),IF(G275="Serviço",CONCATENATE(TEXT(B275,"00"),".",TEXT(C275,"000"),".",TEXT(D275,"000"),".",TEXT(E275,"000")),"")))))</f>
        <v>13.001.003.003</v>
      </c>
      <c r="I275" s="92" t="s">
        <v>367</v>
      </c>
      <c r="J275" s="77" t="s">
        <v>22</v>
      </c>
      <c r="K275" s="78">
        <v>26</v>
      </c>
      <c r="L275" s="87">
        <f t="shared" si="236"/>
        <v>1925.0000000000002</v>
      </c>
      <c r="M275" s="130">
        <v>50050.000000000007</v>
      </c>
      <c r="N275" s="79">
        <f t="shared" si="235"/>
        <v>1.0050510337698026E-3</v>
      </c>
      <c r="O275" s="87">
        <f>M275/OBRA!$D$12</f>
        <v>3.7701624597278105</v>
      </c>
      <c r="P275" s="81"/>
    </row>
    <row r="276" spans="1:16" s="1" customFormat="1" ht="19.899999999999999" customHeight="1" outlineLevel="1" x14ac:dyDescent="0.55000000000000004">
      <c r="A276" s="98">
        <f ca="1">IF(G276="UNIDADE CONSTRUTIVA",OFFSET(A276,-1,0)+1,LARGE(A$4:A275,1))</f>
        <v>2</v>
      </c>
      <c r="B276" s="98">
        <f t="shared" ca="1" si="211"/>
        <v>14</v>
      </c>
      <c r="C276" s="98">
        <f t="shared" ca="1" si="212"/>
        <v>0</v>
      </c>
      <c r="D276" s="99">
        <f t="shared" ca="1" si="213"/>
        <v>3</v>
      </c>
      <c r="E276" s="99">
        <f t="shared" ca="1" si="214"/>
        <v>3</v>
      </c>
      <c r="G276" s="75" t="s">
        <v>118</v>
      </c>
      <c r="H276" s="76" t="str">
        <f t="shared" ref="H276:H284" ca="1" si="239">IF(G276="Unidade Construtiva",CONCATENATE("UC ",TEXT(A276,"00")),IF(G276="Célula Construtiva",TEXT(B276,"00"),IF(G276="Etapa",CONCATENATE(TEXT(B276,"00"),".",TEXT(C276,"000")),IF(G276="Subetapa",CONCATENATE(TEXT(B276,"00"),".",TEXT(C276,"000"),".",TEXT(D276,"000")),IF(G276="Serviço",CONCATENATE(TEXT(B276,"00"),".",TEXT(C276,"000"),".",TEXT(D276,"000"),".",TEXT(E276,"000")),"")))))</f>
        <v>14</v>
      </c>
      <c r="I276" s="92" t="s">
        <v>178</v>
      </c>
      <c r="J276" s="77"/>
      <c r="K276" s="78"/>
      <c r="L276" s="87"/>
      <c r="M276" s="130">
        <f>M277</f>
        <v>750586.83647200011</v>
      </c>
      <c r="N276" s="79">
        <f t="shared" si="235"/>
        <v>1.5072489029574214E-2</v>
      </c>
      <c r="O276" s="87">
        <f>M276/OBRA!$D$12</f>
        <v>56.5401461265253</v>
      </c>
      <c r="P276" s="81"/>
    </row>
    <row r="277" spans="1:16" s="1" customFormat="1" ht="19.899999999999999" customHeight="1" outlineLevel="2" x14ac:dyDescent="0.55000000000000004">
      <c r="A277" s="98">
        <f ca="1">IF(G277="UNIDADE CONSTRUTIVA",OFFSET(A277,-1,0)+1,LARGE(A$4:A276,1))</f>
        <v>2</v>
      </c>
      <c r="B277" s="98">
        <f t="shared" ca="1" si="211"/>
        <v>14</v>
      </c>
      <c r="C277" s="98">
        <f t="shared" ca="1" si="212"/>
        <v>1</v>
      </c>
      <c r="D277" s="99">
        <f t="shared" ca="1" si="213"/>
        <v>0</v>
      </c>
      <c r="E277" s="99">
        <f t="shared" ca="1" si="214"/>
        <v>3</v>
      </c>
      <c r="G277" s="75" t="s">
        <v>119</v>
      </c>
      <c r="H277" s="76" t="str">
        <f t="shared" ca="1" si="239"/>
        <v>14.001</v>
      </c>
      <c r="I277" s="92" t="s">
        <v>178</v>
      </c>
      <c r="J277" s="77"/>
      <c r="K277" s="78"/>
      <c r="L277" s="87"/>
      <c r="M277" s="130">
        <f>M278+M281+M283</f>
        <v>750586.83647200011</v>
      </c>
      <c r="N277" s="79">
        <f t="shared" si="235"/>
        <v>1.5072489029574214E-2</v>
      </c>
      <c r="O277" s="87">
        <f>M277/OBRA!$D$12</f>
        <v>56.5401461265253</v>
      </c>
      <c r="P277" s="81"/>
    </row>
    <row r="278" spans="1:16" s="1" customFormat="1" ht="19.899999999999999" customHeight="1" outlineLevel="2" x14ac:dyDescent="0.55000000000000004">
      <c r="A278" s="98">
        <f ca="1">IF(G278="UNIDADE CONSTRUTIVA",OFFSET(A278,-1,0)+1,LARGE(A$4:A277,1))</f>
        <v>2</v>
      </c>
      <c r="B278" s="98">
        <f t="shared" ca="1" si="211"/>
        <v>14</v>
      </c>
      <c r="C278" s="98">
        <f t="shared" ca="1" si="212"/>
        <v>1</v>
      </c>
      <c r="D278" s="99">
        <f t="shared" ca="1" si="213"/>
        <v>1</v>
      </c>
      <c r="E278" s="99">
        <f t="shared" ca="1" si="214"/>
        <v>0</v>
      </c>
      <c r="G278" s="75" t="s">
        <v>120</v>
      </c>
      <c r="H278" s="76" t="str">
        <f t="shared" ca="1" si="239"/>
        <v>14.001.001</v>
      </c>
      <c r="I278" s="92" t="s">
        <v>179</v>
      </c>
      <c r="J278" s="77"/>
      <c r="K278" s="78"/>
      <c r="L278" s="87"/>
      <c r="M278" s="130">
        <f>SUM(M279:M280)</f>
        <v>490904.68851600005</v>
      </c>
      <c r="N278" s="79">
        <f t="shared" si="235"/>
        <v>9.8578274660429312E-3</v>
      </c>
      <c r="O278" s="87">
        <f>M278/OBRA!$D$12</f>
        <v>36.978829729218724</v>
      </c>
      <c r="P278" s="81"/>
    </row>
    <row r="279" spans="1:16" s="1" customFormat="1" ht="19.149999999999999" customHeight="1" outlineLevel="3" x14ac:dyDescent="0.55000000000000004">
      <c r="A279" s="98">
        <f ca="1">IF(G279="UNIDADE CONSTRUTIVA",OFFSET(A279,-1,0)+1,LARGE(A$4:A277,1))</f>
        <v>2</v>
      </c>
      <c r="B279" s="98">
        <f t="shared" ref="B279" ca="1" si="240">IF(G279="UNIDADE CONSTRUTIVA",0,IF(G279="CÉLULA CONSTRUTIVA",OFFSET(B279,-1,0)+1,OFFSET(B279,-1,0)))</f>
        <v>14</v>
      </c>
      <c r="C279" s="98">
        <f t="shared" ref="C279" ca="1" si="241">IF(G279="CÉLULA CONSTRUTIVA",0,IF(G279="ETAPA",OFFSET(C279,-1,0)+1,OFFSET(C279,-1,0)))</f>
        <v>1</v>
      </c>
      <c r="D279" s="99">
        <f t="shared" ref="D279" ca="1" si="242">IF(G279="ETAPA",0,IF(G279="SUBETAPA",OFFSET(D279,-1,0)+1,OFFSET(D279,-1,0)))</f>
        <v>1</v>
      </c>
      <c r="E279" s="99">
        <f t="shared" ref="E279" ca="1" si="243">IF(G279="Subetapa",0,IF(G279="serviço",OFFSET(E279,-1,0)+1,OFFSET(E279,-1,0)))</f>
        <v>1</v>
      </c>
      <c r="G279" s="75" t="s">
        <v>124</v>
      </c>
      <c r="H279" s="76" t="str">
        <f t="shared" ref="H279" ca="1" si="244">IF(G279="Unidade Construtiva",CONCATENATE("UC ",TEXT(A279,"00")),IF(G279="Célula Construtiva",TEXT(B279,"00"),IF(G279="Etapa",CONCATENATE(TEXT(B279,"00"),".",TEXT(C279,"000")),IF(G279="Subetapa",CONCATENATE(TEXT(B279,"00"),".",TEXT(C279,"000"),".",TEXT(D279,"000")),IF(G279="Serviço",CONCATENATE(TEXT(B279,"00"),".",TEXT(C279,"000"),".",TEXT(D279,"000"),".",TEXT(E279,"000")),"")))))</f>
        <v>14.001.001.001</v>
      </c>
      <c r="I279" s="92" t="s">
        <v>32</v>
      </c>
      <c r="J279" s="77" t="s">
        <v>10</v>
      </c>
      <c r="K279" s="78">
        <f>IF(M9="ESQUADRIAS MAIORES",Planilha1!D17,IF(M9="ESQUADRIAS MENORES",Planilha1!D18,"NA"))</f>
        <v>2854.67</v>
      </c>
      <c r="L279" s="87">
        <v>135.30000000000001</v>
      </c>
      <c r="M279" s="130">
        <f>K279*L279</f>
        <v>386236.85100000002</v>
      </c>
      <c r="N279" s="79">
        <f t="shared" si="235"/>
        <v>7.7559989286222417E-3</v>
      </c>
      <c r="O279" s="87">
        <f>M279/OBRA!$D$12</f>
        <v>29.094419104968704</v>
      </c>
      <c r="P279" s="81" t="s">
        <v>375</v>
      </c>
    </row>
    <row r="280" spans="1:16" s="1" customFormat="1" ht="19.149999999999999" customHeight="1" outlineLevel="3" x14ac:dyDescent="0.55000000000000004">
      <c r="A280" s="98">
        <f ca="1">IF(G280="UNIDADE CONSTRUTIVA",OFFSET(A280,-1,0)+1,LARGE(A$4:A278,1))</f>
        <v>2</v>
      </c>
      <c r="B280" s="98">
        <f t="shared" ca="1" si="211"/>
        <v>14</v>
      </c>
      <c r="C280" s="98">
        <f t="shared" ca="1" si="212"/>
        <v>1</v>
      </c>
      <c r="D280" s="99">
        <f t="shared" ca="1" si="213"/>
        <v>1</v>
      </c>
      <c r="E280" s="99">
        <f t="shared" ca="1" si="214"/>
        <v>2</v>
      </c>
      <c r="G280" s="75" t="s">
        <v>124</v>
      </c>
      <c r="H280" s="76" t="str">
        <f t="shared" ca="1" si="239"/>
        <v>14.001.001.002</v>
      </c>
      <c r="I280" s="92" t="s">
        <v>371</v>
      </c>
      <c r="J280" s="77" t="s">
        <v>10</v>
      </c>
      <c r="K280" s="78">
        <v>808.44</v>
      </c>
      <c r="L280" s="87">
        <f t="shared" ref="L280" si="245">M280/K280</f>
        <v>129.46889999999999</v>
      </c>
      <c r="M280" s="130">
        <v>104667.837516</v>
      </c>
      <c r="N280" s="79">
        <f t="shared" si="235"/>
        <v>2.1018285374206896E-3</v>
      </c>
      <c r="O280" s="87">
        <f>M280/OBRA!$D$12</f>
        <v>7.884410624250016</v>
      </c>
      <c r="P280" s="81" t="s">
        <v>376</v>
      </c>
    </row>
    <row r="281" spans="1:16" s="1" customFormat="1" ht="19.899999999999999" customHeight="1" outlineLevel="2" x14ac:dyDescent="0.55000000000000004">
      <c r="A281" s="98">
        <f ca="1">IF(G281="UNIDADE CONSTRUTIVA",OFFSET(A281,-1,0)+1,LARGE(A$4:A280,1))</f>
        <v>2</v>
      </c>
      <c r="B281" s="98">
        <f t="shared" ca="1" si="211"/>
        <v>14</v>
      </c>
      <c r="C281" s="98">
        <f t="shared" ca="1" si="212"/>
        <v>1</v>
      </c>
      <c r="D281" s="99">
        <f t="shared" ca="1" si="213"/>
        <v>2</v>
      </c>
      <c r="E281" s="99">
        <f t="shared" ca="1" si="214"/>
        <v>0</v>
      </c>
      <c r="G281" s="75" t="s">
        <v>120</v>
      </c>
      <c r="H281" s="76" t="str">
        <f t="shared" ca="1" si="239"/>
        <v>14.001.002</v>
      </c>
      <c r="I281" s="92" t="s">
        <v>180</v>
      </c>
      <c r="J281" s="77"/>
      <c r="K281" s="78"/>
      <c r="L281" s="87"/>
      <c r="M281" s="130">
        <f>M282</f>
        <v>213529.31600000005</v>
      </c>
      <c r="N281" s="79">
        <f t="shared" si="235"/>
        <v>4.2878693263927849E-3</v>
      </c>
      <c r="O281" s="87">
        <f>M281/OBRA!$D$12</f>
        <v>16.084719505185955</v>
      </c>
      <c r="P281" s="81"/>
    </row>
    <row r="282" spans="1:16" s="1" customFormat="1" ht="19.899999999999999" customHeight="1" outlineLevel="3" x14ac:dyDescent="0.55000000000000004">
      <c r="A282" s="98">
        <f ca="1">IF(G282="UNIDADE CONSTRUTIVA",OFFSET(A282,-1,0)+1,LARGE(A$4:A280,1))</f>
        <v>2</v>
      </c>
      <c r="B282" s="98">
        <f t="shared" ref="B282" ca="1" si="246">IF(G282="UNIDADE CONSTRUTIVA",0,IF(G282="CÉLULA CONSTRUTIVA",OFFSET(B282,-1,0)+1,OFFSET(B282,-1,0)))</f>
        <v>14</v>
      </c>
      <c r="C282" s="98">
        <f t="shared" ref="C282" ca="1" si="247">IF(G282="CÉLULA CONSTRUTIVA",0,IF(G282="ETAPA",OFFSET(C282,-1,0)+1,OFFSET(C282,-1,0)))</f>
        <v>1</v>
      </c>
      <c r="D282" s="99">
        <f t="shared" ref="D282" ca="1" si="248">IF(G282="ETAPA",0,IF(G282="SUBETAPA",OFFSET(D282,-1,0)+1,OFFSET(D282,-1,0)))</f>
        <v>2</v>
      </c>
      <c r="E282" s="99">
        <f t="shared" ref="E282" ca="1" si="249">IF(G282="Subetapa",0,IF(G282="serviço",OFFSET(E282,-1,0)+1,OFFSET(E282,-1,0)))</f>
        <v>1</v>
      </c>
      <c r="G282" s="104" t="s">
        <v>124</v>
      </c>
      <c r="H282" s="107" t="str">
        <f t="shared" ref="H282" ca="1" si="250">IF(G282="Unidade Construtiva",CONCATENATE("UC ",TEXT(A282,"00")),IF(G282="Célula Construtiva",TEXT(B282,"00"),IF(G282="Etapa",CONCATENATE(TEXT(B282,"00"),".",TEXT(C282,"000")),IF(G282="Subetapa",CONCATENATE(TEXT(B282,"00"),".",TEXT(C282,"000"),".",TEXT(D282,"000")),IF(G282="Serviço",CONCATENATE(TEXT(B282,"00"),".",TEXT(C282,"000"),".",TEXT(D282,"000"),".",TEXT(E282,"000")),"")))))</f>
        <v>14.001.002.001</v>
      </c>
      <c r="I282" s="108" t="s">
        <v>194</v>
      </c>
      <c r="J282" s="109" t="s">
        <v>10</v>
      </c>
      <c r="K282" s="110">
        <f>K279</f>
        <v>2854.67</v>
      </c>
      <c r="L282" s="111">
        <v>74.800000000000011</v>
      </c>
      <c r="M282" s="133">
        <f>K282*L282</f>
        <v>213529.31600000005</v>
      </c>
      <c r="N282" s="134">
        <f t="shared" si="235"/>
        <v>4.2878693263927849E-3</v>
      </c>
      <c r="O282" s="111">
        <f>M282/OBRA!$D$12</f>
        <v>16.084719505185955</v>
      </c>
      <c r="P282" s="105"/>
    </row>
    <row r="283" spans="1:16" s="1" customFormat="1" ht="19.899999999999999" customHeight="1" outlineLevel="2" x14ac:dyDescent="0.55000000000000004">
      <c r="A283" s="98">
        <f ca="1">IF(G283="UNIDADE CONSTRUTIVA",OFFSET(A283,-1,0)+1,LARGE(A$4:A282,1))</f>
        <v>2</v>
      </c>
      <c r="B283" s="98">
        <f t="shared" ref="B283:B284" ca="1" si="251">IF(G283="UNIDADE CONSTRUTIVA",0,IF(G283="CÉLULA CONSTRUTIVA",OFFSET(B283,-1,0)+1,OFFSET(B283,-1,0)))</f>
        <v>14</v>
      </c>
      <c r="C283" s="98">
        <f t="shared" ref="C283:C284" ca="1" si="252">IF(G283="CÉLULA CONSTRUTIVA",0,IF(G283="ETAPA",OFFSET(C283,-1,0)+1,OFFSET(C283,-1,0)))</f>
        <v>1</v>
      </c>
      <c r="D283" s="99">
        <f t="shared" ref="D283:D284" ca="1" si="253">IF(G283="ETAPA",0,IF(G283="SUBETAPA",OFFSET(D283,-1,0)+1,OFFSET(D283,-1,0)))</f>
        <v>3</v>
      </c>
      <c r="E283" s="99">
        <f t="shared" ref="E283:E284" ca="1" si="254">IF(G283="Subetapa",0,IF(G283="serviço",OFFSET(E283,-1,0)+1,OFFSET(E283,-1,0)))</f>
        <v>0</v>
      </c>
      <c r="G283" s="75" t="s">
        <v>120</v>
      </c>
      <c r="H283" s="76" t="str">
        <f t="shared" ca="1" si="239"/>
        <v>14.001.003</v>
      </c>
      <c r="I283" s="92" t="s">
        <v>372</v>
      </c>
      <c r="J283" s="77"/>
      <c r="K283" s="78"/>
      <c r="L283" s="87"/>
      <c r="M283" s="130">
        <f>SUM(M284:M284)</f>
        <v>46152.831956000002</v>
      </c>
      <c r="N283" s="79">
        <f t="shared" si="235"/>
        <v>9.2679223713849706E-4</v>
      </c>
      <c r="O283" s="87">
        <f>M283/OBRA!$D$12</f>
        <v>3.4765968921206238</v>
      </c>
      <c r="P283" s="81"/>
    </row>
    <row r="284" spans="1:16" s="1" customFormat="1" ht="19.899999999999999" customHeight="1" outlineLevel="3" x14ac:dyDescent="0.55000000000000004">
      <c r="A284" s="98">
        <f ca="1">IF(G284="UNIDADE CONSTRUTIVA",OFFSET(A284,-1,0)+1,LARGE(A$4:A282,1))</f>
        <v>2</v>
      </c>
      <c r="B284" s="98">
        <f t="shared" ca="1" si="251"/>
        <v>14</v>
      </c>
      <c r="C284" s="98">
        <f t="shared" ca="1" si="252"/>
        <v>1</v>
      </c>
      <c r="D284" s="99">
        <f t="shared" ca="1" si="253"/>
        <v>3</v>
      </c>
      <c r="E284" s="99">
        <f t="shared" ca="1" si="254"/>
        <v>1</v>
      </c>
      <c r="G284" s="75" t="s">
        <v>124</v>
      </c>
      <c r="H284" s="76" t="str">
        <f t="shared" ca="1" si="239"/>
        <v>14.001.003.001</v>
      </c>
      <c r="I284" s="92" t="s">
        <v>373</v>
      </c>
      <c r="J284" s="109" t="s">
        <v>10</v>
      </c>
      <c r="K284" s="78">
        <v>90.537999999999997</v>
      </c>
      <c r="L284" s="87">
        <f t="shared" ref="L284" si="255">M284/K284</f>
        <v>509.76200000000006</v>
      </c>
      <c r="M284" s="133">
        <v>46152.831956000002</v>
      </c>
      <c r="N284" s="79">
        <f t="shared" si="235"/>
        <v>9.2679223713849706E-4</v>
      </c>
      <c r="O284" s="87">
        <f>M284/OBRA!$D$12</f>
        <v>3.4765968921206238</v>
      </c>
      <c r="P284" s="81" t="s">
        <v>374</v>
      </c>
    </row>
    <row r="285" spans="1:16" s="1" customFormat="1" ht="19.899999999999999" customHeight="1" outlineLevel="1" x14ac:dyDescent="0.55000000000000004">
      <c r="A285" s="98">
        <f ca="1">IF(G285="UNIDADE CONSTRUTIVA",OFFSET(A285,-1,0)+1,LARGE(A$4:A282,1))</f>
        <v>2</v>
      </c>
      <c r="B285" s="98">
        <f t="shared" ca="1" si="211"/>
        <v>15</v>
      </c>
      <c r="C285" s="98">
        <f t="shared" ca="1" si="212"/>
        <v>0</v>
      </c>
      <c r="D285" s="99">
        <f t="shared" ca="1" si="213"/>
        <v>3</v>
      </c>
      <c r="E285" s="99">
        <f t="shared" ca="1" si="214"/>
        <v>1</v>
      </c>
      <c r="G285" s="75" t="s">
        <v>118</v>
      </c>
      <c r="H285" s="76" t="str">
        <f t="shared" ref="H285:H292" ca="1" si="256">IF(G285="Unidade Construtiva",CONCATENATE("UC ",TEXT(A285,"00")),IF(G285="Célula Construtiva",TEXT(B285,"00"),IF(G285="Etapa",CONCATENATE(TEXT(B285,"00"),".",TEXT(C285,"000")),IF(G285="Subetapa",CONCATENATE(TEXT(B285,"00"),".",TEXT(C285,"000"),".",TEXT(D285,"000")),IF(G285="Serviço",CONCATENATE(TEXT(B285,"00"),".",TEXT(C285,"000"),".",TEXT(D285,"000"),".",TEXT(E285,"000")),"")))))</f>
        <v>15</v>
      </c>
      <c r="I285" s="92" t="s">
        <v>181</v>
      </c>
      <c r="J285" s="77"/>
      <c r="K285" s="78"/>
      <c r="L285" s="87"/>
      <c r="M285" s="130">
        <f>M286</f>
        <v>2190018.5560000003</v>
      </c>
      <c r="N285" s="79">
        <f t="shared" si="235"/>
        <v>4.3977630643013993E-2</v>
      </c>
      <c r="O285" s="87">
        <f>M285/OBRA!$D$12</f>
        <v>164.96954537339676</v>
      </c>
      <c r="P285" s="81"/>
    </row>
    <row r="286" spans="1:16" s="1" customFormat="1" ht="19.899999999999999" customHeight="1" outlineLevel="2" x14ac:dyDescent="0.55000000000000004">
      <c r="A286" s="98">
        <f ca="1">IF(G286="UNIDADE CONSTRUTIVA",OFFSET(A286,-1,0)+1,LARGE(A$4:A285,1))</f>
        <v>2</v>
      </c>
      <c r="B286" s="98">
        <f t="shared" ca="1" si="211"/>
        <v>15</v>
      </c>
      <c r="C286" s="98">
        <f t="shared" ca="1" si="212"/>
        <v>1</v>
      </c>
      <c r="D286" s="99">
        <f t="shared" ca="1" si="213"/>
        <v>0</v>
      </c>
      <c r="E286" s="99">
        <f t="shared" ca="1" si="214"/>
        <v>1</v>
      </c>
      <c r="G286" s="75" t="s">
        <v>119</v>
      </c>
      <c r="H286" s="76" t="str">
        <f t="shared" ca="1" si="256"/>
        <v>15.001</v>
      </c>
      <c r="I286" s="92" t="s">
        <v>181</v>
      </c>
      <c r="J286" s="77"/>
      <c r="K286" s="78"/>
      <c r="L286" s="87"/>
      <c r="M286" s="130">
        <f>M287</f>
        <v>2190018.5560000003</v>
      </c>
      <c r="N286" s="79">
        <f t="shared" si="235"/>
        <v>4.3977630643013993E-2</v>
      </c>
      <c r="O286" s="87">
        <f>M286/OBRA!$D$12</f>
        <v>164.96954537339676</v>
      </c>
      <c r="P286" s="81"/>
    </row>
    <row r="287" spans="1:16" s="1" customFormat="1" ht="19.899999999999999" customHeight="1" outlineLevel="2" x14ac:dyDescent="0.55000000000000004">
      <c r="A287" s="98">
        <f ca="1">IF(G287="UNIDADE CONSTRUTIVA",OFFSET(A287,-1,0)+1,LARGE(A$4:A286,1))</f>
        <v>2</v>
      </c>
      <c r="B287" s="98">
        <f t="shared" ca="1" si="211"/>
        <v>15</v>
      </c>
      <c r="C287" s="98">
        <f t="shared" ca="1" si="212"/>
        <v>1</v>
      </c>
      <c r="D287" s="99">
        <f t="shared" ca="1" si="213"/>
        <v>1</v>
      </c>
      <c r="E287" s="99">
        <f t="shared" ca="1" si="214"/>
        <v>0</v>
      </c>
      <c r="G287" s="75" t="s">
        <v>120</v>
      </c>
      <c r="H287" s="76" t="str">
        <f t="shared" ca="1" si="256"/>
        <v>15.001.001</v>
      </c>
      <c r="I287" s="92" t="s">
        <v>182</v>
      </c>
      <c r="J287" s="77"/>
      <c r="K287" s="78"/>
      <c r="L287" s="87"/>
      <c r="M287" s="130">
        <f>SUM(M288:M293)</f>
        <v>2190018.5560000003</v>
      </c>
      <c r="N287" s="79">
        <f t="shared" si="235"/>
        <v>4.3977630643013993E-2</v>
      </c>
      <c r="O287" s="87">
        <f>M287/OBRA!$D$12</f>
        <v>164.96954537339676</v>
      </c>
      <c r="P287" s="81"/>
    </row>
    <row r="288" spans="1:16" s="1" customFormat="1" ht="19.899999999999999" customHeight="1" outlineLevel="3" x14ac:dyDescent="0.55000000000000004">
      <c r="A288" s="98">
        <f ca="1">IF(G288="UNIDADE CONSTRUTIVA",OFFSET(A288,-1,0)+1,LARGE(A$4:A287,1))</f>
        <v>2</v>
      </c>
      <c r="B288" s="98">
        <f t="shared" ca="1" si="211"/>
        <v>15</v>
      </c>
      <c r="C288" s="98">
        <f t="shared" ca="1" si="212"/>
        <v>1</v>
      </c>
      <c r="D288" s="99">
        <f t="shared" ca="1" si="213"/>
        <v>1</v>
      </c>
      <c r="E288" s="99">
        <f t="shared" ca="1" si="214"/>
        <v>1</v>
      </c>
      <c r="G288" s="75" t="s">
        <v>124</v>
      </c>
      <c r="H288" s="76" t="str">
        <f t="shared" ca="1" si="256"/>
        <v>15.001.001.001</v>
      </c>
      <c r="I288" s="92" t="s">
        <v>182</v>
      </c>
      <c r="J288" s="77" t="s">
        <v>70</v>
      </c>
      <c r="K288" s="78">
        <v>709.43000000000006</v>
      </c>
      <c r="L288" s="87">
        <f>M288/K288</f>
        <v>1924.9999999999998</v>
      </c>
      <c r="M288" s="130">
        <v>1365652.75</v>
      </c>
      <c r="N288" s="79">
        <f t="shared" si="235"/>
        <v>2.7423590572588884E-2</v>
      </c>
      <c r="O288" s="87">
        <f>M288/OBRA!$D$12</f>
        <v>102.87178283864232</v>
      </c>
      <c r="P288" s="81"/>
    </row>
    <row r="289" spans="1:16" s="1" customFormat="1" ht="19.899999999999999" customHeight="1" outlineLevel="3" x14ac:dyDescent="0.55000000000000004">
      <c r="A289" s="98">
        <f ca="1">IF(G289="UNIDADE CONSTRUTIVA",OFFSET(A289,-1,0)+1,LARGE(A$4:A288,1))</f>
        <v>2</v>
      </c>
      <c r="B289" s="98">
        <f t="shared" ca="1" si="211"/>
        <v>15</v>
      </c>
      <c r="C289" s="98">
        <f t="shared" ca="1" si="212"/>
        <v>1</v>
      </c>
      <c r="D289" s="99">
        <f t="shared" ca="1" si="213"/>
        <v>1</v>
      </c>
      <c r="E289" s="99">
        <f t="shared" ca="1" si="214"/>
        <v>2</v>
      </c>
      <c r="G289" s="75" t="s">
        <v>124</v>
      </c>
      <c r="H289" s="76" t="str">
        <f t="shared" ca="1" si="256"/>
        <v>15.001.001.002</v>
      </c>
      <c r="I289" s="92" t="s">
        <v>183</v>
      </c>
      <c r="J289" s="77" t="s">
        <v>6</v>
      </c>
      <c r="K289" s="78">
        <v>1</v>
      </c>
      <c r="L289" s="87">
        <f t="shared" ref="L289:L293" si="257">M289/K289</f>
        <v>144625.58000000005</v>
      </c>
      <c r="M289" s="130">
        <v>144625.58000000005</v>
      </c>
      <c r="N289" s="79">
        <f t="shared" si="235"/>
        <v>2.9042175562149315E-3</v>
      </c>
      <c r="O289" s="87">
        <f>M289/OBRA!$D$12</f>
        <v>10.894344304342884</v>
      </c>
      <c r="P289" s="81"/>
    </row>
    <row r="290" spans="1:16" s="1" customFormat="1" ht="19.899999999999999" customHeight="1" outlineLevel="3" x14ac:dyDescent="0.55000000000000004">
      <c r="A290" s="98">
        <f ca="1">IF(G290="UNIDADE CONSTRUTIVA",OFFSET(A290,-1,0)+1,LARGE(A$4:A289,1))</f>
        <v>2</v>
      </c>
      <c r="B290" s="98">
        <f t="shared" ca="1" si="211"/>
        <v>15</v>
      </c>
      <c r="C290" s="98">
        <f t="shared" ca="1" si="212"/>
        <v>1</v>
      </c>
      <c r="D290" s="99">
        <f t="shared" ca="1" si="213"/>
        <v>1</v>
      </c>
      <c r="E290" s="99">
        <f t="shared" ca="1" si="214"/>
        <v>3</v>
      </c>
      <c r="G290" s="75" t="s">
        <v>124</v>
      </c>
      <c r="H290" s="76" t="str">
        <f t="shared" ca="1" si="256"/>
        <v>15.001.001.003</v>
      </c>
      <c r="I290" s="92" t="s">
        <v>184</v>
      </c>
      <c r="J290" s="77" t="s">
        <v>6</v>
      </c>
      <c r="K290" s="78">
        <v>1</v>
      </c>
      <c r="L290" s="87">
        <f t="shared" si="257"/>
        <v>289251.16000000009</v>
      </c>
      <c r="M290" s="130">
        <v>289251.16000000009</v>
      </c>
      <c r="N290" s="79">
        <f t="shared" si="235"/>
        <v>5.808435112429863E-3</v>
      </c>
      <c r="O290" s="87">
        <f>M290/OBRA!$D$12</f>
        <v>21.788688608685767</v>
      </c>
      <c r="P290" s="81"/>
    </row>
    <row r="291" spans="1:16" s="1" customFormat="1" ht="19.899999999999999" customHeight="1" outlineLevel="3" x14ac:dyDescent="0.55000000000000004">
      <c r="A291" s="98">
        <f ca="1">IF(G291="UNIDADE CONSTRUTIVA",OFFSET(A291,-1,0)+1,LARGE(A$4:A290,1))</f>
        <v>2</v>
      </c>
      <c r="B291" s="98">
        <f t="shared" ca="1" si="211"/>
        <v>15</v>
      </c>
      <c r="C291" s="98">
        <f t="shared" ca="1" si="212"/>
        <v>1</v>
      </c>
      <c r="D291" s="99">
        <f t="shared" ca="1" si="213"/>
        <v>1</v>
      </c>
      <c r="E291" s="99">
        <f t="shared" ca="1" si="214"/>
        <v>4</v>
      </c>
      <c r="G291" s="75" t="s">
        <v>124</v>
      </c>
      <c r="H291" s="76" t="str">
        <f t="shared" ca="1" si="256"/>
        <v>15.001.001.004</v>
      </c>
      <c r="I291" s="92" t="s">
        <v>185</v>
      </c>
      <c r="J291" s="77" t="s">
        <v>6</v>
      </c>
      <c r="K291" s="78">
        <v>1</v>
      </c>
      <c r="L291" s="87">
        <f t="shared" si="257"/>
        <v>57850.232000000011</v>
      </c>
      <c r="M291" s="130">
        <v>57850.232000000011</v>
      </c>
      <c r="N291" s="79">
        <f t="shared" si="235"/>
        <v>1.1616870224859723E-3</v>
      </c>
      <c r="O291" s="87">
        <f>M291/OBRA!$D$12</f>
        <v>4.3577377217371529</v>
      </c>
      <c r="P291" s="81"/>
    </row>
    <row r="292" spans="1:16" s="1" customFormat="1" ht="19.899999999999999" customHeight="1" outlineLevel="3" x14ac:dyDescent="0.55000000000000004">
      <c r="A292" s="98">
        <f ca="1">IF(G292="UNIDADE CONSTRUTIVA",OFFSET(A292,-1,0)+1,LARGE(A$4:A291,1))</f>
        <v>2</v>
      </c>
      <c r="B292" s="98">
        <f t="shared" ca="1" si="211"/>
        <v>15</v>
      </c>
      <c r="C292" s="98">
        <f t="shared" ca="1" si="212"/>
        <v>1</v>
      </c>
      <c r="D292" s="99">
        <f t="shared" ca="1" si="213"/>
        <v>1</v>
      </c>
      <c r="E292" s="99">
        <f t="shared" ca="1" si="214"/>
        <v>5</v>
      </c>
      <c r="G292" s="75" t="s">
        <v>124</v>
      </c>
      <c r="H292" s="76" t="str">
        <f t="shared" ca="1" si="256"/>
        <v>15.001.001.005</v>
      </c>
      <c r="I292" s="92" t="s">
        <v>186</v>
      </c>
      <c r="J292" s="77" t="s">
        <v>6</v>
      </c>
      <c r="K292" s="78">
        <v>1</v>
      </c>
      <c r="L292" s="87">
        <f t="shared" si="257"/>
        <v>43387.674000000006</v>
      </c>
      <c r="M292" s="130">
        <v>43387.674000000006</v>
      </c>
      <c r="N292" s="79">
        <f t="shared" si="235"/>
        <v>8.7126526686447927E-4</v>
      </c>
      <c r="O292" s="87">
        <f>M292/OBRA!$D$12</f>
        <v>3.2683032913028645</v>
      </c>
      <c r="P292" s="81"/>
    </row>
    <row r="293" spans="1:16" s="1" customFormat="1" ht="19.899999999999999" customHeight="1" outlineLevel="3" x14ac:dyDescent="0.55000000000000004">
      <c r="A293" s="98">
        <f ca="1">IF(G293="UNIDADE CONSTRUTIVA",OFFSET(A293,-1,0)+1,LARGE(A$4:A292,1))</f>
        <v>2</v>
      </c>
      <c r="B293" s="98">
        <f t="shared" ref="B293" ca="1" si="258">IF(G293="UNIDADE CONSTRUTIVA",0,IF(G293="CÉLULA CONSTRUTIVA",OFFSET(B293,-1,0)+1,OFFSET(B293,-1,0)))</f>
        <v>15</v>
      </c>
      <c r="C293" s="98">
        <f t="shared" ref="C293" ca="1" si="259">IF(G293="CÉLULA CONSTRUTIVA",0,IF(G293="ETAPA",OFFSET(C293,-1,0)+1,OFFSET(C293,-1,0)))</f>
        <v>1</v>
      </c>
      <c r="D293" s="99">
        <f t="shared" ref="D293" ca="1" si="260">IF(G293="ETAPA",0,IF(G293="SUBETAPA",OFFSET(D293,-1,0)+1,OFFSET(D293,-1,0)))</f>
        <v>1</v>
      </c>
      <c r="E293" s="99">
        <f t="shared" ref="E293" ca="1" si="261">IF(G293="Subetapa",0,IF(G293="serviço",OFFSET(E293,-1,0)+1,OFFSET(E293,-1,0)))</f>
        <v>6</v>
      </c>
      <c r="G293" s="75" t="s">
        <v>124</v>
      </c>
      <c r="H293" s="76" t="str">
        <f t="shared" ref="H293" ca="1" si="262">IF(G293="Unidade Construtiva",CONCATENATE("UC ",TEXT(A293,"00")),IF(G293="Célula Construtiva",TEXT(B293,"00"),IF(G293="Etapa",CONCATENATE(TEXT(B293,"00"),".",TEXT(C293,"000")),IF(G293="Subetapa",CONCATENATE(TEXT(B293,"00"),".",TEXT(C293,"000"),".",TEXT(D293,"000")),IF(G293="Serviço",CONCATENATE(TEXT(B293,"00"),".",TEXT(C293,"000"),".",TEXT(D293,"000"),".",TEXT(E293,"000")),"")))))</f>
        <v>15.001.001.006</v>
      </c>
      <c r="I293" s="92" t="s">
        <v>187</v>
      </c>
      <c r="J293" s="77" t="s">
        <v>6</v>
      </c>
      <c r="K293" s="78">
        <v>1</v>
      </c>
      <c r="L293" s="87">
        <f t="shared" si="257"/>
        <v>289251.16000000009</v>
      </c>
      <c r="M293" s="130">
        <v>289251.16000000009</v>
      </c>
      <c r="N293" s="79">
        <f t="shared" si="235"/>
        <v>5.808435112429863E-3</v>
      </c>
      <c r="O293" s="87">
        <f>M293/OBRA!$D$12</f>
        <v>21.788688608685767</v>
      </c>
      <c r="P293" s="81"/>
    </row>
    <row r="294" spans="1:16" s="1" customFormat="1" ht="19.899999999999999" customHeight="1" outlineLevel="1" x14ac:dyDescent="0.55000000000000004">
      <c r="A294" s="98">
        <f ca="1">IF(G294="UNIDADE CONSTRUTIVA",OFFSET(A294,-1,0)+1,LARGE(A$4:A289,1))</f>
        <v>2</v>
      </c>
      <c r="B294" s="98">
        <f t="shared" ref="B294:B297" ca="1" si="263">IF(G294="UNIDADE CONSTRUTIVA",0,IF(G294="CÉLULA CONSTRUTIVA",OFFSET(B294,-1,0)+1,OFFSET(B294,-1,0)))</f>
        <v>16</v>
      </c>
      <c r="C294" s="98">
        <f t="shared" ref="C294:C297" ca="1" si="264">IF(G294="CÉLULA CONSTRUTIVA",0,IF(G294="ETAPA",OFFSET(C294,-1,0)+1,OFFSET(C294,-1,0)))</f>
        <v>0</v>
      </c>
      <c r="D294" s="99">
        <f t="shared" ref="D294:D297" ca="1" si="265">IF(G294="ETAPA",0,IF(G294="SUBETAPA",OFFSET(D294,-1,0)+1,OFFSET(D294,-1,0)))</f>
        <v>1</v>
      </c>
      <c r="E294" s="99">
        <f t="shared" ref="E294:E297" ca="1" si="266">IF(G294="Subetapa",0,IF(G294="serviço",OFFSET(E294,-1,0)+1,OFFSET(E294,-1,0)))</f>
        <v>6</v>
      </c>
      <c r="G294" s="75" t="s">
        <v>118</v>
      </c>
      <c r="H294" s="76" t="str">
        <f t="shared" ref="H294:H297" ca="1" si="267">IF(G294="Unidade Construtiva",CONCATENATE("UC ",TEXT(A294,"00")),IF(G294="Célula Construtiva",TEXT(B294,"00"),IF(G294="Etapa",CONCATENATE(TEXT(B294,"00"),".",TEXT(C294,"000")),IF(G294="Subetapa",CONCATENATE(TEXT(B294,"00"),".",TEXT(C294,"000"),".",TEXT(D294,"000")),IF(G294="Serviço",CONCATENATE(TEXT(B294,"00"),".",TEXT(C294,"000"),".",TEXT(D294,"000"),".",TEXT(E294,"000")),"")))))</f>
        <v>16</v>
      </c>
      <c r="I294" s="92" t="s">
        <v>48</v>
      </c>
      <c r="J294" s="77"/>
      <c r="K294" s="78"/>
      <c r="L294" s="87"/>
      <c r="M294" s="130">
        <f>M295</f>
        <v>1316116.2948911418</v>
      </c>
      <c r="N294" s="79">
        <f t="shared" si="235"/>
        <v>2.6428852002829656E-2</v>
      </c>
      <c r="O294" s="87">
        <f>M294/OBRA!$D$12</f>
        <v>99.140304648044733</v>
      </c>
      <c r="P294" s="81"/>
    </row>
    <row r="295" spans="1:16" s="1" customFormat="1" ht="19.899999999999999" customHeight="1" outlineLevel="2" x14ac:dyDescent="0.55000000000000004">
      <c r="A295" s="98">
        <f ca="1">IF(G295="UNIDADE CONSTRUTIVA",OFFSET(A295,-1,0)+1,LARGE(A$4:A294,1))</f>
        <v>2</v>
      </c>
      <c r="B295" s="98">
        <f t="shared" ca="1" si="263"/>
        <v>16</v>
      </c>
      <c r="C295" s="98">
        <f t="shared" ca="1" si="264"/>
        <v>1</v>
      </c>
      <c r="D295" s="99">
        <f t="shared" ca="1" si="265"/>
        <v>0</v>
      </c>
      <c r="E295" s="99">
        <f t="shared" ca="1" si="266"/>
        <v>6</v>
      </c>
      <c r="G295" s="75" t="s">
        <v>119</v>
      </c>
      <c r="H295" s="76" t="str">
        <f t="shared" ca="1" si="267"/>
        <v>16.001</v>
      </c>
      <c r="I295" s="92" t="s">
        <v>48</v>
      </c>
      <c r="J295" s="77"/>
      <c r="K295" s="78"/>
      <c r="L295" s="87"/>
      <c r="M295" s="130">
        <f>M296</f>
        <v>1316116.2948911418</v>
      </c>
      <c r="N295" s="79">
        <f t="shared" si="235"/>
        <v>2.6428852002829656E-2</v>
      </c>
      <c r="O295" s="87">
        <f>M295/OBRA!$D$12</f>
        <v>99.140304648044733</v>
      </c>
      <c r="P295" s="81"/>
    </row>
    <row r="296" spans="1:16" s="1" customFormat="1" ht="19.899999999999999" customHeight="1" outlineLevel="2" x14ac:dyDescent="0.55000000000000004">
      <c r="A296" s="98">
        <f ca="1">IF(G296="UNIDADE CONSTRUTIVA",OFFSET(A296,-1,0)+1,LARGE(A$4:A295,1))</f>
        <v>2</v>
      </c>
      <c r="B296" s="98">
        <f t="shared" ca="1" si="263"/>
        <v>16</v>
      </c>
      <c r="C296" s="98">
        <f t="shared" ca="1" si="264"/>
        <v>1</v>
      </c>
      <c r="D296" s="99">
        <f t="shared" ca="1" si="265"/>
        <v>1</v>
      </c>
      <c r="E296" s="99">
        <f t="shared" ca="1" si="266"/>
        <v>0</v>
      </c>
      <c r="G296" s="75" t="s">
        <v>120</v>
      </c>
      <c r="H296" s="76" t="str">
        <f t="shared" ca="1" si="267"/>
        <v>16.001.001</v>
      </c>
      <c r="I296" s="92" t="s">
        <v>357</v>
      </c>
      <c r="J296" s="77"/>
      <c r="K296" s="78"/>
      <c r="L296" s="87"/>
      <c r="M296" s="130">
        <f>M297</f>
        <v>1316116.2948911418</v>
      </c>
      <c r="N296" s="79">
        <f t="shared" si="235"/>
        <v>2.6428852002829656E-2</v>
      </c>
      <c r="O296" s="87">
        <f>M296/OBRA!$D$12</f>
        <v>99.140304648044733</v>
      </c>
      <c r="P296" s="81"/>
    </row>
    <row r="297" spans="1:16" s="1" customFormat="1" ht="19.899999999999999" customHeight="1" outlineLevel="3" x14ac:dyDescent="0.55000000000000004">
      <c r="A297" s="98">
        <f ca="1">IF(G297="UNIDADE CONSTRUTIVA",OFFSET(A297,-1,0)+1,LARGE(A$4:A296,1))</f>
        <v>2</v>
      </c>
      <c r="B297" s="98">
        <f t="shared" ca="1" si="263"/>
        <v>16</v>
      </c>
      <c r="C297" s="98">
        <f t="shared" ca="1" si="264"/>
        <v>1</v>
      </c>
      <c r="D297" s="99">
        <f t="shared" ca="1" si="265"/>
        <v>1</v>
      </c>
      <c r="E297" s="99">
        <f t="shared" ca="1" si="266"/>
        <v>1</v>
      </c>
      <c r="G297" s="75" t="s">
        <v>124</v>
      </c>
      <c r="H297" s="76" t="str">
        <f t="shared" ca="1" si="267"/>
        <v>16.001.001.001</v>
      </c>
      <c r="I297" s="92" t="s">
        <v>357</v>
      </c>
      <c r="J297" s="77" t="s">
        <v>6</v>
      </c>
      <c r="K297" s="78">
        <v>1</v>
      </c>
      <c r="L297" s="87">
        <f t="shared" ref="L297" si="268">M297/K297</f>
        <v>1316116.2948911418</v>
      </c>
      <c r="M297" s="130">
        <f>(M285+M276+M259+M250+M235+M226+M215+M192+M167+M154+M144+M129+M120+M102+M92)*0.03</f>
        <v>1316116.2948911418</v>
      </c>
      <c r="N297" s="79">
        <f t="shared" si="235"/>
        <v>2.6428852002829656E-2</v>
      </c>
      <c r="O297" s="87">
        <f>M297/OBRA!$D$12</f>
        <v>99.140304648044733</v>
      </c>
      <c r="P297" s="81"/>
    </row>
    <row r="298" spans="1:16" s="103" customFormat="1" ht="19.899999999999999" customHeight="1" x14ac:dyDescent="0.55000000000000004">
      <c r="A298" s="101"/>
      <c r="B298" s="101"/>
      <c r="C298" s="101"/>
      <c r="D298" s="101"/>
      <c r="E298" s="102"/>
      <c r="G298" s="66" t="str">
        <f t="shared" ref="G298" si="269">IF(F298="Unidade Construtiva",CONCATENATE("UC ",TEXT(#REF!,"00")),IF(F298="Célula Construtiva",TEXT(A298,"00"),IF(F298="Etapa",CONCATENATE(TEXT(A298,"00"),".",TEXT(B298,"000")),IF(F298="Subetapa",CONCATENATE(TEXT(A298,"00"),".",TEXT(B298,"000"),".",TEXT(C298,"000")),IF(F298="Serviço",CONCATENATE(TEXT(A298,"00"),".",TEXT(B298,"000"),".",TEXT(C298,"000"),".",TEXT(D298,"000")),"")))))</f>
        <v/>
      </c>
      <c r="H298" s="82" t="str">
        <f t="shared" ref="H298" si="270">IF(G298="Unidade Construtiva",CONCATENATE("UC ",TEXT(A298,"00")),IF(G298="Célula Construtiva",TEXT(B298,"00"),IF(G298="Etapa",CONCATENATE(TEXT(B298,"00"),".",TEXT(C298,"000")),IF(G298="Subetapa",CONCATENATE(TEXT(B298,"00"),".",TEXT(C298,"000"),".",TEXT(D298,"000")),IF(G298="Serviço",CONCATENATE(TEXT(B298,"00"),".",TEXT(C298,"000"),".",TEXT(D298,"000"),".",TEXT(E298,"000")),"")))))</f>
        <v/>
      </c>
      <c r="I298" s="96" t="s">
        <v>132</v>
      </c>
      <c r="J298" s="67"/>
      <c r="K298" s="67"/>
      <c r="L298" s="88"/>
      <c r="M298" s="131">
        <f>M91+M13</f>
        <v>49798466.265210055</v>
      </c>
      <c r="N298" s="83">
        <f>N91+N13</f>
        <v>0.99999999999999989</v>
      </c>
      <c r="O298" s="83">
        <f>O91+O13</f>
        <v>3751.2149463559781</v>
      </c>
      <c r="P298" s="84"/>
    </row>
  </sheetData>
  <autoFilter ref="A11:P298" xr:uid="{58175EFA-57B9-4367-A783-19D51BA810ED}"/>
  <mergeCells count="20">
    <mergeCell ref="I12:J12"/>
    <mergeCell ref="I7:J7"/>
    <mergeCell ref="I6:J6"/>
    <mergeCell ref="I5:J5"/>
    <mergeCell ref="K12:L12"/>
    <mergeCell ref="K7:L7"/>
    <mergeCell ref="K6:L6"/>
    <mergeCell ref="H10:P10"/>
    <mergeCell ref="G12:H12"/>
    <mergeCell ref="G7:H7"/>
    <mergeCell ref="G6:H6"/>
    <mergeCell ref="M7:P7"/>
    <mergeCell ref="M6:P6"/>
    <mergeCell ref="K5:L5"/>
    <mergeCell ref="M5:P5"/>
    <mergeCell ref="G1:P2"/>
    <mergeCell ref="M4:P4"/>
    <mergeCell ref="G5:H5"/>
    <mergeCell ref="M8:P8"/>
    <mergeCell ref="M9:P9"/>
  </mergeCells>
  <phoneticPr fontId="13" type="noConversion"/>
  <conditionalFormatting sqref="G160:I163 I160:I166 G165:I166">
    <cfRule type="expression" dxfId="30" priority="310">
      <formula>$G160="célula construtiva"</formula>
    </cfRule>
    <cfRule type="expression" dxfId="29" priority="311">
      <formula>$G160="unidade construtiva"</formula>
    </cfRule>
    <cfRule type="expression" dxfId="28" priority="312">
      <formula>$G160="etapa"</formula>
    </cfRule>
  </conditionalFormatting>
  <conditionalFormatting sqref="G164:I164">
    <cfRule type="expression" dxfId="27" priority="122">
      <formula>$G164="célula construtiva"</formula>
    </cfRule>
    <cfRule type="expression" dxfId="26" priority="123">
      <formula>$G164="unidade construtiva"</formula>
    </cfRule>
    <cfRule type="expression" dxfId="25" priority="124">
      <formula>$G164="etapa"</formula>
    </cfRule>
  </conditionalFormatting>
  <conditionalFormatting sqref="G13:P159">
    <cfRule type="expression" dxfId="24" priority="93">
      <formula>$G13="subetapa"</formula>
    </cfRule>
    <cfRule type="expression" dxfId="23" priority="94">
      <formula>$G13="célula construtiva"</formula>
    </cfRule>
    <cfRule type="expression" dxfId="22" priority="95">
      <formula>$G13="unidade construtiva"</formula>
    </cfRule>
    <cfRule type="expression" dxfId="21" priority="96">
      <formula>$G13="etapa"</formula>
    </cfRule>
  </conditionalFormatting>
  <conditionalFormatting sqref="G160:P166">
    <cfRule type="expression" dxfId="20" priority="109">
      <formula>$G160="subetapa"</formula>
    </cfRule>
  </conditionalFormatting>
  <conditionalFormatting sqref="G167:P299">
    <cfRule type="expression" dxfId="19" priority="1">
      <formula>$G167="subetapa"</formula>
    </cfRule>
    <cfRule type="expression" dxfId="18" priority="2">
      <formula>$G167="célula construtiva"</formula>
    </cfRule>
    <cfRule type="expression" dxfId="17" priority="3">
      <formula>$G167="unidade construtiva"</formula>
    </cfRule>
    <cfRule type="expression" dxfId="16" priority="4">
      <formula>$G167="etapa"</formula>
    </cfRule>
  </conditionalFormatting>
  <conditionalFormatting sqref="I160:I166">
    <cfRule type="expression" dxfId="15" priority="309">
      <formula>$G160="subetapa"</formula>
    </cfRule>
  </conditionalFormatting>
  <conditionalFormatting sqref="I163">
    <cfRule type="expression" dxfId="14" priority="105">
      <formula>$G163="subetapa"</formula>
    </cfRule>
    <cfRule type="expression" dxfId="13" priority="106">
      <formula>$G163="célula construtiva"</formula>
    </cfRule>
    <cfRule type="expression" dxfId="12" priority="107">
      <formula>$G163="unidade construtiva"</formula>
    </cfRule>
    <cfRule type="expression" dxfId="11" priority="108">
      <formula>$G163="etapa"</formula>
    </cfRule>
  </conditionalFormatting>
  <conditionalFormatting sqref="I165">
    <cfRule type="expression" dxfId="10" priority="97">
      <formula>$G165="subetapa"</formula>
    </cfRule>
    <cfRule type="expression" dxfId="9" priority="98">
      <formula>$G165="célula construtiva"</formula>
    </cfRule>
    <cfRule type="expression" dxfId="8" priority="99">
      <formula>$G165="unidade construtiva"</formula>
    </cfRule>
    <cfRule type="expression" dxfId="7" priority="100">
      <formula>$G165="etapa"</formula>
    </cfRule>
  </conditionalFormatting>
  <conditionalFormatting sqref="I165:I166">
    <cfRule type="expression" dxfId="6" priority="101">
      <formula>$G165="subetapa"</formula>
    </cfRule>
    <cfRule type="expression" dxfId="5" priority="102">
      <formula>$G165="célula construtiva"</formula>
    </cfRule>
    <cfRule type="expression" dxfId="4" priority="103">
      <formula>$G165="unidade construtiva"</formula>
    </cfRule>
    <cfRule type="expression" dxfId="3" priority="104">
      <formula>$G165="etapa"</formula>
    </cfRule>
  </conditionalFormatting>
  <conditionalFormatting sqref="J160:P166">
    <cfRule type="expression" dxfId="2" priority="110">
      <formula>$G160="célula construtiva"</formula>
    </cfRule>
    <cfRule type="expression" dxfId="1" priority="111">
      <formula>$G160="unidade construtiva"</formula>
    </cfRule>
    <cfRule type="expression" dxfId="0" priority="112">
      <formula>$G160="etapa"</formula>
    </cfRule>
  </conditionalFormatting>
  <dataValidations count="1">
    <dataValidation type="list" allowBlank="1" showInputMessage="1" showErrorMessage="1" sqref="G13:G299" xr:uid="{7E5CBB84-AF83-4712-9A2F-AA09950D3184}">
      <formula1>"UNIDADE CONSTRUTIVA,CÉLULA CONSTRUTIVA,ETAPA,Subetapa,Serviço"</formula1>
    </dataValidation>
  </dataValidations>
  <pageMargins left="0.52999997138977051" right="0.52999997138977051" top="0.52999997138977051" bottom="0.68999999761581421" header="0" footer="0"/>
  <pageSetup paperSize="9" firstPageNumber="0" fitToWidth="0" fitToHeight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CDA6FAF-FE7E-4167-9C15-0B57D75756DE}">
          <x14:formula1>
            <xm:f>Planilha1!$C$4:$C$7</xm:f>
          </x14:formula1>
          <xm:sqref>M5:P5</xm:sqref>
        </x14:dataValidation>
        <x14:dataValidation type="list" allowBlank="1" showInputMessage="1" showErrorMessage="1" xr:uid="{91540095-DC6B-4503-9AED-D239A59D1824}">
          <x14:formula1>
            <xm:f>Planilha1!$C$20:$C$21</xm:f>
          </x14:formula1>
          <xm:sqref>M6:P6</xm:sqref>
        </x14:dataValidation>
        <x14:dataValidation type="list" allowBlank="1" showInputMessage="1" showErrorMessage="1" xr:uid="{575D131D-408D-4C1C-A172-6EA055BFC0D5}">
          <x14:formula1>
            <xm:f>Planilha1!$C$22:$C$23</xm:f>
          </x14:formula1>
          <xm:sqref>M7:P7</xm:sqref>
        </x14:dataValidation>
        <x14:dataValidation type="list" allowBlank="1" showInputMessage="1" showErrorMessage="1" xr:uid="{7B1174F4-0D67-4596-8689-7BCDB5C15A91}">
          <x14:formula1>
            <xm:f>Planilha1!$C$15:$C$16</xm:f>
          </x14:formula1>
          <xm:sqref>M9:P9</xm:sqref>
        </x14:dataValidation>
        <x14:dataValidation type="list" allowBlank="1" showInputMessage="1" showErrorMessage="1" xr:uid="{F47082F0-3C51-4383-A6FD-7AFA72C14FF6}">
          <x14:formula1>
            <xm:f>Planilha1!$C$12:$C$13</xm:f>
          </x14:formula1>
          <xm:sqref>M8:P8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52D4-2D0F-4C72-A134-257FD02D8CD5}">
  <dimension ref="B2:M23"/>
  <sheetViews>
    <sheetView showGridLines="0" workbookViewId="0">
      <selection activeCell="C22" sqref="C22"/>
    </sheetView>
  </sheetViews>
  <sheetFormatPr defaultRowHeight="12.75" x14ac:dyDescent="0.2"/>
  <cols>
    <col min="1" max="1" width="4.140625" customWidth="1"/>
    <col min="2" max="2" width="69.85546875" hidden="1" customWidth="1"/>
    <col min="3" max="3" width="25.42578125" bestFit="1" customWidth="1"/>
    <col min="4" max="4" width="20.7109375" style="57" customWidth="1"/>
    <col min="5" max="5" width="17.28515625" customWidth="1"/>
    <col min="6" max="6" width="14.7109375" customWidth="1"/>
  </cols>
  <sheetData>
    <row r="2" spans="2:13" x14ac:dyDescent="0.2">
      <c r="D2" s="90"/>
      <c r="E2" s="59"/>
      <c r="F2" s="48"/>
      <c r="G2" s="48"/>
      <c r="H2" s="48"/>
      <c r="I2" s="48"/>
      <c r="J2" s="48"/>
      <c r="K2" s="48"/>
      <c r="L2" s="48"/>
      <c r="M2" s="48"/>
    </row>
    <row r="3" spans="2:13" x14ac:dyDescent="0.2">
      <c r="B3" s="48"/>
      <c r="C3" s="61" t="s">
        <v>2</v>
      </c>
      <c r="D3" s="91" t="s">
        <v>59</v>
      </c>
      <c r="E3" s="62" t="s">
        <v>131</v>
      </c>
      <c r="F3" s="61"/>
      <c r="G3" s="48"/>
      <c r="H3" s="48"/>
      <c r="I3" s="48"/>
      <c r="J3" s="48"/>
      <c r="K3" s="48"/>
      <c r="L3" s="48"/>
      <c r="M3" s="48"/>
    </row>
    <row r="4" spans="2:13" x14ac:dyDescent="0.2">
      <c r="B4" s="48" t="s">
        <v>109</v>
      </c>
      <c r="C4" s="48"/>
      <c r="E4" s="60"/>
      <c r="F4" s="48"/>
      <c r="G4" s="48"/>
      <c r="H4" s="48"/>
      <c r="I4" s="48"/>
      <c r="J4" s="48"/>
      <c r="K4" s="48"/>
      <c r="L4" s="48"/>
      <c r="M4" s="48"/>
    </row>
    <row r="5" spans="2:13" x14ac:dyDescent="0.2">
      <c r="B5" s="48" t="s">
        <v>110</v>
      </c>
      <c r="C5" s="48" t="s">
        <v>332</v>
      </c>
      <c r="D5" s="57">
        <v>369.9</v>
      </c>
      <c r="E5" s="49">
        <v>636.9</v>
      </c>
      <c r="F5" s="48"/>
      <c r="G5" s="48"/>
      <c r="H5" s="48"/>
      <c r="I5" s="48"/>
      <c r="J5" s="48"/>
      <c r="K5" s="48"/>
      <c r="L5" s="48"/>
      <c r="M5" s="48"/>
    </row>
    <row r="6" spans="2:13" x14ac:dyDescent="0.2">
      <c r="B6" s="48"/>
      <c r="C6" s="48" t="s">
        <v>333</v>
      </c>
      <c r="D6" s="57">
        <v>369.9</v>
      </c>
      <c r="E6" s="49">
        <v>81.575999999999993</v>
      </c>
    </row>
    <row r="7" spans="2:13" x14ac:dyDescent="0.2">
      <c r="B7" s="48"/>
      <c r="C7" s="48" t="s">
        <v>334</v>
      </c>
      <c r="D7" s="57">
        <v>369.9</v>
      </c>
      <c r="E7" s="49">
        <v>253.00000000000006</v>
      </c>
    </row>
    <row r="8" spans="2:13" x14ac:dyDescent="0.2">
      <c r="B8" s="48"/>
      <c r="C8" s="48" t="s">
        <v>335</v>
      </c>
      <c r="D8" s="57">
        <v>96.22</v>
      </c>
      <c r="E8" s="49">
        <v>888.8</v>
      </c>
    </row>
    <row r="9" spans="2:13" x14ac:dyDescent="0.2">
      <c r="B9" s="48"/>
      <c r="C9" s="48" t="s">
        <v>336</v>
      </c>
      <c r="D9" s="57">
        <v>96.22</v>
      </c>
      <c r="E9" s="49">
        <v>324.50000000000006</v>
      </c>
    </row>
    <row r="10" spans="2:13" x14ac:dyDescent="0.2">
      <c r="C10" s="48" t="s">
        <v>337</v>
      </c>
      <c r="D10" s="57">
        <v>126.97999999999999</v>
      </c>
      <c r="E10" s="49">
        <v>385.00000000000006</v>
      </c>
    </row>
    <row r="11" spans="2:13" x14ac:dyDescent="0.2">
      <c r="C11" s="48" t="s">
        <v>338</v>
      </c>
      <c r="D11" s="57">
        <v>126.97999999999999</v>
      </c>
      <c r="E11" s="49">
        <v>165.00000000000003</v>
      </c>
    </row>
    <row r="12" spans="2:13" x14ac:dyDescent="0.2">
      <c r="C12" s="48" t="s">
        <v>342</v>
      </c>
      <c r="D12" s="57">
        <v>2485.44</v>
      </c>
      <c r="E12" s="49">
        <v>55</v>
      </c>
    </row>
    <row r="13" spans="2:13" x14ac:dyDescent="0.2">
      <c r="C13" s="48" t="s">
        <v>339</v>
      </c>
      <c r="D13" s="57">
        <v>2485.44</v>
      </c>
      <c r="E13" s="49">
        <v>172.70000000000002</v>
      </c>
    </row>
    <row r="14" spans="2:13" x14ac:dyDescent="0.2">
      <c r="C14" s="48" t="s">
        <v>345</v>
      </c>
      <c r="D14" s="57">
        <v>2485.44</v>
      </c>
      <c r="E14" s="49">
        <v>132</v>
      </c>
    </row>
    <row r="15" spans="2:13" x14ac:dyDescent="0.2">
      <c r="C15" s="48" t="s">
        <v>340</v>
      </c>
      <c r="D15" s="57">
        <v>2110.7750999999998</v>
      </c>
      <c r="E15" s="49">
        <v>1375.0000000000002</v>
      </c>
    </row>
    <row r="16" spans="2:13" x14ac:dyDescent="0.2">
      <c r="C16" s="48" t="s">
        <v>341</v>
      </c>
      <c r="D16" s="57">
        <v>1649.9750999999999</v>
      </c>
      <c r="E16" s="49">
        <v>1265</v>
      </c>
    </row>
    <row r="17" spans="3:5" x14ac:dyDescent="0.2">
      <c r="C17" s="48" t="s">
        <v>377</v>
      </c>
      <c r="D17" s="57">
        <v>2854.67</v>
      </c>
    </row>
    <row r="18" spans="3:5" x14ac:dyDescent="0.2">
      <c r="C18" s="48" t="s">
        <v>378</v>
      </c>
      <c r="D18" s="57">
        <v>3315.4700000000003</v>
      </c>
    </row>
    <row r="19" spans="3:5" x14ac:dyDescent="0.2">
      <c r="C19" s="48" t="s">
        <v>392</v>
      </c>
      <c r="D19" s="57">
        <f>'[2]Rev. Internos Piso e Parede'!$B$20</f>
        <v>35425.930000000008</v>
      </c>
      <c r="E19" s="49">
        <f>'[2]Rev. Internos Piso e Parede'!$G$20/'[2]Rev. Internos Piso e Parede'!$B$20</f>
        <v>5.5</v>
      </c>
    </row>
    <row r="20" spans="3:5" x14ac:dyDescent="0.2">
      <c r="C20" s="48" t="s">
        <v>393</v>
      </c>
      <c r="D20" s="57">
        <f>'[2]Rev. Internos Piso e Parede'!$B$20</f>
        <v>35425.930000000008</v>
      </c>
      <c r="E20" s="49">
        <f>'[2]Rev. Internos Piso e Parede'!$G$21/'[2]Rev. Internos Piso e Parede'!$B$21</f>
        <v>55.000000000000007</v>
      </c>
    </row>
    <row r="21" spans="3:5" x14ac:dyDescent="0.2">
      <c r="C21" s="48" t="s">
        <v>394</v>
      </c>
      <c r="D21" s="57">
        <f>'[2]Rev. Internos Piso e Parede'!$B$20</f>
        <v>35425.930000000008</v>
      </c>
      <c r="E21" s="49">
        <f>'[2]Rev. Internos Piso e Parede'!$G$38/'[2]Rev. Internos Piso e Parede'!$B$38</f>
        <v>57.430999999999997</v>
      </c>
    </row>
    <row r="22" spans="3:5" x14ac:dyDescent="0.2">
      <c r="C22" s="48" t="s">
        <v>398</v>
      </c>
      <c r="D22" s="57">
        <v>345.25400000000002</v>
      </c>
      <c r="E22" s="49">
        <v>2310</v>
      </c>
    </row>
    <row r="23" spans="3:5" x14ac:dyDescent="0.2">
      <c r="C23" s="48" t="s">
        <v>399</v>
      </c>
      <c r="D23" s="57">
        <f>(2.52*2+3.52+0.89)*(2.8/2)*8</f>
        <v>105.84</v>
      </c>
      <c r="E23" s="49">
        <v>2310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OBRA</vt:lpstr>
      <vt:lpstr>EPC's</vt:lpstr>
      <vt:lpstr>ORÇAMENTO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Oliveira</dc:creator>
  <cp:lastModifiedBy>Patricia Bragatto</cp:lastModifiedBy>
  <dcterms:created xsi:type="dcterms:W3CDTF">2024-07-31T17:28:03Z</dcterms:created>
  <dcterms:modified xsi:type="dcterms:W3CDTF">2026-03-30T15:51:11Z</dcterms:modified>
</cp:coreProperties>
</file>